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seanl\Documents\Budget\"/>
    </mc:Choice>
  </mc:AlternateContent>
  <xr:revisionPtr revIDLastSave="0" documentId="13_ncr:1_{1A89C549-5437-4176-9928-7664A6B6498B}" xr6:coauthVersionLast="47" xr6:coauthVersionMax="47" xr10:uidLastSave="{00000000-0000-0000-0000-000000000000}"/>
  <bookViews>
    <workbookView xWindow="3120" yWindow="3120" windowWidth="28800" windowHeight="11295" tabRatio="708" firstSheet="8" activeTab="12" xr2:uid="{00000000-000D-0000-FFFF-FFFF00000000}"/>
  </bookViews>
  <sheets>
    <sheet name="Discover Data" sheetId="1" r:id="rId1"/>
    <sheet name="Discover Account" sheetId="12" r:id="rId2"/>
    <sheet name="Care Credit" sheetId="5" r:id="rId3"/>
    <sheet name="Best Buy" sheetId="6" r:id="rId4"/>
    <sheet name="Wells Fargo" sheetId="7" r:id="rId5"/>
    <sheet name="AMEX" sheetId="10" r:id="rId6"/>
    <sheet name="June Trips" sheetId="9" r:id="rId7"/>
    <sheet name="Accounts" sheetId="11" r:id="rId8"/>
    <sheet name="Category Summary" sheetId="2" r:id="rId9"/>
    <sheet name="People Summary" sheetId="8" r:id="rId10"/>
    <sheet name="Short Desc Summary" sheetId="3" r:id="rId11"/>
    <sheet name="Reoccuring Summary" sheetId="4" r:id="rId12"/>
    <sheet name="The plan" sheetId="13" r:id="rId13"/>
  </sheets>
  <definedNames>
    <definedName name="_xlnm._FilterDatabase" localSheetId="5" hidden="1">AMEX!$A$1:$D$1</definedName>
    <definedName name="_xlnm._FilterDatabase" localSheetId="2" hidden="1">'Care Credit'!$A$1:$D$1</definedName>
    <definedName name="_xlnm._FilterDatabase" localSheetId="9" hidden="1">'People Summary'!$M$1:$Q$11</definedName>
    <definedName name="_xlnm._FilterDatabase" localSheetId="10" hidden="1">'Short Desc Summary'!$A$2:$C$80</definedName>
    <definedName name="_xlnm._FilterDatabase" localSheetId="4" hidden="1">'Wells Fargo'!$A$1:$G$162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" i="13" l="1"/>
  <c r="F41" i="13"/>
  <c r="G41" i="13"/>
  <c r="H41" i="13"/>
  <c r="E41" i="13"/>
  <c r="K4" i="13"/>
  <c r="C16" i="13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I12" i="13"/>
  <c r="I41" i="13" s="1"/>
  <c r="C3" i="13"/>
  <c r="A5" i="13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B4" i="13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J5" i="13"/>
  <c r="C4" i="13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J32" i="11"/>
  <c r="J34" i="11"/>
  <c r="K31" i="11" s="1"/>
  <c r="K32" i="11" s="1"/>
  <c r="K34" i="11" s="1"/>
  <c r="L31" i="11" s="1"/>
  <c r="L32" i="11" s="1"/>
  <c r="L34" i="11" s="1"/>
  <c r="M31" i="11" s="1"/>
  <c r="M32" i="11" s="1"/>
  <c r="M34" i="11" s="1"/>
  <c r="D25" i="4"/>
  <c r="E25" i="4"/>
  <c r="F25" i="4"/>
  <c r="G25" i="4"/>
  <c r="H25" i="4"/>
  <c r="I25" i="4"/>
  <c r="J25" i="4"/>
  <c r="D24" i="4"/>
  <c r="E24" i="4"/>
  <c r="F24" i="4"/>
  <c r="G24" i="4"/>
  <c r="H24" i="4"/>
  <c r="I24" i="4"/>
  <c r="J24" i="4"/>
  <c r="D23" i="4"/>
  <c r="E23" i="4"/>
  <c r="F23" i="4"/>
  <c r="G23" i="4"/>
  <c r="H23" i="4"/>
  <c r="I23" i="4"/>
  <c r="J23" i="4"/>
  <c r="D22" i="4"/>
  <c r="E22" i="4"/>
  <c r="F22" i="4"/>
  <c r="G22" i="4"/>
  <c r="H22" i="4"/>
  <c r="I22" i="4"/>
  <c r="J22" i="4"/>
  <c r="B31" i="11"/>
  <c r="B32" i="11" s="1"/>
  <c r="B34" i="11" s="1"/>
  <c r="C31" i="11" s="1"/>
  <c r="C32" i="11" s="1"/>
  <c r="C34" i="11" s="1"/>
  <c r="D31" i="11" s="1"/>
  <c r="D32" i="11" s="1"/>
  <c r="D34" i="11" s="1"/>
  <c r="E31" i="11" s="1"/>
  <c r="E32" i="11" s="1"/>
  <c r="E34" i="11" s="1"/>
  <c r="F31" i="11" s="1"/>
  <c r="F32" i="11" s="1"/>
  <c r="F34" i="11" s="1"/>
  <c r="G31" i="11" s="1"/>
  <c r="G32" i="11" s="1"/>
  <c r="G34" i="11" s="1"/>
  <c r="H31" i="11" s="1"/>
  <c r="H32" i="11" s="1"/>
  <c r="H34" i="11" s="1"/>
  <c r="I31" i="11" s="1"/>
  <c r="I32" i="11" s="1"/>
  <c r="I34" i="11" s="1"/>
  <c r="J31" i="11" s="1"/>
  <c r="K2" i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M20" i="1"/>
  <c r="M19" i="1"/>
  <c r="T16" i="1"/>
  <c r="S16" i="1"/>
  <c r="R16" i="1"/>
  <c r="Q16" i="1"/>
  <c r="P16" i="1"/>
  <c r="O16" i="1"/>
  <c r="T15" i="1"/>
  <c r="T20" i="1" s="1"/>
  <c r="S15" i="1"/>
  <c r="S20" i="1" s="1"/>
  <c r="R15" i="1"/>
  <c r="R20" i="1" s="1"/>
  <c r="Q15" i="1"/>
  <c r="Q20" i="1" s="1"/>
  <c r="P15" i="1"/>
  <c r="P20" i="1" s="1"/>
  <c r="O15" i="1"/>
  <c r="O20" i="1" s="1"/>
  <c r="T13" i="1"/>
  <c r="S13" i="1"/>
  <c r="R13" i="1"/>
  <c r="Q13" i="1"/>
  <c r="P13" i="1"/>
  <c r="O13" i="1"/>
  <c r="T12" i="1"/>
  <c r="S12" i="1"/>
  <c r="R12" i="1"/>
  <c r="Q12" i="1"/>
  <c r="P12" i="1"/>
  <c r="O12" i="1"/>
  <c r="T11" i="1"/>
  <c r="S11" i="1"/>
  <c r="R11" i="1"/>
  <c r="Q11" i="1"/>
  <c r="P11" i="1"/>
  <c r="O11" i="1"/>
  <c r="T10" i="1"/>
  <c r="S10" i="1"/>
  <c r="R10" i="1"/>
  <c r="Q10" i="1"/>
  <c r="P10" i="1"/>
  <c r="O10" i="1"/>
  <c r="T9" i="1"/>
  <c r="S9" i="1"/>
  <c r="R9" i="1"/>
  <c r="Q9" i="1"/>
  <c r="P9" i="1"/>
  <c r="O9" i="1"/>
  <c r="T8" i="1"/>
  <c r="S8" i="1"/>
  <c r="R8" i="1"/>
  <c r="Q8" i="1"/>
  <c r="P8" i="1"/>
  <c r="O8" i="1"/>
  <c r="T7" i="1"/>
  <c r="S7" i="1"/>
  <c r="R7" i="1"/>
  <c r="Q7" i="1"/>
  <c r="P7" i="1"/>
  <c r="O7" i="1"/>
  <c r="T6" i="1"/>
  <c r="S6" i="1"/>
  <c r="R6" i="1"/>
  <c r="Q6" i="1"/>
  <c r="P6" i="1"/>
  <c r="O6" i="1"/>
  <c r="T5" i="1"/>
  <c r="S5" i="1"/>
  <c r="R5" i="1"/>
  <c r="Q5" i="1"/>
  <c r="P5" i="1"/>
  <c r="O5" i="1"/>
  <c r="T4" i="1"/>
  <c r="S4" i="1"/>
  <c r="R4" i="1"/>
  <c r="Q4" i="1"/>
  <c r="P4" i="1"/>
  <c r="O4" i="1"/>
  <c r="T3" i="1"/>
  <c r="S3" i="1"/>
  <c r="R3" i="1"/>
  <c r="Q3" i="1"/>
  <c r="P3" i="1"/>
  <c r="O3" i="1"/>
  <c r="T2" i="1"/>
  <c r="S2" i="1"/>
  <c r="R2" i="1"/>
  <c r="Q2" i="1"/>
  <c r="P2" i="1"/>
  <c r="O2" i="1"/>
  <c r="N16" i="1"/>
  <c r="N3" i="1"/>
  <c r="N4" i="1"/>
  <c r="N5" i="1"/>
  <c r="N6" i="1"/>
  <c r="N7" i="1"/>
  <c r="N8" i="1"/>
  <c r="N9" i="1"/>
  <c r="N15" i="1"/>
  <c r="N20" i="1" s="1"/>
  <c r="N10" i="1"/>
  <c r="N11" i="1"/>
  <c r="N12" i="1"/>
  <c r="N13" i="1"/>
  <c r="N2" i="1"/>
  <c r="C26" i="11"/>
  <c r="D26" i="11"/>
  <c r="F26" i="11"/>
  <c r="H26" i="11"/>
  <c r="J26" i="11"/>
  <c r="L26" i="11"/>
  <c r="M26" i="11"/>
  <c r="B26" i="11"/>
  <c r="K24" i="11"/>
  <c r="K26" i="11" s="1"/>
  <c r="I24" i="11"/>
  <c r="I26" i="11" s="1"/>
  <c r="G24" i="11"/>
  <c r="G26" i="11" s="1"/>
  <c r="G3" i="11"/>
  <c r="B16" i="11"/>
  <c r="N13" i="11"/>
  <c r="C12" i="1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B8" i="11"/>
  <c r="E25" i="11" s="1"/>
  <c r="E26" i="11" s="1"/>
  <c r="F34" i="9"/>
  <c r="D4" i="11"/>
  <c r="D5" i="11"/>
  <c r="D3" i="11"/>
  <c r="J21" i="4"/>
  <c r="I21" i="4"/>
  <c r="H21" i="4"/>
  <c r="G21" i="4"/>
  <c r="F21" i="4"/>
  <c r="E21" i="4"/>
  <c r="J20" i="4"/>
  <c r="I20" i="4"/>
  <c r="H20" i="4"/>
  <c r="G20" i="4"/>
  <c r="F20" i="4"/>
  <c r="E20" i="4"/>
  <c r="J19" i="4"/>
  <c r="I19" i="4"/>
  <c r="H19" i="4"/>
  <c r="G19" i="4"/>
  <c r="F19" i="4"/>
  <c r="E19" i="4"/>
  <c r="J18" i="4"/>
  <c r="I18" i="4"/>
  <c r="H18" i="4"/>
  <c r="G18" i="4"/>
  <c r="F18" i="4"/>
  <c r="E18" i="4"/>
  <c r="J17" i="4"/>
  <c r="I17" i="4"/>
  <c r="H17" i="4"/>
  <c r="G17" i="4"/>
  <c r="F17" i="4"/>
  <c r="E17" i="4"/>
  <c r="J16" i="4"/>
  <c r="I16" i="4"/>
  <c r="H16" i="4"/>
  <c r="G16" i="4"/>
  <c r="F16" i="4"/>
  <c r="E16" i="4"/>
  <c r="J15" i="4"/>
  <c r="I15" i="4"/>
  <c r="H15" i="4"/>
  <c r="G15" i="4"/>
  <c r="F15" i="4"/>
  <c r="E15" i="4"/>
  <c r="J14" i="4"/>
  <c r="I14" i="4"/>
  <c r="H14" i="4"/>
  <c r="G14" i="4"/>
  <c r="F14" i="4"/>
  <c r="E14" i="4"/>
  <c r="J13" i="4"/>
  <c r="I13" i="4"/>
  <c r="H13" i="4"/>
  <c r="G13" i="4"/>
  <c r="F13" i="4"/>
  <c r="E13" i="4"/>
  <c r="J12" i="4"/>
  <c r="I12" i="4"/>
  <c r="H12" i="4"/>
  <c r="G12" i="4"/>
  <c r="F12" i="4"/>
  <c r="E12" i="4"/>
  <c r="J11" i="4"/>
  <c r="I11" i="4"/>
  <c r="H11" i="4"/>
  <c r="G11" i="4"/>
  <c r="F11" i="4"/>
  <c r="E11" i="4"/>
  <c r="J10" i="4"/>
  <c r="I10" i="4"/>
  <c r="H10" i="4"/>
  <c r="G10" i="4"/>
  <c r="F10" i="4"/>
  <c r="E10" i="4"/>
  <c r="J9" i="4"/>
  <c r="I9" i="4"/>
  <c r="H9" i="4"/>
  <c r="G9" i="4"/>
  <c r="F9" i="4"/>
  <c r="E9" i="4"/>
  <c r="J8" i="4"/>
  <c r="I8" i="4"/>
  <c r="H8" i="4"/>
  <c r="G8" i="4"/>
  <c r="F8" i="4"/>
  <c r="E8" i="4"/>
  <c r="J7" i="4"/>
  <c r="I7" i="4"/>
  <c r="H7" i="4"/>
  <c r="G7" i="4"/>
  <c r="F7" i="4"/>
  <c r="E7" i="4"/>
  <c r="J6" i="4"/>
  <c r="I6" i="4"/>
  <c r="H6" i="4"/>
  <c r="G6" i="4"/>
  <c r="F6" i="4"/>
  <c r="E6" i="4"/>
  <c r="J5" i="4"/>
  <c r="I5" i="4"/>
  <c r="H5" i="4"/>
  <c r="G5" i="4"/>
  <c r="F5" i="4"/>
  <c r="E5" i="4"/>
  <c r="J4" i="4"/>
  <c r="I4" i="4"/>
  <c r="H4" i="4"/>
  <c r="G4" i="4"/>
  <c r="F4" i="4"/>
  <c r="E4" i="4"/>
  <c r="J3" i="4"/>
  <c r="I3" i="4"/>
  <c r="H3" i="4"/>
  <c r="G3" i="4"/>
  <c r="F3" i="4"/>
  <c r="E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K5" i="13" l="1"/>
  <c r="J6" i="13"/>
  <c r="K6" i="13" s="1"/>
  <c r="B28" i="11"/>
  <c r="C16" i="11" s="1"/>
  <c r="H26" i="4"/>
  <c r="D26" i="4"/>
  <c r="E26" i="4"/>
  <c r="F26" i="4"/>
  <c r="G26" i="4"/>
  <c r="I26" i="4"/>
  <c r="J26" i="4"/>
  <c r="O14" i="1"/>
  <c r="O19" i="1" s="1"/>
  <c r="P14" i="1"/>
  <c r="P19" i="1" s="1"/>
  <c r="Q14" i="1"/>
  <c r="Q19" i="1" s="1"/>
  <c r="R14" i="1"/>
  <c r="R19" i="1" s="1"/>
  <c r="S14" i="1"/>
  <c r="S19" i="1" s="1"/>
  <c r="T14" i="1"/>
  <c r="T19" i="1" s="1"/>
  <c r="N14" i="1"/>
  <c r="C28" i="11"/>
  <c r="D16" i="11" s="1"/>
  <c r="D28" i="11" s="1"/>
  <c r="E16" i="11" s="1"/>
  <c r="E28" i="11" s="1"/>
  <c r="F16" i="11" s="1"/>
  <c r="F28" i="11" s="1"/>
  <c r="G16" i="11" s="1"/>
  <c r="G28" i="11" s="1"/>
  <c r="H16" i="11" s="1"/>
  <c r="H28" i="11" s="1"/>
  <c r="I16" i="11" s="1"/>
  <c r="I28" i="11" s="1"/>
  <c r="J16" i="11" s="1"/>
  <c r="J28" i="11" s="1"/>
  <c r="K16" i="11" s="1"/>
  <c r="K28" i="11" s="1"/>
  <c r="L16" i="11" s="1"/>
  <c r="L28" i="11" s="1"/>
  <c r="M16" i="11" s="1"/>
  <c r="M28" i="11" s="1"/>
  <c r="I2" i="9"/>
  <c r="I3" i="9"/>
  <c r="I4" i="9"/>
  <c r="I5" i="9"/>
  <c r="I6" i="9"/>
  <c r="I8" i="9"/>
  <c r="I9" i="9"/>
  <c r="I10" i="9"/>
  <c r="I12" i="9"/>
  <c r="I13" i="9"/>
  <c r="I14" i="9"/>
  <c r="I15" i="9"/>
  <c r="I17" i="9"/>
  <c r="I18" i="9"/>
  <c r="I21" i="9"/>
  <c r="I22" i="9"/>
  <c r="I23" i="9"/>
  <c r="I24" i="9"/>
  <c r="I26" i="9"/>
  <c r="I27" i="9"/>
  <c r="I28" i="9"/>
  <c r="I29" i="9"/>
  <c r="I30" i="9"/>
  <c r="I31" i="9"/>
  <c r="I32" i="9"/>
  <c r="I33" i="9"/>
  <c r="E2" i="9"/>
  <c r="F2" i="9" s="1"/>
  <c r="G2" i="9"/>
  <c r="E3" i="9"/>
  <c r="F3" i="9"/>
  <c r="G3" i="9"/>
  <c r="F4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F5" i="9"/>
  <c r="F14" i="9"/>
  <c r="F16" i="9"/>
  <c r="F33" i="9"/>
  <c r="E32" i="9"/>
  <c r="F32" i="9" s="1"/>
  <c r="E31" i="9"/>
  <c r="F31" i="9" s="1"/>
  <c r="E30" i="9"/>
  <c r="F30" i="9" s="1"/>
  <c r="E29" i="9"/>
  <c r="F29" i="9" s="1"/>
  <c r="E28" i="9"/>
  <c r="F28" i="9" s="1"/>
  <c r="E27" i="9"/>
  <c r="F27" i="9" s="1"/>
  <c r="E26" i="9"/>
  <c r="F26" i="9" s="1"/>
  <c r="E25" i="9"/>
  <c r="F25" i="9" s="1"/>
  <c r="E24" i="9"/>
  <c r="F24" i="9" s="1"/>
  <c r="E23" i="9"/>
  <c r="F23" i="9" s="1"/>
  <c r="E22" i="9"/>
  <c r="F22" i="9" s="1"/>
  <c r="E21" i="9"/>
  <c r="F21" i="9" s="1"/>
  <c r="E20" i="9"/>
  <c r="F20" i="9" s="1"/>
  <c r="E19" i="9"/>
  <c r="F19" i="9" s="1"/>
  <c r="E18" i="9"/>
  <c r="F18" i="9" s="1"/>
  <c r="E17" i="9"/>
  <c r="F17" i="9" s="1"/>
  <c r="E15" i="9"/>
  <c r="F15" i="9" s="1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E6" i="9"/>
  <c r="F6" i="9" s="1"/>
  <c r="C12" i="7"/>
  <c r="C2" i="7"/>
  <c r="C3" i="7"/>
  <c r="C4" i="7"/>
  <c r="C6" i="7"/>
  <c r="C7" i="7"/>
  <c r="C5" i="7"/>
  <c r="C8" i="7"/>
  <c r="C9" i="7"/>
  <c r="C10" i="7"/>
  <c r="C11" i="7"/>
  <c r="C13" i="7"/>
  <c r="C14" i="7"/>
  <c r="C15" i="7"/>
  <c r="C16" i="7"/>
  <c r="C17" i="7"/>
  <c r="C28" i="7"/>
  <c r="C29" i="7"/>
  <c r="C20" i="7"/>
  <c r="C21" i="7"/>
  <c r="C22" i="7"/>
  <c r="C18" i="7"/>
  <c r="C23" i="7"/>
  <c r="C24" i="7"/>
  <c r="C25" i="7"/>
  <c r="C19" i="7"/>
  <c r="C26" i="7"/>
  <c r="C27" i="7"/>
  <c r="C30" i="7"/>
  <c r="C31" i="7"/>
  <c r="C32" i="7"/>
  <c r="C33" i="7"/>
  <c r="C36" i="7"/>
  <c r="C35" i="7"/>
  <c r="C34" i="7"/>
  <c r="C37" i="7"/>
  <c r="C38" i="7"/>
  <c r="C39" i="7"/>
  <c r="C40" i="7"/>
  <c r="C41" i="7"/>
  <c r="C42" i="7"/>
  <c r="C43" i="7"/>
  <c r="C44" i="7"/>
  <c r="C45" i="7"/>
  <c r="C46" i="7"/>
  <c r="C52" i="7"/>
  <c r="C47" i="7"/>
  <c r="C48" i="7"/>
  <c r="C49" i="7"/>
  <c r="C50" i="7"/>
  <c r="C51" i="7"/>
  <c r="C53" i="7"/>
  <c r="C54" i="7"/>
  <c r="C56" i="7"/>
  <c r="C55" i="7"/>
  <c r="C57" i="7"/>
  <c r="C61" i="7"/>
  <c r="C58" i="7"/>
  <c r="C59" i="7"/>
  <c r="C60" i="7"/>
  <c r="C62" i="7"/>
  <c r="C65" i="7"/>
  <c r="C63" i="7"/>
  <c r="C64" i="7"/>
  <c r="C66" i="7"/>
  <c r="C68" i="7"/>
  <c r="C67" i="7"/>
  <c r="C69" i="7"/>
  <c r="C70" i="7"/>
  <c r="C71" i="7"/>
  <c r="C72" i="7"/>
  <c r="C73" i="7"/>
  <c r="C74" i="7"/>
  <c r="C75" i="7"/>
  <c r="C76" i="7"/>
  <c r="C77" i="7"/>
  <c r="C78" i="7"/>
  <c r="C79" i="7"/>
  <c r="C81" i="7"/>
  <c r="C80" i="7"/>
  <c r="C82" i="7"/>
  <c r="C83" i="7"/>
  <c r="C86" i="7"/>
  <c r="C85" i="7"/>
  <c r="C84" i="7"/>
  <c r="C87" i="7"/>
  <c r="C88" i="7"/>
  <c r="C89" i="7"/>
  <c r="C90" i="7"/>
  <c r="C91" i="7"/>
  <c r="C93" i="7"/>
  <c r="C94" i="7"/>
  <c r="C92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9" i="7"/>
  <c r="C108" i="7"/>
  <c r="C110" i="7"/>
  <c r="C111" i="7"/>
  <c r="C112" i="7"/>
  <c r="C113" i="7"/>
  <c r="C118" i="7"/>
  <c r="C116" i="7"/>
  <c r="C114" i="7"/>
  <c r="C115" i="7"/>
  <c r="C117" i="7"/>
  <c r="C119" i="7"/>
  <c r="C120" i="7"/>
  <c r="C121" i="7"/>
  <c r="C122" i="7"/>
  <c r="C123" i="7"/>
  <c r="C124" i="7"/>
  <c r="C125" i="7"/>
  <c r="C126" i="7"/>
  <c r="C127" i="7"/>
  <c r="C129" i="7"/>
  <c r="C128" i="7"/>
  <c r="C130" i="7"/>
  <c r="C131" i="7"/>
  <c r="C132" i="7"/>
  <c r="C133" i="7"/>
  <c r="C134" i="7"/>
  <c r="C136" i="7"/>
  <c r="C135" i="7"/>
  <c r="C137" i="7"/>
  <c r="C138" i="7"/>
  <c r="C140" i="7"/>
  <c r="C139" i="7"/>
  <c r="C141" i="7"/>
  <c r="C142" i="7"/>
  <c r="C144" i="7"/>
  <c r="C143" i="7"/>
  <c r="C145" i="7"/>
  <c r="C147" i="7"/>
  <c r="C146" i="7"/>
  <c r="C148" i="7"/>
  <c r="C150" i="7"/>
  <c r="C151" i="7"/>
  <c r="C149" i="7"/>
  <c r="C152" i="7"/>
  <c r="C153" i="7"/>
  <c r="C154" i="7"/>
  <c r="C155" i="7"/>
  <c r="C156" i="7"/>
  <c r="C157" i="7"/>
  <c r="C158" i="7"/>
  <c r="C159" i="7"/>
  <c r="C160" i="7"/>
  <c r="C161" i="7"/>
  <c r="C162" i="7"/>
  <c r="G20" i="7"/>
  <c r="G21" i="7"/>
  <c r="G161" i="7"/>
  <c r="G160" i="7"/>
  <c r="G151" i="7"/>
  <c r="G137" i="7"/>
  <c r="G138" i="7"/>
  <c r="G131" i="7"/>
  <c r="G132" i="7"/>
  <c r="G117" i="7"/>
  <c r="G111" i="7"/>
  <c r="G108" i="7"/>
  <c r="G87" i="7"/>
  <c r="G88" i="7"/>
  <c r="G85" i="7"/>
  <c r="G71" i="7"/>
  <c r="G58" i="7"/>
  <c r="G59" i="7"/>
  <c r="G49" i="7"/>
  <c r="G45" i="7"/>
  <c r="G38" i="7"/>
  <c r="G22" i="7"/>
  <c r="G18" i="7"/>
  <c r="G23" i="7"/>
  <c r="G24" i="7"/>
  <c r="G25" i="7"/>
  <c r="G19" i="7"/>
  <c r="G26" i="7"/>
  <c r="G16" i="7"/>
  <c r="G9" i="7"/>
  <c r="G4" i="7"/>
  <c r="F161" i="7"/>
  <c r="F160" i="7"/>
  <c r="F158" i="7"/>
  <c r="F159" i="7"/>
  <c r="F157" i="7"/>
  <c r="F156" i="7"/>
  <c r="F153" i="7"/>
  <c r="F154" i="7"/>
  <c r="F155" i="7"/>
  <c r="F152" i="7"/>
  <c r="F150" i="7"/>
  <c r="F151" i="7"/>
  <c r="F149" i="7"/>
  <c r="F148" i="7"/>
  <c r="F145" i="7"/>
  <c r="F147" i="7"/>
  <c r="F146" i="7"/>
  <c r="F144" i="7"/>
  <c r="F143" i="7"/>
  <c r="F140" i="7"/>
  <c r="F139" i="7"/>
  <c r="F141" i="7"/>
  <c r="F142" i="7"/>
  <c r="F136" i="7"/>
  <c r="F135" i="7"/>
  <c r="F137" i="7"/>
  <c r="F138" i="7"/>
  <c r="F134" i="7"/>
  <c r="F133" i="7"/>
  <c r="F130" i="7"/>
  <c r="F131" i="7"/>
  <c r="F132" i="7"/>
  <c r="F129" i="7"/>
  <c r="F128" i="7"/>
  <c r="F125" i="7"/>
  <c r="F126" i="7"/>
  <c r="F127" i="7"/>
  <c r="F124" i="7"/>
  <c r="F123" i="7"/>
  <c r="F120" i="7"/>
  <c r="F121" i="7"/>
  <c r="F122" i="7"/>
  <c r="F118" i="7"/>
  <c r="F116" i="7"/>
  <c r="F114" i="7"/>
  <c r="F115" i="7"/>
  <c r="F117" i="7"/>
  <c r="F119" i="7"/>
  <c r="F113" i="7"/>
  <c r="F110" i="7"/>
  <c r="F111" i="7"/>
  <c r="F112" i="7"/>
  <c r="F107" i="7"/>
  <c r="F109" i="7"/>
  <c r="F108" i="7"/>
  <c r="F106" i="7"/>
  <c r="F102" i="7"/>
  <c r="F103" i="7"/>
  <c r="F104" i="7"/>
  <c r="F105" i="7"/>
  <c r="F100" i="7"/>
  <c r="F101" i="7"/>
  <c r="F98" i="7"/>
  <c r="F99" i="7"/>
  <c r="F97" i="7"/>
  <c r="F95" i="7"/>
  <c r="F96" i="7"/>
  <c r="F93" i="7"/>
  <c r="F94" i="7"/>
  <c r="F92" i="7"/>
  <c r="F90" i="7"/>
  <c r="F91" i="7"/>
  <c r="F89" i="7"/>
  <c r="F87" i="7"/>
  <c r="F88" i="7"/>
  <c r="F86" i="7"/>
  <c r="F85" i="7"/>
  <c r="F84" i="7"/>
  <c r="F83" i="7"/>
  <c r="F82" i="7"/>
  <c r="F79" i="7"/>
  <c r="F81" i="7"/>
  <c r="F80" i="7"/>
  <c r="F77" i="7"/>
  <c r="F78" i="7"/>
  <c r="F76" i="7"/>
  <c r="F73" i="7"/>
  <c r="F74" i="7"/>
  <c r="F75" i="7"/>
  <c r="F69" i="7"/>
  <c r="F70" i="7"/>
  <c r="F71" i="7"/>
  <c r="F72" i="7"/>
  <c r="F68" i="7"/>
  <c r="F67" i="7"/>
  <c r="F66" i="7"/>
  <c r="F65" i="7"/>
  <c r="F63" i="7"/>
  <c r="F64" i="7"/>
  <c r="F62" i="7"/>
  <c r="F57" i="7"/>
  <c r="F61" i="7"/>
  <c r="F58" i="7"/>
  <c r="F59" i="7"/>
  <c r="F60" i="7"/>
  <c r="F56" i="7"/>
  <c r="F55" i="7"/>
  <c r="F53" i="7"/>
  <c r="F54" i="7"/>
  <c r="F52" i="7"/>
  <c r="F47" i="7"/>
  <c r="F48" i="7"/>
  <c r="F49" i="7"/>
  <c r="F50" i="7"/>
  <c r="F51" i="7"/>
  <c r="F46" i="7"/>
  <c r="F45" i="7"/>
  <c r="F43" i="7"/>
  <c r="F44" i="7"/>
  <c r="F38" i="7"/>
  <c r="F39" i="7"/>
  <c r="F40" i="7"/>
  <c r="F41" i="7"/>
  <c r="F42" i="7"/>
  <c r="F37" i="7"/>
  <c r="F36" i="7"/>
  <c r="F35" i="7"/>
  <c r="F34" i="7"/>
  <c r="F31" i="7"/>
  <c r="F32" i="7"/>
  <c r="F33" i="7"/>
  <c r="F30" i="7"/>
  <c r="F28" i="7"/>
  <c r="F29" i="7"/>
  <c r="F20" i="7"/>
  <c r="F21" i="7"/>
  <c r="F22" i="7"/>
  <c r="F18" i="7"/>
  <c r="F23" i="7"/>
  <c r="F24" i="7"/>
  <c r="F25" i="7"/>
  <c r="F19" i="7"/>
  <c r="F26" i="7"/>
  <c r="F27" i="7"/>
  <c r="F15" i="7"/>
  <c r="F16" i="7"/>
  <c r="F17" i="7"/>
  <c r="F13" i="7"/>
  <c r="F14" i="7"/>
  <c r="F12" i="7"/>
  <c r="F10" i="7"/>
  <c r="F11" i="7"/>
  <c r="F8" i="7"/>
  <c r="F9" i="7"/>
  <c r="F2" i="7"/>
  <c r="F3" i="7"/>
  <c r="F4" i="7"/>
  <c r="F6" i="7"/>
  <c r="F7" i="7"/>
  <c r="F5" i="7"/>
  <c r="F162" i="7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3" i="3"/>
  <c r="F3" i="6"/>
  <c r="F4" i="6"/>
  <c r="F5" i="6"/>
  <c r="F6" i="6"/>
  <c r="F7" i="6"/>
  <c r="F8" i="6"/>
  <c r="F9" i="6"/>
  <c r="F2" i="6"/>
  <c r="A18" i="3"/>
  <c r="A17" i="3"/>
  <c r="F3" i="5"/>
  <c r="F4" i="5"/>
  <c r="F5" i="5"/>
  <c r="F6" i="5"/>
  <c r="F7" i="5"/>
  <c r="F8" i="5"/>
  <c r="F9" i="5"/>
  <c r="F10" i="5"/>
  <c r="F11" i="5"/>
  <c r="F12" i="5"/>
  <c r="F13" i="5"/>
  <c r="F2" i="5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3" i="3"/>
  <c r="A3" i="3"/>
  <c r="A9" i="3"/>
  <c r="A39" i="3"/>
  <c r="A40" i="3"/>
  <c r="A4" i="3"/>
  <c r="A24" i="3"/>
  <c r="A25" i="3"/>
  <c r="A5" i="3"/>
  <c r="A74" i="3"/>
  <c r="A6" i="3"/>
  <c r="A41" i="3"/>
  <c r="A10" i="3"/>
  <c r="A42" i="3"/>
  <c r="A19" i="3"/>
  <c r="A80" i="3"/>
  <c r="A43" i="3"/>
  <c r="A81" i="3"/>
  <c r="A26" i="3"/>
  <c r="A11" i="3"/>
  <c r="A75" i="3"/>
  <c r="A44" i="3"/>
  <c r="A45" i="3"/>
  <c r="A46" i="3"/>
  <c r="A27" i="3"/>
  <c r="A28" i="3"/>
  <c r="A29" i="3"/>
  <c r="A47" i="3"/>
  <c r="A48" i="3"/>
  <c r="A82" i="3"/>
  <c r="A15" i="3"/>
  <c r="A49" i="3"/>
  <c r="A50" i="3"/>
  <c r="A51" i="3"/>
  <c r="A21" i="3"/>
  <c r="A52" i="3"/>
  <c r="A30" i="3"/>
  <c r="A53" i="3"/>
  <c r="A76" i="3"/>
  <c r="A54" i="3"/>
  <c r="A55" i="3"/>
  <c r="A16" i="3"/>
  <c r="A56" i="3"/>
  <c r="A57" i="3"/>
  <c r="A12" i="3"/>
  <c r="A58" i="3"/>
  <c r="A22" i="3"/>
  <c r="A31" i="3"/>
  <c r="A77" i="3"/>
  <c r="A32" i="3"/>
  <c r="A59" i="3"/>
  <c r="A60" i="3"/>
  <c r="A33" i="3"/>
  <c r="A34" i="3"/>
  <c r="A61" i="3"/>
  <c r="A13" i="3"/>
  <c r="A62" i="3"/>
  <c r="A63" i="3"/>
  <c r="A35" i="3"/>
  <c r="A64" i="3"/>
  <c r="A65" i="3"/>
  <c r="A66" i="3"/>
  <c r="A67" i="3"/>
  <c r="A68" i="3"/>
  <c r="A69" i="3"/>
  <c r="A7" i="3"/>
  <c r="A70" i="3"/>
  <c r="A71" i="3"/>
  <c r="A78" i="3"/>
  <c r="A36" i="3"/>
  <c r="A79" i="3"/>
  <c r="A37" i="3"/>
  <c r="A38" i="3"/>
  <c r="A72" i="3"/>
  <c r="A20" i="3"/>
  <c r="A14" i="3"/>
  <c r="A73" i="3"/>
  <c r="A23" i="3"/>
  <c r="A8" i="3"/>
  <c r="J7" i="13" l="1"/>
  <c r="K7" i="13" s="1"/>
  <c r="I11" i="2"/>
  <c r="H11" i="2"/>
  <c r="G11" i="2"/>
  <c r="F11" i="2"/>
  <c r="E11" i="2"/>
  <c r="D11" i="2"/>
  <c r="I9" i="2"/>
  <c r="H9" i="2"/>
  <c r="G9" i="2"/>
  <c r="F9" i="2"/>
  <c r="E9" i="2"/>
  <c r="D9" i="2"/>
  <c r="C9" i="2"/>
  <c r="C11" i="2"/>
  <c r="H17" i="8"/>
  <c r="I17" i="8"/>
  <c r="G17" i="8"/>
  <c r="C17" i="8"/>
  <c r="D17" i="8"/>
  <c r="E17" i="8"/>
  <c r="F17" i="8"/>
  <c r="C24" i="2"/>
  <c r="C10" i="2" s="1"/>
  <c r="C2" i="8"/>
  <c r="D2" i="8"/>
  <c r="E2" i="8"/>
  <c r="F2" i="8"/>
  <c r="G2" i="8"/>
  <c r="H2" i="8"/>
  <c r="I2" i="8"/>
  <c r="E8" i="8"/>
  <c r="F8" i="8"/>
  <c r="G8" i="8"/>
  <c r="H8" i="8"/>
  <c r="I8" i="8"/>
  <c r="D8" i="8"/>
  <c r="C8" i="8"/>
  <c r="D10" i="8"/>
  <c r="E10" i="8"/>
  <c r="F10" i="8"/>
  <c r="G10" i="8"/>
  <c r="H10" i="8"/>
  <c r="I10" i="8"/>
  <c r="C10" i="8"/>
  <c r="F14" i="8"/>
  <c r="G14" i="8"/>
  <c r="H14" i="8"/>
  <c r="I14" i="8"/>
  <c r="C14" i="8"/>
  <c r="E14" i="8"/>
  <c r="D14" i="8"/>
  <c r="C3" i="8"/>
  <c r="D3" i="8"/>
  <c r="E3" i="8"/>
  <c r="F3" i="8"/>
  <c r="G3" i="8"/>
  <c r="H3" i="8"/>
  <c r="I3" i="8"/>
  <c r="G15" i="8"/>
  <c r="H15" i="8"/>
  <c r="I15" i="8"/>
  <c r="F15" i="8"/>
  <c r="D15" i="8"/>
  <c r="C15" i="8"/>
  <c r="E15" i="8"/>
  <c r="E9" i="8"/>
  <c r="F9" i="8"/>
  <c r="G9" i="8"/>
  <c r="C9" i="8"/>
  <c r="H9" i="8"/>
  <c r="I9" i="8"/>
  <c r="D9" i="8"/>
  <c r="D4" i="8"/>
  <c r="C4" i="8"/>
  <c r="E4" i="8"/>
  <c r="F4" i="8"/>
  <c r="G4" i="8"/>
  <c r="H4" i="8"/>
  <c r="I4" i="8"/>
  <c r="H16" i="8"/>
  <c r="I16" i="8"/>
  <c r="C16" i="8"/>
  <c r="G16" i="8"/>
  <c r="D16" i="8"/>
  <c r="E16" i="8"/>
  <c r="F16" i="8"/>
  <c r="D7" i="8"/>
  <c r="E7" i="8"/>
  <c r="F7" i="8"/>
  <c r="G7" i="8"/>
  <c r="H7" i="8"/>
  <c r="I7" i="8"/>
  <c r="C7" i="8"/>
  <c r="D5" i="8"/>
  <c r="C5" i="8"/>
  <c r="E5" i="8"/>
  <c r="F5" i="8"/>
  <c r="G5" i="8"/>
  <c r="H5" i="8"/>
  <c r="I5" i="8"/>
  <c r="D6" i="8"/>
  <c r="E6" i="8"/>
  <c r="F6" i="8"/>
  <c r="G6" i="8"/>
  <c r="C6" i="8"/>
  <c r="H6" i="8"/>
  <c r="I6" i="8"/>
  <c r="E13" i="8"/>
  <c r="F13" i="8"/>
  <c r="G13" i="8"/>
  <c r="H13" i="8"/>
  <c r="I13" i="8"/>
  <c r="D13" i="8"/>
  <c r="C13" i="8"/>
  <c r="E11" i="8"/>
  <c r="F11" i="8"/>
  <c r="G11" i="8"/>
  <c r="H11" i="8"/>
  <c r="I11" i="8"/>
  <c r="C11" i="8"/>
  <c r="D11" i="8"/>
  <c r="D12" i="8"/>
  <c r="E12" i="8"/>
  <c r="C12" i="8"/>
  <c r="F12" i="8"/>
  <c r="G12" i="8"/>
  <c r="H12" i="8"/>
  <c r="I12" i="8"/>
  <c r="C23" i="2"/>
  <c r="C8" i="2" s="1"/>
  <c r="I23" i="2"/>
  <c r="I8" i="2" s="1"/>
  <c r="H23" i="2"/>
  <c r="H8" i="2" s="1"/>
  <c r="G23" i="2"/>
  <c r="G8" i="2" s="1"/>
  <c r="F23" i="2"/>
  <c r="F8" i="2" s="1"/>
  <c r="E23" i="2"/>
  <c r="E8" i="2" s="1"/>
  <c r="D23" i="2"/>
  <c r="D8" i="2" s="1"/>
  <c r="G26" i="2"/>
  <c r="D25" i="2"/>
  <c r="D12" i="2" s="1"/>
  <c r="E20" i="2"/>
  <c r="E5" i="2" s="1"/>
  <c r="G18" i="2"/>
  <c r="H24" i="2"/>
  <c r="H10" i="2" s="1"/>
  <c r="D27" i="2"/>
  <c r="E19" i="2"/>
  <c r="E4" i="2" s="1"/>
  <c r="G25" i="2"/>
  <c r="G12" i="2" s="1"/>
  <c r="H20" i="2"/>
  <c r="H5" i="2" s="1"/>
  <c r="H19" i="2"/>
  <c r="H4" i="2" s="1"/>
  <c r="C26" i="2"/>
  <c r="D22" i="2"/>
  <c r="D7" i="2" s="1"/>
  <c r="H21" i="2"/>
  <c r="H6" i="2" s="1"/>
  <c r="D24" i="2"/>
  <c r="D10" i="2" s="1"/>
  <c r="F26" i="2"/>
  <c r="G22" i="2"/>
  <c r="G7" i="2" s="1"/>
  <c r="C21" i="2"/>
  <c r="C6" i="2" s="1"/>
  <c r="D20" i="2"/>
  <c r="D5" i="2" s="1"/>
  <c r="F18" i="2"/>
  <c r="G24" i="2"/>
  <c r="G10" i="2" s="1"/>
  <c r="I26" i="2"/>
  <c r="C19" i="2"/>
  <c r="C4" i="2" s="1"/>
  <c r="D19" i="2"/>
  <c r="D4" i="2" s="1"/>
  <c r="F25" i="2"/>
  <c r="F12" i="2" s="1"/>
  <c r="G20" i="2"/>
  <c r="G5" i="2" s="1"/>
  <c r="I18" i="2"/>
  <c r="C20" i="2"/>
  <c r="C5" i="2" s="1"/>
  <c r="D21" i="2"/>
  <c r="D6" i="2" s="1"/>
  <c r="F27" i="2"/>
  <c r="G19" i="2"/>
  <c r="G4" i="2" s="1"/>
  <c r="I25" i="2"/>
  <c r="I12" i="2" s="1"/>
  <c r="G27" i="2"/>
  <c r="G21" i="2"/>
  <c r="G6" i="2" s="1"/>
  <c r="I27" i="2"/>
  <c r="E21" i="2"/>
  <c r="E6" i="2" s="1"/>
  <c r="C22" i="2"/>
  <c r="C7" i="2" s="1"/>
  <c r="E26" i="2"/>
  <c r="F22" i="2"/>
  <c r="F7" i="2" s="1"/>
  <c r="E18" i="2"/>
  <c r="F24" i="2"/>
  <c r="F10" i="2" s="1"/>
  <c r="H26" i="2"/>
  <c r="I22" i="2"/>
  <c r="I7" i="2" s="1"/>
  <c r="C27" i="2"/>
  <c r="E25" i="2"/>
  <c r="E12" i="2" s="1"/>
  <c r="F20" i="2"/>
  <c r="F5" i="2" s="1"/>
  <c r="H18" i="2"/>
  <c r="I24" i="2"/>
  <c r="I10" i="2" s="1"/>
  <c r="C25" i="2"/>
  <c r="C12" i="2" s="1"/>
  <c r="E27" i="2"/>
  <c r="F19" i="2"/>
  <c r="F4" i="2" s="1"/>
  <c r="H25" i="2"/>
  <c r="H12" i="2" s="1"/>
  <c r="I20" i="2"/>
  <c r="I5" i="2" s="1"/>
  <c r="C18" i="2"/>
  <c r="F21" i="2"/>
  <c r="F6" i="2" s="1"/>
  <c r="H27" i="2"/>
  <c r="I19" i="2"/>
  <c r="I4" i="2" s="1"/>
  <c r="D26" i="2"/>
  <c r="E22" i="2"/>
  <c r="E7" i="2" s="1"/>
  <c r="I21" i="2"/>
  <c r="I6" i="2" s="1"/>
  <c r="D18" i="2"/>
  <c r="E24" i="2"/>
  <c r="E10" i="2" s="1"/>
  <c r="H22" i="2"/>
  <c r="H7" i="2" s="1"/>
  <c r="J8" i="13" l="1"/>
  <c r="K8" i="13" s="1"/>
  <c r="E3" i="2"/>
  <c r="E13" i="2" s="1"/>
  <c r="E28" i="2"/>
  <c r="C3" i="2"/>
  <c r="C28" i="2"/>
  <c r="G3" i="2"/>
  <c r="G13" i="2" s="1"/>
  <c r="G28" i="2"/>
  <c r="F3" i="2"/>
  <c r="F13" i="2" s="1"/>
  <c r="F28" i="2"/>
  <c r="I3" i="2"/>
  <c r="I13" i="2" s="1"/>
  <c r="I28" i="2"/>
  <c r="H3" i="2"/>
  <c r="H13" i="2" s="1"/>
  <c r="H28" i="2"/>
  <c r="D3" i="2"/>
  <c r="D13" i="2" s="1"/>
  <c r="D28" i="2"/>
  <c r="J17" i="8"/>
  <c r="I18" i="8"/>
  <c r="G18" i="8"/>
  <c r="F18" i="8"/>
  <c r="E18" i="8"/>
  <c r="H18" i="8"/>
  <c r="D18" i="8"/>
  <c r="C18" i="8"/>
  <c r="J23" i="2"/>
  <c r="J20" i="2"/>
  <c r="J18" i="2"/>
  <c r="J22" i="2"/>
  <c r="J26" i="2"/>
  <c r="J25" i="2"/>
  <c r="J19" i="2"/>
  <c r="J24" i="2"/>
  <c r="J21" i="2"/>
  <c r="J27" i="2"/>
  <c r="J8" i="2"/>
  <c r="J7" i="2"/>
  <c r="J6" i="2"/>
  <c r="J11" i="2"/>
  <c r="J10" i="2"/>
  <c r="J4" i="2"/>
  <c r="J5" i="2"/>
  <c r="J12" i="2"/>
  <c r="J9" i="2"/>
  <c r="J9" i="13" l="1"/>
  <c r="K9" i="13" s="1"/>
  <c r="J3" i="2"/>
  <c r="C13" i="2"/>
  <c r="K6" i="2"/>
  <c r="K7" i="2"/>
  <c r="K8" i="2"/>
  <c r="K3" i="2"/>
  <c r="K11" i="2"/>
  <c r="K4" i="2"/>
  <c r="K10" i="2"/>
  <c r="K9" i="2"/>
  <c r="K12" i="2"/>
  <c r="K5" i="2"/>
  <c r="J13" i="2"/>
  <c r="J28" i="2" s="1"/>
  <c r="J10" i="13" l="1"/>
  <c r="K10" i="13" s="1"/>
  <c r="K13" i="2"/>
  <c r="J7" i="8"/>
  <c r="J6" i="8"/>
  <c r="J4" i="8"/>
  <c r="J11" i="8"/>
  <c r="J10" i="8"/>
  <c r="J16" i="8"/>
  <c r="J5" i="8"/>
  <c r="J9" i="8"/>
  <c r="J12" i="8"/>
  <c r="J13" i="8"/>
  <c r="J3" i="8"/>
  <c r="J14" i="8"/>
  <c r="J15" i="8"/>
  <c r="J8" i="8"/>
  <c r="J2" i="8"/>
  <c r="J11" i="13" l="1"/>
  <c r="K11" i="13" s="1"/>
  <c r="J18" i="8"/>
  <c r="J12" i="13" l="1"/>
  <c r="K12" i="13" s="1"/>
  <c r="J13" i="13" l="1"/>
  <c r="K13" i="13" s="1"/>
  <c r="J14" i="13" l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K14" i="13" l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</calcChain>
</file>

<file path=xl/sharedStrings.xml><?xml version="1.0" encoding="utf-8"?>
<sst xmlns="http://schemas.openxmlformats.org/spreadsheetml/2006/main" count="5203" uniqueCount="894">
  <si>
    <t>Trans. Date</t>
  </si>
  <si>
    <t>Post Date</t>
  </si>
  <si>
    <t>Description</t>
  </si>
  <si>
    <t>Amount</t>
  </si>
  <si>
    <t>Category</t>
  </si>
  <si>
    <t>Short_Desc</t>
  </si>
  <si>
    <t>Date</t>
  </si>
  <si>
    <t>Reoccurring_Flag</t>
  </si>
  <si>
    <t>Category_2</t>
  </si>
  <si>
    <t>CumAmount</t>
  </si>
  <si>
    <t>Balance</t>
  </si>
  <si>
    <t>JIMMY JOHNS - 2500 PHOENIX AZ</t>
  </si>
  <si>
    <t>Restaurants</t>
  </si>
  <si>
    <t>fast_food</t>
  </si>
  <si>
    <t>01/2022</t>
  </si>
  <si>
    <t>No</t>
  </si>
  <si>
    <t>Food</t>
  </si>
  <si>
    <t>OLIVE GARDE00064212140 PHOENIX AZ</t>
  </si>
  <si>
    <t>restaurant</t>
  </si>
  <si>
    <t>NETFLIX.COM NETFLIX.COM CAITEM TRANSFERRED FROM PREV ACCOUNT</t>
  </si>
  <si>
    <t>Merchandise</t>
  </si>
  <si>
    <t>netflix</t>
  </si>
  <si>
    <t>Yes</t>
  </si>
  <si>
    <t>Recreation_Entertainment</t>
  </si>
  <si>
    <t>SPOTIFY P18D298A28 8777781161 NYITEM TRANSFERRED FROM PREV ACCOUNT</t>
  </si>
  <si>
    <t>spotify</t>
  </si>
  <si>
    <t>AMZN MKTP US*BP5036MA3 AMZN.COM/BILLWAITEM TRANSFERRED FROM PREV ACCOUNT</t>
  </si>
  <si>
    <t>amazon</t>
  </si>
  <si>
    <t>MCDONALD'S F20697 PHOENIX AZ</t>
  </si>
  <si>
    <t>LIFE TIME ATHLETIC 279 PHOENIX AZ01118R</t>
  </si>
  <si>
    <t>Travel/ Entertainment</t>
  </si>
  <si>
    <t>gym</t>
  </si>
  <si>
    <t>Personal_Spending</t>
  </si>
  <si>
    <t>CVS/PHARMACY #09252 SCOTTSDALE AZAPPLE PAY ENDING IN 4775</t>
  </si>
  <si>
    <t>conv_store</t>
  </si>
  <si>
    <t>CAFE RIO 0084 SCOTTSDALE SCOTTSDALE AZ</t>
  </si>
  <si>
    <t>INTERNET PAYMENT - THANK YOU</t>
  </si>
  <si>
    <t>Payments and Credits</t>
  </si>
  <si>
    <t>payment</t>
  </si>
  <si>
    <t>CIRCLE K 01930 YUMA AZ01374R</t>
  </si>
  <si>
    <t>Gasoline</t>
  </si>
  <si>
    <t>gas_station</t>
  </si>
  <si>
    <t>Transportation</t>
  </si>
  <si>
    <t>CASHBACK BONUS REDEMPTION PYMT/STMT CRDT</t>
  </si>
  <si>
    <t>Awards and Rebate Credits</t>
  </si>
  <si>
    <t>cashback_bonus</t>
  </si>
  <si>
    <t>SEVEN MILE CASINO RESTAU CHULA VISTA CA</t>
  </si>
  <si>
    <t>MCDONALDS 20697 PHOENIX AZ</t>
  </si>
  <si>
    <t>APPLE.COM/BILL 866-712-7753 CAAPPLE PAY ENDING IN 4775MMW7SF5QV8A0</t>
  </si>
  <si>
    <t>hbo</t>
  </si>
  <si>
    <t>THE CRACK SHACK LITTLE I SAN DIEGO CA</t>
  </si>
  <si>
    <t>TACOS EL GORDO - CHULA V CHULA VISTA CA</t>
  </si>
  <si>
    <t>RALPHS # 0212 SAN DIEGO CA</t>
  </si>
  <si>
    <t>Supermarkets</t>
  </si>
  <si>
    <t>groceries</t>
  </si>
  <si>
    <t>ZOO TICKETS AND TOURS SAN DIEGO CA0001000185182201161649</t>
  </si>
  <si>
    <t>Services</t>
  </si>
  <si>
    <t>zoo</t>
  </si>
  <si>
    <t>APPLE.COM/BILL 111-111-1111 CAAPPLE PAY ENDING IN 4775</t>
  </si>
  <si>
    <t>unsure</t>
  </si>
  <si>
    <t>Misc</t>
  </si>
  <si>
    <t>7-ELEVEN 21028 EL CENTRO CAAPPLE PAY ENDING IN 4775</t>
  </si>
  <si>
    <t>CHEVRON 0207812 YUMA AZ00207812 1200537 R</t>
  </si>
  <si>
    <t>BURGER KING #25911 YUMA AZ</t>
  </si>
  <si>
    <t>TMOBILE*AUTO PAY 800-937-8997 WAITEM TRANSFERRED FROM PREV ACCOUNT</t>
  </si>
  <si>
    <t>cell_phone</t>
  </si>
  <si>
    <t>Utilities</t>
  </si>
  <si>
    <t>APPLE.COM/BILL 866-712-7753 CAAPPLE PAY ENDING IN 4775MMW7VVNMDVA0</t>
  </si>
  <si>
    <t>apple_tv</t>
  </si>
  <si>
    <t>PAYPAL *ARIZONAPUBL 402-935-7733 CA</t>
  </si>
  <si>
    <t>aps</t>
  </si>
  <si>
    <t>TARGET PHOENIX AZ</t>
  </si>
  <si>
    <t>target</t>
  </si>
  <si>
    <t>CAVASSON EASTSIDE CAFE SCOTTSDALE AZ</t>
  </si>
  <si>
    <t>work_lunch</t>
  </si>
  <si>
    <t>LYFT *2 RIDES 01-18 855-865-9553 CAITEM TRANSFERRED FROM PREV ACCOUNT</t>
  </si>
  <si>
    <t>ride_share</t>
  </si>
  <si>
    <t>KRYSTAL AND SAAGAR 2025317527 DCITEM TRANSFERRED FROM PREV ACCOUNT</t>
  </si>
  <si>
    <t>breaking_points</t>
  </si>
  <si>
    <t>CCBILL.COM 888-5969279 AZITEM TRANSFERRED FROM PREV ACCOUNT</t>
  </si>
  <si>
    <t>onlyfans</t>
  </si>
  <si>
    <t>LYFT *2 RIDES 01-20 855-865-9553 CAITEM TRANSFERRED FROM PREV ACCOUNT</t>
  </si>
  <si>
    <t>MCDONALD'S F20697 PHOENIX AZAPPLE PAY ENDING IN 4775</t>
  </si>
  <si>
    <t>OCOTILLO VILLAGE HEALTH CHANDLER AZ</t>
  </si>
  <si>
    <t>AMZN MKTP US*FL5G52C63 AMZN.COM/BILLWAITEM TRANSFERRED FROM PREV ACCOUNT</t>
  </si>
  <si>
    <t>AMZN MKTP US*VD9Y872T3 AMZN.COM/BILLWAITEM TRANSFERRED FROM PREV ACCOUNT</t>
  </si>
  <si>
    <t>AMZN MKTP US*YX9X26H73 AMZN.COM/BILLWAITEM TRANSFERRED FROM PREV ACCOUNT</t>
  </si>
  <si>
    <t>PAYPAL *GRAMMARLY ZDYBC 402-935-7733 CA</t>
  </si>
  <si>
    <t>grammarly</t>
  </si>
  <si>
    <t>CLR*STRETCHZONE480687187 480-687-1874 TITEM TRANSFERRED FROM PREV ACCOUNT</t>
  </si>
  <si>
    <t>stretch_zone</t>
  </si>
  <si>
    <t>STAPLES 00103929105 PHOENIX AZ</t>
  </si>
  <si>
    <t>staples</t>
  </si>
  <si>
    <t>PAYPAL *INTERACTIVE 402-935-7733 CA</t>
  </si>
  <si>
    <t>learning</t>
  </si>
  <si>
    <t>SQ *NORA ASIAN FRESH PHOENIX AZ0002305843015128013485</t>
  </si>
  <si>
    <t>TST* BBQ TRAPP HAUS - PHOENIX AZ00003553005946884140AA</t>
  </si>
  <si>
    <t>CIRCLE K # 03447 PHOENIX AZ02978R</t>
  </si>
  <si>
    <t>DICKS SPORTING GOODS#362 TEMPE AZ</t>
  </si>
  <si>
    <t>sport_stuff</t>
  </si>
  <si>
    <t>PAYPAL *HULU 402-935-7733 CA</t>
  </si>
  <si>
    <t>hulu</t>
  </si>
  <si>
    <t>TST* WOW WOW HAWAIIAN LE PHOENIX AZ</t>
  </si>
  <si>
    <t>WALGREENS #3464 PHOENIX AZ</t>
  </si>
  <si>
    <t>SAFEWAY #2651 PHOENIX AZ</t>
  </si>
  <si>
    <t>AUTOZONE #2768 PHOENIX AZ</t>
  </si>
  <si>
    <t>Automotive</t>
  </si>
  <si>
    <t>car</t>
  </si>
  <si>
    <t>STATE FARM INSURANCE 800-956-6310 ILITEM TRANSFERRED FROM PREV ACCOUNT</t>
  </si>
  <si>
    <t>state_farm</t>
  </si>
  <si>
    <t>Insurance</t>
  </si>
  <si>
    <t>3856 EL POLLO LOCO PHOENIX AZ</t>
  </si>
  <si>
    <t>DRI*NVIDIA STORE NVIDIA.COM MNITEM TRANSFERRED FROM PREV ACCOUNT</t>
  </si>
  <si>
    <t>nvidia</t>
  </si>
  <si>
    <t>PAYPAL *HEARSTMAGAZ 402-935-7733 CA</t>
  </si>
  <si>
    <t>pay_wall</t>
  </si>
  <si>
    <t>FRYS-FOOD-DRG #006 GLENDALE AZ</t>
  </si>
  <si>
    <t>02/2022</t>
  </si>
  <si>
    <t>SAFEWAY #1549 SCOTTSDALE AZ</t>
  </si>
  <si>
    <t>SPOTIFY P19967769F 8777781161 NYITEM TRANSFERRED FROM PREV ACCOUNT</t>
  </si>
  <si>
    <t>APPLE.COM/BILL 866-712-7753 CAAPPLE PAY ENDING IN 4775MMW8436DXMA0</t>
  </si>
  <si>
    <t>AMZN MKTP US*9T8VU3NC3 AMZN.COM/BILLWAITEM TRANSFERRED FROM PREV ACCOUNT</t>
  </si>
  <si>
    <t>AMZN MKTP US*RX32S1F23 AMZN.COM/BILLWAITEM TRANSFERRED FROM PREV ACCOUNT</t>
  </si>
  <si>
    <t>JIMMY JOHNS - 2500 - ECO PHOENIX AZAPPLE PAY ENDING IN 4775</t>
  </si>
  <si>
    <t>nba_league_pass</t>
  </si>
  <si>
    <t>AF*REAL PROPERTY MANA. 866-648-1536 CA</t>
  </si>
  <si>
    <t>dad</t>
  </si>
  <si>
    <t>People</t>
  </si>
  <si>
    <t>APPLE.COM/BILL 866-712-7753 CAAPPLE PAY ENDING IN 4775MMW86H07HVA0</t>
  </si>
  <si>
    <t>GOOGLE *YOUTUBE TV G.CO/HELPPAY#CAP0HR9LUQ</t>
  </si>
  <si>
    <t>youtube_tv</t>
  </si>
  <si>
    <t>PAYPAL *GRAMMARLY A0Q7H 402-935-7733 CA</t>
  </si>
  <si>
    <t>WALMART SC 04232 PHOENIX AZ</t>
  </si>
  <si>
    <t>walmart</t>
  </si>
  <si>
    <t>PAYPAL *FRONTGATETX INN 402-935-7733 CA</t>
  </si>
  <si>
    <t>music_festival</t>
  </si>
  <si>
    <t>ALBERTSONS #0966 SCOTTSDALE AZ</t>
  </si>
  <si>
    <t>CHARLIE'S PHOENIX PHOENIX AZ</t>
  </si>
  <si>
    <t>PAYPAL *SPORTPLANLT 402-935-7733 CA</t>
  </si>
  <si>
    <t>BR: INNINGS FEST AUSTIN TX</t>
  </si>
  <si>
    <t>DUNKIN #350872 PHOENIX AZ</t>
  </si>
  <si>
    <t>AMERICAN AIRLINES FT WORTH TX</t>
  </si>
  <si>
    <t>air_travel</t>
  </si>
  <si>
    <t>crunchy_roll</t>
  </si>
  <si>
    <t>STAPLES PROMO 800-848-8028 KS</t>
  </si>
  <si>
    <t>03/2022</t>
  </si>
  <si>
    <t>FANDANGO 866-857-5191 CAAPPLE PAY ENDING IN 4775</t>
  </si>
  <si>
    <t>movies</t>
  </si>
  <si>
    <t>PANDA EXPRESS 1185 SCOTTSDALE AZ</t>
  </si>
  <si>
    <t>SPOTIFY P1A17D18DB 8777781161 NYITEM TRANSFERRED FROM PREV ACCOUNT</t>
  </si>
  <si>
    <t>ARCO #42554 AMPM PHOENIX AZ</t>
  </si>
  <si>
    <t>CHEVRON 0208757 WILLIAMS AZ00208757 5782659 I</t>
  </si>
  <si>
    <t>CHEVRON 0208757 WILLIAMS AZ00208757 5782658 I</t>
  </si>
  <si>
    <t>TOCA BANNER 6868100020 PHOENIX AZ</t>
  </si>
  <si>
    <t>Medical Services</t>
  </si>
  <si>
    <t>medical</t>
  </si>
  <si>
    <t>Medical</t>
  </si>
  <si>
    <t>GRAND CYN NP-NGVC FLAGSTAFF AZ</t>
  </si>
  <si>
    <t>Government Services</t>
  </si>
  <si>
    <t>museum</t>
  </si>
  <si>
    <t>LOVE'S TRAVEL STOPS #7 MAYER AZ</t>
  </si>
  <si>
    <t>DUNKIN #346591 PHOENIX AZ</t>
  </si>
  <si>
    <t>APPLE.COM/BILL 866-712-7753 CAAPPLE PAY ENDING IN 4775MMW8FFM12TA0</t>
  </si>
  <si>
    <t>APPLE.COM/BILL 866-712-7753 CAAPPLE PAY ENDING IN 4775MMW8GV5L2GA0</t>
  </si>
  <si>
    <t>CARLS JR 1101366 COACHELLA CA</t>
  </si>
  <si>
    <t>ARCO #42533 AMPM PHOENIX AZ</t>
  </si>
  <si>
    <t>LOVE'S COUNTRY STORE # COACHELLA CA</t>
  </si>
  <si>
    <t>MUSICAL INSTRUMENT MUSEU PHOENIX AZ</t>
  </si>
  <si>
    <t>RITT MOMNEY 6502396947 NY</t>
  </si>
  <si>
    <t>concert</t>
  </si>
  <si>
    <t>SQ *DESERT BOTANICAL G PHOENIX AZ0001152921511168063764</t>
  </si>
  <si>
    <t>SQ *DESERT BOTANICAL G PHOENIX AZ0001152921511167811108</t>
  </si>
  <si>
    <t>SQ *EIS CAFE PHOENIX AZ0002305843015308289306</t>
  </si>
  <si>
    <t>UNION 76 PHOENIX AZ</t>
  </si>
  <si>
    <t>CHEVRON 0208757 WILLIAMS AZ00208757 5784292 I</t>
  </si>
  <si>
    <t>OLLIE VAUGHN S PHOENIX AZ</t>
  </si>
  <si>
    <t>TST* VALLEY BAR PHOENIX AZ</t>
  </si>
  <si>
    <t>APPLE.COM/BILL 866-712-7753 CAAPPLE PAY ENDING IN 4775MMW8HX69MJA0</t>
  </si>
  <si>
    <t>CIRCLE K # 03447 PHOENIX AZ20220315</t>
  </si>
  <si>
    <t>IN N OUT BURGER 317 PHOENIX AZ</t>
  </si>
  <si>
    <t>TACOS CALAFIA PHOENIX AZ</t>
  </si>
  <si>
    <t>WE COOK PIZZA AND PASTA TUSAYAN AZ</t>
  </si>
  <si>
    <t>ARCO #42530 PHOENIX AZ</t>
  </si>
  <si>
    <t>APPLE.COM/BILL 866-712-7753 CAAPPLE PAY ENDING IN 4775MMW8K9WZ9NA0</t>
  </si>
  <si>
    <t>JOBOT COFFEE PHOENIX AZ</t>
  </si>
  <si>
    <t>coffee</t>
  </si>
  <si>
    <t>STAND UP LIVE TICKETS 480-7196100 AZ</t>
  </si>
  <si>
    <t>comedy</t>
  </si>
  <si>
    <t>THE UPS STORE 6120 PHOENIX AZ</t>
  </si>
  <si>
    <t>tahjei</t>
  </si>
  <si>
    <t>STAND UP LIVE F&amp;B PHOENIX AZ</t>
  </si>
  <si>
    <t>TOUS LES JOURS MESA AZ</t>
  </si>
  <si>
    <t>SQ *POKITRITION - SUSH PHOENIX AZ0001152921511129126725</t>
  </si>
  <si>
    <t>WALGREENS #5453 SCOTTSDALE AZ</t>
  </si>
  <si>
    <t>MEKONG PALACE MESA AZ</t>
  </si>
  <si>
    <t>GOOGLE *YOUTUBE TV G.CO/HELPPAY#CAP0I657PY</t>
  </si>
  <si>
    <t>MENS WEARHOUSE #2503 PHOENIX AZ</t>
  </si>
  <si>
    <t>clothes</t>
  </si>
  <si>
    <t>TST* BOP &amp; ROLL PHOENIX AZ</t>
  </si>
  <si>
    <t>TST* CRESCENT BALLROOM PHOENIX AZ00035514006464508949AA</t>
  </si>
  <si>
    <t>TOCA BANNER 6868100020 888-2642127 AZ</t>
  </si>
  <si>
    <t>DNCSS MARYVALE BB CON PHOENIX AZ02670R</t>
  </si>
  <si>
    <t>PARKJOCKEY MIAMI FL</t>
  </si>
  <si>
    <t>parking</t>
  </si>
  <si>
    <t>SQ *HAPPY ZACH'S FUN F PHOENIX AZ0002305843015381111051</t>
  </si>
  <si>
    <t>SQ *LA PARRILLA DEL GO PHOENIX AZAPPLE PAY ENDING IN 47750001152921511217585389</t>
  </si>
  <si>
    <t>SQ *HAPPY ZACH'S FUN F PHOENIX AZ0002305843015381595274</t>
  </si>
  <si>
    <t>SQ *LA PARRILLA DEL GO PHOENIX AZAPPLE PAY ENDING IN 47750002305843015383152546</t>
  </si>
  <si>
    <t>WALGREENS #5893 PHOENIX AZAPPLE PAY ENDING IN 4775</t>
  </si>
  <si>
    <t>DOORDASH*IL BOSCO PIZZ 6506819470 CAAPPLE PAY ENDING IN 4775</t>
  </si>
  <si>
    <t>TCKTWEB*JACOBCOLLIERDJ 800-965-4827 CAITEM TRANSFERRED FROM PREV ACCOUNT</t>
  </si>
  <si>
    <t>EDGE BARBER SPA PHOENIX AZ</t>
  </si>
  <si>
    <t>barbershop</t>
  </si>
  <si>
    <t>ARCO #42283 AMPM PHOENIX AZ</t>
  </si>
  <si>
    <t>AMC 2679 WESTGATE 20 GLENDALE AZ</t>
  </si>
  <si>
    <t>DISNEYPLUS 888-905-7888 CAITEM TRANSFERRED FROM PREV ACCOUNT</t>
  </si>
  <si>
    <t>disney</t>
  </si>
  <si>
    <t>SHOWTIME 888-965-7469 NY</t>
  </si>
  <si>
    <t>live_event</t>
  </si>
  <si>
    <t>AMZN MKTP US*1W4E475R0 AMZN.COM/BILLWAITEM TRANSFERRED FROM PREV ACCOUNT</t>
  </si>
  <si>
    <t>ST JOHN VIANNEY GIFT SHO SEDONA AZ</t>
  </si>
  <si>
    <t>ROTTEN JOHNNY S SEDONA AZ</t>
  </si>
  <si>
    <t>REI #56 PARADISE VAL PHOENIX AZ0927610560271410</t>
  </si>
  <si>
    <t>clothing</t>
  </si>
  <si>
    <t>WABA HAIR SUPPLY #5 PHOENIX AZ</t>
  </si>
  <si>
    <t>hair_supplies</t>
  </si>
  <si>
    <t>WHATABURGER 1223 TEMPE AZ51</t>
  </si>
  <si>
    <t>SEE TICKETS *BAHAMAS - G 323-908-0607 CASEE TICKETS *BAHAMAS - G</t>
  </si>
  <si>
    <t>concerts</t>
  </si>
  <si>
    <t>SKYHARBORPARKINGTERM3 PHOENIX AZ00899R</t>
  </si>
  <si>
    <t>SEE TICKETS *RITT MOMNEY 323-908-0607 CASEE TICKETS *RITT MOMNEY</t>
  </si>
  <si>
    <t>PIER 54 TEMPE AZ</t>
  </si>
  <si>
    <t>TACOS HUICHO #3 PHOENIX AZ</t>
  </si>
  <si>
    <t>04/2022</t>
  </si>
  <si>
    <t>SPOTIFY P1AA95185E 8777781161 NYITEM TRANSFERRED FROM PREV ACCOUNT</t>
  </si>
  <si>
    <t>APPLE.COM/BILL 866-712-7753 CAAPPLE PAY ENDING IN 4775MMW8WNNX9GA0</t>
  </si>
  <si>
    <t>UBER TRIP HELP.UBER.CO SAN FRANCISCOCA</t>
  </si>
  <si>
    <t>UBER PENDING SAN FRANCISCOCA</t>
  </si>
  <si>
    <t>AMC 0127 ARIZONA CTR 2 PHOENIX AZ</t>
  </si>
  <si>
    <t>CHEBA HUT - PHOENIX AZ PHOENIX AZ</t>
  </si>
  <si>
    <t>ATI3997-040168136 310-627-2866 CAAPPLE PAY ENDING IN 4775</t>
  </si>
  <si>
    <t>AMZN MKTP US*1H0DF7SN2 AMZN.COM/BILLWAITEM TRANSFERRED FROM PREV ACCOUNT</t>
  </si>
  <si>
    <t>GOOGLE *YOUTUBE G.CO/HELPPAY#CAP0IZVTPS</t>
  </si>
  <si>
    <t>CASPER SLEEP INC. 888-498-0003 NY</t>
  </si>
  <si>
    <t>home</t>
  </si>
  <si>
    <t>Housing</t>
  </si>
  <si>
    <t>AMAZON.COM*1A9W099W1 AMZN.COM/BILLWAITEM TRANSFERRED FROM PREV ACCOUNT</t>
  </si>
  <si>
    <t>UDEMY: ONLINE COURSES 8888385432 CA</t>
  </si>
  <si>
    <t>Education</t>
  </si>
  <si>
    <t>SAFEWAY.COM #2651 877-505-4040 AZ42064559</t>
  </si>
  <si>
    <t>APPLE.COM/BILL 866-712-7753 CAAPPLE PAY ENDING IN 4775MMW8X809J8A0</t>
  </si>
  <si>
    <t>blossom</t>
  </si>
  <si>
    <t>TST* POSTINO - ANNEX TEMPE AZ</t>
  </si>
  <si>
    <t>ENDGAME BAR MESA AZ</t>
  </si>
  <si>
    <t>GDP*VIMRAJ GLOBAL LLC CHANDLER AZ</t>
  </si>
  <si>
    <t>UBER TRIP 866-576-1039 CA</t>
  </si>
  <si>
    <t>ONLYFANS.COM 8886880458 IL</t>
  </si>
  <si>
    <t>TST* IL BOSCO PIZZA - 602-616-2556 AZ00040336006740827703AA</t>
  </si>
  <si>
    <t>UBER EATS 866-576-1039 CA</t>
  </si>
  <si>
    <t>JACOB COLLIER 6502396947 AZ</t>
  </si>
  <si>
    <t>ZIGGYS PIZZA AND STARDUS PHOENIX AZ</t>
  </si>
  <si>
    <t>TIP JACOB COLLIER 6502396947 AZ</t>
  </si>
  <si>
    <t>APPLE.COM/BILL 866-712-7753 CAAPPLE PAY ENDING IN 4775MMW8YJVBLNA0</t>
  </si>
  <si>
    <t>TARGET.COM * 800-591-3869 MN</t>
  </si>
  <si>
    <t>SAFEWAY.COM #2651 877-505-4040 AZ42329306</t>
  </si>
  <si>
    <t>GOOGLE *YOUTUBE TV G.CO/HELPPAY#CAP0ILMSKP</t>
  </si>
  <si>
    <t>WALGREENS #5893 PHOENIX AZ</t>
  </si>
  <si>
    <t>ATI3997-042289030 310-627-2866 CAAPPLE PAY ENDING IN 4775</t>
  </si>
  <si>
    <t>ONLYFANS 8886880458 FL</t>
  </si>
  <si>
    <t>ARIZONA DIAMONDBACKS PHOENIX AZ02548R</t>
  </si>
  <si>
    <t>live_baseball</t>
  </si>
  <si>
    <t>8AZ DIAMOND11875804307 PHOENIX AZ</t>
  </si>
  <si>
    <t>2LEVY@BANK1 PHOENIX AZ</t>
  </si>
  <si>
    <t>CIRCLE K # 03447 PHOENIX AZ02652R</t>
  </si>
  <si>
    <t>RAMEN KAGAWA PHOENIX AZ02701R</t>
  </si>
  <si>
    <t>TST* BBQ TRAPP HAUS - PHOENIX AZ00003553006868170442AA</t>
  </si>
  <si>
    <t>LINKEDIN-781*2612004 LNKD.IN/BILL CA2212131974-7812612004</t>
  </si>
  <si>
    <t>professional</t>
  </si>
  <si>
    <t>AMZN MKTP US*169FP2UB2 AMZN.COM/BILLWAITEM TRANSFERRED FROM PREV ACCOUNT</t>
  </si>
  <si>
    <t>APPLE.COM/BILL 866-712-7753 CAAPPLE PAY ENDING IN 4775MMW8V590N4A0</t>
  </si>
  <si>
    <t>UST*USTA MEMBERSHIP 800-990-8782 NYITEM TRANSFERRED FROM PREV ACCOUNT</t>
  </si>
  <si>
    <t>tennis</t>
  </si>
  <si>
    <t>SOSOBA PHOENIX AZ</t>
  </si>
  <si>
    <t>A MEDIUM CORPORATION 415-508-5008 CA</t>
  </si>
  <si>
    <t>medium</t>
  </si>
  <si>
    <t>JERSEY MIKES 9069 PHOENIX AZ</t>
  </si>
  <si>
    <t>AMZN MKTP US*1H3DX4US0 AMZN.COM/BILLWAITEM TRANSFERRED FROM PREV ACCOUNT</t>
  </si>
  <si>
    <t>FANDANGO 866-857-5191 CA</t>
  </si>
  <si>
    <t>R U 4 REAL AVONDALE AZ</t>
  </si>
  <si>
    <t>vr_arcade</t>
  </si>
  <si>
    <t>05/2022</t>
  </si>
  <si>
    <t>THE CEREAL KILLERZ AZ GOODYEAR AZ</t>
  </si>
  <si>
    <t>SPOTIFY P1B3856632 8777781161 NYITEM TRANSFERRED FROM PREV ACCOUNT</t>
  </si>
  <si>
    <t>PHOENIX SUNS CONCESSIONS PHOENIX AZ</t>
  </si>
  <si>
    <t>live_nba</t>
  </si>
  <si>
    <t>AMZN MKTP US*133PF08Z2 AMZN.COM/BILLWAITEM TRANSFERRED FROM PREV ACCOUNT</t>
  </si>
  <si>
    <t>SQ *THE WHINING PIG DO TEMPE AZ0001152921511383260366</t>
  </si>
  <si>
    <t>APPLE.COM/BILL 866-712-7753 CAAPPLE PAY ENDING IN 4775MMW961WYX0A0</t>
  </si>
  <si>
    <t>SQ *BIG PAPA HPT (JAY) PHOENIX AZ0002305843015618183201</t>
  </si>
  <si>
    <t>FIVE GUYS 4053 QSR GLENDALE AZ</t>
  </si>
  <si>
    <t>SQ *PHOENIX PERFORMING PHOENIX AZ0002305843015646210851</t>
  </si>
  <si>
    <t>THAI BASIL SIGNATURE DOW PHOENIX AZ</t>
  </si>
  <si>
    <t>TST* BREAKFAST BITCH 2 PHOENIX AZ00007311007075213638AA</t>
  </si>
  <si>
    <t>CIRCLE K # 03447 PHOENIX AZ20220515</t>
  </si>
  <si>
    <t>ROKU FOR VIKI INC 8162728107 DE</t>
  </si>
  <si>
    <t>viki</t>
  </si>
  <si>
    <t>CIRCLE K # 03447 PHOENIX AZ01631R</t>
  </si>
  <si>
    <t>AMZN MKTP US*1L5EH1PW0 AMZN.COM/BILLWAITEM TRANSFERRED FROM PREV ACCOUNT</t>
  </si>
  <si>
    <t>SP STRAW AND WOOL 6028884761 AZ</t>
  </si>
  <si>
    <t>FATTY DADDYS ICE CREAM PHOENIX AZ</t>
  </si>
  <si>
    <t>CKE*IKES LOVE AND SANDWI PHOENIX AZ</t>
  </si>
  <si>
    <t>AMZN MKTP US*1L95D1QX2 AMZN.COM/BILLWAITEM TRANSFERRED FROM PREV ACCOUNT</t>
  </si>
  <si>
    <t>APPLE.COM/BILL 866-712-7753 CAAPPLE PAY ENDING IN 4775MMW987JN2BA0</t>
  </si>
  <si>
    <t>CIRCLE K # 03447 PHOENIX AZ00249R</t>
  </si>
  <si>
    <t>CIRCLE K # 03447 PHOENIX AZ00201R</t>
  </si>
  <si>
    <t>PAYPAL *GAUSS LABS 888-221-1161 CA</t>
  </si>
  <si>
    <t>oculus</t>
  </si>
  <si>
    <t>ROOSEVELT BARBER SHOP PHOENIX AZ</t>
  </si>
  <si>
    <t>PAYPAL *WIDMO 402-935-7733 CA</t>
  </si>
  <si>
    <t>INTEREST CHARGE ON PURCHASES</t>
  </si>
  <si>
    <t>Interest</t>
  </si>
  <si>
    <t>interest</t>
  </si>
  <si>
    <t>CAFE RIO 0150 GOODYEAR GOODYEAR AZ</t>
  </si>
  <si>
    <t>BEACH LIQUORS INC SANTA CRUZ CAAPPLE PAY ENDING IN 4775</t>
  </si>
  <si>
    <t>CKE*IKE S - BURLINGA 140 BURLINGAME CAAPPLE PAY ENDING IN 4775</t>
  </si>
  <si>
    <t>GOOGLE *YOUTUBE TV G.CO/HELPPAY#CAP0JOYEQS</t>
  </si>
  <si>
    <t>CAFFE CENTRAL BURLINGAME CA</t>
  </si>
  <si>
    <t>TEASPOON- BURLINGAME BURLINGAME CA</t>
  </si>
  <si>
    <t>PEET'S #01802 BURLINGAME CA02559R</t>
  </si>
  <si>
    <t>PEET'S #01802 BURLINGAME CA02563R</t>
  </si>
  <si>
    <t>SQ *FIERO CAFFE SAN MATEO CA0001152921511436857844</t>
  </si>
  <si>
    <t>SQ *FIERO CAFFE SAN MATEO CA0001152921511437662356</t>
  </si>
  <si>
    <t>SQ *BLUE BOTTLE COFFEE SAN MATEO CA0002305843015706658666</t>
  </si>
  <si>
    <t>CENTURY THEATRES 485 REDWOOD CITY CA04850096154E</t>
  </si>
  <si>
    <t>ATI10113-05720079 310-627-2866 CAAPPLE PAY ENDING IN 4775</t>
  </si>
  <si>
    <t>OCULUS *YAMLBDPD92 OCULUS.COM CAP4943057269139443</t>
  </si>
  <si>
    <t>APPLE.COM/BILL 866-712-7753 CAAPPLE PAY ENDING IN 4775MMW9B3SSZMA0</t>
  </si>
  <si>
    <t>meal_lime</t>
  </si>
  <si>
    <t>UNITED AIRLINES 18004214655 TX</t>
  </si>
  <si>
    <t>CIRCLE K # 03447 PHOENIX AZ00375R</t>
  </si>
  <si>
    <t>AMZN MKTP US*1Q1802SF0 AMZN.COM/BILLWAITEM TRANSFERRED FROM PREV ACCOUNT</t>
  </si>
  <si>
    <t>TARGET 00032615091 PHOENIX AZ</t>
  </si>
  <si>
    <t>AMZN MKTP US*134QM7QQ1 AMZN.COM/BILLWAITEM TRANSFERRED FROM PREV ACCOUNT</t>
  </si>
  <si>
    <t>LINKEDIN-698*8895866 LNKD.IN/BILL CA1863218766-6988895866</t>
  </si>
  <si>
    <t>WALGREENS #12257 BURLINGAME CA</t>
  </si>
  <si>
    <t>AMZN MKTP US*1Q4BA6I50 AMZN.COM/BILLWAITEM TRANSFERRED FROM PREV ACCOUNT</t>
  </si>
  <si>
    <t>COLLEGE TRANSCRIPT 703-742-4200 VA</t>
  </si>
  <si>
    <t>OCULUS *8H3HJBKD92 OCULUS.COM CAP4743439395767898</t>
  </si>
  <si>
    <t>OCULUS *DPZG7BTD92 OCULUS.COM CAP4704985442946629</t>
  </si>
  <si>
    <t>OCULUS *EE2H7BTD92 OCULUS.COM CAP4704987899613050</t>
  </si>
  <si>
    <t>OCULUS *F7H6KBKD92 OCULUS.COM CAP4745779898867181</t>
  </si>
  <si>
    <t>AMAZON.COM*1Q9E85YR0 AMZN.COM/BILLWAITEM TRANSFERRED FROM PREV ACCOUNT</t>
  </si>
  <si>
    <t>LYFT *1 RIDE 05-04 855-865-9553 CAITEM TRANSFERRED FROM PREV ACCOUNT</t>
  </si>
  <si>
    <t>UBER PASS 866-576-1039 CA</t>
  </si>
  <si>
    <t>UBER CORNERSHOP 866-576-1039 CA</t>
  </si>
  <si>
    <t>AMAZON.COM*1L5GU1AB1 AMZN.COM/BILLWAITEM TRANSFERRED FROM PREV ACCOUNT</t>
  </si>
  <si>
    <t>CIRCLE K 01667 PHOENIX AZ00874R</t>
  </si>
  <si>
    <t>FIRST WATCH - 041 PHOENIX AZ</t>
  </si>
  <si>
    <t>PHOENIX SUNS 602-514-5444 AZMIC3DF7800-5JSUJ</t>
  </si>
  <si>
    <t>SLICE*VIADELLASLICESHO 8889749928 NYAPPLE PAY ENDING IN 4775</t>
  </si>
  <si>
    <t>TST* PEDAL HAUS PHX PHOENIX AZ00003115006991738555AA</t>
  </si>
  <si>
    <t>STEAM PURCHASE 425-952-2985 WA</t>
  </si>
  <si>
    <t>video_games</t>
  </si>
  <si>
    <t>AMZN MKTP US*1L9WG0X11 AMZN.COM/BILLWAITEM TRANSFERRED FROM PREV ACCOUNT</t>
  </si>
  <si>
    <t>06/2022</t>
  </si>
  <si>
    <t>SPOTIFY P1BC6CEF8D 8777781161 NYITEM TRANSFERRED FROM PREV ACCOUNT</t>
  </si>
  <si>
    <t>APPLE.COM/BILL 866-712-7753 CAAPPLE PAY ENDING IN 4775MMW9JHZN12A0</t>
  </si>
  <si>
    <t>BOB &amp; EDITH'S DINER ARLINGTON VA</t>
  </si>
  <si>
    <t>GIANT 0774 ARLINGTON VA01266R</t>
  </si>
  <si>
    <t>OCULUS *DJER8CTD92 OCULUS.COM CAP4821246444653861</t>
  </si>
  <si>
    <t>OCULUS *H6P4WD3E92 OCULUS.COM CAP5007725799339259</t>
  </si>
  <si>
    <t>TST* TWO GUYS GRILL &amp; BALTIMORE MD00020841007416396344AA</t>
  </si>
  <si>
    <t>AMZN MKTP US*2825U43J3 AMZN.COM/BILLWAITEM TRANSFERRED FROM PREV ACCOUNT</t>
  </si>
  <si>
    <t>AMZN MKTP US*BO0JH2WA3 AMZN.COM/BILLWAITEM TRANSFERRED FROM PREV ACCOUNT</t>
  </si>
  <si>
    <t>OCULUS *5CDH6CBD92 OCULUS.COM CAP4813378045440697</t>
  </si>
  <si>
    <t>OCULUS *68RVQDPD92 OCULUS.COM CAP4989491951162641</t>
  </si>
  <si>
    <t>OCULUS *G8SVQDPD92 OCULUS.COM CAP4989495397828963</t>
  </si>
  <si>
    <t>OCULUS *Y69PWD3E92 OCULUS.COM CAP5009753369136502</t>
  </si>
  <si>
    <t>OCULUS *NN9PWD3E92 OCULUS.COM CAP5009755042469668</t>
  </si>
  <si>
    <t>CCBILL.COM 888-5969279 AZ</t>
  </si>
  <si>
    <t>DUNKIN DONUTSBALTIMORE BALTIMORE MD</t>
  </si>
  <si>
    <t>FABER NEWS #1211 BALTIMORE MD</t>
  </si>
  <si>
    <t>airport</t>
  </si>
  <si>
    <t>HILTON RESTAURANT SHRT RICHMOND VA</t>
  </si>
  <si>
    <t>HBOOKSELLER ST625 BALTIMORE MD</t>
  </si>
  <si>
    <t>bookstore</t>
  </si>
  <si>
    <t>WALGREENS #11856 SEATTLE WA</t>
  </si>
  <si>
    <t>HIMALAYAN JAVA COFFEE LYNNWOOD WA</t>
  </si>
  <si>
    <t>CVS/PHARMACY #11076 SEATTLE WA</t>
  </si>
  <si>
    <t>ALASKA WIFI BY GOGO 877-350-0038 IL373866613SSAS</t>
  </si>
  <si>
    <t>ALASKA WIFI BY GOGO 877-350-0038 IL373866605SSAS</t>
  </si>
  <si>
    <t>SQ *SIMPLY SEATTLE SEATTLE WA0002305843015849359620</t>
  </si>
  <si>
    <t>SAVEWAY MARKET SEATTLE WA</t>
  </si>
  <si>
    <t>ORCA SEATTLE WA</t>
  </si>
  <si>
    <t>bus_fare</t>
  </si>
  <si>
    <t>HYATT HOUSE SPACE NEEDLE SEATTLE WA</t>
  </si>
  <si>
    <t>UBER TRIP 866-576-1039 CAAPPLE PAY ENDING IN 4775</t>
  </si>
  <si>
    <t>TST* PREMIER MEAT PIES SEATTLE WA00029314007510745100AA</t>
  </si>
  <si>
    <t>TM *FLEET FOXES 800-653-8000 CAAPPLE PAY ENDING IN 4775SEA/31-18312</t>
  </si>
  <si>
    <t>THE BOOKSTORE SEATTLE WA02223R</t>
  </si>
  <si>
    <t>SPACE NEEDLE GIFT SHOP SEATTLE WA02267R</t>
  </si>
  <si>
    <t>PAYPAL *DATACAMPINC 402-935-7733 CA</t>
  </si>
  <si>
    <t>CHIHULY G&amp;G TICKETS SEATTLE WATICKET-ORDER-</t>
  </si>
  <si>
    <t>TST* TOM DOUGLAS - THE SEATTLE WA00000344007535312151AA</t>
  </si>
  <si>
    <t>SQ *MINTER GOODS SEATTLE WA0001152921511547542984</t>
  </si>
  <si>
    <t>wallet</t>
  </si>
  <si>
    <t>MOORE THEATER 6502396947 WA</t>
  </si>
  <si>
    <t>PP*TONY 402-935-2244 CA</t>
  </si>
  <si>
    <t>PLANNED PARENTHOOD ACTIO NEW YORK NY</t>
  </si>
  <si>
    <t>political_cause</t>
  </si>
  <si>
    <t>SQ *GLOW TEA SEATTLE WA0001152921511560224750</t>
  </si>
  <si>
    <t>STARBUCKS STORE 16798 BALTIMORE MD393FDE634DB7663671</t>
  </si>
  <si>
    <t>7-ELEVEN 39655 BALTIMORE MD</t>
  </si>
  <si>
    <t>APPLE.COM/BILL 866-712-7753 CAAPPLE PAY ENDING IN 4775MMW9NHTJYHA0</t>
  </si>
  <si>
    <t>SAFEWAY #1547 BURLINGAME CA</t>
  </si>
  <si>
    <t>SQ *TPUMPS BURLINGAME BURLINGAME CA0001152921511466194853</t>
  </si>
  <si>
    <t>TST* BLUE LINE PIZZA - 650-375-1700 CAAPPLE PAY ENDING IN 477500020155007293490897AA</t>
  </si>
  <si>
    <t>AXS.COM*FESTIVAL GV R 888-929-7849 CA3166625</t>
  </si>
  <si>
    <t>STORE*TEA PLUS NOODLES 6506819470 CA</t>
  </si>
  <si>
    <t>COPENHAGEN BAKERY &amp; CAFE BURLINGAME CA</t>
  </si>
  <si>
    <t>07/2022</t>
  </si>
  <si>
    <t>SPOTIFY P1C5133410 8777781161 NYITEM TRANSFERRED FROM PREV ACCOUNT</t>
  </si>
  <si>
    <t>SPROUTS FARMERS MARKET SCOTTSDALE AZ</t>
  </si>
  <si>
    <t>0113 PLANET FITNESS PHOENIX AZ</t>
  </si>
  <si>
    <t>QT 410 SURPRISE AZ0041001MUT3898H</t>
  </si>
  <si>
    <t>TST* POSTINO - KIERLAN SCOTTSDALE AZ00051712007732140803AA</t>
  </si>
  <si>
    <t>AMZN MKTP US*C410V0IJ3 AMZN.COM/BILLWA58J4D8LYVDM</t>
  </si>
  <si>
    <t>ATL WINGS AZ330 PHOENIX AZ</t>
  </si>
  <si>
    <t>UNLV WEB TIX/FOUNDATION 702-774-9800 NV</t>
  </si>
  <si>
    <t>OSCARS TACO SHOP SCOTTSDALE AZ</t>
  </si>
  <si>
    <t>ARCO #42370 AMPM LAS VEGAS NV</t>
  </si>
  <si>
    <t>EXXONMOBIL WIKIEUP AZ</t>
  </si>
  <si>
    <t>GOOGLE *PLAY G.CO/HELPPAY#CAP0KBBJXS</t>
  </si>
  <si>
    <t>GOOGLE *PLAY G.CO/HELPPAY#CAP0KBD5U1</t>
  </si>
  <si>
    <t>QT 468 YOUNGTOWN AZ0046801HXZ25Q9H</t>
  </si>
  <si>
    <t>APPLE.COM/BILL 866-712-7753 CAAPPLE PAY ENDING IN 4775MMW9WSH40FA0</t>
  </si>
  <si>
    <t>06654 - SHOWCASE MALL G LAS VEGAS NV</t>
  </si>
  <si>
    <t>FOOT LOCKER - 08804 LAS VEGAS NV</t>
  </si>
  <si>
    <t>H&amp;M0143 LAS VEGAS NV</t>
  </si>
  <si>
    <t>HUDSON-DUNKIN ST1599 LAS VEGAS NV</t>
  </si>
  <si>
    <t>PARKINGCOM 8444727577 IL</t>
  </si>
  <si>
    <t>ROSS STORES #1341 LAS VEGAS NV</t>
  </si>
  <si>
    <t>QUINTEVENTS 7049262700 NC</t>
  </si>
  <si>
    <t>UNLV TMC MERCHANDISE LAS VEGAS NV</t>
  </si>
  <si>
    <t>SHELL12675958008 WHITE HILLS AZ</t>
  </si>
  <si>
    <t>HOOVER DAM 7024942517 NV</t>
  </si>
  <si>
    <t>hoover_dam</t>
  </si>
  <si>
    <t>NAYAX VENDING 14 HUNT VALLEY MD</t>
  </si>
  <si>
    <t>vending</t>
  </si>
  <si>
    <t>HOOVER DAM CAFE BOULDER CITY NV</t>
  </si>
  <si>
    <t>PIZZA FORTE LAS VEGAS NV</t>
  </si>
  <si>
    <t>WARBY PARKER 8884927297 NYITEM TRANSFERRED FROM PREV ACCOUNT</t>
  </si>
  <si>
    <t>5GUYS 0567 QSR PHOENIX AZ</t>
  </si>
  <si>
    <t>TARGET 00009506091 PHOENIX AZAPPLE PAY ENDING IN 4775</t>
  </si>
  <si>
    <t>THE HOME DEPOT #0477 PHOENIX AZ</t>
  </si>
  <si>
    <t>Home Improvement</t>
  </si>
  <si>
    <t>home_supplies</t>
  </si>
  <si>
    <t>TST* SUPERSTITION MEADER PHOENIX AZ</t>
  </si>
  <si>
    <t>FOOD CITY #140 PHOENIX AZ</t>
  </si>
  <si>
    <t>SQ *BOSA DONUTS PHOENIX AZ0001152921511664935285</t>
  </si>
  <si>
    <t>FAMOUS FOOTWEAR #3150 PHOENIX AZ</t>
  </si>
  <si>
    <t>ARIZONA DIAMONDBACKS PHOENIX AZ02099R</t>
  </si>
  <si>
    <t>THE VAN BUREN PHOENIX AZ</t>
  </si>
  <si>
    <t>AMC 0190 DESERT RIDGE PHOENIX AZ</t>
  </si>
  <si>
    <t>AMZN MKTP US*SL3O72I03 AMZN.COM/BILLWA4ULJ8ELKYZT</t>
  </si>
  <si>
    <t>SPIN MOBILITY SPIN.APP CAAPPLE PAY ENDING IN 4775</t>
  </si>
  <si>
    <t>SQ *POKITRITION - SUSH PHOENIX AZ0002305843015997224135</t>
  </si>
  <si>
    <t>THE VAN BUREN 602-253-0370 AZARZB507F35-32881</t>
  </si>
  <si>
    <t>LEBANESE TAVERNA EXPRESS CHICAGO IL</t>
  </si>
  <si>
    <t>AMERICANAIR0010268379855 DALLAS TX</t>
  </si>
  <si>
    <t>DCA FORBES SPACE #23 ARLINGTON VA00359R</t>
  </si>
  <si>
    <t>DCA WASHINGTONIAN SHOP ARLINGTON VA00314R</t>
  </si>
  <si>
    <t>WHOLEFDS CMA #10476 PHOENIX AZ</t>
  </si>
  <si>
    <t>AMAZON.COM*E55349263 AMZN.COM/BILLWA3QF0NLW9MGA</t>
  </si>
  <si>
    <t>AMZN MKTP US*1D8YY1K91 AMZN.COM/BILLWASJBSB0433W4</t>
  </si>
  <si>
    <t>RAZOR RIDE* OFJTXBLGKP 8335278645 CAAPPLE PAY ENDING IN 4775</t>
  </si>
  <si>
    <t>RAZOR RIDE* UGBXHAJAUK 8335278645 CAAPPLE PAY ENDING IN 4775</t>
  </si>
  <si>
    <t>SAFEWAY.COM #2651 877-505-4040 AZ45965020</t>
  </si>
  <si>
    <t>TACO BELL #32737 PHOENIX AZ</t>
  </si>
  <si>
    <t>TM *CORINNE BAILEY RAE 800-653-8000 CAARZ/29-16353</t>
  </si>
  <si>
    <t>FUBOTV INC NEW YORK NY</t>
  </si>
  <si>
    <t>fubo_tv</t>
  </si>
  <si>
    <t>A-Z TENNIS LLC SCOTTSDALE AZ</t>
  </si>
  <si>
    <t>TST* THE HUB BAR &amp; GRILL PHOENIX AZ</t>
  </si>
  <si>
    <t>CASH APP*JUSTINA LE 415-375-3176 CAITEM TRANSFERRED FROM PREV ACCOUNT</t>
  </si>
  <si>
    <t>don</t>
  </si>
  <si>
    <t>SWEETS 4 TREATS AZ MILLS TEMPE AZ</t>
  </si>
  <si>
    <t>Short Desc</t>
  </si>
  <si>
    <t>Reoccurring Flag</t>
  </si>
  <si>
    <t>Total</t>
  </si>
  <si>
    <t>Transaction Date</t>
  </si>
  <si>
    <t>F907200JU000CB202 CREDIT BALANCE I         KETTERING    OH</t>
  </si>
  <si>
    <t>8534812JRLK8M1WZF BANNER SURGERY CENTER CAMPHOENIX      AZ</t>
  </si>
  <si>
    <t>8534812GD01KKWEH4 PAYMENT - THANK YOU</t>
  </si>
  <si>
    <t>8534812G501JT48VE PAYMENT - THANK YOU</t>
  </si>
  <si>
    <t>Card Security 1-800-815-4051</t>
  </si>
  <si>
    <t>8534812FH01H6BNDY PAYMENT - THANK YOU</t>
  </si>
  <si>
    <t>8534812F6LK8M1WZE BANNER SURGERY CENTER CAMPHOENIX      AZ</t>
  </si>
  <si>
    <t>8534812E301QZ55AX PAYMENT - THANK YOU</t>
  </si>
  <si>
    <t>8534812DT01Q3QH69 PAYMENT - THANK YOU</t>
  </si>
  <si>
    <t>8534812QX019L6GDK PAYMENT - THANK YOU</t>
  </si>
  <si>
    <t>8534812QVLH06N92F WESTERN DENTAL OF ARIZONAPHOENIX      AZ</t>
  </si>
  <si>
    <t>Dental</t>
  </si>
  <si>
    <t>Surgery</t>
  </si>
  <si>
    <t>Payment</t>
  </si>
  <si>
    <t>Refund</t>
  </si>
  <si>
    <t>Security</t>
  </si>
  <si>
    <t>ONLINE PAYMENT           DEERFIELD    IL</t>
  </si>
  <si>
    <t>sale</t>
  </si>
  <si>
    <t>COACHING ACTUARIES       WWW.COACHINGAIA</t>
  </si>
  <si>
    <t>SEASCAPE GOLF CLUB       APTOS        CA</t>
  </si>
  <si>
    <t>TST* Laili Restaurant    Santa Cruz   CA</t>
  </si>
  <si>
    <t>MELOMELO KAVA BAR - SANT SANTA CRUZ   CA</t>
  </si>
  <si>
    <t>SQ *HMB COFFEE CO        Half Moon BayCA</t>
  </si>
  <si>
    <t>golf</t>
  </si>
  <si>
    <t>resteraunt</t>
  </si>
  <si>
    <t>refund</t>
  </si>
  <si>
    <t>Trans Date</t>
  </si>
  <si>
    <t>APS electric pmt PAYMENT 220719 5175354092 Autopay</t>
  </si>
  <si>
    <t>PURCHASE AUTHORIZED ON 07/20 CIRCLE K # 03461 2840 PHOENIX AZ P000000286605087 CARD 6659</t>
  </si>
  <si>
    <t>PLANET FIT CLUB FEES 2219604520647 623-439-5550</t>
  </si>
  <si>
    <t>DISCOVER E-PAYMENT 220714 4618 LEWIS SEAN</t>
  </si>
  <si>
    <t>Nationwide PAYROLL 01 HRP0008481840 Sean Lewis</t>
  </si>
  <si>
    <t>PURCHASE AUTHORIZED ON 07/13 TVM ROOSEVELT / CENTRA PHOENIX AZ P000000382476516 CARD 6659</t>
  </si>
  <si>
    <t>TRANSFER TO LEWIS SHARON ON 07/02 REF #PP0QJVRTMH XXXXXXXXX5267</t>
  </si>
  <si>
    <t>VENMO PAYMENT 220630 1020962587938 SEAN LEWIS</t>
  </si>
  <si>
    <t>DISCOVER E-PAYMENT 220630 4618 LEWIS SEAN</t>
  </si>
  <si>
    <t>Nationwide PAYROLL 01 HRP0008432957 Sean Lewis</t>
  </si>
  <si>
    <t>VENMO PAYMENT 220623 1020831539453 SEAN LEWIS</t>
  </si>
  <si>
    <t>APS electric pmt PAYMENT 220617 5175354092 Autopay</t>
  </si>
  <si>
    <t>Cash eWithdrawal in Branch/Store 06/21/2022 10:33 AM 2800 3RD AVE SEATTLE WA 6659</t>
  </si>
  <si>
    <t>PURCHASE AUTHORIZED ON 06/18 CASH APP*ENGAGETM 8774174551 CA S582169671615289 CARD 6634</t>
  </si>
  <si>
    <t>TRANSFER FROM LEWIS SHARON ON 06/17 REF # PP0QHXR59Y</t>
  </si>
  <si>
    <t>DISCOVER E-PAYMENT 220616 4618 LEWIS SEAN</t>
  </si>
  <si>
    <t>VENMO PAYMENT 220616 1020720046155 SEAN LEWIS</t>
  </si>
  <si>
    <t>Nationwide PAYROLL 01 HRP0008410541 Sean Lewis</t>
  </si>
  <si>
    <t>PURCHASE AUTHORIZED ON 06/14 CASH APP*POODIE 8774174551 CA S382165830962853 CARD 6634</t>
  </si>
  <si>
    <t>PURCHASE AUTHORIZED ON 06/14 CASH APP*DON LEWIS 8774174551 CA S582165498489582 CARD 6634</t>
  </si>
  <si>
    <t>PURCHASE AUTHORIZED ON 06/12 CASH APP*ENGAGETM 8774174551 CA S382163744567563 CARD 6634</t>
  </si>
  <si>
    <t>PURCHASE AUTHORIZED ON 06/11 CASH APP*DON 8774174551 CA S582163074746371 CARD 6634</t>
  </si>
  <si>
    <t>TRANSFER FROM LEWIS SHARON ON 06/13 REF # PP0QHQ4TR4</t>
  </si>
  <si>
    <t>TRANSFER FROM LEWIS SHARON ON 06/12 REF # PP0QHNG9SZ</t>
  </si>
  <si>
    <t>BEST BUY PAYMENT 220603 610764515124033 SEAN LEWIS</t>
  </si>
  <si>
    <t>TRANSFER TO LEWIS SHARON ON 06/06 REF #PP0QHBWMGF XXXXXXXXX5267</t>
  </si>
  <si>
    <t>PURCHASE AUTHORIZED ON 06/04 Whitepages 800-9529005 WA S302155835572091 CARD 6634</t>
  </si>
  <si>
    <t>PURCHASE WITH CASH BACK $ 5.00 AUTHORIZED ON 06/04 WALGREENS STORE 260 EL CA BURLINGAME CA P462155627233083 CARD 6634</t>
  </si>
  <si>
    <t>DISCOVER E-PAYMENT 220603 4618 LEWIS SEAN</t>
  </si>
  <si>
    <t>Nationwide PAYROLL 01 HRP0008356183 Sean Lewis</t>
  </si>
  <si>
    <t>VENMO PAYMENT 220522 1020247831834 SEAN LEWIS</t>
  </si>
  <si>
    <t>VENMO PAYMENT 220522 1020246831785 SEAN LEWIS</t>
  </si>
  <si>
    <t>VENMO REFUND 220522 1020247819317 SEAN LEWIS</t>
  </si>
  <si>
    <t>APS electric pmt PAYMENT 220518 5175354092 Autopay</t>
  </si>
  <si>
    <t>TRANSFER TO LEWIS SHARON ON 05/20 REF #PP0QG9RW9R XXXXXXXXX5267</t>
  </si>
  <si>
    <t>VENMO PAYMENT 220519 1020186945987 SEAN LEWIS</t>
  </si>
  <si>
    <t>DISCOVER E-PAYMENT 220519 4618 LEWIS SEAN</t>
  </si>
  <si>
    <t>Nationwide PAYROLL 01 HRP0008329531 Sean Lewis</t>
  </si>
  <si>
    <t>PURCHASE AUTHORIZED ON 05/15 WGC*FOGODECHAO 888-288-4641 TX S382136093175836 CARD 6634</t>
  </si>
  <si>
    <t>VENMO PAYMENT 220513 1020093875157 SEAN LEWIS</t>
  </si>
  <si>
    <t>PURCHASE AUTHORIZED ON 05/10 FANDUEL SPORTSBOOK 9717083015 NJ S582131013680702 CARD 6634</t>
  </si>
  <si>
    <t>PURCHASE AUTHORIZED ON 05/09 FANDUEL/STARDUST C JERSEY CITY NJ S462130048614183 CARD 6634</t>
  </si>
  <si>
    <t>PURCHASE AUTHORIZED ON 05/09 FANDUEL/STARDUST C JERSEY CITY NJ S462130031365088 CARD 6634</t>
  </si>
  <si>
    <t>VENMO PAYMENT 220509 1020011090331 SEAN LEWIS</t>
  </si>
  <si>
    <t>TRANSFER TO LEWIS SHARON ON 05/08 REF #PP0QFL5Y5L XXXXXXXXX5267</t>
  </si>
  <si>
    <t>PURCHASE AUTHORIZED ON 05/07 CASH APP*CYANFACE 8774174551 CA S462127606388401 CARD 6634</t>
  </si>
  <si>
    <t>PURCHASE AUTHORIZED ON 05/06 CASH APP*CYANFACE 8774174551 CA S582127150926322 CARD 6634</t>
  </si>
  <si>
    <t>PURCHASE AUTHORIZED ON 05/05 HARKINS AZ MILLS TEMPE AZ S302126116385899 CARD 6634</t>
  </si>
  <si>
    <t>VENMO CASHOUT 220507 1019978241112 SEAN LEWIS</t>
  </si>
  <si>
    <t>Synchrony Bank CC PYMT MAY 05 601918368630042 SEAN LEWIS</t>
  </si>
  <si>
    <t>DISCOVER E-PAYMENT 220505 4618 LEWIS SEAN</t>
  </si>
  <si>
    <t>PURCHASE AUTHORIZED ON 05/04 Whitepages 800-9529005 WA S302124835848510 CARD 6634</t>
  </si>
  <si>
    <t>Nationwide PAYROLL 01 HRP0008291684 Sean Lewis</t>
  </si>
  <si>
    <t>RECURRING PAYMENT AUTHORIZED ON 05/01 FBPAY * Meta Store 650-5434800 CA S462122141896482 CARD 6634</t>
  </si>
  <si>
    <t>RTP from VENMO on 05/01 Ref#20220501021000021P1BRJPM00020083532</t>
  </si>
  <si>
    <t>MONEY TRANSFER AUTHORIZED ON 05/01 FROM Sean Lewis VA S302122142423810 CARD 6634</t>
  </si>
  <si>
    <t>Synchrony Bank CC PYMT APR 27 601918368630042 SEAN LEWIS</t>
  </si>
  <si>
    <t>PURCHASE AUTHORIZED ON 04/25 CASH APP*ENGAGETM 8774174551 CA S582115519772801 CARD 6634</t>
  </si>
  <si>
    <t>PURCHASE AUTHORIZED ON 04/25 CASH APP*ENGAGETM 8774174551 CA S382115509672635 CARD 6634</t>
  </si>
  <si>
    <t>PURCHASE AUTHORIZED ON 04/25 CASH APP*ENGAGETM 8774174551 CA S582115509564771 CARD 6634</t>
  </si>
  <si>
    <t>PURCHASE AUTHORIZED ON 04/25 CASH APP*ENGAGETM 8774174551 CA S382115509436010 CARD 6634</t>
  </si>
  <si>
    <t>VENMO PAYMENT 220425 1019749370210 SEAN LEWIS</t>
  </si>
  <si>
    <t>TRANSFER TO LEWIS SHARON ON 04/24 REF #PP0QDPJBL5 XXXXXXXXX5267</t>
  </si>
  <si>
    <t>VENMO PAYMENT 220421 1019665215805 SEAN LEWIS</t>
  </si>
  <si>
    <t>Nationwide PAYROLL 01 HRP0008262709 Sean Lewis</t>
  </si>
  <si>
    <t>APS electric pmt PAYMENT 220418 5175354092 Autopay</t>
  </si>
  <si>
    <t>VENMO PAYMENT 220415 1019571055773 SEAN LEWIS</t>
  </si>
  <si>
    <t>TICKETMASTER RES 0414-TH002 200051625122116 SEAN LEWIS</t>
  </si>
  <si>
    <t>Synchrony Bank CC PYMT APR 07 601918368630042 SEAN LEWIS</t>
  </si>
  <si>
    <t>TRANSFER TO LEWIS SHARON ON 04/08 REF #PP0QCT2JQH XXXXXXXXX5267</t>
  </si>
  <si>
    <t>ZELLE TO ZAZUETA CARMEN ON 04/08 REF #PP0QCS8FDR</t>
  </si>
  <si>
    <t>DISCOVER E-PAYMENT 220407 4618 LEWIS SEAN</t>
  </si>
  <si>
    <t>Nationwide PAYROLL 01 HRP0008210841 Sean Lewis</t>
  </si>
  <si>
    <t>PURCHASE AUTHORIZED ON 04/05 CASH APP*CYANFACE 8774174551 CA S382096070149787 CARD 6634</t>
  </si>
  <si>
    <t>PURCHASE AUTHORIZED ON 04/04 Whitepages 800-9529005 WA S382095014545576 CARD 6634</t>
  </si>
  <si>
    <t>PURCHASE AUTHORIZED ON 04/04 Whitepages 800-9529005 WA S382095010925055 CARD 6634</t>
  </si>
  <si>
    <t>TRANSFER TO LEWIS SHARON ON 04/03 REF #PP0QCJCLVN XXXXXXXXX5267</t>
  </si>
  <si>
    <t>PURCHASE AUTHORIZED ON 04/02 SAFEWAY #2651 PHOENIX AZ P462092686408975 CARD 6634</t>
  </si>
  <si>
    <t>PURCHASE AUTHORIZED ON 04/01 CASH APP*CYANFACE 8774174551 CA S302091792116789 CARD 6634</t>
  </si>
  <si>
    <t>PURCHASE AUTHORIZED ON 03/31 CASH APP*CYANFACE 8774174551 CA S582090834603593 CARD 6634</t>
  </si>
  <si>
    <t>PURCHASE AUTHORIZED ON 03/30 CASH APP*CYANFACE 8774174551 CA S462090143040686 CARD 6634</t>
  </si>
  <si>
    <t>VENMO PAYMENT 220329 1019258605951 SEAN LEWIS</t>
  </si>
  <si>
    <t>VENMO CASHOUT 220329 1019257034036 SEAN LEWIS</t>
  </si>
  <si>
    <t>VENMO CASHOUT 220329 1019258957091 SEAN LEWIS</t>
  </si>
  <si>
    <t>PURCHASE AUTHORIZED ON 03/26 CASH APP*ENGAGETM 8774174551 CA S382085824280328 CARD 6634</t>
  </si>
  <si>
    <t>PURCHASE AUTHORIZED ON 03/25 CASH APP*CYANFACE 8774174551 CA S302084480194424 CARD 6634</t>
  </si>
  <si>
    <t>VENMO PAYMENT 220325 1019189845192 SEAN LEWIS</t>
  </si>
  <si>
    <t>VENMO PAYMENT 220324 1019164077845 SEAN LEWIS</t>
  </si>
  <si>
    <t>DISCOVER E-PAYMENT 220324 4618 LEWIS SEAN</t>
  </si>
  <si>
    <t>Nationwide PAYROLL 01 HRP0008178715 Sean Lewis</t>
  </si>
  <si>
    <t>DISCOVER E-PAYMENT 220322 4618 LEWIS SEAN</t>
  </si>
  <si>
    <t>APS electric pmt PAYMENT 220318 5175354092 Autopay</t>
  </si>
  <si>
    <t>PURCHASE AUTHORIZED ON 03/22 SHELL SERVICE STATION PHOENIX AZ P302081522144554 CARD 6634</t>
  </si>
  <si>
    <t>VENMO CASHOUT 220322 1019125273986 SEAN LEWIS</t>
  </si>
  <si>
    <t>VENMO CASHOUT 220321 1019111739464 SEAN LEWIS</t>
  </si>
  <si>
    <t>ZELLE FROM ERNEST NOCHE ON 03/20 REF # BACU6FMEIILK</t>
  </si>
  <si>
    <t>PURCHASE AUTHORIZED ON 03/17 CASH APP*SHEVON LE 8774174551 CA S302076796250975 CARD 6634</t>
  </si>
  <si>
    <t>VENMO PAYMENT 220310 1018915574100 SEAN LEWIS</t>
  </si>
  <si>
    <t>DISCOVER E-PAYMENT 220310 4618 LEWIS SEAN</t>
  </si>
  <si>
    <t>Nationwide PAYROLL 01 HRP0008137116 Sean Lewis</t>
  </si>
  <si>
    <t>VENMO PAYMENT 220301 1018758856961 SEAN LEWIS</t>
  </si>
  <si>
    <t>VENMO PAYMENT 220226 1018692237447 SEAN LEWIS</t>
  </si>
  <si>
    <t>VENMO PAYMENT 220226 1018692186925 SEAN LEWIS</t>
  </si>
  <si>
    <t>NON-WELLS FARGO ATM TRANSACTION FEE</t>
  </si>
  <si>
    <t>NON-WF ATM WITHDRAWAL AUTHORIZED ON 02/25 727 W CAMELBACK RD PHOENIX AZ 382057136740734 ATM ID P304339 CARD 6634</t>
  </si>
  <si>
    <t>TRANSFER FROM LEWIS SHARON ON 02/26 REF # PP0Q9F5QXB THANK YOU</t>
  </si>
  <si>
    <t>VENMO PAYMENT 220225 1018674378710 SEAN LEWIS</t>
  </si>
  <si>
    <t>VA DEPT TAXATION VASTTAXRFD 220217 XXXXX0268 LEWIS, SEAN E</t>
  </si>
  <si>
    <t>Nationwide PAYROLL 01 HRP0008091792 Sean Lewis</t>
  </si>
  <si>
    <t>TD AMERITRADE ACH OUT a9KLOZ6PQR LEWIS SEAN</t>
  </si>
  <si>
    <t>VENMO PAYMENT 220222 1018622300513 SEAN LEWIS</t>
  </si>
  <si>
    <t>APS electric pmt PAYMENT 220217 5175354092 Autopay</t>
  </si>
  <si>
    <t>Synchrony Bank CC PYMT FEB 19 601918368630042 SEAN LEWIS</t>
  </si>
  <si>
    <t>DISCOVER E-PAYMENT 220220 4618 LEWIS SEAN</t>
  </si>
  <si>
    <t>TPG PRODUCTS SBTPG LLC 220218 ETRVW3GLLOEOPDY SEAN LEWIS</t>
  </si>
  <si>
    <t>AZ DEPT OF REV Tax Refund 220218 XXXXX0268 LEWIS SEAN</t>
  </si>
  <si>
    <t>VENMO PAYMENT 220218 1018555740013 SEAN LEWIS</t>
  </si>
  <si>
    <t>ATM WITHDRAWAL AUTHORIZED ON 02/13 4402 E Thomas Rd Phoenix AZ 0008953 ATM ID 5743H CARD 6634</t>
  </si>
  <si>
    <t>VENMO PAYMENT 220211 1018433632129 SEAN LEWIS</t>
  </si>
  <si>
    <t>Synchrony Bank CC PYMT FEB 10 601918368630042 SEAN LEWIS</t>
  </si>
  <si>
    <t>DISCOVER E-PAYMENT 220210 4618 LEWIS SEAN</t>
  </si>
  <si>
    <t>VENMO PAYMENT 220210 1018415472279 SEAN LEWIS</t>
  </si>
  <si>
    <t>VENMO CASHOUT 220210 1018420729744 SEAN LEWIS</t>
  </si>
  <si>
    <t>VENMO CASHOUT 220210 1018412598097 SEAN LEWIS</t>
  </si>
  <si>
    <t>Nationwide PAYROLL 01 HRP0008036323 Sean Lewis</t>
  </si>
  <si>
    <t>ZELLE FROM LEWIS JUSTINA ON 02/05 REF # PP0Q8BDL92</t>
  </si>
  <si>
    <t>VENMO PAYMENT 220129 1018202156945 SEAN LEWIS</t>
  </si>
  <si>
    <t>TRANSFER TO LEWIS SHARON ON 01/31 REF #PP0Q7YX7VJ XXXXXXXXX5267</t>
  </si>
  <si>
    <t>TRANSFER TO LEWIS DON ON 01/31 REF #PP0Q7YVDF7 XXXXXX7932</t>
  </si>
  <si>
    <t>VENMO PAYMENT 220127 1018168964129 SEAN LEWIS</t>
  </si>
  <si>
    <t>VENMO CASHOUT 220127 1018164349212 SEAN LEWIS</t>
  </si>
  <si>
    <t>Nationwide PAYROLL 01 HRP0008024211 Sean Lewis</t>
  </si>
  <si>
    <t>VENMO PAYMENT 220122 1018085063025 SEAN LEWIS</t>
  </si>
  <si>
    <t>VENMO PAYMENT 220117 1018001608819 SEAN LEWIS</t>
  </si>
  <si>
    <t>VENMO PAYMENT 220117 1018001751483 SEAN LEWIS</t>
  </si>
  <si>
    <t>PURCHASE AUTHORIZED ON 01/16 CASH APP*VALLEY 8774174551 CA S382017149175934 CARD 6634</t>
  </si>
  <si>
    <t>PURCHASE AUTHORIZED ON 01/16 CASH APP*DARIUS CA 8774174551 CA S382017148849842 CARD 6634</t>
  </si>
  <si>
    <t>NON-WF ATM WITHDRAWAL AUTHORIZED ON 01/16 4645 DE SOTO ST SAN DIEGO CA 582017109140029 ATM ID L631055 CARD 6634</t>
  </si>
  <si>
    <t>PURCHASE AUTHORIZED ON 01/16 CHEVRON 0094991 SAN DIEGO CA S382017053945491 CARD 6634</t>
  </si>
  <si>
    <t>PURCHASE AUTHORIZED ON 01/16 SD ZOO CINNAMON TR SAN DIEGO CA S382017034170694 CARD 6634</t>
  </si>
  <si>
    <t>PURCHASE AUTHORIZED ON 01/16 SD ZOO CANYON CAFE SAN DIEGO CA S582016817636715 CARD 6634</t>
  </si>
  <si>
    <t>NON-WF ATM WITHDRAWAL AUTHORIZED ON 01/16 3710 VOLTAIRE ST. STE 1 SAN DIEGO CA 582016595373620 ATM ID P459681 CARD 6634</t>
  </si>
  <si>
    <t>PURCHASE AUTHORIZED ON 01/15 BALLAST POINT LITT SAN DIEGO CA S302015831911176 CARD 6634</t>
  </si>
  <si>
    <t>Synchrony Bank CC PYMT JAN 13 601918368630042 SEAN LEWIS</t>
  </si>
  <si>
    <t>NON-WF ATM WITHDRAWAL AUTHORIZED ON 01/14 666 W E ST SAN DIEGO CA 382015019310845 ATM ID CA0961 CARD 6634</t>
  </si>
  <si>
    <t>DISCOVER E-PAYMENT 220113 4618 LEWIS SEAN</t>
  </si>
  <si>
    <t>Nationwide PAYROLL 01 HRP0007983168 Sean Lewis</t>
  </si>
  <si>
    <t>PURCHASE AUTHORIZED ON 01/10 CASH APP*CYANFACE 8774174551 CA S462010765413680 CARD 6634</t>
  </si>
  <si>
    <t>VENMO CASHOUT 220110 1017875354612 SEAN LEWIS</t>
  </si>
  <si>
    <t>VENMO CASHOUT 220110 1017874602288 SEAN LEWIS</t>
  </si>
  <si>
    <t>VENMO CASHOUT 220107 1017829933941 SEAN LEWIS</t>
  </si>
  <si>
    <t>LIFETIME FITNESS DIRECT DEP 220107 558079861456SHS LEWIS,SEAN</t>
  </si>
  <si>
    <t>DISCOVER E-PAYMENT 220102 4618 LEWIS SEAN</t>
  </si>
  <si>
    <t>BEST BUY PAYMENT 220102 610633785460241 SEAN LEWIS</t>
  </si>
  <si>
    <t>PAYPAL INST XFER 220101 LOUISCK SEAN LEWIS</t>
  </si>
  <si>
    <t>TRANSFER TO LEWIS SHARON ON 01/03 REF #PP0D9295LZ XXXXXXXXX5267</t>
  </si>
  <si>
    <t>RTP from VENMO on 01/03 Ref#20220103021000021P1BRJPM00530020747</t>
  </si>
  <si>
    <t>ATM CASH DEPOSIT ON 01/02 3002 N Central Ave Phoenix AZ 0003743 ATM ID 5449B CARD 6634</t>
  </si>
  <si>
    <t>Debit_Amount</t>
  </si>
  <si>
    <t>nationwide</t>
  </si>
  <si>
    <t>discover</t>
  </si>
  <si>
    <t>mom</t>
  </si>
  <si>
    <t>rent</t>
  </si>
  <si>
    <t>income</t>
  </si>
  <si>
    <t>Shevon</t>
  </si>
  <si>
    <t>Don</t>
  </si>
  <si>
    <t>Dorry</t>
  </si>
  <si>
    <t>Venmo</t>
  </si>
  <si>
    <t>best_buy</t>
  </si>
  <si>
    <t>credit</t>
  </si>
  <si>
    <t>Melanie</t>
  </si>
  <si>
    <t>Gambling</t>
  </si>
  <si>
    <t>Jayelin</t>
  </si>
  <si>
    <t>care_credit</t>
  </si>
  <si>
    <t>occulus</t>
  </si>
  <si>
    <t>Carmen</t>
  </si>
  <si>
    <t>jayelin</t>
  </si>
  <si>
    <t>Michael</t>
  </si>
  <si>
    <t>Vincent</t>
  </si>
  <si>
    <t>Nick</t>
  </si>
  <si>
    <t>Amanda</t>
  </si>
  <si>
    <t>Rajat</t>
  </si>
  <si>
    <t>Maricela</t>
  </si>
  <si>
    <t>Jon</t>
  </si>
  <si>
    <t>Kim</t>
  </si>
  <si>
    <t>Kabir</t>
  </si>
  <si>
    <t>Logan</t>
  </si>
  <si>
    <t>atm</t>
  </si>
  <si>
    <t>light_rail</t>
  </si>
  <si>
    <t>taxes</t>
  </si>
  <si>
    <t>td_ameritrade</t>
  </si>
  <si>
    <t>Debit Accounts</t>
  </si>
  <si>
    <t>Aldi</t>
  </si>
  <si>
    <t>Uber</t>
  </si>
  <si>
    <t>Hilton Shulas Resturant</t>
  </si>
  <si>
    <t>Amtrak Northeast Cafe</t>
  </si>
  <si>
    <t>Macdonalds</t>
  </si>
  <si>
    <t>Hilton</t>
  </si>
  <si>
    <t>Republic</t>
  </si>
  <si>
    <t>Trip Advisor (underground tour)</t>
  </si>
  <si>
    <t>Hurry Curry of Tokyo</t>
  </si>
  <si>
    <t>La Parisienne French Bakery</t>
  </si>
  <si>
    <t>UW food Services</t>
  </si>
  <si>
    <t>What the Pho Xpress</t>
  </si>
  <si>
    <t>Macy's (Luggage)</t>
  </si>
  <si>
    <t>Umi Sake House</t>
  </si>
  <si>
    <t>Pho Viet Anh</t>
  </si>
  <si>
    <t>Hyatt House Space Needle</t>
  </si>
  <si>
    <t>Traveluro - Hampton Inn</t>
  </si>
  <si>
    <t>Pitamore</t>
  </si>
  <si>
    <t>Ramen Utsuke</t>
  </si>
  <si>
    <t>CVS Pharmacy</t>
  </si>
  <si>
    <t>Uber Eats</t>
  </si>
  <si>
    <t>Hotel Tonight - Kimton Hotel Monaco Baltimore</t>
  </si>
  <si>
    <t>Corner Baker Inner Harbor</t>
  </si>
  <si>
    <t>Dalesios Restaurant of Little Italy</t>
  </si>
  <si>
    <t>Uber Eats - kumari restaurant</t>
  </si>
  <si>
    <t>Chipotle</t>
  </si>
  <si>
    <t>Kimpton Hotel (Mini Bar)</t>
  </si>
  <si>
    <t>Shared Amount</t>
  </si>
  <si>
    <t>Split Amount</t>
  </si>
  <si>
    <t>Individual Amount</t>
  </si>
  <si>
    <t>hotel</t>
  </si>
  <si>
    <t>ticket_sale</t>
  </si>
  <si>
    <t>luggage</t>
  </si>
  <si>
    <t>tour</t>
  </si>
  <si>
    <t>07/17/2022</t>
  </si>
  <si>
    <t>VHLV- LODGING 021770LAS VEGAS           NV</t>
  </si>
  <si>
    <t>Travel-Lodging</t>
  </si>
  <si>
    <t>07/16/2022</t>
  </si>
  <si>
    <t>HOTELTONIGHT*VIRGIN SAN FRANCISCO       CA</t>
  </si>
  <si>
    <t>Travel-Travel Agencies</t>
  </si>
  <si>
    <t>TI CIRQUE TICKET OFFLAS VEGAS           NV</t>
  </si>
  <si>
    <t>Entertainment-Other Entertainment</t>
  </si>
  <si>
    <t>06/20/2022</t>
  </si>
  <si>
    <t>UBER</t>
  </si>
  <si>
    <t>Transportation-Taxis &amp; Coach</t>
  </si>
  <si>
    <t>06/19/2022</t>
  </si>
  <si>
    <t>AMTRAK-NORTHEAST CAFWASHINGTON          DC</t>
  </si>
  <si>
    <t>Restaurant-Bar &amp; Café</t>
  </si>
  <si>
    <t>06/18/2022</t>
  </si>
  <si>
    <t>TOP GOLF RICHMOND 66RICHMOND            VA</t>
  </si>
  <si>
    <t>06/17/2022</t>
  </si>
  <si>
    <t>HILTON RESTAURANT  SRICHMOND            VA</t>
  </si>
  <si>
    <t>Restaurant-Restaurant</t>
  </si>
  <si>
    <t>06/15/2022</t>
  </si>
  <si>
    <t>06/13/2022</t>
  </si>
  <si>
    <t>ALDI 71022 000000000ESSEX               MD</t>
  </si>
  <si>
    <t>Merchandise &amp; Supplies-Groceries</t>
  </si>
  <si>
    <t>06/11/2022</t>
  </si>
  <si>
    <t>AMERICAN AIRLINES 05SAN FRANCISCO       CA</t>
  </si>
  <si>
    <t>Travel-Airline</t>
  </si>
  <si>
    <t>HUDSON NEWS ST852 CNDES PLAINES         IL</t>
  </si>
  <si>
    <t>Merchandise &amp; Supplies-Book Stores</t>
  </si>
  <si>
    <t>SKYLINE NEWS AND GIFSAN FRANCISCO       CA</t>
  </si>
  <si>
    <t>Merchandise &amp; Supplies-General Retail</t>
  </si>
  <si>
    <t>STARBIRD 00B6       SAN FRANCISCO       CA</t>
  </si>
  <si>
    <t>06/06/2022</t>
  </si>
  <si>
    <t>WILLIAMS SONOMA</t>
  </si>
  <si>
    <t>Merchandise &amp; Supplies-Internet Purchase</t>
  </si>
  <si>
    <t>05/28/2022</t>
  </si>
  <si>
    <t>MOLLIE STONES #6 000BURLINGAME          CA</t>
  </si>
  <si>
    <t>05/16/2022</t>
  </si>
  <si>
    <t>TSA Global Entry Fee Credit</t>
  </si>
  <si>
    <t>Other-Miscellaneous</t>
  </si>
  <si>
    <t>05/12/2022</t>
  </si>
  <si>
    <t>IDEMIA TSA PRECHECK PHOENIX             AZ</t>
  </si>
  <si>
    <t>04/17/2022</t>
  </si>
  <si>
    <t>AMERICAN AIRLINES   800-433-7300        TX</t>
  </si>
  <si>
    <t>04/14/2022</t>
  </si>
  <si>
    <t>HARKINS ESTRELLA FALGOODYEAR            AZ</t>
  </si>
  <si>
    <t>Entertainment-Theatrical Events</t>
  </si>
  <si>
    <t>03/27/2022</t>
  </si>
  <si>
    <t>AMC ARIZONA CTR 24  PHOENIX             AZ</t>
  </si>
  <si>
    <t>03/14/2022</t>
  </si>
  <si>
    <t>AMERICAN AIRLINES 45800-433-7300        TX</t>
  </si>
  <si>
    <t>03/12/2022</t>
  </si>
  <si>
    <t>INDIAN WELLS TENNIS INDIAN WELLS        CA</t>
  </si>
  <si>
    <t>Entertainment-General Events</t>
  </si>
  <si>
    <t>PROOF BREAD         MESA                AZ</t>
  </si>
  <si>
    <t>03/11/2022</t>
  </si>
  <si>
    <t>DESERT CHAMPIONS LLCIndian Wells        CA</t>
  </si>
  <si>
    <t>FLOR DE JALISCO 0000PALM DESERT         CA</t>
  </si>
  <si>
    <t>LEVY@2INDIAN WELLS 1INDIAN WELLS        CA</t>
  </si>
  <si>
    <t>Business Services-Other Services</t>
  </si>
  <si>
    <t>03/10/2022</t>
  </si>
  <si>
    <t>EL TOVAR DINING/BAR GRAND CANYON        AZ</t>
  </si>
  <si>
    <t>03/09/2022</t>
  </si>
  <si>
    <t>HK ARCADIA 00E9     PHOENIX             AZ</t>
  </si>
  <si>
    <t>03/06/2022</t>
  </si>
  <si>
    <t>ROCKY RD ICE CREAM CSedona              AZ</t>
  </si>
  <si>
    <t>SOSOBA 0911         PHOENIX             AZ</t>
  </si>
  <si>
    <t>UNITED AIRLINES     HOUSTON             TX</t>
  </si>
  <si>
    <t>WHOLE FOODS MARKET  PHOENIX             AZ</t>
  </si>
  <si>
    <t>03/05/2022</t>
  </si>
  <si>
    <t>02/20/2022</t>
  </si>
  <si>
    <t>JACK IN THE BOX 1599PHOENIX             AZ</t>
  </si>
  <si>
    <t>JIMMY JOHNS - 2500 0PHOENIX             AZ</t>
  </si>
  <si>
    <t>02/19/2022</t>
  </si>
  <si>
    <t>LIDO RESTAURANT 0217TEMPE               AZ</t>
  </si>
  <si>
    <t>02/18/2022</t>
  </si>
  <si>
    <t>BLISS REBAR 43684555PHOENIX             AZ</t>
  </si>
  <si>
    <t>NAMI                Phoenix             AZ</t>
  </si>
  <si>
    <t>02/17/2022</t>
  </si>
  <si>
    <t>02/16/2022</t>
  </si>
  <si>
    <t>FARISH HOUSE 9247516PHOENIX             AZ</t>
  </si>
  <si>
    <t>02/14/2022</t>
  </si>
  <si>
    <t>THE VAN BUREN THE VAPHOENIX             AZ</t>
  </si>
  <si>
    <t>02/12/2022</t>
  </si>
  <si>
    <t>TENNIS WAREHOUSE, RASAN LUIS OBIS       CA</t>
  </si>
  <si>
    <t>02/11/2022</t>
  </si>
  <si>
    <t>CHUBASCO TACOS      Phoenix             AZ</t>
  </si>
  <si>
    <t>CITY HARDWARE 0000  PHOENIX             AZ</t>
  </si>
  <si>
    <t>Merchandise &amp; Supplies-Hardware Supplies</t>
  </si>
  <si>
    <t>SAFEWAY #2651 2651  PHOENIX             AZ</t>
  </si>
  <si>
    <t>TACOS TIJUANA CENTRAPHOENIX             AZ</t>
  </si>
  <si>
    <t>URBAN COOKIES 0000  PHOENIX             AZ</t>
  </si>
  <si>
    <t>02/10/2022</t>
  </si>
  <si>
    <t>PHOENIX TENNIS CENTEPHOENIX             AZ</t>
  </si>
  <si>
    <t>TCKTWEB*CARIBOUWITHSSAN FRANCISCO       CA</t>
  </si>
  <si>
    <t>02/09/2022</t>
  </si>
  <si>
    <t>WALGREENS           PHOENIX             AZ</t>
  </si>
  <si>
    <t>Merchandise &amp; Supplies-Pharmacies</t>
  </si>
  <si>
    <t>02/08/2022</t>
  </si>
  <si>
    <t>TACOS HUICHO #2 0000PHOENIX             AZ</t>
  </si>
  <si>
    <t>02/06/2022</t>
  </si>
  <si>
    <t>BOSA DONUTS AHWATUKEPHOENIX             AZ</t>
  </si>
  <si>
    <t>TARGET PHOENIX SPECTPHOENIX             AZ</t>
  </si>
  <si>
    <t>Merchandise &amp; Supplies-Wholesale Stores</t>
  </si>
  <si>
    <t>TST* WOW WOW HAWAIIAPHOENIX             AZ</t>
  </si>
  <si>
    <t>UNION 76 09480716   PHOENIX             AZ</t>
  </si>
  <si>
    <t>Transportation-Fuel</t>
  </si>
  <si>
    <t>02/05/2022</t>
  </si>
  <si>
    <t>UNITED STATES PROFESORLANDO             FL</t>
  </si>
  <si>
    <t>Entertainment-Associations</t>
  </si>
  <si>
    <t>02/04/2022</t>
  </si>
  <si>
    <t>HACHI RAMEN 0000    TEMPE               AZ</t>
  </si>
  <si>
    <t>THE HOME DEPOT      TEMPE               AZ</t>
  </si>
  <si>
    <t>02/03/2022</t>
  </si>
  <si>
    <t>LIFE TIME CAFE 132Q3KATY                AZ</t>
  </si>
  <si>
    <t>Discover</t>
  </si>
  <si>
    <t>Care Credit</t>
  </si>
  <si>
    <t>Best Buy</t>
  </si>
  <si>
    <t>Amex</t>
  </si>
  <si>
    <t>Limit</t>
  </si>
  <si>
    <t>Available Credit</t>
  </si>
  <si>
    <t>Due Date</t>
  </si>
  <si>
    <t>deposit</t>
  </si>
  <si>
    <t>Monthly Payment</t>
  </si>
  <si>
    <t>Student Loan</t>
  </si>
  <si>
    <t>Vincent Debt</t>
  </si>
  <si>
    <t>All Accounts</t>
  </si>
  <si>
    <t>Est. Spending</t>
  </si>
  <si>
    <t>After Payment</t>
  </si>
  <si>
    <t>Starting Balance</t>
  </si>
  <si>
    <t>Ending Balance</t>
  </si>
  <si>
    <t>Discover Balance Watch</t>
  </si>
  <si>
    <t>Payments</t>
  </si>
  <si>
    <t>Income</t>
  </si>
  <si>
    <t>Nationwide</t>
  </si>
  <si>
    <t>surgery refund</t>
  </si>
  <si>
    <t>Vincet</t>
  </si>
  <si>
    <t>Spending</t>
  </si>
  <si>
    <t>Saving</t>
  </si>
  <si>
    <t>Today</t>
  </si>
  <si>
    <t>V. Payment</t>
  </si>
  <si>
    <t>D.Payment</t>
  </si>
  <si>
    <t>Rent</t>
  </si>
  <si>
    <t>Actual Payment</t>
  </si>
  <si>
    <t>Actual Savings</t>
  </si>
  <si>
    <t>Actual Spending</t>
  </si>
  <si>
    <t>Student Loans</t>
  </si>
  <si>
    <t>Cum. Leftover</t>
  </si>
  <si>
    <t>Acutal Leftover</t>
  </si>
  <si>
    <t>Actual WF BAL</t>
  </si>
  <si>
    <t>Actual Dis 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</si>
</sst>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4" borderId="3" xfId="0" applyFont="1" applyFill="1" applyBorder="1"/>
    <xf numFmtId="0" fontId="0" fillId="4" borderId="5" xfId="0" applyFont="1" applyFill="1" applyBorder="1"/>
    <xf numFmtId="43" fontId="0" fillId="0" borderId="0" xfId="1" applyFont="1"/>
    <xf numFmtId="44" fontId="0" fillId="0" borderId="0" xfId="2" applyFont="1"/>
    <xf numFmtId="164" fontId="0" fillId="0" borderId="0" xfId="2" applyNumberFormat="1" applyFont="1"/>
    <xf numFmtId="165" fontId="0" fillId="0" borderId="0" xfId="2" applyNumberFormat="1" applyFont="1"/>
    <xf numFmtId="165" fontId="0" fillId="0" borderId="0" xfId="0" applyNumberFormat="1"/>
    <xf numFmtId="14" fontId="0" fillId="0" borderId="0" xfId="0" applyNumberFormat="1"/>
    <xf numFmtId="8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165" fontId="4" fillId="0" borderId="0" xfId="0" applyNumberFormat="1" applyFont="1"/>
    <xf numFmtId="0" fontId="3" fillId="0" borderId="7" xfId="0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8" fontId="0" fillId="4" borderId="3" xfId="0" applyNumberFormat="1" applyFont="1" applyFill="1" applyBorder="1"/>
    <xf numFmtId="8" fontId="0" fillId="0" borderId="3" xfId="0" applyNumberFormat="1" applyFont="1" applyFill="1" applyBorder="1"/>
    <xf numFmtId="8" fontId="0" fillId="0" borderId="0" xfId="0" applyNumberFormat="1" applyFont="1" applyFill="1" applyBorder="1"/>
    <xf numFmtId="0" fontId="0" fillId="0" borderId="0" xfId="1" applyNumberFormat="1" applyFont="1"/>
    <xf numFmtId="0" fontId="4" fillId="0" borderId="0" xfId="0" applyFont="1"/>
    <xf numFmtId="165" fontId="0" fillId="5" borderId="0" xfId="0" applyNumberFormat="1" applyFill="1"/>
    <xf numFmtId="44" fontId="0" fillId="0" borderId="0" xfId="0" applyNumberFormat="1"/>
    <xf numFmtId="9" fontId="0" fillId="0" borderId="0" xfId="0" applyNumberFormat="1"/>
    <xf numFmtId="166" fontId="0" fillId="0" borderId="0" xfId="3" applyNumberFormat="1" applyFont="1"/>
    <xf numFmtId="44" fontId="0" fillId="0" borderId="0" xfId="2" applyNumberFormat="1" applyFont="1"/>
    <xf numFmtId="44" fontId="1" fillId="0" borderId="2" xfId="2" applyFont="1" applyBorder="1" applyAlignment="1">
      <alignment horizontal="center" vertical="top"/>
    </xf>
    <xf numFmtId="0" fontId="6" fillId="6" borderId="10" xfId="0" applyFont="1" applyFill="1" applyBorder="1" applyAlignment="1">
      <alignment horizontal="center" wrapText="1"/>
    </xf>
    <xf numFmtId="0" fontId="0" fillId="7" borderId="11" xfId="0" applyFill="1" applyBorder="1" applyAlignment="1">
      <alignment horizontal="left" wrapText="1"/>
    </xf>
    <xf numFmtId="0" fontId="7" fillId="2" borderId="11" xfId="0" applyFont="1" applyFill="1" applyBorder="1" applyAlignment="1">
      <alignment horizontal="left" wrapText="1"/>
    </xf>
    <xf numFmtId="0" fontId="6" fillId="6" borderId="10" xfId="0" applyFont="1" applyFill="1" applyBorder="1" applyAlignment="1">
      <alignment horizontal="center"/>
    </xf>
    <xf numFmtId="0" fontId="0" fillId="7" borderId="11" xfId="0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0" fillId="0" borderId="0" xfId="0" applyAlignment="1"/>
    <xf numFmtId="44" fontId="6" fillId="6" borderId="10" xfId="2" applyFont="1" applyFill="1" applyBorder="1" applyAlignment="1">
      <alignment horizontal="center"/>
    </xf>
    <xf numFmtId="44" fontId="0" fillId="7" borderId="11" xfId="2" applyFont="1" applyFill="1" applyBorder="1" applyAlignment="1">
      <alignment horizontal="right"/>
    </xf>
    <xf numFmtId="44" fontId="7" fillId="2" borderId="11" xfId="2" applyFont="1" applyFill="1" applyBorder="1" applyAlignment="1">
      <alignment horizontal="right"/>
    </xf>
    <xf numFmtId="44" fontId="0" fillId="0" borderId="0" xfId="2" applyFont="1" applyAlignment="1"/>
    <xf numFmtId="0" fontId="7" fillId="5" borderId="11" xfId="0" applyFont="1" applyFill="1" applyBorder="1" applyAlignment="1">
      <alignment horizontal="left" wrapText="1"/>
    </xf>
    <xf numFmtId="0" fontId="0" fillId="5" borderId="11" xfId="0" applyFill="1" applyBorder="1" applyAlignment="1">
      <alignment horizontal="left" wrapText="1"/>
    </xf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44" fontId="0" fillId="8" borderId="0" xfId="2" applyFont="1" applyFill="1"/>
    <xf numFmtId="164" fontId="0" fillId="0" borderId="0" xfId="0" applyNumberFormat="1"/>
    <xf numFmtId="44" fontId="0" fillId="0" borderId="12" xfId="2" applyFont="1" applyBorder="1"/>
    <xf numFmtId="44" fontId="0" fillId="0" borderId="13" xfId="2" applyFont="1" applyBorder="1"/>
    <xf numFmtId="44" fontId="0" fillId="0" borderId="14" xfId="2" applyFont="1" applyBorder="1"/>
    <xf numFmtId="44" fontId="0" fillId="0" borderId="15" xfId="2" applyFont="1" applyBorder="1"/>
    <xf numFmtId="44" fontId="0" fillId="0" borderId="0" xfId="2" applyFont="1" applyBorder="1"/>
    <xf numFmtId="44" fontId="0" fillId="0" borderId="16" xfId="2" applyFont="1" applyBorder="1"/>
    <xf numFmtId="44" fontId="0" fillId="0" borderId="17" xfId="2" applyFont="1" applyBorder="1"/>
    <xf numFmtId="44" fontId="0" fillId="0" borderId="18" xfId="2" applyFont="1" applyBorder="1"/>
    <xf numFmtId="44" fontId="0" fillId="0" borderId="19" xfId="2" applyFont="1" applyBorder="1"/>
    <xf numFmtId="44" fontId="4" fillId="0" borderId="0" xfId="0" applyNumberFormat="1" applyFont="1"/>
    <xf numFmtId="8" fontId="0" fillId="0" borderId="0" xfId="2" applyNumberFormat="1" applyFont="1"/>
    <xf numFmtId="8" fontId="0" fillId="4" borderId="4" xfId="2" applyNumberFormat="1" applyFont="1" applyFill="1" applyBorder="1"/>
    <xf numFmtId="8" fontId="0" fillId="4" borderId="6" xfId="2" applyNumberFormat="1" applyFont="1" applyFill="1" applyBorder="1"/>
    <xf numFmtId="44" fontId="1" fillId="3" borderId="1" xfId="2" applyFont="1" applyFill="1" applyBorder="1" applyAlignment="1">
      <alignment horizontal="center" vertical="top"/>
    </xf>
    <xf numFmtId="8" fontId="0" fillId="4" borderId="5" xfId="0" applyNumberFormat="1" applyFont="1" applyFill="1" applyBorder="1"/>
    <xf numFmtId="0" fontId="0" fillId="0" borderId="0" xfId="0" applyAlignment="1">
      <alignment horizontal="right"/>
    </xf>
    <xf numFmtId="44" fontId="0" fillId="9" borderId="0" xfId="2" applyFont="1" applyFill="1"/>
    <xf numFmtId="0" fontId="0" fillId="10" borderId="0" xfId="0" applyFill="1"/>
    <xf numFmtId="44" fontId="0" fillId="5" borderId="0" xfId="2" applyFont="1" applyFill="1"/>
    <xf numFmtId="0" fontId="0" fillId="11" borderId="0" xfId="0" applyFill="1"/>
    <xf numFmtId="44" fontId="0" fillId="11" borderId="0" xfId="0" applyNumberFormat="1" applyFill="1"/>
    <xf numFmtId="44" fontId="0" fillId="10" borderId="0" xfId="2" applyFont="1" applyFill="1"/>
    <xf numFmtId="44" fontId="0" fillId="11" borderId="0" xfId="2" applyFont="1" applyFill="1"/>
    <xf numFmtId="44" fontId="0" fillId="10" borderId="0" xfId="0" applyNumberForma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.0_);_(&quot;$&quot;* \(#,##0.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2" formatCode="&quot;$&quot;#,##0.00_);[Red]\(&quot;$&quot;#,##0.00\)"/>
    </dxf>
    <dxf>
      <numFmt numFmtId="19" formatCode="m/d/yyyy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m/d/yyyy"/>
    </dxf>
    <dxf>
      <numFmt numFmtId="12" formatCode="&quot;$&quot;#,##0.00_);[Red]\(&quot;$&quot;#,##0.00\)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'Discover Data'!$M$19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Data'!$N$19:$T$19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'Discover Data'!$N$18:$T$18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1E-4B68-AE6B-F7FA7B6E341C}"/>
            </c:ext>
          </c:extLst>
        </c:ser>
        <c:ser>
          <c:idx val="1"/>
          <c:order val="1"/>
          <c:tx>
            <c:strRef>
              <c:f>'Discover Data'!$M$20</c:f>
              <c:strCache>
                <c:ptCount val="1"/>
                <c:pt idx="0">
                  <c:v>Payments and Credits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'Discover Data'!$N$20:$T$20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'Discover Data'!$N$18:$T$18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01E-4B68-AE6B-F7FA7B6E3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232127"/>
        <c:axId val="1019232959"/>
      </c:lineChart>
      <c:catAx>
        <c:axId val="101923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959"/>
        <c:crosses val="autoZero"/>
        <c:auto val="1"/>
        <c:lblAlgn val="ctr"/>
        <c:lblOffset val="100"/>
        <c:noMultiLvlLbl val="0"/>
      </c:catAx>
      <c:valAx>
        <c:axId val="101923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3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Discover balance movement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'Discover Account'!$B$1</c:f>
              <c:strCache>
                <c:ptCount val="1"/>
                <c:pt idx="0">
                  <c:v>Payment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'Discover Account'!$A$2:$A$589</c:f>
              <c:strCache>
                <c:ptCount val="588"/>
                <c:pt idx="0">
                  <c:v>01/2022</c:v>
                </c:pt>
                <c:pt idx="1">
                  <c:v>01/2022</c:v>
                </c:pt>
                <c:pt idx="2">
                  <c:v>01/2022</c:v>
                </c:pt>
                <c:pt idx="3">
                  <c:v>01/2022</c:v>
                </c:pt>
                <c:pt idx="4">
                  <c:v>01/2022</c:v>
                </c:pt>
                <c:pt idx="5">
                  <c:v>01/2022</c:v>
                </c:pt>
                <c:pt idx="6">
                  <c:v>01/2022</c:v>
                </c:pt>
                <c:pt idx="7">
                  <c:v>01/2022</c:v>
                </c:pt>
                <c:pt idx="8">
                  <c:v>01/2022</c:v>
                </c:pt>
                <c:pt idx="9">
                  <c:v>01/2022</c:v>
                </c:pt>
                <c:pt idx="10">
                  <c:v>01/2022</c:v>
                </c:pt>
                <c:pt idx="11">
                  <c:v>01/2022</c:v>
                </c:pt>
                <c:pt idx="12">
                  <c:v>01/2022</c:v>
                </c:pt>
                <c:pt idx="13">
                  <c:v>01/2022</c:v>
                </c:pt>
                <c:pt idx="14">
                  <c:v>01/2022</c:v>
                </c:pt>
                <c:pt idx="15">
                  <c:v>01/2022</c:v>
                </c:pt>
                <c:pt idx="16">
                  <c:v>01/2022</c:v>
                </c:pt>
                <c:pt idx="17">
                  <c:v>01/2022</c:v>
                </c:pt>
                <c:pt idx="18">
                  <c:v>01/2022</c:v>
                </c:pt>
                <c:pt idx="19">
                  <c:v>01/2022</c:v>
                </c:pt>
                <c:pt idx="20">
                  <c:v>01/2022</c:v>
                </c:pt>
                <c:pt idx="21">
                  <c:v>01/2022</c:v>
                </c:pt>
                <c:pt idx="22">
                  <c:v>01/2022</c:v>
                </c:pt>
                <c:pt idx="23">
                  <c:v>01/2022</c:v>
                </c:pt>
                <c:pt idx="24">
                  <c:v>01/2022</c:v>
                </c:pt>
                <c:pt idx="25">
                  <c:v>01/2022</c:v>
                </c:pt>
                <c:pt idx="26">
                  <c:v>01/2022</c:v>
                </c:pt>
                <c:pt idx="27">
                  <c:v>01/2022</c:v>
                </c:pt>
                <c:pt idx="28">
                  <c:v>01/2022</c:v>
                </c:pt>
                <c:pt idx="29">
                  <c:v>01/2022</c:v>
                </c:pt>
                <c:pt idx="30">
                  <c:v>01/2022</c:v>
                </c:pt>
                <c:pt idx="31">
                  <c:v>01/2022</c:v>
                </c:pt>
                <c:pt idx="32">
                  <c:v>01/2022</c:v>
                </c:pt>
                <c:pt idx="33">
                  <c:v>01/2022</c:v>
                </c:pt>
                <c:pt idx="34">
                  <c:v>01/2022</c:v>
                </c:pt>
                <c:pt idx="35">
                  <c:v>01/2022</c:v>
                </c:pt>
                <c:pt idx="36">
                  <c:v>01/2022</c:v>
                </c:pt>
                <c:pt idx="37">
                  <c:v>01/2022</c:v>
                </c:pt>
                <c:pt idx="38">
                  <c:v>01/2022</c:v>
                </c:pt>
                <c:pt idx="39">
                  <c:v>01/2022</c:v>
                </c:pt>
                <c:pt idx="40">
                  <c:v>01/2022</c:v>
                </c:pt>
                <c:pt idx="41">
                  <c:v>01/2022</c:v>
                </c:pt>
                <c:pt idx="42">
                  <c:v>01/2022</c:v>
                </c:pt>
                <c:pt idx="43">
                  <c:v>01/2022</c:v>
                </c:pt>
                <c:pt idx="44">
                  <c:v>01/2022</c:v>
                </c:pt>
                <c:pt idx="45">
                  <c:v>01/2022</c:v>
                </c:pt>
                <c:pt idx="46">
                  <c:v>01/2022</c:v>
                </c:pt>
                <c:pt idx="47">
                  <c:v>01/2022</c:v>
                </c:pt>
                <c:pt idx="48">
                  <c:v>01/2022</c:v>
                </c:pt>
                <c:pt idx="49">
                  <c:v>01/2022</c:v>
                </c:pt>
                <c:pt idx="50">
                  <c:v>01/2022</c:v>
                </c:pt>
                <c:pt idx="51">
                  <c:v>01/2022</c:v>
                </c:pt>
                <c:pt idx="52">
                  <c:v>01/2022</c:v>
                </c:pt>
                <c:pt idx="53">
                  <c:v>01/2022</c:v>
                </c:pt>
                <c:pt idx="54">
                  <c:v>01/2022</c:v>
                </c:pt>
                <c:pt idx="55">
                  <c:v>01/2022</c:v>
                </c:pt>
                <c:pt idx="56">
                  <c:v>01/2022</c:v>
                </c:pt>
                <c:pt idx="57">
                  <c:v>01/2022</c:v>
                </c:pt>
                <c:pt idx="58">
                  <c:v>01/2022</c:v>
                </c:pt>
                <c:pt idx="59">
                  <c:v>01/2022</c:v>
                </c:pt>
                <c:pt idx="60">
                  <c:v>01/2022</c:v>
                </c:pt>
                <c:pt idx="61">
                  <c:v>01/2022</c:v>
                </c:pt>
                <c:pt idx="62">
                  <c:v>01/2022</c:v>
                </c:pt>
                <c:pt idx="63">
                  <c:v>01/2022</c:v>
                </c:pt>
                <c:pt idx="64">
                  <c:v>01/2022</c:v>
                </c:pt>
                <c:pt idx="65">
                  <c:v>01/2022</c:v>
                </c:pt>
                <c:pt idx="66">
                  <c:v>01/2022</c:v>
                </c:pt>
                <c:pt idx="67">
                  <c:v>02/2022</c:v>
                </c:pt>
                <c:pt idx="68">
                  <c:v>01/2022</c:v>
                </c:pt>
                <c:pt idx="69">
                  <c:v>02/2022</c:v>
                </c:pt>
                <c:pt idx="70">
                  <c:v>02/2022</c:v>
                </c:pt>
                <c:pt idx="71">
                  <c:v>02/2022</c:v>
                </c:pt>
                <c:pt idx="72">
                  <c:v>02/2022</c:v>
                </c:pt>
                <c:pt idx="73">
                  <c:v>02/2022</c:v>
                </c:pt>
                <c:pt idx="74">
                  <c:v>02/2022</c:v>
                </c:pt>
                <c:pt idx="75">
                  <c:v>02/2022</c:v>
                </c:pt>
                <c:pt idx="76">
                  <c:v>02/2022</c:v>
                </c:pt>
                <c:pt idx="77">
                  <c:v>02/2022</c:v>
                </c:pt>
                <c:pt idx="78">
                  <c:v>02/2022</c:v>
                </c:pt>
                <c:pt idx="79">
                  <c:v>02/2022</c:v>
                </c:pt>
                <c:pt idx="80">
                  <c:v>02/2022</c:v>
                </c:pt>
                <c:pt idx="81">
                  <c:v>02/2022</c:v>
                </c:pt>
                <c:pt idx="82">
                  <c:v>02/2022</c:v>
                </c:pt>
                <c:pt idx="83">
                  <c:v>02/2022</c:v>
                </c:pt>
                <c:pt idx="84">
                  <c:v>02/2022</c:v>
                </c:pt>
                <c:pt idx="85">
                  <c:v>02/2022</c:v>
                </c:pt>
                <c:pt idx="86">
                  <c:v>02/2022</c:v>
                </c:pt>
                <c:pt idx="87">
                  <c:v>02/2022</c:v>
                </c:pt>
                <c:pt idx="88">
                  <c:v>02/2022</c:v>
                </c:pt>
                <c:pt idx="89">
                  <c:v>02/2022</c:v>
                </c:pt>
                <c:pt idx="90">
                  <c:v>02/2022</c:v>
                </c:pt>
                <c:pt idx="91">
                  <c:v>02/2022</c:v>
                </c:pt>
                <c:pt idx="92">
                  <c:v>02/2022</c:v>
                </c:pt>
                <c:pt idx="93">
                  <c:v>02/2022</c:v>
                </c:pt>
                <c:pt idx="94">
                  <c:v>02/2022</c:v>
                </c:pt>
                <c:pt idx="95">
                  <c:v>02/2022</c:v>
                </c:pt>
                <c:pt idx="96">
                  <c:v>02/2022</c:v>
                </c:pt>
                <c:pt idx="97">
                  <c:v>02/2022</c:v>
                </c:pt>
                <c:pt idx="98">
                  <c:v>02/2022</c:v>
                </c:pt>
                <c:pt idx="99">
                  <c:v>02/2022</c:v>
                </c:pt>
                <c:pt idx="100">
                  <c:v>02/2022</c:v>
                </c:pt>
                <c:pt idx="101">
                  <c:v>02/2022</c:v>
                </c:pt>
                <c:pt idx="102">
                  <c:v>02/2022</c:v>
                </c:pt>
                <c:pt idx="103">
                  <c:v>02/2022</c:v>
                </c:pt>
                <c:pt idx="104">
                  <c:v>02/2022</c:v>
                </c:pt>
                <c:pt idx="105">
                  <c:v>02/2022</c:v>
                </c:pt>
                <c:pt idx="106">
                  <c:v>02/2022</c:v>
                </c:pt>
                <c:pt idx="107">
                  <c:v>02/2022</c:v>
                </c:pt>
                <c:pt idx="108">
                  <c:v>02/2022</c:v>
                </c:pt>
                <c:pt idx="109">
                  <c:v>02/2022</c:v>
                </c:pt>
                <c:pt idx="110">
                  <c:v>02/2022</c:v>
                </c:pt>
                <c:pt idx="111">
                  <c:v>03/2022</c:v>
                </c:pt>
                <c:pt idx="112">
                  <c:v>03/2022</c:v>
                </c:pt>
                <c:pt idx="113">
                  <c:v>03/2022</c:v>
                </c:pt>
                <c:pt idx="114">
                  <c:v>03/2022</c:v>
                </c:pt>
                <c:pt idx="115">
                  <c:v>03/2022</c:v>
                </c:pt>
                <c:pt idx="116">
                  <c:v>03/2022</c:v>
                </c:pt>
                <c:pt idx="117">
                  <c:v>03/2022</c:v>
                </c:pt>
                <c:pt idx="118">
                  <c:v>03/2022</c:v>
                </c:pt>
                <c:pt idx="119">
                  <c:v>03/2022</c:v>
                </c:pt>
                <c:pt idx="120">
                  <c:v>03/2022</c:v>
                </c:pt>
                <c:pt idx="121">
                  <c:v>03/2022</c:v>
                </c:pt>
                <c:pt idx="122">
                  <c:v>03/2022</c:v>
                </c:pt>
                <c:pt idx="123">
                  <c:v>03/2022</c:v>
                </c:pt>
                <c:pt idx="124">
                  <c:v>03/2022</c:v>
                </c:pt>
                <c:pt idx="125">
                  <c:v>03/2022</c:v>
                </c:pt>
                <c:pt idx="126">
                  <c:v>03/2022</c:v>
                </c:pt>
                <c:pt idx="127">
                  <c:v>03/2022</c:v>
                </c:pt>
                <c:pt idx="128">
                  <c:v>03/2022</c:v>
                </c:pt>
                <c:pt idx="129">
                  <c:v>03/2022</c:v>
                </c:pt>
                <c:pt idx="130">
                  <c:v>03/2022</c:v>
                </c:pt>
                <c:pt idx="131">
                  <c:v>03/2022</c:v>
                </c:pt>
                <c:pt idx="132">
                  <c:v>03/2022</c:v>
                </c:pt>
                <c:pt idx="133">
                  <c:v>03/2022</c:v>
                </c:pt>
                <c:pt idx="134">
                  <c:v>03/2022</c:v>
                </c:pt>
                <c:pt idx="135">
                  <c:v>03/2022</c:v>
                </c:pt>
                <c:pt idx="136">
                  <c:v>03/2022</c:v>
                </c:pt>
                <c:pt idx="137">
                  <c:v>03/2022</c:v>
                </c:pt>
                <c:pt idx="138">
                  <c:v>03/2022</c:v>
                </c:pt>
                <c:pt idx="139">
                  <c:v>03/2022</c:v>
                </c:pt>
                <c:pt idx="140">
                  <c:v>03/2022</c:v>
                </c:pt>
                <c:pt idx="141">
                  <c:v>03/2022</c:v>
                </c:pt>
                <c:pt idx="142">
                  <c:v>03/2022</c:v>
                </c:pt>
                <c:pt idx="143">
                  <c:v>03/2022</c:v>
                </c:pt>
                <c:pt idx="144">
                  <c:v>03/2022</c:v>
                </c:pt>
                <c:pt idx="145">
                  <c:v>03/2022</c:v>
                </c:pt>
                <c:pt idx="146">
                  <c:v>03/2022</c:v>
                </c:pt>
                <c:pt idx="147">
                  <c:v>03/2022</c:v>
                </c:pt>
                <c:pt idx="148">
                  <c:v>03/2022</c:v>
                </c:pt>
                <c:pt idx="149">
                  <c:v>03/2022</c:v>
                </c:pt>
                <c:pt idx="150">
                  <c:v>03/2022</c:v>
                </c:pt>
                <c:pt idx="151">
                  <c:v>03/2022</c:v>
                </c:pt>
                <c:pt idx="152">
                  <c:v>03/2022</c:v>
                </c:pt>
                <c:pt idx="153">
                  <c:v>03/2022</c:v>
                </c:pt>
                <c:pt idx="154">
                  <c:v>03/2022</c:v>
                </c:pt>
                <c:pt idx="155">
                  <c:v>03/2022</c:v>
                </c:pt>
                <c:pt idx="156">
                  <c:v>03/2022</c:v>
                </c:pt>
                <c:pt idx="157">
                  <c:v>03/2022</c:v>
                </c:pt>
                <c:pt idx="158">
                  <c:v>03/2022</c:v>
                </c:pt>
                <c:pt idx="159">
                  <c:v>03/2022</c:v>
                </c:pt>
                <c:pt idx="160">
                  <c:v>03/2022</c:v>
                </c:pt>
                <c:pt idx="161">
                  <c:v>03/2022</c:v>
                </c:pt>
                <c:pt idx="162">
                  <c:v>03/2022</c:v>
                </c:pt>
                <c:pt idx="163">
                  <c:v>03/2022</c:v>
                </c:pt>
                <c:pt idx="164">
                  <c:v>03/2022</c:v>
                </c:pt>
                <c:pt idx="165">
                  <c:v>03/2022</c:v>
                </c:pt>
                <c:pt idx="166">
                  <c:v>03/2022</c:v>
                </c:pt>
                <c:pt idx="167">
                  <c:v>03/2022</c:v>
                </c:pt>
                <c:pt idx="168">
                  <c:v>03/2022</c:v>
                </c:pt>
                <c:pt idx="169">
                  <c:v>03/2022</c:v>
                </c:pt>
                <c:pt idx="170">
                  <c:v>03/2022</c:v>
                </c:pt>
                <c:pt idx="171">
                  <c:v>03/2022</c:v>
                </c:pt>
                <c:pt idx="172">
                  <c:v>03/2022</c:v>
                </c:pt>
                <c:pt idx="173">
                  <c:v>03/2022</c:v>
                </c:pt>
                <c:pt idx="174">
                  <c:v>03/2022</c:v>
                </c:pt>
                <c:pt idx="175">
                  <c:v>03/2022</c:v>
                </c:pt>
                <c:pt idx="176">
                  <c:v>03/2022</c:v>
                </c:pt>
                <c:pt idx="177">
                  <c:v>03/2022</c:v>
                </c:pt>
                <c:pt idx="178">
                  <c:v>03/2022</c:v>
                </c:pt>
                <c:pt idx="179">
                  <c:v>03/2022</c:v>
                </c:pt>
                <c:pt idx="180">
                  <c:v>03/2022</c:v>
                </c:pt>
                <c:pt idx="181">
                  <c:v>03/2022</c:v>
                </c:pt>
                <c:pt idx="182">
                  <c:v>03/2022</c:v>
                </c:pt>
                <c:pt idx="183">
                  <c:v>03/2022</c:v>
                </c:pt>
                <c:pt idx="184">
                  <c:v>03/2022</c:v>
                </c:pt>
                <c:pt idx="185">
                  <c:v>03/2022</c:v>
                </c:pt>
                <c:pt idx="186">
                  <c:v>03/2022</c:v>
                </c:pt>
                <c:pt idx="187">
                  <c:v>03/2022</c:v>
                </c:pt>
                <c:pt idx="188">
                  <c:v>03/2022</c:v>
                </c:pt>
                <c:pt idx="189">
                  <c:v>03/2022</c:v>
                </c:pt>
                <c:pt idx="190">
                  <c:v>03/2022</c:v>
                </c:pt>
                <c:pt idx="191">
                  <c:v>03/2022</c:v>
                </c:pt>
                <c:pt idx="192">
                  <c:v>03/2022</c:v>
                </c:pt>
                <c:pt idx="193">
                  <c:v>03/2022</c:v>
                </c:pt>
                <c:pt idx="194">
                  <c:v>03/2022</c:v>
                </c:pt>
                <c:pt idx="195">
                  <c:v>03/2022</c:v>
                </c:pt>
                <c:pt idx="196">
                  <c:v>03/2022</c:v>
                </c:pt>
                <c:pt idx="197">
                  <c:v>03/2022</c:v>
                </c:pt>
                <c:pt idx="198">
                  <c:v>03/2022</c:v>
                </c:pt>
                <c:pt idx="199">
                  <c:v>03/2022</c:v>
                </c:pt>
                <c:pt idx="200">
                  <c:v>03/2022</c:v>
                </c:pt>
                <c:pt idx="201">
                  <c:v>03/2022</c:v>
                </c:pt>
                <c:pt idx="202">
                  <c:v>04/2022</c:v>
                </c:pt>
                <c:pt idx="203">
                  <c:v>04/2022</c:v>
                </c:pt>
                <c:pt idx="204">
                  <c:v>04/2022</c:v>
                </c:pt>
                <c:pt idx="205">
                  <c:v>04/2022</c:v>
                </c:pt>
                <c:pt idx="206">
                  <c:v>04/2022</c:v>
                </c:pt>
                <c:pt idx="207">
                  <c:v>04/2022</c:v>
                </c:pt>
                <c:pt idx="208">
                  <c:v>04/2022</c:v>
                </c:pt>
                <c:pt idx="209">
                  <c:v>04/2022</c:v>
                </c:pt>
                <c:pt idx="210">
                  <c:v>04/2022</c:v>
                </c:pt>
                <c:pt idx="211">
                  <c:v>04/2022</c:v>
                </c:pt>
                <c:pt idx="212">
                  <c:v>04/2022</c:v>
                </c:pt>
                <c:pt idx="213">
                  <c:v>04/2022</c:v>
                </c:pt>
                <c:pt idx="214">
                  <c:v>04/2022</c:v>
                </c:pt>
                <c:pt idx="215">
                  <c:v>04/2022</c:v>
                </c:pt>
                <c:pt idx="216">
                  <c:v>04/2022</c:v>
                </c:pt>
                <c:pt idx="217">
                  <c:v>04/2022</c:v>
                </c:pt>
                <c:pt idx="218">
                  <c:v>04/2022</c:v>
                </c:pt>
                <c:pt idx="219">
                  <c:v>04/2022</c:v>
                </c:pt>
                <c:pt idx="220">
                  <c:v>04/2022</c:v>
                </c:pt>
                <c:pt idx="221">
                  <c:v>04/2022</c:v>
                </c:pt>
                <c:pt idx="222">
                  <c:v>04/2022</c:v>
                </c:pt>
                <c:pt idx="223">
                  <c:v>04/2022</c:v>
                </c:pt>
                <c:pt idx="224">
                  <c:v>04/2022</c:v>
                </c:pt>
                <c:pt idx="225">
                  <c:v>04/2022</c:v>
                </c:pt>
                <c:pt idx="226">
                  <c:v>04/2022</c:v>
                </c:pt>
                <c:pt idx="227">
                  <c:v>04/2022</c:v>
                </c:pt>
                <c:pt idx="228">
                  <c:v>04/2022</c:v>
                </c:pt>
                <c:pt idx="229">
                  <c:v>04/2022</c:v>
                </c:pt>
                <c:pt idx="230">
                  <c:v>04/2022</c:v>
                </c:pt>
                <c:pt idx="231">
                  <c:v>04/2022</c:v>
                </c:pt>
                <c:pt idx="232">
                  <c:v>04/2022</c:v>
                </c:pt>
                <c:pt idx="233">
                  <c:v>04/2022</c:v>
                </c:pt>
                <c:pt idx="234">
                  <c:v>04/2022</c:v>
                </c:pt>
                <c:pt idx="235">
                  <c:v>04/2022</c:v>
                </c:pt>
                <c:pt idx="236">
                  <c:v>04/2022</c:v>
                </c:pt>
                <c:pt idx="237">
                  <c:v>04/2022</c:v>
                </c:pt>
                <c:pt idx="238">
                  <c:v>04/2022</c:v>
                </c:pt>
                <c:pt idx="239">
                  <c:v>04/2022</c:v>
                </c:pt>
                <c:pt idx="240">
                  <c:v>04/2022</c:v>
                </c:pt>
                <c:pt idx="241">
                  <c:v>04/2022</c:v>
                </c:pt>
                <c:pt idx="242">
                  <c:v>04/2022</c:v>
                </c:pt>
                <c:pt idx="243">
                  <c:v>04/2022</c:v>
                </c:pt>
                <c:pt idx="244">
                  <c:v>04/2022</c:v>
                </c:pt>
                <c:pt idx="245">
                  <c:v>04/2022</c:v>
                </c:pt>
                <c:pt idx="246">
                  <c:v>04/2022</c:v>
                </c:pt>
                <c:pt idx="247">
                  <c:v>04/2022</c:v>
                </c:pt>
                <c:pt idx="248">
                  <c:v>04/2022</c:v>
                </c:pt>
                <c:pt idx="249">
                  <c:v>04/2022</c:v>
                </c:pt>
                <c:pt idx="250">
                  <c:v>04/2022</c:v>
                </c:pt>
                <c:pt idx="251">
                  <c:v>04/2022</c:v>
                </c:pt>
                <c:pt idx="252">
                  <c:v>04/2022</c:v>
                </c:pt>
                <c:pt idx="253">
                  <c:v>04/2022</c:v>
                </c:pt>
                <c:pt idx="254">
                  <c:v>04/2022</c:v>
                </c:pt>
                <c:pt idx="255">
                  <c:v>04/2022</c:v>
                </c:pt>
                <c:pt idx="256">
                  <c:v>04/2022</c:v>
                </c:pt>
                <c:pt idx="257">
                  <c:v>04/2022</c:v>
                </c:pt>
                <c:pt idx="258">
                  <c:v>04/2022</c:v>
                </c:pt>
                <c:pt idx="259">
                  <c:v>04/2022</c:v>
                </c:pt>
                <c:pt idx="260">
                  <c:v>04/2022</c:v>
                </c:pt>
                <c:pt idx="261">
                  <c:v>04/2022</c:v>
                </c:pt>
                <c:pt idx="262">
                  <c:v>04/2022</c:v>
                </c:pt>
                <c:pt idx="263">
                  <c:v>04/2022</c:v>
                </c:pt>
                <c:pt idx="264">
                  <c:v>04/2022</c:v>
                </c:pt>
                <c:pt idx="265">
                  <c:v>04/2022</c:v>
                </c:pt>
                <c:pt idx="266">
                  <c:v>04/2022</c:v>
                </c:pt>
                <c:pt idx="267">
                  <c:v>04/2022</c:v>
                </c:pt>
                <c:pt idx="268">
                  <c:v>04/2022</c:v>
                </c:pt>
                <c:pt idx="269">
                  <c:v>04/2022</c:v>
                </c:pt>
                <c:pt idx="270">
                  <c:v>04/2022</c:v>
                </c:pt>
                <c:pt idx="271">
                  <c:v>04/2022</c:v>
                </c:pt>
                <c:pt idx="272">
                  <c:v>04/2022</c:v>
                </c:pt>
                <c:pt idx="273">
                  <c:v>04/2022</c:v>
                </c:pt>
                <c:pt idx="274">
                  <c:v>04/2022</c:v>
                </c:pt>
                <c:pt idx="275">
                  <c:v>04/2022</c:v>
                </c:pt>
                <c:pt idx="276">
                  <c:v>04/2022</c:v>
                </c:pt>
                <c:pt idx="277">
                  <c:v>04/2022</c:v>
                </c:pt>
                <c:pt idx="278">
                  <c:v>04/2022</c:v>
                </c:pt>
                <c:pt idx="279">
                  <c:v>04/2022</c:v>
                </c:pt>
                <c:pt idx="280">
                  <c:v>04/2022</c:v>
                </c:pt>
                <c:pt idx="281">
                  <c:v>04/2022</c:v>
                </c:pt>
                <c:pt idx="282">
                  <c:v>04/2022</c:v>
                </c:pt>
                <c:pt idx="283">
                  <c:v>04/2022</c:v>
                </c:pt>
                <c:pt idx="284">
                  <c:v>04/2022</c:v>
                </c:pt>
                <c:pt idx="285">
                  <c:v>04/2022</c:v>
                </c:pt>
                <c:pt idx="286">
                  <c:v>04/2022</c:v>
                </c:pt>
                <c:pt idx="287">
                  <c:v>04/2022</c:v>
                </c:pt>
                <c:pt idx="288">
                  <c:v>04/2022</c:v>
                </c:pt>
                <c:pt idx="289">
                  <c:v>04/2022</c:v>
                </c:pt>
                <c:pt idx="290">
                  <c:v>04/2022</c:v>
                </c:pt>
                <c:pt idx="291">
                  <c:v>04/2022</c:v>
                </c:pt>
                <c:pt idx="292">
                  <c:v>04/2022</c:v>
                </c:pt>
                <c:pt idx="293">
                  <c:v>04/2022</c:v>
                </c:pt>
                <c:pt idx="294">
                  <c:v>05/2022</c:v>
                </c:pt>
                <c:pt idx="295">
                  <c:v>05/2022</c:v>
                </c:pt>
                <c:pt idx="296">
                  <c:v>05/2022</c:v>
                </c:pt>
                <c:pt idx="297">
                  <c:v>05/2022</c:v>
                </c:pt>
                <c:pt idx="298">
                  <c:v>05/2022</c:v>
                </c:pt>
                <c:pt idx="299">
                  <c:v>05/2022</c:v>
                </c:pt>
                <c:pt idx="300">
                  <c:v>05/2022</c:v>
                </c:pt>
                <c:pt idx="301">
                  <c:v>05/2022</c:v>
                </c:pt>
                <c:pt idx="302">
                  <c:v>05/2022</c:v>
                </c:pt>
                <c:pt idx="303">
                  <c:v>05/2022</c:v>
                </c:pt>
                <c:pt idx="304">
                  <c:v>05/2022</c:v>
                </c:pt>
                <c:pt idx="305">
                  <c:v>05/2022</c:v>
                </c:pt>
                <c:pt idx="306">
                  <c:v>05/2022</c:v>
                </c:pt>
                <c:pt idx="307">
                  <c:v>05/2022</c:v>
                </c:pt>
                <c:pt idx="308">
                  <c:v>05/2022</c:v>
                </c:pt>
                <c:pt idx="309">
                  <c:v>05/2022</c:v>
                </c:pt>
                <c:pt idx="310">
                  <c:v>05/2022</c:v>
                </c:pt>
                <c:pt idx="311">
                  <c:v>05/2022</c:v>
                </c:pt>
                <c:pt idx="312">
                  <c:v>05/2022</c:v>
                </c:pt>
                <c:pt idx="313">
                  <c:v>05/2022</c:v>
                </c:pt>
                <c:pt idx="314">
                  <c:v>05/2022</c:v>
                </c:pt>
                <c:pt idx="315">
                  <c:v>05/2022</c:v>
                </c:pt>
                <c:pt idx="316">
                  <c:v>05/2022</c:v>
                </c:pt>
                <c:pt idx="317">
                  <c:v>05/2022</c:v>
                </c:pt>
                <c:pt idx="318">
                  <c:v>05/2022</c:v>
                </c:pt>
                <c:pt idx="319">
                  <c:v>05/2022</c:v>
                </c:pt>
                <c:pt idx="320">
                  <c:v>05/2022</c:v>
                </c:pt>
                <c:pt idx="321">
                  <c:v>05/2022</c:v>
                </c:pt>
                <c:pt idx="322">
                  <c:v>05/2022</c:v>
                </c:pt>
                <c:pt idx="323">
                  <c:v>05/2022</c:v>
                </c:pt>
                <c:pt idx="324">
                  <c:v>05/2022</c:v>
                </c:pt>
                <c:pt idx="325">
                  <c:v>05/2022</c:v>
                </c:pt>
                <c:pt idx="326">
                  <c:v>05/2022</c:v>
                </c:pt>
                <c:pt idx="327">
                  <c:v>05/2022</c:v>
                </c:pt>
                <c:pt idx="328">
                  <c:v>05/2022</c:v>
                </c:pt>
                <c:pt idx="329">
                  <c:v>05/2022</c:v>
                </c:pt>
                <c:pt idx="330">
                  <c:v>05/2022</c:v>
                </c:pt>
                <c:pt idx="331">
                  <c:v>05/2022</c:v>
                </c:pt>
                <c:pt idx="332">
                  <c:v>05/2022</c:v>
                </c:pt>
                <c:pt idx="333">
                  <c:v>05/2022</c:v>
                </c:pt>
                <c:pt idx="334">
                  <c:v>05/2022</c:v>
                </c:pt>
                <c:pt idx="335">
                  <c:v>05/2022</c:v>
                </c:pt>
                <c:pt idx="336">
                  <c:v>05/2022</c:v>
                </c:pt>
                <c:pt idx="337">
                  <c:v>05/2022</c:v>
                </c:pt>
                <c:pt idx="338">
                  <c:v>05/2022</c:v>
                </c:pt>
                <c:pt idx="339">
                  <c:v>05/2022</c:v>
                </c:pt>
                <c:pt idx="340">
                  <c:v>05/2022</c:v>
                </c:pt>
                <c:pt idx="341">
                  <c:v>05/2022</c:v>
                </c:pt>
                <c:pt idx="342">
                  <c:v>05/2022</c:v>
                </c:pt>
                <c:pt idx="343">
                  <c:v>05/2022</c:v>
                </c:pt>
                <c:pt idx="344">
                  <c:v>05/2022</c:v>
                </c:pt>
                <c:pt idx="345">
                  <c:v>05/2022</c:v>
                </c:pt>
                <c:pt idx="346">
                  <c:v>05/2022</c:v>
                </c:pt>
                <c:pt idx="347">
                  <c:v>05/2022</c:v>
                </c:pt>
                <c:pt idx="348">
                  <c:v>05/2022</c:v>
                </c:pt>
                <c:pt idx="349">
                  <c:v>05/2022</c:v>
                </c:pt>
                <c:pt idx="350">
                  <c:v>05/2022</c:v>
                </c:pt>
                <c:pt idx="351">
                  <c:v>05/2022</c:v>
                </c:pt>
                <c:pt idx="352">
                  <c:v>05/2022</c:v>
                </c:pt>
                <c:pt idx="353">
                  <c:v>05/2022</c:v>
                </c:pt>
                <c:pt idx="354">
                  <c:v>05/2022</c:v>
                </c:pt>
                <c:pt idx="355">
                  <c:v>05/2022</c:v>
                </c:pt>
                <c:pt idx="356">
                  <c:v>05/2022</c:v>
                </c:pt>
                <c:pt idx="357">
                  <c:v>05/2022</c:v>
                </c:pt>
                <c:pt idx="358">
                  <c:v>05/2022</c:v>
                </c:pt>
                <c:pt idx="359">
                  <c:v>05/2022</c:v>
                </c:pt>
                <c:pt idx="360">
                  <c:v>05/2022</c:v>
                </c:pt>
                <c:pt idx="361">
                  <c:v>05/2022</c:v>
                </c:pt>
                <c:pt idx="362">
                  <c:v>05/2022</c:v>
                </c:pt>
                <c:pt idx="363">
                  <c:v>05/2022</c:v>
                </c:pt>
                <c:pt idx="364">
                  <c:v>05/2022</c:v>
                </c:pt>
                <c:pt idx="365">
                  <c:v>05/2022</c:v>
                </c:pt>
                <c:pt idx="366">
                  <c:v>05/2022</c:v>
                </c:pt>
                <c:pt idx="367">
                  <c:v>05/2022</c:v>
                </c:pt>
                <c:pt idx="368">
                  <c:v>05/2022</c:v>
                </c:pt>
                <c:pt idx="369">
                  <c:v>05/2022</c:v>
                </c:pt>
                <c:pt idx="370">
                  <c:v>05/2022</c:v>
                </c:pt>
                <c:pt idx="371">
                  <c:v>05/2022</c:v>
                </c:pt>
                <c:pt idx="372">
                  <c:v>05/2022</c:v>
                </c:pt>
                <c:pt idx="373">
                  <c:v>05/2022</c:v>
                </c:pt>
                <c:pt idx="374">
                  <c:v>05/2022</c:v>
                </c:pt>
                <c:pt idx="375">
                  <c:v>05/2022</c:v>
                </c:pt>
                <c:pt idx="376">
                  <c:v>05/2022</c:v>
                </c:pt>
                <c:pt idx="377">
                  <c:v>05/2022</c:v>
                </c:pt>
                <c:pt idx="378">
                  <c:v>05/2022</c:v>
                </c:pt>
                <c:pt idx="379">
                  <c:v>05/2022</c:v>
                </c:pt>
                <c:pt idx="380">
                  <c:v>05/2022</c:v>
                </c:pt>
                <c:pt idx="381">
                  <c:v>05/2022</c:v>
                </c:pt>
                <c:pt idx="382">
                  <c:v>05/2022</c:v>
                </c:pt>
                <c:pt idx="383">
                  <c:v>05/2022</c:v>
                </c:pt>
                <c:pt idx="384">
                  <c:v>05/2022</c:v>
                </c:pt>
                <c:pt idx="385">
                  <c:v>05/2022</c:v>
                </c:pt>
                <c:pt idx="386">
                  <c:v>05/2022</c:v>
                </c:pt>
                <c:pt idx="387">
                  <c:v>05/2022</c:v>
                </c:pt>
                <c:pt idx="388">
                  <c:v>05/2022</c:v>
                </c:pt>
                <c:pt idx="389">
                  <c:v>05/2022</c:v>
                </c:pt>
                <c:pt idx="390">
                  <c:v>05/2022</c:v>
                </c:pt>
                <c:pt idx="391">
                  <c:v>05/2022</c:v>
                </c:pt>
                <c:pt idx="392">
                  <c:v>05/2022</c:v>
                </c:pt>
                <c:pt idx="393">
                  <c:v>05/2022</c:v>
                </c:pt>
                <c:pt idx="394">
                  <c:v>05/2022</c:v>
                </c:pt>
                <c:pt idx="395">
                  <c:v>05/2022</c:v>
                </c:pt>
                <c:pt idx="396">
                  <c:v>05/2022</c:v>
                </c:pt>
                <c:pt idx="397">
                  <c:v>05/2022</c:v>
                </c:pt>
                <c:pt idx="398">
                  <c:v>05/2022</c:v>
                </c:pt>
                <c:pt idx="399">
                  <c:v>05/2022</c:v>
                </c:pt>
                <c:pt idx="400">
                  <c:v>05/2022</c:v>
                </c:pt>
                <c:pt idx="401">
                  <c:v>05/2022</c:v>
                </c:pt>
                <c:pt idx="402">
                  <c:v>05/2022</c:v>
                </c:pt>
                <c:pt idx="403">
                  <c:v>05/2022</c:v>
                </c:pt>
                <c:pt idx="404">
                  <c:v>05/2022</c:v>
                </c:pt>
                <c:pt idx="405">
                  <c:v>05/2022</c:v>
                </c:pt>
                <c:pt idx="406">
                  <c:v>05/2022</c:v>
                </c:pt>
                <c:pt idx="407">
                  <c:v>05/2022</c:v>
                </c:pt>
                <c:pt idx="408">
                  <c:v>05/2022</c:v>
                </c:pt>
                <c:pt idx="409">
                  <c:v>06/2022</c:v>
                </c:pt>
                <c:pt idx="410">
                  <c:v>06/2022</c:v>
                </c:pt>
                <c:pt idx="411">
                  <c:v>06/2022</c:v>
                </c:pt>
                <c:pt idx="412">
                  <c:v>06/2022</c:v>
                </c:pt>
                <c:pt idx="413">
                  <c:v>06/2022</c:v>
                </c:pt>
                <c:pt idx="414">
                  <c:v>06/2022</c:v>
                </c:pt>
                <c:pt idx="415">
                  <c:v>06/2022</c:v>
                </c:pt>
                <c:pt idx="416">
                  <c:v>06/2022</c:v>
                </c:pt>
                <c:pt idx="417">
                  <c:v>06/2022</c:v>
                </c:pt>
                <c:pt idx="418">
                  <c:v>06/2022</c:v>
                </c:pt>
                <c:pt idx="419">
                  <c:v>06/2022</c:v>
                </c:pt>
                <c:pt idx="420">
                  <c:v>06/2022</c:v>
                </c:pt>
                <c:pt idx="421">
                  <c:v>06/2022</c:v>
                </c:pt>
                <c:pt idx="422">
                  <c:v>06/2022</c:v>
                </c:pt>
                <c:pt idx="423">
                  <c:v>06/2022</c:v>
                </c:pt>
                <c:pt idx="424">
                  <c:v>06/2022</c:v>
                </c:pt>
                <c:pt idx="425">
                  <c:v>06/2022</c:v>
                </c:pt>
                <c:pt idx="426">
                  <c:v>06/2022</c:v>
                </c:pt>
                <c:pt idx="427">
                  <c:v>06/2022</c:v>
                </c:pt>
                <c:pt idx="428">
                  <c:v>06/2022</c:v>
                </c:pt>
                <c:pt idx="429">
                  <c:v>06/2022</c:v>
                </c:pt>
                <c:pt idx="430">
                  <c:v>06/2022</c:v>
                </c:pt>
                <c:pt idx="431">
                  <c:v>06/2022</c:v>
                </c:pt>
                <c:pt idx="432">
                  <c:v>06/2022</c:v>
                </c:pt>
                <c:pt idx="433">
                  <c:v>06/2022</c:v>
                </c:pt>
                <c:pt idx="434">
                  <c:v>06/2022</c:v>
                </c:pt>
                <c:pt idx="435">
                  <c:v>06/2022</c:v>
                </c:pt>
                <c:pt idx="436">
                  <c:v>06/2022</c:v>
                </c:pt>
                <c:pt idx="437">
                  <c:v>06/2022</c:v>
                </c:pt>
                <c:pt idx="438">
                  <c:v>06/2022</c:v>
                </c:pt>
                <c:pt idx="439">
                  <c:v>06/2022</c:v>
                </c:pt>
                <c:pt idx="440">
                  <c:v>06/2022</c:v>
                </c:pt>
                <c:pt idx="441">
                  <c:v>06/2022</c:v>
                </c:pt>
                <c:pt idx="442">
                  <c:v>06/2022</c:v>
                </c:pt>
                <c:pt idx="443">
                  <c:v>06/2022</c:v>
                </c:pt>
                <c:pt idx="444">
                  <c:v>06/2022</c:v>
                </c:pt>
                <c:pt idx="445">
                  <c:v>06/2022</c:v>
                </c:pt>
                <c:pt idx="446">
                  <c:v>06/2022</c:v>
                </c:pt>
                <c:pt idx="447">
                  <c:v>06/2022</c:v>
                </c:pt>
                <c:pt idx="448">
                  <c:v>06/2022</c:v>
                </c:pt>
                <c:pt idx="449">
                  <c:v>06/2022</c:v>
                </c:pt>
                <c:pt idx="450">
                  <c:v>06/2022</c:v>
                </c:pt>
                <c:pt idx="451">
                  <c:v>06/2022</c:v>
                </c:pt>
                <c:pt idx="452">
                  <c:v>06/2022</c:v>
                </c:pt>
                <c:pt idx="453">
                  <c:v>06/2022</c:v>
                </c:pt>
                <c:pt idx="454">
                  <c:v>06/2022</c:v>
                </c:pt>
                <c:pt idx="455">
                  <c:v>06/2022</c:v>
                </c:pt>
                <c:pt idx="456">
                  <c:v>06/2022</c:v>
                </c:pt>
                <c:pt idx="457">
                  <c:v>06/2022</c:v>
                </c:pt>
                <c:pt idx="458">
                  <c:v>06/2022</c:v>
                </c:pt>
                <c:pt idx="459">
                  <c:v>06/2022</c:v>
                </c:pt>
                <c:pt idx="460">
                  <c:v>06/2022</c:v>
                </c:pt>
                <c:pt idx="461">
                  <c:v>06/2022</c:v>
                </c:pt>
                <c:pt idx="462">
                  <c:v>06/2022</c:v>
                </c:pt>
                <c:pt idx="463">
                  <c:v>06/2022</c:v>
                </c:pt>
                <c:pt idx="464">
                  <c:v>06/2022</c:v>
                </c:pt>
                <c:pt idx="465">
                  <c:v>06/2022</c:v>
                </c:pt>
                <c:pt idx="466">
                  <c:v>06/2022</c:v>
                </c:pt>
                <c:pt idx="467">
                  <c:v>06/2022</c:v>
                </c:pt>
                <c:pt idx="468">
                  <c:v>06/2022</c:v>
                </c:pt>
                <c:pt idx="469">
                  <c:v>06/2022</c:v>
                </c:pt>
                <c:pt idx="470">
                  <c:v>06/2022</c:v>
                </c:pt>
                <c:pt idx="471">
                  <c:v>06/2022</c:v>
                </c:pt>
                <c:pt idx="472">
                  <c:v>06/2022</c:v>
                </c:pt>
                <c:pt idx="473">
                  <c:v>06/2022</c:v>
                </c:pt>
                <c:pt idx="474">
                  <c:v>06/2022</c:v>
                </c:pt>
                <c:pt idx="475">
                  <c:v>06/2022</c:v>
                </c:pt>
                <c:pt idx="476">
                  <c:v>06/2022</c:v>
                </c:pt>
                <c:pt idx="477">
                  <c:v>06/2022</c:v>
                </c:pt>
                <c:pt idx="478">
                  <c:v>06/2022</c:v>
                </c:pt>
                <c:pt idx="479">
                  <c:v>06/2022</c:v>
                </c:pt>
                <c:pt idx="480">
                  <c:v>06/2022</c:v>
                </c:pt>
                <c:pt idx="481">
                  <c:v>06/2022</c:v>
                </c:pt>
                <c:pt idx="482">
                  <c:v>06/2022</c:v>
                </c:pt>
                <c:pt idx="483">
                  <c:v>06/2022</c:v>
                </c:pt>
                <c:pt idx="484">
                  <c:v>06/2022</c:v>
                </c:pt>
                <c:pt idx="485">
                  <c:v>06/2022</c:v>
                </c:pt>
                <c:pt idx="486">
                  <c:v>06/2022</c:v>
                </c:pt>
                <c:pt idx="487">
                  <c:v>06/2022</c:v>
                </c:pt>
                <c:pt idx="488">
                  <c:v>06/2022</c:v>
                </c:pt>
                <c:pt idx="489">
                  <c:v>06/2022</c:v>
                </c:pt>
                <c:pt idx="490">
                  <c:v>06/2022</c:v>
                </c:pt>
                <c:pt idx="491">
                  <c:v>06/2022</c:v>
                </c:pt>
                <c:pt idx="492">
                  <c:v>06/2022</c:v>
                </c:pt>
                <c:pt idx="493">
                  <c:v>07/2022</c:v>
                </c:pt>
                <c:pt idx="494">
                  <c:v>07/2022</c:v>
                </c:pt>
                <c:pt idx="495">
                  <c:v>07/2022</c:v>
                </c:pt>
                <c:pt idx="496">
                  <c:v>07/2022</c:v>
                </c:pt>
                <c:pt idx="497">
                  <c:v>07/2022</c:v>
                </c:pt>
                <c:pt idx="498">
                  <c:v>07/2022</c:v>
                </c:pt>
                <c:pt idx="499">
                  <c:v>07/2022</c:v>
                </c:pt>
                <c:pt idx="500">
                  <c:v>07/2022</c:v>
                </c:pt>
                <c:pt idx="501">
                  <c:v>07/2022</c:v>
                </c:pt>
                <c:pt idx="502">
                  <c:v>07/2022</c:v>
                </c:pt>
                <c:pt idx="503">
                  <c:v>07/2022</c:v>
                </c:pt>
                <c:pt idx="504">
                  <c:v>07/2022</c:v>
                </c:pt>
                <c:pt idx="505">
                  <c:v>07/2022</c:v>
                </c:pt>
                <c:pt idx="506">
                  <c:v>07/2022</c:v>
                </c:pt>
                <c:pt idx="507">
                  <c:v>07/2022</c:v>
                </c:pt>
                <c:pt idx="508">
                  <c:v>07/2022</c:v>
                </c:pt>
                <c:pt idx="509">
                  <c:v>07/2022</c:v>
                </c:pt>
                <c:pt idx="510">
                  <c:v>07/2022</c:v>
                </c:pt>
                <c:pt idx="511">
                  <c:v>07/2022</c:v>
                </c:pt>
                <c:pt idx="512">
                  <c:v>07/2022</c:v>
                </c:pt>
                <c:pt idx="513">
                  <c:v>07/2022</c:v>
                </c:pt>
                <c:pt idx="514">
                  <c:v>07/2022</c:v>
                </c:pt>
                <c:pt idx="515">
                  <c:v>07/2022</c:v>
                </c:pt>
                <c:pt idx="516">
                  <c:v>07/2022</c:v>
                </c:pt>
                <c:pt idx="517">
                  <c:v>07/2022</c:v>
                </c:pt>
                <c:pt idx="518">
                  <c:v>07/2022</c:v>
                </c:pt>
                <c:pt idx="519">
                  <c:v>07/2022</c:v>
                </c:pt>
                <c:pt idx="520">
                  <c:v>07/2022</c:v>
                </c:pt>
                <c:pt idx="521">
                  <c:v>07/2022</c:v>
                </c:pt>
                <c:pt idx="522">
                  <c:v>07/2022</c:v>
                </c:pt>
                <c:pt idx="523">
                  <c:v>07/2022</c:v>
                </c:pt>
                <c:pt idx="524">
                  <c:v>07/2022</c:v>
                </c:pt>
                <c:pt idx="525">
                  <c:v>07/2022</c:v>
                </c:pt>
                <c:pt idx="526">
                  <c:v>07/2022</c:v>
                </c:pt>
                <c:pt idx="527">
                  <c:v>07/2022</c:v>
                </c:pt>
                <c:pt idx="528">
                  <c:v>07/2022</c:v>
                </c:pt>
                <c:pt idx="529">
                  <c:v>07/2022</c:v>
                </c:pt>
                <c:pt idx="530">
                  <c:v>07/2022</c:v>
                </c:pt>
                <c:pt idx="531">
                  <c:v>07/2022</c:v>
                </c:pt>
                <c:pt idx="532">
                  <c:v>07/2022</c:v>
                </c:pt>
                <c:pt idx="533">
                  <c:v>07/2022</c:v>
                </c:pt>
                <c:pt idx="534">
                  <c:v>07/2022</c:v>
                </c:pt>
                <c:pt idx="535">
                  <c:v>07/2022</c:v>
                </c:pt>
                <c:pt idx="536">
                  <c:v>07/2022</c:v>
                </c:pt>
                <c:pt idx="537">
                  <c:v>07/2022</c:v>
                </c:pt>
                <c:pt idx="538">
                  <c:v>07/2022</c:v>
                </c:pt>
                <c:pt idx="539">
                  <c:v>07/2022</c:v>
                </c:pt>
                <c:pt idx="540">
                  <c:v>07/2022</c:v>
                </c:pt>
                <c:pt idx="541">
                  <c:v>07/2022</c:v>
                </c:pt>
                <c:pt idx="542">
                  <c:v>07/2022</c:v>
                </c:pt>
                <c:pt idx="543">
                  <c:v>07/2022</c:v>
                </c:pt>
                <c:pt idx="544">
                  <c:v>07/2022</c:v>
                </c:pt>
                <c:pt idx="545">
                  <c:v>07/2022</c:v>
                </c:pt>
                <c:pt idx="546">
                  <c:v>07/2022</c:v>
                </c:pt>
                <c:pt idx="547">
                  <c:v>07/2022</c:v>
                </c:pt>
                <c:pt idx="548">
                  <c:v>07/2022</c:v>
                </c:pt>
                <c:pt idx="549">
                  <c:v>07/2022</c:v>
                </c:pt>
                <c:pt idx="550">
                  <c:v>07/2022</c:v>
                </c:pt>
                <c:pt idx="551">
                  <c:v>07/2022</c:v>
                </c:pt>
                <c:pt idx="552">
                  <c:v>07/2022</c:v>
                </c:pt>
                <c:pt idx="553">
                  <c:v>07/2022</c:v>
                </c:pt>
                <c:pt idx="554">
                  <c:v>07/2022</c:v>
                </c:pt>
                <c:pt idx="555">
                  <c:v>07/2022</c:v>
                </c:pt>
                <c:pt idx="556">
                  <c:v>07/2022</c:v>
                </c:pt>
                <c:pt idx="557">
                  <c:v>07/2022</c:v>
                </c:pt>
                <c:pt idx="558">
                  <c:v>07/2022</c:v>
                </c:pt>
                <c:pt idx="559">
                  <c:v>07/2022</c:v>
                </c:pt>
                <c:pt idx="560">
                  <c:v>07/2022</c:v>
                </c:pt>
                <c:pt idx="561">
                  <c:v>07/2022</c:v>
                </c:pt>
                <c:pt idx="562">
                  <c:v>07/2022</c:v>
                </c:pt>
                <c:pt idx="563">
                  <c:v>07/2022</c:v>
                </c:pt>
                <c:pt idx="564">
                  <c:v>07/2022</c:v>
                </c:pt>
                <c:pt idx="565">
                  <c:v>07/2022</c:v>
                </c:pt>
                <c:pt idx="566">
                  <c:v>07/2022</c:v>
                </c:pt>
                <c:pt idx="567">
                  <c:v>07/2022</c:v>
                </c:pt>
                <c:pt idx="568">
                  <c:v>07/2022</c:v>
                </c:pt>
                <c:pt idx="569">
                  <c:v>07/2022</c:v>
                </c:pt>
                <c:pt idx="570">
                  <c:v>07/2022</c:v>
                </c:pt>
                <c:pt idx="571">
                  <c:v>07/2022</c:v>
                </c:pt>
                <c:pt idx="572">
                  <c:v>07/2022</c:v>
                </c:pt>
                <c:pt idx="573">
                  <c:v>07/2022</c:v>
                </c:pt>
                <c:pt idx="574">
                  <c:v>07/2022</c:v>
                </c:pt>
                <c:pt idx="575">
                  <c:v>07/2022</c:v>
                </c:pt>
                <c:pt idx="576">
                  <c:v>07/2022</c:v>
                </c:pt>
                <c:pt idx="577">
                  <c:v>07/2022</c:v>
                </c:pt>
                <c:pt idx="578">
                  <c:v>07/2022</c:v>
                </c:pt>
                <c:pt idx="579">
                  <c:v>07/2022</c:v>
                </c:pt>
                <c:pt idx="580">
                  <c:v>07/2022</c:v>
                </c:pt>
                <c:pt idx="581">
                  <c:v>07/2022</c:v>
                </c:pt>
                <c:pt idx="582">
                  <c:v>07/2022</c:v>
                </c:pt>
                <c:pt idx="583">
                  <c:v>07/2022</c:v>
                </c:pt>
                <c:pt idx="584">
                  <c:v>07/2022</c:v>
                </c:pt>
                <c:pt idx="585">
                  <c:v>07/2022</c:v>
                </c:pt>
                <c:pt idx="586">
                  <c:v>07/2022</c:v>
                </c:pt>
                <c:pt idx="587">
                  <c:v>07/2022</c:v>
                </c:pt>
              </c:strCache>
            </c:strRef>
          </c:cat>
          <c:val>
            <c:numRef>
              <c:f>'Discover Account'!$B$2:$B$589</c:f>
              <c:numCache>
                <c:formatCode>"$"#,##0.00_);[Red]\("$"#,##0.00\)</c:formatCode>
                <c:ptCount val="588"/>
                <c:pt idx="2">
                  <c:v>-1800</c:v>
                </c:pt>
                <c:pt idx="21">
                  <c:v>-2194.92</c:v>
                </c:pt>
                <c:pt idx="23">
                  <c:v>-29.08</c:v>
                </c:pt>
                <c:pt idx="82">
                  <c:v>-1733.33</c:v>
                </c:pt>
                <c:pt idx="84">
                  <c:v>-5</c:v>
                </c:pt>
                <c:pt idx="94">
                  <c:v>-29.29</c:v>
                </c:pt>
                <c:pt idx="96">
                  <c:v>-771.1</c:v>
                </c:pt>
                <c:pt idx="146">
                  <c:v>-734.55</c:v>
                </c:pt>
                <c:pt idx="184">
                  <c:v>-734.55</c:v>
                </c:pt>
                <c:pt idx="189">
                  <c:v>-500</c:v>
                </c:pt>
                <c:pt idx="216">
                  <c:v>-934.85</c:v>
                </c:pt>
                <c:pt idx="217">
                  <c:v>-65.150000000000006</c:v>
                </c:pt>
                <c:pt idx="320">
                  <c:v>-1000</c:v>
                </c:pt>
                <c:pt idx="380">
                  <c:v>-41.23</c:v>
                </c:pt>
                <c:pt idx="381">
                  <c:v>-1000</c:v>
                </c:pt>
                <c:pt idx="413">
                  <c:v>-1000</c:v>
                </c:pt>
                <c:pt idx="448">
                  <c:v>-2000</c:v>
                </c:pt>
                <c:pt idx="466">
                  <c:v>-8</c:v>
                </c:pt>
                <c:pt idx="492">
                  <c:v>-1000</c:v>
                </c:pt>
                <c:pt idx="523">
                  <c:v>-1</c:v>
                </c:pt>
                <c:pt idx="541">
                  <c:v>-2600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E-4918-A326-12E93C89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184655"/>
        <c:axId val="864178415"/>
      </c:barChart>
      <c:lineChart>
        <c:grouping val="standard"/>
        <c:varyColors val="0"/>
        <c:ser>
          <c:idx val="1"/>
          <c:order val="1"/>
          <c:tx>
            <c:strRef>
              <c:f>'Discover Account'!$C$1</c:f>
              <c:strCache>
                <c:ptCount val="1"/>
                <c:pt idx="0">
                  <c:v> CumAmount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'Discover Account'!$A$2:$A$589</c:f>
              <c:strCache>
                <c:ptCount val="588"/>
                <c:pt idx="0">
                  <c:v>01/2022</c:v>
                </c:pt>
                <c:pt idx="1">
                  <c:v>01/2022</c:v>
                </c:pt>
                <c:pt idx="2">
                  <c:v>01/2022</c:v>
                </c:pt>
                <c:pt idx="3">
                  <c:v>01/2022</c:v>
                </c:pt>
                <c:pt idx="4">
                  <c:v>01/2022</c:v>
                </c:pt>
                <c:pt idx="5">
                  <c:v>01/2022</c:v>
                </c:pt>
                <c:pt idx="6">
                  <c:v>01/2022</c:v>
                </c:pt>
                <c:pt idx="7">
                  <c:v>01/2022</c:v>
                </c:pt>
                <c:pt idx="8">
                  <c:v>01/2022</c:v>
                </c:pt>
                <c:pt idx="9">
                  <c:v>01/2022</c:v>
                </c:pt>
                <c:pt idx="10">
                  <c:v>01/2022</c:v>
                </c:pt>
                <c:pt idx="11">
                  <c:v>01/2022</c:v>
                </c:pt>
                <c:pt idx="12">
                  <c:v>01/2022</c:v>
                </c:pt>
                <c:pt idx="13">
                  <c:v>01/2022</c:v>
                </c:pt>
                <c:pt idx="14">
                  <c:v>01/2022</c:v>
                </c:pt>
                <c:pt idx="15">
                  <c:v>01/2022</c:v>
                </c:pt>
                <c:pt idx="16">
                  <c:v>01/2022</c:v>
                </c:pt>
                <c:pt idx="17">
                  <c:v>01/2022</c:v>
                </c:pt>
                <c:pt idx="18">
                  <c:v>01/2022</c:v>
                </c:pt>
                <c:pt idx="19">
                  <c:v>01/2022</c:v>
                </c:pt>
                <c:pt idx="20">
                  <c:v>01/2022</c:v>
                </c:pt>
                <c:pt idx="21">
                  <c:v>01/2022</c:v>
                </c:pt>
                <c:pt idx="22">
                  <c:v>01/2022</c:v>
                </c:pt>
                <c:pt idx="23">
                  <c:v>01/2022</c:v>
                </c:pt>
                <c:pt idx="24">
                  <c:v>01/2022</c:v>
                </c:pt>
                <c:pt idx="25">
                  <c:v>01/2022</c:v>
                </c:pt>
                <c:pt idx="26">
                  <c:v>01/2022</c:v>
                </c:pt>
                <c:pt idx="27">
                  <c:v>01/2022</c:v>
                </c:pt>
                <c:pt idx="28">
                  <c:v>01/2022</c:v>
                </c:pt>
                <c:pt idx="29">
                  <c:v>01/2022</c:v>
                </c:pt>
                <c:pt idx="30">
                  <c:v>01/2022</c:v>
                </c:pt>
                <c:pt idx="31">
                  <c:v>01/2022</c:v>
                </c:pt>
                <c:pt idx="32">
                  <c:v>01/2022</c:v>
                </c:pt>
                <c:pt idx="33">
                  <c:v>01/2022</c:v>
                </c:pt>
                <c:pt idx="34">
                  <c:v>01/2022</c:v>
                </c:pt>
                <c:pt idx="35">
                  <c:v>01/2022</c:v>
                </c:pt>
                <c:pt idx="36">
                  <c:v>01/2022</c:v>
                </c:pt>
                <c:pt idx="37">
                  <c:v>01/2022</c:v>
                </c:pt>
                <c:pt idx="38">
                  <c:v>01/2022</c:v>
                </c:pt>
                <c:pt idx="39">
                  <c:v>01/2022</c:v>
                </c:pt>
                <c:pt idx="40">
                  <c:v>01/2022</c:v>
                </c:pt>
                <c:pt idx="41">
                  <c:v>01/2022</c:v>
                </c:pt>
                <c:pt idx="42">
                  <c:v>01/2022</c:v>
                </c:pt>
                <c:pt idx="43">
                  <c:v>01/2022</c:v>
                </c:pt>
                <c:pt idx="44">
                  <c:v>01/2022</c:v>
                </c:pt>
                <c:pt idx="45">
                  <c:v>01/2022</c:v>
                </c:pt>
                <c:pt idx="46">
                  <c:v>01/2022</c:v>
                </c:pt>
                <c:pt idx="47">
                  <c:v>01/2022</c:v>
                </c:pt>
                <c:pt idx="48">
                  <c:v>01/2022</c:v>
                </c:pt>
                <c:pt idx="49">
                  <c:v>01/2022</c:v>
                </c:pt>
                <c:pt idx="50">
                  <c:v>01/2022</c:v>
                </c:pt>
                <c:pt idx="51">
                  <c:v>01/2022</c:v>
                </c:pt>
                <c:pt idx="52">
                  <c:v>01/2022</c:v>
                </c:pt>
                <c:pt idx="53">
                  <c:v>01/2022</c:v>
                </c:pt>
                <c:pt idx="54">
                  <c:v>01/2022</c:v>
                </c:pt>
                <c:pt idx="55">
                  <c:v>01/2022</c:v>
                </c:pt>
                <c:pt idx="56">
                  <c:v>01/2022</c:v>
                </c:pt>
                <c:pt idx="57">
                  <c:v>01/2022</c:v>
                </c:pt>
                <c:pt idx="58">
                  <c:v>01/2022</c:v>
                </c:pt>
                <c:pt idx="59">
                  <c:v>01/2022</c:v>
                </c:pt>
                <c:pt idx="60">
                  <c:v>01/2022</c:v>
                </c:pt>
                <c:pt idx="61">
                  <c:v>01/2022</c:v>
                </c:pt>
                <c:pt idx="62">
                  <c:v>01/2022</c:v>
                </c:pt>
                <c:pt idx="63">
                  <c:v>01/2022</c:v>
                </c:pt>
                <c:pt idx="64">
                  <c:v>01/2022</c:v>
                </c:pt>
                <c:pt idx="65">
                  <c:v>01/2022</c:v>
                </c:pt>
                <c:pt idx="66">
                  <c:v>01/2022</c:v>
                </c:pt>
                <c:pt idx="67">
                  <c:v>02/2022</c:v>
                </c:pt>
                <c:pt idx="68">
                  <c:v>01/2022</c:v>
                </c:pt>
                <c:pt idx="69">
                  <c:v>02/2022</c:v>
                </c:pt>
                <c:pt idx="70">
                  <c:v>02/2022</c:v>
                </c:pt>
                <c:pt idx="71">
                  <c:v>02/2022</c:v>
                </c:pt>
                <c:pt idx="72">
                  <c:v>02/2022</c:v>
                </c:pt>
                <c:pt idx="73">
                  <c:v>02/2022</c:v>
                </c:pt>
                <c:pt idx="74">
                  <c:v>02/2022</c:v>
                </c:pt>
                <c:pt idx="75">
                  <c:v>02/2022</c:v>
                </c:pt>
                <c:pt idx="76">
                  <c:v>02/2022</c:v>
                </c:pt>
                <c:pt idx="77">
                  <c:v>02/2022</c:v>
                </c:pt>
                <c:pt idx="78">
                  <c:v>02/2022</c:v>
                </c:pt>
                <c:pt idx="79">
                  <c:v>02/2022</c:v>
                </c:pt>
                <c:pt idx="80">
                  <c:v>02/2022</c:v>
                </c:pt>
                <c:pt idx="81">
                  <c:v>02/2022</c:v>
                </c:pt>
                <c:pt idx="82">
                  <c:v>02/2022</c:v>
                </c:pt>
                <c:pt idx="83">
                  <c:v>02/2022</c:v>
                </c:pt>
                <c:pt idx="84">
                  <c:v>02/2022</c:v>
                </c:pt>
                <c:pt idx="85">
                  <c:v>02/2022</c:v>
                </c:pt>
                <c:pt idx="86">
                  <c:v>02/2022</c:v>
                </c:pt>
                <c:pt idx="87">
                  <c:v>02/2022</c:v>
                </c:pt>
                <c:pt idx="88">
                  <c:v>02/2022</c:v>
                </c:pt>
                <c:pt idx="89">
                  <c:v>02/2022</c:v>
                </c:pt>
                <c:pt idx="90">
                  <c:v>02/2022</c:v>
                </c:pt>
                <c:pt idx="91">
                  <c:v>02/2022</c:v>
                </c:pt>
                <c:pt idx="92">
                  <c:v>02/2022</c:v>
                </c:pt>
                <c:pt idx="93">
                  <c:v>02/2022</c:v>
                </c:pt>
                <c:pt idx="94">
                  <c:v>02/2022</c:v>
                </c:pt>
                <c:pt idx="95">
                  <c:v>02/2022</c:v>
                </c:pt>
                <c:pt idx="96">
                  <c:v>02/2022</c:v>
                </c:pt>
                <c:pt idx="97">
                  <c:v>02/2022</c:v>
                </c:pt>
                <c:pt idx="98">
                  <c:v>02/2022</c:v>
                </c:pt>
                <c:pt idx="99">
                  <c:v>02/2022</c:v>
                </c:pt>
                <c:pt idx="100">
                  <c:v>02/2022</c:v>
                </c:pt>
                <c:pt idx="101">
                  <c:v>02/2022</c:v>
                </c:pt>
                <c:pt idx="102">
                  <c:v>02/2022</c:v>
                </c:pt>
                <c:pt idx="103">
                  <c:v>02/2022</c:v>
                </c:pt>
                <c:pt idx="104">
                  <c:v>02/2022</c:v>
                </c:pt>
                <c:pt idx="105">
                  <c:v>02/2022</c:v>
                </c:pt>
                <c:pt idx="106">
                  <c:v>02/2022</c:v>
                </c:pt>
                <c:pt idx="107">
                  <c:v>02/2022</c:v>
                </c:pt>
                <c:pt idx="108">
                  <c:v>02/2022</c:v>
                </c:pt>
                <c:pt idx="109">
                  <c:v>02/2022</c:v>
                </c:pt>
                <c:pt idx="110">
                  <c:v>02/2022</c:v>
                </c:pt>
                <c:pt idx="111">
                  <c:v>03/2022</c:v>
                </c:pt>
                <c:pt idx="112">
                  <c:v>03/2022</c:v>
                </c:pt>
                <c:pt idx="113">
                  <c:v>03/2022</c:v>
                </c:pt>
                <c:pt idx="114">
                  <c:v>03/2022</c:v>
                </c:pt>
                <c:pt idx="115">
                  <c:v>03/2022</c:v>
                </c:pt>
                <c:pt idx="116">
                  <c:v>03/2022</c:v>
                </c:pt>
                <c:pt idx="117">
                  <c:v>03/2022</c:v>
                </c:pt>
                <c:pt idx="118">
                  <c:v>03/2022</c:v>
                </c:pt>
                <c:pt idx="119">
                  <c:v>03/2022</c:v>
                </c:pt>
                <c:pt idx="120">
                  <c:v>03/2022</c:v>
                </c:pt>
                <c:pt idx="121">
                  <c:v>03/2022</c:v>
                </c:pt>
                <c:pt idx="122">
                  <c:v>03/2022</c:v>
                </c:pt>
                <c:pt idx="123">
                  <c:v>03/2022</c:v>
                </c:pt>
                <c:pt idx="124">
                  <c:v>03/2022</c:v>
                </c:pt>
                <c:pt idx="125">
                  <c:v>03/2022</c:v>
                </c:pt>
                <c:pt idx="126">
                  <c:v>03/2022</c:v>
                </c:pt>
                <c:pt idx="127">
                  <c:v>03/2022</c:v>
                </c:pt>
                <c:pt idx="128">
                  <c:v>03/2022</c:v>
                </c:pt>
                <c:pt idx="129">
                  <c:v>03/2022</c:v>
                </c:pt>
                <c:pt idx="130">
                  <c:v>03/2022</c:v>
                </c:pt>
                <c:pt idx="131">
                  <c:v>03/2022</c:v>
                </c:pt>
                <c:pt idx="132">
                  <c:v>03/2022</c:v>
                </c:pt>
                <c:pt idx="133">
                  <c:v>03/2022</c:v>
                </c:pt>
                <c:pt idx="134">
                  <c:v>03/2022</c:v>
                </c:pt>
                <c:pt idx="135">
                  <c:v>03/2022</c:v>
                </c:pt>
                <c:pt idx="136">
                  <c:v>03/2022</c:v>
                </c:pt>
                <c:pt idx="137">
                  <c:v>03/2022</c:v>
                </c:pt>
                <c:pt idx="138">
                  <c:v>03/2022</c:v>
                </c:pt>
                <c:pt idx="139">
                  <c:v>03/2022</c:v>
                </c:pt>
                <c:pt idx="140">
                  <c:v>03/2022</c:v>
                </c:pt>
                <c:pt idx="141">
                  <c:v>03/2022</c:v>
                </c:pt>
                <c:pt idx="142">
                  <c:v>03/2022</c:v>
                </c:pt>
                <c:pt idx="143">
                  <c:v>03/2022</c:v>
                </c:pt>
                <c:pt idx="144">
                  <c:v>03/2022</c:v>
                </c:pt>
                <c:pt idx="145">
                  <c:v>03/2022</c:v>
                </c:pt>
                <c:pt idx="146">
                  <c:v>03/2022</c:v>
                </c:pt>
                <c:pt idx="147">
                  <c:v>03/2022</c:v>
                </c:pt>
                <c:pt idx="148">
                  <c:v>03/2022</c:v>
                </c:pt>
                <c:pt idx="149">
                  <c:v>03/2022</c:v>
                </c:pt>
                <c:pt idx="150">
                  <c:v>03/2022</c:v>
                </c:pt>
                <c:pt idx="151">
                  <c:v>03/2022</c:v>
                </c:pt>
                <c:pt idx="152">
                  <c:v>03/2022</c:v>
                </c:pt>
                <c:pt idx="153">
                  <c:v>03/2022</c:v>
                </c:pt>
                <c:pt idx="154">
                  <c:v>03/2022</c:v>
                </c:pt>
                <c:pt idx="155">
                  <c:v>03/2022</c:v>
                </c:pt>
                <c:pt idx="156">
                  <c:v>03/2022</c:v>
                </c:pt>
                <c:pt idx="157">
                  <c:v>03/2022</c:v>
                </c:pt>
                <c:pt idx="158">
                  <c:v>03/2022</c:v>
                </c:pt>
                <c:pt idx="159">
                  <c:v>03/2022</c:v>
                </c:pt>
                <c:pt idx="160">
                  <c:v>03/2022</c:v>
                </c:pt>
                <c:pt idx="161">
                  <c:v>03/2022</c:v>
                </c:pt>
                <c:pt idx="162">
                  <c:v>03/2022</c:v>
                </c:pt>
                <c:pt idx="163">
                  <c:v>03/2022</c:v>
                </c:pt>
                <c:pt idx="164">
                  <c:v>03/2022</c:v>
                </c:pt>
                <c:pt idx="165">
                  <c:v>03/2022</c:v>
                </c:pt>
                <c:pt idx="166">
                  <c:v>03/2022</c:v>
                </c:pt>
                <c:pt idx="167">
                  <c:v>03/2022</c:v>
                </c:pt>
                <c:pt idx="168">
                  <c:v>03/2022</c:v>
                </c:pt>
                <c:pt idx="169">
                  <c:v>03/2022</c:v>
                </c:pt>
                <c:pt idx="170">
                  <c:v>03/2022</c:v>
                </c:pt>
                <c:pt idx="171">
                  <c:v>03/2022</c:v>
                </c:pt>
                <c:pt idx="172">
                  <c:v>03/2022</c:v>
                </c:pt>
                <c:pt idx="173">
                  <c:v>03/2022</c:v>
                </c:pt>
                <c:pt idx="174">
                  <c:v>03/2022</c:v>
                </c:pt>
                <c:pt idx="175">
                  <c:v>03/2022</c:v>
                </c:pt>
                <c:pt idx="176">
                  <c:v>03/2022</c:v>
                </c:pt>
                <c:pt idx="177">
                  <c:v>03/2022</c:v>
                </c:pt>
                <c:pt idx="178">
                  <c:v>03/2022</c:v>
                </c:pt>
                <c:pt idx="179">
                  <c:v>03/2022</c:v>
                </c:pt>
                <c:pt idx="180">
                  <c:v>03/2022</c:v>
                </c:pt>
                <c:pt idx="181">
                  <c:v>03/2022</c:v>
                </c:pt>
                <c:pt idx="182">
                  <c:v>03/2022</c:v>
                </c:pt>
                <c:pt idx="183">
                  <c:v>03/2022</c:v>
                </c:pt>
                <c:pt idx="184">
                  <c:v>03/2022</c:v>
                </c:pt>
                <c:pt idx="185">
                  <c:v>03/2022</c:v>
                </c:pt>
                <c:pt idx="186">
                  <c:v>03/2022</c:v>
                </c:pt>
                <c:pt idx="187">
                  <c:v>03/2022</c:v>
                </c:pt>
                <c:pt idx="188">
                  <c:v>03/2022</c:v>
                </c:pt>
                <c:pt idx="189">
                  <c:v>03/2022</c:v>
                </c:pt>
                <c:pt idx="190">
                  <c:v>03/2022</c:v>
                </c:pt>
                <c:pt idx="191">
                  <c:v>03/2022</c:v>
                </c:pt>
                <c:pt idx="192">
                  <c:v>03/2022</c:v>
                </c:pt>
                <c:pt idx="193">
                  <c:v>03/2022</c:v>
                </c:pt>
                <c:pt idx="194">
                  <c:v>03/2022</c:v>
                </c:pt>
                <c:pt idx="195">
                  <c:v>03/2022</c:v>
                </c:pt>
                <c:pt idx="196">
                  <c:v>03/2022</c:v>
                </c:pt>
                <c:pt idx="197">
                  <c:v>03/2022</c:v>
                </c:pt>
                <c:pt idx="198">
                  <c:v>03/2022</c:v>
                </c:pt>
                <c:pt idx="199">
                  <c:v>03/2022</c:v>
                </c:pt>
                <c:pt idx="200">
                  <c:v>03/2022</c:v>
                </c:pt>
                <c:pt idx="201">
                  <c:v>03/2022</c:v>
                </c:pt>
                <c:pt idx="202">
                  <c:v>04/2022</c:v>
                </c:pt>
                <c:pt idx="203">
                  <c:v>04/2022</c:v>
                </c:pt>
                <c:pt idx="204">
                  <c:v>04/2022</c:v>
                </c:pt>
                <c:pt idx="205">
                  <c:v>04/2022</c:v>
                </c:pt>
                <c:pt idx="206">
                  <c:v>04/2022</c:v>
                </c:pt>
                <c:pt idx="207">
                  <c:v>04/2022</c:v>
                </c:pt>
                <c:pt idx="208">
                  <c:v>04/2022</c:v>
                </c:pt>
                <c:pt idx="209">
                  <c:v>04/2022</c:v>
                </c:pt>
                <c:pt idx="210">
                  <c:v>04/2022</c:v>
                </c:pt>
                <c:pt idx="211">
                  <c:v>04/2022</c:v>
                </c:pt>
                <c:pt idx="212">
                  <c:v>04/2022</c:v>
                </c:pt>
                <c:pt idx="213">
                  <c:v>04/2022</c:v>
                </c:pt>
                <c:pt idx="214">
                  <c:v>04/2022</c:v>
                </c:pt>
                <c:pt idx="215">
                  <c:v>04/2022</c:v>
                </c:pt>
                <c:pt idx="216">
                  <c:v>04/2022</c:v>
                </c:pt>
                <c:pt idx="217">
                  <c:v>04/2022</c:v>
                </c:pt>
                <c:pt idx="218">
                  <c:v>04/2022</c:v>
                </c:pt>
                <c:pt idx="219">
                  <c:v>04/2022</c:v>
                </c:pt>
                <c:pt idx="220">
                  <c:v>04/2022</c:v>
                </c:pt>
                <c:pt idx="221">
                  <c:v>04/2022</c:v>
                </c:pt>
                <c:pt idx="222">
                  <c:v>04/2022</c:v>
                </c:pt>
                <c:pt idx="223">
                  <c:v>04/2022</c:v>
                </c:pt>
                <c:pt idx="224">
                  <c:v>04/2022</c:v>
                </c:pt>
                <c:pt idx="225">
                  <c:v>04/2022</c:v>
                </c:pt>
                <c:pt idx="226">
                  <c:v>04/2022</c:v>
                </c:pt>
                <c:pt idx="227">
                  <c:v>04/2022</c:v>
                </c:pt>
                <c:pt idx="228">
                  <c:v>04/2022</c:v>
                </c:pt>
                <c:pt idx="229">
                  <c:v>04/2022</c:v>
                </c:pt>
                <c:pt idx="230">
                  <c:v>04/2022</c:v>
                </c:pt>
                <c:pt idx="231">
                  <c:v>04/2022</c:v>
                </c:pt>
                <c:pt idx="232">
                  <c:v>04/2022</c:v>
                </c:pt>
                <c:pt idx="233">
                  <c:v>04/2022</c:v>
                </c:pt>
                <c:pt idx="234">
                  <c:v>04/2022</c:v>
                </c:pt>
                <c:pt idx="235">
                  <c:v>04/2022</c:v>
                </c:pt>
                <c:pt idx="236">
                  <c:v>04/2022</c:v>
                </c:pt>
                <c:pt idx="237">
                  <c:v>04/2022</c:v>
                </c:pt>
                <c:pt idx="238">
                  <c:v>04/2022</c:v>
                </c:pt>
                <c:pt idx="239">
                  <c:v>04/2022</c:v>
                </c:pt>
                <c:pt idx="240">
                  <c:v>04/2022</c:v>
                </c:pt>
                <c:pt idx="241">
                  <c:v>04/2022</c:v>
                </c:pt>
                <c:pt idx="242">
                  <c:v>04/2022</c:v>
                </c:pt>
                <c:pt idx="243">
                  <c:v>04/2022</c:v>
                </c:pt>
                <c:pt idx="244">
                  <c:v>04/2022</c:v>
                </c:pt>
                <c:pt idx="245">
                  <c:v>04/2022</c:v>
                </c:pt>
                <c:pt idx="246">
                  <c:v>04/2022</c:v>
                </c:pt>
                <c:pt idx="247">
                  <c:v>04/2022</c:v>
                </c:pt>
                <c:pt idx="248">
                  <c:v>04/2022</c:v>
                </c:pt>
                <c:pt idx="249">
                  <c:v>04/2022</c:v>
                </c:pt>
                <c:pt idx="250">
                  <c:v>04/2022</c:v>
                </c:pt>
                <c:pt idx="251">
                  <c:v>04/2022</c:v>
                </c:pt>
                <c:pt idx="252">
                  <c:v>04/2022</c:v>
                </c:pt>
                <c:pt idx="253">
                  <c:v>04/2022</c:v>
                </c:pt>
                <c:pt idx="254">
                  <c:v>04/2022</c:v>
                </c:pt>
                <c:pt idx="255">
                  <c:v>04/2022</c:v>
                </c:pt>
                <c:pt idx="256">
                  <c:v>04/2022</c:v>
                </c:pt>
                <c:pt idx="257">
                  <c:v>04/2022</c:v>
                </c:pt>
                <c:pt idx="258">
                  <c:v>04/2022</c:v>
                </c:pt>
                <c:pt idx="259">
                  <c:v>04/2022</c:v>
                </c:pt>
                <c:pt idx="260">
                  <c:v>04/2022</c:v>
                </c:pt>
                <c:pt idx="261">
                  <c:v>04/2022</c:v>
                </c:pt>
                <c:pt idx="262">
                  <c:v>04/2022</c:v>
                </c:pt>
                <c:pt idx="263">
                  <c:v>04/2022</c:v>
                </c:pt>
                <c:pt idx="264">
                  <c:v>04/2022</c:v>
                </c:pt>
                <c:pt idx="265">
                  <c:v>04/2022</c:v>
                </c:pt>
                <c:pt idx="266">
                  <c:v>04/2022</c:v>
                </c:pt>
                <c:pt idx="267">
                  <c:v>04/2022</c:v>
                </c:pt>
                <c:pt idx="268">
                  <c:v>04/2022</c:v>
                </c:pt>
                <c:pt idx="269">
                  <c:v>04/2022</c:v>
                </c:pt>
                <c:pt idx="270">
                  <c:v>04/2022</c:v>
                </c:pt>
                <c:pt idx="271">
                  <c:v>04/2022</c:v>
                </c:pt>
                <c:pt idx="272">
                  <c:v>04/2022</c:v>
                </c:pt>
                <c:pt idx="273">
                  <c:v>04/2022</c:v>
                </c:pt>
                <c:pt idx="274">
                  <c:v>04/2022</c:v>
                </c:pt>
                <c:pt idx="275">
                  <c:v>04/2022</c:v>
                </c:pt>
                <c:pt idx="276">
                  <c:v>04/2022</c:v>
                </c:pt>
                <c:pt idx="277">
                  <c:v>04/2022</c:v>
                </c:pt>
                <c:pt idx="278">
                  <c:v>04/2022</c:v>
                </c:pt>
                <c:pt idx="279">
                  <c:v>04/2022</c:v>
                </c:pt>
                <c:pt idx="280">
                  <c:v>04/2022</c:v>
                </c:pt>
                <c:pt idx="281">
                  <c:v>04/2022</c:v>
                </c:pt>
                <c:pt idx="282">
                  <c:v>04/2022</c:v>
                </c:pt>
                <c:pt idx="283">
                  <c:v>04/2022</c:v>
                </c:pt>
                <c:pt idx="284">
                  <c:v>04/2022</c:v>
                </c:pt>
                <c:pt idx="285">
                  <c:v>04/2022</c:v>
                </c:pt>
                <c:pt idx="286">
                  <c:v>04/2022</c:v>
                </c:pt>
                <c:pt idx="287">
                  <c:v>04/2022</c:v>
                </c:pt>
                <c:pt idx="288">
                  <c:v>04/2022</c:v>
                </c:pt>
                <c:pt idx="289">
                  <c:v>04/2022</c:v>
                </c:pt>
                <c:pt idx="290">
                  <c:v>04/2022</c:v>
                </c:pt>
                <c:pt idx="291">
                  <c:v>04/2022</c:v>
                </c:pt>
                <c:pt idx="292">
                  <c:v>04/2022</c:v>
                </c:pt>
                <c:pt idx="293">
                  <c:v>04/2022</c:v>
                </c:pt>
                <c:pt idx="294">
                  <c:v>05/2022</c:v>
                </c:pt>
                <c:pt idx="295">
                  <c:v>05/2022</c:v>
                </c:pt>
                <c:pt idx="296">
                  <c:v>05/2022</c:v>
                </c:pt>
                <c:pt idx="297">
                  <c:v>05/2022</c:v>
                </c:pt>
                <c:pt idx="298">
                  <c:v>05/2022</c:v>
                </c:pt>
                <c:pt idx="299">
                  <c:v>05/2022</c:v>
                </c:pt>
                <c:pt idx="300">
                  <c:v>05/2022</c:v>
                </c:pt>
                <c:pt idx="301">
                  <c:v>05/2022</c:v>
                </c:pt>
                <c:pt idx="302">
                  <c:v>05/2022</c:v>
                </c:pt>
                <c:pt idx="303">
                  <c:v>05/2022</c:v>
                </c:pt>
                <c:pt idx="304">
                  <c:v>05/2022</c:v>
                </c:pt>
                <c:pt idx="305">
                  <c:v>05/2022</c:v>
                </c:pt>
                <c:pt idx="306">
                  <c:v>05/2022</c:v>
                </c:pt>
                <c:pt idx="307">
                  <c:v>05/2022</c:v>
                </c:pt>
                <c:pt idx="308">
                  <c:v>05/2022</c:v>
                </c:pt>
                <c:pt idx="309">
                  <c:v>05/2022</c:v>
                </c:pt>
                <c:pt idx="310">
                  <c:v>05/2022</c:v>
                </c:pt>
                <c:pt idx="311">
                  <c:v>05/2022</c:v>
                </c:pt>
                <c:pt idx="312">
                  <c:v>05/2022</c:v>
                </c:pt>
                <c:pt idx="313">
                  <c:v>05/2022</c:v>
                </c:pt>
                <c:pt idx="314">
                  <c:v>05/2022</c:v>
                </c:pt>
                <c:pt idx="315">
                  <c:v>05/2022</c:v>
                </c:pt>
                <c:pt idx="316">
                  <c:v>05/2022</c:v>
                </c:pt>
                <c:pt idx="317">
                  <c:v>05/2022</c:v>
                </c:pt>
                <c:pt idx="318">
                  <c:v>05/2022</c:v>
                </c:pt>
                <c:pt idx="319">
                  <c:v>05/2022</c:v>
                </c:pt>
                <c:pt idx="320">
                  <c:v>05/2022</c:v>
                </c:pt>
                <c:pt idx="321">
                  <c:v>05/2022</c:v>
                </c:pt>
                <c:pt idx="322">
                  <c:v>05/2022</c:v>
                </c:pt>
                <c:pt idx="323">
                  <c:v>05/2022</c:v>
                </c:pt>
                <c:pt idx="324">
                  <c:v>05/2022</c:v>
                </c:pt>
                <c:pt idx="325">
                  <c:v>05/2022</c:v>
                </c:pt>
                <c:pt idx="326">
                  <c:v>05/2022</c:v>
                </c:pt>
                <c:pt idx="327">
                  <c:v>05/2022</c:v>
                </c:pt>
                <c:pt idx="328">
                  <c:v>05/2022</c:v>
                </c:pt>
                <c:pt idx="329">
                  <c:v>05/2022</c:v>
                </c:pt>
                <c:pt idx="330">
                  <c:v>05/2022</c:v>
                </c:pt>
                <c:pt idx="331">
                  <c:v>05/2022</c:v>
                </c:pt>
                <c:pt idx="332">
                  <c:v>05/2022</c:v>
                </c:pt>
                <c:pt idx="333">
                  <c:v>05/2022</c:v>
                </c:pt>
                <c:pt idx="334">
                  <c:v>05/2022</c:v>
                </c:pt>
                <c:pt idx="335">
                  <c:v>05/2022</c:v>
                </c:pt>
                <c:pt idx="336">
                  <c:v>05/2022</c:v>
                </c:pt>
                <c:pt idx="337">
                  <c:v>05/2022</c:v>
                </c:pt>
                <c:pt idx="338">
                  <c:v>05/2022</c:v>
                </c:pt>
                <c:pt idx="339">
                  <c:v>05/2022</c:v>
                </c:pt>
                <c:pt idx="340">
                  <c:v>05/2022</c:v>
                </c:pt>
                <c:pt idx="341">
                  <c:v>05/2022</c:v>
                </c:pt>
                <c:pt idx="342">
                  <c:v>05/2022</c:v>
                </c:pt>
                <c:pt idx="343">
                  <c:v>05/2022</c:v>
                </c:pt>
                <c:pt idx="344">
                  <c:v>05/2022</c:v>
                </c:pt>
                <c:pt idx="345">
                  <c:v>05/2022</c:v>
                </c:pt>
                <c:pt idx="346">
                  <c:v>05/2022</c:v>
                </c:pt>
                <c:pt idx="347">
                  <c:v>05/2022</c:v>
                </c:pt>
                <c:pt idx="348">
                  <c:v>05/2022</c:v>
                </c:pt>
                <c:pt idx="349">
                  <c:v>05/2022</c:v>
                </c:pt>
                <c:pt idx="350">
                  <c:v>05/2022</c:v>
                </c:pt>
                <c:pt idx="351">
                  <c:v>05/2022</c:v>
                </c:pt>
                <c:pt idx="352">
                  <c:v>05/2022</c:v>
                </c:pt>
                <c:pt idx="353">
                  <c:v>05/2022</c:v>
                </c:pt>
                <c:pt idx="354">
                  <c:v>05/2022</c:v>
                </c:pt>
                <c:pt idx="355">
                  <c:v>05/2022</c:v>
                </c:pt>
                <c:pt idx="356">
                  <c:v>05/2022</c:v>
                </c:pt>
                <c:pt idx="357">
                  <c:v>05/2022</c:v>
                </c:pt>
                <c:pt idx="358">
                  <c:v>05/2022</c:v>
                </c:pt>
                <c:pt idx="359">
                  <c:v>05/2022</c:v>
                </c:pt>
                <c:pt idx="360">
                  <c:v>05/2022</c:v>
                </c:pt>
                <c:pt idx="361">
                  <c:v>05/2022</c:v>
                </c:pt>
                <c:pt idx="362">
                  <c:v>05/2022</c:v>
                </c:pt>
                <c:pt idx="363">
                  <c:v>05/2022</c:v>
                </c:pt>
                <c:pt idx="364">
                  <c:v>05/2022</c:v>
                </c:pt>
                <c:pt idx="365">
                  <c:v>05/2022</c:v>
                </c:pt>
                <c:pt idx="366">
                  <c:v>05/2022</c:v>
                </c:pt>
                <c:pt idx="367">
                  <c:v>05/2022</c:v>
                </c:pt>
                <c:pt idx="368">
                  <c:v>05/2022</c:v>
                </c:pt>
                <c:pt idx="369">
                  <c:v>05/2022</c:v>
                </c:pt>
                <c:pt idx="370">
                  <c:v>05/2022</c:v>
                </c:pt>
                <c:pt idx="371">
                  <c:v>05/2022</c:v>
                </c:pt>
                <c:pt idx="372">
                  <c:v>05/2022</c:v>
                </c:pt>
                <c:pt idx="373">
                  <c:v>05/2022</c:v>
                </c:pt>
                <c:pt idx="374">
                  <c:v>05/2022</c:v>
                </c:pt>
                <c:pt idx="375">
                  <c:v>05/2022</c:v>
                </c:pt>
                <c:pt idx="376">
                  <c:v>05/2022</c:v>
                </c:pt>
                <c:pt idx="377">
                  <c:v>05/2022</c:v>
                </c:pt>
                <c:pt idx="378">
                  <c:v>05/2022</c:v>
                </c:pt>
                <c:pt idx="379">
                  <c:v>05/2022</c:v>
                </c:pt>
                <c:pt idx="380">
                  <c:v>05/2022</c:v>
                </c:pt>
                <c:pt idx="381">
                  <c:v>05/2022</c:v>
                </c:pt>
                <c:pt idx="382">
                  <c:v>05/2022</c:v>
                </c:pt>
                <c:pt idx="383">
                  <c:v>05/2022</c:v>
                </c:pt>
                <c:pt idx="384">
                  <c:v>05/2022</c:v>
                </c:pt>
                <c:pt idx="385">
                  <c:v>05/2022</c:v>
                </c:pt>
                <c:pt idx="386">
                  <c:v>05/2022</c:v>
                </c:pt>
                <c:pt idx="387">
                  <c:v>05/2022</c:v>
                </c:pt>
                <c:pt idx="388">
                  <c:v>05/2022</c:v>
                </c:pt>
                <c:pt idx="389">
                  <c:v>05/2022</c:v>
                </c:pt>
                <c:pt idx="390">
                  <c:v>05/2022</c:v>
                </c:pt>
                <c:pt idx="391">
                  <c:v>05/2022</c:v>
                </c:pt>
                <c:pt idx="392">
                  <c:v>05/2022</c:v>
                </c:pt>
                <c:pt idx="393">
                  <c:v>05/2022</c:v>
                </c:pt>
                <c:pt idx="394">
                  <c:v>05/2022</c:v>
                </c:pt>
                <c:pt idx="395">
                  <c:v>05/2022</c:v>
                </c:pt>
                <c:pt idx="396">
                  <c:v>05/2022</c:v>
                </c:pt>
                <c:pt idx="397">
                  <c:v>05/2022</c:v>
                </c:pt>
                <c:pt idx="398">
                  <c:v>05/2022</c:v>
                </c:pt>
                <c:pt idx="399">
                  <c:v>05/2022</c:v>
                </c:pt>
                <c:pt idx="400">
                  <c:v>05/2022</c:v>
                </c:pt>
                <c:pt idx="401">
                  <c:v>05/2022</c:v>
                </c:pt>
                <c:pt idx="402">
                  <c:v>05/2022</c:v>
                </c:pt>
                <c:pt idx="403">
                  <c:v>05/2022</c:v>
                </c:pt>
                <c:pt idx="404">
                  <c:v>05/2022</c:v>
                </c:pt>
                <c:pt idx="405">
                  <c:v>05/2022</c:v>
                </c:pt>
                <c:pt idx="406">
                  <c:v>05/2022</c:v>
                </c:pt>
                <c:pt idx="407">
                  <c:v>05/2022</c:v>
                </c:pt>
                <c:pt idx="408">
                  <c:v>05/2022</c:v>
                </c:pt>
                <c:pt idx="409">
                  <c:v>06/2022</c:v>
                </c:pt>
                <c:pt idx="410">
                  <c:v>06/2022</c:v>
                </c:pt>
                <c:pt idx="411">
                  <c:v>06/2022</c:v>
                </c:pt>
                <c:pt idx="412">
                  <c:v>06/2022</c:v>
                </c:pt>
                <c:pt idx="413">
                  <c:v>06/2022</c:v>
                </c:pt>
                <c:pt idx="414">
                  <c:v>06/2022</c:v>
                </c:pt>
                <c:pt idx="415">
                  <c:v>06/2022</c:v>
                </c:pt>
                <c:pt idx="416">
                  <c:v>06/2022</c:v>
                </c:pt>
                <c:pt idx="417">
                  <c:v>06/2022</c:v>
                </c:pt>
                <c:pt idx="418">
                  <c:v>06/2022</c:v>
                </c:pt>
                <c:pt idx="419">
                  <c:v>06/2022</c:v>
                </c:pt>
                <c:pt idx="420">
                  <c:v>06/2022</c:v>
                </c:pt>
                <c:pt idx="421">
                  <c:v>06/2022</c:v>
                </c:pt>
                <c:pt idx="422">
                  <c:v>06/2022</c:v>
                </c:pt>
                <c:pt idx="423">
                  <c:v>06/2022</c:v>
                </c:pt>
                <c:pt idx="424">
                  <c:v>06/2022</c:v>
                </c:pt>
                <c:pt idx="425">
                  <c:v>06/2022</c:v>
                </c:pt>
                <c:pt idx="426">
                  <c:v>06/2022</c:v>
                </c:pt>
                <c:pt idx="427">
                  <c:v>06/2022</c:v>
                </c:pt>
                <c:pt idx="428">
                  <c:v>06/2022</c:v>
                </c:pt>
                <c:pt idx="429">
                  <c:v>06/2022</c:v>
                </c:pt>
                <c:pt idx="430">
                  <c:v>06/2022</c:v>
                </c:pt>
                <c:pt idx="431">
                  <c:v>06/2022</c:v>
                </c:pt>
                <c:pt idx="432">
                  <c:v>06/2022</c:v>
                </c:pt>
                <c:pt idx="433">
                  <c:v>06/2022</c:v>
                </c:pt>
                <c:pt idx="434">
                  <c:v>06/2022</c:v>
                </c:pt>
                <c:pt idx="435">
                  <c:v>06/2022</c:v>
                </c:pt>
                <c:pt idx="436">
                  <c:v>06/2022</c:v>
                </c:pt>
                <c:pt idx="437">
                  <c:v>06/2022</c:v>
                </c:pt>
                <c:pt idx="438">
                  <c:v>06/2022</c:v>
                </c:pt>
                <c:pt idx="439">
                  <c:v>06/2022</c:v>
                </c:pt>
                <c:pt idx="440">
                  <c:v>06/2022</c:v>
                </c:pt>
                <c:pt idx="441">
                  <c:v>06/2022</c:v>
                </c:pt>
                <c:pt idx="442">
                  <c:v>06/2022</c:v>
                </c:pt>
                <c:pt idx="443">
                  <c:v>06/2022</c:v>
                </c:pt>
                <c:pt idx="444">
                  <c:v>06/2022</c:v>
                </c:pt>
                <c:pt idx="445">
                  <c:v>06/2022</c:v>
                </c:pt>
                <c:pt idx="446">
                  <c:v>06/2022</c:v>
                </c:pt>
                <c:pt idx="447">
                  <c:v>06/2022</c:v>
                </c:pt>
                <c:pt idx="448">
                  <c:v>06/2022</c:v>
                </c:pt>
                <c:pt idx="449">
                  <c:v>06/2022</c:v>
                </c:pt>
                <c:pt idx="450">
                  <c:v>06/2022</c:v>
                </c:pt>
                <c:pt idx="451">
                  <c:v>06/2022</c:v>
                </c:pt>
                <c:pt idx="452">
                  <c:v>06/2022</c:v>
                </c:pt>
                <c:pt idx="453">
                  <c:v>06/2022</c:v>
                </c:pt>
                <c:pt idx="454">
                  <c:v>06/2022</c:v>
                </c:pt>
                <c:pt idx="455">
                  <c:v>06/2022</c:v>
                </c:pt>
                <c:pt idx="456">
                  <c:v>06/2022</c:v>
                </c:pt>
                <c:pt idx="457">
                  <c:v>06/2022</c:v>
                </c:pt>
                <c:pt idx="458">
                  <c:v>06/2022</c:v>
                </c:pt>
                <c:pt idx="459">
                  <c:v>06/2022</c:v>
                </c:pt>
                <c:pt idx="460">
                  <c:v>06/2022</c:v>
                </c:pt>
                <c:pt idx="461">
                  <c:v>06/2022</c:v>
                </c:pt>
                <c:pt idx="462">
                  <c:v>06/2022</c:v>
                </c:pt>
                <c:pt idx="463">
                  <c:v>06/2022</c:v>
                </c:pt>
                <c:pt idx="464">
                  <c:v>06/2022</c:v>
                </c:pt>
                <c:pt idx="465">
                  <c:v>06/2022</c:v>
                </c:pt>
                <c:pt idx="466">
                  <c:v>06/2022</c:v>
                </c:pt>
                <c:pt idx="467">
                  <c:v>06/2022</c:v>
                </c:pt>
                <c:pt idx="468">
                  <c:v>06/2022</c:v>
                </c:pt>
                <c:pt idx="469">
                  <c:v>06/2022</c:v>
                </c:pt>
                <c:pt idx="470">
                  <c:v>06/2022</c:v>
                </c:pt>
                <c:pt idx="471">
                  <c:v>06/2022</c:v>
                </c:pt>
                <c:pt idx="472">
                  <c:v>06/2022</c:v>
                </c:pt>
                <c:pt idx="473">
                  <c:v>06/2022</c:v>
                </c:pt>
                <c:pt idx="474">
                  <c:v>06/2022</c:v>
                </c:pt>
                <c:pt idx="475">
                  <c:v>06/2022</c:v>
                </c:pt>
                <c:pt idx="476">
                  <c:v>06/2022</c:v>
                </c:pt>
                <c:pt idx="477">
                  <c:v>06/2022</c:v>
                </c:pt>
                <c:pt idx="478">
                  <c:v>06/2022</c:v>
                </c:pt>
                <c:pt idx="479">
                  <c:v>06/2022</c:v>
                </c:pt>
                <c:pt idx="480">
                  <c:v>06/2022</c:v>
                </c:pt>
                <c:pt idx="481">
                  <c:v>06/2022</c:v>
                </c:pt>
                <c:pt idx="482">
                  <c:v>06/2022</c:v>
                </c:pt>
                <c:pt idx="483">
                  <c:v>06/2022</c:v>
                </c:pt>
                <c:pt idx="484">
                  <c:v>06/2022</c:v>
                </c:pt>
                <c:pt idx="485">
                  <c:v>06/2022</c:v>
                </c:pt>
                <c:pt idx="486">
                  <c:v>06/2022</c:v>
                </c:pt>
                <c:pt idx="487">
                  <c:v>06/2022</c:v>
                </c:pt>
                <c:pt idx="488">
                  <c:v>06/2022</c:v>
                </c:pt>
                <c:pt idx="489">
                  <c:v>06/2022</c:v>
                </c:pt>
                <c:pt idx="490">
                  <c:v>06/2022</c:v>
                </c:pt>
                <c:pt idx="491">
                  <c:v>06/2022</c:v>
                </c:pt>
                <c:pt idx="492">
                  <c:v>06/2022</c:v>
                </c:pt>
                <c:pt idx="493">
                  <c:v>07/2022</c:v>
                </c:pt>
                <c:pt idx="494">
                  <c:v>07/2022</c:v>
                </c:pt>
                <c:pt idx="495">
                  <c:v>07/2022</c:v>
                </c:pt>
                <c:pt idx="496">
                  <c:v>07/2022</c:v>
                </c:pt>
                <c:pt idx="497">
                  <c:v>07/2022</c:v>
                </c:pt>
                <c:pt idx="498">
                  <c:v>07/2022</c:v>
                </c:pt>
                <c:pt idx="499">
                  <c:v>07/2022</c:v>
                </c:pt>
                <c:pt idx="500">
                  <c:v>07/2022</c:v>
                </c:pt>
                <c:pt idx="501">
                  <c:v>07/2022</c:v>
                </c:pt>
                <c:pt idx="502">
                  <c:v>07/2022</c:v>
                </c:pt>
                <c:pt idx="503">
                  <c:v>07/2022</c:v>
                </c:pt>
                <c:pt idx="504">
                  <c:v>07/2022</c:v>
                </c:pt>
                <c:pt idx="505">
                  <c:v>07/2022</c:v>
                </c:pt>
                <c:pt idx="506">
                  <c:v>07/2022</c:v>
                </c:pt>
                <c:pt idx="507">
                  <c:v>07/2022</c:v>
                </c:pt>
                <c:pt idx="508">
                  <c:v>07/2022</c:v>
                </c:pt>
                <c:pt idx="509">
                  <c:v>07/2022</c:v>
                </c:pt>
                <c:pt idx="510">
                  <c:v>07/2022</c:v>
                </c:pt>
                <c:pt idx="511">
                  <c:v>07/2022</c:v>
                </c:pt>
                <c:pt idx="512">
                  <c:v>07/2022</c:v>
                </c:pt>
                <c:pt idx="513">
                  <c:v>07/2022</c:v>
                </c:pt>
                <c:pt idx="514">
                  <c:v>07/2022</c:v>
                </c:pt>
                <c:pt idx="515">
                  <c:v>07/2022</c:v>
                </c:pt>
                <c:pt idx="516">
                  <c:v>07/2022</c:v>
                </c:pt>
                <c:pt idx="517">
                  <c:v>07/2022</c:v>
                </c:pt>
                <c:pt idx="518">
                  <c:v>07/2022</c:v>
                </c:pt>
                <c:pt idx="519">
                  <c:v>07/2022</c:v>
                </c:pt>
                <c:pt idx="520">
                  <c:v>07/2022</c:v>
                </c:pt>
                <c:pt idx="521">
                  <c:v>07/2022</c:v>
                </c:pt>
                <c:pt idx="522">
                  <c:v>07/2022</c:v>
                </c:pt>
                <c:pt idx="523">
                  <c:v>07/2022</c:v>
                </c:pt>
                <c:pt idx="524">
                  <c:v>07/2022</c:v>
                </c:pt>
                <c:pt idx="525">
                  <c:v>07/2022</c:v>
                </c:pt>
                <c:pt idx="526">
                  <c:v>07/2022</c:v>
                </c:pt>
                <c:pt idx="527">
                  <c:v>07/2022</c:v>
                </c:pt>
                <c:pt idx="528">
                  <c:v>07/2022</c:v>
                </c:pt>
                <c:pt idx="529">
                  <c:v>07/2022</c:v>
                </c:pt>
                <c:pt idx="530">
                  <c:v>07/2022</c:v>
                </c:pt>
                <c:pt idx="531">
                  <c:v>07/2022</c:v>
                </c:pt>
                <c:pt idx="532">
                  <c:v>07/2022</c:v>
                </c:pt>
                <c:pt idx="533">
                  <c:v>07/2022</c:v>
                </c:pt>
                <c:pt idx="534">
                  <c:v>07/2022</c:v>
                </c:pt>
                <c:pt idx="535">
                  <c:v>07/2022</c:v>
                </c:pt>
                <c:pt idx="536">
                  <c:v>07/2022</c:v>
                </c:pt>
                <c:pt idx="537">
                  <c:v>07/2022</c:v>
                </c:pt>
                <c:pt idx="538">
                  <c:v>07/2022</c:v>
                </c:pt>
                <c:pt idx="539">
                  <c:v>07/2022</c:v>
                </c:pt>
                <c:pt idx="540">
                  <c:v>07/2022</c:v>
                </c:pt>
                <c:pt idx="541">
                  <c:v>07/2022</c:v>
                </c:pt>
                <c:pt idx="542">
                  <c:v>07/2022</c:v>
                </c:pt>
                <c:pt idx="543">
                  <c:v>07/2022</c:v>
                </c:pt>
                <c:pt idx="544">
                  <c:v>07/2022</c:v>
                </c:pt>
                <c:pt idx="545">
                  <c:v>07/2022</c:v>
                </c:pt>
                <c:pt idx="546">
                  <c:v>07/2022</c:v>
                </c:pt>
                <c:pt idx="547">
                  <c:v>07/2022</c:v>
                </c:pt>
                <c:pt idx="548">
                  <c:v>07/2022</c:v>
                </c:pt>
                <c:pt idx="549">
                  <c:v>07/2022</c:v>
                </c:pt>
                <c:pt idx="550">
                  <c:v>07/2022</c:v>
                </c:pt>
                <c:pt idx="551">
                  <c:v>07/2022</c:v>
                </c:pt>
                <c:pt idx="552">
                  <c:v>07/2022</c:v>
                </c:pt>
                <c:pt idx="553">
                  <c:v>07/2022</c:v>
                </c:pt>
                <c:pt idx="554">
                  <c:v>07/2022</c:v>
                </c:pt>
                <c:pt idx="555">
                  <c:v>07/2022</c:v>
                </c:pt>
                <c:pt idx="556">
                  <c:v>07/2022</c:v>
                </c:pt>
                <c:pt idx="557">
                  <c:v>07/2022</c:v>
                </c:pt>
                <c:pt idx="558">
                  <c:v>07/2022</c:v>
                </c:pt>
                <c:pt idx="559">
                  <c:v>07/2022</c:v>
                </c:pt>
                <c:pt idx="560">
                  <c:v>07/2022</c:v>
                </c:pt>
                <c:pt idx="561">
                  <c:v>07/2022</c:v>
                </c:pt>
                <c:pt idx="562">
                  <c:v>07/2022</c:v>
                </c:pt>
                <c:pt idx="563">
                  <c:v>07/2022</c:v>
                </c:pt>
                <c:pt idx="564">
                  <c:v>07/2022</c:v>
                </c:pt>
                <c:pt idx="565">
                  <c:v>07/2022</c:v>
                </c:pt>
                <c:pt idx="566">
                  <c:v>07/2022</c:v>
                </c:pt>
                <c:pt idx="567">
                  <c:v>07/2022</c:v>
                </c:pt>
                <c:pt idx="568">
                  <c:v>07/2022</c:v>
                </c:pt>
                <c:pt idx="569">
                  <c:v>07/2022</c:v>
                </c:pt>
                <c:pt idx="570">
                  <c:v>07/2022</c:v>
                </c:pt>
                <c:pt idx="571">
                  <c:v>07/2022</c:v>
                </c:pt>
                <c:pt idx="572">
                  <c:v>07/2022</c:v>
                </c:pt>
                <c:pt idx="573">
                  <c:v>07/2022</c:v>
                </c:pt>
                <c:pt idx="574">
                  <c:v>07/2022</c:v>
                </c:pt>
                <c:pt idx="575">
                  <c:v>07/2022</c:v>
                </c:pt>
                <c:pt idx="576">
                  <c:v>07/2022</c:v>
                </c:pt>
                <c:pt idx="577">
                  <c:v>07/2022</c:v>
                </c:pt>
                <c:pt idx="578">
                  <c:v>07/2022</c:v>
                </c:pt>
                <c:pt idx="579">
                  <c:v>07/2022</c:v>
                </c:pt>
                <c:pt idx="580">
                  <c:v>07/2022</c:v>
                </c:pt>
                <c:pt idx="581">
                  <c:v>07/2022</c:v>
                </c:pt>
                <c:pt idx="582">
                  <c:v>07/2022</c:v>
                </c:pt>
                <c:pt idx="583">
                  <c:v>07/2022</c:v>
                </c:pt>
                <c:pt idx="584">
                  <c:v>07/2022</c:v>
                </c:pt>
                <c:pt idx="585">
                  <c:v>07/2022</c:v>
                </c:pt>
                <c:pt idx="586">
                  <c:v>07/2022</c:v>
                </c:pt>
                <c:pt idx="587">
                  <c:v>07/2022</c:v>
                </c:pt>
              </c:strCache>
            </c:strRef>
          </c:cat>
          <c:val>
            <c:numRef>
              <c:f>'Discover Account'!$C$2:$C$589</c:f>
              <c:numCache>
                <c:formatCode>"$"#,##0.00_);[Red]\("$"#,##0.00\)</c:formatCode>
                <c:ptCount val="588"/>
                <c:pt idx="0">
                  <c:v>3599.69</c:v>
                </c:pt>
                <c:pt idx="1">
                  <c:v>3659.69</c:v>
                </c:pt>
                <c:pt idx="2">
                  <c:v>1859.69</c:v>
                </c:pt>
                <c:pt idx="3">
                  <c:v>1874.52</c:v>
                </c:pt>
                <c:pt idx="4">
                  <c:v>1884.51</c:v>
                </c:pt>
                <c:pt idx="5">
                  <c:v>1894.51</c:v>
                </c:pt>
                <c:pt idx="6">
                  <c:v>1907.5</c:v>
                </c:pt>
                <c:pt idx="7">
                  <c:v>1949.84</c:v>
                </c:pt>
                <c:pt idx="8">
                  <c:v>2029.2199999999998</c:v>
                </c:pt>
                <c:pt idx="9">
                  <c:v>2037.2199999999998</c:v>
                </c:pt>
                <c:pt idx="10">
                  <c:v>2067.1499999999996</c:v>
                </c:pt>
                <c:pt idx="11">
                  <c:v>2072.1399999999994</c:v>
                </c:pt>
                <c:pt idx="12">
                  <c:v>2104.7199999999993</c:v>
                </c:pt>
                <c:pt idx="13">
                  <c:v>2124.7199999999993</c:v>
                </c:pt>
                <c:pt idx="14">
                  <c:v>2127.2099999999991</c:v>
                </c:pt>
                <c:pt idx="15">
                  <c:v>2163.9299999999989</c:v>
                </c:pt>
                <c:pt idx="16">
                  <c:v>2213.9099999999989</c:v>
                </c:pt>
                <c:pt idx="17">
                  <c:v>2223.9999999999991</c:v>
                </c:pt>
                <c:pt idx="18">
                  <c:v>2433.9999999999991</c:v>
                </c:pt>
                <c:pt idx="19">
                  <c:v>2453.7999999999993</c:v>
                </c:pt>
                <c:pt idx="20">
                  <c:v>2468.8999999999992</c:v>
                </c:pt>
                <c:pt idx="21">
                  <c:v>273.97999999999911</c:v>
                </c:pt>
                <c:pt idx="22">
                  <c:v>304.8699999999991</c:v>
                </c:pt>
                <c:pt idx="23">
                  <c:v>275.78999999999911</c:v>
                </c:pt>
                <c:pt idx="24">
                  <c:v>282.07999999999913</c:v>
                </c:pt>
                <c:pt idx="25">
                  <c:v>297.96999999999912</c:v>
                </c:pt>
                <c:pt idx="26">
                  <c:v>350.37999999999909</c:v>
                </c:pt>
                <c:pt idx="27">
                  <c:v>371.8699999999991</c:v>
                </c:pt>
                <c:pt idx="28">
                  <c:v>406.88999999999908</c:v>
                </c:pt>
                <c:pt idx="29">
                  <c:v>468.88999999999908</c:v>
                </c:pt>
                <c:pt idx="30">
                  <c:v>495.37999999999909</c:v>
                </c:pt>
                <c:pt idx="31">
                  <c:v>498.3699999999991</c:v>
                </c:pt>
                <c:pt idx="32">
                  <c:v>522.51999999999907</c:v>
                </c:pt>
                <c:pt idx="33">
                  <c:v>535.19999999999902</c:v>
                </c:pt>
                <c:pt idx="34">
                  <c:v>605.19999999999902</c:v>
                </c:pt>
                <c:pt idx="35">
                  <c:v>610.48999999999899</c:v>
                </c:pt>
                <c:pt idx="36">
                  <c:v>792.93999999999892</c:v>
                </c:pt>
                <c:pt idx="37">
                  <c:v>946.81999999999891</c:v>
                </c:pt>
                <c:pt idx="38">
                  <c:v>959.43999999999892</c:v>
                </c:pt>
                <c:pt idx="39">
                  <c:v>983.14999999999895</c:v>
                </c:pt>
                <c:pt idx="40">
                  <c:v>996.13999999999896</c:v>
                </c:pt>
                <c:pt idx="41">
                  <c:v>1001.129999999999</c:v>
                </c:pt>
                <c:pt idx="42">
                  <c:v>1033.569999999999</c:v>
                </c:pt>
                <c:pt idx="43">
                  <c:v>1040.399999999999</c:v>
                </c:pt>
                <c:pt idx="44">
                  <c:v>1051.399999999999</c:v>
                </c:pt>
                <c:pt idx="45">
                  <c:v>1058.7599999999989</c:v>
                </c:pt>
                <c:pt idx="46">
                  <c:v>1091.7399999999989</c:v>
                </c:pt>
                <c:pt idx="47">
                  <c:v>1121.7299999999989</c:v>
                </c:pt>
                <c:pt idx="48">
                  <c:v>1144.5199999999988</c:v>
                </c:pt>
                <c:pt idx="49">
                  <c:v>1174.5199999999988</c:v>
                </c:pt>
                <c:pt idx="50">
                  <c:v>1253.5199999999988</c:v>
                </c:pt>
                <c:pt idx="51">
                  <c:v>1255.6899999999989</c:v>
                </c:pt>
                <c:pt idx="52">
                  <c:v>1257.5599999999988</c:v>
                </c:pt>
                <c:pt idx="53">
                  <c:v>1467.5599999999988</c:v>
                </c:pt>
                <c:pt idx="54">
                  <c:v>1497.5599999999988</c:v>
                </c:pt>
                <c:pt idx="55">
                  <c:v>1506.5599999999988</c:v>
                </c:pt>
                <c:pt idx="56">
                  <c:v>1512.2299999999989</c:v>
                </c:pt>
                <c:pt idx="57">
                  <c:v>1516.379999999999</c:v>
                </c:pt>
                <c:pt idx="58">
                  <c:v>1540.7399999999989</c:v>
                </c:pt>
                <c:pt idx="59">
                  <c:v>1547.5699999999988</c:v>
                </c:pt>
                <c:pt idx="60">
                  <c:v>1554.4299999999987</c:v>
                </c:pt>
                <c:pt idx="61">
                  <c:v>1584.4299999999987</c:v>
                </c:pt>
                <c:pt idx="62">
                  <c:v>1618.8099999999988</c:v>
                </c:pt>
                <c:pt idx="63">
                  <c:v>1629.5999999999988</c:v>
                </c:pt>
                <c:pt idx="64">
                  <c:v>1634.6099999999988</c:v>
                </c:pt>
                <c:pt idx="65">
                  <c:v>1644.9199999999987</c:v>
                </c:pt>
                <c:pt idx="66">
                  <c:v>1689.3799999999987</c:v>
                </c:pt>
                <c:pt idx="67">
                  <c:v>1733.3299999999988</c:v>
                </c:pt>
                <c:pt idx="68">
                  <c:v>1793.3299999999988</c:v>
                </c:pt>
                <c:pt idx="69">
                  <c:v>1808.1599999999987</c:v>
                </c:pt>
                <c:pt idx="70">
                  <c:v>1887.3499999999988</c:v>
                </c:pt>
                <c:pt idx="71">
                  <c:v>1897.3399999999988</c:v>
                </c:pt>
                <c:pt idx="72">
                  <c:v>1907.3399999999988</c:v>
                </c:pt>
                <c:pt idx="73">
                  <c:v>1920.3299999999988</c:v>
                </c:pt>
                <c:pt idx="74">
                  <c:v>1999.7099999999987</c:v>
                </c:pt>
                <c:pt idx="75">
                  <c:v>2013.4399999999987</c:v>
                </c:pt>
                <c:pt idx="76">
                  <c:v>2346.6299999999987</c:v>
                </c:pt>
                <c:pt idx="77">
                  <c:v>2357.2199999999989</c:v>
                </c:pt>
                <c:pt idx="78">
                  <c:v>2362.2099999999987</c:v>
                </c:pt>
                <c:pt idx="79">
                  <c:v>2379.2799999999988</c:v>
                </c:pt>
                <c:pt idx="80">
                  <c:v>2384.2799999999988</c:v>
                </c:pt>
                <c:pt idx="81">
                  <c:v>2388.9399999999987</c:v>
                </c:pt>
                <c:pt idx="82">
                  <c:v>655.60999999999876</c:v>
                </c:pt>
                <c:pt idx="83">
                  <c:v>671.49999999999875</c:v>
                </c:pt>
                <c:pt idx="84">
                  <c:v>666.49999999999875</c:v>
                </c:pt>
                <c:pt idx="85">
                  <c:v>675.69999999999879</c:v>
                </c:pt>
                <c:pt idx="86">
                  <c:v>689.80999999999881</c:v>
                </c:pt>
                <c:pt idx="87">
                  <c:v>709.80999999999881</c:v>
                </c:pt>
                <c:pt idx="88">
                  <c:v>724.79999999999882</c:v>
                </c:pt>
                <c:pt idx="89">
                  <c:v>751.38999999999885</c:v>
                </c:pt>
                <c:pt idx="90">
                  <c:v>800.38999999999885</c:v>
                </c:pt>
                <c:pt idx="91">
                  <c:v>812.38999999999885</c:v>
                </c:pt>
                <c:pt idx="92">
                  <c:v>882.38999999999885</c:v>
                </c:pt>
                <c:pt idx="93">
                  <c:v>887.67999999999881</c:v>
                </c:pt>
                <c:pt idx="94">
                  <c:v>858.38999999999885</c:v>
                </c:pt>
                <c:pt idx="95">
                  <c:v>928.96999999999889</c:v>
                </c:pt>
                <c:pt idx="96">
                  <c:v>157.86999999999887</c:v>
                </c:pt>
                <c:pt idx="97">
                  <c:v>168.86999999999887</c:v>
                </c:pt>
                <c:pt idx="98">
                  <c:v>198.86999999999887</c:v>
                </c:pt>
                <c:pt idx="99">
                  <c:v>213.02999999999886</c:v>
                </c:pt>
                <c:pt idx="100">
                  <c:v>214.64999999999887</c:v>
                </c:pt>
                <c:pt idx="101">
                  <c:v>341.34999999999889</c:v>
                </c:pt>
                <c:pt idx="102">
                  <c:v>471.52999999999889</c:v>
                </c:pt>
                <c:pt idx="103">
                  <c:v>480.84999999999889</c:v>
                </c:pt>
                <c:pt idx="104">
                  <c:v>498.84999999999889</c:v>
                </c:pt>
                <c:pt idx="105">
                  <c:v>528.83999999999889</c:v>
                </c:pt>
                <c:pt idx="106">
                  <c:v>547.72999999999888</c:v>
                </c:pt>
                <c:pt idx="107">
                  <c:v>578.74999999999886</c:v>
                </c:pt>
                <c:pt idx="108">
                  <c:v>620.11999999999887</c:v>
                </c:pt>
                <c:pt idx="109">
                  <c:v>669.24999999999886</c:v>
                </c:pt>
                <c:pt idx="110">
                  <c:v>674.18999999999892</c:v>
                </c:pt>
                <c:pt idx="111">
                  <c:v>712.60999999999888</c:v>
                </c:pt>
                <c:pt idx="112">
                  <c:v>723.5799999999989</c:v>
                </c:pt>
                <c:pt idx="113">
                  <c:v>734.54999999999893</c:v>
                </c:pt>
                <c:pt idx="114">
                  <c:v>752.13999999999896</c:v>
                </c:pt>
                <c:pt idx="115">
                  <c:v>768.55999999999892</c:v>
                </c:pt>
                <c:pt idx="116">
                  <c:v>778.54999999999893</c:v>
                </c:pt>
                <c:pt idx="117">
                  <c:v>805.53999999999894</c:v>
                </c:pt>
                <c:pt idx="118">
                  <c:v>815.53999999999894</c:v>
                </c:pt>
                <c:pt idx="119">
                  <c:v>855.69999999999891</c:v>
                </c:pt>
                <c:pt idx="120">
                  <c:v>858.48999999999887</c:v>
                </c:pt>
                <c:pt idx="121">
                  <c:v>867.96999999999889</c:v>
                </c:pt>
                <c:pt idx="122">
                  <c:v>948.18999999999892</c:v>
                </c:pt>
                <c:pt idx="123">
                  <c:v>985.75999999999897</c:v>
                </c:pt>
                <c:pt idx="124">
                  <c:v>998.849999999999</c:v>
                </c:pt>
                <c:pt idx="125">
                  <c:v>1078.2299999999991</c:v>
                </c:pt>
                <c:pt idx="126">
                  <c:v>1091.2199999999991</c:v>
                </c:pt>
                <c:pt idx="127">
                  <c:v>1103.1599999999992</c:v>
                </c:pt>
                <c:pt idx="128">
                  <c:v>1124.3799999999992</c:v>
                </c:pt>
                <c:pt idx="129">
                  <c:v>1130.3999999999992</c:v>
                </c:pt>
                <c:pt idx="130">
                  <c:v>1172.3999999999992</c:v>
                </c:pt>
                <c:pt idx="131">
                  <c:v>1197.3999999999992</c:v>
                </c:pt>
                <c:pt idx="132">
                  <c:v>1475.0099999999993</c:v>
                </c:pt>
                <c:pt idx="133">
                  <c:v>1522.5199999999993</c:v>
                </c:pt>
                <c:pt idx="134">
                  <c:v>1535.0399999999993</c:v>
                </c:pt>
                <c:pt idx="135">
                  <c:v>1612.6999999999994</c:v>
                </c:pt>
                <c:pt idx="136">
                  <c:v>1616.6999999999994</c:v>
                </c:pt>
                <c:pt idx="137">
                  <c:v>1697.3399999999995</c:v>
                </c:pt>
                <c:pt idx="138">
                  <c:v>1702.3299999999995</c:v>
                </c:pt>
                <c:pt idx="139">
                  <c:v>1737.3299999999995</c:v>
                </c:pt>
                <c:pt idx="140">
                  <c:v>1789.1299999999994</c:v>
                </c:pt>
                <c:pt idx="141">
                  <c:v>1821.7099999999994</c:v>
                </c:pt>
                <c:pt idx="142">
                  <c:v>1826.8399999999995</c:v>
                </c:pt>
                <c:pt idx="143">
                  <c:v>1851.7599999999995</c:v>
                </c:pt>
                <c:pt idx="144">
                  <c:v>1891.7599999999995</c:v>
                </c:pt>
                <c:pt idx="145">
                  <c:v>1926.7599999999995</c:v>
                </c:pt>
                <c:pt idx="146">
                  <c:v>1192.2099999999996</c:v>
                </c:pt>
                <c:pt idx="147">
                  <c:v>1197.3999999999996</c:v>
                </c:pt>
                <c:pt idx="148">
                  <c:v>1218.5199999999995</c:v>
                </c:pt>
                <c:pt idx="149">
                  <c:v>1229.1099999999994</c:v>
                </c:pt>
                <c:pt idx="150">
                  <c:v>1244.9999999999995</c:v>
                </c:pt>
                <c:pt idx="151">
                  <c:v>1278.1299999999997</c:v>
                </c:pt>
                <c:pt idx="152">
                  <c:v>1308.1299999999997</c:v>
                </c:pt>
                <c:pt idx="153">
                  <c:v>1369.9099999999996</c:v>
                </c:pt>
                <c:pt idx="154">
                  <c:v>1423.9099999999996</c:v>
                </c:pt>
                <c:pt idx="155">
                  <c:v>1445.9099999999996</c:v>
                </c:pt>
                <c:pt idx="156">
                  <c:v>1457.4099999999996</c:v>
                </c:pt>
                <c:pt idx="157">
                  <c:v>1537.3099999999997</c:v>
                </c:pt>
                <c:pt idx="158">
                  <c:v>1545.8399999999997</c:v>
                </c:pt>
                <c:pt idx="159">
                  <c:v>1595.2699999999998</c:v>
                </c:pt>
                <c:pt idx="160">
                  <c:v>1643.5999999999997</c:v>
                </c:pt>
                <c:pt idx="161">
                  <c:v>1691.8299999999997</c:v>
                </c:pt>
                <c:pt idx="162">
                  <c:v>1751.8299999999997</c:v>
                </c:pt>
                <c:pt idx="163">
                  <c:v>1781.8299999999997</c:v>
                </c:pt>
                <c:pt idx="164">
                  <c:v>1796.8199999999997</c:v>
                </c:pt>
                <c:pt idx="165">
                  <c:v>1797.6799999999996</c:v>
                </c:pt>
                <c:pt idx="166">
                  <c:v>1806.9099999999996</c:v>
                </c:pt>
                <c:pt idx="167">
                  <c:v>1826.7599999999995</c:v>
                </c:pt>
                <c:pt idx="168">
                  <c:v>1893.7099999999996</c:v>
                </c:pt>
                <c:pt idx="169">
                  <c:v>1941.3099999999995</c:v>
                </c:pt>
                <c:pt idx="170">
                  <c:v>1953.3099999999995</c:v>
                </c:pt>
                <c:pt idx="171">
                  <c:v>2023.3099999999995</c:v>
                </c:pt>
                <c:pt idx="172">
                  <c:v>2044.1699999999994</c:v>
                </c:pt>
                <c:pt idx="173">
                  <c:v>2050.1599999999994</c:v>
                </c:pt>
                <c:pt idx="174">
                  <c:v>2055.4499999999994</c:v>
                </c:pt>
                <c:pt idx="175">
                  <c:v>2065.4499999999994</c:v>
                </c:pt>
                <c:pt idx="176">
                  <c:v>2123.3499999999995</c:v>
                </c:pt>
                <c:pt idx="177">
                  <c:v>2249.5499999999993</c:v>
                </c:pt>
                <c:pt idx="178">
                  <c:v>2349.5499999999993</c:v>
                </c:pt>
                <c:pt idx="179">
                  <c:v>2363.7499999999991</c:v>
                </c:pt>
                <c:pt idx="180">
                  <c:v>2401.2499999999991</c:v>
                </c:pt>
                <c:pt idx="181">
                  <c:v>2731.059999999999</c:v>
                </c:pt>
                <c:pt idx="182">
                  <c:v>2785.349999999999</c:v>
                </c:pt>
                <c:pt idx="183">
                  <c:v>2798.5099999999989</c:v>
                </c:pt>
                <c:pt idx="184">
                  <c:v>2063.9599999999991</c:v>
                </c:pt>
                <c:pt idx="185">
                  <c:v>2074.369999999999</c:v>
                </c:pt>
                <c:pt idx="186">
                  <c:v>2313.599999999999</c:v>
                </c:pt>
                <c:pt idx="187">
                  <c:v>2345.1299999999992</c:v>
                </c:pt>
                <c:pt idx="188">
                  <c:v>2360.1299999999992</c:v>
                </c:pt>
                <c:pt idx="189">
                  <c:v>1860.1299999999992</c:v>
                </c:pt>
                <c:pt idx="190">
                  <c:v>2252.1299999999992</c:v>
                </c:pt>
                <c:pt idx="191">
                  <c:v>2296.329999999999</c:v>
                </c:pt>
                <c:pt idx="192">
                  <c:v>2306.329999999999</c:v>
                </c:pt>
                <c:pt idx="193">
                  <c:v>2318.329999999999</c:v>
                </c:pt>
                <c:pt idx="194">
                  <c:v>2322.139999999999</c:v>
                </c:pt>
                <c:pt idx="195">
                  <c:v>2338.139999999999</c:v>
                </c:pt>
                <c:pt idx="196">
                  <c:v>2357.2599999999989</c:v>
                </c:pt>
                <c:pt idx="197">
                  <c:v>2381.829999999999</c:v>
                </c:pt>
                <c:pt idx="198">
                  <c:v>2423.639999999999</c:v>
                </c:pt>
                <c:pt idx="199">
                  <c:v>2500.639999999999</c:v>
                </c:pt>
                <c:pt idx="200">
                  <c:v>2530.4699999999989</c:v>
                </c:pt>
                <c:pt idx="201">
                  <c:v>2610.4599999999987</c:v>
                </c:pt>
                <c:pt idx="202">
                  <c:v>2626.8799999999987</c:v>
                </c:pt>
                <c:pt idx="203">
                  <c:v>2636.8699999999985</c:v>
                </c:pt>
                <c:pt idx="204">
                  <c:v>2646.8699999999985</c:v>
                </c:pt>
                <c:pt idx="205">
                  <c:v>2659.8599999999983</c:v>
                </c:pt>
                <c:pt idx="206">
                  <c:v>2677.4899999999984</c:v>
                </c:pt>
                <c:pt idx="207">
                  <c:v>2727.8099999999986</c:v>
                </c:pt>
                <c:pt idx="208">
                  <c:v>2807.1899999999987</c:v>
                </c:pt>
                <c:pt idx="209">
                  <c:v>2817.7799999999988</c:v>
                </c:pt>
                <c:pt idx="210">
                  <c:v>2861.7799999999988</c:v>
                </c:pt>
                <c:pt idx="211">
                  <c:v>2866.5399999999991</c:v>
                </c:pt>
                <c:pt idx="212">
                  <c:v>2899.0899999999992</c:v>
                </c:pt>
                <c:pt idx="213">
                  <c:v>2910.2199999999993</c:v>
                </c:pt>
                <c:pt idx="214">
                  <c:v>3010.2199999999993</c:v>
                </c:pt>
                <c:pt idx="215">
                  <c:v>3068.7399999999993</c:v>
                </c:pt>
                <c:pt idx="216">
                  <c:v>2133.8899999999994</c:v>
                </c:pt>
                <c:pt idx="217">
                  <c:v>2068.7399999999993</c:v>
                </c:pt>
                <c:pt idx="218">
                  <c:v>2118.7399999999993</c:v>
                </c:pt>
                <c:pt idx="219">
                  <c:v>2123.7299999999991</c:v>
                </c:pt>
                <c:pt idx="220">
                  <c:v>2147.079999999999</c:v>
                </c:pt>
                <c:pt idx="221">
                  <c:v>2159.7199999999989</c:v>
                </c:pt>
                <c:pt idx="222">
                  <c:v>2172.619999999999</c:v>
                </c:pt>
                <c:pt idx="223">
                  <c:v>2345.2899999999991</c:v>
                </c:pt>
                <c:pt idx="224">
                  <c:v>2360.7899999999991</c:v>
                </c:pt>
                <c:pt idx="225">
                  <c:v>2366.3199999999993</c:v>
                </c:pt>
                <c:pt idx="226">
                  <c:v>2382.2099999999991</c:v>
                </c:pt>
                <c:pt idx="227">
                  <c:v>2387.2099999999991</c:v>
                </c:pt>
                <c:pt idx="228">
                  <c:v>2398.3999999999992</c:v>
                </c:pt>
                <c:pt idx="229">
                  <c:v>2408.389999999999</c:v>
                </c:pt>
                <c:pt idx="230">
                  <c:v>2421.2899999999991</c:v>
                </c:pt>
                <c:pt idx="231">
                  <c:v>2436.1499999999992</c:v>
                </c:pt>
                <c:pt idx="232">
                  <c:v>2478.579999999999</c:v>
                </c:pt>
                <c:pt idx="233">
                  <c:v>2486.579999999999</c:v>
                </c:pt>
                <c:pt idx="234">
                  <c:v>2544.1299999999992</c:v>
                </c:pt>
                <c:pt idx="235">
                  <c:v>2549.1299999999992</c:v>
                </c:pt>
                <c:pt idx="236">
                  <c:v>2565.0199999999991</c:v>
                </c:pt>
                <c:pt idx="237">
                  <c:v>2628.6799999999989</c:v>
                </c:pt>
                <c:pt idx="238">
                  <c:v>2658.6799999999989</c:v>
                </c:pt>
                <c:pt idx="239">
                  <c:v>2680.389999999999</c:v>
                </c:pt>
                <c:pt idx="240">
                  <c:v>2731.6999999999989</c:v>
                </c:pt>
                <c:pt idx="241">
                  <c:v>2739.599999999999</c:v>
                </c:pt>
                <c:pt idx="242">
                  <c:v>2771.389999999999</c:v>
                </c:pt>
                <c:pt idx="243">
                  <c:v>2842.9399999999991</c:v>
                </c:pt>
                <c:pt idx="244">
                  <c:v>2861.4099999999989</c:v>
                </c:pt>
                <c:pt idx="245">
                  <c:v>2890.5899999999988</c:v>
                </c:pt>
                <c:pt idx="246">
                  <c:v>2905.5799999999986</c:v>
                </c:pt>
                <c:pt idx="247">
                  <c:v>2975.5799999999986</c:v>
                </c:pt>
                <c:pt idx="248">
                  <c:v>3025.0599999999986</c:v>
                </c:pt>
                <c:pt idx="249">
                  <c:v>3030.2899999999986</c:v>
                </c:pt>
                <c:pt idx="250">
                  <c:v>3039.8899999999985</c:v>
                </c:pt>
                <c:pt idx="251">
                  <c:v>3066.0599999999986</c:v>
                </c:pt>
                <c:pt idx="252">
                  <c:v>3070.3199999999988</c:v>
                </c:pt>
                <c:pt idx="253">
                  <c:v>3101.0299999999988</c:v>
                </c:pt>
                <c:pt idx="254">
                  <c:v>3105.6299999999987</c:v>
                </c:pt>
                <c:pt idx="255">
                  <c:v>3144.0599999999986</c:v>
                </c:pt>
                <c:pt idx="256">
                  <c:v>3177.6199999999985</c:v>
                </c:pt>
                <c:pt idx="257">
                  <c:v>3247.6199999999985</c:v>
                </c:pt>
                <c:pt idx="258">
                  <c:v>3267.4799999999987</c:v>
                </c:pt>
                <c:pt idx="259">
                  <c:v>3272.6999999999985</c:v>
                </c:pt>
                <c:pt idx="260">
                  <c:v>3307.9499999999985</c:v>
                </c:pt>
                <c:pt idx="261">
                  <c:v>3407.9499999999985</c:v>
                </c:pt>
                <c:pt idx="262">
                  <c:v>3437.9499999999985</c:v>
                </c:pt>
                <c:pt idx="263">
                  <c:v>3447.9499999999985</c:v>
                </c:pt>
                <c:pt idx="264">
                  <c:v>3452.9799999999987</c:v>
                </c:pt>
                <c:pt idx="265">
                  <c:v>3458.2699999999986</c:v>
                </c:pt>
                <c:pt idx="266">
                  <c:v>3505.6099999999988</c:v>
                </c:pt>
                <c:pt idx="267">
                  <c:v>3553.0699999999988</c:v>
                </c:pt>
                <c:pt idx="268">
                  <c:v>3623.6499999999987</c:v>
                </c:pt>
                <c:pt idx="269">
                  <c:v>3674.8999999999987</c:v>
                </c:pt>
                <c:pt idx="270">
                  <c:v>3694.1599999999989</c:v>
                </c:pt>
                <c:pt idx="271">
                  <c:v>3727.7099999999991</c:v>
                </c:pt>
                <c:pt idx="272">
                  <c:v>3735.7099999999991</c:v>
                </c:pt>
                <c:pt idx="273">
                  <c:v>3753.3999999999992</c:v>
                </c:pt>
                <c:pt idx="274">
                  <c:v>3762.0199999999991</c:v>
                </c:pt>
                <c:pt idx="275">
                  <c:v>3772.639999999999</c:v>
                </c:pt>
                <c:pt idx="276">
                  <c:v>3780.0699999999988</c:v>
                </c:pt>
                <c:pt idx="277">
                  <c:v>3790.6899999999987</c:v>
                </c:pt>
                <c:pt idx="278">
                  <c:v>3803.2599999999989</c:v>
                </c:pt>
                <c:pt idx="279">
                  <c:v>3827.2599999999989</c:v>
                </c:pt>
                <c:pt idx="280">
                  <c:v>3859.829999999999</c:v>
                </c:pt>
                <c:pt idx="281">
                  <c:v>3880.4199999999992</c:v>
                </c:pt>
                <c:pt idx="282">
                  <c:v>3895.6099999999992</c:v>
                </c:pt>
                <c:pt idx="283">
                  <c:v>3925.9699999999993</c:v>
                </c:pt>
                <c:pt idx="284">
                  <c:v>3933.3999999999992</c:v>
                </c:pt>
                <c:pt idx="285">
                  <c:v>3954.3599999999992</c:v>
                </c:pt>
                <c:pt idx="286">
                  <c:v>3960.5899999999992</c:v>
                </c:pt>
                <c:pt idx="287">
                  <c:v>3964.1799999999994</c:v>
                </c:pt>
                <c:pt idx="288">
                  <c:v>3992.0199999999995</c:v>
                </c:pt>
                <c:pt idx="289">
                  <c:v>4042.0199999999995</c:v>
                </c:pt>
                <c:pt idx="290">
                  <c:v>4072.0199999999995</c:v>
                </c:pt>
                <c:pt idx="291">
                  <c:v>4088.2999999999997</c:v>
                </c:pt>
                <c:pt idx="292">
                  <c:v>4157.2999999999993</c:v>
                </c:pt>
                <c:pt idx="293">
                  <c:v>4200.7299999999996</c:v>
                </c:pt>
                <c:pt idx="294">
                  <c:v>4246.3999999999996</c:v>
                </c:pt>
                <c:pt idx="295">
                  <c:v>4267.1899999999996</c:v>
                </c:pt>
                <c:pt idx="296">
                  <c:v>4317.6699999999992</c:v>
                </c:pt>
                <c:pt idx="297">
                  <c:v>4328.2599999999993</c:v>
                </c:pt>
                <c:pt idx="298">
                  <c:v>4338.2499999999991</c:v>
                </c:pt>
                <c:pt idx="299">
                  <c:v>4339.329999999999</c:v>
                </c:pt>
                <c:pt idx="300">
                  <c:v>4343.119999999999</c:v>
                </c:pt>
                <c:pt idx="301">
                  <c:v>4353.119999999999</c:v>
                </c:pt>
                <c:pt idx="302">
                  <c:v>4390.619999999999</c:v>
                </c:pt>
                <c:pt idx="303">
                  <c:v>4471.2199999999993</c:v>
                </c:pt>
                <c:pt idx="304">
                  <c:v>4620.2199999999993</c:v>
                </c:pt>
                <c:pt idx="305">
                  <c:v>4647.6299999999992</c:v>
                </c:pt>
                <c:pt idx="306">
                  <c:v>4796.6299999999992</c:v>
                </c:pt>
                <c:pt idx="307">
                  <c:v>4876.0099999999993</c:v>
                </c:pt>
                <c:pt idx="308">
                  <c:v>4883.9799999999996</c:v>
                </c:pt>
                <c:pt idx="309">
                  <c:v>4914.3799999999992</c:v>
                </c:pt>
                <c:pt idx="310">
                  <c:v>5125.9499999999989</c:v>
                </c:pt>
                <c:pt idx="311">
                  <c:v>5168.9299999999985</c:v>
                </c:pt>
                <c:pt idx="312">
                  <c:v>5275.3299999999981</c:v>
                </c:pt>
                <c:pt idx="313">
                  <c:v>5285.3299999999981</c:v>
                </c:pt>
                <c:pt idx="314">
                  <c:v>5317.8999999999978</c:v>
                </c:pt>
                <c:pt idx="315">
                  <c:v>5350.4699999999975</c:v>
                </c:pt>
                <c:pt idx="316">
                  <c:v>5372.1799999999976</c:v>
                </c:pt>
                <c:pt idx="317">
                  <c:v>5404.7499999999973</c:v>
                </c:pt>
                <c:pt idx="318">
                  <c:v>5421.5599999999977</c:v>
                </c:pt>
                <c:pt idx="319">
                  <c:v>5468.3199999999979</c:v>
                </c:pt>
                <c:pt idx="320">
                  <c:v>4468.3199999999979</c:v>
                </c:pt>
                <c:pt idx="321">
                  <c:v>4473.3199999999979</c:v>
                </c:pt>
                <c:pt idx="322">
                  <c:v>4485.1199999999981</c:v>
                </c:pt>
                <c:pt idx="323">
                  <c:v>4498.3699999999981</c:v>
                </c:pt>
                <c:pt idx="324">
                  <c:v>4503.3699999999981</c:v>
                </c:pt>
                <c:pt idx="325">
                  <c:v>4531.3599999999979</c:v>
                </c:pt>
                <c:pt idx="326">
                  <c:v>4541.3499999999976</c:v>
                </c:pt>
                <c:pt idx="327">
                  <c:v>4549.2499999999973</c:v>
                </c:pt>
                <c:pt idx="328">
                  <c:v>4565.1099999999969</c:v>
                </c:pt>
                <c:pt idx="329">
                  <c:v>4570.1099999999969</c:v>
                </c:pt>
                <c:pt idx="330">
                  <c:v>4589.5199999999968</c:v>
                </c:pt>
                <c:pt idx="331">
                  <c:v>4625.8799999999965</c:v>
                </c:pt>
                <c:pt idx="332">
                  <c:v>4711.6399999999967</c:v>
                </c:pt>
                <c:pt idx="333">
                  <c:v>4760.3599999999969</c:v>
                </c:pt>
                <c:pt idx="334">
                  <c:v>4822.3599999999969</c:v>
                </c:pt>
                <c:pt idx="335">
                  <c:v>5600.3599999999969</c:v>
                </c:pt>
                <c:pt idx="336">
                  <c:v>5661.9799999999968</c:v>
                </c:pt>
                <c:pt idx="337">
                  <c:v>5671.9799999999968</c:v>
                </c:pt>
                <c:pt idx="338">
                  <c:v>5741.9799999999968</c:v>
                </c:pt>
                <c:pt idx="339">
                  <c:v>5746.9799999999968</c:v>
                </c:pt>
                <c:pt idx="340">
                  <c:v>5754.8799999999965</c:v>
                </c:pt>
                <c:pt idx="341">
                  <c:v>5761.3099999999968</c:v>
                </c:pt>
                <c:pt idx="342">
                  <c:v>5826.0399999999963</c:v>
                </c:pt>
                <c:pt idx="343">
                  <c:v>5839.6999999999962</c:v>
                </c:pt>
                <c:pt idx="344">
                  <c:v>5893.9799999999959</c:v>
                </c:pt>
                <c:pt idx="345">
                  <c:v>5906.8399999999956</c:v>
                </c:pt>
                <c:pt idx="346">
                  <c:v>5945.9499999999953</c:v>
                </c:pt>
                <c:pt idx="347">
                  <c:v>5956.5699999999952</c:v>
                </c:pt>
                <c:pt idx="348">
                  <c:v>5978.2399999999952</c:v>
                </c:pt>
                <c:pt idx="349">
                  <c:v>6008.2199999999948</c:v>
                </c:pt>
                <c:pt idx="350">
                  <c:v>6025.5499999999947</c:v>
                </c:pt>
                <c:pt idx="351">
                  <c:v>6041.4399999999951</c:v>
                </c:pt>
                <c:pt idx="352">
                  <c:v>6053.6599999999953</c:v>
                </c:pt>
                <c:pt idx="353">
                  <c:v>6091.1599999999953</c:v>
                </c:pt>
                <c:pt idx="354">
                  <c:v>6097.7599999999957</c:v>
                </c:pt>
                <c:pt idx="355">
                  <c:v>6145.4599999999955</c:v>
                </c:pt>
                <c:pt idx="356">
                  <c:v>6150.4599999999955</c:v>
                </c:pt>
                <c:pt idx="357">
                  <c:v>6168.7799999999952</c:v>
                </c:pt>
                <c:pt idx="358">
                  <c:v>6196.9599999999955</c:v>
                </c:pt>
                <c:pt idx="359">
                  <c:v>6206.9599999999955</c:v>
                </c:pt>
                <c:pt idx="360">
                  <c:v>6216.3699999999953</c:v>
                </c:pt>
                <c:pt idx="361">
                  <c:v>6237.0699999999952</c:v>
                </c:pt>
                <c:pt idx="362">
                  <c:v>6267.0699999999952</c:v>
                </c:pt>
                <c:pt idx="363">
                  <c:v>6273.3299999999954</c:v>
                </c:pt>
                <c:pt idx="364">
                  <c:v>6346.729999999995</c:v>
                </c:pt>
                <c:pt idx="365">
                  <c:v>6350.8099999999949</c:v>
                </c:pt>
                <c:pt idx="366">
                  <c:v>6358.2399999999952</c:v>
                </c:pt>
                <c:pt idx="367">
                  <c:v>6369.0899999999956</c:v>
                </c:pt>
                <c:pt idx="368">
                  <c:v>6377.5899999999956</c:v>
                </c:pt>
                <c:pt idx="369">
                  <c:v>6389.2399999999952</c:v>
                </c:pt>
                <c:pt idx="370">
                  <c:v>6428.3299999999954</c:v>
                </c:pt>
                <c:pt idx="371">
                  <c:v>6498.3299999999954</c:v>
                </c:pt>
                <c:pt idx="372">
                  <c:v>6501.3299999999954</c:v>
                </c:pt>
                <c:pt idx="373">
                  <c:v>6520.8899999999958</c:v>
                </c:pt>
                <c:pt idx="374">
                  <c:v>6540.4599999999955</c:v>
                </c:pt>
                <c:pt idx="375">
                  <c:v>6605.6399999999958</c:v>
                </c:pt>
                <c:pt idx="376">
                  <c:v>6623.9299999999957</c:v>
                </c:pt>
                <c:pt idx="377">
                  <c:v>6647.2299999999959</c:v>
                </c:pt>
                <c:pt idx="378">
                  <c:v>6678.1699999999955</c:v>
                </c:pt>
                <c:pt idx="379">
                  <c:v>6705.0199999999959</c:v>
                </c:pt>
                <c:pt idx="380">
                  <c:v>6663.7899999999963</c:v>
                </c:pt>
                <c:pt idx="381">
                  <c:v>5663.7899999999963</c:v>
                </c:pt>
                <c:pt idx="382">
                  <c:v>5674.4099999999962</c:v>
                </c:pt>
                <c:pt idx="383">
                  <c:v>5679.6999999999962</c:v>
                </c:pt>
                <c:pt idx="384">
                  <c:v>5684.9999999999964</c:v>
                </c:pt>
                <c:pt idx="385">
                  <c:v>5712.0599999999968</c:v>
                </c:pt>
                <c:pt idx="386">
                  <c:v>5782.6399999999967</c:v>
                </c:pt>
                <c:pt idx="387">
                  <c:v>5789.8399999999965</c:v>
                </c:pt>
                <c:pt idx="388">
                  <c:v>5837.8899999999967</c:v>
                </c:pt>
                <c:pt idx="389">
                  <c:v>5847.279999999997</c:v>
                </c:pt>
                <c:pt idx="390">
                  <c:v>5877.3599999999969</c:v>
                </c:pt>
                <c:pt idx="391">
                  <c:v>5885.0199999999968</c:v>
                </c:pt>
                <c:pt idx="392">
                  <c:v>5894.7099999999964</c:v>
                </c:pt>
                <c:pt idx="393">
                  <c:v>5899.0599999999968</c:v>
                </c:pt>
                <c:pt idx="394">
                  <c:v>5911.6599999999971</c:v>
                </c:pt>
                <c:pt idx="395">
                  <c:v>5933.3099999999968</c:v>
                </c:pt>
                <c:pt idx="396">
                  <c:v>5936.8699999999972</c:v>
                </c:pt>
                <c:pt idx="397">
                  <c:v>5944.529999999997</c:v>
                </c:pt>
                <c:pt idx="398">
                  <c:v>5957.6799999999967</c:v>
                </c:pt>
                <c:pt idx="399">
                  <c:v>5967.069999999997</c:v>
                </c:pt>
                <c:pt idx="400">
                  <c:v>5976.819999999997</c:v>
                </c:pt>
                <c:pt idx="401">
                  <c:v>6015.8099999999968</c:v>
                </c:pt>
                <c:pt idx="402">
                  <c:v>6032.0899999999965</c:v>
                </c:pt>
                <c:pt idx="403">
                  <c:v>6035.2599999999966</c:v>
                </c:pt>
                <c:pt idx="404">
                  <c:v>6078.6899999999969</c:v>
                </c:pt>
                <c:pt idx="405">
                  <c:v>6096.2099999999973</c:v>
                </c:pt>
                <c:pt idx="406">
                  <c:v>6128.3499999999976</c:v>
                </c:pt>
                <c:pt idx="407">
                  <c:v>6141.7099999999973</c:v>
                </c:pt>
                <c:pt idx="408">
                  <c:v>6147.1199999999972</c:v>
                </c:pt>
                <c:pt idx="409">
                  <c:v>6246.3599999999969</c:v>
                </c:pt>
                <c:pt idx="410">
                  <c:v>6256.9499999999971</c:v>
                </c:pt>
                <c:pt idx="411">
                  <c:v>6266.9399999999969</c:v>
                </c:pt>
                <c:pt idx="412">
                  <c:v>6276.9399999999969</c:v>
                </c:pt>
                <c:pt idx="413">
                  <c:v>5276.9399999999969</c:v>
                </c:pt>
                <c:pt idx="414">
                  <c:v>5356.319999999997</c:v>
                </c:pt>
                <c:pt idx="415">
                  <c:v>5365.6399999999967</c:v>
                </c:pt>
                <c:pt idx="416">
                  <c:v>5372.1399999999967</c:v>
                </c:pt>
                <c:pt idx="417">
                  <c:v>5393.3299999999963</c:v>
                </c:pt>
                <c:pt idx="418">
                  <c:v>5827.2799999999961</c:v>
                </c:pt>
                <c:pt idx="419">
                  <c:v>5833.649999999996</c:v>
                </c:pt>
                <c:pt idx="420">
                  <c:v>5843.6399999999958</c:v>
                </c:pt>
                <c:pt idx="421">
                  <c:v>5856.3899999999958</c:v>
                </c:pt>
                <c:pt idx="422">
                  <c:v>5864.3199999999961</c:v>
                </c:pt>
                <c:pt idx="423">
                  <c:v>5915.7299999999959</c:v>
                </c:pt>
                <c:pt idx="424">
                  <c:v>5929.0899999999956</c:v>
                </c:pt>
                <c:pt idx="425">
                  <c:v>5981.5399999999954</c:v>
                </c:pt>
                <c:pt idx="426">
                  <c:v>6000.3399999999956</c:v>
                </c:pt>
                <c:pt idx="427">
                  <c:v>6010.9599999999955</c:v>
                </c:pt>
                <c:pt idx="428">
                  <c:v>6019.4599999999955</c:v>
                </c:pt>
                <c:pt idx="429">
                  <c:v>6035.3499999999958</c:v>
                </c:pt>
                <c:pt idx="430">
                  <c:v>6079.5899999999956</c:v>
                </c:pt>
                <c:pt idx="431">
                  <c:v>6170.5899999999956</c:v>
                </c:pt>
                <c:pt idx="432">
                  <c:v>6324.8299999999954</c:v>
                </c:pt>
                <c:pt idx="433">
                  <c:v>6341.1099999999951</c:v>
                </c:pt>
                <c:pt idx="434">
                  <c:v>6366.0799999999954</c:v>
                </c:pt>
                <c:pt idx="435">
                  <c:v>6476.0799999999954</c:v>
                </c:pt>
                <c:pt idx="436">
                  <c:v>6504.0599999999949</c:v>
                </c:pt>
                <c:pt idx="437">
                  <c:v>6531.2399999999952</c:v>
                </c:pt>
                <c:pt idx="438">
                  <c:v>6546.4299999999948</c:v>
                </c:pt>
                <c:pt idx="439">
                  <c:v>6554.019999999995</c:v>
                </c:pt>
                <c:pt idx="440">
                  <c:v>6570.2999999999947</c:v>
                </c:pt>
                <c:pt idx="441">
                  <c:v>6582.2399999999943</c:v>
                </c:pt>
                <c:pt idx="442">
                  <c:v>6594.1799999999939</c:v>
                </c:pt>
                <c:pt idx="443">
                  <c:v>6601.6099999999942</c:v>
                </c:pt>
                <c:pt idx="444">
                  <c:v>6605.3999999999942</c:v>
                </c:pt>
                <c:pt idx="445">
                  <c:v>6664.7199999999939</c:v>
                </c:pt>
                <c:pt idx="446">
                  <c:v>6675.5699999999943</c:v>
                </c:pt>
                <c:pt idx="447">
                  <c:v>6684.0699999999943</c:v>
                </c:pt>
                <c:pt idx="448">
                  <c:v>4684.0699999999943</c:v>
                </c:pt>
                <c:pt idx="449">
                  <c:v>4722.0699999999943</c:v>
                </c:pt>
                <c:pt idx="450">
                  <c:v>4792.0699999999943</c:v>
                </c:pt>
                <c:pt idx="451">
                  <c:v>4796.3299999999945</c:v>
                </c:pt>
                <c:pt idx="452">
                  <c:v>4801.6199999999944</c:v>
                </c:pt>
                <c:pt idx="453">
                  <c:v>4894.5499999999947</c:v>
                </c:pt>
                <c:pt idx="454">
                  <c:v>4905.1699999999946</c:v>
                </c:pt>
                <c:pt idx="455">
                  <c:v>4929.9499999999944</c:v>
                </c:pt>
                <c:pt idx="456">
                  <c:v>4938.309999999994</c:v>
                </c:pt>
                <c:pt idx="457">
                  <c:v>5039.0899999999938</c:v>
                </c:pt>
                <c:pt idx="458">
                  <c:v>5047.0899999999938</c:v>
                </c:pt>
                <c:pt idx="459">
                  <c:v>5055.0899999999938</c:v>
                </c:pt>
                <c:pt idx="460">
                  <c:v>5085.9599999999937</c:v>
                </c:pt>
                <c:pt idx="461">
                  <c:v>5089.309999999994</c:v>
                </c:pt>
                <c:pt idx="462">
                  <c:v>5112.309999999994</c:v>
                </c:pt>
                <c:pt idx="463">
                  <c:v>5352.0399999999936</c:v>
                </c:pt>
                <c:pt idx="464">
                  <c:v>5366.0899999999938</c:v>
                </c:pt>
                <c:pt idx="465">
                  <c:v>5411.3299999999936</c:v>
                </c:pt>
                <c:pt idx="466">
                  <c:v>5403.3299999999936</c:v>
                </c:pt>
                <c:pt idx="467">
                  <c:v>5416.3599999999933</c:v>
                </c:pt>
                <c:pt idx="468">
                  <c:v>5426.5599999999931</c:v>
                </c:pt>
                <c:pt idx="469">
                  <c:v>5534.0599999999931</c:v>
                </c:pt>
                <c:pt idx="470">
                  <c:v>5573.7499999999927</c:v>
                </c:pt>
                <c:pt idx="471">
                  <c:v>5605.7099999999928</c:v>
                </c:pt>
                <c:pt idx="472">
                  <c:v>5903.7099999999928</c:v>
                </c:pt>
                <c:pt idx="473">
                  <c:v>6023.4099999999926</c:v>
                </c:pt>
                <c:pt idx="474">
                  <c:v>6044.679999999993</c:v>
                </c:pt>
                <c:pt idx="475">
                  <c:v>6068.9399999999932</c:v>
                </c:pt>
                <c:pt idx="476">
                  <c:v>6112.9399999999932</c:v>
                </c:pt>
                <c:pt idx="477">
                  <c:v>6148.8399999999929</c:v>
                </c:pt>
                <c:pt idx="478">
                  <c:v>6178.6899999999932</c:v>
                </c:pt>
                <c:pt idx="479">
                  <c:v>6261.6899999999932</c:v>
                </c:pt>
                <c:pt idx="480">
                  <c:v>6289.679999999993</c:v>
                </c:pt>
                <c:pt idx="481">
                  <c:v>6298.7699999999932</c:v>
                </c:pt>
                <c:pt idx="482">
                  <c:v>6323.7699999999932</c:v>
                </c:pt>
                <c:pt idx="483">
                  <c:v>6337.6699999999928</c:v>
                </c:pt>
                <c:pt idx="484">
                  <c:v>6364.7299999999932</c:v>
                </c:pt>
                <c:pt idx="485">
                  <c:v>6394.7499999999936</c:v>
                </c:pt>
                <c:pt idx="486">
                  <c:v>6403.4499999999935</c:v>
                </c:pt>
                <c:pt idx="487">
                  <c:v>6423.7699999999932</c:v>
                </c:pt>
                <c:pt idx="488">
                  <c:v>6444.4999999999927</c:v>
                </c:pt>
                <c:pt idx="489">
                  <c:v>6458.2099999999928</c:v>
                </c:pt>
                <c:pt idx="490">
                  <c:v>6470.0099999999929</c:v>
                </c:pt>
                <c:pt idx="491">
                  <c:v>6473.179999999993</c:v>
                </c:pt>
                <c:pt idx="492">
                  <c:v>5473.179999999993</c:v>
                </c:pt>
                <c:pt idx="493">
                  <c:v>5572.3699999999926</c:v>
                </c:pt>
                <c:pt idx="494">
                  <c:v>5582.9599999999928</c:v>
                </c:pt>
                <c:pt idx="495">
                  <c:v>5607.9599999999928</c:v>
                </c:pt>
                <c:pt idx="496">
                  <c:v>5617.9499999999925</c:v>
                </c:pt>
                <c:pt idx="497">
                  <c:v>5627.9499999999925</c:v>
                </c:pt>
                <c:pt idx="498">
                  <c:v>5639.9999999999927</c:v>
                </c:pt>
                <c:pt idx="499">
                  <c:v>5669.9999999999927</c:v>
                </c:pt>
                <c:pt idx="500">
                  <c:v>5674.7599999999929</c:v>
                </c:pt>
                <c:pt idx="501">
                  <c:v>5683.9599999999928</c:v>
                </c:pt>
                <c:pt idx="502">
                  <c:v>5702.4999999999927</c:v>
                </c:pt>
                <c:pt idx="503">
                  <c:v>5795.8099999999931</c:v>
                </c:pt>
                <c:pt idx="504">
                  <c:v>5804.7899999999927</c:v>
                </c:pt>
                <c:pt idx="505">
                  <c:v>5829.7799999999925</c:v>
                </c:pt>
                <c:pt idx="506">
                  <c:v>5834.4499999999925</c:v>
                </c:pt>
                <c:pt idx="507">
                  <c:v>5839.5399999999927</c:v>
                </c:pt>
                <c:pt idx="508">
                  <c:v>5970.8399999999929</c:v>
                </c:pt>
                <c:pt idx="509">
                  <c:v>5982.9799999999932</c:v>
                </c:pt>
                <c:pt idx="510">
                  <c:v>5992.969999999993</c:v>
                </c:pt>
                <c:pt idx="511">
                  <c:v>6048.3199999999933</c:v>
                </c:pt>
                <c:pt idx="512">
                  <c:v>6152.3199999999933</c:v>
                </c:pt>
                <c:pt idx="513">
                  <c:v>6231.9799999999932</c:v>
                </c:pt>
                <c:pt idx="514">
                  <c:v>6232.9799999999932</c:v>
                </c:pt>
                <c:pt idx="515">
                  <c:v>6252.9799999999932</c:v>
                </c:pt>
                <c:pt idx="516">
                  <c:v>6258.3999999999933</c:v>
                </c:pt>
                <c:pt idx="517">
                  <c:v>6282.2799999999934</c:v>
                </c:pt>
                <c:pt idx="518">
                  <c:v>6360.2799999999934</c:v>
                </c:pt>
                <c:pt idx="519">
                  <c:v>6411.7799999999934</c:v>
                </c:pt>
                <c:pt idx="520">
                  <c:v>6420.2799999999934</c:v>
                </c:pt>
                <c:pt idx="521">
                  <c:v>6425.5999999999931</c:v>
                </c:pt>
                <c:pt idx="522">
                  <c:v>6438.8799999999928</c:v>
                </c:pt>
                <c:pt idx="523">
                  <c:v>6437.8799999999928</c:v>
                </c:pt>
                <c:pt idx="524">
                  <c:v>6448.5099999999929</c:v>
                </c:pt>
                <c:pt idx="525">
                  <c:v>6454.4599999999928</c:v>
                </c:pt>
                <c:pt idx="526">
                  <c:v>6459.7799999999925</c:v>
                </c:pt>
                <c:pt idx="527">
                  <c:v>6475.5499999999929</c:v>
                </c:pt>
                <c:pt idx="528">
                  <c:v>6531.5299999999925</c:v>
                </c:pt>
                <c:pt idx="529">
                  <c:v>6601.2499999999927</c:v>
                </c:pt>
                <c:pt idx="530">
                  <c:v>6638.4799999999923</c:v>
                </c:pt>
                <c:pt idx="531">
                  <c:v>6657.7899999999927</c:v>
                </c:pt>
                <c:pt idx="532">
                  <c:v>6661.5099999999929</c:v>
                </c:pt>
                <c:pt idx="533">
                  <c:v>6665.7599999999929</c:v>
                </c:pt>
                <c:pt idx="534">
                  <c:v>6726.0099999999929</c:v>
                </c:pt>
                <c:pt idx="535">
                  <c:v>6747.5199999999932</c:v>
                </c:pt>
                <c:pt idx="536">
                  <c:v>6760.5999999999931</c:v>
                </c:pt>
                <c:pt idx="537">
                  <c:v>6763.7899999999927</c:v>
                </c:pt>
                <c:pt idx="538">
                  <c:v>6778.1599999999926</c:v>
                </c:pt>
                <c:pt idx="539">
                  <c:v>6789.8799999999928</c:v>
                </c:pt>
                <c:pt idx="540">
                  <c:v>6800.5099999999929</c:v>
                </c:pt>
                <c:pt idx="541">
                  <c:v>4200.5099999999929</c:v>
                </c:pt>
                <c:pt idx="542">
                  <c:v>4211.3599999999933</c:v>
                </c:pt>
                <c:pt idx="543">
                  <c:v>4262.7999999999929</c:v>
                </c:pt>
                <c:pt idx="544">
                  <c:v>4283.179999999993</c:v>
                </c:pt>
                <c:pt idx="545">
                  <c:v>4293.8099999999931</c:v>
                </c:pt>
                <c:pt idx="546">
                  <c:v>4300.7899999999927</c:v>
                </c:pt>
                <c:pt idx="547">
                  <c:v>4351.0199999999923</c:v>
                </c:pt>
                <c:pt idx="548">
                  <c:v>4410.3699999999926</c:v>
                </c:pt>
                <c:pt idx="549">
                  <c:v>4453.0799999999927</c:v>
                </c:pt>
                <c:pt idx="550">
                  <c:v>4468.969999999993</c:v>
                </c:pt>
                <c:pt idx="551">
                  <c:v>4478.969999999993</c:v>
                </c:pt>
                <c:pt idx="552">
                  <c:v>4498.969999999993</c:v>
                </c:pt>
                <c:pt idx="553">
                  <c:v>4509.5899999999929</c:v>
                </c:pt>
                <c:pt idx="554">
                  <c:v>4542.0899999999929</c:v>
                </c:pt>
                <c:pt idx="555">
                  <c:v>4559.6399999999931</c:v>
                </c:pt>
                <c:pt idx="556">
                  <c:v>4571.4099999999935</c:v>
                </c:pt>
                <c:pt idx="557">
                  <c:v>4572.7599999999939</c:v>
                </c:pt>
                <c:pt idx="558">
                  <c:v>4600.9199999999937</c:v>
                </c:pt>
                <c:pt idx="559">
                  <c:v>4679.9199999999937</c:v>
                </c:pt>
                <c:pt idx="560">
                  <c:v>4719.9199999999937</c:v>
                </c:pt>
                <c:pt idx="561">
                  <c:v>4730.5499999999938</c:v>
                </c:pt>
                <c:pt idx="562">
                  <c:v>4800.5499999999938</c:v>
                </c:pt>
                <c:pt idx="563">
                  <c:v>4826.6999999999935</c:v>
                </c:pt>
                <c:pt idx="564">
                  <c:v>4832.0799999999936</c:v>
                </c:pt>
                <c:pt idx="565">
                  <c:v>4842.0799999999936</c:v>
                </c:pt>
                <c:pt idx="566">
                  <c:v>4847.1799999999939</c:v>
                </c:pt>
                <c:pt idx="567">
                  <c:v>4868.3999999999942</c:v>
                </c:pt>
                <c:pt idx="568">
                  <c:v>4898.3999999999942</c:v>
                </c:pt>
                <c:pt idx="569">
                  <c:v>4916.6599999999944</c:v>
                </c:pt>
                <c:pt idx="570">
                  <c:v>4921.9499999999944</c:v>
                </c:pt>
                <c:pt idx="571">
                  <c:v>5336.9499999999944</c:v>
                </c:pt>
                <c:pt idx="572">
                  <c:v>5353.7499999999945</c:v>
                </c:pt>
                <c:pt idx="573">
                  <c:v>5358.9299999999948</c:v>
                </c:pt>
                <c:pt idx="574">
                  <c:v>5397.0299999999952</c:v>
                </c:pt>
                <c:pt idx="575">
                  <c:v>5429.0899999999956</c:v>
                </c:pt>
                <c:pt idx="576">
                  <c:v>5461.2999999999956</c:v>
                </c:pt>
                <c:pt idx="577">
                  <c:v>5472.3199999999961</c:v>
                </c:pt>
                <c:pt idx="578">
                  <c:v>5526.5999999999958</c:v>
                </c:pt>
                <c:pt idx="579">
                  <c:v>5613.5999999999958</c:v>
                </c:pt>
                <c:pt idx="580">
                  <c:v>5648.5999999999958</c:v>
                </c:pt>
                <c:pt idx="581">
                  <c:v>5663.2699999999959</c:v>
                </c:pt>
                <c:pt idx="582">
                  <c:v>5668.6799999999957</c:v>
                </c:pt>
                <c:pt idx="583">
                  <c:v>5672.5199999999959</c:v>
                </c:pt>
                <c:pt idx="584">
                  <c:v>5677.6399999999958</c:v>
                </c:pt>
                <c:pt idx="585">
                  <c:v>5713.9599999999955</c:v>
                </c:pt>
                <c:pt idx="586">
                  <c:v>5739.9599999999955</c:v>
                </c:pt>
                <c:pt idx="587">
                  <c:v>5819.9599999999955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7E-4918-A326-12E93C89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938783"/>
        <c:axId val="752591135"/>
      </c:lineChart>
      <c:dateAx>
        <c:axId val="87093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91135"/>
        <c:crosses val="autoZero"/>
        <c:auto val="0"/>
        <c:lblOffset val="100"/>
        <c:baseTimeUnit val="days"/>
      </c:dateAx>
      <c:valAx>
        <c:axId val="75259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938783"/>
        <c:crosses val="autoZero"/>
        <c:crossBetween val="between"/>
      </c:valAx>
      <c:valAx>
        <c:axId val="864178415"/>
        <c:scaling>
          <c:orientation val="minMax"/>
        </c:scaling>
        <c:delete val="0"/>
        <c:axPos val="r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184655"/>
        <c:crosses val="max"/>
        <c:crossBetween val="between"/>
      </c:valAx>
      <c:catAx>
        <c:axId val="864184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41784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Discretionary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'Category Summary'!$B$3</c:f>
              <c:strCache>
                <c:ptCount val="1"/>
                <c:pt idx="0">
                  <c:v>Food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'Category Summary'!$C$2:$I$2</c:f>
              <c:strCache>
                <c:ptCount val="7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</c:strCache>
            </c:strRef>
          </c:cat>
          <c:val>
            <c:numRef>
              <c:f>'Category Summary'!$C$3:$I$3</c:f>
              <c:numCache>
                <c:formatCode>_("$"* #,##0_);_("$"* \(#,##0\);_("$"* "-"??_);_(@_)</c:formatCode>
                <c:ptCount val="7"/>
                <c:pt idx="0">
                  <c:v>587.29</c:v>
                </c:pt>
                <c:pt idx="1">
                  <c:v>248.29</c:v>
                </c:pt>
                <c:pt idx="2">
                  <c:v>1231.2499999999998</c:v>
                </c:pt>
                <c:pt idx="3">
                  <c:v>945.31000000000029</c:v>
                </c:pt>
                <c:pt idx="4">
                  <c:v>766.29</c:v>
                </c:pt>
                <c:pt idx="5">
                  <c:v>945.77000000000021</c:v>
                </c:pt>
                <c:pt idx="6">
                  <c:v>735.44499999999994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1-42AD-BB3C-1BD02ABC5353}"/>
            </c:ext>
          </c:extLst>
        </c:ser>
        <c:ser>
          <c:idx val="1"/>
          <c:order val="1"/>
          <c:tx>
            <c:strRef>
              <c:f>'Category Summary'!$B$4</c:f>
              <c:strCache>
                <c:ptCount val="1"/>
                <c:pt idx="0">
                  <c:v>Recreation_Entertainment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'Category Summary'!$C$2:$I$2</c:f>
              <c:strCache>
                <c:ptCount val="7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</c:strCache>
            </c:strRef>
          </c:cat>
          <c:val>
            <c:numRef>
              <c:f>'Category Summary'!$C$4:$I$4</c:f>
              <c:numCache>
                <c:formatCode>_("$"* #,##0_);_("$"* \(#,##0\);_("$"* "-"??_);_(@_)</c:formatCode>
                <c:ptCount val="7"/>
                <c:pt idx="0">
                  <c:v>849.09</c:v>
                </c:pt>
                <c:pt idx="1">
                  <c:v>528.66000000000008</c:v>
                </c:pt>
                <c:pt idx="2">
                  <c:v>887.46999999999991</c:v>
                </c:pt>
                <c:pt idx="3">
                  <c:v>695.0200000000001</c:v>
                </c:pt>
                <c:pt idx="4">
                  <c:v>2111.44</c:v>
                </c:pt>
                <c:pt idx="5">
                  <c:v>2665.9350000000004</c:v>
                </c:pt>
                <c:pt idx="6">
                  <c:v>739.41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1-42AD-BB3C-1BD02ABC5353}"/>
            </c:ext>
          </c:extLst>
        </c:ser>
        <c:ser>
          <c:idx val="2"/>
          <c:order val="2"/>
          <c:tx>
            <c:strRef>
              <c:f>'Category Summary'!$B$5</c:f>
              <c:strCache>
                <c:ptCount val="1"/>
                <c:pt idx="0">
                  <c:v>Personal_Spending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'Category Summary'!$C$2:$I$2</c:f>
              <c:strCache>
                <c:ptCount val="7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</c:strCache>
            </c:strRef>
          </c:cat>
          <c:val>
            <c:numRef>
              <c:f>'Category Summary'!$C$5:$I$5</c:f>
              <c:numCache>
                <c:formatCode>_("$"* #,##0_);_("$"* \(#,##0\);_("$"* "-"??_);_(@_)</c:formatCode>
                <c:ptCount val="7"/>
                <c:pt idx="0">
                  <c:v>826.69999999999993</c:v>
                </c:pt>
                <c:pt idx="1">
                  <c:v>336.7</c:v>
                </c:pt>
                <c:pt idx="2">
                  <c:v>726.8900000000001</c:v>
                </c:pt>
                <c:pt idx="3">
                  <c:v>185.98</c:v>
                </c:pt>
                <c:pt idx="4">
                  <c:v>1010.8299999999999</c:v>
                </c:pt>
                <c:pt idx="5">
                  <c:v>1392.5250000000001</c:v>
                </c:pt>
                <c:pt idx="6">
                  <c:v>416.79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1-42AD-BB3C-1BD02ABC5353}"/>
            </c:ext>
          </c:extLst>
        </c:ser>
        <c:ser>
          <c:idx val="3"/>
          <c:order val="3"/>
          <c:tx>
            <c:strRef>
              <c:f>'Category Summary'!$B$6</c:f>
              <c:strCache>
                <c:ptCount val="1"/>
                <c:pt idx="0">
                  <c:v>Transportation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'Category Summary'!$C$2:$I$2</c:f>
              <c:strCache>
                <c:ptCount val="7"/>
                <c:pt idx="0">
                  <c:v>01/2022</c:v>
                </c:pt>
                <c:pt idx="1">
                  <c:v>02/2022</c:v>
                </c:pt>
                <c:pt idx="2">
                  <c:v>03/2022</c:v>
                </c:pt>
                <c:pt idx="3">
                  <c:v>04/2022</c:v>
                </c:pt>
                <c:pt idx="4">
                  <c:v>05/2022</c:v>
                </c:pt>
                <c:pt idx="5">
                  <c:v>06/2022</c:v>
                </c:pt>
                <c:pt idx="6">
                  <c:v>07/2022</c:v>
                </c:pt>
              </c:strCache>
            </c:strRef>
          </c:cat>
          <c:val>
            <c:numRef>
              <c:f>'Category Summary'!$C$6:$I$6</c:f>
              <c:numCache>
                <c:formatCode>_("$"* #,##0_);_("$"* \(#,##0\);_("$"* "-"??_);_(@_)</c:formatCode>
                <c:ptCount val="7"/>
                <c:pt idx="0">
                  <c:v>145.57</c:v>
                </c:pt>
                <c:pt idx="1">
                  <c:v>333.19</c:v>
                </c:pt>
                <c:pt idx="2">
                  <c:v>307.96000000000004</c:v>
                </c:pt>
                <c:pt idx="3">
                  <c:v>316.06999999999994</c:v>
                </c:pt>
                <c:pt idx="4">
                  <c:v>682.91000000000008</c:v>
                </c:pt>
                <c:pt idx="5">
                  <c:v>511.85499999999996</c:v>
                </c:pt>
                <c:pt idx="6">
                  <c:v>838.13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E1-42AD-BB3C-1BD02ABC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82431"/>
        <c:axId val="487383263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'Category Summary'!$B$7</c15:sqref>
                        </c15:formulaRef>
                      </c:ext>
                    </c:extLst>
                    <c:strCache>
                      <c:ptCount val="1"/>
                      <c:pt idx="0">
                        <c:v>Misc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'Category Summary'!$C$7:$I$7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36.489999999999995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16</c:v>
                      </c:pt>
                      <c:pt idx="4">
                        <c:v>9.75</c:v>
                      </c:pt>
                      <c:pt idx="5">
                        <c:v>83</c:v>
                      </c:pt>
                      <c:pt idx="6">
                        <c:v>5.0999999999999996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5CE1-42AD-BB3C-1BD02ABC535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Summary'!$B$8</c15:sqref>
                        </c15:formulaRef>
                      </c:ext>
                    </c:extLst>
                    <c:strCache>
                      <c:ptCount val="1"/>
                      <c:pt idx="0">
                        <c:v>Utilities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Summary'!$C$8:$I$8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29.319999999999936</c:v>
                      </c:pt>
                      <c:pt idx="1">
                        <c:v>207.17000000000002</c:v>
                      </c:pt>
                      <c:pt idx="2">
                        <c:v>299.5</c:v>
                      </c:pt>
                      <c:pt idx="3">
                        <c:v>267.97000000000003</c:v>
                      </c:pt>
                      <c:pt idx="4">
                        <c:v>263.03999999999996</c:v>
                      </c:pt>
                      <c:pt idx="5">
                        <c:v>341.77</c:v>
                      </c:pt>
                      <c:pt idx="6">
                        <c:v>272.46000000000004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CE1-42AD-BB3C-1BD02ABC535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Summary'!$B$9</c15:sqref>
                        </c15:formulaRef>
                      </c:ext>
                    </c:extLst>
                    <c:strCache>
                      <c:ptCount val="1"/>
                      <c:pt idx="0">
                        <c:v>Insurance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Summary'!$C$9:$I$9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79.38</c:v>
                      </c:pt>
                      <c:pt idx="1">
                        <c:v>79.38</c:v>
                      </c:pt>
                      <c:pt idx="2">
                        <c:v>79.38</c:v>
                      </c:pt>
                      <c:pt idx="3">
                        <c:v>79.38</c:v>
                      </c:pt>
                      <c:pt idx="4">
                        <c:v>79.38</c:v>
                      </c:pt>
                      <c:pt idx="5">
                        <c:v>79.38</c:v>
                      </c:pt>
                      <c:pt idx="6">
                        <c:v>79.66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CE1-42AD-BB3C-1BD02ABC535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Summary'!$B$10</c15:sqref>
                        </c15:formulaRef>
                      </c:ext>
                    </c:extLst>
                    <c:strCache>
                      <c:ptCount val="1"/>
                      <c:pt idx="0">
                        <c:v>People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Summary'!$C$10:$I$10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256.76</c:v>
                      </c:pt>
                      <c:pt idx="1">
                        <c:v>1518.21</c:v>
                      </c:pt>
                      <c:pt idx="2">
                        <c:v>1552.29</c:v>
                      </c:pt>
                      <c:pt idx="3">
                        <c:v>668</c:v>
                      </c:pt>
                      <c:pt idx="4">
                        <c:v>468.47</c:v>
                      </c:pt>
                      <c:pt idx="5">
                        <c:v>66.069999999999993</c:v>
                      </c:pt>
                      <c:pt idx="6">
                        <c:v>151.5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CE1-42AD-BB3C-1BD02ABC535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Summary'!$B$11</c15:sqref>
                        </c15:formulaRef>
                      </c:ext>
                    </c:extLst>
                    <c:strCache>
                      <c:ptCount val="1"/>
                      <c:pt idx="0">
                        <c:v>Medical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Summary'!$C$11:$I$11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2286</c:v>
                      </c:pt>
                      <c:pt idx="1">
                        <c:v>21.35</c:v>
                      </c:pt>
                      <c:pt idx="2">
                        <c:v>2553.16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504.86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CE1-42AD-BB3C-1BD02ABC535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Summary'!$B$12</c15:sqref>
                        </c15:formulaRef>
                      </c:ext>
                    </c:extLst>
                    <c:strCache>
                      <c:ptCount val="1"/>
                      <c:pt idx="0">
                        <c:v>Housing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Summary'!$C$2:$I$2</c15:sqref>
                        </c15:formulaRef>
                      </c:ext>
                    </c:extLst>
                    <c:strCache>
                      <c:ptCount val="7"/>
                      <c:pt idx="0">
                        <c:v>01/2022</c:v>
                      </c:pt>
                      <c:pt idx="1">
                        <c:v>02/2022</c:v>
                      </c:pt>
                      <c:pt idx="2">
                        <c:v>03/2022</c:v>
                      </c:pt>
                      <c:pt idx="3">
                        <c:v>04/2022</c:v>
                      </c:pt>
                      <c:pt idx="4">
                        <c:v>05/2022</c:v>
                      </c:pt>
                      <c:pt idx="5">
                        <c:v>06/2022</c:v>
                      </c:pt>
                      <c:pt idx="6">
                        <c:v>07/2022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'Category Summary'!$C$12:$I$12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7"/>
                      <c:pt idx="0">
                        <c:v>933.34</c:v>
                      </c:pt>
                      <c:pt idx="1">
                        <c:v>1204.29</c:v>
                      </c:pt>
                      <c:pt idx="2">
                        <c:v>1400</c:v>
                      </c:pt>
                      <c:pt idx="3">
                        <c:v>1463.66</c:v>
                      </c:pt>
                      <c:pt idx="4">
                        <c:v>1400</c:v>
                      </c:pt>
                      <c:pt idx="5">
                        <c:v>1400</c:v>
                      </c:pt>
                      <c:pt idx="6">
                        <c:v>38.1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CE1-42AD-BB3C-1BD02ABC5353}"/>
                  </c:ext>
                </c:extLst>
              </c15:ser>
            </c15:filteredLineSeries>
          </c:ext>
        </c:extLst>
      </c:lineChart>
      <c:catAx>
        <c:axId val="48738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83263"/>
        <c:crosses val="autoZero"/>
        <c:auto val="1"/>
        <c:lblAlgn val="ctr"/>
        <c:lblOffset val="100"/>
        <c:noMultiLvlLbl val="0"/>
      </c:catAx>
      <c:valAx>
        <c:axId val="487383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8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1568823</xdr:colOff>
      <xdr:row>22</xdr:row>
      <xdr:rowOff>29135</xdr:rowOff>
    </xdr:from>
    <xdr:to>
      <xdr:col>18</xdr:col>
      <xdr:colOff>661147</xdr:colOff>
      <xdr:row>36</xdr:row>
      <xdr:rowOff>105335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9F6DB-E449-76C9-AB98-FB11420F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285750</xdr:colOff>
      <xdr:row>18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C76163-7B87-4374-B5F8-B4B71921C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90487</xdr:colOff>
      <xdr:row>1</xdr:row>
      <xdr:rowOff>1</xdr:rowOff>
    </xdr:from>
    <xdr:to>
      <xdr:col>27</xdr:col>
      <xdr:colOff>514351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56B33-71C7-A63A-314F-55DF6DEB5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41C36-5124-4F06-8E81-52BCD193207D}" name="dis_table" displayName="dis_table" ref="B1:K590" totalsRowShown="0" headerRowDxfId="34" headerRowBorderDxfId="33" tableBorderDxfId="32">
  <autoFilter ref="B1:K590" xr:uid="{BBF41C36-5124-4F06-8E81-52BCD193207D}">
    <filterColumn colId="0">
      <filters>
        <dateGroupItem year="2022" month="7" dateTimeGrouping="month"/>
      </filters>
    </filterColumn>
  </autoFilter>
  <sortState xmlns:xlrd2="http://schemas.microsoft.com/office/spreadsheetml/2017/richdata2" ref="B2:K590">
    <sortCondition ref="C1:C590"/>
  </sortState>
  <tableColumns count="10">
    <tableColumn id="1" xr3:uid="{0D277BE0-23D0-474E-ACC5-697F2175577A}" name="Trans. Date" dataDxfId="31"/>
    <tableColumn id="2" xr3:uid="{DB68AC99-9CD0-40F7-8F4F-B991E75AE730}" name="Post Date" dataDxfId="30"/>
    <tableColumn id="3" xr3:uid="{FB171790-0178-4B86-B334-029ADE774B80}" name="Description"/>
    <tableColumn id="4" xr3:uid="{DF441ADF-CE81-4786-8938-29E7E46FE503}" name="Amount"/>
    <tableColumn id="5" xr3:uid="{67013741-ABC5-4AB8-85B7-633B7E791A91}" name="Category"/>
    <tableColumn id="6" xr3:uid="{6E9A903E-DEED-4F9B-A3B7-5B43C1C10CCC}" name="Short_Desc"/>
    <tableColumn id="7" xr3:uid="{9B80C242-E815-4718-A3B9-5F2AEE72C89A}" name="Date"/>
    <tableColumn id="8" xr3:uid="{CBBBB029-710B-481E-B726-B9ACB715F6EF}" name="Reoccurring_Flag"/>
    <tableColumn id="9" xr3:uid="{596930F0-2495-4826-9083-0BF28BD2ED7C}" name="Category_2"/>
    <tableColumn id="10" xr3:uid="{06BCEAB6-6F3B-4FFF-803B-2FA95A7404AE}" name="CumAmount" dataCellStyle="Currency"/>
  </tableColumns>
  <tableStyleInfo name="TableStyleMedium1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0EBEC1-4610-4BAA-A6CC-3BB5034E2FF8}" name="cc_table" displayName="cc_table" ref="A1:G13" totalsRowShown="0">
  <autoFilter ref="A1:G13" xr:uid="{B20EBEC1-4610-4BAA-A6CC-3BB5034E2FF8}"/>
  <tableColumns count="7">
    <tableColumn id="1" xr3:uid="{AA42D5B6-58CE-40D5-9029-ACB8593FB1C1}" name="Transaction Date" dataDxfId="29"/>
    <tableColumn id="2" xr3:uid="{A5D735EB-D726-4F86-909B-5B865C725066}" name="Post Date" dataDxfId="28"/>
    <tableColumn id="3" xr3:uid="{8BC2161C-A474-4B1B-8431-1A3C79AAAD23}" name="Description"/>
    <tableColumn id="4" xr3:uid="{B77A98FE-AFB8-456E-8F89-BAC0310B2982}" name="Amount" dataDxfId="27"/>
    <tableColumn id="5" xr3:uid="{FA17B279-D478-4177-85F0-DA73099C77C4}" name="Short_Desc"/>
    <tableColumn id="6" xr3:uid="{734B4D86-D463-4C19-80CD-E6414213EF61}" name="Date" dataDxfId="26">
      <calculatedColumnFormula>MONTH(A2)&amp;"/"&amp;YEAR(A2)</calculatedColumnFormula>
    </tableColumn>
    <tableColumn id="7" xr3:uid="{75B1EA01-0829-4F90-B5EE-7D3B6BC9C6E9}" name="Category_2"/>
  </tableColumns>
  <tableStyleInfo name="TableStyleMedium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D0B25F-EAC2-44ED-A8CF-8BA7CC785569}" name="bb_table" displayName="bb_table" ref="A1:G9" totalsRowShown="0" headerRowDxfId="25" headerRowBorderDxfId="24">
  <autoFilter ref="A1:G9" xr:uid="{1DD0B25F-EAC2-44ED-A8CF-8BA7CC785569}"/>
  <tableColumns count="7">
    <tableColumn id="1" xr3:uid="{4654C6E3-D1DC-4996-A1F2-75AF377C4849}" name="Transaction Date" dataDxfId="23"/>
    <tableColumn id="2" xr3:uid="{82F7183B-590B-4B56-9DAB-EFBD7B6D89E9}" name="Amount" dataDxfId="22"/>
    <tableColumn id="3" xr3:uid="{978A4CDD-8F8B-4873-9546-4176E11ABEFA}" name="Description"/>
    <tableColumn id="4" xr3:uid="{A37FE632-42BA-4F00-AF12-BE650EB85F9A}" name="Category"/>
    <tableColumn id="5" xr3:uid="{D78DD74D-FCE9-4474-9CE0-BE65D4A2877A}" name="Short_Desc"/>
    <tableColumn id="6" xr3:uid="{8E26E237-8B17-4C25-844A-115CF5F69CF3}" name="Date">
      <calculatedColumnFormula>MONTH(A2)&amp;"/"&amp;YEAR(A2)</calculatedColumnFormula>
    </tableColumn>
    <tableColumn id="7" xr3:uid="{5F8576FF-BB4B-4C76-BAD4-08915E4C6FEC}" name="Category_2"/>
  </tableColumns>
  <tableStyleInfo name="TableStyleMedium1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AB234-8A7B-4E5A-BCFE-809F6E10F2CC}" name="wf_table" displayName="wf_table" ref="A1:G162" totalsRowShown="0" headerRowDxfId="21">
  <autoFilter ref="A1:G162" xr:uid="{92EDD8DA-BD4A-4F52-9B6E-4A14DEE43F64}"/>
  <sortState xmlns:xlrd2="http://schemas.microsoft.com/office/spreadsheetml/2017/richdata2" ref="A2:G162">
    <sortCondition ref="A1:A162"/>
  </sortState>
  <tableColumns count="7">
    <tableColumn id="1" xr3:uid="{2C8F8988-DDFD-45DD-8A6C-FD066DD8FF47}" name="Trans Date" dataDxfId="20"/>
    <tableColumn id="2" xr3:uid="{36BC0F10-B61E-4AB9-9F86-859513D36D54}" name="Debit_Amount" dataDxfId="19"/>
    <tableColumn id="3" xr3:uid="{2D538665-C72F-461F-B65B-F47D51F8360F}" name="Amount" dataDxfId="18">
      <calculatedColumnFormula>IF(SIGN(B2)=-1, B2*-1, B2)</calculatedColumnFormula>
    </tableColumn>
    <tableColumn id="4" xr3:uid="{1D85BA33-5CC6-4397-8164-F679157AF079}" name="Description"/>
    <tableColumn id="5" xr3:uid="{AA0A1F6A-8241-4E18-BA95-9BABCBBDB330}" name="Short_Desc"/>
    <tableColumn id="6" xr3:uid="{DC265512-EFA3-4E85-A7D1-BBB86C4BFBA7}" name="Date">
      <calculatedColumnFormula>MONTH(A2)&amp;"/"&amp;YEAR(A2)</calculatedColumnFormula>
    </tableColumn>
    <tableColumn id="7" xr3:uid="{073A50E8-ADF2-49A0-8719-407479E6E59E}" name="Category_2" dataDxfId="17" dataCellStyle="Comma"/>
  </tableColumns>
  <tableStyleInfo name="TableStyleMedium7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1FF6FE-F37D-4884-8636-89D14097981D}" name="Table5" displayName="Table5" ref="A1:I34" totalsRowCount="1" dataDxfId="16" dataCellStyle="Currency">
  <autoFilter ref="A1:I33" xr:uid="{F81FF6FE-F37D-4884-8636-89D14097981D}"/>
  <tableColumns count="9">
    <tableColumn id="1" xr3:uid="{8915C04F-46A3-4859-9123-D0EC3455F560}" name="Trans Date" dataDxfId="15" totalsRowDxfId="14"/>
    <tableColumn id="2" xr3:uid="{D96EC323-75CA-40E3-AD14-D44E071BBF2F}" name="Description"/>
    <tableColumn id="3" xr3:uid="{9A4E2B2C-B143-42FC-9524-6D2E060CAB74}" name="Individual Amount" dataDxfId="13" totalsRowDxfId="12" dataCellStyle="Currency" totalsRowCellStyle="Currency"/>
    <tableColumn id="4" xr3:uid="{3E129379-E767-4E37-8C33-297376D51F80}" name="Shared Amount" dataDxfId="11" totalsRowDxfId="10" dataCellStyle="Currency" totalsRowCellStyle="Currency"/>
    <tableColumn id="5" xr3:uid="{471DF2F4-B7BF-408F-B634-5A36F9CE55FD}" name="Split Amount" dataDxfId="9" totalsRowDxfId="8" dataCellStyle="Currency" totalsRowCellStyle="Currency"/>
    <tableColumn id="6" xr3:uid="{460670DE-9C81-4EB8-867F-D3726750DF91}" name="Amount" totalsRowFunction="sum" dataDxfId="7" totalsRowDxfId="6" dataCellStyle="Currency" totalsRowCellStyle="Currency">
      <calculatedColumnFormula>E2+C2</calculatedColumnFormula>
    </tableColumn>
    <tableColumn id="7" xr3:uid="{CB11D421-E6B1-4F25-99C8-FD5261EC535F}" name="Date" dataDxfId="5" totalsRowDxfId="4" dataCellStyle="Currency" totalsRowCellStyle="Currency">
      <calculatedColumnFormula>MONTH(A2)&amp;"/"&amp;YEAR(A2)</calculatedColumnFormula>
    </tableColumn>
    <tableColumn id="10" xr3:uid="{6183C576-6467-4F00-BD12-12E4C528BF08}" name="Short_Desc" dataDxfId="3" totalsRowDxfId="2" dataCellStyle="Currency" totalsRowCellStyle="Currency"/>
    <tableColumn id="11" xr3:uid="{93497B3B-E1D5-4FE3-AA64-4CC896B533AC}" name="Category_2" dataDxfId="1" totalsRowDxfId="0" dataCellStyle="Currency" totalsRowCellStyle="Currency">
      <calculatedColumnFormula>VLOOKUP(Table5[[#This Row],[Short_Desc]],dis_table[[#All],[Short_Desc]:[CumAmount]],4,0)</calculatedColumnFormula>
    </tableColumn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T590"/>
  <sheetViews>
    <sheetView zoomScale="85" zoomScaleNormal="85" workbookViewId="0">
      <selection activeCell="D517" sqref="D517"/>
    </sheetView>
  </sheetViews>
  <sheetFormatPr defaultRowHeight="15" x14ac:dyDescent="0.25"/>
  <cols>
    <col min="1" max="1" width="4" bestFit="1" customWidth="1"/>
    <col min="2" max="2" width="13" customWidth="1"/>
    <col min="3" max="3" width="11.5703125" customWidth="1"/>
    <col min="4" max="4" width="84.28515625" bestFit="1" customWidth="1"/>
    <col min="5" max="5" width="10.28515625" customWidth="1"/>
    <col min="6" max="6" width="25.140625" bestFit="1" customWidth="1"/>
    <col min="7" max="7" width="16.28515625" bestFit="1" customWidth="1"/>
    <col min="8" max="8" width="7.85546875" bestFit="1" customWidth="1"/>
    <col min="9" max="9" width="18.140625" customWidth="1"/>
    <col min="10" max="10" width="24.85546875" bestFit="1" customWidth="1"/>
    <col min="11" max="11" width="14.28515625" style="6" customWidth="1"/>
    <col min="13" max="13" width="26.5703125" bestFit="1" customWidth="1"/>
    <col min="14" max="16" width="11.28515625" bestFit="1" customWidth="1"/>
    <col min="17" max="17" width="10.5703125" bestFit="1" customWidth="1"/>
    <col min="18" max="20" width="11.28515625" bestFit="1" customWidth="1"/>
  </cols>
  <sheetData>
    <row r="1" spans="1:20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9" t="s">
        <v>9</v>
      </c>
      <c r="N1" t="s">
        <v>14</v>
      </c>
      <c r="O1" t="s">
        <v>117</v>
      </c>
      <c r="P1" t="s">
        <v>145</v>
      </c>
      <c r="Q1" t="s">
        <v>233</v>
      </c>
      <c r="R1" t="s">
        <v>290</v>
      </c>
      <c r="S1" t="s">
        <v>364</v>
      </c>
      <c r="T1" t="s">
        <v>420</v>
      </c>
    </row>
    <row r="2" spans="1:20" hidden="1" x14ac:dyDescent="0.25">
      <c r="A2" s="1">
        <v>0</v>
      </c>
      <c r="B2" s="10">
        <v>44562</v>
      </c>
      <c r="C2" s="10">
        <v>44562</v>
      </c>
      <c r="D2" t="s">
        <v>10</v>
      </c>
      <c r="E2" s="11">
        <v>3581.67</v>
      </c>
      <c r="F2" t="s">
        <v>10</v>
      </c>
      <c r="G2" t="s">
        <v>10</v>
      </c>
      <c r="K2" s="57">
        <f>dis_table[[#This Row],[Amount]]</f>
        <v>3581.67</v>
      </c>
      <c r="M2" t="s">
        <v>106</v>
      </c>
      <c r="N2" s="6">
        <f>SUMIFS(dis_table[Amount],dis_table[Category],$M2,dis_table[Date],N$1)</f>
        <v>42.34</v>
      </c>
      <c r="O2" s="6">
        <f>SUMIFS(dis_table[Amount],dis_table[Category],$M2,dis_table[Date],O$1)</f>
        <v>0</v>
      </c>
      <c r="P2" s="6">
        <f>SUMIFS(dis_table[Amount],dis_table[Category],$M2,dis_table[Date],P$1)</f>
        <v>0</v>
      </c>
      <c r="Q2" s="6">
        <f>SUMIFS(dis_table[Amount],dis_table[Category],$M2,dis_table[Date],Q$1)</f>
        <v>0</v>
      </c>
      <c r="R2" s="6">
        <f>SUMIFS(dis_table[Amount],dis_table[Category],$M2,dis_table[Date],R$1)</f>
        <v>0</v>
      </c>
      <c r="S2" s="6">
        <f>SUMIFS(dis_table[Amount],dis_table[Category],$M2,dis_table[Date],S$1)</f>
        <v>0</v>
      </c>
      <c r="T2" s="6">
        <f>SUMIFS(dis_table[Amount],dis_table[Category],$M2,dis_table[Date],T$1)</f>
        <v>0</v>
      </c>
    </row>
    <row r="3" spans="1:20" hidden="1" x14ac:dyDescent="0.25">
      <c r="A3" s="1">
        <v>1</v>
      </c>
      <c r="B3" s="10">
        <v>44562</v>
      </c>
      <c r="C3" s="10">
        <v>44562</v>
      </c>
      <c r="D3" t="s">
        <v>11</v>
      </c>
      <c r="E3" s="11">
        <v>18.02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s="57">
        <f>K2+dis_table[[#This Row],[Amount]]</f>
        <v>3599.69</v>
      </c>
      <c r="M3" t="s">
        <v>248</v>
      </c>
      <c r="N3" s="6">
        <f>SUMIFS(dis_table[Amount],dis_table[Category],$M3,dis_table[Date],N$1)</f>
        <v>0</v>
      </c>
      <c r="O3" s="6">
        <f>SUMIFS(dis_table[Amount],dis_table[Category],$M3,dis_table[Date],O$1)</f>
        <v>0</v>
      </c>
      <c r="P3" s="6">
        <f>SUMIFS(dis_table[Amount],dis_table[Category],$M3,dis_table[Date],P$1)</f>
        <v>0</v>
      </c>
      <c r="Q3" s="6">
        <f>SUMIFS(dis_table[Amount],dis_table[Category],$M3,dis_table[Date],Q$1)</f>
        <v>21.71</v>
      </c>
      <c r="R3" s="6">
        <f>SUMIFS(dis_table[Amount],dis_table[Category],$M3,dis_table[Date],R$1)</f>
        <v>0</v>
      </c>
      <c r="S3" s="6">
        <f>SUMIFS(dis_table[Amount],dis_table[Category],$M3,dis_table[Date],S$1)</f>
        <v>298</v>
      </c>
      <c r="T3" s="6">
        <f>SUMIFS(dis_table[Amount],dis_table[Category],$M3,dis_table[Date],T$1)</f>
        <v>100.25</v>
      </c>
    </row>
    <row r="4" spans="1:20" hidden="1" x14ac:dyDescent="0.25">
      <c r="A4" s="1">
        <v>2</v>
      </c>
      <c r="B4" s="10">
        <v>44562</v>
      </c>
      <c r="C4" s="10">
        <v>44562</v>
      </c>
      <c r="D4" t="s">
        <v>17</v>
      </c>
      <c r="E4" s="11">
        <v>60</v>
      </c>
      <c r="F4" t="s">
        <v>12</v>
      </c>
      <c r="G4" t="s">
        <v>18</v>
      </c>
      <c r="H4" t="s">
        <v>14</v>
      </c>
      <c r="I4" t="s">
        <v>15</v>
      </c>
      <c r="J4" t="s">
        <v>16</v>
      </c>
      <c r="K4" s="57">
        <f>K3+dis_table[[#This Row],[Amount]]</f>
        <v>3659.69</v>
      </c>
      <c r="M4" t="s">
        <v>40</v>
      </c>
      <c r="N4" s="6">
        <f>SUMIFS(dis_table[Amount],dis_table[Category],$M4,dis_table[Date],N$1)</f>
        <v>92.41</v>
      </c>
      <c r="O4" s="6">
        <f>SUMIFS(dis_table[Amount],dis_table[Category],$M4,dis_table[Date],O$1)</f>
        <v>0</v>
      </c>
      <c r="P4" s="6">
        <f>SUMIFS(dis_table[Amount],dis_table[Category],$M4,dis_table[Date],P$1)</f>
        <v>342.53000000000003</v>
      </c>
      <c r="Q4" s="6">
        <f>SUMIFS(dis_table[Amount],dis_table[Category],$M4,dis_table[Date],Q$1)</f>
        <v>3.59</v>
      </c>
      <c r="R4" s="6">
        <f>SUMIFS(dis_table[Amount],dis_table[Category],$M4,dis_table[Date],R$1)</f>
        <v>73.210000000000008</v>
      </c>
      <c r="S4" s="6">
        <f>SUMIFS(dis_table[Amount],dis_table[Category],$M4,dis_table[Date],S$1)</f>
        <v>11.8</v>
      </c>
      <c r="T4" s="6">
        <f>SUMIFS(dis_table[Amount],dis_table[Category],$M4,dis_table[Date],T$1)</f>
        <v>198.64</v>
      </c>
    </row>
    <row r="5" spans="1:20" hidden="1" x14ac:dyDescent="0.25">
      <c r="A5" s="1">
        <v>3</v>
      </c>
      <c r="B5" s="10">
        <v>44563</v>
      </c>
      <c r="C5" s="10">
        <v>44563</v>
      </c>
      <c r="D5" t="s">
        <v>36</v>
      </c>
      <c r="E5" s="11">
        <v>-1800</v>
      </c>
      <c r="F5" t="s">
        <v>37</v>
      </c>
      <c r="G5" t="s">
        <v>38</v>
      </c>
      <c r="H5" t="s">
        <v>14</v>
      </c>
      <c r="I5" t="s">
        <v>15</v>
      </c>
      <c r="K5" s="57">
        <f>K4+dis_table[[#This Row],[Amount]]</f>
        <v>1859.69</v>
      </c>
      <c r="M5" t="s">
        <v>158</v>
      </c>
      <c r="N5" s="6">
        <f>SUMIFS(dis_table[Amount],dis_table[Category],$M5,dis_table[Date],N$1)</f>
        <v>0</v>
      </c>
      <c r="O5" s="6">
        <f>SUMIFS(dis_table[Amount],dis_table[Category],$M5,dis_table[Date],O$1)</f>
        <v>0</v>
      </c>
      <c r="P5" s="6">
        <f>SUMIFS(dis_table[Amount],dis_table[Category],$M5,dis_table[Date],P$1)</f>
        <v>35</v>
      </c>
      <c r="Q5" s="6">
        <f>SUMIFS(dis_table[Amount],dis_table[Category],$M5,dis_table[Date],Q$1)</f>
        <v>0</v>
      </c>
      <c r="R5" s="6">
        <f>SUMIFS(dis_table[Amount],dis_table[Category],$M5,dis_table[Date],R$1)</f>
        <v>0</v>
      </c>
      <c r="S5" s="6">
        <f>SUMIFS(dis_table[Amount],dis_table[Category],$M5,dis_table[Date],S$1)</f>
        <v>0</v>
      </c>
      <c r="T5" s="6">
        <f>SUMIFS(dis_table[Amount],dis_table[Category],$M5,dis_table[Date],T$1)</f>
        <v>0</v>
      </c>
    </row>
    <row r="6" spans="1:20" hidden="1" x14ac:dyDescent="0.25">
      <c r="A6" s="1">
        <v>4</v>
      </c>
      <c r="B6" s="10">
        <v>44562</v>
      </c>
      <c r="C6" s="10">
        <v>44564</v>
      </c>
      <c r="D6" t="s">
        <v>19</v>
      </c>
      <c r="E6" s="11">
        <v>14.83</v>
      </c>
      <c r="F6" t="s">
        <v>20</v>
      </c>
      <c r="G6" t="s">
        <v>21</v>
      </c>
      <c r="H6" t="s">
        <v>14</v>
      </c>
      <c r="I6" t="s">
        <v>22</v>
      </c>
      <c r="J6" t="s">
        <v>23</v>
      </c>
      <c r="K6" s="57">
        <f>K5+dis_table[[#This Row],[Amount]]</f>
        <v>1874.52</v>
      </c>
      <c r="M6" t="s">
        <v>455</v>
      </c>
      <c r="N6" s="6">
        <f>SUMIFS(dis_table[Amount],dis_table[Category],$M6,dis_table[Date],N$1)</f>
        <v>0</v>
      </c>
      <c r="O6" s="6">
        <f>SUMIFS(dis_table[Amount],dis_table[Category],$M6,dis_table[Date],O$1)</f>
        <v>0</v>
      </c>
      <c r="P6" s="6">
        <f>SUMIFS(dis_table[Amount],dis_table[Category],$M6,dis_table[Date],P$1)</f>
        <v>0</v>
      </c>
      <c r="Q6" s="6">
        <f>SUMIFS(dis_table[Amount],dis_table[Category],$M6,dis_table[Date],Q$1)</f>
        <v>0</v>
      </c>
      <c r="R6" s="6">
        <f>SUMIFS(dis_table[Amount],dis_table[Category],$M6,dis_table[Date],R$1)</f>
        <v>0</v>
      </c>
      <c r="S6" s="6">
        <f>SUMIFS(dis_table[Amount],dis_table[Category],$M6,dis_table[Date],S$1)</f>
        <v>0</v>
      </c>
      <c r="T6" s="6">
        <f>SUMIFS(dis_table[Amount],dis_table[Category],$M6,dis_table[Date],T$1)</f>
        <v>38.1</v>
      </c>
    </row>
    <row r="7" spans="1:20" hidden="1" x14ac:dyDescent="0.25">
      <c r="A7" s="1">
        <v>5</v>
      </c>
      <c r="B7" s="10">
        <v>44562</v>
      </c>
      <c r="C7" s="10">
        <v>44564</v>
      </c>
      <c r="D7" t="s">
        <v>24</v>
      </c>
      <c r="E7" s="11">
        <v>9.99</v>
      </c>
      <c r="F7" t="s">
        <v>20</v>
      </c>
      <c r="G7" t="s">
        <v>25</v>
      </c>
      <c r="H7" t="s">
        <v>14</v>
      </c>
      <c r="I7" t="s">
        <v>22</v>
      </c>
      <c r="J7" t="s">
        <v>23</v>
      </c>
      <c r="K7" s="57">
        <f>K6+dis_table[[#This Row],[Amount]]</f>
        <v>1884.51</v>
      </c>
      <c r="M7" t="s">
        <v>320</v>
      </c>
      <c r="N7" s="6">
        <f>SUMIFS(dis_table[Amount],dis_table[Category],$M7,dis_table[Date],N$1)</f>
        <v>0</v>
      </c>
      <c r="O7" s="6">
        <f>SUMIFS(dis_table[Amount],dis_table[Category],$M7,dis_table[Date],O$1)</f>
        <v>0</v>
      </c>
      <c r="P7" s="6">
        <f>SUMIFS(dis_table[Amount],dis_table[Category],$M7,dis_table[Date],P$1)</f>
        <v>0</v>
      </c>
      <c r="Q7" s="6">
        <f>SUMIFS(dis_table[Amount],dis_table[Category],$M7,dis_table[Date],Q$1)</f>
        <v>0</v>
      </c>
      <c r="R7" s="6">
        <f>SUMIFS(dis_table[Amount],dis_table[Category],$M7,dis_table[Date],R$1)</f>
        <v>50.48</v>
      </c>
      <c r="S7" s="6">
        <f>SUMIFS(dis_table[Amount],dis_table[Category],$M7,dis_table[Date],S$1)</f>
        <v>99.24</v>
      </c>
      <c r="T7" s="6">
        <f>SUMIFS(dis_table[Amount],dis_table[Category],$M7,dis_table[Date],T$1)</f>
        <v>99.19</v>
      </c>
    </row>
    <row r="8" spans="1:20" hidden="1" x14ac:dyDescent="0.25">
      <c r="A8" s="1">
        <v>6</v>
      </c>
      <c r="B8" s="10">
        <v>44563</v>
      </c>
      <c r="C8" s="10">
        <v>44564</v>
      </c>
      <c r="D8" t="s">
        <v>77</v>
      </c>
      <c r="E8" s="11">
        <v>10</v>
      </c>
      <c r="F8" t="s">
        <v>20</v>
      </c>
      <c r="G8" t="s">
        <v>78</v>
      </c>
      <c r="H8" t="s">
        <v>14</v>
      </c>
      <c r="I8" t="s">
        <v>22</v>
      </c>
      <c r="J8" t="s">
        <v>23</v>
      </c>
      <c r="K8" s="57">
        <f>K7+dis_table[[#This Row],[Amount]]</f>
        <v>1894.51</v>
      </c>
      <c r="M8" t="s">
        <v>154</v>
      </c>
      <c r="N8" s="6">
        <f>SUMIFS(dis_table[Amount],dis_table[Category],$M8,dis_table[Date],N$1)</f>
        <v>0</v>
      </c>
      <c r="O8" s="6">
        <f>SUMIFS(dis_table[Amount],dis_table[Category],$M8,dis_table[Date],O$1)</f>
        <v>0</v>
      </c>
      <c r="P8" s="6">
        <f>SUMIFS(dis_table[Amount],dis_table[Category],$M8,dis_table[Date],P$1)</f>
        <v>432</v>
      </c>
      <c r="Q8" s="6">
        <f>SUMIFS(dis_table[Amount],dis_table[Category],$M8,dis_table[Date],Q$1)</f>
        <v>0</v>
      </c>
      <c r="R8" s="6">
        <f>SUMIFS(dis_table[Amount],dis_table[Category],$M8,dis_table[Date],R$1)</f>
        <v>37.5</v>
      </c>
      <c r="S8" s="6">
        <f>SUMIFS(dis_table[Amount],dis_table[Category],$M8,dis_table[Date],S$1)</f>
        <v>0</v>
      </c>
      <c r="T8" s="6">
        <f>SUMIFS(dis_table[Amount],dis_table[Category],$M8,dis_table[Date],T$1)</f>
        <v>0</v>
      </c>
    </row>
    <row r="9" spans="1:20" hidden="1" x14ac:dyDescent="0.25">
      <c r="A9" s="1">
        <v>7</v>
      </c>
      <c r="B9" s="10">
        <v>44564</v>
      </c>
      <c r="C9" s="10">
        <v>44564</v>
      </c>
      <c r="D9" t="s">
        <v>100</v>
      </c>
      <c r="E9" s="11">
        <v>12.99</v>
      </c>
      <c r="F9" t="s">
        <v>56</v>
      </c>
      <c r="G9" t="s">
        <v>101</v>
      </c>
      <c r="H9" t="s">
        <v>14</v>
      </c>
      <c r="I9" t="s">
        <v>22</v>
      </c>
      <c r="J9" t="s">
        <v>23</v>
      </c>
      <c r="K9" s="57">
        <f>K8+dis_table[[#This Row],[Amount]]</f>
        <v>1907.5</v>
      </c>
      <c r="M9" t="s">
        <v>20</v>
      </c>
      <c r="N9" s="6">
        <f>SUMIFS(dis_table[Amount],dis_table[Category],$M9,dis_table[Date],N$1)</f>
        <v>802.2299999999999</v>
      </c>
      <c r="O9" s="6">
        <f>SUMIFS(dis_table[Amount],dis_table[Category],$M9,dis_table[Date],O$1)</f>
        <v>473.95000000000005</v>
      </c>
      <c r="P9" s="6">
        <f>SUMIFS(dis_table[Amount],dis_table[Category],$M9,dis_table[Date],P$1)</f>
        <v>1208.9099999999999</v>
      </c>
      <c r="Q9" s="6">
        <f>SUMIFS(dis_table[Amount],dis_table[Category],$M9,dis_table[Date],Q$1)</f>
        <v>1041.03</v>
      </c>
      <c r="R9" s="6">
        <f>SUMIFS(dis_table[Amount],dis_table[Category],$M9,dis_table[Date],R$1)</f>
        <v>1359.53</v>
      </c>
      <c r="S9" s="6">
        <f>SUMIFS(dis_table[Amount],dis_table[Category],$M9,dis_table[Date],S$1)</f>
        <v>900.0999999999998</v>
      </c>
      <c r="T9" s="6">
        <f>SUMIFS(dis_table[Amount],dis_table[Category],$M9,dis_table[Date],T$1)</f>
        <v>1110.46</v>
      </c>
    </row>
    <row r="10" spans="1:20" hidden="1" x14ac:dyDescent="0.25">
      <c r="A10" s="1">
        <v>8</v>
      </c>
      <c r="B10" s="10">
        <v>44565</v>
      </c>
      <c r="C10" s="10">
        <v>44565</v>
      </c>
      <c r="D10" t="s">
        <v>105</v>
      </c>
      <c r="E10" s="11">
        <v>42.34</v>
      </c>
      <c r="F10" t="s">
        <v>106</v>
      </c>
      <c r="G10" t="s">
        <v>107</v>
      </c>
      <c r="H10" t="s">
        <v>14</v>
      </c>
      <c r="I10" t="s">
        <v>15</v>
      </c>
      <c r="J10" t="s">
        <v>66</v>
      </c>
      <c r="K10" s="57">
        <f>K9+dis_table[[#This Row],[Amount]]</f>
        <v>1949.84</v>
      </c>
      <c r="M10" t="s">
        <v>12</v>
      </c>
      <c r="N10" s="6">
        <f>SUMIFS(dis_table[Amount],dis_table[Category],$M10,dis_table[Date],N$1)</f>
        <v>388.66</v>
      </c>
      <c r="O10" s="6">
        <f>SUMIFS(dis_table[Amount],dis_table[Category],$M10,dis_table[Date],O$1)</f>
        <v>115.83</v>
      </c>
      <c r="P10" s="6">
        <f>SUMIFS(dis_table[Amount],dis_table[Category],$M10,dis_table[Date],P$1)</f>
        <v>1073.8499999999999</v>
      </c>
      <c r="Q10" s="6">
        <f>SUMIFS(dis_table[Amount],dis_table[Category],$M10,dis_table[Date],Q$1)</f>
        <v>575.54</v>
      </c>
      <c r="R10" s="6">
        <f>SUMIFS(dis_table[Amount],dis_table[Category],$M10,dis_table[Date],R$1)</f>
        <v>770.29999999999984</v>
      </c>
      <c r="S10" s="6">
        <f>SUMIFS(dis_table[Amount],dis_table[Category],$M10,dis_table[Date],S$1)</f>
        <v>478.24</v>
      </c>
      <c r="T10" s="6">
        <f>SUMIFS(dis_table[Amount],dis_table[Category],$M10,dis_table[Date],T$1)</f>
        <v>441.53000000000003</v>
      </c>
    </row>
    <row r="11" spans="1:20" hidden="1" x14ac:dyDescent="0.25">
      <c r="A11" s="1">
        <v>9</v>
      </c>
      <c r="B11" s="10">
        <v>44565</v>
      </c>
      <c r="C11" s="10">
        <v>44565</v>
      </c>
      <c r="D11" t="s">
        <v>108</v>
      </c>
      <c r="E11" s="11">
        <v>79.38</v>
      </c>
      <c r="F11" t="s">
        <v>20</v>
      </c>
      <c r="G11" t="s">
        <v>109</v>
      </c>
      <c r="H11" t="s">
        <v>14</v>
      </c>
      <c r="I11" t="s">
        <v>22</v>
      </c>
      <c r="J11" t="s">
        <v>110</v>
      </c>
      <c r="K11" s="57">
        <f>K10+dis_table[[#This Row],[Amount]]</f>
        <v>2029.2199999999998</v>
      </c>
      <c r="M11" t="s">
        <v>56</v>
      </c>
      <c r="N11" s="6">
        <f>SUMIFS(dis_table[Amount],dis_table[Category],$M11,dis_table[Date],N$1)</f>
        <v>497.44</v>
      </c>
      <c r="O11" s="6">
        <f>SUMIFS(dis_table[Amount],dis_table[Category],$M11,dis_table[Date],O$1)</f>
        <v>132.57</v>
      </c>
      <c r="P11" s="6">
        <f>SUMIFS(dis_table[Amount],dis_table[Category],$M11,dis_table[Date],P$1)</f>
        <v>378.81</v>
      </c>
      <c r="Q11" s="6">
        <f>SUMIFS(dis_table[Amount],dis_table[Category],$M11,dis_table[Date],Q$1)</f>
        <v>78.88</v>
      </c>
      <c r="R11" s="6">
        <f>SUMIFS(dis_table[Amount],dis_table[Category],$M11,dis_table[Date],R$1)</f>
        <v>138.94999999999999</v>
      </c>
      <c r="S11" s="6">
        <f>SUMIFS(dis_table[Amount],dis_table[Category],$M11,dis_table[Date],S$1)</f>
        <v>134.85</v>
      </c>
      <c r="T11" s="6">
        <f>SUMIFS(dis_table[Amount],dis_table[Category],$M11,dis_table[Date],T$1)</f>
        <v>246.78</v>
      </c>
    </row>
    <row r="12" spans="1:20" hidden="1" x14ac:dyDescent="0.25">
      <c r="A12" s="1">
        <v>10</v>
      </c>
      <c r="B12" s="10">
        <v>44566</v>
      </c>
      <c r="C12" s="10">
        <v>44566</v>
      </c>
      <c r="D12" t="s">
        <v>82</v>
      </c>
      <c r="E12" s="11">
        <v>8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s="57">
        <f>K11+dis_table[[#This Row],[Amount]]</f>
        <v>2037.2199999999998</v>
      </c>
      <c r="M12" t="s">
        <v>53</v>
      </c>
      <c r="N12" s="6">
        <f>SUMIFS(dis_table[Amount],dis_table[Category],$M12,dis_table[Date],N$1)</f>
        <v>151.27000000000001</v>
      </c>
      <c r="O12" s="6">
        <f>SUMIFS(dis_table[Amount],dis_table[Category],$M12,dis_table[Date],O$1)</f>
        <v>132.46</v>
      </c>
      <c r="P12" s="6">
        <f>SUMIFS(dis_table[Amount],dis_table[Category],$M12,dis_table[Date],P$1)</f>
        <v>12.27</v>
      </c>
      <c r="Q12" s="6">
        <f>SUMIFS(dis_table[Amount],dis_table[Category],$M12,dis_table[Date],Q$1)</f>
        <v>459.72</v>
      </c>
      <c r="R12" s="6">
        <f>SUMIFS(dis_table[Amount],dis_table[Category],$M12,dis_table[Date],R$1)</f>
        <v>46.36</v>
      </c>
      <c r="S12" s="6">
        <f>SUMIFS(dis_table[Amount],dis_table[Category],$M12,dis_table[Date],S$1)</f>
        <v>181.77</v>
      </c>
      <c r="T12" s="6">
        <f>SUMIFS(dis_table[Amount],dis_table[Category],$M12,dis_table[Date],T$1)</f>
        <v>294.14</v>
      </c>
    </row>
    <row r="13" spans="1:20" hidden="1" x14ac:dyDescent="0.25">
      <c r="A13" s="1">
        <v>11</v>
      </c>
      <c r="B13" s="10">
        <v>44569</v>
      </c>
      <c r="C13" s="10">
        <v>44569</v>
      </c>
      <c r="D13" t="s">
        <v>111</v>
      </c>
      <c r="E13" s="11">
        <v>29.93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  <c r="K13" s="57">
        <f>K12+dis_table[[#This Row],[Amount]]</f>
        <v>2067.1499999999996</v>
      </c>
      <c r="M13" t="s">
        <v>30</v>
      </c>
      <c r="N13" s="6">
        <f>SUMIFS(dis_table[Amount],dis_table[Category],$M13,dis_table[Date],N$1)</f>
        <v>217.36</v>
      </c>
      <c r="O13" s="6">
        <f>SUMIFS(dis_table[Amount],dis_table[Category],$M13,dis_table[Date],O$1)</f>
        <v>608.72</v>
      </c>
      <c r="P13" s="6">
        <f>SUMIFS(dis_table[Amount],dis_table[Category],$M13,dis_table[Date],P$1)</f>
        <v>422</v>
      </c>
      <c r="Q13" s="6">
        <f>SUMIFS(dis_table[Amount],dis_table[Category],$M13,dis_table[Date],Q$1)</f>
        <v>409.79999999999995</v>
      </c>
      <c r="R13" s="6">
        <f>SUMIFS(dis_table[Amount],dis_table[Category],$M13,dis_table[Date],R$1)</f>
        <v>1511.2900000000004</v>
      </c>
      <c r="S13" s="6">
        <f>SUMIFS(dis_table[Amount],dis_table[Category],$M13,dis_table[Date],S$1)</f>
        <v>1230.0599999999997</v>
      </c>
      <c r="T13" s="6">
        <f>SUMIFS(dis_table[Amount],dis_table[Category],$M13,dis_table[Date],T$1)</f>
        <v>418.69</v>
      </c>
    </row>
    <row r="14" spans="1:20" hidden="1" x14ac:dyDescent="0.25">
      <c r="A14" s="1">
        <v>12</v>
      </c>
      <c r="B14" s="10">
        <v>44569</v>
      </c>
      <c r="C14" s="10">
        <v>44569</v>
      </c>
      <c r="D14" t="s">
        <v>112</v>
      </c>
      <c r="E14" s="11">
        <v>4.99</v>
      </c>
      <c r="F14" t="s">
        <v>20</v>
      </c>
      <c r="G14" t="s">
        <v>113</v>
      </c>
      <c r="H14" t="s">
        <v>14</v>
      </c>
      <c r="I14" t="s">
        <v>22</v>
      </c>
      <c r="J14" t="s">
        <v>23</v>
      </c>
      <c r="K14" s="57">
        <f>K13+dis_table[[#This Row],[Amount]]</f>
        <v>2072.1399999999994</v>
      </c>
      <c r="M14" t="s">
        <v>10</v>
      </c>
      <c r="N14" s="56">
        <f t="shared" ref="N14:T14" si="0">SUM(N2:N13)</f>
        <v>2191.71</v>
      </c>
      <c r="O14" s="56">
        <f t="shared" si="0"/>
        <v>1463.5300000000002</v>
      </c>
      <c r="P14" s="56">
        <f t="shared" si="0"/>
        <v>3905.37</v>
      </c>
      <c r="Q14" s="56">
        <f t="shared" si="0"/>
        <v>2590.2700000000004</v>
      </c>
      <c r="R14" s="56">
        <f t="shared" si="0"/>
        <v>3987.6200000000003</v>
      </c>
      <c r="S14" s="56">
        <f t="shared" si="0"/>
        <v>3334.0599999999995</v>
      </c>
      <c r="T14" s="56">
        <f t="shared" si="0"/>
        <v>2947.78</v>
      </c>
    </row>
    <row r="15" spans="1:20" hidden="1" x14ac:dyDescent="0.25">
      <c r="A15" s="1">
        <v>13</v>
      </c>
      <c r="B15" s="10">
        <v>44570</v>
      </c>
      <c r="C15" s="10">
        <v>44570</v>
      </c>
      <c r="D15" t="s">
        <v>104</v>
      </c>
      <c r="E15" s="11">
        <v>32.58</v>
      </c>
      <c r="F15" t="s">
        <v>53</v>
      </c>
      <c r="G15" t="s">
        <v>54</v>
      </c>
      <c r="H15" t="s">
        <v>14</v>
      </c>
      <c r="I15" t="s">
        <v>15</v>
      </c>
      <c r="J15" t="s">
        <v>16</v>
      </c>
      <c r="K15" s="57">
        <f>K14+dis_table[[#This Row],[Amount]]</f>
        <v>2104.7199999999993</v>
      </c>
      <c r="M15" t="s">
        <v>37</v>
      </c>
      <c r="N15" s="6">
        <f>SUMIFS(dis_table[Amount],dis_table[Category],$M15,dis_table[Date],N$1)</f>
        <v>-3994.92</v>
      </c>
      <c r="O15" s="6">
        <f>SUMIFS(dis_table[Amount],dis_table[Category],$M15,dis_table[Date],O$1)</f>
        <v>-2509.4299999999998</v>
      </c>
      <c r="P15" s="6">
        <f>SUMIFS(dis_table[Amount],dis_table[Category],$M15,dis_table[Date],P$1)</f>
        <v>-1969.1</v>
      </c>
      <c r="Q15" s="6">
        <f>SUMIFS(dis_table[Amount],dis_table[Category],$M15,dis_table[Date],Q$1)</f>
        <v>-934.85</v>
      </c>
      <c r="R15" s="6">
        <f>SUMIFS(dis_table[Amount],dis_table[Category],$M15,dis_table[Date],R$1)</f>
        <v>-2000</v>
      </c>
      <c r="S15" s="6">
        <f>SUMIFS(dis_table[Amount],dis_table[Category],$M15,dis_table[Date],S$1)</f>
        <v>-4008</v>
      </c>
      <c r="T15" s="6">
        <f>SUMIFS(dis_table[Amount],dis_table[Category],$M15,dis_table[Date],T$1)</f>
        <v>-2601</v>
      </c>
    </row>
    <row r="16" spans="1:20" hidden="1" x14ac:dyDescent="0.25">
      <c r="A16" s="1">
        <v>14</v>
      </c>
      <c r="B16" s="10">
        <v>44570</v>
      </c>
      <c r="C16" s="10">
        <v>44570</v>
      </c>
      <c r="D16" t="s">
        <v>114</v>
      </c>
      <c r="E16" s="11">
        <v>20</v>
      </c>
      <c r="F16" t="s">
        <v>20</v>
      </c>
      <c r="G16" t="s">
        <v>115</v>
      </c>
      <c r="H16" t="s">
        <v>14</v>
      </c>
      <c r="I16" t="s">
        <v>22</v>
      </c>
      <c r="J16" t="s">
        <v>23</v>
      </c>
      <c r="K16" s="57">
        <f>K15+dis_table[[#This Row],[Amount]]</f>
        <v>2124.7199999999993</v>
      </c>
      <c r="M16" t="s">
        <v>44</v>
      </c>
      <c r="N16" s="6">
        <f>SUMIFS(dis_table[Amount],dis_table[Category],$M16,dis_table[Date],N$1)</f>
        <v>-29.08</v>
      </c>
      <c r="O16" s="6">
        <f>SUMIFS(dis_table[Amount],dis_table[Category],$M16,dis_table[Date],O$1)</f>
        <v>-29.29</v>
      </c>
      <c r="P16" s="6">
        <f>SUMIFS(dis_table[Amount],dis_table[Category],$M16,dis_table[Date],P$1)</f>
        <v>0</v>
      </c>
      <c r="Q16" s="6">
        <f>SUMIFS(dis_table[Amount],dis_table[Category],$M16,dis_table[Date],Q$1)</f>
        <v>-65.150000000000006</v>
      </c>
      <c r="R16" s="6">
        <f>SUMIFS(dis_table[Amount],dis_table[Category],$M16,dis_table[Date],R$1)</f>
        <v>-41.23</v>
      </c>
      <c r="S16" s="6">
        <f>SUMIFS(dis_table[Amount],dis_table[Category],$M16,dis_table[Date],S$1)</f>
        <v>0</v>
      </c>
      <c r="T16" s="6">
        <f>SUMIFS(dis_table[Amount],dis_table[Category],$M16,dis_table[Date],T$1)</f>
        <v>0</v>
      </c>
    </row>
    <row r="17" spans="1:20" hidden="1" x14ac:dyDescent="0.25">
      <c r="A17" s="1">
        <v>15</v>
      </c>
      <c r="B17" s="10">
        <v>44570</v>
      </c>
      <c r="C17" s="10">
        <v>44570</v>
      </c>
      <c r="D17" t="s">
        <v>104</v>
      </c>
      <c r="E17" s="11">
        <v>2.4900000000000002</v>
      </c>
      <c r="F17" t="s">
        <v>53</v>
      </c>
      <c r="G17" t="s">
        <v>54</v>
      </c>
      <c r="H17" t="s">
        <v>14</v>
      </c>
      <c r="I17" t="s">
        <v>15</v>
      </c>
      <c r="J17" t="s">
        <v>16</v>
      </c>
      <c r="K17" s="57">
        <f>K16+dis_table[[#This Row],[Amount]]</f>
        <v>2127.2099999999991</v>
      </c>
    </row>
    <row r="18" spans="1:20" hidden="1" x14ac:dyDescent="0.25">
      <c r="A18" s="1">
        <v>16</v>
      </c>
      <c r="B18" s="10">
        <v>44570</v>
      </c>
      <c r="C18" s="10">
        <v>44570</v>
      </c>
      <c r="D18" t="s">
        <v>104</v>
      </c>
      <c r="E18" s="11">
        <v>36.72</v>
      </c>
      <c r="F18" t="s">
        <v>53</v>
      </c>
      <c r="G18" t="s">
        <v>54</v>
      </c>
      <c r="H18" t="s">
        <v>14</v>
      </c>
      <c r="I18" t="s">
        <v>15</v>
      </c>
      <c r="J18" t="s">
        <v>16</v>
      </c>
      <c r="K18" s="57">
        <f>K17+dis_table[[#This Row],[Amount]]</f>
        <v>2163.9299999999989</v>
      </c>
      <c r="N18" t="s">
        <v>14</v>
      </c>
      <c r="O18" t="s">
        <v>117</v>
      </c>
      <c r="P18" t="s">
        <v>145</v>
      </c>
      <c r="Q18" t="s">
        <v>233</v>
      </c>
      <c r="R18" t="s">
        <v>290</v>
      </c>
      <c r="S18" t="s">
        <v>364</v>
      </c>
      <c r="T18" t="s">
        <v>420</v>
      </c>
    </row>
    <row r="19" spans="1:20" hidden="1" x14ac:dyDescent="0.25">
      <c r="A19" s="1">
        <v>17</v>
      </c>
      <c r="B19" s="10">
        <v>44571</v>
      </c>
      <c r="C19" s="10">
        <v>44571</v>
      </c>
      <c r="D19" t="s">
        <v>26</v>
      </c>
      <c r="E19" s="11">
        <v>49.98</v>
      </c>
      <c r="F19" t="s">
        <v>20</v>
      </c>
      <c r="G19" t="s">
        <v>27</v>
      </c>
      <c r="H19" t="s">
        <v>14</v>
      </c>
      <c r="I19" t="s">
        <v>15</v>
      </c>
      <c r="K19" s="57">
        <f>K18+dis_table[[#This Row],[Amount]]</f>
        <v>2213.9099999999989</v>
      </c>
      <c r="M19" t="str">
        <f>M14</f>
        <v>Balance</v>
      </c>
      <c r="N19" s="6">
        <v>3659.69</v>
      </c>
      <c r="O19" s="6">
        <f t="shared" ref="O19:T19" si="1">O14</f>
        <v>1463.5300000000002</v>
      </c>
      <c r="P19" s="6">
        <f t="shared" si="1"/>
        <v>3905.37</v>
      </c>
      <c r="Q19" s="6">
        <f t="shared" si="1"/>
        <v>2590.2700000000004</v>
      </c>
      <c r="R19" s="6">
        <f t="shared" si="1"/>
        <v>3987.6200000000003</v>
      </c>
      <c r="S19" s="6">
        <f t="shared" si="1"/>
        <v>3334.0599999999995</v>
      </c>
      <c r="T19" s="6">
        <f t="shared" si="1"/>
        <v>2947.78</v>
      </c>
    </row>
    <row r="20" spans="1:20" hidden="1" x14ac:dyDescent="0.25">
      <c r="A20" s="1">
        <v>18</v>
      </c>
      <c r="B20" s="10">
        <v>44571</v>
      </c>
      <c r="C20" s="10">
        <v>44571</v>
      </c>
      <c r="D20" t="s">
        <v>28</v>
      </c>
      <c r="E20" s="11">
        <v>10.09</v>
      </c>
      <c r="F20" t="s">
        <v>12</v>
      </c>
      <c r="G20" t="s">
        <v>13</v>
      </c>
      <c r="H20" t="s">
        <v>14</v>
      </c>
      <c r="I20" t="s">
        <v>15</v>
      </c>
      <c r="J20" t="s">
        <v>16</v>
      </c>
      <c r="K20" s="57">
        <f>K19+dis_table[[#This Row],[Amount]]</f>
        <v>2223.9999999999991</v>
      </c>
      <c r="M20" t="str">
        <f>M15</f>
        <v>Payments and Credits</v>
      </c>
      <c r="N20" s="25">
        <f>N15*-1</f>
        <v>3994.92</v>
      </c>
      <c r="O20" s="25">
        <f t="shared" ref="O20:T20" si="2">O15*-1</f>
        <v>2509.4299999999998</v>
      </c>
      <c r="P20" s="25">
        <f t="shared" si="2"/>
        <v>1969.1</v>
      </c>
      <c r="Q20" s="25">
        <f t="shared" si="2"/>
        <v>934.85</v>
      </c>
      <c r="R20" s="25">
        <f t="shared" si="2"/>
        <v>2000</v>
      </c>
      <c r="S20" s="25">
        <f t="shared" si="2"/>
        <v>4008</v>
      </c>
      <c r="T20" s="25">
        <f t="shared" si="2"/>
        <v>2601</v>
      </c>
    </row>
    <row r="21" spans="1:20" hidden="1" x14ac:dyDescent="0.25">
      <c r="A21" s="1">
        <v>19</v>
      </c>
      <c r="B21" s="10">
        <v>44572</v>
      </c>
      <c r="C21" s="10">
        <v>44572</v>
      </c>
      <c r="D21" t="s">
        <v>29</v>
      </c>
      <c r="E21" s="11">
        <v>210</v>
      </c>
      <c r="F21" t="s">
        <v>30</v>
      </c>
      <c r="G21" t="s">
        <v>31</v>
      </c>
      <c r="H21" t="s">
        <v>14</v>
      </c>
      <c r="I21" t="s">
        <v>15</v>
      </c>
      <c r="J21" t="s">
        <v>32</v>
      </c>
      <c r="K21" s="57">
        <f>K20+dis_table[[#This Row],[Amount]]</f>
        <v>2433.9999999999991</v>
      </c>
    </row>
    <row r="22" spans="1:20" hidden="1" x14ac:dyDescent="0.25">
      <c r="A22" s="1">
        <v>20</v>
      </c>
      <c r="B22" s="10">
        <v>44573</v>
      </c>
      <c r="C22" s="10">
        <v>44573</v>
      </c>
      <c r="D22" t="s">
        <v>33</v>
      </c>
      <c r="E22" s="11">
        <v>19.8</v>
      </c>
      <c r="F22" t="s">
        <v>20</v>
      </c>
      <c r="G22" t="s">
        <v>34</v>
      </c>
      <c r="H22" t="s">
        <v>14</v>
      </c>
      <c r="I22" t="s">
        <v>15</v>
      </c>
      <c r="J22" t="s">
        <v>32</v>
      </c>
      <c r="K22" s="57">
        <f>K21+dis_table[[#This Row],[Amount]]</f>
        <v>2453.7999999999993</v>
      </c>
    </row>
    <row r="23" spans="1:20" hidden="1" x14ac:dyDescent="0.25">
      <c r="A23" s="1">
        <v>21</v>
      </c>
      <c r="B23" s="10">
        <v>44573</v>
      </c>
      <c r="C23" s="10">
        <v>44573</v>
      </c>
      <c r="D23" t="s">
        <v>35</v>
      </c>
      <c r="E23" s="11">
        <v>15.1</v>
      </c>
      <c r="F23" t="s">
        <v>12</v>
      </c>
      <c r="G23" t="s">
        <v>13</v>
      </c>
      <c r="H23" t="s">
        <v>14</v>
      </c>
      <c r="I23" t="s">
        <v>15</v>
      </c>
      <c r="J23" t="s">
        <v>16</v>
      </c>
      <c r="K23" s="57">
        <f>K22+dis_table[[#This Row],[Amount]]</f>
        <v>2468.8999999999992</v>
      </c>
    </row>
    <row r="24" spans="1:20" hidden="1" x14ac:dyDescent="0.25">
      <c r="A24" s="1">
        <v>22</v>
      </c>
      <c r="B24" s="10">
        <v>44574</v>
      </c>
      <c r="C24" s="10">
        <v>44574</v>
      </c>
      <c r="D24" t="s">
        <v>36</v>
      </c>
      <c r="E24" s="11">
        <v>-2194.92</v>
      </c>
      <c r="F24" t="s">
        <v>37</v>
      </c>
      <c r="G24" t="s">
        <v>38</v>
      </c>
      <c r="H24" t="s">
        <v>14</v>
      </c>
      <c r="I24" t="s">
        <v>15</v>
      </c>
      <c r="K24" s="57">
        <f>K23+dis_table[[#This Row],[Amount]]</f>
        <v>273.97999999999911</v>
      </c>
    </row>
    <row r="25" spans="1:20" hidden="1" x14ac:dyDescent="0.25">
      <c r="A25" s="1">
        <v>23</v>
      </c>
      <c r="B25" s="10">
        <v>44574</v>
      </c>
      <c r="C25" s="10">
        <v>44574</v>
      </c>
      <c r="D25" t="s">
        <v>39</v>
      </c>
      <c r="E25" s="11">
        <v>30.89</v>
      </c>
      <c r="F25" t="s">
        <v>40</v>
      </c>
      <c r="G25" t="s">
        <v>41</v>
      </c>
      <c r="H25" t="s">
        <v>14</v>
      </c>
      <c r="I25" t="s">
        <v>15</v>
      </c>
      <c r="J25" t="s">
        <v>42</v>
      </c>
      <c r="K25" s="57">
        <f>K24+dis_table[[#This Row],[Amount]]</f>
        <v>304.8699999999991</v>
      </c>
    </row>
    <row r="26" spans="1:20" hidden="1" x14ac:dyDescent="0.25">
      <c r="A26" s="1">
        <v>24</v>
      </c>
      <c r="B26" s="10">
        <v>44574</v>
      </c>
      <c r="C26" s="10">
        <v>44574</v>
      </c>
      <c r="D26" t="s">
        <v>43</v>
      </c>
      <c r="E26" s="11">
        <v>-29.08</v>
      </c>
      <c r="F26" t="s">
        <v>44</v>
      </c>
      <c r="G26" t="s">
        <v>45</v>
      </c>
      <c r="H26" t="s">
        <v>14</v>
      </c>
      <c r="I26" t="s">
        <v>15</v>
      </c>
      <c r="K26" s="57">
        <f>K25+dis_table[[#This Row],[Amount]]</f>
        <v>275.78999999999911</v>
      </c>
    </row>
    <row r="27" spans="1:20" hidden="1" x14ac:dyDescent="0.25">
      <c r="A27" s="1">
        <v>25</v>
      </c>
      <c r="B27" s="10">
        <v>44575</v>
      </c>
      <c r="C27" s="10">
        <v>44575</v>
      </c>
      <c r="D27" t="s">
        <v>47</v>
      </c>
      <c r="E27" s="11">
        <v>6.29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  <c r="K27" s="57">
        <f>K26+dis_table[[#This Row],[Amount]]</f>
        <v>282.07999999999913</v>
      </c>
    </row>
    <row r="28" spans="1:20" hidden="1" x14ac:dyDescent="0.25">
      <c r="A28" s="1">
        <v>26</v>
      </c>
      <c r="B28" s="10">
        <v>44575</v>
      </c>
      <c r="C28" s="10">
        <v>44575</v>
      </c>
      <c r="D28" t="s">
        <v>48</v>
      </c>
      <c r="E28" s="11">
        <v>15.89</v>
      </c>
      <c r="F28" t="s">
        <v>20</v>
      </c>
      <c r="G28" t="s">
        <v>49</v>
      </c>
      <c r="H28" t="s">
        <v>14</v>
      </c>
      <c r="I28" t="s">
        <v>22</v>
      </c>
      <c r="J28" t="s">
        <v>23</v>
      </c>
      <c r="K28" s="57">
        <f>K27+dis_table[[#This Row],[Amount]]</f>
        <v>297.96999999999912</v>
      </c>
    </row>
    <row r="29" spans="1:20" hidden="1" x14ac:dyDescent="0.25">
      <c r="A29" s="1">
        <v>27</v>
      </c>
      <c r="B29" s="10">
        <v>44576</v>
      </c>
      <c r="C29" s="10">
        <v>44576</v>
      </c>
      <c r="D29" t="s">
        <v>50</v>
      </c>
      <c r="E29" s="11">
        <v>52.41</v>
      </c>
      <c r="F29" t="s">
        <v>12</v>
      </c>
      <c r="G29" t="s">
        <v>18</v>
      </c>
      <c r="H29" t="s">
        <v>14</v>
      </c>
      <c r="I29" t="s">
        <v>15</v>
      </c>
      <c r="J29" t="s">
        <v>16</v>
      </c>
      <c r="K29" s="57">
        <f>K28+dis_table[[#This Row],[Amount]]</f>
        <v>350.37999999999909</v>
      </c>
    </row>
    <row r="30" spans="1:20" hidden="1" x14ac:dyDescent="0.25">
      <c r="A30" s="1">
        <v>28</v>
      </c>
      <c r="B30" s="10">
        <v>44576</v>
      </c>
      <c r="C30" s="10">
        <v>44576</v>
      </c>
      <c r="D30" t="s">
        <v>51</v>
      </c>
      <c r="E30" s="11">
        <v>21.49</v>
      </c>
      <c r="F30" t="s">
        <v>12</v>
      </c>
      <c r="G30" t="s">
        <v>13</v>
      </c>
      <c r="H30" t="s">
        <v>14</v>
      </c>
      <c r="I30" t="s">
        <v>15</v>
      </c>
      <c r="J30" t="s">
        <v>16</v>
      </c>
      <c r="K30" s="57">
        <f>K29+dis_table[[#This Row],[Amount]]</f>
        <v>371.8699999999991</v>
      </c>
    </row>
    <row r="31" spans="1:20" hidden="1" x14ac:dyDescent="0.25">
      <c r="A31" s="1">
        <v>29</v>
      </c>
      <c r="B31" s="10">
        <v>44576</v>
      </c>
      <c r="C31" s="10">
        <v>44576</v>
      </c>
      <c r="D31" t="s">
        <v>52</v>
      </c>
      <c r="E31" s="11">
        <v>35.020000000000003</v>
      </c>
      <c r="F31" t="s">
        <v>53</v>
      </c>
      <c r="G31" t="s">
        <v>54</v>
      </c>
      <c r="H31" t="s">
        <v>14</v>
      </c>
      <c r="I31" t="s">
        <v>15</v>
      </c>
      <c r="J31" t="s">
        <v>16</v>
      </c>
      <c r="K31" s="57">
        <f>K30+dis_table[[#This Row],[Amount]]</f>
        <v>406.88999999999908</v>
      </c>
    </row>
    <row r="32" spans="1:20" hidden="1" x14ac:dyDescent="0.25">
      <c r="A32" s="1">
        <v>30</v>
      </c>
      <c r="B32" s="10">
        <v>44577</v>
      </c>
      <c r="C32" s="10">
        <v>44577</v>
      </c>
      <c r="D32" t="s">
        <v>55</v>
      </c>
      <c r="E32" s="11">
        <v>62</v>
      </c>
      <c r="F32" t="s">
        <v>56</v>
      </c>
      <c r="G32" t="s">
        <v>57</v>
      </c>
      <c r="H32" t="s">
        <v>14</v>
      </c>
      <c r="I32" t="s">
        <v>15</v>
      </c>
      <c r="J32" t="s">
        <v>23</v>
      </c>
      <c r="K32" s="57">
        <f>K31+dis_table[[#This Row],[Amount]]</f>
        <v>468.88999999999908</v>
      </c>
    </row>
    <row r="33" spans="1:11" hidden="1" x14ac:dyDescent="0.25">
      <c r="A33" s="1">
        <v>31</v>
      </c>
      <c r="B33" s="10">
        <v>44577</v>
      </c>
      <c r="C33" s="10">
        <v>44577</v>
      </c>
      <c r="D33" t="s">
        <v>58</v>
      </c>
      <c r="E33" s="11">
        <v>26.49</v>
      </c>
      <c r="F33" t="s">
        <v>20</v>
      </c>
      <c r="G33" t="s">
        <v>59</v>
      </c>
      <c r="H33" t="s">
        <v>14</v>
      </c>
      <c r="I33" t="s">
        <v>15</v>
      </c>
      <c r="J33" t="s">
        <v>60</v>
      </c>
      <c r="K33" s="57">
        <f>K32+dis_table[[#This Row],[Amount]]</f>
        <v>495.37999999999909</v>
      </c>
    </row>
    <row r="34" spans="1:11" hidden="1" x14ac:dyDescent="0.25">
      <c r="A34" s="1">
        <v>32</v>
      </c>
      <c r="B34" s="10">
        <v>44578</v>
      </c>
      <c r="C34" s="10">
        <v>44578</v>
      </c>
      <c r="D34" t="s">
        <v>61</v>
      </c>
      <c r="E34" s="11">
        <v>2.99</v>
      </c>
      <c r="F34" t="s">
        <v>40</v>
      </c>
      <c r="G34" t="s">
        <v>34</v>
      </c>
      <c r="H34" t="s">
        <v>14</v>
      </c>
      <c r="I34" t="s">
        <v>15</v>
      </c>
      <c r="J34" t="s">
        <v>32</v>
      </c>
      <c r="K34" s="57">
        <f>K33+dis_table[[#This Row],[Amount]]</f>
        <v>498.3699999999991</v>
      </c>
    </row>
    <row r="35" spans="1:11" hidden="1" x14ac:dyDescent="0.25">
      <c r="A35" s="1">
        <v>33</v>
      </c>
      <c r="B35" s="10">
        <v>44578</v>
      </c>
      <c r="C35" s="10">
        <v>44578</v>
      </c>
      <c r="D35" t="s">
        <v>62</v>
      </c>
      <c r="E35" s="11">
        <v>24.15</v>
      </c>
      <c r="F35" t="s">
        <v>40</v>
      </c>
      <c r="G35" t="s">
        <v>41</v>
      </c>
      <c r="H35" t="s">
        <v>14</v>
      </c>
      <c r="I35" t="s">
        <v>15</v>
      </c>
      <c r="J35" t="s">
        <v>42</v>
      </c>
      <c r="K35" s="57">
        <f>K34+dis_table[[#This Row],[Amount]]</f>
        <v>522.51999999999907</v>
      </c>
    </row>
    <row r="36" spans="1:11" hidden="1" x14ac:dyDescent="0.25">
      <c r="A36" s="1">
        <v>34</v>
      </c>
      <c r="B36" s="10">
        <v>44578</v>
      </c>
      <c r="C36" s="10">
        <v>44578</v>
      </c>
      <c r="D36" t="s">
        <v>63</v>
      </c>
      <c r="E36" s="11">
        <v>12.68</v>
      </c>
      <c r="F36" t="s">
        <v>12</v>
      </c>
      <c r="G36" t="s">
        <v>13</v>
      </c>
      <c r="H36" t="s">
        <v>14</v>
      </c>
      <c r="I36" t="s">
        <v>15</v>
      </c>
      <c r="J36" t="s">
        <v>16</v>
      </c>
      <c r="K36" s="57">
        <f>K35+dis_table[[#This Row],[Amount]]</f>
        <v>535.19999999999902</v>
      </c>
    </row>
    <row r="37" spans="1:11" hidden="1" x14ac:dyDescent="0.25">
      <c r="A37" s="1">
        <v>35</v>
      </c>
      <c r="B37" s="10">
        <v>44578</v>
      </c>
      <c r="C37" s="10">
        <v>44578</v>
      </c>
      <c r="D37" t="s">
        <v>64</v>
      </c>
      <c r="E37" s="11">
        <v>70</v>
      </c>
      <c r="F37" t="s">
        <v>20</v>
      </c>
      <c r="G37" t="s">
        <v>65</v>
      </c>
      <c r="H37" t="s">
        <v>14</v>
      </c>
      <c r="I37" t="s">
        <v>22</v>
      </c>
      <c r="J37" t="s">
        <v>66</v>
      </c>
      <c r="K37" s="57">
        <f>K36+dis_table[[#This Row],[Amount]]</f>
        <v>605.19999999999902</v>
      </c>
    </row>
    <row r="38" spans="1:11" hidden="1" x14ac:dyDescent="0.25">
      <c r="A38" s="1">
        <v>36</v>
      </c>
      <c r="B38" s="10">
        <v>44579</v>
      </c>
      <c r="C38" s="10">
        <v>44579</v>
      </c>
      <c r="D38" t="s">
        <v>67</v>
      </c>
      <c r="E38" s="11">
        <v>5.29</v>
      </c>
      <c r="F38" t="s">
        <v>20</v>
      </c>
      <c r="G38" t="s">
        <v>68</v>
      </c>
      <c r="H38" t="s">
        <v>14</v>
      </c>
      <c r="I38" t="s">
        <v>22</v>
      </c>
      <c r="J38" t="s">
        <v>23</v>
      </c>
      <c r="K38" s="57">
        <f>K37+dis_table[[#This Row],[Amount]]</f>
        <v>610.48999999999899</v>
      </c>
    </row>
    <row r="39" spans="1:11" hidden="1" x14ac:dyDescent="0.25">
      <c r="A39" s="1">
        <v>37</v>
      </c>
      <c r="B39" s="10">
        <v>44579</v>
      </c>
      <c r="C39" s="10">
        <v>44579</v>
      </c>
      <c r="D39" t="s">
        <v>69</v>
      </c>
      <c r="E39" s="11">
        <v>182.45</v>
      </c>
      <c r="F39" t="s">
        <v>56</v>
      </c>
      <c r="G39" t="s">
        <v>70</v>
      </c>
      <c r="H39" t="s">
        <v>14</v>
      </c>
      <c r="I39" t="s">
        <v>15</v>
      </c>
      <c r="J39" t="s">
        <v>66</v>
      </c>
      <c r="K39" s="57">
        <f>K38+dis_table[[#This Row],[Amount]]</f>
        <v>792.93999999999892</v>
      </c>
    </row>
    <row r="40" spans="1:11" hidden="1" x14ac:dyDescent="0.25">
      <c r="A40" s="1">
        <v>38</v>
      </c>
      <c r="B40" s="10">
        <v>44579</v>
      </c>
      <c r="C40" s="10">
        <v>44579</v>
      </c>
      <c r="D40" t="s">
        <v>71</v>
      </c>
      <c r="E40" s="11">
        <v>153.88</v>
      </c>
      <c r="F40" t="s">
        <v>20</v>
      </c>
      <c r="G40" t="s">
        <v>72</v>
      </c>
      <c r="H40" t="s">
        <v>14</v>
      </c>
      <c r="I40" t="s">
        <v>15</v>
      </c>
      <c r="J40" t="s">
        <v>32</v>
      </c>
      <c r="K40" s="57">
        <f>K39+dis_table[[#This Row],[Amount]]</f>
        <v>946.81999999999891</v>
      </c>
    </row>
    <row r="41" spans="1:11" hidden="1" x14ac:dyDescent="0.25">
      <c r="A41" s="1">
        <v>39</v>
      </c>
      <c r="B41" s="10">
        <v>44580</v>
      </c>
      <c r="C41" s="10">
        <v>44580</v>
      </c>
      <c r="D41" t="s">
        <v>73</v>
      </c>
      <c r="E41" s="11">
        <v>12.62</v>
      </c>
      <c r="F41" t="s">
        <v>12</v>
      </c>
      <c r="G41" t="s">
        <v>74</v>
      </c>
      <c r="H41" t="s">
        <v>14</v>
      </c>
      <c r="I41" t="s">
        <v>15</v>
      </c>
      <c r="J41" t="s">
        <v>16</v>
      </c>
      <c r="K41" s="57">
        <f>K40+dis_table[[#This Row],[Amount]]</f>
        <v>959.43999999999892</v>
      </c>
    </row>
    <row r="42" spans="1:11" hidden="1" x14ac:dyDescent="0.25">
      <c r="A42" s="1">
        <v>40</v>
      </c>
      <c r="B42" s="10">
        <v>44580</v>
      </c>
      <c r="C42" s="10">
        <v>44580</v>
      </c>
      <c r="D42" t="s">
        <v>75</v>
      </c>
      <c r="E42" s="11">
        <v>23.71</v>
      </c>
      <c r="F42" t="s">
        <v>20</v>
      </c>
      <c r="G42" t="s">
        <v>76</v>
      </c>
      <c r="H42" t="s">
        <v>14</v>
      </c>
      <c r="I42" t="s">
        <v>15</v>
      </c>
      <c r="J42" t="s">
        <v>42</v>
      </c>
      <c r="K42" s="57">
        <f>K41+dis_table[[#This Row],[Amount]]</f>
        <v>983.14999999999895</v>
      </c>
    </row>
    <row r="43" spans="1:11" hidden="1" x14ac:dyDescent="0.25">
      <c r="A43" s="1">
        <v>41</v>
      </c>
      <c r="B43" s="10">
        <v>44581</v>
      </c>
      <c r="C43" s="10">
        <v>44581</v>
      </c>
      <c r="D43" t="s">
        <v>79</v>
      </c>
      <c r="E43" s="11">
        <v>12.99</v>
      </c>
      <c r="F43" t="s">
        <v>20</v>
      </c>
      <c r="G43" t="s">
        <v>80</v>
      </c>
      <c r="H43" t="s">
        <v>14</v>
      </c>
      <c r="I43" t="s">
        <v>15</v>
      </c>
      <c r="J43" t="s">
        <v>23</v>
      </c>
      <c r="K43" s="57">
        <f>K42+dis_table[[#This Row],[Amount]]</f>
        <v>996.13999999999896</v>
      </c>
    </row>
    <row r="44" spans="1:11" hidden="1" x14ac:dyDescent="0.25">
      <c r="A44" s="1">
        <v>42</v>
      </c>
      <c r="B44" s="10">
        <v>44582</v>
      </c>
      <c r="C44" s="10">
        <v>44582</v>
      </c>
      <c r="D44" t="s">
        <v>79</v>
      </c>
      <c r="E44" s="11">
        <v>4.99</v>
      </c>
      <c r="F44" t="s">
        <v>20</v>
      </c>
      <c r="G44" t="s">
        <v>80</v>
      </c>
      <c r="H44" t="s">
        <v>14</v>
      </c>
      <c r="I44" t="s">
        <v>15</v>
      </c>
      <c r="J44" t="s">
        <v>23</v>
      </c>
      <c r="K44" s="57">
        <f>K43+dis_table[[#This Row],[Amount]]</f>
        <v>1001.129999999999</v>
      </c>
    </row>
    <row r="45" spans="1:11" hidden="1" x14ac:dyDescent="0.25">
      <c r="A45" s="1">
        <v>43</v>
      </c>
      <c r="B45" s="10">
        <v>44582</v>
      </c>
      <c r="C45" s="10">
        <v>44582</v>
      </c>
      <c r="D45" t="s">
        <v>81</v>
      </c>
      <c r="E45" s="11">
        <v>32.44</v>
      </c>
      <c r="F45" t="s">
        <v>20</v>
      </c>
      <c r="G45" t="s">
        <v>76</v>
      </c>
      <c r="H45" t="s">
        <v>14</v>
      </c>
      <c r="I45" t="s">
        <v>15</v>
      </c>
      <c r="J45" t="s">
        <v>42</v>
      </c>
      <c r="K45" s="57">
        <f>K44+dis_table[[#This Row],[Amount]]</f>
        <v>1033.569999999999</v>
      </c>
    </row>
    <row r="46" spans="1:11" hidden="1" x14ac:dyDescent="0.25">
      <c r="A46" s="1">
        <v>44</v>
      </c>
      <c r="B46" s="10">
        <v>44582</v>
      </c>
      <c r="C46" s="10">
        <v>44582</v>
      </c>
      <c r="D46" t="s">
        <v>82</v>
      </c>
      <c r="E46" s="11">
        <v>6.83</v>
      </c>
      <c r="F46" t="s">
        <v>12</v>
      </c>
      <c r="G46" t="s">
        <v>13</v>
      </c>
      <c r="H46" t="s">
        <v>14</v>
      </c>
      <c r="I46" t="s">
        <v>15</v>
      </c>
      <c r="J46" t="s">
        <v>16</v>
      </c>
      <c r="K46" s="57">
        <f>K45+dis_table[[#This Row],[Amount]]</f>
        <v>1040.399999999999</v>
      </c>
    </row>
    <row r="47" spans="1:11" hidden="1" x14ac:dyDescent="0.25">
      <c r="A47" s="1">
        <v>45</v>
      </c>
      <c r="B47" s="10">
        <v>44582</v>
      </c>
      <c r="C47" s="10">
        <v>44582</v>
      </c>
      <c r="D47" t="s">
        <v>79</v>
      </c>
      <c r="E47" s="11">
        <v>11</v>
      </c>
      <c r="F47" t="s">
        <v>20</v>
      </c>
      <c r="G47" t="s">
        <v>80</v>
      </c>
      <c r="H47" t="s">
        <v>14</v>
      </c>
      <c r="I47" t="s">
        <v>15</v>
      </c>
      <c r="J47" t="s">
        <v>23</v>
      </c>
      <c r="K47" s="57">
        <f>K46+dis_table[[#This Row],[Amount]]</f>
        <v>1051.399999999999</v>
      </c>
    </row>
    <row r="48" spans="1:11" hidden="1" x14ac:dyDescent="0.25">
      <c r="A48" s="1">
        <v>46</v>
      </c>
      <c r="B48" s="10">
        <v>44583</v>
      </c>
      <c r="C48" s="10">
        <v>44583</v>
      </c>
      <c r="D48" t="s">
        <v>83</v>
      </c>
      <c r="E48" s="11">
        <v>7.36</v>
      </c>
      <c r="F48" t="s">
        <v>30</v>
      </c>
      <c r="G48" t="s">
        <v>13</v>
      </c>
      <c r="H48" t="s">
        <v>14</v>
      </c>
      <c r="I48" t="s">
        <v>15</v>
      </c>
      <c r="J48" t="s">
        <v>16</v>
      </c>
      <c r="K48" s="57">
        <f>K47+dis_table[[#This Row],[Amount]]</f>
        <v>1058.7599999999989</v>
      </c>
    </row>
    <row r="49" spans="1:11" hidden="1" x14ac:dyDescent="0.25">
      <c r="A49" s="1">
        <v>47</v>
      </c>
      <c r="B49" s="10">
        <v>44583</v>
      </c>
      <c r="C49" s="10">
        <v>44583</v>
      </c>
      <c r="D49" t="s">
        <v>84</v>
      </c>
      <c r="E49" s="11">
        <v>32.979999999999997</v>
      </c>
      <c r="F49" t="s">
        <v>20</v>
      </c>
      <c r="G49" t="s">
        <v>27</v>
      </c>
      <c r="H49" t="s">
        <v>14</v>
      </c>
      <c r="I49" t="s">
        <v>15</v>
      </c>
      <c r="K49" s="57">
        <f>K48+dis_table[[#This Row],[Amount]]</f>
        <v>1091.7399999999989</v>
      </c>
    </row>
    <row r="50" spans="1:11" hidden="1" x14ac:dyDescent="0.25">
      <c r="A50" s="1">
        <v>48</v>
      </c>
      <c r="B50" s="10">
        <v>44583</v>
      </c>
      <c r="C50" s="10">
        <v>44583</v>
      </c>
      <c r="D50" t="s">
        <v>85</v>
      </c>
      <c r="E50" s="11">
        <v>29.99</v>
      </c>
      <c r="F50" t="s">
        <v>20</v>
      </c>
      <c r="G50" t="s">
        <v>27</v>
      </c>
      <c r="H50" t="s">
        <v>14</v>
      </c>
      <c r="I50" t="s">
        <v>15</v>
      </c>
      <c r="K50" s="57">
        <f>K49+dis_table[[#This Row],[Amount]]</f>
        <v>1121.7299999999989</v>
      </c>
    </row>
    <row r="51" spans="1:11" hidden="1" x14ac:dyDescent="0.25">
      <c r="A51" s="1">
        <v>49</v>
      </c>
      <c r="B51" s="10">
        <v>44583</v>
      </c>
      <c r="C51" s="10">
        <v>44583</v>
      </c>
      <c r="D51" t="s">
        <v>86</v>
      </c>
      <c r="E51" s="11">
        <v>22.79</v>
      </c>
      <c r="F51" t="s">
        <v>20</v>
      </c>
      <c r="G51" t="s">
        <v>27</v>
      </c>
      <c r="H51" t="s">
        <v>14</v>
      </c>
      <c r="I51" t="s">
        <v>15</v>
      </c>
      <c r="K51" s="57">
        <f>K50+dis_table[[#This Row],[Amount]]</f>
        <v>1144.5199999999988</v>
      </c>
    </row>
    <row r="52" spans="1:11" hidden="1" x14ac:dyDescent="0.25">
      <c r="A52" s="1">
        <v>50</v>
      </c>
      <c r="B52" s="10">
        <v>44584</v>
      </c>
      <c r="C52" s="10">
        <v>44584</v>
      </c>
      <c r="D52" t="s">
        <v>87</v>
      </c>
      <c r="E52" s="11">
        <v>30</v>
      </c>
      <c r="F52" t="s">
        <v>20</v>
      </c>
      <c r="G52" t="s">
        <v>88</v>
      </c>
      <c r="H52" t="s">
        <v>14</v>
      </c>
      <c r="I52" t="s">
        <v>22</v>
      </c>
      <c r="J52" t="s">
        <v>23</v>
      </c>
      <c r="K52" s="57">
        <f>K51+dis_table[[#This Row],[Amount]]</f>
        <v>1174.5199999999988</v>
      </c>
    </row>
    <row r="53" spans="1:11" hidden="1" x14ac:dyDescent="0.25">
      <c r="A53" s="1">
        <v>51</v>
      </c>
      <c r="B53" s="10">
        <v>44586</v>
      </c>
      <c r="C53" s="10">
        <v>44586</v>
      </c>
      <c r="D53" t="s">
        <v>89</v>
      </c>
      <c r="E53" s="11">
        <v>79</v>
      </c>
      <c r="F53" t="s">
        <v>20</v>
      </c>
      <c r="G53" t="s">
        <v>90</v>
      </c>
      <c r="H53" t="s">
        <v>14</v>
      </c>
      <c r="I53" t="s">
        <v>22</v>
      </c>
      <c r="J53" t="s">
        <v>32</v>
      </c>
      <c r="K53" s="57">
        <f>K52+dis_table[[#This Row],[Amount]]</f>
        <v>1253.5199999999988</v>
      </c>
    </row>
    <row r="54" spans="1:11" hidden="1" x14ac:dyDescent="0.25">
      <c r="A54" s="1">
        <v>52</v>
      </c>
      <c r="B54" s="10">
        <v>44587</v>
      </c>
      <c r="C54" s="10">
        <v>44587</v>
      </c>
      <c r="D54" t="s">
        <v>91</v>
      </c>
      <c r="E54" s="11">
        <v>2.17</v>
      </c>
      <c r="F54" t="s">
        <v>20</v>
      </c>
      <c r="G54" t="s">
        <v>92</v>
      </c>
      <c r="H54" t="s">
        <v>14</v>
      </c>
      <c r="I54" t="s">
        <v>15</v>
      </c>
      <c r="J54" t="s">
        <v>32</v>
      </c>
      <c r="K54" s="57">
        <f>K53+dis_table[[#This Row],[Amount]]</f>
        <v>1255.6899999999989</v>
      </c>
    </row>
    <row r="55" spans="1:11" hidden="1" x14ac:dyDescent="0.25">
      <c r="A55" s="1">
        <v>53</v>
      </c>
      <c r="B55" s="10">
        <v>44587</v>
      </c>
      <c r="C55" s="10">
        <v>44587</v>
      </c>
      <c r="D55" t="s">
        <v>91</v>
      </c>
      <c r="E55" s="11">
        <v>1.87</v>
      </c>
      <c r="F55" t="s">
        <v>20</v>
      </c>
      <c r="G55" t="s">
        <v>92</v>
      </c>
      <c r="H55" t="s">
        <v>14</v>
      </c>
      <c r="I55" t="s">
        <v>15</v>
      </c>
      <c r="J55" t="s">
        <v>32</v>
      </c>
      <c r="K55" s="57">
        <f>K54+dis_table[[#This Row],[Amount]]</f>
        <v>1257.5599999999988</v>
      </c>
    </row>
    <row r="56" spans="1:11" hidden="1" x14ac:dyDescent="0.25">
      <c r="A56" s="1">
        <v>54</v>
      </c>
      <c r="B56" s="10">
        <v>44587</v>
      </c>
      <c r="C56" s="10">
        <v>44587</v>
      </c>
      <c r="D56" t="s">
        <v>93</v>
      </c>
      <c r="E56" s="11">
        <v>210</v>
      </c>
      <c r="F56" t="s">
        <v>56</v>
      </c>
      <c r="G56" t="s">
        <v>94</v>
      </c>
      <c r="H56" t="s">
        <v>14</v>
      </c>
      <c r="I56" t="s">
        <v>15</v>
      </c>
      <c r="J56" t="s">
        <v>32</v>
      </c>
      <c r="K56" s="57">
        <f>K55+dis_table[[#This Row],[Amount]]</f>
        <v>1467.5599999999988</v>
      </c>
    </row>
    <row r="57" spans="1:11" hidden="1" x14ac:dyDescent="0.25">
      <c r="A57" s="1">
        <v>55</v>
      </c>
      <c r="B57" s="10">
        <v>44587</v>
      </c>
      <c r="C57" s="10">
        <v>44587</v>
      </c>
      <c r="D57" t="s">
        <v>93</v>
      </c>
      <c r="E57" s="11">
        <v>30</v>
      </c>
      <c r="F57" t="s">
        <v>56</v>
      </c>
      <c r="G57" t="s">
        <v>94</v>
      </c>
      <c r="H57" t="s">
        <v>14</v>
      </c>
      <c r="I57" t="s">
        <v>15</v>
      </c>
      <c r="J57" t="s">
        <v>32</v>
      </c>
      <c r="K57" s="57">
        <f>K56+dis_table[[#This Row],[Amount]]</f>
        <v>1497.5599999999988</v>
      </c>
    </row>
    <row r="58" spans="1:11" hidden="1" x14ac:dyDescent="0.25">
      <c r="A58" s="1">
        <v>56</v>
      </c>
      <c r="B58" s="10">
        <v>44587</v>
      </c>
      <c r="C58" s="10">
        <v>44587</v>
      </c>
      <c r="D58" t="s">
        <v>28</v>
      </c>
      <c r="E58" s="11">
        <v>9</v>
      </c>
      <c r="F58" t="s">
        <v>12</v>
      </c>
      <c r="G58" t="s">
        <v>13</v>
      </c>
      <c r="H58" t="s">
        <v>14</v>
      </c>
      <c r="I58" t="s">
        <v>15</v>
      </c>
      <c r="J58" t="s">
        <v>16</v>
      </c>
      <c r="K58" s="57">
        <f>K57+dis_table[[#This Row],[Amount]]</f>
        <v>1506.5599999999988</v>
      </c>
    </row>
    <row r="59" spans="1:11" hidden="1" x14ac:dyDescent="0.25">
      <c r="A59" s="1">
        <v>57</v>
      </c>
      <c r="B59" s="10">
        <v>44589</v>
      </c>
      <c r="C59" s="10">
        <v>44589</v>
      </c>
      <c r="D59" t="s">
        <v>91</v>
      </c>
      <c r="E59" s="11">
        <v>5.67</v>
      </c>
      <c r="F59" t="s">
        <v>20</v>
      </c>
      <c r="G59" t="s">
        <v>92</v>
      </c>
      <c r="H59" t="s">
        <v>14</v>
      </c>
      <c r="I59" t="s">
        <v>15</v>
      </c>
      <c r="J59" t="s">
        <v>32</v>
      </c>
      <c r="K59" s="57">
        <f>K58+dis_table[[#This Row],[Amount]]</f>
        <v>1512.2299999999989</v>
      </c>
    </row>
    <row r="60" spans="1:11" hidden="1" x14ac:dyDescent="0.25">
      <c r="A60" s="1">
        <v>58</v>
      </c>
      <c r="B60" s="10">
        <v>44589</v>
      </c>
      <c r="C60" s="10">
        <v>44589</v>
      </c>
      <c r="D60" t="s">
        <v>91</v>
      </c>
      <c r="E60" s="11">
        <v>4.1500000000000004</v>
      </c>
      <c r="F60" t="s">
        <v>20</v>
      </c>
      <c r="G60" t="s">
        <v>92</v>
      </c>
      <c r="H60" t="s">
        <v>14</v>
      </c>
      <c r="I60" t="s">
        <v>15</v>
      </c>
      <c r="J60" t="s">
        <v>32</v>
      </c>
      <c r="K60" s="57">
        <f>K59+dis_table[[#This Row],[Amount]]</f>
        <v>1516.379999999999</v>
      </c>
    </row>
    <row r="61" spans="1:11" hidden="1" x14ac:dyDescent="0.25">
      <c r="A61" s="1">
        <v>59</v>
      </c>
      <c r="B61" s="10">
        <v>44589</v>
      </c>
      <c r="C61" s="10">
        <v>44589</v>
      </c>
      <c r="D61" t="s">
        <v>95</v>
      </c>
      <c r="E61" s="11">
        <v>24.36</v>
      </c>
      <c r="F61" t="s">
        <v>12</v>
      </c>
      <c r="G61" t="s">
        <v>13</v>
      </c>
      <c r="H61" t="s">
        <v>14</v>
      </c>
      <c r="I61" t="s">
        <v>15</v>
      </c>
      <c r="J61" t="s">
        <v>16</v>
      </c>
      <c r="K61" s="57">
        <f>K60+dis_table[[#This Row],[Amount]]</f>
        <v>1540.7399999999989</v>
      </c>
    </row>
    <row r="62" spans="1:11" hidden="1" x14ac:dyDescent="0.25">
      <c r="A62" s="1">
        <v>60</v>
      </c>
      <c r="B62" s="10">
        <v>44589</v>
      </c>
      <c r="C62" s="10">
        <v>44589</v>
      </c>
      <c r="D62" t="s">
        <v>28</v>
      </c>
      <c r="E62" s="11">
        <v>6.83</v>
      </c>
      <c r="F62" t="s">
        <v>12</v>
      </c>
      <c r="G62" t="s">
        <v>13</v>
      </c>
      <c r="H62" t="s">
        <v>14</v>
      </c>
      <c r="I62" t="s">
        <v>15</v>
      </c>
      <c r="J62" t="s">
        <v>16</v>
      </c>
      <c r="K62" s="57">
        <f>K61+dis_table[[#This Row],[Amount]]</f>
        <v>1547.5699999999988</v>
      </c>
    </row>
    <row r="63" spans="1:11" hidden="1" x14ac:dyDescent="0.25">
      <c r="A63" s="1">
        <v>61</v>
      </c>
      <c r="B63" s="10">
        <v>44589</v>
      </c>
      <c r="C63" s="10">
        <v>44589</v>
      </c>
      <c r="D63" t="s">
        <v>91</v>
      </c>
      <c r="E63" s="11">
        <v>6.86</v>
      </c>
      <c r="F63" t="s">
        <v>20</v>
      </c>
      <c r="G63" t="s">
        <v>92</v>
      </c>
      <c r="H63" t="s">
        <v>14</v>
      </c>
      <c r="I63" t="s">
        <v>15</v>
      </c>
      <c r="J63" t="s">
        <v>32</v>
      </c>
      <c r="K63" s="57">
        <f>K62+dis_table[[#This Row],[Amount]]</f>
        <v>1554.4299999999987</v>
      </c>
    </row>
    <row r="64" spans="1:11" hidden="1" x14ac:dyDescent="0.25">
      <c r="A64" s="1">
        <v>62</v>
      </c>
      <c r="B64" s="10">
        <v>44590</v>
      </c>
      <c r="C64" s="10">
        <v>44590</v>
      </c>
      <c r="D64" t="s">
        <v>96</v>
      </c>
      <c r="E64" s="11">
        <v>30</v>
      </c>
      <c r="F64" t="s">
        <v>12</v>
      </c>
      <c r="G64" t="s">
        <v>18</v>
      </c>
      <c r="H64" t="s">
        <v>14</v>
      </c>
      <c r="I64" t="s">
        <v>15</v>
      </c>
      <c r="J64" t="s">
        <v>16</v>
      </c>
      <c r="K64" s="57">
        <f>K63+dis_table[[#This Row],[Amount]]</f>
        <v>1584.4299999999987</v>
      </c>
    </row>
    <row r="65" spans="1:11" hidden="1" x14ac:dyDescent="0.25">
      <c r="A65" s="1">
        <v>63</v>
      </c>
      <c r="B65" s="10">
        <v>44590</v>
      </c>
      <c r="C65" s="10">
        <v>44590</v>
      </c>
      <c r="D65" t="s">
        <v>97</v>
      </c>
      <c r="E65" s="11">
        <v>34.380000000000003</v>
      </c>
      <c r="F65" t="s">
        <v>40</v>
      </c>
      <c r="G65" t="s">
        <v>41</v>
      </c>
      <c r="H65" t="s">
        <v>14</v>
      </c>
      <c r="I65" t="s">
        <v>15</v>
      </c>
      <c r="J65" t="s">
        <v>42</v>
      </c>
      <c r="K65" s="57">
        <f>K64+dis_table[[#This Row],[Amount]]</f>
        <v>1618.8099999999988</v>
      </c>
    </row>
    <row r="66" spans="1:11" hidden="1" x14ac:dyDescent="0.25">
      <c r="A66" s="1">
        <v>64</v>
      </c>
      <c r="B66" s="10">
        <v>44590</v>
      </c>
      <c r="C66" s="10">
        <v>44590</v>
      </c>
      <c r="D66" t="s">
        <v>98</v>
      </c>
      <c r="E66" s="11">
        <v>10.79</v>
      </c>
      <c r="F66" t="s">
        <v>20</v>
      </c>
      <c r="G66" t="s">
        <v>99</v>
      </c>
      <c r="H66" t="s">
        <v>14</v>
      </c>
      <c r="I66" t="s">
        <v>15</v>
      </c>
      <c r="J66" t="s">
        <v>23</v>
      </c>
      <c r="K66" s="57">
        <f>K65+dis_table[[#This Row],[Amount]]</f>
        <v>1629.5999999999988</v>
      </c>
    </row>
    <row r="67" spans="1:11" hidden="1" x14ac:dyDescent="0.25">
      <c r="A67" s="1">
        <v>65</v>
      </c>
      <c r="B67" s="10">
        <v>44591</v>
      </c>
      <c r="C67" s="10">
        <v>44591</v>
      </c>
      <c r="D67" t="s">
        <v>102</v>
      </c>
      <c r="E67" s="11">
        <v>5.01</v>
      </c>
      <c r="F67" t="s">
        <v>12</v>
      </c>
      <c r="G67" t="s">
        <v>13</v>
      </c>
      <c r="H67" t="s">
        <v>14</v>
      </c>
      <c r="I67" t="s">
        <v>15</v>
      </c>
      <c r="J67" t="s">
        <v>16</v>
      </c>
      <c r="K67" s="57">
        <f>K66+dis_table[[#This Row],[Amount]]</f>
        <v>1634.6099999999988</v>
      </c>
    </row>
    <row r="68" spans="1:11" hidden="1" x14ac:dyDescent="0.25">
      <c r="A68" s="1">
        <v>66</v>
      </c>
      <c r="B68" s="10">
        <v>44591</v>
      </c>
      <c r="C68" s="10">
        <v>44591</v>
      </c>
      <c r="D68" t="s">
        <v>103</v>
      </c>
      <c r="E68" s="11">
        <v>10.31</v>
      </c>
      <c r="F68" t="s">
        <v>20</v>
      </c>
      <c r="G68" t="s">
        <v>34</v>
      </c>
      <c r="H68" t="s">
        <v>14</v>
      </c>
      <c r="I68" t="s">
        <v>15</v>
      </c>
      <c r="J68" t="s">
        <v>32</v>
      </c>
      <c r="K68" s="57">
        <f>K67+dis_table[[#This Row],[Amount]]</f>
        <v>1644.9199999999987</v>
      </c>
    </row>
    <row r="69" spans="1:11" hidden="1" x14ac:dyDescent="0.25">
      <c r="A69" s="1">
        <v>67</v>
      </c>
      <c r="B69" s="10">
        <v>44592</v>
      </c>
      <c r="C69" s="10">
        <v>44592</v>
      </c>
      <c r="D69" t="s">
        <v>104</v>
      </c>
      <c r="E69" s="11">
        <v>44.46</v>
      </c>
      <c r="F69" t="s">
        <v>53</v>
      </c>
      <c r="G69" t="s">
        <v>54</v>
      </c>
      <c r="H69" t="s">
        <v>14</v>
      </c>
      <c r="I69" t="s">
        <v>15</v>
      </c>
      <c r="J69" t="s">
        <v>16</v>
      </c>
      <c r="K69" s="57">
        <f>K68+dis_table[[#This Row],[Amount]]</f>
        <v>1689.3799999999987</v>
      </c>
    </row>
    <row r="70" spans="1:11" hidden="1" x14ac:dyDescent="0.25">
      <c r="A70" s="1">
        <v>68</v>
      </c>
      <c r="B70" s="10">
        <v>44593</v>
      </c>
      <c r="C70" s="10">
        <v>44593</v>
      </c>
      <c r="D70" t="s">
        <v>116</v>
      </c>
      <c r="E70" s="11">
        <v>43.95</v>
      </c>
      <c r="F70" t="s">
        <v>53</v>
      </c>
      <c r="G70" t="s">
        <v>54</v>
      </c>
      <c r="H70" t="s">
        <v>117</v>
      </c>
      <c r="I70" t="s">
        <v>15</v>
      </c>
      <c r="J70" t="s">
        <v>16</v>
      </c>
      <c r="K70" s="57">
        <f>K69+dis_table[[#This Row],[Amount]]</f>
        <v>1733.3299999999988</v>
      </c>
    </row>
    <row r="71" spans="1:11" hidden="1" x14ac:dyDescent="0.25">
      <c r="A71" s="1">
        <v>69</v>
      </c>
      <c r="B71" s="10">
        <v>44575</v>
      </c>
      <c r="C71" s="10">
        <v>44595</v>
      </c>
      <c r="D71" t="s">
        <v>46</v>
      </c>
      <c r="E71" s="11">
        <v>60</v>
      </c>
      <c r="F71" t="s">
        <v>12</v>
      </c>
      <c r="G71" t="s">
        <v>18</v>
      </c>
      <c r="H71" t="s">
        <v>14</v>
      </c>
      <c r="I71" t="s">
        <v>15</v>
      </c>
      <c r="J71" t="s">
        <v>16</v>
      </c>
      <c r="K71" s="57">
        <f>K70+dis_table[[#This Row],[Amount]]</f>
        <v>1793.3299999999988</v>
      </c>
    </row>
    <row r="72" spans="1:11" hidden="1" x14ac:dyDescent="0.25">
      <c r="A72" s="1">
        <v>70</v>
      </c>
      <c r="B72" s="10">
        <v>44593</v>
      </c>
      <c r="C72" s="10">
        <v>44595</v>
      </c>
      <c r="D72" t="s">
        <v>19</v>
      </c>
      <c r="E72" s="11">
        <v>14.83</v>
      </c>
      <c r="F72" t="s">
        <v>20</v>
      </c>
      <c r="G72" t="s">
        <v>21</v>
      </c>
      <c r="H72" t="s">
        <v>117</v>
      </c>
      <c r="I72" t="s">
        <v>22</v>
      </c>
      <c r="J72" t="s">
        <v>23</v>
      </c>
      <c r="K72" s="57">
        <f>K71+dis_table[[#This Row],[Amount]]</f>
        <v>1808.1599999999987</v>
      </c>
    </row>
    <row r="73" spans="1:11" hidden="1" x14ac:dyDescent="0.25">
      <c r="A73" s="1">
        <v>71</v>
      </c>
      <c r="B73" s="10">
        <v>44593</v>
      </c>
      <c r="C73" s="10">
        <v>44595</v>
      </c>
      <c r="D73" t="s">
        <v>118</v>
      </c>
      <c r="E73" s="11">
        <v>79.19</v>
      </c>
      <c r="F73" t="s">
        <v>53</v>
      </c>
      <c r="G73" t="s">
        <v>54</v>
      </c>
      <c r="H73" t="s">
        <v>117</v>
      </c>
      <c r="I73" t="s">
        <v>15</v>
      </c>
      <c r="J73" t="s">
        <v>16</v>
      </c>
      <c r="K73" s="57">
        <f>K72+dis_table[[#This Row],[Amount]]</f>
        <v>1887.3499999999988</v>
      </c>
    </row>
    <row r="74" spans="1:11" hidden="1" x14ac:dyDescent="0.25">
      <c r="A74" s="1">
        <v>72</v>
      </c>
      <c r="B74" s="10">
        <v>44593</v>
      </c>
      <c r="C74" s="10">
        <v>44595</v>
      </c>
      <c r="D74" t="s">
        <v>119</v>
      </c>
      <c r="E74" s="11">
        <v>9.99</v>
      </c>
      <c r="F74" t="s">
        <v>20</v>
      </c>
      <c r="G74" t="s">
        <v>25</v>
      </c>
      <c r="H74" t="s">
        <v>117</v>
      </c>
      <c r="I74" t="s">
        <v>22</v>
      </c>
      <c r="J74" t="s">
        <v>23</v>
      </c>
      <c r="K74" s="57">
        <f>K73+dis_table[[#This Row],[Amount]]</f>
        <v>1897.3399999999988</v>
      </c>
    </row>
    <row r="75" spans="1:11" hidden="1" x14ac:dyDescent="0.25">
      <c r="A75" s="1">
        <v>73</v>
      </c>
      <c r="B75" s="10">
        <v>44594</v>
      </c>
      <c r="C75" s="10">
        <v>44595</v>
      </c>
      <c r="D75" t="s">
        <v>77</v>
      </c>
      <c r="E75" s="11">
        <v>10</v>
      </c>
      <c r="F75" t="s">
        <v>20</v>
      </c>
      <c r="G75" t="s">
        <v>78</v>
      </c>
      <c r="H75" t="s">
        <v>117</v>
      </c>
      <c r="I75" t="s">
        <v>22</v>
      </c>
      <c r="J75" t="s">
        <v>23</v>
      </c>
      <c r="K75" s="57">
        <f>K74+dis_table[[#This Row],[Amount]]</f>
        <v>1907.3399999999988</v>
      </c>
    </row>
    <row r="76" spans="1:11" hidden="1" x14ac:dyDescent="0.25">
      <c r="A76" s="1">
        <v>74</v>
      </c>
      <c r="B76" s="10">
        <v>44595</v>
      </c>
      <c r="C76" s="10">
        <v>44595</v>
      </c>
      <c r="D76" t="s">
        <v>100</v>
      </c>
      <c r="E76" s="11">
        <v>12.99</v>
      </c>
      <c r="F76" t="s">
        <v>56</v>
      </c>
      <c r="G76" t="s">
        <v>101</v>
      </c>
      <c r="H76" t="s">
        <v>117</v>
      </c>
      <c r="I76" t="s">
        <v>22</v>
      </c>
      <c r="J76" t="s">
        <v>23</v>
      </c>
      <c r="K76" s="57">
        <f>K75+dis_table[[#This Row],[Amount]]</f>
        <v>1920.3299999999988</v>
      </c>
    </row>
    <row r="77" spans="1:11" hidden="1" x14ac:dyDescent="0.25">
      <c r="A77" s="1">
        <v>75</v>
      </c>
      <c r="B77" s="10">
        <v>44595</v>
      </c>
      <c r="C77" s="10">
        <v>44595</v>
      </c>
      <c r="D77" t="s">
        <v>108</v>
      </c>
      <c r="E77" s="11">
        <v>79.38</v>
      </c>
      <c r="F77" t="s">
        <v>20</v>
      </c>
      <c r="G77" t="s">
        <v>109</v>
      </c>
      <c r="H77" t="s">
        <v>117</v>
      </c>
      <c r="I77" t="s">
        <v>22</v>
      </c>
      <c r="J77" t="s">
        <v>110</v>
      </c>
      <c r="K77" s="57">
        <f>K76+dis_table[[#This Row],[Amount]]</f>
        <v>1999.7099999999987</v>
      </c>
    </row>
    <row r="78" spans="1:11" hidden="1" x14ac:dyDescent="0.25">
      <c r="A78" s="1">
        <v>76</v>
      </c>
      <c r="B78" s="10">
        <v>44595</v>
      </c>
      <c r="C78" s="10">
        <v>44595</v>
      </c>
      <c r="D78" t="s">
        <v>140</v>
      </c>
      <c r="E78" s="11">
        <v>13.73</v>
      </c>
      <c r="F78" t="s">
        <v>12</v>
      </c>
      <c r="G78" t="s">
        <v>13</v>
      </c>
      <c r="H78" t="s">
        <v>117</v>
      </c>
      <c r="I78" t="s">
        <v>15</v>
      </c>
      <c r="J78" t="s">
        <v>16</v>
      </c>
      <c r="K78" s="57">
        <f>K77+dis_table[[#This Row],[Amount]]</f>
        <v>2013.4399999999987</v>
      </c>
    </row>
    <row r="79" spans="1:11" hidden="1" x14ac:dyDescent="0.25">
      <c r="A79" s="1">
        <v>77</v>
      </c>
      <c r="B79" s="10">
        <v>44599</v>
      </c>
      <c r="C79" s="10">
        <v>44599</v>
      </c>
      <c r="D79" t="s">
        <v>141</v>
      </c>
      <c r="E79" s="11">
        <v>333.19</v>
      </c>
      <c r="F79" t="s">
        <v>30</v>
      </c>
      <c r="G79" t="s">
        <v>142</v>
      </c>
      <c r="H79" t="s">
        <v>117</v>
      </c>
      <c r="I79" t="s">
        <v>15</v>
      </c>
      <c r="J79" t="s">
        <v>42</v>
      </c>
      <c r="K79" s="57">
        <f>K78+dis_table[[#This Row],[Amount]]</f>
        <v>2346.6299999999987</v>
      </c>
    </row>
    <row r="80" spans="1:11" hidden="1" x14ac:dyDescent="0.25">
      <c r="A80" s="1">
        <v>78</v>
      </c>
      <c r="B80" s="10">
        <v>44599</v>
      </c>
      <c r="C80" s="10">
        <v>44599</v>
      </c>
      <c r="D80" t="s">
        <v>58</v>
      </c>
      <c r="E80" s="11">
        <v>10.59</v>
      </c>
      <c r="F80" t="s">
        <v>20</v>
      </c>
      <c r="G80" t="s">
        <v>143</v>
      </c>
      <c r="H80" t="s">
        <v>117</v>
      </c>
      <c r="I80" t="s">
        <v>22</v>
      </c>
      <c r="J80" t="s">
        <v>23</v>
      </c>
      <c r="K80" s="57">
        <f>K79+dis_table[[#This Row],[Amount]]</f>
        <v>2357.2199999999989</v>
      </c>
    </row>
    <row r="81" spans="1:11" hidden="1" x14ac:dyDescent="0.25">
      <c r="A81" s="1">
        <v>79</v>
      </c>
      <c r="B81" s="10">
        <v>44600</v>
      </c>
      <c r="C81" s="10">
        <v>44600</v>
      </c>
      <c r="D81" t="s">
        <v>112</v>
      </c>
      <c r="E81" s="11">
        <v>4.99</v>
      </c>
      <c r="F81" t="s">
        <v>20</v>
      </c>
      <c r="G81" t="s">
        <v>113</v>
      </c>
      <c r="H81" t="s">
        <v>117</v>
      </c>
      <c r="I81" t="s">
        <v>22</v>
      </c>
      <c r="J81" t="s">
        <v>23</v>
      </c>
      <c r="K81" s="57">
        <f>K80+dis_table[[#This Row],[Amount]]</f>
        <v>2362.2099999999987</v>
      </c>
    </row>
    <row r="82" spans="1:11" hidden="1" x14ac:dyDescent="0.25">
      <c r="A82" s="1">
        <v>80</v>
      </c>
      <c r="B82" s="10">
        <v>44600</v>
      </c>
      <c r="C82" s="10">
        <v>44600</v>
      </c>
      <c r="D82" t="s">
        <v>35</v>
      </c>
      <c r="E82" s="11">
        <v>17.07</v>
      </c>
      <c r="F82" t="s">
        <v>12</v>
      </c>
      <c r="G82" t="s">
        <v>13</v>
      </c>
      <c r="H82" t="s">
        <v>117</v>
      </c>
      <c r="I82" t="s">
        <v>15</v>
      </c>
      <c r="J82" t="s">
        <v>16</v>
      </c>
      <c r="K82" s="57">
        <f>K81+dis_table[[#This Row],[Amount]]</f>
        <v>2379.2799999999988</v>
      </c>
    </row>
    <row r="83" spans="1:11" hidden="1" x14ac:dyDescent="0.25">
      <c r="A83" s="1">
        <v>81</v>
      </c>
      <c r="B83" s="10">
        <v>44600</v>
      </c>
      <c r="C83" s="10">
        <v>44600</v>
      </c>
      <c r="D83" t="s">
        <v>89</v>
      </c>
      <c r="E83" s="11">
        <v>5</v>
      </c>
      <c r="F83" t="s">
        <v>20</v>
      </c>
      <c r="G83" t="s">
        <v>90</v>
      </c>
      <c r="H83" t="s">
        <v>117</v>
      </c>
      <c r="I83" t="s">
        <v>22</v>
      </c>
      <c r="J83" t="s">
        <v>32</v>
      </c>
      <c r="K83" s="57">
        <f>K82+dis_table[[#This Row],[Amount]]</f>
        <v>2384.2799999999988</v>
      </c>
    </row>
    <row r="84" spans="1:11" hidden="1" x14ac:dyDescent="0.25">
      <c r="A84" s="1">
        <v>82</v>
      </c>
      <c r="B84" s="10">
        <v>44600</v>
      </c>
      <c r="C84" s="10">
        <v>44600</v>
      </c>
      <c r="D84" t="s">
        <v>123</v>
      </c>
      <c r="E84" s="11">
        <v>4.66</v>
      </c>
      <c r="F84" t="s">
        <v>12</v>
      </c>
      <c r="G84" t="s">
        <v>13</v>
      </c>
      <c r="H84" t="s">
        <v>117</v>
      </c>
      <c r="I84" t="s">
        <v>15</v>
      </c>
      <c r="J84" t="s">
        <v>16</v>
      </c>
      <c r="K84" s="57">
        <f>K83+dis_table[[#This Row],[Amount]]</f>
        <v>2388.9399999999987</v>
      </c>
    </row>
    <row r="85" spans="1:11" hidden="1" x14ac:dyDescent="0.25">
      <c r="A85" s="1">
        <v>83</v>
      </c>
      <c r="B85" s="10">
        <v>44602</v>
      </c>
      <c r="C85" s="10">
        <v>44602</v>
      </c>
      <c r="D85" t="s">
        <v>36</v>
      </c>
      <c r="E85" s="11">
        <v>-1733.33</v>
      </c>
      <c r="F85" t="s">
        <v>37</v>
      </c>
      <c r="G85" t="s">
        <v>38</v>
      </c>
      <c r="H85" t="s">
        <v>117</v>
      </c>
      <c r="I85" t="s">
        <v>15</v>
      </c>
      <c r="K85" s="57">
        <f>K84+dis_table[[#This Row],[Amount]]</f>
        <v>655.60999999999876</v>
      </c>
    </row>
    <row r="86" spans="1:11" hidden="1" x14ac:dyDescent="0.25">
      <c r="A86" s="1">
        <v>84</v>
      </c>
      <c r="B86" s="10">
        <v>44602</v>
      </c>
      <c r="C86" s="10">
        <v>44602</v>
      </c>
      <c r="D86" t="s">
        <v>120</v>
      </c>
      <c r="E86" s="11">
        <v>15.89</v>
      </c>
      <c r="F86" t="s">
        <v>20</v>
      </c>
      <c r="G86" t="s">
        <v>49</v>
      </c>
      <c r="H86" t="s">
        <v>117</v>
      </c>
      <c r="I86" t="s">
        <v>22</v>
      </c>
      <c r="J86" t="s">
        <v>23</v>
      </c>
      <c r="K86" s="57">
        <f>K85+dis_table[[#This Row],[Amount]]</f>
        <v>671.49999999999875</v>
      </c>
    </row>
    <row r="87" spans="1:11" hidden="1" x14ac:dyDescent="0.25">
      <c r="A87" s="1">
        <v>85</v>
      </c>
      <c r="B87" s="10">
        <v>44603</v>
      </c>
      <c r="C87" s="10">
        <v>44603</v>
      </c>
      <c r="D87" t="s">
        <v>89</v>
      </c>
      <c r="E87" s="11">
        <v>-5</v>
      </c>
      <c r="F87" t="s">
        <v>37</v>
      </c>
      <c r="G87" t="s">
        <v>90</v>
      </c>
      <c r="H87" t="s">
        <v>117</v>
      </c>
      <c r="I87" t="s">
        <v>22</v>
      </c>
      <c r="J87" t="s">
        <v>32</v>
      </c>
      <c r="K87" s="57">
        <f>K86+dis_table[[#This Row],[Amount]]</f>
        <v>666.49999999999875</v>
      </c>
    </row>
    <row r="88" spans="1:11" hidden="1" x14ac:dyDescent="0.25">
      <c r="A88" s="1">
        <v>86</v>
      </c>
      <c r="B88" s="10">
        <v>44604</v>
      </c>
      <c r="C88" s="10">
        <v>44604</v>
      </c>
      <c r="D88" t="s">
        <v>121</v>
      </c>
      <c r="E88" s="11">
        <v>9.1999999999999993</v>
      </c>
      <c r="F88" t="s">
        <v>20</v>
      </c>
      <c r="G88" t="s">
        <v>27</v>
      </c>
      <c r="H88" t="s">
        <v>117</v>
      </c>
      <c r="I88" t="s">
        <v>15</v>
      </c>
      <c r="K88" s="57">
        <f>K87+dis_table[[#This Row],[Amount]]</f>
        <v>675.69999999999879</v>
      </c>
    </row>
    <row r="89" spans="1:11" hidden="1" x14ac:dyDescent="0.25">
      <c r="A89" s="1">
        <v>87</v>
      </c>
      <c r="B89" s="10">
        <v>44605</v>
      </c>
      <c r="C89" s="10">
        <v>44605</v>
      </c>
      <c r="D89" t="s">
        <v>122</v>
      </c>
      <c r="E89" s="11">
        <v>14.11</v>
      </c>
      <c r="F89" t="s">
        <v>20</v>
      </c>
      <c r="G89" t="s">
        <v>27</v>
      </c>
      <c r="H89" t="s">
        <v>117</v>
      </c>
      <c r="I89" t="s">
        <v>15</v>
      </c>
      <c r="K89" s="57">
        <f>K88+dis_table[[#This Row],[Amount]]</f>
        <v>689.80999999999881</v>
      </c>
    </row>
    <row r="90" spans="1:11" hidden="1" x14ac:dyDescent="0.25">
      <c r="A90" s="1">
        <v>88</v>
      </c>
      <c r="B90" s="10">
        <v>44605</v>
      </c>
      <c r="C90" s="10">
        <v>44605</v>
      </c>
      <c r="D90" t="s">
        <v>123</v>
      </c>
      <c r="E90" s="11">
        <v>20</v>
      </c>
      <c r="F90" t="s">
        <v>12</v>
      </c>
      <c r="G90" t="s">
        <v>13</v>
      </c>
      <c r="H90" t="s">
        <v>117</v>
      </c>
      <c r="I90" t="s">
        <v>15</v>
      </c>
      <c r="J90" t="s">
        <v>16</v>
      </c>
      <c r="K90" s="57">
        <f>K89+dis_table[[#This Row],[Amount]]</f>
        <v>709.80999999999881</v>
      </c>
    </row>
    <row r="91" spans="1:11" hidden="1" x14ac:dyDescent="0.25">
      <c r="A91" s="1">
        <v>89</v>
      </c>
      <c r="B91" s="10">
        <v>44605</v>
      </c>
      <c r="C91" s="10">
        <v>44605</v>
      </c>
      <c r="D91" t="s">
        <v>58</v>
      </c>
      <c r="E91" s="11">
        <v>14.99</v>
      </c>
      <c r="F91" t="s">
        <v>20</v>
      </c>
      <c r="G91" t="s">
        <v>124</v>
      </c>
      <c r="H91" t="s">
        <v>117</v>
      </c>
      <c r="I91" t="s">
        <v>22</v>
      </c>
      <c r="J91" t="s">
        <v>23</v>
      </c>
      <c r="K91" s="57">
        <f>K90+dis_table[[#This Row],[Amount]]</f>
        <v>724.79999999999882</v>
      </c>
    </row>
    <row r="92" spans="1:11" hidden="1" x14ac:dyDescent="0.25">
      <c r="A92" s="1">
        <v>90</v>
      </c>
      <c r="B92" s="10">
        <v>44606</v>
      </c>
      <c r="C92" s="10">
        <v>44606</v>
      </c>
      <c r="D92" t="s">
        <v>123</v>
      </c>
      <c r="E92" s="11">
        <v>26.59</v>
      </c>
      <c r="F92" t="s">
        <v>12</v>
      </c>
      <c r="G92" t="s">
        <v>13</v>
      </c>
      <c r="H92" t="s">
        <v>117</v>
      </c>
      <c r="I92" t="s">
        <v>15</v>
      </c>
      <c r="J92" t="s">
        <v>16</v>
      </c>
      <c r="K92" s="57">
        <f>K91+dis_table[[#This Row],[Amount]]</f>
        <v>751.38999999999885</v>
      </c>
    </row>
    <row r="93" spans="1:11" hidden="1" x14ac:dyDescent="0.25">
      <c r="A93" s="1">
        <v>91</v>
      </c>
      <c r="B93" s="10">
        <v>44607</v>
      </c>
      <c r="C93" s="10">
        <v>44607</v>
      </c>
      <c r="D93" t="s">
        <v>125</v>
      </c>
      <c r="E93" s="11">
        <v>49</v>
      </c>
      <c r="F93" t="s">
        <v>56</v>
      </c>
      <c r="G93" t="s">
        <v>126</v>
      </c>
      <c r="H93" t="s">
        <v>117</v>
      </c>
      <c r="I93" t="s">
        <v>15</v>
      </c>
      <c r="J93" t="s">
        <v>127</v>
      </c>
      <c r="K93" s="57">
        <f>K92+dis_table[[#This Row],[Amount]]</f>
        <v>800.38999999999885</v>
      </c>
    </row>
    <row r="94" spans="1:11" hidden="1" x14ac:dyDescent="0.25">
      <c r="A94" s="1">
        <v>92</v>
      </c>
      <c r="B94" s="10">
        <v>44608</v>
      </c>
      <c r="C94" s="10">
        <v>44608</v>
      </c>
      <c r="D94" t="s">
        <v>79</v>
      </c>
      <c r="E94" s="11">
        <v>12</v>
      </c>
      <c r="F94" t="s">
        <v>20</v>
      </c>
      <c r="G94" t="s">
        <v>80</v>
      </c>
      <c r="H94" t="s">
        <v>117</v>
      </c>
      <c r="I94" t="s">
        <v>15</v>
      </c>
      <c r="J94" t="s">
        <v>23</v>
      </c>
      <c r="K94" s="57">
        <f>K93+dis_table[[#This Row],[Amount]]</f>
        <v>812.38999999999885</v>
      </c>
    </row>
    <row r="95" spans="1:11" hidden="1" x14ac:dyDescent="0.25">
      <c r="A95" s="1">
        <v>93</v>
      </c>
      <c r="B95" s="10">
        <v>44609</v>
      </c>
      <c r="C95" s="10">
        <v>44609</v>
      </c>
      <c r="D95" t="s">
        <v>64</v>
      </c>
      <c r="E95" s="11">
        <v>70</v>
      </c>
      <c r="F95" t="s">
        <v>20</v>
      </c>
      <c r="G95" t="s">
        <v>65</v>
      </c>
      <c r="H95" t="s">
        <v>117</v>
      </c>
      <c r="I95" t="s">
        <v>22</v>
      </c>
      <c r="J95" t="s">
        <v>66</v>
      </c>
      <c r="K95" s="57">
        <f>K94+dis_table[[#This Row],[Amount]]</f>
        <v>882.38999999999885</v>
      </c>
    </row>
    <row r="96" spans="1:11" hidden="1" x14ac:dyDescent="0.25">
      <c r="A96" s="1">
        <v>94</v>
      </c>
      <c r="B96" s="10">
        <v>44611</v>
      </c>
      <c r="C96" s="10">
        <v>44611</v>
      </c>
      <c r="D96" t="s">
        <v>128</v>
      </c>
      <c r="E96" s="11">
        <v>5.29</v>
      </c>
      <c r="F96" t="s">
        <v>20</v>
      </c>
      <c r="G96" t="s">
        <v>68</v>
      </c>
      <c r="H96" t="s">
        <v>117</v>
      </c>
      <c r="I96" t="s">
        <v>22</v>
      </c>
      <c r="J96" t="s">
        <v>23</v>
      </c>
      <c r="K96" s="57">
        <f>K95+dis_table[[#This Row],[Amount]]</f>
        <v>887.67999999999881</v>
      </c>
    </row>
    <row r="97" spans="1:11" hidden="1" x14ac:dyDescent="0.25">
      <c r="A97" s="1">
        <v>95</v>
      </c>
      <c r="B97" s="10">
        <v>44612</v>
      </c>
      <c r="C97" s="10">
        <v>44612</v>
      </c>
      <c r="D97" t="s">
        <v>43</v>
      </c>
      <c r="E97" s="11">
        <v>-29.29</v>
      </c>
      <c r="F97" t="s">
        <v>44</v>
      </c>
      <c r="G97" t="s">
        <v>45</v>
      </c>
      <c r="H97" t="s">
        <v>117</v>
      </c>
      <c r="I97" t="s">
        <v>15</v>
      </c>
      <c r="K97" s="57">
        <f>K96+dis_table[[#This Row],[Amount]]</f>
        <v>858.38999999999885</v>
      </c>
    </row>
    <row r="98" spans="1:11" hidden="1" x14ac:dyDescent="0.25">
      <c r="A98" s="1">
        <v>96</v>
      </c>
      <c r="B98" s="10">
        <v>44612</v>
      </c>
      <c r="C98" s="10">
        <v>44612</v>
      </c>
      <c r="D98" t="s">
        <v>129</v>
      </c>
      <c r="E98" s="11">
        <v>70.58</v>
      </c>
      <c r="F98" t="s">
        <v>56</v>
      </c>
      <c r="G98" t="s">
        <v>130</v>
      </c>
      <c r="H98" t="s">
        <v>117</v>
      </c>
      <c r="I98" t="s">
        <v>22</v>
      </c>
      <c r="J98" t="s">
        <v>23</v>
      </c>
      <c r="K98" s="57">
        <f>K97+dis_table[[#This Row],[Amount]]</f>
        <v>928.96999999999889</v>
      </c>
    </row>
    <row r="99" spans="1:11" hidden="1" x14ac:dyDescent="0.25">
      <c r="A99" s="1">
        <v>97</v>
      </c>
      <c r="B99" s="10">
        <v>44612</v>
      </c>
      <c r="C99" s="10">
        <v>44612</v>
      </c>
      <c r="D99" t="s">
        <v>36</v>
      </c>
      <c r="E99" s="11">
        <v>-771.1</v>
      </c>
      <c r="F99" t="s">
        <v>37</v>
      </c>
      <c r="G99" t="s">
        <v>38</v>
      </c>
      <c r="H99" t="s">
        <v>117</v>
      </c>
      <c r="I99" t="s">
        <v>15</v>
      </c>
      <c r="K99" s="57">
        <f>K98+dis_table[[#This Row],[Amount]]</f>
        <v>157.86999999999887</v>
      </c>
    </row>
    <row r="100" spans="1:11" hidden="1" x14ac:dyDescent="0.25">
      <c r="A100" s="1">
        <v>98</v>
      </c>
      <c r="B100" s="10">
        <v>44613</v>
      </c>
      <c r="C100" s="10">
        <v>44613</v>
      </c>
      <c r="D100" t="s">
        <v>79</v>
      </c>
      <c r="E100" s="11">
        <v>11</v>
      </c>
      <c r="F100" t="s">
        <v>20</v>
      </c>
      <c r="G100" t="s">
        <v>80</v>
      </c>
      <c r="H100" t="s">
        <v>117</v>
      </c>
      <c r="I100" t="s">
        <v>15</v>
      </c>
      <c r="J100" t="s">
        <v>23</v>
      </c>
      <c r="K100" s="57">
        <f>K99+dis_table[[#This Row],[Amount]]</f>
        <v>168.86999999999887</v>
      </c>
    </row>
    <row r="101" spans="1:11" hidden="1" x14ac:dyDescent="0.25">
      <c r="A101" s="1">
        <v>99</v>
      </c>
      <c r="B101" s="10">
        <v>44615</v>
      </c>
      <c r="C101" s="10">
        <v>44615</v>
      </c>
      <c r="D101" t="s">
        <v>131</v>
      </c>
      <c r="E101" s="11">
        <v>30</v>
      </c>
      <c r="F101" t="s">
        <v>20</v>
      </c>
      <c r="G101" t="s">
        <v>88</v>
      </c>
      <c r="H101" t="s">
        <v>117</v>
      </c>
      <c r="I101" t="s">
        <v>22</v>
      </c>
      <c r="J101" t="s">
        <v>23</v>
      </c>
      <c r="K101" s="57">
        <f>K100+dis_table[[#This Row],[Amount]]</f>
        <v>198.86999999999887</v>
      </c>
    </row>
    <row r="102" spans="1:11" hidden="1" x14ac:dyDescent="0.25">
      <c r="A102" s="1">
        <v>100</v>
      </c>
      <c r="B102" s="10">
        <v>44616</v>
      </c>
      <c r="C102" s="10">
        <v>44616</v>
      </c>
      <c r="D102" t="s">
        <v>73</v>
      </c>
      <c r="E102" s="11">
        <v>14.16</v>
      </c>
      <c r="F102" t="s">
        <v>12</v>
      </c>
      <c r="G102" t="s">
        <v>74</v>
      </c>
      <c r="H102" t="s">
        <v>117</v>
      </c>
      <c r="I102" t="s">
        <v>15</v>
      </c>
      <c r="J102" t="s">
        <v>16</v>
      </c>
      <c r="K102" s="57">
        <f>K101+dis_table[[#This Row],[Amount]]</f>
        <v>213.02999999999886</v>
      </c>
    </row>
    <row r="103" spans="1:11" hidden="1" x14ac:dyDescent="0.25">
      <c r="A103" s="1">
        <v>101</v>
      </c>
      <c r="B103" s="10">
        <v>44616</v>
      </c>
      <c r="C103" s="10">
        <v>44616</v>
      </c>
      <c r="D103" t="s">
        <v>73</v>
      </c>
      <c r="E103" s="11">
        <v>1.62</v>
      </c>
      <c r="F103" t="s">
        <v>12</v>
      </c>
      <c r="G103" t="s">
        <v>74</v>
      </c>
      <c r="H103" t="s">
        <v>117</v>
      </c>
      <c r="I103" t="s">
        <v>15</v>
      </c>
      <c r="J103" t="s">
        <v>16</v>
      </c>
      <c r="K103" s="57">
        <f>K102+dis_table[[#This Row],[Amount]]</f>
        <v>214.64999999999887</v>
      </c>
    </row>
    <row r="104" spans="1:11" hidden="1" x14ac:dyDescent="0.25">
      <c r="A104" s="1">
        <v>102</v>
      </c>
      <c r="B104" s="10">
        <v>44617</v>
      </c>
      <c r="C104" s="10">
        <v>44617</v>
      </c>
      <c r="D104" t="s">
        <v>132</v>
      </c>
      <c r="E104" s="11">
        <v>126.7</v>
      </c>
      <c r="F104" t="s">
        <v>20</v>
      </c>
      <c r="G104" t="s">
        <v>133</v>
      </c>
      <c r="H104" t="s">
        <v>117</v>
      </c>
      <c r="I104" t="s">
        <v>15</v>
      </c>
      <c r="J104" t="s">
        <v>32</v>
      </c>
      <c r="K104" s="57">
        <f>K103+dis_table[[#This Row],[Amount]]</f>
        <v>341.34999999999889</v>
      </c>
    </row>
    <row r="105" spans="1:11" hidden="1" x14ac:dyDescent="0.25">
      <c r="A105" s="1">
        <v>103</v>
      </c>
      <c r="B105" s="10">
        <v>44617</v>
      </c>
      <c r="C105" s="10">
        <v>44617</v>
      </c>
      <c r="D105" t="s">
        <v>134</v>
      </c>
      <c r="E105" s="11">
        <v>130.18</v>
      </c>
      <c r="F105" t="s">
        <v>30</v>
      </c>
      <c r="G105" t="s">
        <v>135</v>
      </c>
      <c r="H105" t="s">
        <v>117</v>
      </c>
      <c r="I105" t="s">
        <v>15</v>
      </c>
      <c r="J105" t="s">
        <v>23</v>
      </c>
      <c r="K105" s="57">
        <f>K104+dis_table[[#This Row],[Amount]]</f>
        <v>471.52999999999889</v>
      </c>
    </row>
    <row r="106" spans="1:11" hidden="1" x14ac:dyDescent="0.25">
      <c r="A106" s="1">
        <v>104</v>
      </c>
      <c r="B106" s="10">
        <v>44617</v>
      </c>
      <c r="C106" s="10">
        <v>44617</v>
      </c>
      <c r="D106" t="s">
        <v>136</v>
      </c>
      <c r="E106" s="11">
        <v>9.32</v>
      </c>
      <c r="F106" t="s">
        <v>53</v>
      </c>
      <c r="G106" t="s">
        <v>54</v>
      </c>
      <c r="H106" t="s">
        <v>117</v>
      </c>
      <c r="I106" t="s">
        <v>15</v>
      </c>
      <c r="J106" t="s">
        <v>16</v>
      </c>
      <c r="K106" s="57">
        <f>K105+dis_table[[#This Row],[Amount]]</f>
        <v>480.84999999999889</v>
      </c>
    </row>
    <row r="107" spans="1:11" hidden="1" x14ac:dyDescent="0.25">
      <c r="A107" s="1">
        <v>105</v>
      </c>
      <c r="B107" s="10">
        <v>44618</v>
      </c>
      <c r="C107" s="10">
        <v>44618</v>
      </c>
      <c r="D107" t="s">
        <v>137</v>
      </c>
      <c r="E107" s="11">
        <v>18</v>
      </c>
      <c r="F107" t="s">
        <v>12</v>
      </c>
      <c r="G107" t="s">
        <v>18</v>
      </c>
      <c r="H107" t="s">
        <v>117</v>
      </c>
      <c r="I107" t="s">
        <v>15</v>
      </c>
      <c r="J107" t="s">
        <v>16</v>
      </c>
      <c r="K107" s="57">
        <f>K106+dis_table[[#This Row],[Amount]]</f>
        <v>498.84999999999889</v>
      </c>
    </row>
    <row r="108" spans="1:11" hidden="1" x14ac:dyDescent="0.25">
      <c r="A108" s="1">
        <v>106</v>
      </c>
      <c r="B108" s="10">
        <v>44618</v>
      </c>
      <c r="C108" s="10">
        <v>44618</v>
      </c>
      <c r="D108" t="s">
        <v>138</v>
      </c>
      <c r="E108" s="11">
        <v>29.99</v>
      </c>
      <c r="F108" t="s">
        <v>20</v>
      </c>
      <c r="G108" t="s">
        <v>115</v>
      </c>
      <c r="H108" t="s">
        <v>117</v>
      </c>
      <c r="I108" t="s">
        <v>22</v>
      </c>
      <c r="J108" t="s">
        <v>23</v>
      </c>
      <c r="K108" s="57">
        <f>K107+dis_table[[#This Row],[Amount]]</f>
        <v>528.83999999999889</v>
      </c>
    </row>
    <row r="109" spans="1:11" hidden="1" x14ac:dyDescent="0.25">
      <c r="A109" s="1">
        <v>107</v>
      </c>
      <c r="B109" s="10">
        <v>44619</v>
      </c>
      <c r="C109" s="10">
        <v>44619</v>
      </c>
      <c r="D109" t="s">
        <v>139</v>
      </c>
      <c r="E109" s="11">
        <v>18.89</v>
      </c>
      <c r="F109" t="s">
        <v>30</v>
      </c>
      <c r="G109" t="s">
        <v>135</v>
      </c>
      <c r="H109" t="s">
        <v>117</v>
      </c>
      <c r="I109" t="s">
        <v>15</v>
      </c>
      <c r="J109" t="s">
        <v>23</v>
      </c>
      <c r="K109" s="57">
        <f>K108+dis_table[[#This Row],[Amount]]</f>
        <v>547.72999999999888</v>
      </c>
    </row>
    <row r="110" spans="1:11" hidden="1" x14ac:dyDescent="0.25">
      <c r="A110" s="1">
        <v>108</v>
      </c>
      <c r="B110" s="10">
        <v>44619</v>
      </c>
      <c r="C110" s="10">
        <v>44619</v>
      </c>
      <c r="D110" t="s">
        <v>139</v>
      </c>
      <c r="E110" s="11">
        <v>31.02</v>
      </c>
      <c r="F110" t="s">
        <v>30</v>
      </c>
      <c r="G110" t="s">
        <v>135</v>
      </c>
      <c r="H110" t="s">
        <v>117</v>
      </c>
      <c r="I110" t="s">
        <v>15</v>
      </c>
      <c r="J110" t="s">
        <v>23</v>
      </c>
      <c r="K110" s="57">
        <f>K109+dis_table[[#This Row],[Amount]]</f>
        <v>578.74999999999886</v>
      </c>
    </row>
    <row r="111" spans="1:11" hidden="1" x14ac:dyDescent="0.25">
      <c r="A111" s="1">
        <v>109</v>
      </c>
      <c r="B111" s="10">
        <v>44619</v>
      </c>
      <c r="C111" s="10">
        <v>44619</v>
      </c>
      <c r="D111" t="s">
        <v>139</v>
      </c>
      <c r="E111" s="11">
        <v>41.37</v>
      </c>
      <c r="F111" t="s">
        <v>30</v>
      </c>
      <c r="G111" t="s">
        <v>135</v>
      </c>
      <c r="H111" t="s">
        <v>117</v>
      </c>
      <c r="I111" t="s">
        <v>15</v>
      </c>
      <c r="J111" t="s">
        <v>23</v>
      </c>
      <c r="K111" s="57">
        <f>K110+dis_table[[#This Row],[Amount]]</f>
        <v>620.11999999999887</v>
      </c>
    </row>
    <row r="112" spans="1:11" hidden="1" x14ac:dyDescent="0.25">
      <c r="A112" s="1">
        <v>110</v>
      </c>
      <c r="B112" s="10">
        <v>44619</v>
      </c>
      <c r="C112" s="10">
        <v>44619</v>
      </c>
      <c r="D112" t="s">
        <v>139</v>
      </c>
      <c r="E112" s="11">
        <v>49.13</v>
      </c>
      <c r="F112" t="s">
        <v>30</v>
      </c>
      <c r="G112" t="s">
        <v>135</v>
      </c>
      <c r="H112" t="s">
        <v>117</v>
      </c>
      <c r="I112" t="s">
        <v>15</v>
      </c>
      <c r="J112" t="s">
        <v>23</v>
      </c>
      <c r="K112" s="57">
        <f>K111+dis_table[[#This Row],[Amount]]</f>
        <v>669.24999999999886</v>
      </c>
    </row>
    <row r="113" spans="1:11" hidden="1" x14ac:dyDescent="0.25">
      <c r="A113" s="1">
        <v>111</v>
      </c>
      <c r="B113" s="10">
        <v>44619</v>
      </c>
      <c r="C113" s="10">
        <v>44619</v>
      </c>
      <c r="D113" t="s">
        <v>139</v>
      </c>
      <c r="E113" s="11">
        <v>4.9400000000000004</v>
      </c>
      <c r="F113" t="s">
        <v>30</v>
      </c>
      <c r="G113" t="s">
        <v>135</v>
      </c>
      <c r="H113" t="s">
        <v>117</v>
      </c>
      <c r="I113" t="s">
        <v>15</v>
      </c>
      <c r="J113" t="s">
        <v>23</v>
      </c>
      <c r="K113" s="57">
        <f>K112+dis_table[[#This Row],[Amount]]</f>
        <v>674.18999999999892</v>
      </c>
    </row>
    <row r="114" spans="1:11" hidden="1" x14ac:dyDescent="0.25">
      <c r="A114" s="1">
        <v>112</v>
      </c>
      <c r="B114" s="10">
        <v>44621</v>
      </c>
      <c r="C114" s="10">
        <v>44621</v>
      </c>
      <c r="D114" t="s">
        <v>146</v>
      </c>
      <c r="E114" s="11">
        <v>38.42</v>
      </c>
      <c r="F114" t="s">
        <v>30</v>
      </c>
      <c r="G114" t="s">
        <v>147</v>
      </c>
      <c r="H114" t="s">
        <v>145</v>
      </c>
      <c r="I114" t="s">
        <v>15</v>
      </c>
      <c r="J114" t="s">
        <v>23</v>
      </c>
      <c r="K114" s="57">
        <f>K113+dis_table[[#This Row],[Amount]]</f>
        <v>712.60999999999888</v>
      </c>
    </row>
    <row r="115" spans="1:11" hidden="1" x14ac:dyDescent="0.25">
      <c r="A115" s="1">
        <v>113</v>
      </c>
      <c r="B115" s="10">
        <v>44621</v>
      </c>
      <c r="C115" s="10">
        <v>44621</v>
      </c>
      <c r="D115" t="s">
        <v>148</v>
      </c>
      <c r="E115" s="11">
        <v>10.97</v>
      </c>
      <c r="F115" t="s">
        <v>12</v>
      </c>
      <c r="G115" t="s">
        <v>13</v>
      </c>
      <c r="H115" t="s">
        <v>145</v>
      </c>
      <c r="I115" t="s">
        <v>15</v>
      </c>
      <c r="J115" t="s">
        <v>16</v>
      </c>
      <c r="K115" s="57">
        <f>K114+dis_table[[#This Row],[Amount]]</f>
        <v>723.5799999999989</v>
      </c>
    </row>
    <row r="116" spans="1:11" hidden="1" x14ac:dyDescent="0.25">
      <c r="A116" s="1">
        <v>114</v>
      </c>
      <c r="B116" s="10">
        <v>44621</v>
      </c>
      <c r="C116" s="10">
        <v>44621</v>
      </c>
      <c r="D116" t="s">
        <v>148</v>
      </c>
      <c r="E116" s="11">
        <v>10.97</v>
      </c>
      <c r="F116" t="s">
        <v>12</v>
      </c>
      <c r="G116" t="s">
        <v>13</v>
      </c>
      <c r="H116" t="s">
        <v>145</v>
      </c>
      <c r="I116" t="s">
        <v>15</v>
      </c>
      <c r="J116" t="s">
        <v>16</v>
      </c>
      <c r="K116" s="57">
        <f>K115+dis_table[[#This Row],[Amount]]</f>
        <v>734.54999999999893</v>
      </c>
    </row>
    <row r="117" spans="1:11" hidden="1" x14ac:dyDescent="0.25">
      <c r="A117" s="1">
        <v>115</v>
      </c>
      <c r="B117" s="10">
        <v>44621</v>
      </c>
      <c r="C117" s="10">
        <v>44623</v>
      </c>
      <c r="D117" t="s">
        <v>144</v>
      </c>
      <c r="E117" s="11">
        <v>17.59</v>
      </c>
      <c r="F117" t="s">
        <v>20</v>
      </c>
      <c r="G117" t="s">
        <v>92</v>
      </c>
      <c r="H117" t="s">
        <v>145</v>
      </c>
      <c r="I117" t="s">
        <v>15</v>
      </c>
      <c r="J117" t="s">
        <v>32</v>
      </c>
      <c r="K117" s="57">
        <f>K116+dis_table[[#This Row],[Amount]]</f>
        <v>752.13999999999896</v>
      </c>
    </row>
    <row r="118" spans="1:11" hidden="1" x14ac:dyDescent="0.25">
      <c r="A118" s="1">
        <v>116</v>
      </c>
      <c r="B118" s="10">
        <v>44621</v>
      </c>
      <c r="C118" s="10">
        <v>44623</v>
      </c>
      <c r="D118" t="s">
        <v>19</v>
      </c>
      <c r="E118" s="11">
        <v>16.420000000000002</v>
      </c>
      <c r="F118" t="s">
        <v>20</v>
      </c>
      <c r="G118" t="s">
        <v>21</v>
      </c>
      <c r="H118" t="s">
        <v>145</v>
      </c>
      <c r="I118" t="s">
        <v>22</v>
      </c>
      <c r="J118" t="s">
        <v>23</v>
      </c>
      <c r="K118" s="57">
        <f>K117+dis_table[[#This Row],[Amount]]</f>
        <v>768.55999999999892</v>
      </c>
    </row>
    <row r="119" spans="1:11" hidden="1" x14ac:dyDescent="0.25">
      <c r="A119" s="1">
        <v>117</v>
      </c>
      <c r="B119" s="10">
        <v>44621</v>
      </c>
      <c r="C119" s="10">
        <v>44623</v>
      </c>
      <c r="D119" t="s">
        <v>149</v>
      </c>
      <c r="E119" s="11">
        <v>9.99</v>
      </c>
      <c r="F119" t="s">
        <v>20</v>
      </c>
      <c r="G119" t="s">
        <v>25</v>
      </c>
      <c r="H119" t="s">
        <v>145</v>
      </c>
      <c r="I119" t="s">
        <v>22</v>
      </c>
      <c r="J119" t="s">
        <v>23</v>
      </c>
      <c r="K119" s="57">
        <f>K118+dis_table[[#This Row],[Amount]]</f>
        <v>778.54999999999893</v>
      </c>
    </row>
    <row r="120" spans="1:11" hidden="1" x14ac:dyDescent="0.25">
      <c r="A120" s="1">
        <v>118</v>
      </c>
      <c r="B120" s="10">
        <v>44622</v>
      </c>
      <c r="C120" s="10">
        <v>44623</v>
      </c>
      <c r="D120" t="s">
        <v>192</v>
      </c>
      <c r="E120" s="11">
        <v>26.99</v>
      </c>
      <c r="F120" t="s">
        <v>12</v>
      </c>
      <c r="G120" t="s">
        <v>13</v>
      </c>
      <c r="H120" t="s">
        <v>145</v>
      </c>
      <c r="I120" t="s">
        <v>15</v>
      </c>
      <c r="J120" t="s">
        <v>16</v>
      </c>
      <c r="K120" s="57">
        <f>K119+dis_table[[#This Row],[Amount]]</f>
        <v>805.53999999999894</v>
      </c>
    </row>
    <row r="121" spans="1:11" hidden="1" x14ac:dyDescent="0.25">
      <c r="A121" s="1">
        <v>119</v>
      </c>
      <c r="B121" s="10">
        <v>44622</v>
      </c>
      <c r="C121" s="10">
        <v>44623</v>
      </c>
      <c r="D121" t="s">
        <v>77</v>
      </c>
      <c r="E121" s="11">
        <v>10</v>
      </c>
      <c r="F121" t="s">
        <v>20</v>
      </c>
      <c r="G121" t="s">
        <v>78</v>
      </c>
      <c r="H121" t="s">
        <v>145</v>
      </c>
      <c r="I121" t="s">
        <v>22</v>
      </c>
      <c r="J121" t="s">
        <v>23</v>
      </c>
      <c r="K121" s="57">
        <f>K120+dis_table[[#This Row],[Amount]]</f>
        <v>815.53999999999894</v>
      </c>
    </row>
    <row r="122" spans="1:11" hidden="1" x14ac:dyDescent="0.25">
      <c r="A122" s="1">
        <v>120</v>
      </c>
      <c r="B122" s="10">
        <v>44622</v>
      </c>
      <c r="C122" s="10">
        <v>44623</v>
      </c>
      <c r="D122" t="s">
        <v>193</v>
      </c>
      <c r="E122" s="11">
        <v>40.159999999999997</v>
      </c>
      <c r="F122" t="s">
        <v>20</v>
      </c>
      <c r="G122" t="s">
        <v>34</v>
      </c>
      <c r="H122" t="s">
        <v>145</v>
      </c>
      <c r="I122" t="s">
        <v>15</v>
      </c>
      <c r="J122" t="s">
        <v>32</v>
      </c>
      <c r="K122" s="57">
        <f>K121+dis_table[[#This Row],[Amount]]</f>
        <v>855.69999999999891</v>
      </c>
    </row>
    <row r="123" spans="1:11" hidden="1" x14ac:dyDescent="0.25">
      <c r="A123" s="1">
        <v>121</v>
      </c>
      <c r="B123" s="10">
        <v>44623</v>
      </c>
      <c r="C123" s="10">
        <v>44623</v>
      </c>
      <c r="D123" t="s">
        <v>104</v>
      </c>
      <c r="E123" s="11">
        <v>2.79</v>
      </c>
      <c r="F123" t="s">
        <v>53</v>
      </c>
      <c r="G123" t="s">
        <v>54</v>
      </c>
      <c r="H123" t="s">
        <v>145</v>
      </c>
      <c r="I123" t="s">
        <v>15</v>
      </c>
      <c r="J123" t="s">
        <v>16</v>
      </c>
      <c r="K123" s="57">
        <f>K122+dis_table[[#This Row],[Amount]]</f>
        <v>858.48999999999887</v>
      </c>
    </row>
    <row r="124" spans="1:11" hidden="1" x14ac:dyDescent="0.25">
      <c r="A124" s="1">
        <v>122</v>
      </c>
      <c r="B124" s="10">
        <v>44623</v>
      </c>
      <c r="C124" s="10">
        <v>44623</v>
      </c>
      <c r="D124" t="s">
        <v>104</v>
      </c>
      <c r="E124" s="11">
        <v>9.48</v>
      </c>
      <c r="F124" t="s">
        <v>53</v>
      </c>
      <c r="G124" t="s">
        <v>54</v>
      </c>
      <c r="H124" t="s">
        <v>145</v>
      </c>
      <c r="I124" t="s">
        <v>15</v>
      </c>
      <c r="J124" t="s">
        <v>16</v>
      </c>
      <c r="K124" s="57">
        <f>K123+dis_table[[#This Row],[Amount]]</f>
        <v>867.96999999999889</v>
      </c>
    </row>
    <row r="125" spans="1:11" hidden="1" x14ac:dyDescent="0.25">
      <c r="A125" s="1">
        <v>123</v>
      </c>
      <c r="B125" s="10">
        <v>44623</v>
      </c>
      <c r="C125" s="10">
        <v>44623</v>
      </c>
      <c r="D125" t="s">
        <v>211</v>
      </c>
      <c r="E125" s="11">
        <v>80.22</v>
      </c>
      <c r="F125" t="s">
        <v>56</v>
      </c>
      <c r="G125" t="s">
        <v>212</v>
      </c>
      <c r="H125" t="s">
        <v>145</v>
      </c>
      <c r="I125" t="s">
        <v>15</v>
      </c>
      <c r="J125" t="s">
        <v>32</v>
      </c>
      <c r="K125" s="57">
        <f>K124+dis_table[[#This Row],[Amount]]</f>
        <v>948.18999999999892</v>
      </c>
    </row>
    <row r="126" spans="1:11" hidden="1" x14ac:dyDescent="0.25">
      <c r="A126" s="1">
        <v>124</v>
      </c>
      <c r="B126" s="10">
        <v>44623</v>
      </c>
      <c r="C126" s="10">
        <v>44623</v>
      </c>
      <c r="D126" t="s">
        <v>213</v>
      </c>
      <c r="E126" s="11">
        <v>37.57</v>
      </c>
      <c r="F126" t="s">
        <v>40</v>
      </c>
      <c r="G126" t="s">
        <v>41</v>
      </c>
      <c r="H126" t="s">
        <v>145</v>
      </c>
      <c r="I126" t="s">
        <v>15</v>
      </c>
      <c r="J126" t="s">
        <v>42</v>
      </c>
      <c r="K126" s="57">
        <f>K125+dis_table[[#This Row],[Amount]]</f>
        <v>985.75999999999897</v>
      </c>
    </row>
    <row r="127" spans="1:11" hidden="1" x14ac:dyDescent="0.25">
      <c r="A127" s="1">
        <v>125</v>
      </c>
      <c r="B127" s="10">
        <v>44623</v>
      </c>
      <c r="C127" s="10">
        <v>44623</v>
      </c>
      <c r="D127" t="s">
        <v>214</v>
      </c>
      <c r="E127" s="11">
        <v>13.09</v>
      </c>
      <c r="F127" t="s">
        <v>30</v>
      </c>
      <c r="G127" t="s">
        <v>147</v>
      </c>
      <c r="H127" t="s">
        <v>145</v>
      </c>
      <c r="I127" t="s">
        <v>15</v>
      </c>
      <c r="J127" t="s">
        <v>23</v>
      </c>
      <c r="K127" s="57">
        <f>K126+dis_table[[#This Row],[Amount]]</f>
        <v>998.849999999999</v>
      </c>
    </row>
    <row r="128" spans="1:11" hidden="1" x14ac:dyDescent="0.25">
      <c r="A128" s="1">
        <v>126</v>
      </c>
      <c r="B128" s="10">
        <v>44623</v>
      </c>
      <c r="C128" s="10">
        <v>44623</v>
      </c>
      <c r="D128" t="s">
        <v>108</v>
      </c>
      <c r="E128" s="11">
        <v>79.38</v>
      </c>
      <c r="F128" t="s">
        <v>20</v>
      </c>
      <c r="G128" t="s">
        <v>109</v>
      </c>
      <c r="H128" t="s">
        <v>145</v>
      </c>
      <c r="I128" t="s">
        <v>22</v>
      </c>
      <c r="J128" t="s">
        <v>110</v>
      </c>
      <c r="K128" s="57">
        <f>K127+dis_table[[#This Row],[Amount]]</f>
        <v>1078.2299999999991</v>
      </c>
    </row>
    <row r="129" spans="1:11" hidden="1" x14ac:dyDescent="0.25">
      <c r="A129" s="1">
        <v>127</v>
      </c>
      <c r="B129" s="10">
        <v>44623</v>
      </c>
      <c r="C129" s="10">
        <v>44623</v>
      </c>
      <c r="D129" t="s">
        <v>100</v>
      </c>
      <c r="E129" s="11">
        <v>12.99</v>
      </c>
      <c r="F129" t="s">
        <v>56</v>
      </c>
      <c r="G129" t="s">
        <v>101</v>
      </c>
      <c r="H129" t="s">
        <v>145</v>
      </c>
      <c r="I129" t="s">
        <v>22</v>
      </c>
      <c r="J129" t="s">
        <v>23</v>
      </c>
      <c r="K129" s="57">
        <f>K128+dis_table[[#This Row],[Amount]]</f>
        <v>1091.2199999999991</v>
      </c>
    </row>
    <row r="130" spans="1:11" hidden="1" x14ac:dyDescent="0.25">
      <c r="A130" s="1">
        <v>128</v>
      </c>
      <c r="B130" s="10">
        <v>44624</v>
      </c>
      <c r="C130" s="10">
        <v>44624</v>
      </c>
      <c r="D130" t="s">
        <v>217</v>
      </c>
      <c r="E130" s="11">
        <v>11.94</v>
      </c>
      <c r="F130" t="s">
        <v>20</v>
      </c>
      <c r="G130" t="s">
        <v>218</v>
      </c>
      <c r="H130" t="s">
        <v>145</v>
      </c>
      <c r="I130" t="s">
        <v>15</v>
      </c>
      <c r="J130" t="s">
        <v>23</v>
      </c>
      <c r="K130" s="57">
        <f>K129+dis_table[[#This Row],[Amount]]</f>
        <v>1103.1599999999992</v>
      </c>
    </row>
    <row r="131" spans="1:11" hidden="1" x14ac:dyDescent="0.25">
      <c r="A131" s="1">
        <v>129</v>
      </c>
      <c r="B131" s="10">
        <v>44625</v>
      </c>
      <c r="C131" s="10">
        <v>44625</v>
      </c>
      <c r="D131" t="s">
        <v>219</v>
      </c>
      <c r="E131" s="11">
        <v>21.22</v>
      </c>
      <c r="F131" t="s">
        <v>20</v>
      </c>
      <c r="G131" t="s">
        <v>27</v>
      </c>
      <c r="H131" t="s">
        <v>145</v>
      </c>
      <c r="I131" t="s">
        <v>15</v>
      </c>
      <c r="K131" s="57">
        <f>K130+dis_table[[#This Row],[Amount]]</f>
        <v>1124.3799999999992</v>
      </c>
    </row>
    <row r="132" spans="1:11" hidden="1" x14ac:dyDescent="0.25">
      <c r="A132" s="1">
        <v>130</v>
      </c>
      <c r="B132" s="10">
        <v>44626</v>
      </c>
      <c r="C132" s="10">
        <v>44626</v>
      </c>
      <c r="D132" t="s">
        <v>102</v>
      </c>
      <c r="E132" s="11">
        <v>6.02</v>
      </c>
      <c r="F132" t="s">
        <v>12</v>
      </c>
      <c r="G132" t="s">
        <v>13</v>
      </c>
      <c r="H132" t="s">
        <v>145</v>
      </c>
      <c r="I132" t="s">
        <v>15</v>
      </c>
      <c r="J132" t="s">
        <v>16</v>
      </c>
      <c r="K132" s="57">
        <f>K131+dis_table[[#This Row],[Amount]]</f>
        <v>1130.3999999999992</v>
      </c>
    </row>
    <row r="133" spans="1:11" hidden="1" x14ac:dyDescent="0.25">
      <c r="A133" s="1">
        <v>131</v>
      </c>
      <c r="B133" s="10">
        <v>44626</v>
      </c>
      <c r="C133" s="10">
        <v>44626</v>
      </c>
      <c r="D133" t="s">
        <v>220</v>
      </c>
      <c r="E133" s="11">
        <v>42</v>
      </c>
      <c r="F133" t="s">
        <v>20</v>
      </c>
      <c r="G133" t="s">
        <v>126</v>
      </c>
      <c r="H133" t="s">
        <v>145</v>
      </c>
      <c r="I133" t="s">
        <v>15</v>
      </c>
      <c r="J133" t="s">
        <v>127</v>
      </c>
      <c r="K133" s="57">
        <f>K132+dis_table[[#This Row],[Amount]]</f>
        <v>1172.3999999999992</v>
      </c>
    </row>
    <row r="134" spans="1:11" hidden="1" x14ac:dyDescent="0.25">
      <c r="A134" s="1">
        <v>132</v>
      </c>
      <c r="B134" s="10">
        <v>44626</v>
      </c>
      <c r="C134" s="10">
        <v>44626</v>
      </c>
      <c r="D134" t="s">
        <v>221</v>
      </c>
      <c r="E134" s="11">
        <v>25</v>
      </c>
      <c r="F134" t="s">
        <v>12</v>
      </c>
      <c r="G134" t="s">
        <v>18</v>
      </c>
      <c r="H134" t="s">
        <v>145</v>
      </c>
      <c r="I134" t="s">
        <v>15</v>
      </c>
      <c r="J134" t="s">
        <v>16</v>
      </c>
      <c r="K134" s="57">
        <f>K133+dis_table[[#This Row],[Amount]]</f>
        <v>1197.3999999999992</v>
      </c>
    </row>
    <row r="135" spans="1:11" hidden="1" x14ac:dyDescent="0.25">
      <c r="A135" s="1">
        <v>133</v>
      </c>
      <c r="B135" s="10">
        <v>44626</v>
      </c>
      <c r="C135" s="10">
        <v>44626</v>
      </c>
      <c r="D135" t="s">
        <v>222</v>
      </c>
      <c r="E135" s="11">
        <v>277.61</v>
      </c>
      <c r="F135" t="s">
        <v>20</v>
      </c>
      <c r="G135" t="s">
        <v>223</v>
      </c>
      <c r="H135" t="s">
        <v>145</v>
      </c>
      <c r="I135" t="s">
        <v>15</v>
      </c>
      <c r="J135" t="s">
        <v>32</v>
      </c>
      <c r="K135" s="57">
        <f>K134+dis_table[[#This Row],[Amount]]</f>
        <v>1475.0099999999993</v>
      </c>
    </row>
    <row r="136" spans="1:11" hidden="1" x14ac:dyDescent="0.25">
      <c r="A136" s="1">
        <v>134</v>
      </c>
      <c r="B136" s="10">
        <v>44627</v>
      </c>
      <c r="C136" s="10">
        <v>44627</v>
      </c>
      <c r="D136" t="s">
        <v>224</v>
      </c>
      <c r="E136" s="11">
        <v>47.51</v>
      </c>
      <c r="F136" t="s">
        <v>20</v>
      </c>
      <c r="G136" t="s">
        <v>225</v>
      </c>
      <c r="H136" t="s">
        <v>145</v>
      </c>
      <c r="I136" t="s">
        <v>15</v>
      </c>
      <c r="J136" t="s">
        <v>32</v>
      </c>
      <c r="K136" s="57">
        <f>K135+dis_table[[#This Row],[Amount]]</f>
        <v>1522.5199999999993</v>
      </c>
    </row>
    <row r="137" spans="1:11" hidden="1" x14ac:dyDescent="0.25">
      <c r="A137" s="1">
        <v>135</v>
      </c>
      <c r="B137" s="10">
        <v>44627</v>
      </c>
      <c r="C137" s="10">
        <v>44627</v>
      </c>
      <c r="D137" t="s">
        <v>226</v>
      </c>
      <c r="E137" s="11">
        <v>12.52</v>
      </c>
      <c r="F137" t="s">
        <v>12</v>
      </c>
      <c r="G137" t="s">
        <v>13</v>
      </c>
      <c r="H137" t="s">
        <v>145</v>
      </c>
      <c r="I137" t="s">
        <v>15</v>
      </c>
      <c r="J137" t="s">
        <v>16</v>
      </c>
      <c r="K137" s="57">
        <f>K136+dis_table[[#This Row],[Amount]]</f>
        <v>1535.0399999999993</v>
      </c>
    </row>
    <row r="138" spans="1:11" hidden="1" x14ac:dyDescent="0.25">
      <c r="A138" s="1">
        <v>136</v>
      </c>
      <c r="B138" s="10">
        <v>44628</v>
      </c>
      <c r="C138" s="10">
        <v>44628</v>
      </c>
      <c r="D138" t="s">
        <v>227</v>
      </c>
      <c r="E138" s="11">
        <v>77.66</v>
      </c>
      <c r="F138" t="s">
        <v>30</v>
      </c>
      <c r="G138" t="s">
        <v>228</v>
      </c>
      <c r="H138" t="s">
        <v>145</v>
      </c>
      <c r="I138" t="s">
        <v>15</v>
      </c>
      <c r="J138" t="s">
        <v>23</v>
      </c>
      <c r="K138" s="57">
        <f>K137+dis_table[[#This Row],[Amount]]</f>
        <v>1612.6999999999994</v>
      </c>
    </row>
    <row r="139" spans="1:11" hidden="1" x14ac:dyDescent="0.25">
      <c r="A139" s="1">
        <v>137</v>
      </c>
      <c r="B139" s="10">
        <v>44628</v>
      </c>
      <c r="C139" s="10">
        <v>44628</v>
      </c>
      <c r="D139" t="s">
        <v>229</v>
      </c>
      <c r="E139" s="11">
        <v>4</v>
      </c>
      <c r="F139" t="s">
        <v>56</v>
      </c>
      <c r="G139" t="s">
        <v>203</v>
      </c>
      <c r="H139" t="s">
        <v>145</v>
      </c>
      <c r="I139" t="s">
        <v>15</v>
      </c>
      <c r="J139" t="s">
        <v>42</v>
      </c>
      <c r="K139" s="57">
        <f>K138+dis_table[[#This Row],[Amount]]</f>
        <v>1616.6999999999994</v>
      </c>
    </row>
    <row r="140" spans="1:11" hidden="1" x14ac:dyDescent="0.25">
      <c r="A140" s="1">
        <v>138</v>
      </c>
      <c r="B140" s="10">
        <v>44628</v>
      </c>
      <c r="C140" s="10">
        <v>44628</v>
      </c>
      <c r="D140" t="s">
        <v>230</v>
      </c>
      <c r="E140" s="11">
        <v>80.64</v>
      </c>
      <c r="F140" t="s">
        <v>30</v>
      </c>
      <c r="G140" t="s">
        <v>169</v>
      </c>
      <c r="H140" t="s">
        <v>145</v>
      </c>
      <c r="I140" t="s">
        <v>15</v>
      </c>
      <c r="J140" t="s">
        <v>23</v>
      </c>
      <c r="K140" s="57">
        <f>K139+dis_table[[#This Row],[Amount]]</f>
        <v>1697.3399999999995</v>
      </c>
    </row>
    <row r="141" spans="1:11" hidden="1" x14ac:dyDescent="0.25">
      <c r="A141" s="1">
        <v>139</v>
      </c>
      <c r="B141" s="10">
        <v>44628</v>
      </c>
      <c r="C141" s="10">
        <v>44628</v>
      </c>
      <c r="D141" t="s">
        <v>112</v>
      </c>
      <c r="E141" s="11">
        <v>4.99</v>
      </c>
      <c r="F141" t="s">
        <v>20</v>
      </c>
      <c r="G141" t="s">
        <v>113</v>
      </c>
      <c r="H141" t="s">
        <v>145</v>
      </c>
      <c r="I141" t="s">
        <v>22</v>
      </c>
      <c r="J141" t="s">
        <v>23</v>
      </c>
      <c r="K141" s="57">
        <f>K140+dis_table[[#This Row],[Amount]]</f>
        <v>1702.3299999999995</v>
      </c>
    </row>
    <row r="142" spans="1:11" hidden="1" x14ac:dyDescent="0.25">
      <c r="A142" s="1">
        <v>140</v>
      </c>
      <c r="B142" s="10">
        <v>44629</v>
      </c>
      <c r="C142" s="10">
        <v>44629</v>
      </c>
      <c r="D142" t="s">
        <v>231</v>
      </c>
      <c r="E142" s="11">
        <v>35</v>
      </c>
      <c r="F142" t="s">
        <v>12</v>
      </c>
      <c r="G142" t="s">
        <v>18</v>
      </c>
      <c r="H142" t="s">
        <v>145</v>
      </c>
      <c r="I142" t="s">
        <v>15</v>
      </c>
      <c r="J142" t="s">
        <v>16</v>
      </c>
      <c r="K142" s="57">
        <f>K141+dis_table[[#This Row],[Amount]]</f>
        <v>1737.3299999999995</v>
      </c>
    </row>
    <row r="143" spans="1:11" hidden="1" x14ac:dyDescent="0.25">
      <c r="A143" s="1">
        <v>141</v>
      </c>
      <c r="B143" s="10">
        <v>44629</v>
      </c>
      <c r="C143" s="10">
        <v>44629</v>
      </c>
      <c r="D143" t="s">
        <v>232</v>
      </c>
      <c r="E143" s="11">
        <v>51.8</v>
      </c>
      <c r="F143" t="s">
        <v>12</v>
      </c>
      <c r="G143" t="s">
        <v>13</v>
      </c>
      <c r="H143" t="s">
        <v>145</v>
      </c>
      <c r="I143" t="s">
        <v>15</v>
      </c>
      <c r="J143" t="s">
        <v>16</v>
      </c>
      <c r="K143" s="57">
        <f>K142+dis_table[[#This Row],[Amount]]</f>
        <v>1789.1299999999994</v>
      </c>
    </row>
    <row r="144" spans="1:11" hidden="1" x14ac:dyDescent="0.25">
      <c r="A144" s="1">
        <v>142</v>
      </c>
      <c r="B144" s="10">
        <v>44630</v>
      </c>
      <c r="C144" s="10">
        <v>44630</v>
      </c>
      <c r="D144" t="s">
        <v>150</v>
      </c>
      <c r="E144" s="11">
        <v>32.58</v>
      </c>
      <c r="F144" t="s">
        <v>40</v>
      </c>
      <c r="G144" t="s">
        <v>41</v>
      </c>
      <c r="H144" t="s">
        <v>145</v>
      </c>
      <c r="I144" t="s">
        <v>15</v>
      </c>
      <c r="J144" t="s">
        <v>42</v>
      </c>
      <c r="K144" s="57">
        <f>K143+dis_table[[#This Row],[Amount]]</f>
        <v>1821.7099999999994</v>
      </c>
    </row>
    <row r="145" spans="1:11" hidden="1" x14ac:dyDescent="0.25">
      <c r="A145" s="1">
        <v>143</v>
      </c>
      <c r="B145" s="10">
        <v>44630</v>
      </c>
      <c r="C145" s="10">
        <v>44630</v>
      </c>
      <c r="D145" t="s">
        <v>151</v>
      </c>
      <c r="E145" s="11">
        <v>5.13</v>
      </c>
      <c r="F145" t="s">
        <v>40</v>
      </c>
      <c r="G145" t="s">
        <v>41</v>
      </c>
      <c r="H145" t="s">
        <v>145</v>
      </c>
      <c r="I145" t="s">
        <v>15</v>
      </c>
      <c r="J145" t="s">
        <v>42</v>
      </c>
      <c r="K145" s="57">
        <f>K144+dis_table[[#This Row],[Amount]]</f>
        <v>1826.8399999999995</v>
      </c>
    </row>
    <row r="146" spans="1:11" hidden="1" x14ac:dyDescent="0.25">
      <c r="A146" s="1">
        <v>144</v>
      </c>
      <c r="B146" s="10">
        <v>44630</v>
      </c>
      <c r="C146" s="10">
        <v>44630</v>
      </c>
      <c r="D146" t="s">
        <v>152</v>
      </c>
      <c r="E146" s="11">
        <v>24.92</v>
      </c>
      <c r="F146" t="s">
        <v>40</v>
      </c>
      <c r="G146" t="s">
        <v>41</v>
      </c>
      <c r="H146" t="s">
        <v>145</v>
      </c>
      <c r="I146" t="s">
        <v>15</v>
      </c>
      <c r="J146" t="s">
        <v>42</v>
      </c>
      <c r="K146" s="57">
        <f>K145+dis_table[[#This Row],[Amount]]</f>
        <v>1851.7599999999995</v>
      </c>
    </row>
    <row r="147" spans="1:11" hidden="1" x14ac:dyDescent="0.25">
      <c r="A147" s="1">
        <v>145</v>
      </c>
      <c r="B147" s="10">
        <v>44630</v>
      </c>
      <c r="C147" s="10">
        <v>44630</v>
      </c>
      <c r="D147" t="s">
        <v>153</v>
      </c>
      <c r="E147" s="11">
        <v>40</v>
      </c>
      <c r="F147" t="s">
        <v>154</v>
      </c>
      <c r="G147" t="s">
        <v>155</v>
      </c>
      <c r="H147" t="s">
        <v>145</v>
      </c>
      <c r="I147" t="s">
        <v>15</v>
      </c>
      <c r="J147" t="s">
        <v>156</v>
      </c>
      <c r="K147" s="57">
        <f>K146+dis_table[[#This Row],[Amount]]</f>
        <v>1891.7599999999995</v>
      </c>
    </row>
    <row r="148" spans="1:11" hidden="1" x14ac:dyDescent="0.25">
      <c r="A148" s="1">
        <v>146</v>
      </c>
      <c r="B148" s="10">
        <v>44630</v>
      </c>
      <c r="C148" s="10">
        <v>44630</v>
      </c>
      <c r="D148" t="s">
        <v>157</v>
      </c>
      <c r="E148" s="11">
        <v>35</v>
      </c>
      <c r="F148" t="s">
        <v>158</v>
      </c>
      <c r="G148" t="s">
        <v>159</v>
      </c>
      <c r="H148" t="s">
        <v>145</v>
      </c>
      <c r="I148" t="s">
        <v>15</v>
      </c>
      <c r="J148" t="s">
        <v>23</v>
      </c>
      <c r="K148" s="57">
        <f>K147+dis_table[[#This Row],[Amount]]</f>
        <v>1926.7599999999995</v>
      </c>
    </row>
    <row r="149" spans="1:11" hidden="1" x14ac:dyDescent="0.25">
      <c r="A149" s="1">
        <v>147</v>
      </c>
      <c r="B149" s="10">
        <v>44630</v>
      </c>
      <c r="C149" s="10">
        <v>44630</v>
      </c>
      <c r="D149" t="s">
        <v>36</v>
      </c>
      <c r="E149" s="11">
        <v>-734.55</v>
      </c>
      <c r="F149" t="s">
        <v>37</v>
      </c>
      <c r="G149" t="s">
        <v>38</v>
      </c>
      <c r="H149" t="s">
        <v>145</v>
      </c>
      <c r="I149" t="s">
        <v>15</v>
      </c>
      <c r="K149" s="57">
        <f>K148+dis_table[[#This Row],[Amount]]</f>
        <v>1192.2099999999996</v>
      </c>
    </row>
    <row r="150" spans="1:11" hidden="1" x14ac:dyDescent="0.25">
      <c r="A150" s="1">
        <v>148</v>
      </c>
      <c r="B150" s="10">
        <v>44630</v>
      </c>
      <c r="C150" s="10">
        <v>44630</v>
      </c>
      <c r="D150" t="s">
        <v>160</v>
      </c>
      <c r="E150" s="11">
        <v>5.19</v>
      </c>
      <c r="F150" t="s">
        <v>40</v>
      </c>
      <c r="G150" t="s">
        <v>41</v>
      </c>
      <c r="H150" t="s">
        <v>145</v>
      </c>
      <c r="I150" t="s">
        <v>15</v>
      </c>
      <c r="J150" t="s">
        <v>42</v>
      </c>
      <c r="K150" s="57">
        <f>K149+dis_table[[#This Row],[Amount]]</f>
        <v>1197.3999999999996</v>
      </c>
    </row>
    <row r="151" spans="1:11" hidden="1" x14ac:dyDescent="0.25">
      <c r="A151" s="1">
        <v>149</v>
      </c>
      <c r="B151" s="10">
        <v>44630</v>
      </c>
      <c r="C151" s="10">
        <v>44630</v>
      </c>
      <c r="D151" t="s">
        <v>161</v>
      </c>
      <c r="E151" s="11">
        <v>21.12</v>
      </c>
      <c r="F151" t="s">
        <v>12</v>
      </c>
      <c r="G151" t="s">
        <v>13</v>
      </c>
      <c r="H151" t="s">
        <v>145</v>
      </c>
      <c r="I151" t="s">
        <v>15</v>
      </c>
      <c r="J151" t="s">
        <v>16</v>
      </c>
      <c r="K151" s="57">
        <f>K150+dis_table[[#This Row],[Amount]]</f>
        <v>1218.5199999999995</v>
      </c>
    </row>
    <row r="152" spans="1:11" hidden="1" x14ac:dyDescent="0.25">
      <c r="A152" s="1">
        <v>150</v>
      </c>
      <c r="B152" s="10">
        <v>44630</v>
      </c>
      <c r="C152" s="10">
        <v>44630</v>
      </c>
      <c r="D152" t="s">
        <v>162</v>
      </c>
      <c r="E152" s="11">
        <v>10.59</v>
      </c>
      <c r="F152" t="s">
        <v>20</v>
      </c>
      <c r="G152" t="s">
        <v>143</v>
      </c>
      <c r="H152" t="s">
        <v>145</v>
      </c>
      <c r="I152" t="s">
        <v>22</v>
      </c>
      <c r="J152" t="s">
        <v>23</v>
      </c>
      <c r="K152" s="57">
        <f>K151+dis_table[[#This Row],[Amount]]</f>
        <v>1229.1099999999994</v>
      </c>
    </row>
    <row r="153" spans="1:11" hidden="1" x14ac:dyDescent="0.25">
      <c r="A153" s="1">
        <v>151</v>
      </c>
      <c r="B153" s="10">
        <v>44630</v>
      </c>
      <c r="C153" s="10">
        <v>44630</v>
      </c>
      <c r="D153" t="s">
        <v>163</v>
      </c>
      <c r="E153" s="11">
        <v>15.89</v>
      </c>
      <c r="F153" t="s">
        <v>20</v>
      </c>
      <c r="G153" t="s">
        <v>49</v>
      </c>
      <c r="H153" t="s">
        <v>145</v>
      </c>
      <c r="I153" t="s">
        <v>22</v>
      </c>
      <c r="J153" t="s">
        <v>23</v>
      </c>
      <c r="K153" s="57">
        <f>K152+dis_table[[#This Row],[Amount]]</f>
        <v>1244.9999999999995</v>
      </c>
    </row>
    <row r="154" spans="1:11" hidden="1" x14ac:dyDescent="0.25">
      <c r="A154" s="1">
        <v>152</v>
      </c>
      <c r="B154" s="10">
        <v>44631</v>
      </c>
      <c r="C154" s="10">
        <v>44631</v>
      </c>
      <c r="D154" t="s">
        <v>164</v>
      </c>
      <c r="E154" s="11">
        <v>33.130000000000003</v>
      </c>
      <c r="F154" t="s">
        <v>12</v>
      </c>
      <c r="G154" t="s">
        <v>13</v>
      </c>
      <c r="H154" t="s">
        <v>145</v>
      </c>
      <c r="I154" t="s">
        <v>15</v>
      </c>
      <c r="J154" t="s">
        <v>16</v>
      </c>
      <c r="K154" s="57">
        <f>K153+dis_table[[#This Row],[Amount]]</f>
        <v>1278.1299999999997</v>
      </c>
    </row>
    <row r="155" spans="1:11" hidden="1" x14ac:dyDescent="0.25">
      <c r="A155" s="1">
        <v>153</v>
      </c>
      <c r="B155" s="10">
        <v>44631</v>
      </c>
      <c r="C155" s="10">
        <v>44631</v>
      </c>
      <c r="D155" t="s">
        <v>165</v>
      </c>
      <c r="E155" s="11">
        <v>30</v>
      </c>
      <c r="F155" t="s">
        <v>40</v>
      </c>
      <c r="G155" t="s">
        <v>41</v>
      </c>
      <c r="H155" t="s">
        <v>145</v>
      </c>
      <c r="I155" t="s">
        <v>15</v>
      </c>
      <c r="J155" t="s">
        <v>42</v>
      </c>
      <c r="K155" s="57">
        <f>K154+dis_table[[#This Row],[Amount]]</f>
        <v>1308.1299999999997</v>
      </c>
    </row>
    <row r="156" spans="1:11" hidden="1" x14ac:dyDescent="0.25">
      <c r="A156" s="1">
        <v>154</v>
      </c>
      <c r="B156" s="10">
        <v>44631</v>
      </c>
      <c r="C156" s="10">
        <v>44631</v>
      </c>
      <c r="D156" t="s">
        <v>166</v>
      </c>
      <c r="E156" s="11">
        <v>61.78</v>
      </c>
      <c r="F156" t="s">
        <v>40</v>
      </c>
      <c r="G156" t="s">
        <v>41</v>
      </c>
      <c r="H156" t="s">
        <v>145</v>
      </c>
      <c r="I156" t="s">
        <v>15</v>
      </c>
      <c r="J156" t="s">
        <v>42</v>
      </c>
      <c r="K156" s="57">
        <f>K155+dis_table[[#This Row],[Amount]]</f>
        <v>1369.9099999999996</v>
      </c>
    </row>
    <row r="157" spans="1:11" hidden="1" x14ac:dyDescent="0.25">
      <c r="A157" s="1">
        <v>155</v>
      </c>
      <c r="B157" s="10">
        <v>44632</v>
      </c>
      <c r="C157" s="10">
        <v>44632</v>
      </c>
      <c r="D157" t="s">
        <v>167</v>
      </c>
      <c r="E157" s="11">
        <v>54</v>
      </c>
      <c r="F157" t="s">
        <v>56</v>
      </c>
      <c r="G157" t="s">
        <v>159</v>
      </c>
      <c r="H157" t="s">
        <v>145</v>
      </c>
      <c r="I157" t="s">
        <v>15</v>
      </c>
      <c r="J157" t="s">
        <v>23</v>
      </c>
      <c r="K157" s="57">
        <f>K156+dis_table[[#This Row],[Amount]]</f>
        <v>1423.9099999999996</v>
      </c>
    </row>
    <row r="158" spans="1:11" hidden="1" x14ac:dyDescent="0.25">
      <c r="A158" s="1">
        <v>156</v>
      </c>
      <c r="B158" s="10">
        <v>44632</v>
      </c>
      <c r="C158" s="10">
        <v>44632</v>
      </c>
      <c r="D158" t="s">
        <v>168</v>
      </c>
      <c r="E158" s="11">
        <v>22</v>
      </c>
      <c r="F158" t="s">
        <v>20</v>
      </c>
      <c r="G158" t="s">
        <v>169</v>
      </c>
      <c r="H158" t="s">
        <v>145</v>
      </c>
      <c r="I158" t="s">
        <v>15</v>
      </c>
      <c r="J158" t="s">
        <v>23</v>
      </c>
      <c r="K158" s="57">
        <f>K157+dis_table[[#This Row],[Amount]]</f>
        <v>1445.9099999999996</v>
      </c>
    </row>
    <row r="159" spans="1:11" hidden="1" x14ac:dyDescent="0.25">
      <c r="A159" s="1">
        <v>157</v>
      </c>
      <c r="B159" s="10">
        <v>44632</v>
      </c>
      <c r="C159" s="10">
        <v>44632</v>
      </c>
      <c r="D159" t="s">
        <v>170</v>
      </c>
      <c r="E159" s="11">
        <v>11.5</v>
      </c>
      <c r="F159" t="s">
        <v>56</v>
      </c>
      <c r="G159" t="s">
        <v>159</v>
      </c>
      <c r="H159" t="s">
        <v>145</v>
      </c>
      <c r="I159" t="s">
        <v>15</v>
      </c>
      <c r="J159" t="s">
        <v>23</v>
      </c>
      <c r="K159" s="57">
        <f>K158+dis_table[[#This Row],[Amount]]</f>
        <v>1457.4099999999996</v>
      </c>
    </row>
    <row r="160" spans="1:11" hidden="1" x14ac:dyDescent="0.25">
      <c r="A160" s="1">
        <v>158</v>
      </c>
      <c r="B160" s="10">
        <v>44632</v>
      </c>
      <c r="C160" s="10">
        <v>44632</v>
      </c>
      <c r="D160" t="s">
        <v>171</v>
      </c>
      <c r="E160" s="11">
        <v>79.900000000000006</v>
      </c>
      <c r="F160" t="s">
        <v>56</v>
      </c>
      <c r="G160" t="s">
        <v>159</v>
      </c>
      <c r="H160" t="s">
        <v>145</v>
      </c>
      <c r="I160" t="s">
        <v>15</v>
      </c>
      <c r="J160" t="s">
        <v>23</v>
      </c>
      <c r="K160" s="57">
        <f>K159+dis_table[[#This Row],[Amount]]</f>
        <v>1537.3099999999997</v>
      </c>
    </row>
    <row r="161" spans="1:11" hidden="1" x14ac:dyDescent="0.25">
      <c r="A161" s="1">
        <v>159</v>
      </c>
      <c r="B161" s="10">
        <v>44632</v>
      </c>
      <c r="C161" s="10">
        <v>44632</v>
      </c>
      <c r="D161" t="s">
        <v>172</v>
      </c>
      <c r="E161" s="11">
        <v>8.5299999999999994</v>
      </c>
      <c r="F161" t="s">
        <v>12</v>
      </c>
      <c r="G161" t="s">
        <v>13</v>
      </c>
      <c r="H161" t="s">
        <v>145</v>
      </c>
      <c r="I161" t="s">
        <v>15</v>
      </c>
      <c r="J161" t="s">
        <v>16</v>
      </c>
      <c r="K161" s="57">
        <f>K160+dis_table[[#This Row],[Amount]]</f>
        <v>1545.8399999999997</v>
      </c>
    </row>
    <row r="162" spans="1:11" hidden="1" x14ac:dyDescent="0.25">
      <c r="A162" s="1">
        <v>160</v>
      </c>
      <c r="B162" s="10">
        <v>44632</v>
      </c>
      <c r="C162" s="10">
        <v>44632</v>
      </c>
      <c r="D162" t="s">
        <v>173</v>
      </c>
      <c r="E162" s="11">
        <v>49.43</v>
      </c>
      <c r="F162" t="s">
        <v>40</v>
      </c>
      <c r="G162" t="s">
        <v>18</v>
      </c>
      <c r="H162" t="s">
        <v>145</v>
      </c>
      <c r="I162" t="s">
        <v>15</v>
      </c>
      <c r="J162" t="s">
        <v>16</v>
      </c>
      <c r="K162" s="57">
        <f>K161+dis_table[[#This Row],[Amount]]</f>
        <v>1595.2699999999998</v>
      </c>
    </row>
    <row r="163" spans="1:11" hidden="1" x14ac:dyDescent="0.25">
      <c r="A163" s="1">
        <v>161</v>
      </c>
      <c r="B163" s="10">
        <v>44633</v>
      </c>
      <c r="C163" s="10">
        <v>44633</v>
      </c>
      <c r="D163" t="s">
        <v>174</v>
      </c>
      <c r="E163" s="11">
        <v>48.33</v>
      </c>
      <c r="F163" t="s">
        <v>40</v>
      </c>
      <c r="G163" t="s">
        <v>41</v>
      </c>
      <c r="H163" t="s">
        <v>145</v>
      </c>
      <c r="I163" t="s">
        <v>15</v>
      </c>
      <c r="J163" t="s">
        <v>42</v>
      </c>
      <c r="K163" s="57">
        <f>K162+dis_table[[#This Row],[Amount]]</f>
        <v>1643.5999999999997</v>
      </c>
    </row>
    <row r="164" spans="1:11" hidden="1" x14ac:dyDescent="0.25">
      <c r="A164" s="1">
        <v>162</v>
      </c>
      <c r="B164" s="10">
        <v>44633</v>
      </c>
      <c r="C164" s="10">
        <v>44633</v>
      </c>
      <c r="D164" t="s">
        <v>175</v>
      </c>
      <c r="E164" s="11">
        <v>48.23</v>
      </c>
      <c r="F164" t="s">
        <v>12</v>
      </c>
      <c r="G164" t="s">
        <v>18</v>
      </c>
      <c r="H164" t="s">
        <v>145</v>
      </c>
      <c r="I164" t="s">
        <v>15</v>
      </c>
      <c r="J164" t="s">
        <v>16</v>
      </c>
      <c r="K164" s="57">
        <f>K163+dis_table[[#This Row],[Amount]]</f>
        <v>1691.8299999999997</v>
      </c>
    </row>
    <row r="165" spans="1:11" hidden="1" x14ac:dyDescent="0.25">
      <c r="A165" s="1">
        <v>163</v>
      </c>
      <c r="B165" s="10">
        <v>44633</v>
      </c>
      <c r="C165" s="10">
        <v>44633</v>
      </c>
      <c r="D165" t="s">
        <v>176</v>
      </c>
      <c r="E165" s="11">
        <v>60</v>
      </c>
      <c r="F165" t="s">
        <v>12</v>
      </c>
      <c r="G165" t="s">
        <v>18</v>
      </c>
      <c r="H165" t="s">
        <v>145</v>
      </c>
      <c r="I165" t="s">
        <v>15</v>
      </c>
      <c r="J165" t="s">
        <v>16</v>
      </c>
      <c r="K165" s="57">
        <f>K164+dis_table[[#This Row],[Amount]]</f>
        <v>1751.8299999999997</v>
      </c>
    </row>
    <row r="166" spans="1:11" hidden="1" x14ac:dyDescent="0.25">
      <c r="A166" s="1">
        <v>164</v>
      </c>
      <c r="B166" s="10">
        <v>44633</v>
      </c>
      <c r="C166" s="10">
        <v>44633</v>
      </c>
      <c r="D166" t="s">
        <v>176</v>
      </c>
      <c r="E166" s="11">
        <v>30</v>
      </c>
      <c r="F166" t="s">
        <v>12</v>
      </c>
      <c r="G166" t="s">
        <v>18</v>
      </c>
      <c r="H166" t="s">
        <v>145</v>
      </c>
      <c r="I166" t="s">
        <v>15</v>
      </c>
      <c r="J166" t="s">
        <v>16</v>
      </c>
      <c r="K166" s="57">
        <f>K165+dis_table[[#This Row],[Amount]]</f>
        <v>1781.8299999999997</v>
      </c>
    </row>
    <row r="167" spans="1:11" hidden="1" x14ac:dyDescent="0.25">
      <c r="A167" s="1">
        <v>165</v>
      </c>
      <c r="B167" s="10">
        <v>44634</v>
      </c>
      <c r="C167" s="10">
        <v>44634</v>
      </c>
      <c r="D167" t="s">
        <v>177</v>
      </c>
      <c r="E167" s="11">
        <v>14.99</v>
      </c>
      <c r="F167" t="s">
        <v>20</v>
      </c>
      <c r="G167" t="s">
        <v>124</v>
      </c>
      <c r="H167" t="s">
        <v>145</v>
      </c>
      <c r="I167" t="s">
        <v>22</v>
      </c>
      <c r="J167" t="s">
        <v>23</v>
      </c>
      <c r="K167" s="57">
        <f>K166+dis_table[[#This Row],[Amount]]</f>
        <v>1796.8199999999997</v>
      </c>
    </row>
    <row r="168" spans="1:11" hidden="1" x14ac:dyDescent="0.25">
      <c r="A168" s="1">
        <v>166</v>
      </c>
      <c r="B168" s="10">
        <v>44634</v>
      </c>
      <c r="C168" s="10">
        <v>44634</v>
      </c>
      <c r="D168" t="s">
        <v>178</v>
      </c>
      <c r="E168" s="11">
        <v>0.86</v>
      </c>
      <c r="F168" t="s">
        <v>20</v>
      </c>
      <c r="G168" t="s">
        <v>41</v>
      </c>
      <c r="H168" t="s">
        <v>145</v>
      </c>
      <c r="I168" t="s">
        <v>15</v>
      </c>
      <c r="J168" t="s">
        <v>42</v>
      </c>
      <c r="K168" s="57">
        <f>K167+dis_table[[#This Row],[Amount]]</f>
        <v>1797.6799999999996</v>
      </c>
    </row>
    <row r="169" spans="1:11" hidden="1" x14ac:dyDescent="0.25">
      <c r="A169" s="1">
        <v>167</v>
      </c>
      <c r="B169" s="10">
        <v>44634</v>
      </c>
      <c r="C169" s="10">
        <v>44634</v>
      </c>
      <c r="D169" t="s">
        <v>179</v>
      </c>
      <c r="E169" s="11">
        <v>9.23</v>
      </c>
      <c r="F169" t="s">
        <v>12</v>
      </c>
      <c r="G169" t="s">
        <v>13</v>
      </c>
      <c r="H169" t="s">
        <v>145</v>
      </c>
      <c r="I169" t="s">
        <v>15</v>
      </c>
      <c r="J169" t="s">
        <v>16</v>
      </c>
      <c r="K169" s="57">
        <f>K168+dis_table[[#This Row],[Amount]]</f>
        <v>1806.9099999999996</v>
      </c>
    </row>
    <row r="170" spans="1:11" hidden="1" x14ac:dyDescent="0.25">
      <c r="A170" s="1">
        <v>168</v>
      </c>
      <c r="B170" s="10">
        <v>44634</v>
      </c>
      <c r="C170" s="10">
        <v>44634</v>
      </c>
      <c r="D170" t="s">
        <v>180</v>
      </c>
      <c r="E170" s="11">
        <v>19.850000000000001</v>
      </c>
      <c r="F170" t="s">
        <v>12</v>
      </c>
      <c r="G170" t="s">
        <v>13</v>
      </c>
      <c r="H170" t="s">
        <v>145</v>
      </c>
      <c r="I170" t="s">
        <v>15</v>
      </c>
      <c r="J170" t="s">
        <v>16</v>
      </c>
      <c r="K170" s="57">
        <f>K169+dis_table[[#This Row],[Amount]]</f>
        <v>1826.7599999999995</v>
      </c>
    </row>
    <row r="171" spans="1:11" hidden="1" x14ac:dyDescent="0.25">
      <c r="A171" s="1">
        <v>169</v>
      </c>
      <c r="B171" s="10">
        <v>44634</v>
      </c>
      <c r="C171" s="10">
        <v>44634</v>
      </c>
      <c r="D171" t="s">
        <v>181</v>
      </c>
      <c r="E171" s="11">
        <v>66.95</v>
      </c>
      <c r="F171" t="s">
        <v>12</v>
      </c>
      <c r="G171" t="s">
        <v>13</v>
      </c>
      <c r="H171" t="s">
        <v>145</v>
      </c>
      <c r="I171" t="s">
        <v>15</v>
      </c>
      <c r="J171" t="s">
        <v>16</v>
      </c>
      <c r="K171" s="57">
        <f>K170+dis_table[[#This Row],[Amount]]</f>
        <v>1893.7099999999996</v>
      </c>
    </row>
    <row r="172" spans="1:11" hidden="1" x14ac:dyDescent="0.25">
      <c r="A172" s="1">
        <v>170</v>
      </c>
      <c r="B172" s="10">
        <v>44636</v>
      </c>
      <c r="C172" s="10">
        <v>44636</v>
      </c>
      <c r="D172" t="s">
        <v>182</v>
      </c>
      <c r="E172" s="11">
        <v>47.6</v>
      </c>
      <c r="F172" t="s">
        <v>40</v>
      </c>
      <c r="G172" t="s">
        <v>41</v>
      </c>
      <c r="H172" t="s">
        <v>145</v>
      </c>
      <c r="I172" t="s">
        <v>15</v>
      </c>
      <c r="J172" t="s">
        <v>42</v>
      </c>
      <c r="K172" s="57">
        <f>K171+dis_table[[#This Row],[Amount]]</f>
        <v>1941.3099999999995</v>
      </c>
    </row>
    <row r="173" spans="1:11" hidden="1" x14ac:dyDescent="0.25">
      <c r="A173" s="1">
        <v>171</v>
      </c>
      <c r="B173" s="10">
        <v>44636</v>
      </c>
      <c r="C173" s="10">
        <v>44636</v>
      </c>
      <c r="D173" t="s">
        <v>79</v>
      </c>
      <c r="E173" s="11">
        <v>12</v>
      </c>
      <c r="F173" t="s">
        <v>20</v>
      </c>
      <c r="G173" t="s">
        <v>80</v>
      </c>
      <c r="H173" t="s">
        <v>145</v>
      </c>
      <c r="I173" t="s">
        <v>15</v>
      </c>
      <c r="J173" t="s">
        <v>23</v>
      </c>
      <c r="K173" s="57">
        <f>K172+dis_table[[#This Row],[Amount]]</f>
        <v>1953.3099999999995</v>
      </c>
    </row>
    <row r="174" spans="1:11" hidden="1" x14ac:dyDescent="0.25">
      <c r="A174" s="1">
        <v>172</v>
      </c>
      <c r="B174" s="10">
        <v>44637</v>
      </c>
      <c r="C174" s="10">
        <v>44637</v>
      </c>
      <c r="D174" t="s">
        <v>64</v>
      </c>
      <c r="E174" s="11">
        <v>70</v>
      </c>
      <c r="F174" t="s">
        <v>20</v>
      </c>
      <c r="G174" t="s">
        <v>65</v>
      </c>
      <c r="H174" t="s">
        <v>145</v>
      </c>
      <c r="I174" t="s">
        <v>22</v>
      </c>
      <c r="J174" t="s">
        <v>66</v>
      </c>
      <c r="K174" s="57">
        <f>K173+dis_table[[#This Row],[Amount]]</f>
        <v>2023.3099999999995</v>
      </c>
    </row>
    <row r="175" spans="1:11" hidden="1" x14ac:dyDescent="0.25">
      <c r="A175" s="1">
        <v>173</v>
      </c>
      <c r="B175" s="10">
        <v>44637</v>
      </c>
      <c r="C175" s="10">
        <v>44637</v>
      </c>
      <c r="D175" t="s">
        <v>35</v>
      </c>
      <c r="E175" s="11">
        <v>20.86</v>
      </c>
      <c r="F175" t="s">
        <v>12</v>
      </c>
      <c r="G175" t="s">
        <v>13</v>
      </c>
      <c r="H175" t="s">
        <v>145</v>
      </c>
      <c r="I175" t="s">
        <v>15</v>
      </c>
      <c r="J175" t="s">
        <v>16</v>
      </c>
      <c r="K175" s="57">
        <f>K174+dis_table[[#This Row],[Amount]]</f>
        <v>2044.1699999999994</v>
      </c>
    </row>
    <row r="176" spans="1:11" hidden="1" x14ac:dyDescent="0.25">
      <c r="A176" s="1">
        <v>174</v>
      </c>
      <c r="B176" s="10">
        <v>44637</v>
      </c>
      <c r="C176" s="10">
        <v>44637</v>
      </c>
      <c r="D176" t="s">
        <v>79</v>
      </c>
      <c r="E176" s="11">
        <v>5.99</v>
      </c>
      <c r="F176" t="s">
        <v>20</v>
      </c>
      <c r="G176" t="s">
        <v>80</v>
      </c>
      <c r="H176" t="s">
        <v>145</v>
      </c>
      <c r="I176" t="s">
        <v>15</v>
      </c>
      <c r="J176" t="s">
        <v>23</v>
      </c>
      <c r="K176" s="57">
        <f>K175+dis_table[[#This Row],[Amount]]</f>
        <v>2050.1599999999994</v>
      </c>
    </row>
    <row r="177" spans="1:11" hidden="1" x14ac:dyDescent="0.25">
      <c r="A177" s="1">
        <v>175</v>
      </c>
      <c r="B177" s="10">
        <v>44638</v>
      </c>
      <c r="C177" s="10">
        <v>44638</v>
      </c>
      <c r="D177" t="s">
        <v>183</v>
      </c>
      <c r="E177" s="11">
        <v>5.29</v>
      </c>
      <c r="F177" t="s">
        <v>20</v>
      </c>
      <c r="G177" t="s">
        <v>68</v>
      </c>
      <c r="H177" t="s">
        <v>145</v>
      </c>
      <c r="I177" t="s">
        <v>22</v>
      </c>
      <c r="J177" t="s">
        <v>23</v>
      </c>
      <c r="K177" s="57">
        <f>K176+dis_table[[#This Row],[Amount]]</f>
        <v>2055.4499999999994</v>
      </c>
    </row>
    <row r="178" spans="1:11" hidden="1" x14ac:dyDescent="0.25">
      <c r="A178" s="1">
        <v>176</v>
      </c>
      <c r="B178" s="10">
        <v>44638</v>
      </c>
      <c r="C178" s="10">
        <v>44638</v>
      </c>
      <c r="D178" t="s">
        <v>184</v>
      </c>
      <c r="E178" s="11">
        <v>10</v>
      </c>
      <c r="F178" t="s">
        <v>12</v>
      </c>
      <c r="G178" t="s">
        <v>185</v>
      </c>
      <c r="H178" t="s">
        <v>145</v>
      </c>
      <c r="I178" t="s">
        <v>15</v>
      </c>
      <c r="J178" t="s">
        <v>16</v>
      </c>
      <c r="K178" s="57">
        <f>K177+dis_table[[#This Row],[Amount]]</f>
        <v>2065.4499999999994</v>
      </c>
    </row>
    <row r="179" spans="1:11" hidden="1" x14ac:dyDescent="0.25">
      <c r="A179" s="1">
        <v>177</v>
      </c>
      <c r="B179" s="10">
        <v>44638</v>
      </c>
      <c r="C179" s="10">
        <v>44638</v>
      </c>
      <c r="D179" t="s">
        <v>186</v>
      </c>
      <c r="E179" s="11">
        <v>57.9</v>
      </c>
      <c r="F179" t="s">
        <v>30</v>
      </c>
      <c r="G179" t="s">
        <v>187</v>
      </c>
      <c r="H179" t="s">
        <v>145</v>
      </c>
      <c r="I179" t="s">
        <v>15</v>
      </c>
      <c r="J179" t="s">
        <v>23</v>
      </c>
      <c r="K179" s="57">
        <f>K178+dis_table[[#This Row],[Amount]]</f>
        <v>2123.3499999999995</v>
      </c>
    </row>
    <row r="180" spans="1:11" hidden="1" x14ac:dyDescent="0.25">
      <c r="A180" s="1">
        <v>178</v>
      </c>
      <c r="B180" s="10">
        <v>44638</v>
      </c>
      <c r="C180" s="10">
        <v>44638</v>
      </c>
      <c r="D180" t="s">
        <v>188</v>
      </c>
      <c r="E180" s="11">
        <v>126.2</v>
      </c>
      <c r="F180" t="s">
        <v>56</v>
      </c>
      <c r="G180" t="s">
        <v>189</v>
      </c>
      <c r="H180" t="s">
        <v>145</v>
      </c>
      <c r="I180" t="s">
        <v>15</v>
      </c>
      <c r="J180" t="s">
        <v>127</v>
      </c>
      <c r="K180" s="57">
        <f>K179+dis_table[[#This Row],[Amount]]</f>
        <v>2249.5499999999993</v>
      </c>
    </row>
    <row r="181" spans="1:11" hidden="1" x14ac:dyDescent="0.25">
      <c r="A181" s="1">
        <v>179</v>
      </c>
      <c r="B181" s="10">
        <v>44639</v>
      </c>
      <c r="C181" s="10">
        <v>44639</v>
      </c>
      <c r="D181" t="s">
        <v>190</v>
      </c>
      <c r="E181" s="11">
        <v>100</v>
      </c>
      <c r="F181" t="s">
        <v>30</v>
      </c>
      <c r="G181" t="s">
        <v>187</v>
      </c>
      <c r="H181" t="s">
        <v>145</v>
      </c>
      <c r="I181" t="s">
        <v>15</v>
      </c>
      <c r="J181" t="s">
        <v>23</v>
      </c>
      <c r="K181" s="57">
        <f>K180+dis_table[[#This Row],[Amount]]</f>
        <v>2349.5499999999993</v>
      </c>
    </row>
    <row r="182" spans="1:11" hidden="1" x14ac:dyDescent="0.25">
      <c r="A182" s="1">
        <v>180</v>
      </c>
      <c r="B182" s="10">
        <v>44639</v>
      </c>
      <c r="C182" s="10">
        <v>44639</v>
      </c>
      <c r="D182" t="s">
        <v>191</v>
      </c>
      <c r="E182" s="11">
        <v>14.2</v>
      </c>
      <c r="F182" t="s">
        <v>20</v>
      </c>
      <c r="G182" t="s">
        <v>13</v>
      </c>
      <c r="H182" t="s">
        <v>145</v>
      </c>
      <c r="I182" t="s">
        <v>15</v>
      </c>
      <c r="J182" t="s">
        <v>16</v>
      </c>
      <c r="K182" s="57">
        <f>K181+dis_table[[#This Row],[Amount]]</f>
        <v>2363.7499999999991</v>
      </c>
    </row>
    <row r="183" spans="1:11" hidden="1" x14ac:dyDescent="0.25">
      <c r="A183" s="1">
        <v>181</v>
      </c>
      <c r="B183" s="10">
        <v>44639</v>
      </c>
      <c r="C183" s="10">
        <v>44639</v>
      </c>
      <c r="D183" t="s">
        <v>191</v>
      </c>
      <c r="E183" s="11">
        <v>37.5</v>
      </c>
      <c r="F183" t="s">
        <v>20</v>
      </c>
      <c r="G183" t="s">
        <v>13</v>
      </c>
      <c r="H183" t="s">
        <v>145</v>
      </c>
      <c r="I183" t="s">
        <v>15</v>
      </c>
      <c r="J183" t="s">
        <v>16</v>
      </c>
      <c r="K183" s="57">
        <f>K182+dis_table[[#This Row],[Amount]]</f>
        <v>2401.2499999999991</v>
      </c>
    </row>
    <row r="184" spans="1:11" hidden="1" x14ac:dyDescent="0.25">
      <c r="A184" s="1">
        <v>182</v>
      </c>
      <c r="B184" s="10">
        <v>44640</v>
      </c>
      <c r="C184" s="10">
        <v>44640</v>
      </c>
      <c r="D184" t="s">
        <v>194</v>
      </c>
      <c r="E184" s="11">
        <v>329.81</v>
      </c>
      <c r="F184" t="s">
        <v>12</v>
      </c>
      <c r="G184" t="s">
        <v>18</v>
      </c>
      <c r="H184" t="s">
        <v>145</v>
      </c>
      <c r="I184" t="s">
        <v>15</v>
      </c>
      <c r="J184" t="s">
        <v>16</v>
      </c>
      <c r="K184" s="57">
        <f>K183+dis_table[[#This Row],[Amount]]</f>
        <v>2731.059999999999</v>
      </c>
    </row>
    <row r="185" spans="1:11" hidden="1" x14ac:dyDescent="0.25">
      <c r="A185" s="1">
        <v>183</v>
      </c>
      <c r="B185" s="10">
        <v>44640</v>
      </c>
      <c r="C185" s="10">
        <v>44640</v>
      </c>
      <c r="D185" t="s">
        <v>195</v>
      </c>
      <c r="E185" s="11">
        <v>54.29</v>
      </c>
      <c r="F185" t="s">
        <v>30</v>
      </c>
      <c r="G185" t="s">
        <v>130</v>
      </c>
      <c r="H185" t="s">
        <v>145</v>
      </c>
      <c r="I185" t="s">
        <v>22</v>
      </c>
      <c r="J185" t="s">
        <v>23</v>
      </c>
      <c r="K185" s="57">
        <f>K184+dis_table[[#This Row],[Amount]]</f>
        <v>2785.349999999999</v>
      </c>
    </row>
    <row r="186" spans="1:11" hidden="1" x14ac:dyDescent="0.25">
      <c r="A186" s="1">
        <v>184</v>
      </c>
      <c r="B186" s="10">
        <v>44641</v>
      </c>
      <c r="C186" s="10">
        <v>44641</v>
      </c>
      <c r="D186" t="s">
        <v>73</v>
      </c>
      <c r="E186" s="11">
        <v>13.16</v>
      </c>
      <c r="F186" t="s">
        <v>12</v>
      </c>
      <c r="G186" t="s">
        <v>74</v>
      </c>
      <c r="H186" t="s">
        <v>145</v>
      </c>
      <c r="I186" t="s">
        <v>15</v>
      </c>
      <c r="J186" t="s">
        <v>16</v>
      </c>
      <c r="K186" s="57">
        <f>K185+dis_table[[#This Row],[Amount]]</f>
        <v>2798.5099999999989</v>
      </c>
    </row>
    <row r="187" spans="1:11" hidden="1" x14ac:dyDescent="0.25">
      <c r="A187" s="1">
        <v>185</v>
      </c>
      <c r="B187" s="10">
        <v>44642</v>
      </c>
      <c r="C187" s="10">
        <v>44642</v>
      </c>
      <c r="D187" t="s">
        <v>36</v>
      </c>
      <c r="E187" s="11">
        <v>-734.55</v>
      </c>
      <c r="F187" t="s">
        <v>37</v>
      </c>
      <c r="G187" t="s">
        <v>38</v>
      </c>
      <c r="H187" t="s">
        <v>145</v>
      </c>
      <c r="I187" t="s">
        <v>15</v>
      </c>
      <c r="K187" s="57">
        <f>K186+dis_table[[#This Row],[Amount]]</f>
        <v>2063.9599999999991</v>
      </c>
    </row>
    <row r="188" spans="1:11" hidden="1" x14ac:dyDescent="0.25">
      <c r="A188" s="1">
        <v>186</v>
      </c>
      <c r="B188" s="10">
        <v>44643</v>
      </c>
      <c r="C188" s="10">
        <v>44643</v>
      </c>
      <c r="D188" t="s">
        <v>123</v>
      </c>
      <c r="E188" s="11">
        <v>10.41</v>
      </c>
      <c r="F188" t="s">
        <v>12</v>
      </c>
      <c r="G188" t="s">
        <v>13</v>
      </c>
      <c r="H188" t="s">
        <v>145</v>
      </c>
      <c r="I188" t="s">
        <v>15</v>
      </c>
      <c r="J188" t="s">
        <v>16</v>
      </c>
      <c r="K188" s="57">
        <f>K187+dis_table[[#This Row],[Amount]]</f>
        <v>2074.369999999999</v>
      </c>
    </row>
    <row r="189" spans="1:11" hidden="1" x14ac:dyDescent="0.25">
      <c r="A189" s="1">
        <v>187</v>
      </c>
      <c r="B189" s="10">
        <v>44643</v>
      </c>
      <c r="C189" s="10">
        <v>44643</v>
      </c>
      <c r="D189" t="s">
        <v>196</v>
      </c>
      <c r="E189" s="11">
        <v>239.23</v>
      </c>
      <c r="F189" t="s">
        <v>20</v>
      </c>
      <c r="G189" t="s">
        <v>197</v>
      </c>
      <c r="H189" t="s">
        <v>145</v>
      </c>
      <c r="I189" t="s">
        <v>15</v>
      </c>
      <c r="J189" t="s">
        <v>32</v>
      </c>
      <c r="K189" s="57">
        <f>K188+dis_table[[#This Row],[Amount]]</f>
        <v>2313.599999999999</v>
      </c>
    </row>
    <row r="190" spans="1:11" hidden="1" x14ac:dyDescent="0.25">
      <c r="A190" s="1">
        <v>188</v>
      </c>
      <c r="B190" s="10">
        <v>44643</v>
      </c>
      <c r="C190" s="10">
        <v>44643</v>
      </c>
      <c r="D190" t="s">
        <v>198</v>
      </c>
      <c r="E190" s="11">
        <v>31.53</v>
      </c>
      <c r="F190" t="s">
        <v>12</v>
      </c>
      <c r="G190" t="s">
        <v>18</v>
      </c>
      <c r="H190" t="s">
        <v>145</v>
      </c>
      <c r="I190" t="s">
        <v>15</v>
      </c>
      <c r="J190" t="s">
        <v>16</v>
      </c>
      <c r="K190" s="57">
        <f>K189+dis_table[[#This Row],[Amount]]</f>
        <v>2345.1299999999992</v>
      </c>
    </row>
    <row r="191" spans="1:11" hidden="1" x14ac:dyDescent="0.25">
      <c r="A191" s="1">
        <v>189</v>
      </c>
      <c r="B191" s="10">
        <v>44643</v>
      </c>
      <c r="C191" s="10">
        <v>44643</v>
      </c>
      <c r="D191" t="s">
        <v>199</v>
      </c>
      <c r="E191" s="11">
        <v>15</v>
      </c>
      <c r="F191" t="s">
        <v>12</v>
      </c>
      <c r="G191" t="s">
        <v>18</v>
      </c>
      <c r="H191" t="s">
        <v>145</v>
      </c>
      <c r="I191" t="s">
        <v>15</v>
      </c>
      <c r="J191" t="s">
        <v>16</v>
      </c>
      <c r="K191" s="57">
        <f>K190+dis_table[[#This Row],[Amount]]</f>
        <v>2360.1299999999992</v>
      </c>
    </row>
    <row r="192" spans="1:11" hidden="1" x14ac:dyDescent="0.25">
      <c r="A192" s="1">
        <v>190</v>
      </c>
      <c r="B192" s="10">
        <v>44644</v>
      </c>
      <c r="C192" s="10">
        <v>44644</v>
      </c>
      <c r="D192" t="s">
        <v>36</v>
      </c>
      <c r="E192" s="11">
        <v>-500</v>
      </c>
      <c r="F192" t="s">
        <v>37</v>
      </c>
      <c r="G192" t="s">
        <v>38</v>
      </c>
      <c r="H192" t="s">
        <v>145</v>
      </c>
      <c r="I192" t="s">
        <v>15</v>
      </c>
      <c r="K192" s="57">
        <f>K191+dis_table[[#This Row],[Amount]]</f>
        <v>1860.1299999999992</v>
      </c>
    </row>
    <row r="193" spans="1:11" hidden="1" x14ac:dyDescent="0.25">
      <c r="A193" s="1">
        <v>191</v>
      </c>
      <c r="B193" s="10">
        <v>44645</v>
      </c>
      <c r="C193" s="10">
        <v>44645</v>
      </c>
      <c r="D193" t="s">
        <v>200</v>
      </c>
      <c r="E193" s="11">
        <v>392</v>
      </c>
      <c r="F193" t="s">
        <v>154</v>
      </c>
      <c r="G193" t="s">
        <v>155</v>
      </c>
      <c r="H193" t="s">
        <v>145</v>
      </c>
      <c r="I193" t="s">
        <v>15</v>
      </c>
      <c r="J193" t="s">
        <v>156</v>
      </c>
      <c r="K193" s="57">
        <f>K192+dis_table[[#This Row],[Amount]]</f>
        <v>2252.1299999999992</v>
      </c>
    </row>
    <row r="194" spans="1:11" hidden="1" x14ac:dyDescent="0.25">
      <c r="A194" s="1">
        <v>192</v>
      </c>
      <c r="B194" s="10">
        <v>44646</v>
      </c>
      <c r="C194" s="10">
        <v>44646</v>
      </c>
      <c r="D194" t="s">
        <v>201</v>
      </c>
      <c r="E194" s="11">
        <v>44.2</v>
      </c>
      <c r="F194" t="s">
        <v>12</v>
      </c>
      <c r="G194" t="s">
        <v>18</v>
      </c>
      <c r="H194" t="s">
        <v>145</v>
      </c>
      <c r="I194" t="s">
        <v>15</v>
      </c>
      <c r="J194" t="s">
        <v>16</v>
      </c>
      <c r="K194" s="57">
        <f>K193+dis_table[[#This Row],[Amount]]</f>
        <v>2296.329999999999</v>
      </c>
    </row>
    <row r="195" spans="1:11" hidden="1" x14ac:dyDescent="0.25">
      <c r="A195" s="1">
        <v>193</v>
      </c>
      <c r="B195" s="10">
        <v>44646</v>
      </c>
      <c r="C195" s="10">
        <v>44646</v>
      </c>
      <c r="D195" t="s">
        <v>202</v>
      </c>
      <c r="E195" s="11">
        <v>10</v>
      </c>
      <c r="F195" t="s">
        <v>56</v>
      </c>
      <c r="G195" t="s">
        <v>203</v>
      </c>
      <c r="H195" t="s">
        <v>145</v>
      </c>
      <c r="I195" t="s">
        <v>15</v>
      </c>
      <c r="J195" t="s">
        <v>42</v>
      </c>
      <c r="K195" s="57">
        <f>K194+dis_table[[#This Row],[Amount]]</f>
        <v>2306.329999999999</v>
      </c>
    </row>
    <row r="196" spans="1:11" hidden="1" x14ac:dyDescent="0.25">
      <c r="A196" s="1">
        <v>194</v>
      </c>
      <c r="B196" s="10">
        <v>44646</v>
      </c>
      <c r="C196" s="10">
        <v>44646</v>
      </c>
      <c r="D196" t="s">
        <v>204</v>
      </c>
      <c r="E196" s="11">
        <v>12</v>
      </c>
      <c r="F196" t="s">
        <v>12</v>
      </c>
      <c r="G196" t="s">
        <v>18</v>
      </c>
      <c r="H196" t="s">
        <v>145</v>
      </c>
      <c r="I196" t="s">
        <v>15</v>
      </c>
      <c r="J196" t="s">
        <v>16</v>
      </c>
      <c r="K196" s="57">
        <f>K195+dis_table[[#This Row],[Amount]]</f>
        <v>2318.329999999999</v>
      </c>
    </row>
    <row r="197" spans="1:11" hidden="1" x14ac:dyDescent="0.25">
      <c r="A197" s="1">
        <v>195</v>
      </c>
      <c r="B197" s="10">
        <v>44646</v>
      </c>
      <c r="C197" s="10">
        <v>44646</v>
      </c>
      <c r="D197" t="s">
        <v>205</v>
      </c>
      <c r="E197" s="11">
        <v>3.81</v>
      </c>
      <c r="F197" t="s">
        <v>12</v>
      </c>
      <c r="G197" t="s">
        <v>18</v>
      </c>
      <c r="H197" t="s">
        <v>145</v>
      </c>
      <c r="I197" t="s">
        <v>15</v>
      </c>
      <c r="J197" t="s">
        <v>16</v>
      </c>
      <c r="K197" s="57">
        <f>K196+dis_table[[#This Row],[Amount]]</f>
        <v>2322.139999999999</v>
      </c>
    </row>
    <row r="198" spans="1:11" hidden="1" x14ac:dyDescent="0.25">
      <c r="A198" s="1">
        <v>196</v>
      </c>
      <c r="B198" s="10">
        <v>44646</v>
      </c>
      <c r="C198" s="10">
        <v>44646</v>
      </c>
      <c r="D198" t="s">
        <v>206</v>
      </c>
      <c r="E198" s="11">
        <v>16</v>
      </c>
      <c r="F198" t="s">
        <v>12</v>
      </c>
      <c r="G198" t="s">
        <v>18</v>
      </c>
      <c r="H198" t="s">
        <v>145</v>
      </c>
      <c r="I198" t="s">
        <v>15</v>
      </c>
      <c r="J198" t="s">
        <v>16</v>
      </c>
      <c r="K198" s="57">
        <f>K197+dis_table[[#This Row],[Amount]]</f>
        <v>2338.139999999999</v>
      </c>
    </row>
    <row r="199" spans="1:11" hidden="1" x14ac:dyDescent="0.25">
      <c r="A199" s="1">
        <v>197</v>
      </c>
      <c r="B199" s="10">
        <v>44646</v>
      </c>
      <c r="C199" s="10">
        <v>44646</v>
      </c>
      <c r="D199" t="s">
        <v>207</v>
      </c>
      <c r="E199" s="11">
        <v>19.12</v>
      </c>
      <c r="F199" t="s">
        <v>12</v>
      </c>
      <c r="G199" t="s">
        <v>18</v>
      </c>
      <c r="H199" t="s">
        <v>145</v>
      </c>
      <c r="I199" t="s">
        <v>15</v>
      </c>
      <c r="J199" t="s">
        <v>16</v>
      </c>
      <c r="K199" s="57">
        <f>K198+dis_table[[#This Row],[Amount]]</f>
        <v>2357.2599999999989</v>
      </c>
    </row>
    <row r="200" spans="1:11" hidden="1" x14ac:dyDescent="0.25">
      <c r="A200" s="1">
        <v>198</v>
      </c>
      <c r="B200" s="10">
        <v>44647</v>
      </c>
      <c r="C200" s="10">
        <v>44647</v>
      </c>
      <c r="D200" t="s">
        <v>208</v>
      </c>
      <c r="E200" s="11">
        <v>24.57</v>
      </c>
      <c r="F200" t="s">
        <v>20</v>
      </c>
      <c r="G200" t="s">
        <v>34</v>
      </c>
      <c r="H200" t="s">
        <v>145</v>
      </c>
      <c r="I200" t="s">
        <v>15</v>
      </c>
      <c r="J200" t="s">
        <v>32</v>
      </c>
      <c r="K200" s="57">
        <f>K199+dis_table[[#This Row],[Amount]]</f>
        <v>2381.829999999999</v>
      </c>
    </row>
    <row r="201" spans="1:11" hidden="1" x14ac:dyDescent="0.25">
      <c r="A201" s="1">
        <v>199</v>
      </c>
      <c r="B201" s="10">
        <v>44649</v>
      </c>
      <c r="C201" s="10">
        <v>44649</v>
      </c>
      <c r="D201" t="s">
        <v>209</v>
      </c>
      <c r="E201" s="11">
        <v>41.81</v>
      </c>
      <c r="F201" t="s">
        <v>12</v>
      </c>
      <c r="G201" t="s">
        <v>13</v>
      </c>
      <c r="H201" t="s">
        <v>145</v>
      </c>
      <c r="I201" t="s">
        <v>15</v>
      </c>
      <c r="J201" t="s">
        <v>16</v>
      </c>
      <c r="K201" s="57">
        <f>K200+dis_table[[#This Row],[Amount]]</f>
        <v>2423.639999999999</v>
      </c>
    </row>
    <row r="202" spans="1:11" hidden="1" x14ac:dyDescent="0.25">
      <c r="A202" s="1">
        <v>200</v>
      </c>
      <c r="B202" s="10">
        <v>44649</v>
      </c>
      <c r="C202" s="10">
        <v>44649</v>
      </c>
      <c r="D202" t="s">
        <v>210</v>
      </c>
      <c r="E202" s="11">
        <v>77</v>
      </c>
      <c r="F202" t="s">
        <v>20</v>
      </c>
      <c r="G202" t="s">
        <v>18</v>
      </c>
      <c r="H202" t="s">
        <v>145</v>
      </c>
      <c r="I202" t="s">
        <v>15</v>
      </c>
      <c r="J202" t="s">
        <v>16</v>
      </c>
      <c r="K202" s="57">
        <f>K201+dis_table[[#This Row],[Amount]]</f>
        <v>2500.639999999999</v>
      </c>
    </row>
    <row r="203" spans="1:11" hidden="1" x14ac:dyDescent="0.25">
      <c r="A203" s="1">
        <v>201</v>
      </c>
      <c r="B203" s="10">
        <v>44650</v>
      </c>
      <c r="C203" s="10">
        <v>44650</v>
      </c>
      <c r="D203" t="s">
        <v>123</v>
      </c>
      <c r="E203" s="11">
        <v>29.83</v>
      </c>
      <c r="F203" t="s">
        <v>12</v>
      </c>
      <c r="G203" t="s">
        <v>13</v>
      </c>
      <c r="H203" t="s">
        <v>145</v>
      </c>
      <c r="I203" t="s">
        <v>15</v>
      </c>
      <c r="J203" t="s">
        <v>16</v>
      </c>
      <c r="K203" s="57">
        <f>K202+dis_table[[#This Row],[Amount]]</f>
        <v>2530.4699999999989</v>
      </c>
    </row>
    <row r="204" spans="1:11" hidden="1" x14ac:dyDescent="0.25">
      <c r="A204" s="1">
        <v>202</v>
      </c>
      <c r="B204" s="10">
        <v>44650</v>
      </c>
      <c r="C204" s="10">
        <v>44654</v>
      </c>
      <c r="D204" t="s">
        <v>215</v>
      </c>
      <c r="E204" s="11">
        <v>79.989999999999995</v>
      </c>
      <c r="F204" t="s">
        <v>20</v>
      </c>
      <c r="G204" t="s">
        <v>216</v>
      </c>
      <c r="H204" t="s">
        <v>145</v>
      </c>
      <c r="I204" t="s">
        <v>22</v>
      </c>
      <c r="J204" t="s">
        <v>23</v>
      </c>
      <c r="K204" s="57">
        <f>K203+dis_table[[#This Row],[Amount]]</f>
        <v>2610.4599999999987</v>
      </c>
    </row>
    <row r="205" spans="1:11" hidden="1" x14ac:dyDescent="0.25">
      <c r="A205" s="1">
        <v>203</v>
      </c>
      <c r="B205" s="10">
        <v>44652</v>
      </c>
      <c r="C205" s="10">
        <v>44654</v>
      </c>
      <c r="D205" t="s">
        <v>19</v>
      </c>
      <c r="E205" s="11">
        <v>16.420000000000002</v>
      </c>
      <c r="F205" t="s">
        <v>20</v>
      </c>
      <c r="G205" t="s">
        <v>21</v>
      </c>
      <c r="H205" t="s">
        <v>233</v>
      </c>
      <c r="I205" t="s">
        <v>22</v>
      </c>
      <c r="J205" t="s">
        <v>23</v>
      </c>
      <c r="K205" s="57">
        <f>K204+dis_table[[#This Row],[Amount]]</f>
        <v>2626.8799999999987</v>
      </c>
    </row>
    <row r="206" spans="1:11" hidden="1" x14ac:dyDescent="0.25">
      <c r="A206" s="1">
        <v>204</v>
      </c>
      <c r="B206" s="10">
        <v>44652</v>
      </c>
      <c r="C206" s="10">
        <v>44654</v>
      </c>
      <c r="D206" t="s">
        <v>234</v>
      </c>
      <c r="E206" s="11">
        <v>9.99</v>
      </c>
      <c r="F206" t="s">
        <v>20</v>
      </c>
      <c r="G206" t="s">
        <v>25</v>
      </c>
      <c r="H206" t="s">
        <v>233</v>
      </c>
      <c r="I206" t="s">
        <v>22</v>
      </c>
      <c r="J206" t="s">
        <v>23</v>
      </c>
      <c r="K206" s="57">
        <f>K205+dis_table[[#This Row],[Amount]]</f>
        <v>2636.8699999999985</v>
      </c>
    </row>
    <row r="207" spans="1:11" hidden="1" x14ac:dyDescent="0.25">
      <c r="A207" s="1">
        <v>205</v>
      </c>
      <c r="B207" s="10">
        <v>44653</v>
      </c>
      <c r="C207" s="10">
        <v>44654</v>
      </c>
      <c r="D207" t="s">
        <v>77</v>
      </c>
      <c r="E207" s="11">
        <v>10</v>
      </c>
      <c r="F207" t="s">
        <v>20</v>
      </c>
      <c r="G207" t="s">
        <v>78</v>
      </c>
      <c r="H207" t="s">
        <v>233</v>
      </c>
      <c r="I207" t="s">
        <v>22</v>
      </c>
      <c r="J207" t="s">
        <v>23</v>
      </c>
      <c r="K207" s="57">
        <f>K206+dis_table[[#This Row],[Amount]]</f>
        <v>2646.8699999999985</v>
      </c>
    </row>
    <row r="208" spans="1:11" hidden="1" x14ac:dyDescent="0.25">
      <c r="A208" s="1">
        <v>206</v>
      </c>
      <c r="B208" s="10">
        <v>44654</v>
      </c>
      <c r="C208" s="10">
        <v>44654</v>
      </c>
      <c r="D208" t="s">
        <v>100</v>
      </c>
      <c r="E208" s="11">
        <v>12.99</v>
      </c>
      <c r="F208" t="s">
        <v>56</v>
      </c>
      <c r="G208" t="s">
        <v>101</v>
      </c>
      <c r="H208" t="s">
        <v>233</v>
      </c>
      <c r="I208" t="s">
        <v>22</v>
      </c>
      <c r="J208" t="s">
        <v>23</v>
      </c>
      <c r="K208" s="57">
        <f>K207+dis_table[[#This Row],[Amount]]</f>
        <v>2659.8599999999983</v>
      </c>
    </row>
    <row r="209" spans="1:11" hidden="1" x14ac:dyDescent="0.25">
      <c r="A209" s="1">
        <v>207</v>
      </c>
      <c r="B209" s="10">
        <v>44655</v>
      </c>
      <c r="C209" s="10">
        <v>44655</v>
      </c>
      <c r="D209" t="s">
        <v>278</v>
      </c>
      <c r="E209" s="11">
        <v>17.63</v>
      </c>
      <c r="F209" t="s">
        <v>20</v>
      </c>
      <c r="G209" t="s">
        <v>27</v>
      </c>
      <c r="H209" t="s">
        <v>233</v>
      </c>
      <c r="I209" t="s">
        <v>15</v>
      </c>
      <c r="K209" s="57">
        <f>K208+dis_table[[#This Row],[Amount]]</f>
        <v>2677.4899999999984</v>
      </c>
    </row>
    <row r="210" spans="1:11" hidden="1" x14ac:dyDescent="0.25">
      <c r="A210" s="1">
        <v>208</v>
      </c>
      <c r="B210" s="10">
        <v>44655</v>
      </c>
      <c r="C210" s="10">
        <v>44655</v>
      </c>
      <c r="D210" t="s">
        <v>104</v>
      </c>
      <c r="E210" s="11">
        <v>50.32</v>
      </c>
      <c r="F210" t="s">
        <v>53</v>
      </c>
      <c r="G210" t="s">
        <v>54</v>
      </c>
      <c r="H210" t="s">
        <v>233</v>
      </c>
      <c r="I210" t="s">
        <v>15</v>
      </c>
      <c r="J210" t="s">
        <v>16</v>
      </c>
      <c r="K210" s="57">
        <f>K209+dis_table[[#This Row],[Amount]]</f>
        <v>2727.8099999999986</v>
      </c>
    </row>
    <row r="211" spans="1:11" hidden="1" x14ac:dyDescent="0.25">
      <c r="A211" s="1">
        <v>209</v>
      </c>
      <c r="B211" s="10">
        <v>44656</v>
      </c>
      <c r="C211" s="10">
        <v>44656</v>
      </c>
      <c r="D211" t="s">
        <v>108</v>
      </c>
      <c r="E211" s="11">
        <v>79.38</v>
      </c>
      <c r="F211" t="s">
        <v>20</v>
      </c>
      <c r="G211" t="s">
        <v>109</v>
      </c>
      <c r="H211" t="s">
        <v>233</v>
      </c>
      <c r="I211" t="s">
        <v>22</v>
      </c>
      <c r="J211" t="s">
        <v>110</v>
      </c>
      <c r="K211" s="57">
        <f>K210+dis_table[[#This Row],[Amount]]</f>
        <v>2807.1899999999987</v>
      </c>
    </row>
    <row r="212" spans="1:11" hidden="1" x14ac:dyDescent="0.25">
      <c r="A212" s="1">
        <v>210</v>
      </c>
      <c r="B212" s="10">
        <v>44657</v>
      </c>
      <c r="C212" s="10">
        <v>44657</v>
      </c>
      <c r="D212" t="s">
        <v>279</v>
      </c>
      <c r="E212" s="11">
        <v>10.59</v>
      </c>
      <c r="F212" t="s">
        <v>20</v>
      </c>
      <c r="G212" t="s">
        <v>143</v>
      </c>
      <c r="H212" t="s">
        <v>233</v>
      </c>
      <c r="I212" t="s">
        <v>22</v>
      </c>
      <c r="J212" t="s">
        <v>23</v>
      </c>
      <c r="K212" s="57">
        <f>K211+dis_table[[#This Row],[Amount]]</f>
        <v>2817.7799999999988</v>
      </c>
    </row>
    <row r="213" spans="1:11" hidden="1" x14ac:dyDescent="0.25">
      <c r="A213" s="1">
        <v>211</v>
      </c>
      <c r="B213" s="10">
        <v>44657</v>
      </c>
      <c r="C213" s="10">
        <v>44657</v>
      </c>
      <c r="D213" t="s">
        <v>280</v>
      </c>
      <c r="E213" s="11">
        <v>44</v>
      </c>
      <c r="F213" t="s">
        <v>20</v>
      </c>
      <c r="G213" t="s">
        <v>281</v>
      </c>
      <c r="H213" t="s">
        <v>233</v>
      </c>
      <c r="I213" t="s">
        <v>15</v>
      </c>
      <c r="J213" t="s">
        <v>23</v>
      </c>
      <c r="K213" s="57">
        <f>K212+dis_table[[#This Row],[Amount]]</f>
        <v>2861.7799999999988</v>
      </c>
    </row>
    <row r="214" spans="1:11" hidden="1" x14ac:dyDescent="0.25">
      <c r="A214" s="1">
        <v>212</v>
      </c>
      <c r="B214" s="10">
        <v>44658</v>
      </c>
      <c r="C214" s="10">
        <v>44658</v>
      </c>
      <c r="D214" t="s">
        <v>266</v>
      </c>
      <c r="E214" s="11">
        <v>4.76</v>
      </c>
      <c r="F214" t="s">
        <v>20</v>
      </c>
      <c r="G214" t="s">
        <v>34</v>
      </c>
      <c r="H214" t="s">
        <v>233</v>
      </c>
      <c r="I214" t="s">
        <v>15</v>
      </c>
      <c r="J214" t="s">
        <v>32</v>
      </c>
      <c r="K214" s="57">
        <f>K213+dis_table[[#This Row],[Amount]]</f>
        <v>2866.5399999999991</v>
      </c>
    </row>
    <row r="215" spans="1:11" hidden="1" x14ac:dyDescent="0.25">
      <c r="A215" s="1">
        <v>213</v>
      </c>
      <c r="B215" s="10">
        <v>44658</v>
      </c>
      <c r="C215" s="10">
        <v>44658</v>
      </c>
      <c r="D215" t="s">
        <v>255</v>
      </c>
      <c r="E215" s="11">
        <v>32.549999999999997</v>
      </c>
      <c r="F215" t="s">
        <v>30</v>
      </c>
      <c r="G215" t="s">
        <v>76</v>
      </c>
      <c r="H215" t="s">
        <v>233</v>
      </c>
      <c r="I215" t="s">
        <v>15</v>
      </c>
      <c r="J215" t="s">
        <v>42</v>
      </c>
      <c r="K215" s="57">
        <f>K214+dis_table[[#This Row],[Amount]]</f>
        <v>2899.0899999999992</v>
      </c>
    </row>
    <row r="216" spans="1:11" hidden="1" x14ac:dyDescent="0.25">
      <c r="A216" s="1">
        <v>214</v>
      </c>
      <c r="B216" s="10">
        <v>44658</v>
      </c>
      <c r="C216" s="10">
        <v>44658</v>
      </c>
      <c r="D216" t="s">
        <v>255</v>
      </c>
      <c r="E216" s="11">
        <v>11.13</v>
      </c>
      <c r="F216" t="s">
        <v>30</v>
      </c>
      <c r="G216" t="s">
        <v>76</v>
      </c>
      <c r="H216" t="s">
        <v>233</v>
      </c>
      <c r="I216" t="s">
        <v>15</v>
      </c>
      <c r="J216" t="s">
        <v>42</v>
      </c>
      <c r="K216" s="57">
        <f>K215+dis_table[[#This Row],[Amount]]</f>
        <v>2910.2199999999993</v>
      </c>
    </row>
    <row r="217" spans="1:11" hidden="1" x14ac:dyDescent="0.25">
      <c r="A217" s="1">
        <v>215</v>
      </c>
      <c r="B217" s="10">
        <v>44658</v>
      </c>
      <c r="C217" s="10">
        <v>44658</v>
      </c>
      <c r="D217" t="s">
        <v>282</v>
      </c>
      <c r="E217" s="11">
        <v>100</v>
      </c>
      <c r="F217" t="s">
        <v>12</v>
      </c>
      <c r="G217" t="s">
        <v>13</v>
      </c>
      <c r="H217" t="s">
        <v>233</v>
      </c>
      <c r="I217" t="s">
        <v>15</v>
      </c>
      <c r="J217" t="s">
        <v>16</v>
      </c>
      <c r="K217" s="57">
        <f>K216+dis_table[[#This Row],[Amount]]</f>
        <v>3010.2199999999993</v>
      </c>
    </row>
    <row r="218" spans="1:11" hidden="1" x14ac:dyDescent="0.25">
      <c r="A218" s="1">
        <v>216</v>
      </c>
      <c r="B218" s="10">
        <v>44658</v>
      </c>
      <c r="C218" s="10">
        <v>44658</v>
      </c>
      <c r="D218" t="s">
        <v>104</v>
      </c>
      <c r="E218" s="11">
        <v>58.52</v>
      </c>
      <c r="F218" t="s">
        <v>53</v>
      </c>
      <c r="G218" t="s">
        <v>54</v>
      </c>
      <c r="H218" t="s">
        <v>233</v>
      </c>
      <c r="I218" t="s">
        <v>15</v>
      </c>
      <c r="J218" t="s">
        <v>16</v>
      </c>
      <c r="K218" s="57">
        <f>K217+dis_table[[#This Row],[Amount]]</f>
        <v>3068.7399999999993</v>
      </c>
    </row>
    <row r="219" spans="1:11" hidden="1" x14ac:dyDescent="0.25">
      <c r="A219" s="1">
        <v>217</v>
      </c>
      <c r="B219" s="10">
        <v>44658</v>
      </c>
      <c r="C219" s="10">
        <v>44658</v>
      </c>
      <c r="D219" t="s">
        <v>36</v>
      </c>
      <c r="E219" s="11">
        <v>-934.85</v>
      </c>
      <c r="F219" t="s">
        <v>37</v>
      </c>
      <c r="G219" t="s">
        <v>38</v>
      </c>
      <c r="H219" t="s">
        <v>233</v>
      </c>
      <c r="I219" t="s">
        <v>15</v>
      </c>
      <c r="K219" s="57">
        <f>K218+dis_table[[#This Row],[Amount]]</f>
        <v>2133.8899999999994</v>
      </c>
    </row>
    <row r="220" spans="1:11" hidden="1" x14ac:dyDescent="0.25">
      <c r="A220" s="1">
        <v>218</v>
      </c>
      <c r="B220" s="10">
        <v>44658</v>
      </c>
      <c r="C220" s="10">
        <v>44658</v>
      </c>
      <c r="D220" t="s">
        <v>43</v>
      </c>
      <c r="E220" s="11">
        <v>-65.150000000000006</v>
      </c>
      <c r="F220" t="s">
        <v>44</v>
      </c>
      <c r="G220" t="s">
        <v>45</v>
      </c>
      <c r="H220" t="s">
        <v>233</v>
      </c>
      <c r="I220" t="s">
        <v>15</v>
      </c>
      <c r="K220" s="57">
        <f>K219+dis_table[[#This Row],[Amount]]</f>
        <v>2068.7399999999993</v>
      </c>
    </row>
    <row r="221" spans="1:11" hidden="1" x14ac:dyDescent="0.25">
      <c r="A221" s="1">
        <v>219</v>
      </c>
      <c r="B221" s="10">
        <v>44658</v>
      </c>
      <c r="C221" s="10">
        <v>44658</v>
      </c>
      <c r="D221" t="s">
        <v>283</v>
      </c>
      <c r="E221" s="11">
        <v>50</v>
      </c>
      <c r="F221" t="s">
        <v>56</v>
      </c>
      <c r="G221" t="s">
        <v>284</v>
      </c>
      <c r="H221" t="s">
        <v>233</v>
      </c>
      <c r="I221" t="s">
        <v>22</v>
      </c>
      <c r="J221" t="s">
        <v>23</v>
      </c>
      <c r="K221" s="57">
        <f>K220+dis_table[[#This Row],[Amount]]</f>
        <v>2118.7399999999993</v>
      </c>
    </row>
    <row r="222" spans="1:11" hidden="1" x14ac:dyDescent="0.25">
      <c r="A222" s="1">
        <v>220</v>
      </c>
      <c r="B222" s="10">
        <v>44659</v>
      </c>
      <c r="C222" s="10">
        <v>44659</v>
      </c>
      <c r="D222" t="s">
        <v>112</v>
      </c>
      <c r="E222" s="11">
        <v>4.99</v>
      </c>
      <c r="F222" t="s">
        <v>20</v>
      </c>
      <c r="G222" t="s">
        <v>113</v>
      </c>
      <c r="H222" t="s">
        <v>233</v>
      </c>
      <c r="I222" t="s">
        <v>22</v>
      </c>
      <c r="J222" t="s">
        <v>23</v>
      </c>
      <c r="K222" s="57">
        <f>K221+dis_table[[#This Row],[Amount]]</f>
        <v>2123.7299999999991</v>
      </c>
    </row>
    <row r="223" spans="1:11" hidden="1" x14ac:dyDescent="0.25">
      <c r="A223" s="1">
        <v>221</v>
      </c>
      <c r="B223" s="10">
        <v>44660</v>
      </c>
      <c r="C223" s="10">
        <v>44660</v>
      </c>
      <c r="D223" t="s">
        <v>285</v>
      </c>
      <c r="E223" s="11">
        <v>23.35</v>
      </c>
      <c r="F223" t="s">
        <v>12</v>
      </c>
      <c r="G223" t="s">
        <v>13</v>
      </c>
      <c r="H223" t="s">
        <v>233</v>
      </c>
      <c r="I223" t="s">
        <v>15</v>
      </c>
      <c r="J223" t="s">
        <v>16</v>
      </c>
      <c r="K223" s="57">
        <f>K222+dis_table[[#This Row],[Amount]]</f>
        <v>2147.079999999999</v>
      </c>
    </row>
    <row r="224" spans="1:11" hidden="1" x14ac:dyDescent="0.25">
      <c r="A224" s="1">
        <v>222</v>
      </c>
      <c r="B224" s="10">
        <v>44660</v>
      </c>
      <c r="C224" s="10">
        <v>44660</v>
      </c>
      <c r="D224" t="s">
        <v>255</v>
      </c>
      <c r="E224" s="11">
        <v>12.64</v>
      </c>
      <c r="F224" t="s">
        <v>30</v>
      </c>
      <c r="G224" t="s">
        <v>76</v>
      </c>
      <c r="H224" t="s">
        <v>233</v>
      </c>
      <c r="I224" t="s">
        <v>15</v>
      </c>
      <c r="J224" t="s">
        <v>42</v>
      </c>
      <c r="K224" s="57">
        <f>K223+dis_table[[#This Row],[Amount]]</f>
        <v>2159.7199999999989</v>
      </c>
    </row>
    <row r="225" spans="1:11" hidden="1" x14ac:dyDescent="0.25">
      <c r="A225" s="1">
        <v>223</v>
      </c>
      <c r="B225" s="10">
        <v>44660</v>
      </c>
      <c r="C225" s="10">
        <v>44660</v>
      </c>
      <c r="D225" t="s">
        <v>238</v>
      </c>
      <c r="E225" s="11">
        <v>12.9</v>
      </c>
      <c r="F225" t="s">
        <v>30</v>
      </c>
      <c r="G225" t="s">
        <v>147</v>
      </c>
      <c r="H225" t="s">
        <v>233</v>
      </c>
      <c r="I225" t="s">
        <v>15</v>
      </c>
      <c r="J225" t="s">
        <v>23</v>
      </c>
      <c r="K225" s="57">
        <f>K224+dis_table[[#This Row],[Amount]]</f>
        <v>2172.619999999999</v>
      </c>
    </row>
    <row r="226" spans="1:11" hidden="1" x14ac:dyDescent="0.25">
      <c r="A226" s="1">
        <v>224</v>
      </c>
      <c r="B226" s="10">
        <v>44660</v>
      </c>
      <c r="C226" s="10">
        <v>44660</v>
      </c>
      <c r="D226" t="s">
        <v>286</v>
      </c>
      <c r="E226" s="11">
        <v>172.67</v>
      </c>
      <c r="F226" t="s">
        <v>20</v>
      </c>
      <c r="G226" t="s">
        <v>27</v>
      </c>
      <c r="H226" t="s">
        <v>233</v>
      </c>
      <c r="I226" t="s">
        <v>15</v>
      </c>
      <c r="K226" s="57">
        <f>K225+dis_table[[#This Row],[Amount]]</f>
        <v>2345.2899999999991</v>
      </c>
    </row>
    <row r="227" spans="1:11" hidden="1" x14ac:dyDescent="0.25">
      <c r="A227" s="1">
        <v>225</v>
      </c>
      <c r="B227" s="10">
        <v>44660</v>
      </c>
      <c r="C227" s="10">
        <v>44660</v>
      </c>
      <c r="D227" t="s">
        <v>287</v>
      </c>
      <c r="E227" s="11">
        <v>15.5</v>
      </c>
      <c r="F227" t="s">
        <v>30</v>
      </c>
      <c r="G227" t="s">
        <v>147</v>
      </c>
      <c r="H227" t="s">
        <v>233</v>
      </c>
      <c r="I227" t="s">
        <v>15</v>
      </c>
      <c r="J227" t="s">
        <v>23</v>
      </c>
      <c r="K227" s="57">
        <f>K226+dis_table[[#This Row],[Amount]]</f>
        <v>2360.7899999999991</v>
      </c>
    </row>
    <row r="228" spans="1:11" hidden="1" x14ac:dyDescent="0.25">
      <c r="A228" s="1">
        <v>226</v>
      </c>
      <c r="B228" s="10">
        <v>44660</v>
      </c>
      <c r="C228" s="10">
        <v>44660</v>
      </c>
      <c r="D228" t="s">
        <v>238</v>
      </c>
      <c r="E228" s="11">
        <v>5.53</v>
      </c>
      <c r="F228" t="s">
        <v>30</v>
      </c>
      <c r="G228" t="s">
        <v>147</v>
      </c>
      <c r="H228" t="s">
        <v>233</v>
      </c>
      <c r="I228" t="s">
        <v>15</v>
      </c>
      <c r="J228" t="s">
        <v>23</v>
      </c>
      <c r="K228" s="57">
        <f>K227+dis_table[[#This Row],[Amount]]</f>
        <v>2366.3199999999993</v>
      </c>
    </row>
    <row r="229" spans="1:11" hidden="1" x14ac:dyDescent="0.25">
      <c r="A229" s="1">
        <v>227</v>
      </c>
      <c r="B229" s="10">
        <v>44661</v>
      </c>
      <c r="C229" s="10">
        <v>44661</v>
      </c>
      <c r="D229" t="s">
        <v>235</v>
      </c>
      <c r="E229" s="11">
        <v>15.89</v>
      </c>
      <c r="F229" t="s">
        <v>20</v>
      </c>
      <c r="G229" t="s">
        <v>49</v>
      </c>
      <c r="H229" t="s">
        <v>233</v>
      </c>
      <c r="I229" t="s">
        <v>22</v>
      </c>
      <c r="J229" t="s">
        <v>23</v>
      </c>
      <c r="K229" s="57">
        <f>K228+dis_table[[#This Row],[Amount]]</f>
        <v>2382.2099999999991</v>
      </c>
    </row>
    <row r="230" spans="1:11" hidden="1" x14ac:dyDescent="0.25">
      <c r="A230" s="1">
        <v>228</v>
      </c>
      <c r="B230" s="10">
        <v>44661</v>
      </c>
      <c r="C230" s="10">
        <v>44661</v>
      </c>
      <c r="D230" t="s">
        <v>236</v>
      </c>
      <c r="E230" s="11">
        <v>5</v>
      </c>
      <c r="F230" t="s">
        <v>30</v>
      </c>
      <c r="G230" t="s">
        <v>76</v>
      </c>
      <c r="H230" t="s">
        <v>233</v>
      </c>
      <c r="I230" t="s">
        <v>15</v>
      </c>
      <c r="J230" t="s">
        <v>42</v>
      </c>
      <c r="K230" s="57">
        <f>K229+dis_table[[#This Row],[Amount]]</f>
        <v>2387.2099999999991</v>
      </c>
    </row>
    <row r="231" spans="1:11" hidden="1" x14ac:dyDescent="0.25">
      <c r="A231" s="1">
        <v>229</v>
      </c>
      <c r="B231" s="10">
        <v>44661</v>
      </c>
      <c r="C231" s="10">
        <v>44661</v>
      </c>
      <c r="D231" t="s">
        <v>237</v>
      </c>
      <c r="E231" s="11">
        <v>11.19</v>
      </c>
      <c r="F231" t="s">
        <v>30</v>
      </c>
      <c r="G231" t="s">
        <v>76</v>
      </c>
      <c r="H231" t="s">
        <v>233</v>
      </c>
      <c r="I231" t="s">
        <v>15</v>
      </c>
      <c r="J231" t="s">
        <v>42</v>
      </c>
      <c r="K231" s="57">
        <f>K230+dis_table[[#This Row],[Amount]]</f>
        <v>2398.3999999999992</v>
      </c>
    </row>
    <row r="232" spans="1:11" hidden="1" x14ac:dyDescent="0.25">
      <c r="A232" s="1">
        <v>230</v>
      </c>
      <c r="B232" s="10">
        <v>44661</v>
      </c>
      <c r="C232" s="10">
        <v>44661</v>
      </c>
      <c r="D232" t="s">
        <v>79</v>
      </c>
      <c r="E232" s="11">
        <v>9.99</v>
      </c>
      <c r="F232" t="s">
        <v>20</v>
      </c>
      <c r="G232" t="s">
        <v>80</v>
      </c>
      <c r="H232" t="s">
        <v>233</v>
      </c>
      <c r="I232" t="s">
        <v>15</v>
      </c>
      <c r="J232" t="s">
        <v>23</v>
      </c>
      <c r="K232" s="57">
        <f>K231+dis_table[[#This Row],[Amount]]</f>
        <v>2408.389999999999</v>
      </c>
    </row>
    <row r="233" spans="1:11" hidden="1" x14ac:dyDescent="0.25">
      <c r="A233" s="1">
        <v>231</v>
      </c>
      <c r="B233" s="10">
        <v>44661</v>
      </c>
      <c r="C233" s="10">
        <v>44661</v>
      </c>
      <c r="D233" t="s">
        <v>238</v>
      </c>
      <c r="E233" s="11">
        <v>12.9</v>
      </c>
      <c r="F233" t="s">
        <v>30</v>
      </c>
      <c r="G233" t="s">
        <v>147</v>
      </c>
      <c r="H233" t="s">
        <v>233</v>
      </c>
      <c r="I233" t="s">
        <v>15</v>
      </c>
      <c r="J233" t="s">
        <v>23</v>
      </c>
      <c r="K233" s="57">
        <f>K232+dis_table[[#This Row],[Amount]]</f>
        <v>2421.2899999999991</v>
      </c>
    </row>
    <row r="234" spans="1:11" hidden="1" x14ac:dyDescent="0.25">
      <c r="A234" s="1">
        <v>232</v>
      </c>
      <c r="B234" s="10">
        <v>44662</v>
      </c>
      <c r="C234" s="10">
        <v>44662</v>
      </c>
      <c r="D234" t="s">
        <v>237</v>
      </c>
      <c r="E234" s="11">
        <v>14.86</v>
      </c>
      <c r="F234" t="s">
        <v>30</v>
      </c>
      <c r="G234" t="s">
        <v>76</v>
      </c>
      <c r="H234" t="s">
        <v>233</v>
      </c>
      <c r="I234" t="s">
        <v>15</v>
      </c>
      <c r="J234" t="s">
        <v>42</v>
      </c>
      <c r="K234" s="57">
        <f>K233+dis_table[[#This Row],[Amount]]</f>
        <v>2436.1499999999992</v>
      </c>
    </row>
    <row r="235" spans="1:11" hidden="1" x14ac:dyDescent="0.25">
      <c r="A235" s="1">
        <v>233</v>
      </c>
      <c r="B235" s="10">
        <v>44662</v>
      </c>
      <c r="C235" s="10">
        <v>44662</v>
      </c>
      <c r="D235" t="s">
        <v>239</v>
      </c>
      <c r="E235" s="11">
        <v>42.43</v>
      </c>
      <c r="F235" t="s">
        <v>12</v>
      </c>
      <c r="G235" t="s">
        <v>13</v>
      </c>
      <c r="H235" t="s">
        <v>233</v>
      </c>
      <c r="I235" t="s">
        <v>15</v>
      </c>
      <c r="J235" t="s">
        <v>16</v>
      </c>
      <c r="K235" s="57">
        <f>K234+dis_table[[#This Row],[Amount]]</f>
        <v>2478.579999999999</v>
      </c>
    </row>
    <row r="236" spans="1:11" hidden="1" x14ac:dyDescent="0.25">
      <c r="A236" s="1">
        <v>234</v>
      </c>
      <c r="B236" s="10">
        <v>44662</v>
      </c>
      <c r="C236" s="10">
        <v>44662</v>
      </c>
      <c r="D236" t="s">
        <v>240</v>
      </c>
      <c r="E236" s="11">
        <v>8</v>
      </c>
      <c r="F236" t="s">
        <v>30</v>
      </c>
      <c r="G236" t="s">
        <v>59</v>
      </c>
      <c r="H236" t="s">
        <v>233</v>
      </c>
      <c r="I236" t="s">
        <v>15</v>
      </c>
      <c r="J236" t="s">
        <v>60</v>
      </c>
      <c r="K236" s="57">
        <f>K235+dis_table[[#This Row],[Amount]]</f>
        <v>2486.579999999999</v>
      </c>
    </row>
    <row r="237" spans="1:11" hidden="1" x14ac:dyDescent="0.25">
      <c r="A237" s="1">
        <v>235</v>
      </c>
      <c r="B237" s="10">
        <v>44662</v>
      </c>
      <c r="C237" s="10">
        <v>44662</v>
      </c>
      <c r="D237" t="s">
        <v>241</v>
      </c>
      <c r="E237" s="11">
        <v>57.55</v>
      </c>
      <c r="F237" t="s">
        <v>20</v>
      </c>
      <c r="G237" t="s">
        <v>27</v>
      </c>
      <c r="H237" t="s">
        <v>233</v>
      </c>
      <c r="I237" t="s">
        <v>15</v>
      </c>
      <c r="K237" s="57">
        <f>K236+dis_table[[#This Row],[Amount]]</f>
        <v>2544.1299999999992</v>
      </c>
    </row>
    <row r="238" spans="1:11" hidden="1" x14ac:dyDescent="0.25">
      <c r="A238" s="1">
        <v>236</v>
      </c>
      <c r="B238" s="10">
        <v>44662</v>
      </c>
      <c r="C238" s="10">
        <v>44662</v>
      </c>
      <c r="D238" t="s">
        <v>236</v>
      </c>
      <c r="E238" s="11">
        <v>5</v>
      </c>
      <c r="F238" t="s">
        <v>30</v>
      </c>
      <c r="G238" t="s">
        <v>76</v>
      </c>
      <c r="H238" t="s">
        <v>233</v>
      </c>
      <c r="I238" t="s">
        <v>15</v>
      </c>
      <c r="J238" t="s">
        <v>42</v>
      </c>
      <c r="K238" s="57">
        <f>K237+dis_table[[#This Row],[Amount]]</f>
        <v>2549.1299999999992</v>
      </c>
    </row>
    <row r="239" spans="1:11" hidden="1" x14ac:dyDescent="0.25">
      <c r="A239" s="1">
        <v>237</v>
      </c>
      <c r="B239" s="10">
        <v>44662</v>
      </c>
      <c r="C239" s="10">
        <v>44662</v>
      </c>
      <c r="D239" t="s">
        <v>242</v>
      </c>
      <c r="E239" s="11">
        <v>15.89</v>
      </c>
      <c r="F239" t="s">
        <v>56</v>
      </c>
      <c r="G239" t="s">
        <v>130</v>
      </c>
      <c r="H239" t="s">
        <v>233</v>
      </c>
      <c r="I239" t="s">
        <v>22</v>
      </c>
      <c r="J239" t="s">
        <v>23</v>
      </c>
      <c r="K239" s="57">
        <f>K238+dis_table[[#This Row],[Amount]]</f>
        <v>2565.0199999999991</v>
      </c>
    </row>
    <row r="240" spans="1:11" hidden="1" x14ac:dyDescent="0.25">
      <c r="A240" s="1">
        <v>238</v>
      </c>
      <c r="B240" s="10">
        <v>44663</v>
      </c>
      <c r="C240" s="10">
        <v>44663</v>
      </c>
      <c r="D240" t="s">
        <v>243</v>
      </c>
      <c r="E240" s="11">
        <v>63.66</v>
      </c>
      <c r="F240" t="s">
        <v>20</v>
      </c>
      <c r="G240" t="s">
        <v>244</v>
      </c>
      <c r="H240" t="s">
        <v>233</v>
      </c>
      <c r="I240" t="s">
        <v>15</v>
      </c>
      <c r="J240" t="s">
        <v>245</v>
      </c>
      <c r="K240" s="57">
        <f>K239+dis_table[[#This Row],[Amount]]</f>
        <v>2628.6799999999989</v>
      </c>
    </row>
    <row r="241" spans="1:11" hidden="1" x14ac:dyDescent="0.25">
      <c r="A241" s="1">
        <v>239</v>
      </c>
      <c r="B241" s="10">
        <v>44663</v>
      </c>
      <c r="C241" s="10">
        <v>44663</v>
      </c>
      <c r="D241" t="s">
        <v>246</v>
      </c>
      <c r="E241" s="11">
        <v>30</v>
      </c>
      <c r="F241" t="s">
        <v>20</v>
      </c>
      <c r="G241" t="s">
        <v>27</v>
      </c>
      <c r="H241" t="s">
        <v>233</v>
      </c>
      <c r="I241" t="s">
        <v>15</v>
      </c>
      <c r="K241" s="57">
        <f>K240+dis_table[[#This Row],[Amount]]</f>
        <v>2658.6799999999989</v>
      </c>
    </row>
    <row r="242" spans="1:11" hidden="1" x14ac:dyDescent="0.25">
      <c r="A242" s="1">
        <v>240</v>
      </c>
      <c r="B242" s="10">
        <v>44664</v>
      </c>
      <c r="C242" s="10">
        <v>44664</v>
      </c>
      <c r="D242" t="s">
        <v>247</v>
      </c>
      <c r="E242" s="11">
        <v>21.71</v>
      </c>
      <c r="F242" t="s">
        <v>248</v>
      </c>
      <c r="G242" t="s">
        <v>94</v>
      </c>
      <c r="H242" t="s">
        <v>233</v>
      </c>
      <c r="I242" t="s">
        <v>15</v>
      </c>
      <c r="J242" t="s">
        <v>32</v>
      </c>
      <c r="K242" s="57">
        <f>K241+dis_table[[#This Row],[Amount]]</f>
        <v>2680.389999999999</v>
      </c>
    </row>
    <row r="243" spans="1:11" hidden="1" x14ac:dyDescent="0.25">
      <c r="A243" s="1">
        <v>241</v>
      </c>
      <c r="B243" s="10">
        <v>44664</v>
      </c>
      <c r="C243" s="10">
        <v>44664</v>
      </c>
      <c r="D243" t="s">
        <v>249</v>
      </c>
      <c r="E243" s="11">
        <v>51.31</v>
      </c>
      <c r="F243" t="s">
        <v>53</v>
      </c>
      <c r="G243" t="s">
        <v>54</v>
      </c>
      <c r="H243" t="s">
        <v>233</v>
      </c>
      <c r="I243" t="s">
        <v>15</v>
      </c>
      <c r="J243" t="s">
        <v>16</v>
      </c>
      <c r="K243" s="57">
        <f>K242+dis_table[[#This Row],[Amount]]</f>
        <v>2731.6999999999989</v>
      </c>
    </row>
    <row r="244" spans="1:11" hidden="1" x14ac:dyDescent="0.25">
      <c r="A244" s="1">
        <v>242</v>
      </c>
      <c r="B244" s="10">
        <v>44664</v>
      </c>
      <c r="C244" s="10">
        <v>44664</v>
      </c>
      <c r="D244" t="s">
        <v>79</v>
      </c>
      <c r="E244" s="11">
        <v>7.9</v>
      </c>
      <c r="F244" t="s">
        <v>20</v>
      </c>
      <c r="G244" t="s">
        <v>80</v>
      </c>
      <c r="H244" t="s">
        <v>233</v>
      </c>
      <c r="I244" t="s">
        <v>15</v>
      </c>
      <c r="J244" t="s">
        <v>23</v>
      </c>
      <c r="K244" s="57">
        <f>K243+dis_table[[#This Row],[Amount]]</f>
        <v>2739.599999999999</v>
      </c>
    </row>
    <row r="245" spans="1:11" hidden="1" x14ac:dyDescent="0.25">
      <c r="A245" s="1">
        <v>243</v>
      </c>
      <c r="B245" s="10">
        <v>44665</v>
      </c>
      <c r="C245" s="10">
        <v>44665</v>
      </c>
      <c r="D245" t="s">
        <v>250</v>
      </c>
      <c r="E245" s="11">
        <v>31.79</v>
      </c>
      <c r="F245" t="s">
        <v>20</v>
      </c>
      <c r="G245" t="s">
        <v>251</v>
      </c>
      <c r="H245" t="s">
        <v>233</v>
      </c>
      <c r="I245" t="s">
        <v>22</v>
      </c>
      <c r="J245" t="s">
        <v>23</v>
      </c>
      <c r="K245" s="57">
        <f>K244+dis_table[[#This Row],[Amount]]</f>
        <v>2771.389999999999</v>
      </c>
    </row>
    <row r="246" spans="1:11" hidden="1" x14ac:dyDescent="0.25">
      <c r="A246" s="1">
        <v>244</v>
      </c>
      <c r="B246" s="10">
        <v>44665</v>
      </c>
      <c r="C246" s="10">
        <v>44665</v>
      </c>
      <c r="D246" t="s">
        <v>252</v>
      </c>
      <c r="E246" s="11">
        <v>71.55</v>
      </c>
      <c r="F246" t="s">
        <v>12</v>
      </c>
      <c r="G246" t="s">
        <v>18</v>
      </c>
      <c r="H246" t="s">
        <v>233</v>
      </c>
      <c r="I246" t="s">
        <v>15</v>
      </c>
      <c r="J246" t="s">
        <v>16</v>
      </c>
      <c r="K246" s="57">
        <f>K245+dis_table[[#This Row],[Amount]]</f>
        <v>2842.9399999999991</v>
      </c>
    </row>
    <row r="247" spans="1:11" hidden="1" x14ac:dyDescent="0.25">
      <c r="A247" s="1">
        <v>245</v>
      </c>
      <c r="B247" s="10">
        <v>44665</v>
      </c>
      <c r="C247" s="10">
        <v>44665</v>
      </c>
      <c r="D247" t="s">
        <v>104</v>
      </c>
      <c r="E247" s="11">
        <v>18.47</v>
      </c>
      <c r="F247" t="s">
        <v>53</v>
      </c>
      <c r="G247" t="s">
        <v>54</v>
      </c>
      <c r="H247" t="s">
        <v>233</v>
      </c>
      <c r="I247" t="s">
        <v>15</v>
      </c>
      <c r="J247" t="s">
        <v>16</v>
      </c>
      <c r="K247" s="57">
        <f>K246+dis_table[[#This Row],[Amount]]</f>
        <v>2861.4099999999989</v>
      </c>
    </row>
    <row r="248" spans="1:11" hidden="1" x14ac:dyDescent="0.25">
      <c r="A248" s="1">
        <v>246</v>
      </c>
      <c r="B248" s="10">
        <v>44665</v>
      </c>
      <c r="C248" s="10">
        <v>44665</v>
      </c>
      <c r="D248" t="s">
        <v>123</v>
      </c>
      <c r="E248" s="11">
        <v>29.18</v>
      </c>
      <c r="F248" t="s">
        <v>12</v>
      </c>
      <c r="G248" t="s">
        <v>13</v>
      </c>
      <c r="H248" t="s">
        <v>233</v>
      </c>
      <c r="I248" t="s">
        <v>15</v>
      </c>
      <c r="J248" t="s">
        <v>16</v>
      </c>
      <c r="K248" s="57">
        <f>K247+dis_table[[#This Row],[Amount]]</f>
        <v>2890.5899999999988</v>
      </c>
    </row>
    <row r="249" spans="1:11" hidden="1" x14ac:dyDescent="0.25">
      <c r="A249" s="1">
        <v>247</v>
      </c>
      <c r="B249" s="10">
        <v>44665</v>
      </c>
      <c r="C249" s="10">
        <v>44665</v>
      </c>
      <c r="D249" t="s">
        <v>58</v>
      </c>
      <c r="E249" s="11">
        <v>14.99</v>
      </c>
      <c r="F249" t="s">
        <v>20</v>
      </c>
      <c r="G249" t="s">
        <v>124</v>
      </c>
      <c r="H249" t="s">
        <v>233</v>
      </c>
      <c r="I249" t="s">
        <v>22</v>
      </c>
      <c r="J249" t="s">
        <v>23</v>
      </c>
      <c r="K249" s="57">
        <f>K248+dis_table[[#This Row],[Amount]]</f>
        <v>2905.5799999999986</v>
      </c>
    </row>
    <row r="250" spans="1:11" hidden="1" x14ac:dyDescent="0.25">
      <c r="A250" s="1">
        <v>248</v>
      </c>
      <c r="B250" s="10">
        <v>44666</v>
      </c>
      <c r="C250" s="10">
        <v>44666</v>
      </c>
      <c r="D250" t="s">
        <v>253</v>
      </c>
      <c r="E250" s="11">
        <v>70</v>
      </c>
      <c r="F250" t="s">
        <v>12</v>
      </c>
      <c r="G250" t="s">
        <v>18</v>
      </c>
      <c r="H250" t="s">
        <v>233</v>
      </c>
      <c r="I250" t="s">
        <v>15</v>
      </c>
      <c r="J250" t="s">
        <v>16</v>
      </c>
      <c r="K250" s="57">
        <f>K249+dis_table[[#This Row],[Amount]]</f>
        <v>2975.5799999999986</v>
      </c>
    </row>
    <row r="251" spans="1:11" hidden="1" x14ac:dyDescent="0.25">
      <c r="A251" s="1">
        <v>249</v>
      </c>
      <c r="B251" s="10">
        <v>44667</v>
      </c>
      <c r="C251" s="10">
        <v>44667</v>
      </c>
      <c r="D251" t="s">
        <v>254</v>
      </c>
      <c r="E251" s="11">
        <v>49.48</v>
      </c>
      <c r="F251" t="s">
        <v>53</v>
      </c>
      <c r="G251" t="s">
        <v>223</v>
      </c>
      <c r="H251" t="s">
        <v>233</v>
      </c>
      <c r="I251" t="s">
        <v>15</v>
      </c>
      <c r="J251" t="s">
        <v>32</v>
      </c>
      <c r="K251" s="57">
        <f>K250+dis_table[[#This Row],[Amount]]</f>
        <v>3025.0599999999986</v>
      </c>
    </row>
    <row r="252" spans="1:11" hidden="1" x14ac:dyDescent="0.25">
      <c r="A252" s="1">
        <v>250</v>
      </c>
      <c r="B252" s="10">
        <v>44667</v>
      </c>
      <c r="C252" s="10">
        <v>44667</v>
      </c>
      <c r="D252" t="s">
        <v>255</v>
      </c>
      <c r="E252" s="11">
        <v>5.23</v>
      </c>
      <c r="F252" t="s">
        <v>30</v>
      </c>
      <c r="G252" t="s">
        <v>76</v>
      </c>
      <c r="H252" t="s">
        <v>233</v>
      </c>
      <c r="I252" t="s">
        <v>15</v>
      </c>
      <c r="J252" t="s">
        <v>42</v>
      </c>
      <c r="K252" s="57">
        <f>K251+dis_table[[#This Row],[Amount]]</f>
        <v>3030.2899999999986</v>
      </c>
    </row>
    <row r="253" spans="1:11" hidden="1" x14ac:dyDescent="0.25">
      <c r="A253" s="1">
        <v>251</v>
      </c>
      <c r="B253" s="10">
        <v>44667</v>
      </c>
      <c r="C253" s="10">
        <v>44667</v>
      </c>
      <c r="D253" t="s">
        <v>255</v>
      </c>
      <c r="E253" s="11">
        <v>9.6</v>
      </c>
      <c r="F253" t="s">
        <v>30</v>
      </c>
      <c r="G253" t="s">
        <v>76</v>
      </c>
      <c r="H253" t="s">
        <v>233</v>
      </c>
      <c r="I253" t="s">
        <v>15</v>
      </c>
      <c r="J253" t="s">
        <v>42</v>
      </c>
      <c r="K253" s="57">
        <f>K252+dis_table[[#This Row],[Amount]]</f>
        <v>3039.8899999999985</v>
      </c>
    </row>
    <row r="254" spans="1:11" hidden="1" x14ac:dyDescent="0.25">
      <c r="A254" s="1">
        <v>252</v>
      </c>
      <c r="B254" s="10">
        <v>44667</v>
      </c>
      <c r="C254" s="10">
        <v>44667</v>
      </c>
      <c r="D254" t="s">
        <v>255</v>
      </c>
      <c r="E254" s="11">
        <v>26.17</v>
      </c>
      <c r="F254" t="s">
        <v>30</v>
      </c>
      <c r="G254" t="s">
        <v>76</v>
      </c>
      <c r="H254" t="s">
        <v>233</v>
      </c>
      <c r="I254" t="s">
        <v>15</v>
      </c>
      <c r="J254" t="s">
        <v>42</v>
      </c>
      <c r="K254" s="57">
        <f>K253+dis_table[[#This Row],[Amount]]</f>
        <v>3066.0599999999986</v>
      </c>
    </row>
    <row r="255" spans="1:11" hidden="1" x14ac:dyDescent="0.25">
      <c r="A255" s="1">
        <v>253</v>
      </c>
      <c r="B255" s="10">
        <v>44667</v>
      </c>
      <c r="C255" s="10">
        <v>44667</v>
      </c>
      <c r="D255" t="s">
        <v>256</v>
      </c>
      <c r="E255" s="11">
        <v>4.26</v>
      </c>
      <c r="F255" t="s">
        <v>20</v>
      </c>
      <c r="G255" t="s">
        <v>80</v>
      </c>
      <c r="H255" t="s">
        <v>233</v>
      </c>
      <c r="I255" t="s">
        <v>15</v>
      </c>
      <c r="J255" t="s">
        <v>23</v>
      </c>
      <c r="K255" s="57">
        <f>K254+dis_table[[#This Row],[Amount]]</f>
        <v>3070.3199999999988</v>
      </c>
    </row>
    <row r="256" spans="1:11" hidden="1" x14ac:dyDescent="0.25">
      <c r="A256" s="1">
        <v>254</v>
      </c>
      <c r="B256" s="10">
        <v>44667</v>
      </c>
      <c r="C256" s="10">
        <v>44667</v>
      </c>
      <c r="D256" t="s">
        <v>255</v>
      </c>
      <c r="E256" s="11">
        <v>30.71</v>
      </c>
      <c r="F256" t="s">
        <v>30</v>
      </c>
      <c r="G256" t="s">
        <v>76</v>
      </c>
      <c r="H256" t="s">
        <v>233</v>
      </c>
      <c r="I256" t="s">
        <v>15</v>
      </c>
      <c r="J256" t="s">
        <v>42</v>
      </c>
      <c r="K256" s="57">
        <f>K255+dis_table[[#This Row],[Amount]]</f>
        <v>3101.0299999999988</v>
      </c>
    </row>
    <row r="257" spans="1:11" hidden="1" x14ac:dyDescent="0.25">
      <c r="A257" s="1">
        <v>255</v>
      </c>
      <c r="B257" s="10">
        <v>44667</v>
      </c>
      <c r="C257" s="10">
        <v>44667</v>
      </c>
      <c r="D257" t="s">
        <v>236</v>
      </c>
      <c r="E257" s="11">
        <v>4.5999999999999996</v>
      </c>
      <c r="F257" t="s">
        <v>30</v>
      </c>
      <c r="G257" t="s">
        <v>76</v>
      </c>
      <c r="H257" t="s">
        <v>233</v>
      </c>
      <c r="I257" t="s">
        <v>15</v>
      </c>
      <c r="J257" t="s">
        <v>42</v>
      </c>
      <c r="K257" s="57">
        <f>K256+dis_table[[#This Row],[Amount]]</f>
        <v>3105.6299999999987</v>
      </c>
    </row>
    <row r="258" spans="1:11" hidden="1" x14ac:dyDescent="0.25">
      <c r="A258" s="1">
        <v>256</v>
      </c>
      <c r="B258" s="10">
        <v>44667</v>
      </c>
      <c r="C258" s="10">
        <v>44667</v>
      </c>
      <c r="D258" t="s">
        <v>255</v>
      </c>
      <c r="E258" s="11">
        <v>38.43</v>
      </c>
      <c r="F258" t="s">
        <v>30</v>
      </c>
      <c r="G258" t="s">
        <v>76</v>
      </c>
      <c r="H258" t="s">
        <v>233</v>
      </c>
      <c r="I258" t="s">
        <v>15</v>
      </c>
      <c r="J258" t="s">
        <v>42</v>
      </c>
      <c r="K258" s="57">
        <f>K257+dis_table[[#This Row],[Amount]]</f>
        <v>3144.0599999999986</v>
      </c>
    </row>
    <row r="259" spans="1:11" hidden="1" x14ac:dyDescent="0.25">
      <c r="A259" s="1">
        <v>257</v>
      </c>
      <c r="B259" s="10">
        <v>44667</v>
      </c>
      <c r="C259" s="10">
        <v>44667</v>
      </c>
      <c r="D259" t="s">
        <v>237</v>
      </c>
      <c r="E259" s="11">
        <v>33.56</v>
      </c>
      <c r="F259" t="s">
        <v>30</v>
      </c>
      <c r="G259" t="s">
        <v>76</v>
      </c>
      <c r="H259" t="s">
        <v>233</v>
      </c>
      <c r="I259" t="s">
        <v>15</v>
      </c>
      <c r="J259" t="s">
        <v>42</v>
      </c>
      <c r="K259" s="57">
        <f>K258+dis_table[[#This Row],[Amount]]</f>
        <v>3177.6199999999985</v>
      </c>
    </row>
    <row r="260" spans="1:11" hidden="1" x14ac:dyDescent="0.25">
      <c r="A260" s="1">
        <v>258</v>
      </c>
      <c r="B260" s="10">
        <v>44668</v>
      </c>
      <c r="C260" s="10">
        <v>44668</v>
      </c>
      <c r="D260" t="s">
        <v>64</v>
      </c>
      <c r="E260" s="11">
        <v>70</v>
      </c>
      <c r="F260" t="s">
        <v>20</v>
      </c>
      <c r="G260" t="s">
        <v>65</v>
      </c>
      <c r="H260" t="s">
        <v>233</v>
      </c>
      <c r="I260" t="s">
        <v>22</v>
      </c>
      <c r="J260" t="s">
        <v>66</v>
      </c>
      <c r="K260" s="57">
        <f>K259+dis_table[[#This Row],[Amount]]</f>
        <v>3247.6199999999985</v>
      </c>
    </row>
    <row r="261" spans="1:11" hidden="1" x14ac:dyDescent="0.25">
      <c r="A261" s="1">
        <v>259</v>
      </c>
      <c r="B261" s="10">
        <v>44668</v>
      </c>
      <c r="C261" s="10">
        <v>44668</v>
      </c>
      <c r="D261" t="s">
        <v>257</v>
      </c>
      <c r="E261" s="11">
        <v>19.86</v>
      </c>
      <c r="F261" t="s">
        <v>12</v>
      </c>
      <c r="G261" t="s">
        <v>13</v>
      </c>
      <c r="H261" t="s">
        <v>233</v>
      </c>
      <c r="I261" t="s">
        <v>15</v>
      </c>
      <c r="J261" t="s">
        <v>16</v>
      </c>
      <c r="K261" s="57">
        <f>K260+dis_table[[#This Row],[Amount]]</f>
        <v>3267.4799999999987</v>
      </c>
    </row>
    <row r="262" spans="1:11" hidden="1" x14ac:dyDescent="0.25">
      <c r="A262" s="1">
        <v>260</v>
      </c>
      <c r="B262" s="10">
        <v>44668</v>
      </c>
      <c r="C262" s="10">
        <v>44668</v>
      </c>
      <c r="D262" t="s">
        <v>258</v>
      </c>
      <c r="E262" s="11">
        <v>5.22</v>
      </c>
      <c r="F262" t="s">
        <v>12</v>
      </c>
      <c r="G262" t="s">
        <v>76</v>
      </c>
      <c r="H262" t="s">
        <v>233</v>
      </c>
      <c r="I262" t="s">
        <v>15</v>
      </c>
      <c r="J262" t="s">
        <v>42</v>
      </c>
      <c r="K262" s="57">
        <f>K261+dis_table[[#This Row],[Amount]]</f>
        <v>3272.6999999999985</v>
      </c>
    </row>
    <row r="263" spans="1:11" hidden="1" x14ac:dyDescent="0.25">
      <c r="A263" s="1">
        <v>261</v>
      </c>
      <c r="B263" s="10">
        <v>44668</v>
      </c>
      <c r="C263" s="10">
        <v>44668</v>
      </c>
      <c r="D263" t="s">
        <v>258</v>
      </c>
      <c r="E263" s="11">
        <v>35.25</v>
      </c>
      <c r="F263" t="s">
        <v>12</v>
      </c>
      <c r="G263" t="s">
        <v>76</v>
      </c>
      <c r="H263" t="s">
        <v>233</v>
      </c>
      <c r="I263" t="s">
        <v>15</v>
      </c>
      <c r="J263" t="s">
        <v>42</v>
      </c>
      <c r="K263" s="57">
        <f>K262+dis_table[[#This Row],[Amount]]</f>
        <v>3307.9499999999985</v>
      </c>
    </row>
    <row r="264" spans="1:11" hidden="1" x14ac:dyDescent="0.25">
      <c r="A264" s="1">
        <v>262</v>
      </c>
      <c r="B264" s="10">
        <v>44668</v>
      </c>
      <c r="C264" s="10">
        <v>44668</v>
      </c>
      <c r="D264" t="s">
        <v>259</v>
      </c>
      <c r="E264" s="11">
        <v>100</v>
      </c>
      <c r="F264" t="s">
        <v>20</v>
      </c>
      <c r="G264" t="s">
        <v>228</v>
      </c>
      <c r="H264" t="s">
        <v>233</v>
      </c>
      <c r="I264" t="s">
        <v>15</v>
      </c>
      <c r="J264" t="s">
        <v>23</v>
      </c>
      <c r="K264" s="57">
        <f>K263+dis_table[[#This Row],[Amount]]</f>
        <v>3407.9499999999985</v>
      </c>
    </row>
    <row r="265" spans="1:11" hidden="1" x14ac:dyDescent="0.25">
      <c r="A265" s="1">
        <v>263</v>
      </c>
      <c r="B265" s="10">
        <v>44668</v>
      </c>
      <c r="C265" s="10">
        <v>44668</v>
      </c>
      <c r="D265" t="s">
        <v>260</v>
      </c>
      <c r="E265" s="11">
        <v>30</v>
      </c>
      <c r="F265" t="s">
        <v>12</v>
      </c>
      <c r="G265" t="s">
        <v>13</v>
      </c>
      <c r="H265" t="s">
        <v>233</v>
      </c>
      <c r="I265" t="s">
        <v>15</v>
      </c>
      <c r="J265" t="s">
        <v>16</v>
      </c>
      <c r="K265" s="57">
        <f>K264+dis_table[[#This Row],[Amount]]</f>
        <v>3437.9499999999985</v>
      </c>
    </row>
    <row r="266" spans="1:11" hidden="1" x14ac:dyDescent="0.25">
      <c r="A266" s="1">
        <v>264</v>
      </c>
      <c r="B266" s="10">
        <v>44668</v>
      </c>
      <c r="C266" s="10">
        <v>44668</v>
      </c>
      <c r="D266" t="s">
        <v>261</v>
      </c>
      <c r="E266" s="11">
        <v>10</v>
      </c>
      <c r="F266" t="s">
        <v>20</v>
      </c>
      <c r="G266" t="s">
        <v>228</v>
      </c>
      <c r="H266" t="s">
        <v>233</v>
      </c>
      <c r="I266" t="s">
        <v>15</v>
      </c>
      <c r="J266" t="s">
        <v>23</v>
      </c>
      <c r="K266" s="57">
        <f>K265+dis_table[[#This Row],[Amount]]</f>
        <v>3447.9499999999985</v>
      </c>
    </row>
    <row r="267" spans="1:11" hidden="1" x14ac:dyDescent="0.25">
      <c r="A267" s="1">
        <v>265</v>
      </c>
      <c r="B267" s="10">
        <v>44668</v>
      </c>
      <c r="C267" s="10">
        <v>44668</v>
      </c>
      <c r="D267" t="s">
        <v>255</v>
      </c>
      <c r="E267" s="11">
        <v>5.03</v>
      </c>
      <c r="F267" t="s">
        <v>30</v>
      </c>
      <c r="G267" t="s">
        <v>76</v>
      </c>
      <c r="H267" t="s">
        <v>233</v>
      </c>
      <c r="I267" t="s">
        <v>15</v>
      </c>
      <c r="J267" t="s">
        <v>42</v>
      </c>
      <c r="K267" s="57">
        <f>K266+dis_table[[#This Row],[Amount]]</f>
        <v>3452.9799999999987</v>
      </c>
    </row>
    <row r="268" spans="1:11" hidden="1" x14ac:dyDescent="0.25">
      <c r="A268" s="1">
        <v>266</v>
      </c>
      <c r="B268" s="10">
        <v>44669</v>
      </c>
      <c r="C268" s="10">
        <v>44669</v>
      </c>
      <c r="D268" t="s">
        <v>262</v>
      </c>
      <c r="E268" s="11">
        <v>5.29</v>
      </c>
      <c r="F268" t="s">
        <v>20</v>
      </c>
      <c r="G268" t="s">
        <v>68</v>
      </c>
      <c r="H268" t="s">
        <v>233</v>
      </c>
      <c r="I268" t="s">
        <v>22</v>
      </c>
      <c r="J268" t="s">
        <v>23</v>
      </c>
      <c r="K268" s="57">
        <f>K267+dis_table[[#This Row],[Amount]]</f>
        <v>3458.2699999999986</v>
      </c>
    </row>
    <row r="269" spans="1:11" hidden="1" x14ac:dyDescent="0.25">
      <c r="A269" s="1">
        <v>267</v>
      </c>
      <c r="B269" s="10">
        <v>44669</v>
      </c>
      <c r="C269" s="10">
        <v>44669</v>
      </c>
      <c r="D269" t="s">
        <v>263</v>
      </c>
      <c r="E269" s="11">
        <v>47.34</v>
      </c>
      <c r="F269" t="s">
        <v>20</v>
      </c>
      <c r="G269" t="s">
        <v>72</v>
      </c>
      <c r="H269" t="s">
        <v>233</v>
      </c>
      <c r="I269" t="s">
        <v>15</v>
      </c>
      <c r="J269" t="s">
        <v>32</v>
      </c>
      <c r="K269" s="57">
        <f>K268+dis_table[[#This Row],[Amount]]</f>
        <v>3505.6099999999988</v>
      </c>
    </row>
    <row r="270" spans="1:11" hidden="1" x14ac:dyDescent="0.25">
      <c r="A270" s="1">
        <v>268</v>
      </c>
      <c r="B270" s="10">
        <v>44670</v>
      </c>
      <c r="C270" s="10">
        <v>44670</v>
      </c>
      <c r="D270" t="s">
        <v>264</v>
      </c>
      <c r="E270" s="11">
        <v>47.46</v>
      </c>
      <c r="F270" t="s">
        <v>53</v>
      </c>
      <c r="G270" t="s">
        <v>54</v>
      </c>
      <c r="H270" t="s">
        <v>233</v>
      </c>
      <c r="I270" t="s">
        <v>15</v>
      </c>
      <c r="J270" t="s">
        <v>16</v>
      </c>
      <c r="K270" s="57">
        <f>K269+dis_table[[#This Row],[Amount]]</f>
        <v>3553.0699999999988</v>
      </c>
    </row>
    <row r="271" spans="1:11" hidden="1" x14ac:dyDescent="0.25">
      <c r="A271" s="1">
        <v>269</v>
      </c>
      <c r="B271" s="10">
        <v>44671</v>
      </c>
      <c r="C271" s="10">
        <v>44671</v>
      </c>
      <c r="D271" t="s">
        <v>265</v>
      </c>
      <c r="E271" s="11">
        <v>70.58</v>
      </c>
      <c r="F271" t="s">
        <v>20</v>
      </c>
      <c r="G271" t="s">
        <v>130</v>
      </c>
      <c r="H271" t="s">
        <v>233</v>
      </c>
      <c r="I271" t="s">
        <v>22</v>
      </c>
      <c r="J271" t="s">
        <v>23</v>
      </c>
      <c r="K271" s="57">
        <f>K270+dis_table[[#This Row],[Amount]]</f>
        <v>3623.6499999999987</v>
      </c>
    </row>
    <row r="272" spans="1:11" hidden="1" x14ac:dyDescent="0.25">
      <c r="A272" s="1">
        <v>270</v>
      </c>
      <c r="B272" s="10">
        <v>44672</v>
      </c>
      <c r="C272" s="10">
        <v>44672</v>
      </c>
      <c r="D272" t="s">
        <v>104</v>
      </c>
      <c r="E272" s="11">
        <v>51.25</v>
      </c>
      <c r="F272" t="s">
        <v>53</v>
      </c>
      <c r="G272" t="s">
        <v>54</v>
      </c>
      <c r="H272" t="s">
        <v>233</v>
      </c>
      <c r="I272" t="s">
        <v>15</v>
      </c>
      <c r="J272" t="s">
        <v>16</v>
      </c>
      <c r="K272" s="57">
        <f>K271+dis_table[[#This Row],[Amount]]</f>
        <v>3674.8999999999987</v>
      </c>
    </row>
    <row r="273" spans="1:11" hidden="1" x14ac:dyDescent="0.25">
      <c r="A273" s="1">
        <v>271</v>
      </c>
      <c r="B273" s="10">
        <v>44673</v>
      </c>
      <c r="C273" s="10">
        <v>44673</v>
      </c>
      <c r="D273" t="s">
        <v>266</v>
      </c>
      <c r="E273" s="11">
        <v>19.260000000000002</v>
      </c>
      <c r="F273" t="s">
        <v>20</v>
      </c>
      <c r="G273" t="s">
        <v>34</v>
      </c>
      <c r="H273" t="s">
        <v>233</v>
      </c>
      <c r="I273" t="s">
        <v>15</v>
      </c>
      <c r="J273" t="s">
        <v>32</v>
      </c>
      <c r="K273" s="57">
        <f>K272+dis_table[[#This Row],[Amount]]</f>
        <v>3694.1599999999989</v>
      </c>
    </row>
    <row r="274" spans="1:11" hidden="1" x14ac:dyDescent="0.25">
      <c r="A274" s="1">
        <v>272</v>
      </c>
      <c r="B274" s="10">
        <v>44673</v>
      </c>
      <c r="C274" s="10">
        <v>44673</v>
      </c>
      <c r="D274" t="s">
        <v>104</v>
      </c>
      <c r="E274" s="11">
        <v>33.549999999999997</v>
      </c>
      <c r="F274" t="s">
        <v>53</v>
      </c>
      <c r="G274" t="s">
        <v>54</v>
      </c>
      <c r="H274" t="s">
        <v>233</v>
      </c>
      <c r="I274" t="s">
        <v>15</v>
      </c>
      <c r="J274" t="s">
        <v>16</v>
      </c>
      <c r="K274" s="57">
        <f>K273+dis_table[[#This Row],[Amount]]</f>
        <v>3727.7099999999991</v>
      </c>
    </row>
    <row r="275" spans="1:11" hidden="1" x14ac:dyDescent="0.25">
      <c r="A275" s="1">
        <v>273</v>
      </c>
      <c r="B275" s="10">
        <v>44674</v>
      </c>
      <c r="C275" s="10">
        <v>44674</v>
      </c>
      <c r="D275" t="s">
        <v>267</v>
      </c>
      <c r="E275" s="11">
        <v>8</v>
      </c>
      <c r="F275" t="s">
        <v>30</v>
      </c>
      <c r="G275" t="s">
        <v>59</v>
      </c>
      <c r="H275" t="s">
        <v>233</v>
      </c>
      <c r="I275" t="s">
        <v>15</v>
      </c>
      <c r="J275" t="s">
        <v>60</v>
      </c>
      <c r="K275" s="57">
        <f>K274+dis_table[[#This Row],[Amount]]</f>
        <v>3735.7099999999991</v>
      </c>
    </row>
    <row r="276" spans="1:11" hidden="1" x14ac:dyDescent="0.25">
      <c r="A276" s="1">
        <v>274</v>
      </c>
      <c r="B276" s="10">
        <v>44674</v>
      </c>
      <c r="C276" s="10">
        <v>44674</v>
      </c>
      <c r="D276" t="s">
        <v>255</v>
      </c>
      <c r="E276" s="11">
        <v>17.690000000000001</v>
      </c>
      <c r="F276" t="s">
        <v>30</v>
      </c>
      <c r="G276" t="s">
        <v>76</v>
      </c>
      <c r="H276" t="s">
        <v>233</v>
      </c>
      <c r="I276" t="s">
        <v>15</v>
      </c>
      <c r="J276" t="s">
        <v>42</v>
      </c>
      <c r="K276" s="57">
        <f>K275+dis_table[[#This Row],[Amount]]</f>
        <v>3753.3999999999992</v>
      </c>
    </row>
    <row r="277" spans="1:11" hidden="1" x14ac:dyDescent="0.25">
      <c r="A277" s="1">
        <v>275</v>
      </c>
      <c r="B277" s="10">
        <v>44674</v>
      </c>
      <c r="C277" s="10">
        <v>44674</v>
      </c>
      <c r="D277" t="s">
        <v>237</v>
      </c>
      <c r="E277" s="11">
        <v>8.6199999999999992</v>
      </c>
      <c r="F277" t="s">
        <v>30</v>
      </c>
      <c r="G277" t="s">
        <v>76</v>
      </c>
      <c r="H277" t="s">
        <v>233</v>
      </c>
      <c r="I277" t="s">
        <v>15</v>
      </c>
      <c r="J277" t="s">
        <v>42</v>
      </c>
      <c r="K277" s="57">
        <f>K276+dis_table[[#This Row],[Amount]]</f>
        <v>3762.0199999999991</v>
      </c>
    </row>
    <row r="278" spans="1:11" hidden="1" x14ac:dyDescent="0.25">
      <c r="A278" s="1">
        <v>276</v>
      </c>
      <c r="B278" s="10">
        <v>44675</v>
      </c>
      <c r="C278" s="10">
        <v>44675</v>
      </c>
      <c r="D278" t="s">
        <v>256</v>
      </c>
      <c r="E278" s="11">
        <v>10.62</v>
      </c>
      <c r="F278" t="s">
        <v>20</v>
      </c>
      <c r="G278" t="s">
        <v>80</v>
      </c>
      <c r="H278" t="s">
        <v>233</v>
      </c>
      <c r="I278" t="s">
        <v>15</v>
      </c>
      <c r="J278" t="s">
        <v>23</v>
      </c>
      <c r="K278" s="57">
        <f>K277+dis_table[[#This Row],[Amount]]</f>
        <v>3772.639999999999</v>
      </c>
    </row>
    <row r="279" spans="1:11" hidden="1" x14ac:dyDescent="0.25">
      <c r="A279" s="1">
        <v>277</v>
      </c>
      <c r="B279" s="10">
        <v>44675</v>
      </c>
      <c r="C279" s="10">
        <v>44675</v>
      </c>
      <c r="D279" t="s">
        <v>256</v>
      </c>
      <c r="E279" s="11">
        <v>7.43</v>
      </c>
      <c r="F279" t="s">
        <v>20</v>
      </c>
      <c r="G279" t="s">
        <v>80</v>
      </c>
      <c r="H279" t="s">
        <v>233</v>
      </c>
      <c r="I279" t="s">
        <v>15</v>
      </c>
      <c r="J279" t="s">
        <v>23</v>
      </c>
      <c r="K279" s="57">
        <f>K278+dis_table[[#This Row],[Amount]]</f>
        <v>3780.0699999999988</v>
      </c>
    </row>
    <row r="280" spans="1:11" hidden="1" x14ac:dyDescent="0.25">
      <c r="A280" s="1">
        <v>278</v>
      </c>
      <c r="B280" s="10">
        <v>44675</v>
      </c>
      <c r="C280" s="10">
        <v>44675</v>
      </c>
      <c r="D280" t="s">
        <v>268</v>
      </c>
      <c r="E280" s="11">
        <v>10.62</v>
      </c>
      <c r="F280" t="s">
        <v>20</v>
      </c>
      <c r="G280" t="s">
        <v>80</v>
      </c>
      <c r="H280" t="s">
        <v>233</v>
      </c>
      <c r="I280" t="s">
        <v>15</v>
      </c>
      <c r="J280" t="s">
        <v>23</v>
      </c>
      <c r="K280" s="57">
        <f>K279+dis_table[[#This Row],[Amount]]</f>
        <v>3790.6899999999987</v>
      </c>
    </row>
    <row r="281" spans="1:11" hidden="1" x14ac:dyDescent="0.25">
      <c r="A281" s="1">
        <v>279</v>
      </c>
      <c r="B281" s="10">
        <v>44676</v>
      </c>
      <c r="C281" s="10">
        <v>44676</v>
      </c>
      <c r="D281" t="s">
        <v>11</v>
      </c>
      <c r="E281" s="11">
        <v>12.57</v>
      </c>
      <c r="F281" t="s">
        <v>12</v>
      </c>
      <c r="G281" t="s">
        <v>13</v>
      </c>
      <c r="H281" t="s">
        <v>233</v>
      </c>
      <c r="I281" t="s">
        <v>15</v>
      </c>
      <c r="J281" t="s">
        <v>16</v>
      </c>
      <c r="K281" s="57">
        <f>K280+dis_table[[#This Row],[Amount]]</f>
        <v>3803.2599999999989</v>
      </c>
    </row>
    <row r="282" spans="1:11" hidden="1" x14ac:dyDescent="0.25">
      <c r="A282" s="1">
        <v>280</v>
      </c>
      <c r="B282" s="10">
        <v>44676</v>
      </c>
      <c r="C282" s="10">
        <v>44676</v>
      </c>
      <c r="D282" t="s">
        <v>269</v>
      </c>
      <c r="E282" s="11">
        <v>24</v>
      </c>
      <c r="F282" t="s">
        <v>30</v>
      </c>
      <c r="G282" t="s">
        <v>270</v>
      </c>
      <c r="H282" t="s">
        <v>233</v>
      </c>
      <c r="I282" t="s">
        <v>15</v>
      </c>
      <c r="J282" t="s">
        <v>23</v>
      </c>
      <c r="K282" s="57">
        <f>K281+dis_table[[#This Row],[Amount]]</f>
        <v>3827.2599999999989</v>
      </c>
    </row>
    <row r="283" spans="1:11" hidden="1" x14ac:dyDescent="0.25">
      <c r="A283" s="1">
        <v>281</v>
      </c>
      <c r="B283" s="10">
        <v>44676</v>
      </c>
      <c r="C283" s="10">
        <v>44676</v>
      </c>
      <c r="D283" t="s">
        <v>271</v>
      </c>
      <c r="E283" s="11">
        <v>32.57</v>
      </c>
      <c r="F283" t="s">
        <v>20</v>
      </c>
      <c r="G283" t="s">
        <v>270</v>
      </c>
      <c r="H283" t="s">
        <v>233</v>
      </c>
      <c r="I283" t="s">
        <v>15</v>
      </c>
      <c r="J283" t="s">
        <v>23</v>
      </c>
      <c r="K283" s="57">
        <f>K282+dis_table[[#This Row],[Amount]]</f>
        <v>3859.829999999999</v>
      </c>
    </row>
    <row r="284" spans="1:11" hidden="1" x14ac:dyDescent="0.25">
      <c r="A284" s="1">
        <v>282</v>
      </c>
      <c r="B284" s="10">
        <v>44676</v>
      </c>
      <c r="C284" s="10">
        <v>44676</v>
      </c>
      <c r="D284" t="s">
        <v>272</v>
      </c>
      <c r="E284" s="11">
        <v>20.59</v>
      </c>
      <c r="F284" t="s">
        <v>12</v>
      </c>
      <c r="G284" t="s">
        <v>18</v>
      </c>
      <c r="H284" t="s">
        <v>233</v>
      </c>
      <c r="I284" t="s">
        <v>15</v>
      </c>
      <c r="J284" t="s">
        <v>16</v>
      </c>
      <c r="K284" s="57">
        <f>K283+dis_table[[#This Row],[Amount]]</f>
        <v>3880.4199999999992</v>
      </c>
    </row>
    <row r="285" spans="1:11" hidden="1" x14ac:dyDescent="0.25">
      <c r="A285" s="1">
        <v>283</v>
      </c>
      <c r="B285" s="10">
        <v>44676</v>
      </c>
      <c r="C285" s="10">
        <v>44676</v>
      </c>
      <c r="D285" t="s">
        <v>272</v>
      </c>
      <c r="E285" s="11">
        <v>15.19</v>
      </c>
      <c r="F285" t="s">
        <v>12</v>
      </c>
      <c r="G285" t="s">
        <v>18</v>
      </c>
      <c r="H285" t="s">
        <v>233</v>
      </c>
      <c r="I285" t="s">
        <v>15</v>
      </c>
      <c r="J285" t="s">
        <v>16</v>
      </c>
      <c r="K285" s="57">
        <f>K284+dis_table[[#This Row],[Amount]]</f>
        <v>3895.6099999999992</v>
      </c>
    </row>
    <row r="286" spans="1:11" hidden="1" x14ac:dyDescent="0.25">
      <c r="A286" s="1">
        <v>284</v>
      </c>
      <c r="B286" s="10">
        <v>44676</v>
      </c>
      <c r="C286" s="10">
        <v>44676</v>
      </c>
      <c r="D286" t="s">
        <v>104</v>
      </c>
      <c r="E286" s="11">
        <v>30.36</v>
      </c>
      <c r="F286" t="s">
        <v>53</v>
      </c>
      <c r="G286" t="s">
        <v>54</v>
      </c>
      <c r="H286" t="s">
        <v>233</v>
      </c>
      <c r="I286" t="s">
        <v>15</v>
      </c>
      <c r="J286" t="s">
        <v>16</v>
      </c>
      <c r="K286" s="57">
        <f>K285+dis_table[[#This Row],[Amount]]</f>
        <v>3925.9699999999993</v>
      </c>
    </row>
    <row r="287" spans="1:11" hidden="1" x14ac:dyDescent="0.25">
      <c r="A287" s="1">
        <v>285</v>
      </c>
      <c r="B287" s="10">
        <v>44677</v>
      </c>
      <c r="C287" s="10">
        <v>44677</v>
      </c>
      <c r="D287" t="s">
        <v>268</v>
      </c>
      <c r="E287" s="11">
        <v>7.43</v>
      </c>
      <c r="F287" t="s">
        <v>20</v>
      </c>
      <c r="G287" t="s">
        <v>80</v>
      </c>
      <c r="H287" t="s">
        <v>233</v>
      </c>
      <c r="I287" t="s">
        <v>15</v>
      </c>
      <c r="J287" t="s">
        <v>23</v>
      </c>
      <c r="K287" s="57">
        <f>K286+dis_table[[#This Row],[Amount]]</f>
        <v>3933.3999999999992</v>
      </c>
    </row>
    <row r="288" spans="1:11" hidden="1" x14ac:dyDescent="0.25">
      <c r="A288" s="1">
        <v>286</v>
      </c>
      <c r="B288" s="10">
        <v>44677</v>
      </c>
      <c r="C288" s="10">
        <v>44677</v>
      </c>
      <c r="D288" t="s">
        <v>186</v>
      </c>
      <c r="E288" s="11">
        <v>20.96</v>
      </c>
      <c r="F288" t="s">
        <v>30</v>
      </c>
      <c r="G288" t="s">
        <v>187</v>
      </c>
      <c r="H288" t="s">
        <v>233</v>
      </c>
      <c r="I288" t="s">
        <v>15</v>
      </c>
      <c r="J288" t="s">
        <v>23</v>
      </c>
      <c r="K288" s="57">
        <f>K287+dis_table[[#This Row],[Amount]]</f>
        <v>3954.3599999999992</v>
      </c>
    </row>
    <row r="289" spans="1:11" hidden="1" x14ac:dyDescent="0.25">
      <c r="A289" s="1">
        <v>287</v>
      </c>
      <c r="B289" s="10">
        <v>44677</v>
      </c>
      <c r="C289" s="10">
        <v>44677</v>
      </c>
      <c r="D289" t="s">
        <v>180</v>
      </c>
      <c r="E289" s="11">
        <v>6.23</v>
      </c>
      <c r="F289" t="s">
        <v>12</v>
      </c>
      <c r="G289" t="s">
        <v>13</v>
      </c>
      <c r="H289" t="s">
        <v>233</v>
      </c>
      <c r="I289" t="s">
        <v>15</v>
      </c>
      <c r="J289" t="s">
        <v>16</v>
      </c>
      <c r="K289" s="57">
        <f>K288+dis_table[[#This Row],[Amount]]</f>
        <v>3960.5899999999992</v>
      </c>
    </row>
    <row r="290" spans="1:11" hidden="1" x14ac:dyDescent="0.25">
      <c r="A290" s="1">
        <v>288</v>
      </c>
      <c r="B290" s="10">
        <v>44677</v>
      </c>
      <c r="C290" s="10">
        <v>44677</v>
      </c>
      <c r="D290" t="s">
        <v>273</v>
      </c>
      <c r="E290" s="11">
        <v>3.59</v>
      </c>
      <c r="F290" t="s">
        <v>40</v>
      </c>
      <c r="G290" t="s">
        <v>41</v>
      </c>
      <c r="H290" t="s">
        <v>233</v>
      </c>
      <c r="I290" t="s">
        <v>15</v>
      </c>
      <c r="J290" t="s">
        <v>42</v>
      </c>
      <c r="K290" s="57">
        <f>K289+dis_table[[#This Row],[Amount]]</f>
        <v>3964.1799999999994</v>
      </c>
    </row>
    <row r="291" spans="1:11" hidden="1" x14ac:dyDescent="0.25">
      <c r="A291" s="1">
        <v>289</v>
      </c>
      <c r="B291" s="10">
        <v>44678</v>
      </c>
      <c r="C291" s="10">
        <v>44678</v>
      </c>
      <c r="D291" t="s">
        <v>123</v>
      </c>
      <c r="E291" s="11">
        <v>27.84</v>
      </c>
      <c r="F291" t="s">
        <v>12</v>
      </c>
      <c r="G291" t="s">
        <v>13</v>
      </c>
      <c r="H291" t="s">
        <v>233</v>
      </c>
      <c r="I291" t="s">
        <v>15</v>
      </c>
      <c r="J291" t="s">
        <v>16</v>
      </c>
      <c r="K291" s="57">
        <f>K290+dis_table[[#This Row],[Amount]]</f>
        <v>3992.0199999999995</v>
      </c>
    </row>
    <row r="292" spans="1:11" hidden="1" x14ac:dyDescent="0.25">
      <c r="A292" s="1">
        <v>290</v>
      </c>
      <c r="B292" s="10">
        <v>44678</v>
      </c>
      <c r="C292" s="10">
        <v>44678</v>
      </c>
      <c r="D292" t="s">
        <v>274</v>
      </c>
      <c r="E292" s="11">
        <v>50</v>
      </c>
      <c r="F292" t="s">
        <v>12</v>
      </c>
      <c r="G292" t="s">
        <v>18</v>
      </c>
      <c r="H292" t="s">
        <v>233</v>
      </c>
      <c r="I292" t="s">
        <v>15</v>
      </c>
      <c r="J292" t="s">
        <v>16</v>
      </c>
      <c r="K292" s="57">
        <f>K291+dis_table[[#This Row],[Amount]]</f>
        <v>4042.0199999999995</v>
      </c>
    </row>
    <row r="293" spans="1:11" hidden="1" x14ac:dyDescent="0.25">
      <c r="A293" s="1">
        <v>291</v>
      </c>
      <c r="B293" s="10">
        <v>44678</v>
      </c>
      <c r="C293" s="10">
        <v>44678</v>
      </c>
      <c r="D293" t="s">
        <v>190</v>
      </c>
      <c r="E293" s="11">
        <v>30</v>
      </c>
      <c r="F293" t="s">
        <v>30</v>
      </c>
      <c r="G293" t="s">
        <v>187</v>
      </c>
      <c r="H293" t="s">
        <v>233</v>
      </c>
      <c r="I293" t="s">
        <v>15</v>
      </c>
      <c r="J293" t="s">
        <v>23</v>
      </c>
      <c r="K293" s="57">
        <f>K292+dis_table[[#This Row],[Amount]]</f>
        <v>4072.0199999999995</v>
      </c>
    </row>
    <row r="294" spans="1:11" hidden="1" x14ac:dyDescent="0.25">
      <c r="A294" s="1">
        <v>292</v>
      </c>
      <c r="B294" s="10">
        <v>44679</v>
      </c>
      <c r="C294" s="10">
        <v>44679</v>
      </c>
      <c r="D294" t="s">
        <v>275</v>
      </c>
      <c r="E294" s="11">
        <v>16.28</v>
      </c>
      <c r="F294" t="s">
        <v>12</v>
      </c>
      <c r="G294" t="s">
        <v>18</v>
      </c>
      <c r="H294" t="s">
        <v>233</v>
      </c>
      <c r="I294" t="s">
        <v>15</v>
      </c>
      <c r="J294" t="s">
        <v>16</v>
      </c>
      <c r="K294" s="57">
        <f>K293+dis_table[[#This Row],[Amount]]</f>
        <v>4088.2999999999997</v>
      </c>
    </row>
    <row r="295" spans="1:11" hidden="1" x14ac:dyDescent="0.25">
      <c r="A295" s="1">
        <v>293</v>
      </c>
      <c r="B295" s="10">
        <v>44680</v>
      </c>
      <c r="C295" s="10">
        <v>44680</v>
      </c>
      <c r="D295" t="s">
        <v>104</v>
      </c>
      <c r="E295" s="11">
        <v>69</v>
      </c>
      <c r="F295" t="s">
        <v>53</v>
      </c>
      <c r="G295" t="s">
        <v>54</v>
      </c>
      <c r="H295" t="s">
        <v>233</v>
      </c>
      <c r="I295" t="s">
        <v>15</v>
      </c>
      <c r="J295" t="s">
        <v>16</v>
      </c>
      <c r="K295" s="57">
        <f>K294+dis_table[[#This Row],[Amount]]</f>
        <v>4157.2999999999993</v>
      </c>
    </row>
    <row r="296" spans="1:11" hidden="1" x14ac:dyDescent="0.25">
      <c r="A296" s="1">
        <v>294</v>
      </c>
      <c r="B296" s="10">
        <v>44681</v>
      </c>
      <c r="C296" s="10">
        <v>44681</v>
      </c>
      <c r="D296" t="s">
        <v>276</v>
      </c>
      <c r="E296" s="11">
        <v>43.43</v>
      </c>
      <c r="F296" t="s">
        <v>20</v>
      </c>
      <c r="G296" t="s">
        <v>277</v>
      </c>
      <c r="H296" t="s">
        <v>233</v>
      </c>
      <c r="I296" t="s">
        <v>15</v>
      </c>
      <c r="J296" t="s">
        <v>32</v>
      </c>
      <c r="K296" s="57">
        <f>K295+dis_table[[#This Row],[Amount]]</f>
        <v>4200.7299999999996</v>
      </c>
    </row>
    <row r="297" spans="1:11" hidden="1" x14ac:dyDescent="0.25">
      <c r="A297" s="1">
        <v>295</v>
      </c>
      <c r="B297" s="10">
        <v>44682</v>
      </c>
      <c r="C297" s="10">
        <v>44682</v>
      </c>
      <c r="D297" t="s">
        <v>288</v>
      </c>
      <c r="E297" s="11">
        <v>45.67</v>
      </c>
      <c r="F297" t="s">
        <v>30</v>
      </c>
      <c r="G297" t="s">
        <v>289</v>
      </c>
      <c r="H297" t="s">
        <v>290</v>
      </c>
      <c r="I297" t="s">
        <v>15</v>
      </c>
      <c r="J297" t="s">
        <v>23</v>
      </c>
      <c r="K297" s="57">
        <f>K296+dis_table[[#This Row],[Amount]]</f>
        <v>4246.3999999999996</v>
      </c>
    </row>
    <row r="298" spans="1:11" hidden="1" x14ac:dyDescent="0.25">
      <c r="A298" s="1">
        <v>296</v>
      </c>
      <c r="B298" s="10">
        <v>44682</v>
      </c>
      <c r="C298" s="10">
        <v>44682</v>
      </c>
      <c r="D298" t="s">
        <v>291</v>
      </c>
      <c r="E298" s="11">
        <v>20.79</v>
      </c>
      <c r="F298" t="s">
        <v>12</v>
      </c>
      <c r="G298" t="s">
        <v>13</v>
      </c>
      <c r="H298" t="s">
        <v>290</v>
      </c>
      <c r="I298" t="s">
        <v>15</v>
      </c>
      <c r="J298" t="s">
        <v>16</v>
      </c>
      <c r="K298" s="57">
        <f>K297+dis_table[[#This Row],[Amount]]</f>
        <v>4267.1899999999996</v>
      </c>
    </row>
    <row r="299" spans="1:11" hidden="1" x14ac:dyDescent="0.25">
      <c r="A299" s="1">
        <v>297</v>
      </c>
      <c r="B299" s="10">
        <v>44683</v>
      </c>
      <c r="C299" s="10">
        <v>44683</v>
      </c>
      <c r="D299" t="s">
        <v>319</v>
      </c>
      <c r="E299" s="11">
        <v>50.48</v>
      </c>
      <c r="F299" t="s">
        <v>320</v>
      </c>
      <c r="G299" t="s">
        <v>321</v>
      </c>
      <c r="H299" t="s">
        <v>290</v>
      </c>
      <c r="I299" t="s">
        <v>15</v>
      </c>
      <c r="K299" s="57">
        <f>K298+dis_table[[#This Row],[Amount]]</f>
        <v>4317.6699999999992</v>
      </c>
    </row>
    <row r="300" spans="1:11" hidden="1" x14ac:dyDescent="0.25">
      <c r="A300" s="1">
        <v>298</v>
      </c>
      <c r="B300" s="10">
        <v>44682</v>
      </c>
      <c r="C300" s="10">
        <v>44684</v>
      </c>
      <c r="D300" t="s">
        <v>19</v>
      </c>
      <c r="E300" s="11">
        <v>10.59</v>
      </c>
      <c r="F300" t="s">
        <v>20</v>
      </c>
      <c r="G300" t="s">
        <v>21</v>
      </c>
      <c r="H300" t="s">
        <v>290</v>
      </c>
      <c r="I300" t="s">
        <v>22</v>
      </c>
      <c r="J300" t="s">
        <v>23</v>
      </c>
      <c r="K300" s="57">
        <f>K299+dis_table[[#This Row],[Amount]]</f>
        <v>4328.2599999999993</v>
      </c>
    </row>
    <row r="301" spans="1:11" hidden="1" x14ac:dyDescent="0.25">
      <c r="A301" s="1">
        <v>299</v>
      </c>
      <c r="B301" s="10">
        <v>44682</v>
      </c>
      <c r="C301" s="10">
        <v>44684</v>
      </c>
      <c r="D301" t="s">
        <v>292</v>
      </c>
      <c r="E301" s="11">
        <v>9.99</v>
      </c>
      <c r="F301" t="s">
        <v>20</v>
      </c>
      <c r="G301" t="s">
        <v>25</v>
      </c>
      <c r="H301" t="s">
        <v>290</v>
      </c>
      <c r="I301" t="s">
        <v>22</v>
      </c>
      <c r="J301" t="s">
        <v>23</v>
      </c>
      <c r="K301" s="57">
        <f>K300+dis_table[[#This Row],[Amount]]</f>
        <v>4338.2499999999991</v>
      </c>
    </row>
    <row r="302" spans="1:11" hidden="1" x14ac:dyDescent="0.25">
      <c r="A302" s="1">
        <v>300</v>
      </c>
      <c r="B302" s="10">
        <v>44683</v>
      </c>
      <c r="C302" s="10">
        <v>44684</v>
      </c>
      <c r="D302" t="s">
        <v>313</v>
      </c>
      <c r="E302" s="11">
        <v>1.08</v>
      </c>
      <c r="F302" t="s">
        <v>40</v>
      </c>
      <c r="G302" t="s">
        <v>41</v>
      </c>
      <c r="H302" t="s">
        <v>290</v>
      </c>
      <c r="I302" t="s">
        <v>15</v>
      </c>
      <c r="J302" t="s">
        <v>42</v>
      </c>
      <c r="K302" s="57">
        <f>K301+dis_table[[#This Row],[Amount]]</f>
        <v>4339.329999999999</v>
      </c>
    </row>
    <row r="303" spans="1:11" hidden="1" x14ac:dyDescent="0.25">
      <c r="A303" s="1">
        <v>301</v>
      </c>
      <c r="B303" s="10">
        <v>44683</v>
      </c>
      <c r="C303" s="10">
        <v>44684</v>
      </c>
      <c r="D303" t="s">
        <v>314</v>
      </c>
      <c r="E303" s="11">
        <v>3.79</v>
      </c>
      <c r="F303" t="s">
        <v>40</v>
      </c>
      <c r="G303" t="s">
        <v>41</v>
      </c>
      <c r="H303" t="s">
        <v>290</v>
      </c>
      <c r="I303" t="s">
        <v>15</v>
      </c>
      <c r="J303" t="s">
        <v>42</v>
      </c>
      <c r="K303" s="57">
        <f>K302+dis_table[[#This Row],[Amount]]</f>
        <v>4343.119999999999</v>
      </c>
    </row>
    <row r="304" spans="1:11" hidden="1" x14ac:dyDescent="0.25">
      <c r="A304" s="1">
        <v>302</v>
      </c>
      <c r="B304" s="10">
        <v>44683</v>
      </c>
      <c r="C304" s="10">
        <v>44684</v>
      </c>
      <c r="D304" t="s">
        <v>77</v>
      </c>
      <c r="E304" s="11">
        <v>10</v>
      </c>
      <c r="F304" t="s">
        <v>20</v>
      </c>
      <c r="G304" t="s">
        <v>78</v>
      </c>
      <c r="H304" t="s">
        <v>290</v>
      </c>
      <c r="I304" t="s">
        <v>22</v>
      </c>
      <c r="J304" t="s">
        <v>23</v>
      </c>
      <c r="K304" s="57">
        <f>K303+dis_table[[#This Row],[Amount]]</f>
        <v>4353.119999999999</v>
      </c>
    </row>
    <row r="305" spans="1:11" hidden="1" x14ac:dyDescent="0.25">
      <c r="A305" s="1">
        <v>303</v>
      </c>
      <c r="B305" s="10">
        <v>44683</v>
      </c>
      <c r="C305" s="10">
        <v>44684</v>
      </c>
      <c r="D305" t="s">
        <v>315</v>
      </c>
      <c r="E305" s="11">
        <v>37.5</v>
      </c>
      <c r="F305" t="s">
        <v>154</v>
      </c>
      <c r="G305" t="s">
        <v>316</v>
      </c>
      <c r="H305" t="s">
        <v>290</v>
      </c>
      <c r="I305" t="s">
        <v>15</v>
      </c>
      <c r="J305" t="s">
        <v>23</v>
      </c>
      <c r="K305" s="57">
        <f>K304+dis_table[[#This Row],[Amount]]</f>
        <v>4390.619999999999</v>
      </c>
    </row>
    <row r="306" spans="1:11" hidden="1" x14ac:dyDescent="0.25">
      <c r="A306" s="1">
        <v>304</v>
      </c>
      <c r="B306" s="10">
        <v>44683</v>
      </c>
      <c r="C306" s="10">
        <v>44684</v>
      </c>
      <c r="D306" t="s">
        <v>317</v>
      </c>
      <c r="E306" s="11">
        <v>80.599999999999994</v>
      </c>
      <c r="F306" t="s">
        <v>56</v>
      </c>
      <c r="G306" t="s">
        <v>212</v>
      </c>
      <c r="H306" t="s">
        <v>290</v>
      </c>
      <c r="I306" t="s">
        <v>15</v>
      </c>
      <c r="J306" t="s">
        <v>32</v>
      </c>
      <c r="K306" s="57">
        <f>K305+dis_table[[#This Row],[Amount]]</f>
        <v>4471.2199999999993</v>
      </c>
    </row>
    <row r="307" spans="1:11" hidden="1" x14ac:dyDescent="0.25">
      <c r="A307" s="1">
        <v>305</v>
      </c>
      <c r="B307" s="10">
        <v>44683</v>
      </c>
      <c r="C307" s="10">
        <v>44684</v>
      </c>
      <c r="D307" t="s">
        <v>318</v>
      </c>
      <c r="E307" s="11">
        <v>149</v>
      </c>
      <c r="F307" t="s">
        <v>20</v>
      </c>
      <c r="G307" t="s">
        <v>316</v>
      </c>
      <c r="H307" t="s">
        <v>290</v>
      </c>
      <c r="I307" t="s">
        <v>15</v>
      </c>
      <c r="J307" t="s">
        <v>23</v>
      </c>
      <c r="K307" s="57">
        <f>K306+dis_table[[#This Row],[Amount]]</f>
        <v>4620.2199999999993</v>
      </c>
    </row>
    <row r="308" spans="1:11" hidden="1" x14ac:dyDescent="0.25">
      <c r="A308" s="1">
        <v>306</v>
      </c>
      <c r="B308" s="10">
        <v>44683</v>
      </c>
      <c r="C308" s="10">
        <v>44684</v>
      </c>
      <c r="D308" t="s">
        <v>322</v>
      </c>
      <c r="E308" s="11">
        <v>27.41</v>
      </c>
      <c r="F308" t="s">
        <v>12</v>
      </c>
      <c r="G308" t="s">
        <v>13</v>
      </c>
      <c r="H308" t="s">
        <v>290</v>
      </c>
      <c r="I308" t="s">
        <v>15</v>
      </c>
      <c r="J308" t="s">
        <v>16</v>
      </c>
      <c r="K308" s="57">
        <f>K307+dis_table[[#This Row],[Amount]]</f>
        <v>4647.6299999999992</v>
      </c>
    </row>
    <row r="309" spans="1:11" hidden="1" x14ac:dyDescent="0.25">
      <c r="A309" s="1">
        <v>307</v>
      </c>
      <c r="B309" s="10">
        <v>44684</v>
      </c>
      <c r="C309" s="10">
        <v>44684</v>
      </c>
      <c r="D309" t="s">
        <v>338</v>
      </c>
      <c r="E309" s="11">
        <v>149</v>
      </c>
      <c r="F309" t="s">
        <v>30</v>
      </c>
      <c r="G309" t="s">
        <v>142</v>
      </c>
      <c r="H309" t="s">
        <v>290</v>
      </c>
      <c r="I309" t="s">
        <v>15</v>
      </c>
      <c r="J309" t="s">
        <v>42</v>
      </c>
      <c r="K309" s="57">
        <f>K308+dis_table[[#This Row],[Amount]]</f>
        <v>4796.6299999999992</v>
      </c>
    </row>
    <row r="310" spans="1:11" hidden="1" x14ac:dyDescent="0.25">
      <c r="A310" s="1">
        <v>308</v>
      </c>
      <c r="B310" s="10">
        <v>44684</v>
      </c>
      <c r="C310" s="10">
        <v>44684</v>
      </c>
      <c r="D310" t="s">
        <v>108</v>
      </c>
      <c r="E310" s="11">
        <v>79.38</v>
      </c>
      <c r="F310" t="s">
        <v>20</v>
      </c>
      <c r="G310" t="s">
        <v>109</v>
      </c>
      <c r="H310" t="s">
        <v>290</v>
      </c>
      <c r="I310" t="s">
        <v>22</v>
      </c>
      <c r="J310" t="s">
        <v>110</v>
      </c>
      <c r="K310" s="57">
        <f>K309+dis_table[[#This Row],[Amount]]</f>
        <v>4876.0099999999993</v>
      </c>
    </row>
    <row r="311" spans="1:11" hidden="1" x14ac:dyDescent="0.25">
      <c r="A311" s="1">
        <v>309</v>
      </c>
      <c r="B311" s="10">
        <v>44684</v>
      </c>
      <c r="C311" s="10">
        <v>44684</v>
      </c>
      <c r="D311" t="s">
        <v>339</v>
      </c>
      <c r="E311" s="11">
        <v>7.97</v>
      </c>
      <c r="F311" t="s">
        <v>40</v>
      </c>
      <c r="G311" t="s">
        <v>41</v>
      </c>
      <c r="H311" t="s">
        <v>290</v>
      </c>
      <c r="I311" t="s">
        <v>15</v>
      </c>
      <c r="J311" t="s">
        <v>42</v>
      </c>
      <c r="K311" s="57">
        <f>K310+dis_table[[#This Row],[Amount]]</f>
        <v>4883.9799999999996</v>
      </c>
    </row>
    <row r="312" spans="1:11" hidden="1" x14ac:dyDescent="0.25">
      <c r="A312" s="1">
        <v>310</v>
      </c>
      <c r="B312" s="10">
        <v>44684</v>
      </c>
      <c r="C312" s="10">
        <v>44684</v>
      </c>
      <c r="D312" t="s">
        <v>340</v>
      </c>
      <c r="E312" s="11">
        <v>30.4</v>
      </c>
      <c r="F312" t="s">
        <v>20</v>
      </c>
      <c r="G312" t="s">
        <v>27</v>
      </c>
      <c r="H312" t="s">
        <v>290</v>
      </c>
      <c r="I312" t="s">
        <v>15</v>
      </c>
      <c r="K312" s="57">
        <f>K311+dis_table[[#This Row],[Amount]]</f>
        <v>4914.3799999999992</v>
      </c>
    </row>
    <row r="313" spans="1:11" hidden="1" x14ac:dyDescent="0.25">
      <c r="A313" s="1">
        <v>311</v>
      </c>
      <c r="B313" s="10">
        <v>44684</v>
      </c>
      <c r="C313" s="10">
        <v>44684</v>
      </c>
      <c r="D313" t="s">
        <v>341</v>
      </c>
      <c r="E313" s="11">
        <v>211.57</v>
      </c>
      <c r="F313" t="s">
        <v>20</v>
      </c>
      <c r="G313" t="s">
        <v>72</v>
      </c>
      <c r="H313" t="s">
        <v>290</v>
      </c>
      <c r="I313" t="s">
        <v>15</v>
      </c>
      <c r="J313" t="s">
        <v>32</v>
      </c>
      <c r="K313" s="57">
        <f>K312+dis_table[[#This Row],[Amount]]</f>
        <v>5125.9499999999989</v>
      </c>
    </row>
    <row r="314" spans="1:11" hidden="1" x14ac:dyDescent="0.25">
      <c r="A314" s="1">
        <v>312</v>
      </c>
      <c r="B314" s="10">
        <v>44684</v>
      </c>
      <c r="C314" s="10">
        <v>44684</v>
      </c>
      <c r="D314" t="s">
        <v>342</v>
      </c>
      <c r="E314" s="11">
        <v>42.98</v>
      </c>
      <c r="F314" t="s">
        <v>20</v>
      </c>
      <c r="G314" t="s">
        <v>27</v>
      </c>
      <c r="H314" t="s">
        <v>290</v>
      </c>
      <c r="I314" t="s">
        <v>15</v>
      </c>
      <c r="K314" s="57">
        <f>K313+dis_table[[#This Row],[Amount]]</f>
        <v>5168.9299999999985</v>
      </c>
    </row>
    <row r="315" spans="1:11" hidden="1" x14ac:dyDescent="0.25">
      <c r="A315" s="1">
        <v>313</v>
      </c>
      <c r="B315" s="10">
        <v>44685</v>
      </c>
      <c r="C315" s="10">
        <v>44685</v>
      </c>
      <c r="D315" t="s">
        <v>345</v>
      </c>
      <c r="E315" s="11">
        <v>106.4</v>
      </c>
      <c r="F315" t="s">
        <v>20</v>
      </c>
      <c r="G315" t="s">
        <v>27</v>
      </c>
      <c r="H315" t="s">
        <v>290</v>
      </c>
      <c r="I315" t="s">
        <v>15</v>
      </c>
      <c r="K315" s="57">
        <f>K314+dis_table[[#This Row],[Amount]]</f>
        <v>5275.3299999999981</v>
      </c>
    </row>
    <row r="316" spans="1:11" hidden="1" x14ac:dyDescent="0.25">
      <c r="A316" s="1">
        <v>314</v>
      </c>
      <c r="B316" s="10">
        <v>44685</v>
      </c>
      <c r="C316" s="10">
        <v>44685</v>
      </c>
      <c r="D316" t="s">
        <v>346</v>
      </c>
      <c r="E316" s="11">
        <v>10</v>
      </c>
      <c r="F316" t="s">
        <v>56</v>
      </c>
      <c r="G316" t="s">
        <v>94</v>
      </c>
      <c r="H316" t="s">
        <v>290</v>
      </c>
      <c r="I316" t="s">
        <v>15</v>
      </c>
      <c r="J316" t="s">
        <v>32</v>
      </c>
      <c r="K316" s="57">
        <f>K315+dis_table[[#This Row],[Amount]]</f>
        <v>5285.3299999999981</v>
      </c>
    </row>
    <row r="317" spans="1:11" hidden="1" x14ac:dyDescent="0.25">
      <c r="A317" s="1">
        <v>315</v>
      </c>
      <c r="B317" s="10">
        <v>44685</v>
      </c>
      <c r="C317" s="10">
        <v>44685</v>
      </c>
      <c r="D317" t="s">
        <v>347</v>
      </c>
      <c r="E317" s="11">
        <v>32.57</v>
      </c>
      <c r="F317" t="s">
        <v>20</v>
      </c>
      <c r="G317" t="s">
        <v>316</v>
      </c>
      <c r="H317" t="s">
        <v>290</v>
      </c>
      <c r="I317" t="s">
        <v>15</v>
      </c>
      <c r="J317" t="s">
        <v>23</v>
      </c>
      <c r="K317" s="57">
        <f>K316+dis_table[[#This Row],[Amount]]</f>
        <v>5317.8999999999978</v>
      </c>
    </row>
    <row r="318" spans="1:11" hidden="1" x14ac:dyDescent="0.25">
      <c r="A318" s="1">
        <v>316</v>
      </c>
      <c r="B318" s="10">
        <v>44685</v>
      </c>
      <c r="C318" s="10">
        <v>44685</v>
      </c>
      <c r="D318" t="s">
        <v>348</v>
      </c>
      <c r="E318" s="11">
        <v>32.57</v>
      </c>
      <c r="F318" t="s">
        <v>20</v>
      </c>
      <c r="G318" t="s">
        <v>316</v>
      </c>
      <c r="H318" t="s">
        <v>290</v>
      </c>
      <c r="I318" t="s">
        <v>15</v>
      </c>
      <c r="J318" t="s">
        <v>23</v>
      </c>
      <c r="K318" s="57">
        <f>K317+dis_table[[#This Row],[Amount]]</f>
        <v>5350.4699999999975</v>
      </c>
    </row>
    <row r="319" spans="1:11" hidden="1" x14ac:dyDescent="0.25">
      <c r="A319" s="1">
        <v>317</v>
      </c>
      <c r="B319" s="10">
        <v>44685</v>
      </c>
      <c r="C319" s="10">
        <v>44685</v>
      </c>
      <c r="D319" t="s">
        <v>349</v>
      </c>
      <c r="E319" s="11">
        <v>21.71</v>
      </c>
      <c r="F319" t="s">
        <v>20</v>
      </c>
      <c r="G319" t="s">
        <v>316</v>
      </c>
      <c r="H319" t="s">
        <v>290</v>
      </c>
      <c r="I319" t="s">
        <v>15</v>
      </c>
      <c r="J319" t="s">
        <v>23</v>
      </c>
      <c r="K319" s="57">
        <f>K318+dis_table[[#This Row],[Amount]]</f>
        <v>5372.1799999999976</v>
      </c>
    </row>
    <row r="320" spans="1:11" hidden="1" x14ac:dyDescent="0.25">
      <c r="A320" s="1">
        <v>318</v>
      </c>
      <c r="B320" s="10">
        <v>44685</v>
      </c>
      <c r="C320" s="10">
        <v>44685</v>
      </c>
      <c r="D320" t="s">
        <v>350</v>
      </c>
      <c r="E320" s="11">
        <v>32.57</v>
      </c>
      <c r="F320" t="s">
        <v>20</v>
      </c>
      <c r="G320" t="s">
        <v>316</v>
      </c>
      <c r="H320" t="s">
        <v>290</v>
      </c>
      <c r="I320" t="s">
        <v>15</v>
      </c>
      <c r="J320" t="s">
        <v>23</v>
      </c>
      <c r="K320" s="57">
        <f>K319+dis_table[[#This Row],[Amount]]</f>
        <v>5404.7499999999973</v>
      </c>
    </row>
    <row r="321" spans="1:11" hidden="1" x14ac:dyDescent="0.25">
      <c r="A321" s="1">
        <v>319</v>
      </c>
      <c r="B321" s="10">
        <v>44685</v>
      </c>
      <c r="C321" s="10">
        <v>44685</v>
      </c>
      <c r="D321" t="s">
        <v>237</v>
      </c>
      <c r="E321" s="11">
        <v>16.809999999999999</v>
      </c>
      <c r="F321" t="s">
        <v>30</v>
      </c>
      <c r="G321" t="s">
        <v>76</v>
      </c>
      <c r="H321" t="s">
        <v>290</v>
      </c>
      <c r="I321" t="s">
        <v>15</v>
      </c>
      <c r="J321" t="s">
        <v>42</v>
      </c>
      <c r="K321" s="57">
        <f>K320+dis_table[[#This Row],[Amount]]</f>
        <v>5421.5599999999977</v>
      </c>
    </row>
    <row r="322" spans="1:11" hidden="1" x14ac:dyDescent="0.25">
      <c r="A322" s="1">
        <v>320</v>
      </c>
      <c r="B322" s="10">
        <v>44686</v>
      </c>
      <c r="C322" s="10">
        <v>44686</v>
      </c>
      <c r="D322" t="s">
        <v>351</v>
      </c>
      <c r="E322" s="11">
        <v>46.76</v>
      </c>
      <c r="F322" t="s">
        <v>20</v>
      </c>
      <c r="G322" t="s">
        <v>27</v>
      </c>
      <c r="H322" t="s">
        <v>290</v>
      </c>
      <c r="I322" t="s">
        <v>15</v>
      </c>
      <c r="K322" s="57">
        <f>K321+dis_table[[#This Row],[Amount]]</f>
        <v>5468.3199999999979</v>
      </c>
    </row>
    <row r="323" spans="1:11" hidden="1" x14ac:dyDescent="0.25">
      <c r="A323" s="1">
        <v>321</v>
      </c>
      <c r="B323" s="10">
        <v>44686</v>
      </c>
      <c r="C323" s="10">
        <v>44686</v>
      </c>
      <c r="D323" t="s">
        <v>36</v>
      </c>
      <c r="E323" s="11">
        <v>-1000</v>
      </c>
      <c r="F323" t="s">
        <v>37</v>
      </c>
      <c r="G323" t="s">
        <v>38</v>
      </c>
      <c r="H323" t="s">
        <v>290</v>
      </c>
      <c r="I323" t="s">
        <v>15</v>
      </c>
      <c r="K323" s="57">
        <f>K322+dis_table[[#This Row],[Amount]]</f>
        <v>4468.3199999999979</v>
      </c>
    </row>
    <row r="324" spans="1:11" hidden="1" x14ac:dyDescent="0.25">
      <c r="A324" s="1">
        <v>322</v>
      </c>
      <c r="B324" s="10">
        <v>44686</v>
      </c>
      <c r="C324" s="10">
        <v>44686</v>
      </c>
      <c r="D324" t="s">
        <v>255</v>
      </c>
      <c r="E324" s="11">
        <v>5</v>
      </c>
      <c r="F324" t="s">
        <v>30</v>
      </c>
      <c r="G324" t="s">
        <v>76</v>
      </c>
      <c r="H324" t="s">
        <v>290</v>
      </c>
      <c r="I324" t="s">
        <v>15</v>
      </c>
      <c r="J324" t="s">
        <v>42</v>
      </c>
      <c r="K324" s="57">
        <f>K323+dis_table[[#This Row],[Amount]]</f>
        <v>4473.3199999999979</v>
      </c>
    </row>
    <row r="325" spans="1:11" hidden="1" x14ac:dyDescent="0.25">
      <c r="A325" s="1">
        <v>323</v>
      </c>
      <c r="B325" s="10">
        <v>44686</v>
      </c>
      <c r="C325" s="10">
        <v>44686</v>
      </c>
      <c r="D325" t="s">
        <v>237</v>
      </c>
      <c r="E325" s="11">
        <v>11.8</v>
      </c>
      <c r="F325" t="s">
        <v>30</v>
      </c>
      <c r="G325" t="s">
        <v>76</v>
      </c>
      <c r="H325" t="s">
        <v>290</v>
      </c>
      <c r="I325" t="s">
        <v>15</v>
      </c>
      <c r="J325" t="s">
        <v>42</v>
      </c>
      <c r="K325" s="57">
        <f>K324+dis_table[[#This Row],[Amount]]</f>
        <v>4485.1199999999981</v>
      </c>
    </row>
    <row r="326" spans="1:11" hidden="1" x14ac:dyDescent="0.25">
      <c r="A326" s="1">
        <v>324</v>
      </c>
      <c r="B326" s="10">
        <v>44686</v>
      </c>
      <c r="C326" s="10">
        <v>44686</v>
      </c>
      <c r="D326" t="s">
        <v>237</v>
      </c>
      <c r="E326" s="11">
        <v>13.25</v>
      </c>
      <c r="F326" t="s">
        <v>30</v>
      </c>
      <c r="G326" t="s">
        <v>76</v>
      </c>
      <c r="H326" t="s">
        <v>290</v>
      </c>
      <c r="I326" t="s">
        <v>15</v>
      </c>
      <c r="J326" t="s">
        <v>42</v>
      </c>
      <c r="K326" s="57">
        <f>K325+dis_table[[#This Row],[Amount]]</f>
        <v>4498.3699999999981</v>
      </c>
    </row>
    <row r="327" spans="1:11" hidden="1" x14ac:dyDescent="0.25">
      <c r="A327" s="1">
        <v>325</v>
      </c>
      <c r="B327" s="10">
        <v>44686</v>
      </c>
      <c r="C327" s="10">
        <v>44686</v>
      </c>
      <c r="D327" t="s">
        <v>236</v>
      </c>
      <c r="E327" s="11">
        <v>5</v>
      </c>
      <c r="F327" t="s">
        <v>30</v>
      </c>
      <c r="G327" t="s">
        <v>76</v>
      </c>
      <c r="H327" t="s">
        <v>290</v>
      </c>
      <c r="I327" t="s">
        <v>15</v>
      </c>
      <c r="J327" t="s">
        <v>42</v>
      </c>
      <c r="K327" s="57">
        <f>K326+dis_table[[#This Row],[Amount]]</f>
        <v>4503.3699999999981</v>
      </c>
    </row>
    <row r="328" spans="1:11" hidden="1" x14ac:dyDescent="0.25">
      <c r="A328" s="1">
        <v>326</v>
      </c>
      <c r="B328" s="10">
        <v>44686</v>
      </c>
      <c r="C328" s="10">
        <v>44686</v>
      </c>
      <c r="D328" t="s">
        <v>352</v>
      </c>
      <c r="E328" s="11">
        <v>27.99</v>
      </c>
      <c r="F328" t="s">
        <v>20</v>
      </c>
      <c r="G328" t="s">
        <v>76</v>
      </c>
      <c r="H328" t="s">
        <v>290</v>
      </c>
      <c r="I328" t="s">
        <v>15</v>
      </c>
      <c r="J328" t="s">
        <v>42</v>
      </c>
      <c r="K328" s="57">
        <f>K327+dis_table[[#This Row],[Amount]]</f>
        <v>4531.3599999999979</v>
      </c>
    </row>
    <row r="329" spans="1:11" hidden="1" x14ac:dyDescent="0.25">
      <c r="A329" s="1">
        <v>327</v>
      </c>
      <c r="B329" s="10">
        <v>44687</v>
      </c>
      <c r="C329" s="10">
        <v>44687</v>
      </c>
      <c r="D329" t="s">
        <v>353</v>
      </c>
      <c r="E329" s="11">
        <v>9.99</v>
      </c>
      <c r="F329" t="s">
        <v>30</v>
      </c>
      <c r="G329" t="s">
        <v>76</v>
      </c>
      <c r="H329" t="s">
        <v>290</v>
      </c>
      <c r="I329" t="s">
        <v>15</v>
      </c>
      <c r="J329" t="s">
        <v>42</v>
      </c>
      <c r="K329" s="57">
        <f>K328+dis_table[[#This Row],[Amount]]</f>
        <v>4541.3499999999976</v>
      </c>
    </row>
    <row r="330" spans="1:11" hidden="1" x14ac:dyDescent="0.25">
      <c r="A330" s="1">
        <v>328</v>
      </c>
      <c r="B330" s="10">
        <v>44687</v>
      </c>
      <c r="C330" s="10">
        <v>44687</v>
      </c>
      <c r="D330" t="s">
        <v>255</v>
      </c>
      <c r="E330" s="11">
        <v>7.9</v>
      </c>
      <c r="F330" t="s">
        <v>30</v>
      </c>
      <c r="G330" t="s">
        <v>76</v>
      </c>
      <c r="H330" t="s">
        <v>290</v>
      </c>
      <c r="I330" t="s">
        <v>15</v>
      </c>
      <c r="J330" t="s">
        <v>42</v>
      </c>
      <c r="K330" s="57">
        <f>K329+dis_table[[#This Row],[Amount]]</f>
        <v>4549.2499999999973</v>
      </c>
    </row>
    <row r="331" spans="1:11" hidden="1" x14ac:dyDescent="0.25">
      <c r="A331" s="1">
        <v>329</v>
      </c>
      <c r="B331" s="10">
        <v>44687</v>
      </c>
      <c r="C331" s="10">
        <v>44687</v>
      </c>
      <c r="D331" t="s">
        <v>255</v>
      </c>
      <c r="E331" s="11">
        <v>15.86</v>
      </c>
      <c r="F331" t="s">
        <v>30</v>
      </c>
      <c r="G331" t="s">
        <v>76</v>
      </c>
      <c r="H331" t="s">
        <v>290</v>
      </c>
      <c r="I331" t="s">
        <v>15</v>
      </c>
      <c r="J331" t="s">
        <v>42</v>
      </c>
      <c r="K331" s="57">
        <f>K330+dis_table[[#This Row],[Amount]]</f>
        <v>4565.1099999999969</v>
      </c>
    </row>
    <row r="332" spans="1:11" hidden="1" x14ac:dyDescent="0.25">
      <c r="A332" s="1">
        <v>330</v>
      </c>
      <c r="B332" s="10">
        <v>44687</v>
      </c>
      <c r="C332" s="10">
        <v>44687</v>
      </c>
      <c r="D332" t="s">
        <v>236</v>
      </c>
      <c r="E332" s="11">
        <v>5</v>
      </c>
      <c r="F332" t="s">
        <v>30</v>
      </c>
      <c r="G332" t="s">
        <v>76</v>
      </c>
      <c r="H332" t="s">
        <v>290</v>
      </c>
      <c r="I332" t="s">
        <v>15</v>
      </c>
      <c r="J332" t="s">
        <v>42</v>
      </c>
      <c r="K332" s="57">
        <f>K331+dis_table[[#This Row],[Amount]]</f>
        <v>4570.1099999999969</v>
      </c>
    </row>
    <row r="333" spans="1:11" hidden="1" x14ac:dyDescent="0.25">
      <c r="A333" s="1">
        <v>331</v>
      </c>
      <c r="B333" s="10">
        <v>44688</v>
      </c>
      <c r="C333" s="10">
        <v>44688</v>
      </c>
      <c r="D333" t="s">
        <v>255</v>
      </c>
      <c r="E333" s="11">
        <v>19.41</v>
      </c>
      <c r="F333" t="s">
        <v>30</v>
      </c>
      <c r="G333" t="s">
        <v>76</v>
      </c>
      <c r="H333" t="s">
        <v>290</v>
      </c>
      <c r="I333" t="s">
        <v>15</v>
      </c>
      <c r="J333" t="s">
        <v>42</v>
      </c>
      <c r="K333" s="57">
        <f>K332+dis_table[[#This Row],[Amount]]</f>
        <v>4589.5199999999968</v>
      </c>
    </row>
    <row r="334" spans="1:11" hidden="1" x14ac:dyDescent="0.25">
      <c r="A334" s="1">
        <v>332</v>
      </c>
      <c r="B334" s="10">
        <v>44688</v>
      </c>
      <c r="C334" s="10">
        <v>44688</v>
      </c>
      <c r="D334" t="s">
        <v>354</v>
      </c>
      <c r="E334" s="11">
        <v>36.36</v>
      </c>
      <c r="F334" t="s">
        <v>53</v>
      </c>
      <c r="G334" t="s">
        <v>76</v>
      </c>
      <c r="H334" t="s">
        <v>290</v>
      </c>
      <c r="I334" t="s">
        <v>15</v>
      </c>
      <c r="J334" t="s">
        <v>42</v>
      </c>
      <c r="K334" s="57">
        <f>K333+dis_table[[#This Row],[Amount]]</f>
        <v>4625.8799999999965</v>
      </c>
    </row>
    <row r="335" spans="1:11" hidden="1" x14ac:dyDescent="0.25">
      <c r="A335" s="1">
        <v>333</v>
      </c>
      <c r="B335" s="10">
        <v>44689</v>
      </c>
      <c r="C335" s="10">
        <v>44689</v>
      </c>
      <c r="D335" t="s">
        <v>355</v>
      </c>
      <c r="E335" s="11">
        <v>85.76</v>
      </c>
      <c r="F335" t="s">
        <v>20</v>
      </c>
      <c r="G335" t="s">
        <v>27</v>
      </c>
      <c r="H335" t="s">
        <v>290</v>
      </c>
      <c r="I335" t="s">
        <v>15</v>
      </c>
      <c r="K335" s="57">
        <f>K334+dis_table[[#This Row],[Amount]]</f>
        <v>4711.6399999999967</v>
      </c>
    </row>
    <row r="336" spans="1:11" hidden="1" x14ac:dyDescent="0.25">
      <c r="A336" s="1">
        <v>334</v>
      </c>
      <c r="B336" s="10">
        <v>44689</v>
      </c>
      <c r="C336" s="10">
        <v>44689</v>
      </c>
      <c r="D336" t="s">
        <v>356</v>
      </c>
      <c r="E336" s="11">
        <v>48.72</v>
      </c>
      <c r="F336" t="s">
        <v>40</v>
      </c>
      <c r="G336" t="s">
        <v>41</v>
      </c>
      <c r="H336" t="s">
        <v>290</v>
      </c>
      <c r="I336" t="s">
        <v>15</v>
      </c>
      <c r="J336" t="s">
        <v>42</v>
      </c>
      <c r="K336" s="57">
        <f>K335+dis_table[[#This Row],[Amount]]</f>
        <v>4760.3599999999969</v>
      </c>
    </row>
    <row r="337" spans="1:11" hidden="1" x14ac:dyDescent="0.25">
      <c r="A337" s="1">
        <v>335</v>
      </c>
      <c r="B337" s="10">
        <v>44689</v>
      </c>
      <c r="C337" s="10">
        <v>44689</v>
      </c>
      <c r="D337" t="s">
        <v>357</v>
      </c>
      <c r="E337" s="11">
        <v>62</v>
      </c>
      <c r="F337" t="s">
        <v>12</v>
      </c>
      <c r="G337" t="s">
        <v>18</v>
      </c>
      <c r="H337" t="s">
        <v>290</v>
      </c>
      <c r="I337" t="s">
        <v>15</v>
      </c>
      <c r="J337" t="s">
        <v>16</v>
      </c>
      <c r="K337" s="57">
        <f>K336+dis_table[[#This Row],[Amount]]</f>
        <v>4822.3599999999969</v>
      </c>
    </row>
    <row r="338" spans="1:11" hidden="1" x14ac:dyDescent="0.25">
      <c r="A338" s="1">
        <v>336</v>
      </c>
      <c r="B338" s="10">
        <v>44689</v>
      </c>
      <c r="C338" s="10">
        <v>44689</v>
      </c>
      <c r="D338" t="s">
        <v>358</v>
      </c>
      <c r="E338" s="11">
        <v>778</v>
      </c>
      <c r="F338" t="s">
        <v>30</v>
      </c>
      <c r="G338" t="s">
        <v>294</v>
      </c>
      <c r="H338" t="s">
        <v>290</v>
      </c>
      <c r="I338" t="s">
        <v>15</v>
      </c>
      <c r="J338" t="s">
        <v>23</v>
      </c>
      <c r="K338" s="57">
        <f>K337+dis_table[[#This Row],[Amount]]</f>
        <v>5600.3599999999969</v>
      </c>
    </row>
    <row r="339" spans="1:11" hidden="1" x14ac:dyDescent="0.25">
      <c r="A339" s="1">
        <v>337</v>
      </c>
      <c r="B339" s="10">
        <v>44689</v>
      </c>
      <c r="C339" s="10">
        <v>44689</v>
      </c>
      <c r="D339" t="s">
        <v>359</v>
      </c>
      <c r="E339" s="11">
        <v>61.62</v>
      </c>
      <c r="F339" t="s">
        <v>12</v>
      </c>
      <c r="G339" t="s">
        <v>18</v>
      </c>
      <c r="H339" t="s">
        <v>290</v>
      </c>
      <c r="I339" t="s">
        <v>15</v>
      </c>
      <c r="J339" t="s">
        <v>16</v>
      </c>
      <c r="K339" s="57">
        <f>K338+dis_table[[#This Row],[Amount]]</f>
        <v>5661.9799999999968</v>
      </c>
    </row>
    <row r="340" spans="1:11" hidden="1" x14ac:dyDescent="0.25">
      <c r="A340" s="1">
        <v>338</v>
      </c>
      <c r="B340" s="10">
        <v>44689</v>
      </c>
      <c r="C340" s="10">
        <v>44689</v>
      </c>
      <c r="D340" t="s">
        <v>354</v>
      </c>
      <c r="E340" s="11">
        <v>10</v>
      </c>
      <c r="F340" t="s">
        <v>53</v>
      </c>
      <c r="G340" t="s">
        <v>76</v>
      </c>
      <c r="H340" t="s">
        <v>290</v>
      </c>
      <c r="I340" t="s">
        <v>15</v>
      </c>
      <c r="J340" t="s">
        <v>42</v>
      </c>
      <c r="K340" s="57">
        <f>K339+dis_table[[#This Row],[Amount]]</f>
        <v>5671.9799999999968</v>
      </c>
    </row>
    <row r="341" spans="1:11" hidden="1" x14ac:dyDescent="0.25">
      <c r="A341" s="1">
        <v>339</v>
      </c>
      <c r="B341" s="10">
        <v>44689</v>
      </c>
      <c r="C341" s="10">
        <v>44689</v>
      </c>
      <c r="D341" t="s">
        <v>360</v>
      </c>
      <c r="E341" s="11">
        <v>70</v>
      </c>
      <c r="F341" t="s">
        <v>12</v>
      </c>
      <c r="G341" t="s">
        <v>18</v>
      </c>
      <c r="H341" t="s">
        <v>290</v>
      </c>
      <c r="I341" t="s">
        <v>15</v>
      </c>
      <c r="J341" t="s">
        <v>16</v>
      </c>
      <c r="K341" s="57">
        <f>K340+dis_table[[#This Row],[Amount]]</f>
        <v>5741.9799999999968</v>
      </c>
    </row>
    <row r="342" spans="1:11" hidden="1" x14ac:dyDescent="0.25">
      <c r="A342" s="1">
        <v>340</v>
      </c>
      <c r="B342" s="10">
        <v>44690</v>
      </c>
      <c r="C342" s="10">
        <v>44690</v>
      </c>
      <c r="D342" t="s">
        <v>236</v>
      </c>
      <c r="E342" s="11">
        <v>5</v>
      </c>
      <c r="F342" t="s">
        <v>30</v>
      </c>
      <c r="G342" t="s">
        <v>76</v>
      </c>
      <c r="H342" t="s">
        <v>290</v>
      </c>
      <c r="I342" t="s">
        <v>15</v>
      </c>
      <c r="J342" t="s">
        <v>42</v>
      </c>
      <c r="K342" s="57">
        <f>K341+dis_table[[#This Row],[Amount]]</f>
        <v>5746.9799999999968</v>
      </c>
    </row>
    <row r="343" spans="1:11" hidden="1" x14ac:dyDescent="0.25">
      <c r="A343" s="1">
        <v>341</v>
      </c>
      <c r="B343" s="10">
        <v>44690</v>
      </c>
      <c r="C343" s="10">
        <v>44690</v>
      </c>
      <c r="D343" t="s">
        <v>237</v>
      </c>
      <c r="E343" s="11">
        <v>7.9</v>
      </c>
      <c r="F343" t="s">
        <v>30</v>
      </c>
      <c r="G343" t="s">
        <v>76</v>
      </c>
      <c r="H343" t="s">
        <v>290</v>
      </c>
      <c r="I343" t="s">
        <v>15</v>
      </c>
      <c r="J343" t="s">
        <v>42</v>
      </c>
      <c r="K343" s="57">
        <f>K342+dis_table[[#This Row],[Amount]]</f>
        <v>5754.8799999999965</v>
      </c>
    </row>
    <row r="344" spans="1:11" hidden="1" x14ac:dyDescent="0.25">
      <c r="A344" s="1">
        <v>342</v>
      </c>
      <c r="B344" s="10">
        <v>44690</v>
      </c>
      <c r="C344" s="10">
        <v>44690</v>
      </c>
      <c r="D344" t="s">
        <v>237</v>
      </c>
      <c r="E344" s="11">
        <v>6.43</v>
      </c>
      <c r="F344" t="s">
        <v>30</v>
      </c>
      <c r="G344" t="s">
        <v>76</v>
      </c>
      <c r="H344" t="s">
        <v>290</v>
      </c>
      <c r="I344" t="s">
        <v>15</v>
      </c>
      <c r="J344" t="s">
        <v>42</v>
      </c>
      <c r="K344" s="57">
        <f>K343+dis_table[[#This Row],[Amount]]</f>
        <v>5761.3099999999968</v>
      </c>
    </row>
    <row r="345" spans="1:11" hidden="1" x14ac:dyDescent="0.25">
      <c r="A345" s="1">
        <v>343</v>
      </c>
      <c r="B345" s="10">
        <v>44690</v>
      </c>
      <c r="C345" s="10">
        <v>44690</v>
      </c>
      <c r="D345" t="s">
        <v>361</v>
      </c>
      <c r="E345" s="11">
        <v>64.73</v>
      </c>
      <c r="F345" t="s">
        <v>30</v>
      </c>
      <c r="G345" t="s">
        <v>362</v>
      </c>
      <c r="H345" t="s">
        <v>290</v>
      </c>
      <c r="I345" t="s">
        <v>15</v>
      </c>
      <c r="J345" t="s">
        <v>23</v>
      </c>
      <c r="K345" s="57">
        <f>K344+dis_table[[#This Row],[Amount]]</f>
        <v>5826.0399999999963</v>
      </c>
    </row>
    <row r="346" spans="1:11" hidden="1" x14ac:dyDescent="0.25">
      <c r="A346" s="1">
        <v>344</v>
      </c>
      <c r="B346" s="10">
        <v>44690</v>
      </c>
      <c r="C346" s="10">
        <v>44690</v>
      </c>
      <c r="D346" t="s">
        <v>28</v>
      </c>
      <c r="E346" s="11">
        <v>13.66</v>
      </c>
      <c r="F346" t="s">
        <v>12</v>
      </c>
      <c r="G346" t="s">
        <v>13</v>
      </c>
      <c r="H346" t="s">
        <v>290</v>
      </c>
      <c r="I346" t="s">
        <v>15</v>
      </c>
      <c r="J346" t="s">
        <v>16</v>
      </c>
      <c r="K346" s="57">
        <f>K345+dis_table[[#This Row],[Amount]]</f>
        <v>5839.6999999999962</v>
      </c>
    </row>
    <row r="347" spans="1:11" hidden="1" x14ac:dyDescent="0.25">
      <c r="A347" s="1">
        <v>345</v>
      </c>
      <c r="B347" s="10">
        <v>44690</v>
      </c>
      <c r="C347" s="10">
        <v>44690</v>
      </c>
      <c r="D347" t="s">
        <v>363</v>
      </c>
      <c r="E347" s="11">
        <v>54.28</v>
      </c>
      <c r="F347" t="s">
        <v>20</v>
      </c>
      <c r="G347" t="s">
        <v>27</v>
      </c>
      <c r="H347" t="s">
        <v>290</v>
      </c>
      <c r="I347" t="s">
        <v>15</v>
      </c>
      <c r="K347" s="57">
        <f>K346+dis_table[[#This Row],[Amount]]</f>
        <v>5893.9799999999959</v>
      </c>
    </row>
    <row r="348" spans="1:11" hidden="1" x14ac:dyDescent="0.25">
      <c r="A348" s="1">
        <v>346</v>
      </c>
      <c r="B348" s="10">
        <v>44690</v>
      </c>
      <c r="C348" s="10">
        <v>44690</v>
      </c>
      <c r="D348" t="s">
        <v>236</v>
      </c>
      <c r="E348" s="11">
        <v>12.86</v>
      </c>
      <c r="F348" t="s">
        <v>30</v>
      </c>
      <c r="G348" t="s">
        <v>76</v>
      </c>
      <c r="H348" t="s">
        <v>290</v>
      </c>
      <c r="I348" t="s">
        <v>15</v>
      </c>
      <c r="J348" t="s">
        <v>42</v>
      </c>
      <c r="K348" s="57">
        <f>K347+dis_table[[#This Row],[Amount]]</f>
        <v>5906.8399999999956</v>
      </c>
    </row>
    <row r="349" spans="1:11" hidden="1" x14ac:dyDescent="0.25">
      <c r="A349" s="1">
        <v>347</v>
      </c>
      <c r="B349" s="10">
        <v>44691</v>
      </c>
      <c r="C349" s="10">
        <v>44691</v>
      </c>
      <c r="D349" t="s">
        <v>293</v>
      </c>
      <c r="E349" s="11">
        <v>39.11</v>
      </c>
      <c r="F349" t="s">
        <v>12</v>
      </c>
      <c r="G349" t="s">
        <v>294</v>
      </c>
      <c r="H349" t="s">
        <v>290</v>
      </c>
      <c r="I349" t="s">
        <v>15</v>
      </c>
      <c r="J349" t="s">
        <v>23</v>
      </c>
      <c r="K349" s="57">
        <f>K348+dis_table[[#This Row],[Amount]]</f>
        <v>5945.9499999999953</v>
      </c>
    </row>
    <row r="350" spans="1:11" hidden="1" x14ac:dyDescent="0.25">
      <c r="A350" s="1">
        <v>348</v>
      </c>
      <c r="B350" s="10">
        <v>44691</v>
      </c>
      <c r="C350" s="10">
        <v>44691</v>
      </c>
      <c r="D350" t="s">
        <v>268</v>
      </c>
      <c r="E350" s="11">
        <v>10.62</v>
      </c>
      <c r="F350" t="s">
        <v>20</v>
      </c>
      <c r="G350" t="s">
        <v>80</v>
      </c>
      <c r="H350" t="s">
        <v>290</v>
      </c>
      <c r="I350" t="s">
        <v>15</v>
      </c>
      <c r="J350" t="s">
        <v>23</v>
      </c>
      <c r="K350" s="57">
        <f>K349+dis_table[[#This Row],[Amount]]</f>
        <v>5956.5699999999952</v>
      </c>
    </row>
    <row r="351" spans="1:11" hidden="1" x14ac:dyDescent="0.25">
      <c r="A351" s="1">
        <v>349</v>
      </c>
      <c r="B351" s="10">
        <v>44691</v>
      </c>
      <c r="C351" s="10">
        <v>44691</v>
      </c>
      <c r="D351" t="s">
        <v>295</v>
      </c>
      <c r="E351" s="11">
        <v>21.67</v>
      </c>
      <c r="F351" t="s">
        <v>20</v>
      </c>
      <c r="G351" t="s">
        <v>27</v>
      </c>
      <c r="H351" t="s">
        <v>290</v>
      </c>
      <c r="I351" t="s">
        <v>15</v>
      </c>
      <c r="K351" s="57">
        <f>K350+dis_table[[#This Row],[Amount]]</f>
        <v>5978.2399999999952</v>
      </c>
    </row>
    <row r="352" spans="1:11" hidden="1" x14ac:dyDescent="0.25">
      <c r="A352" s="1">
        <v>350</v>
      </c>
      <c r="B352" s="10">
        <v>44691</v>
      </c>
      <c r="C352" s="10">
        <v>44691</v>
      </c>
      <c r="D352" t="s">
        <v>293</v>
      </c>
      <c r="E352" s="11">
        <v>29.98</v>
      </c>
      <c r="F352" t="s">
        <v>12</v>
      </c>
      <c r="G352" t="s">
        <v>294</v>
      </c>
      <c r="H352" t="s">
        <v>290</v>
      </c>
      <c r="I352" t="s">
        <v>15</v>
      </c>
      <c r="J352" t="s">
        <v>23</v>
      </c>
      <c r="K352" s="57">
        <f>K351+dis_table[[#This Row],[Amount]]</f>
        <v>6008.2199999999948</v>
      </c>
    </row>
    <row r="353" spans="1:11" hidden="1" x14ac:dyDescent="0.25">
      <c r="A353" s="1">
        <v>351</v>
      </c>
      <c r="B353" s="10">
        <v>44691</v>
      </c>
      <c r="C353" s="10">
        <v>44691</v>
      </c>
      <c r="D353" t="s">
        <v>296</v>
      </c>
      <c r="E353" s="11">
        <v>17.329999999999998</v>
      </c>
      <c r="F353" t="s">
        <v>12</v>
      </c>
      <c r="G353" t="s">
        <v>18</v>
      </c>
      <c r="H353" t="s">
        <v>290</v>
      </c>
      <c r="I353" t="s">
        <v>15</v>
      </c>
      <c r="J353" t="s">
        <v>16</v>
      </c>
      <c r="K353" s="57">
        <f>K352+dis_table[[#This Row],[Amount]]</f>
        <v>6025.5499999999947</v>
      </c>
    </row>
    <row r="354" spans="1:11" hidden="1" x14ac:dyDescent="0.25">
      <c r="A354" s="1">
        <v>352</v>
      </c>
      <c r="B354" s="10">
        <v>44692</v>
      </c>
      <c r="C354" s="10">
        <v>44692</v>
      </c>
      <c r="D354" t="s">
        <v>297</v>
      </c>
      <c r="E354" s="11">
        <v>15.89</v>
      </c>
      <c r="F354" t="s">
        <v>20</v>
      </c>
      <c r="G354" t="s">
        <v>49</v>
      </c>
      <c r="H354" t="s">
        <v>290</v>
      </c>
      <c r="I354" t="s">
        <v>22</v>
      </c>
      <c r="J354" t="s">
        <v>23</v>
      </c>
      <c r="K354" s="57">
        <f>K353+dis_table[[#This Row],[Amount]]</f>
        <v>6041.4399999999951</v>
      </c>
    </row>
    <row r="355" spans="1:11" hidden="1" x14ac:dyDescent="0.25">
      <c r="A355" s="1">
        <v>353</v>
      </c>
      <c r="B355" s="10">
        <v>44692</v>
      </c>
      <c r="C355" s="10">
        <v>44692</v>
      </c>
      <c r="D355" t="s">
        <v>237</v>
      </c>
      <c r="E355" s="11">
        <v>12.22</v>
      </c>
      <c r="F355" t="s">
        <v>30</v>
      </c>
      <c r="G355" t="s">
        <v>76</v>
      </c>
      <c r="H355" t="s">
        <v>290</v>
      </c>
      <c r="I355" t="s">
        <v>15</v>
      </c>
      <c r="J355" t="s">
        <v>42</v>
      </c>
      <c r="K355" s="57">
        <f>K354+dis_table[[#This Row],[Amount]]</f>
        <v>6053.6599999999953</v>
      </c>
    </row>
    <row r="356" spans="1:11" hidden="1" x14ac:dyDescent="0.25">
      <c r="A356" s="1">
        <v>354</v>
      </c>
      <c r="B356" s="10">
        <v>44692</v>
      </c>
      <c r="C356" s="10">
        <v>44692</v>
      </c>
      <c r="D356" t="s">
        <v>298</v>
      </c>
      <c r="E356" s="11">
        <v>37.5</v>
      </c>
      <c r="F356" t="s">
        <v>56</v>
      </c>
      <c r="G356" t="s">
        <v>13</v>
      </c>
      <c r="H356" t="s">
        <v>290</v>
      </c>
      <c r="I356" t="s">
        <v>15</v>
      </c>
      <c r="J356" t="s">
        <v>16</v>
      </c>
      <c r="K356" s="57">
        <f>K355+dis_table[[#This Row],[Amount]]</f>
        <v>6091.1599999999953</v>
      </c>
    </row>
    <row r="357" spans="1:11" hidden="1" x14ac:dyDescent="0.25">
      <c r="A357" s="1">
        <v>355</v>
      </c>
      <c r="B357" s="10">
        <v>44692</v>
      </c>
      <c r="C357" s="10">
        <v>44692</v>
      </c>
      <c r="D357" t="s">
        <v>123</v>
      </c>
      <c r="E357" s="11">
        <v>6.6</v>
      </c>
      <c r="F357" t="s">
        <v>12</v>
      </c>
      <c r="G357" t="s">
        <v>13</v>
      </c>
      <c r="H357" t="s">
        <v>290</v>
      </c>
      <c r="I357" t="s">
        <v>15</v>
      </c>
      <c r="J357" t="s">
        <v>16</v>
      </c>
      <c r="K357" s="57">
        <f>K356+dis_table[[#This Row],[Amount]]</f>
        <v>6097.7599999999957</v>
      </c>
    </row>
    <row r="358" spans="1:11" hidden="1" x14ac:dyDescent="0.25">
      <c r="A358" s="1">
        <v>356</v>
      </c>
      <c r="B358" s="10">
        <v>44693</v>
      </c>
      <c r="C358" s="10">
        <v>44693</v>
      </c>
      <c r="D358" t="s">
        <v>299</v>
      </c>
      <c r="E358" s="11">
        <v>47.7</v>
      </c>
      <c r="F358" t="s">
        <v>12</v>
      </c>
      <c r="G358" t="s">
        <v>13</v>
      </c>
      <c r="H358" t="s">
        <v>290</v>
      </c>
      <c r="I358" t="s">
        <v>15</v>
      </c>
      <c r="J358" t="s">
        <v>16</v>
      </c>
      <c r="K358" s="57">
        <f>K357+dis_table[[#This Row],[Amount]]</f>
        <v>6145.4599999999955</v>
      </c>
    </row>
    <row r="359" spans="1:11" hidden="1" x14ac:dyDescent="0.25">
      <c r="A359" s="1">
        <v>357</v>
      </c>
      <c r="B359" s="10">
        <v>44693</v>
      </c>
      <c r="C359" s="10">
        <v>44693</v>
      </c>
      <c r="D359" t="s">
        <v>255</v>
      </c>
      <c r="E359" s="11">
        <v>5</v>
      </c>
      <c r="F359" t="s">
        <v>30</v>
      </c>
      <c r="G359" t="s">
        <v>76</v>
      </c>
      <c r="H359" t="s">
        <v>290</v>
      </c>
      <c r="I359" t="s">
        <v>15</v>
      </c>
      <c r="J359" t="s">
        <v>42</v>
      </c>
      <c r="K359" s="57">
        <f>K358+dis_table[[#This Row],[Amount]]</f>
        <v>6150.4599999999955</v>
      </c>
    </row>
    <row r="360" spans="1:11" hidden="1" x14ac:dyDescent="0.25">
      <c r="A360" s="1">
        <v>358</v>
      </c>
      <c r="B360" s="10">
        <v>44693</v>
      </c>
      <c r="C360" s="10">
        <v>44693</v>
      </c>
      <c r="D360" t="s">
        <v>255</v>
      </c>
      <c r="E360" s="11">
        <v>18.32</v>
      </c>
      <c r="F360" t="s">
        <v>30</v>
      </c>
      <c r="G360" t="s">
        <v>76</v>
      </c>
      <c r="H360" t="s">
        <v>290</v>
      </c>
      <c r="I360" t="s">
        <v>15</v>
      </c>
      <c r="J360" t="s">
        <v>42</v>
      </c>
      <c r="K360" s="57">
        <f>K359+dis_table[[#This Row],[Amount]]</f>
        <v>6168.7799999999952</v>
      </c>
    </row>
    <row r="361" spans="1:11" hidden="1" x14ac:dyDescent="0.25">
      <c r="A361" s="1">
        <v>359</v>
      </c>
      <c r="B361" s="10">
        <v>44693</v>
      </c>
      <c r="C361" s="10">
        <v>44693</v>
      </c>
      <c r="D361" t="s">
        <v>237</v>
      </c>
      <c r="E361" s="11">
        <v>28.18</v>
      </c>
      <c r="F361" t="s">
        <v>30</v>
      </c>
      <c r="G361" t="s">
        <v>76</v>
      </c>
      <c r="H361" t="s">
        <v>290</v>
      </c>
      <c r="I361" t="s">
        <v>15</v>
      </c>
      <c r="J361" t="s">
        <v>42</v>
      </c>
      <c r="K361" s="57">
        <f>K360+dis_table[[#This Row],[Amount]]</f>
        <v>6196.9599999999955</v>
      </c>
    </row>
    <row r="362" spans="1:11" hidden="1" x14ac:dyDescent="0.25">
      <c r="A362" s="1">
        <v>360</v>
      </c>
      <c r="B362" s="10">
        <v>44695</v>
      </c>
      <c r="C362" s="10">
        <v>44695</v>
      </c>
      <c r="D362" t="s">
        <v>255</v>
      </c>
      <c r="E362" s="11">
        <v>10</v>
      </c>
      <c r="F362" t="s">
        <v>30</v>
      </c>
      <c r="G362" t="s">
        <v>76</v>
      </c>
      <c r="H362" t="s">
        <v>290</v>
      </c>
      <c r="I362" t="s">
        <v>15</v>
      </c>
      <c r="J362" t="s">
        <v>42</v>
      </c>
      <c r="K362" s="57">
        <f>K361+dis_table[[#This Row],[Amount]]</f>
        <v>6206.9599999999955</v>
      </c>
    </row>
    <row r="363" spans="1:11" hidden="1" x14ac:dyDescent="0.25">
      <c r="A363" s="1">
        <v>361</v>
      </c>
      <c r="B363" s="10">
        <v>44695</v>
      </c>
      <c r="C363" s="10">
        <v>44695</v>
      </c>
      <c r="D363" t="s">
        <v>237</v>
      </c>
      <c r="E363" s="11">
        <v>9.41</v>
      </c>
      <c r="F363" t="s">
        <v>30</v>
      </c>
      <c r="G363" t="s">
        <v>76</v>
      </c>
      <c r="H363" t="s">
        <v>290</v>
      </c>
      <c r="I363" t="s">
        <v>15</v>
      </c>
      <c r="J363" t="s">
        <v>42</v>
      </c>
      <c r="K363" s="57">
        <f>K362+dis_table[[#This Row],[Amount]]</f>
        <v>6216.3699999999953</v>
      </c>
    </row>
    <row r="364" spans="1:11" hidden="1" x14ac:dyDescent="0.25">
      <c r="A364" s="1">
        <v>362</v>
      </c>
      <c r="B364" s="10">
        <v>44695</v>
      </c>
      <c r="C364" s="10">
        <v>44695</v>
      </c>
      <c r="D364" t="s">
        <v>300</v>
      </c>
      <c r="E364" s="11">
        <v>20.7</v>
      </c>
      <c r="F364" t="s">
        <v>30</v>
      </c>
      <c r="G364" t="s">
        <v>169</v>
      </c>
      <c r="H364" t="s">
        <v>290</v>
      </c>
      <c r="I364" t="s">
        <v>15</v>
      </c>
      <c r="J364" t="s">
        <v>23</v>
      </c>
      <c r="K364" s="57">
        <f>K363+dis_table[[#This Row],[Amount]]</f>
        <v>6237.0699999999952</v>
      </c>
    </row>
    <row r="365" spans="1:11" hidden="1" x14ac:dyDescent="0.25">
      <c r="A365" s="1">
        <v>363</v>
      </c>
      <c r="B365" s="10">
        <v>44695</v>
      </c>
      <c r="C365" s="10">
        <v>44695</v>
      </c>
      <c r="D365" t="s">
        <v>301</v>
      </c>
      <c r="E365" s="11">
        <v>30</v>
      </c>
      <c r="F365" t="s">
        <v>12</v>
      </c>
      <c r="G365" t="s">
        <v>18</v>
      </c>
      <c r="H365" t="s">
        <v>290</v>
      </c>
      <c r="I365" t="s">
        <v>15</v>
      </c>
      <c r="J365" t="s">
        <v>16</v>
      </c>
      <c r="K365" s="57">
        <f>K364+dis_table[[#This Row],[Amount]]</f>
        <v>6267.0699999999952</v>
      </c>
    </row>
    <row r="366" spans="1:11" hidden="1" x14ac:dyDescent="0.25">
      <c r="A366" s="1">
        <v>364</v>
      </c>
      <c r="B366" s="10">
        <v>44696</v>
      </c>
      <c r="C366" s="10">
        <v>44696</v>
      </c>
      <c r="D366" t="s">
        <v>255</v>
      </c>
      <c r="E366" s="11">
        <v>6.26</v>
      </c>
      <c r="F366" t="s">
        <v>30</v>
      </c>
      <c r="G366" t="s">
        <v>76</v>
      </c>
      <c r="H366" t="s">
        <v>290</v>
      </c>
      <c r="I366" t="s">
        <v>15</v>
      </c>
      <c r="J366" t="s">
        <v>42</v>
      </c>
      <c r="K366" s="57">
        <f>K365+dis_table[[#This Row],[Amount]]</f>
        <v>6273.3299999999954</v>
      </c>
    </row>
    <row r="367" spans="1:11" hidden="1" x14ac:dyDescent="0.25">
      <c r="A367" s="1">
        <v>365</v>
      </c>
      <c r="B367" s="10">
        <v>44696</v>
      </c>
      <c r="C367" s="10">
        <v>44696</v>
      </c>
      <c r="D367" t="s">
        <v>302</v>
      </c>
      <c r="E367" s="11">
        <v>73.400000000000006</v>
      </c>
      <c r="F367" t="s">
        <v>12</v>
      </c>
      <c r="G367" t="s">
        <v>18</v>
      </c>
      <c r="H367" t="s">
        <v>290</v>
      </c>
      <c r="I367" t="s">
        <v>15</v>
      </c>
      <c r="J367" t="s">
        <v>16</v>
      </c>
      <c r="K367" s="57">
        <f>K366+dis_table[[#This Row],[Amount]]</f>
        <v>6346.729999999995</v>
      </c>
    </row>
    <row r="368" spans="1:11" hidden="1" x14ac:dyDescent="0.25">
      <c r="A368" s="1">
        <v>366</v>
      </c>
      <c r="B368" s="10">
        <v>44696</v>
      </c>
      <c r="C368" s="10">
        <v>44696</v>
      </c>
      <c r="D368" t="s">
        <v>303</v>
      </c>
      <c r="E368" s="11">
        <v>4.08</v>
      </c>
      <c r="F368" t="s">
        <v>20</v>
      </c>
      <c r="G368" t="s">
        <v>41</v>
      </c>
      <c r="H368" t="s">
        <v>290</v>
      </c>
      <c r="I368" t="s">
        <v>15</v>
      </c>
      <c r="J368" t="s">
        <v>42</v>
      </c>
      <c r="K368" s="57">
        <f>K367+dis_table[[#This Row],[Amount]]</f>
        <v>6350.8099999999949</v>
      </c>
    </row>
    <row r="369" spans="1:11" hidden="1" x14ac:dyDescent="0.25">
      <c r="A369" s="1">
        <v>367</v>
      </c>
      <c r="B369" s="10">
        <v>44696</v>
      </c>
      <c r="C369" s="10">
        <v>44696</v>
      </c>
      <c r="D369" t="s">
        <v>268</v>
      </c>
      <c r="E369" s="11">
        <v>7.43</v>
      </c>
      <c r="F369" t="s">
        <v>20</v>
      </c>
      <c r="G369" t="s">
        <v>80</v>
      </c>
      <c r="H369" t="s">
        <v>290</v>
      </c>
      <c r="I369" t="s">
        <v>15</v>
      </c>
      <c r="J369" t="s">
        <v>23</v>
      </c>
      <c r="K369" s="57">
        <f>K368+dis_table[[#This Row],[Amount]]</f>
        <v>6358.2399999999952</v>
      </c>
    </row>
    <row r="370" spans="1:11" hidden="1" x14ac:dyDescent="0.25">
      <c r="A370" s="1">
        <v>368</v>
      </c>
      <c r="B370" s="10">
        <v>44696</v>
      </c>
      <c r="C370" s="10">
        <v>44696</v>
      </c>
      <c r="D370" t="s">
        <v>304</v>
      </c>
      <c r="E370" s="11">
        <v>10.85</v>
      </c>
      <c r="F370" t="s">
        <v>56</v>
      </c>
      <c r="G370" t="s">
        <v>305</v>
      </c>
      <c r="H370" t="s">
        <v>290</v>
      </c>
      <c r="I370" t="s">
        <v>22</v>
      </c>
      <c r="J370" t="s">
        <v>23</v>
      </c>
      <c r="K370" s="57">
        <f>K369+dis_table[[#This Row],[Amount]]</f>
        <v>6369.0899999999956</v>
      </c>
    </row>
    <row r="371" spans="1:11" hidden="1" x14ac:dyDescent="0.25">
      <c r="A371" s="1">
        <v>369</v>
      </c>
      <c r="B371" s="10">
        <v>44697</v>
      </c>
      <c r="C371" s="10">
        <v>44697</v>
      </c>
      <c r="D371" t="s">
        <v>256</v>
      </c>
      <c r="E371" s="11">
        <v>8.5</v>
      </c>
      <c r="F371" t="s">
        <v>20</v>
      </c>
      <c r="G371" t="s">
        <v>80</v>
      </c>
      <c r="H371" t="s">
        <v>290</v>
      </c>
      <c r="I371" t="s">
        <v>15</v>
      </c>
      <c r="J371" t="s">
        <v>23</v>
      </c>
      <c r="K371" s="57">
        <f>K370+dis_table[[#This Row],[Amount]]</f>
        <v>6377.5899999999956</v>
      </c>
    </row>
    <row r="372" spans="1:11" hidden="1" x14ac:dyDescent="0.25">
      <c r="A372" s="1">
        <v>370</v>
      </c>
      <c r="B372" s="10">
        <v>44697</v>
      </c>
      <c r="C372" s="10">
        <v>44697</v>
      </c>
      <c r="D372" t="s">
        <v>306</v>
      </c>
      <c r="E372" s="11">
        <v>11.65</v>
      </c>
      <c r="F372" t="s">
        <v>40</v>
      </c>
      <c r="G372" t="s">
        <v>41</v>
      </c>
      <c r="H372" t="s">
        <v>290</v>
      </c>
      <c r="I372" t="s">
        <v>15</v>
      </c>
      <c r="J372" t="s">
        <v>42</v>
      </c>
      <c r="K372" s="57">
        <f>K371+dis_table[[#This Row],[Amount]]</f>
        <v>6389.2399999999952</v>
      </c>
    </row>
    <row r="373" spans="1:11" hidden="1" x14ac:dyDescent="0.25">
      <c r="A373" s="1">
        <v>371</v>
      </c>
      <c r="B373" s="10">
        <v>44698</v>
      </c>
      <c r="C373" s="10">
        <v>44698</v>
      </c>
      <c r="D373" t="s">
        <v>307</v>
      </c>
      <c r="E373" s="11">
        <v>39.090000000000003</v>
      </c>
      <c r="F373" t="s">
        <v>20</v>
      </c>
      <c r="G373" t="s">
        <v>27</v>
      </c>
      <c r="H373" t="s">
        <v>290</v>
      </c>
      <c r="I373" t="s">
        <v>15</v>
      </c>
      <c r="K373" s="57">
        <f>K372+dis_table[[#This Row],[Amount]]</f>
        <v>6428.3299999999954</v>
      </c>
    </row>
    <row r="374" spans="1:11" hidden="1" x14ac:dyDescent="0.25">
      <c r="A374" s="1">
        <v>372</v>
      </c>
      <c r="B374" s="10">
        <v>44698</v>
      </c>
      <c r="C374" s="10">
        <v>44698</v>
      </c>
      <c r="D374" t="s">
        <v>64</v>
      </c>
      <c r="E374" s="11">
        <v>70</v>
      </c>
      <c r="F374" t="s">
        <v>20</v>
      </c>
      <c r="G374" t="s">
        <v>65</v>
      </c>
      <c r="H374" t="s">
        <v>290</v>
      </c>
      <c r="I374" t="s">
        <v>22</v>
      </c>
      <c r="J374" t="s">
        <v>66</v>
      </c>
      <c r="K374" s="57">
        <f>K373+dis_table[[#This Row],[Amount]]</f>
        <v>6498.3299999999954</v>
      </c>
    </row>
    <row r="375" spans="1:11" hidden="1" x14ac:dyDescent="0.25">
      <c r="A375" s="1">
        <v>373</v>
      </c>
      <c r="B375" s="10">
        <v>44698</v>
      </c>
      <c r="C375" s="10">
        <v>44698</v>
      </c>
      <c r="D375" t="s">
        <v>258</v>
      </c>
      <c r="E375" s="11">
        <v>3</v>
      </c>
      <c r="F375" t="s">
        <v>12</v>
      </c>
      <c r="G375" t="s">
        <v>76</v>
      </c>
      <c r="H375" t="s">
        <v>290</v>
      </c>
      <c r="I375" t="s">
        <v>15</v>
      </c>
      <c r="J375" t="s">
        <v>42</v>
      </c>
      <c r="K375" s="57">
        <f>K374+dis_table[[#This Row],[Amount]]</f>
        <v>6501.3299999999954</v>
      </c>
    </row>
    <row r="376" spans="1:11" hidden="1" x14ac:dyDescent="0.25">
      <c r="A376" s="1">
        <v>374</v>
      </c>
      <c r="B376" s="10">
        <v>44698</v>
      </c>
      <c r="C376" s="10">
        <v>44698</v>
      </c>
      <c r="D376" t="s">
        <v>258</v>
      </c>
      <c r="E376" s="11">
        <v>19.559999999999999</v>
      </c>
      <c r="F376" t="s">
        <v>12</v>
      </c>
      <c r="G376" t="s">
        <v>76</v>
      </c>
      <c r="H376" t="s">
        <v>290</v>
      </c>
      <c r="I376" t="s">
        <v>15</v>
      </c>
      <c r="J376" t="s">
        <v>42</v>
      </c>
      <c r="K376" s="57">
        <f>K375+dis_table[[#This Row],[Amount]]</f>
        <v>6520.8899999999958</v>
      </c>
    </row>
    <row r="377" spans="1:11" hidden="1" x14ac:dyDescent="0.25">
      <c r="A377" s="1">
        <v>375</v>
      </c>
      <c r="B377" s="10">
        <v>44699</v>
      </c>
      <c r="C377" s="10">
        <v>44699</v>
      </c>
      <c r="D377" t="s">
        <v>255</v>
      </c>
      <c r="E377" s="11">
        <v>19.57</v>
      </c>
      <c r="F377" t="s">
        <v>30</v>
      </c>
      <c r="G377" t="s">
        <v>76</v>
      </c>
      <c r="H377" t="s">
        <v>290</v>
      </c>
      <c r="I377" t="s">
        <v>15</v>
      </c>
      <c r="J377" t="s">
        <v>42</v>
      </c>
      <c r="K377" s="57">
        <f>K376+dis_table[[#This Row],[Amount]]</f>
        <v>6540.4599999999955</v>
      </c>
    </row>
    <row r="378" spans="1:11" hidden="1" x14ac:dyDescent="0.25">
      <c r="A378" s="1">
        <v>376</v>
      </c>
      <c r="B378" s="10">
        <v>44699</v>
      </c>
      <c r="C378" s="10">
        <v>44699</v>
      </c>
      <c r="D378" t="s">
        <v>308</v>
      </c>
      <c r="E378" s="11">
        <v>65.180000000000007</v>
      </c>
      <c r="F378" t="s">
        <v>20</v>
      </c>
      <c r="G378" t="s">
        <v>223</v>
      </c>
      <c r="H378" t="s">
        <v>290</v>
      </c>
      <c r="I378" t="s">
        <v>15</v>
      </c>
      <c r="J378" t="s">
        <v>32</v>
      </c>
      <c r="K378" s="57">
        <f>K377+dis_table[[#This Row],[Amount]]</f>
        <v>6605.6399999999958</v>
      </c>
    </row>
    <row r="379" spans="1:11" hidden="1" x14ac:dyDescent="0.25">
      <c r="A379" s="1">
        <v>377</v>
      </c>
      <c r="B379" s="10">
        <v>44699</v>
      </c>
      <c r="C379" s="10">
        <v>44699</v>
      </c>
      <c r="D379" t="s">
        <v>309</v>
      </c>
      <c r="E379" s="11">
        <v>18.29</v>
      </c>
      <c r="F379" t="s">
        <v>12</v>
      </c>
      <c r="G379" t="s">
        <v>13</v>
      </c>
      <c r="H379" t="s">
        <v>290</v>
      </c>
      <c r="I379" t="s">
        <v>15</v>
      </c>
      <c r="J379" t="s">
        <v>16</v>
      </c>
      <c r="K379" s="57">
        <f>K378+dis_table[[#This Row],[Amount]]</f>
        <v>6623.9299999999957</v>
      </c>
    </row>
    <row r="380" spans="1:11" hidden="1" x14ac:dyDescent="0.25">
      <c r="A380" s="1">
        <v>378</v>
      </c>
      <c r="B380" s="10">
        <v>44699</v>
      </c>
      <c r="C380" s="10">
        <v>44699</v>
      </c>
      <c r="D380" t="s">
        <v>310</v>
      </c>
      <c r="E380" s="11">
        <v>23.3</v>
      </c>
      <c r="F380" t="s">
        <v>12</v>
      </c>
      <c r="G380" t="s">
        <v>13</v>
      </c>
      <c r="H380" t="s">
        <v>290</v>
      </c>
      <c r="I380" t="s">
        <v>15</v>
      </c>
      <c r="J380" t="s">
        <v>16</v>
      </c>
      <c r="K380" s="57">
        <f>K379+dis_table[[#This Row],[Amount]]</f>
        <v>6647.2299999999959</v>
      </c>
    </row>
    <row r="381" spans="1:11" hidden="1" x14ac:dyDescent="0.25">
      <c r="A381" s="1">
        <v>379</v>
      </c>
      <c r="B381" s="10">
        <v>44699</v>
      </c>
      <c r="C381" s="10">
        <v>44699</v>
      </c>
      <c r="D381" t="s">
        <v>311</v>
      </c>
      <c r="E381" s="11">
        <v>30.94</v>
      </c>
      <c r="F381" t="s">
        <v>20</v>
      </c>
      <c r="G381" t="s">
        <v>27</v>
      </c>
      <c r="H381" t="s">
        <v>290</v>
      </c>
      <c r="I381" t="s">
        <v>15</v>
      </c>
      <c r="K381" s="57">
        <f>K380+dis_table[[#This Row],[Amount]]</f>
        <v>6678.1699999999955</v>
      </c>
    </row>
    <row r="382" spans="1:11" hidden="1" x14ac:dyDescent="0.25">
      <c r="A382" s="1">
        <v>380</v>
      </c>
      <c r="B382" s="10">
        <v>44699</v>
      </c>
      <c r="C382" s="10">
        <v>44699</v>
      </c>
      <c r="D382" t="s">
        <v>237</v>
      </c>
      <c r="E382" s="11">
        <v>26.85</v>
      </c>
      <c r="F382" t="s">
        <v>30</v>
      </c>
      <c r="G382" t="s">
        <v>76</v>
      </c>
      <c r="H382" t="s">
        <v>290</v>
      </c>
      <c r="I382" t="s">
        <v>15</v>
      </c>
      <c r="J382" t="s">
        <v>42</v>
      </c>
      <c r="K382" s="57">
        <f>K381+dis_table[[#This Row],[Amount]]</f>
        <v>6705.0199999999959</v>
      </c>
    </row>
    <row r="383" spans="1:11" hidden="1" x14ac:dyDescent="0.25">
      <c r="A383" s="1">
        <v>381</v>
      </c>
      <c r="B383" s="10">
        <v>44700</v>
      </c>
      <c r="C383" s="10">
        <v>44700</v>
      </c>
      <c r="D383" t="s">
        <v>43</v>
      </c>
      <c r="E383" s="11">
        <v>-41.23</v>
      </c>
      <c r="F383" t="s">
        <v>44</v>
      </c>
      <c r="G383" t="s">
        <v>45</v>
      </c>
      <c r="H383" t="s">
        <v>290</v>
      </c>
      <c r="I383" t="s">
        <v>15</v>
      </c>
      <c r="K383" s="57">
        <f>K382+dis_table[[#This Row],[Amount]]</f>
        <v>6663.7899999999963</v>
      </c>
    </row>
    <row r="384" spans="1:11" hidden="1" x14ac:dyDescent="0.25">
      <c r="A384" s="1">
        <v>382</v>
      </c>
      <c r="B384" s="10">
        <v>44700</v>
      </c>
      <c r="C384" s="10">
        <v>44700</v>
      </c>
      <c r="D384" t="s">
        <v>36</v>
      </c>
      <c r="E384" s="11">
        <v>-1000</v>
      </c>
      <c r="F384" t="s">
        <v>37</v>
      </c>
      <c r="G384" t="s">
        <v>38</v>
      </c>
      <c r="H384" t="s">
        <v>290</v>
      </c>
      <c r="I384" t="s">
        <v>15</v>
      </c>
      <c r="K384" s="57">
        <f>K383+dis_table[[#This Row],[Amount]]</f>
        <v>5663.7899999999963</v>
      </c>
    </row>
    <row r="385" spans="1:11" hidden="1" x14ac:dyDescent="0.25">
      <c r="A385" s="1">
        <v>383</v>
      </c>
      <c r="B385" s="10">
        <v>44700</v>
      </c>
      <c r="C385" s="10">
        <v>44700</v>
      </c>
      <c r="D385" t="s">
        <v>268</v>
      </c>
      <c r="E385" s="11">
        <v>10.62</v>
      </c>
      <c r="F385" t="s">
        <v>20</v>
      </c>
      <c r="G385" t="s">
        <v>80</v>
      </c>
      <c r="H385" t="s">
        <v>290</v>
      </c>
      <c r="I385" t="s">
        <v>15</v>
      </c>
      <c r="J385" t="s">
        <v>23</v>
      </c>
      <c r="K385" s="57">
        <f>K384+dis_table[[#This Row],[Amount]]</f>
        <v>5674.4099999999962</v>
      </c>
    </row>
    <row r="386" spans="1:11" hidden="1" x14ac:dyDescent="0.25">
      <c r="A386" s="1">
        <v>384</v>
      </c>
      <c r="B386" s="10">
        <v>44700</v>
      </c>
      <c r="C386" s="10">
        <v>44700</v>
      </c>
      <c r="D386" t="s">
        <v>312</v>
      </c>
      <c r="E386" s="11">
        <v>5.29</v>
      </c>
      <c r="F386" t="s">
        <v>20</v>
      </c>
      <c r="G386" t="s">
        <v>68</v>
      </c>
      <c r="H386" t="s">
        <v>290</v>
      </c>
      <c r="I386" t="s">
        <v>22</v>
      </c>
      <c r="J386" t="s">
        <v>23</v>
      </c>
      <c r="K386" s="57">
        <f>K385+dis_table[[#This Row],[Amount]]</f>
        <v>5679.6999999999962</v>
      </c>
    </row>
    <row r="387" spans="1:11" hidden="1" x14ac:dyDescent="0.25">
      <c r="A387" s="1">
        <v>385</v>
      </c>
      <c r="B387" s="10">
        <v>44701</v>
      </c>
      <c r="C387" s="10">
        <v>44701</v>
      </c>
      <c r="D387" t="s">
        <v>323</v>
      </c>
      <c r="E387" s="11">
        <v>5.3</v>
      </c>
      <c r="F387" t="s">
        <v>20</v>
      </c>
      <c r="G387" t="s">
        <v>13</v>
      </c>
      <c r="H387" t="s">
        <v>290</v>
      </c>
      <c r="I387" t="s">
        <v>15</v>
      </c>
      <c r="J387" t="s">
        <v>16</v>
      </c>
      <c r="K387" s="57">
        <f>K386+dis_table[[#This Row],[Amount]]</f>
        <v>5684.9999999999964</v>
      </c>
    </row>
    <row r="388" spans="1:11" hidden="1" x14ac:dyDescent="0.25">
      <c r="A388" s="1">
        <v>386</v>
      </c>
      <c r="B388" s="10">
        <v>44701</v>
      </c>
      <c r="C388" s="10">
        <v>44701</v>
      </c>
      <c r="D388" t="s">
        <v>324</v>
      </c>
      <c r="E388" s="11">
        <v>27.06</v>
      </c>
      <c r="F388" t="s">
        <v>12</v>
      </c>
      <c r="G388" t="s">
        <v>13</v>
      </c>
      <c r="H388" t="s">
        <v>290</v>
      </c>
      <c r="I388" t="s">
        <v>15</v>
      </c>
      <c r="J388" t="s">
        <v>16</v>
      </c>
      <c r="K388" s="57">
        <f>K387+dis_table[[#This Row],[Amount]]</f>
        <v>5712.0599999999968</v>
      </c>
    </row>
    <row r="389" spans="1:11" hidden="1" x14ac:dyDescent="0.25">
      <c r="A389" s="1">
        <v>387</v>
      </c>
      <c r="B389" s="10">
        <v>44701</v>
      </c>
      <c r="C389" s="10">
        <v>44701</v>
      </c>
      <c r="D389" t="s">
        <v>325</v>
      </c>
      <c r="E389" s="11">
        <v>70.58</v>
      </c>
      <c r="F389" t="s">
        <v>30</v>
      </c>
      <c r="G389" t="s">
        <v>130</v>
      </c>
      <c r="H389" t="s">
        <v>290</v>
      </c>
      <c r="I389" t="s">
        <v>22</v>
      </c>
      <c r="J389" t="s">
        <v>23</v>
      </c>
      <c r="K389" s="57">
        <f>K388+dis_table[[#This Row],[Amount]]</f>
        <v>5782.6399999999967</v>
      </c>
    </row>
    <row r="390" spans="1:11" hidden="1" x14ac:dyDescent="0.25">
      <c r="A390" s="1">
        <v>388</v>
      </c>
      <c r="B390" s="10">
        <v>44701</v>
      </c>
      <c r="C390" s="10">
        <v>44701</v>
      </c>
      <c r="D390" t="s">
        <v>255</v>
      </c>
      <c r="E390" s="11">
        <v>7.2</v>
      </c>
      <c r="F390" t="s">
        <v>30</v>
      </c>
      <c r="G390" t="s">
        <v>76</v>
      </c>
      <c r="H390" t="s">
        <v>290</v>
      </c>
      <c r="I390" t="s">
        <v>15</v>
      </c>
      <c r="J390" t="s">
        <v>42</v>
      </c>
      <c r="K390" s="57">
        <f>K389+dis_table[[#This Row],[Amount]]</f>
        <v>5789.8399999999965</v>
      </c>
    </row>
    <row r="391" spans="1:11" hidden="1" x14ac:dyDescent="0.25">
      <c r="A391" s="1">
        <v>389</v>
      </c>
      <c r="B391" s="10">
        <v>44701</v>
      </c>
      <c r="C391" s="10">
        <v>44701</v>
      </c>
      <c r="D391" t="s">
        <v>255</v>
      </c>
      <c r="E391" s="11">
        <v>48.05</v>
      </c>
      <c r="F391" t="s">
        <v>30</v>
      </c>
      <c r="G391" t="s">
        <v>76</v>
      </c>
      <c r="H391" t="s">
        <v>290</v>
      </c>
      <c r="I391" t="s">
        <v>15</v>
      </c>
      <c r="J391" t="s">
        <v>42</v>
      </c>
      <c r="K391" s="57">
        <f>K390+dis_table[[#This Row],[Amount]]</f>
        <v>5837.8899999999967</v>
      </c>
    </row>
    <row r="392" spans="1:11" hidden="1" x14ac:dyDescent="0.25">
      <c r="A392" s="1">
        <v>390</v>
      </c>
      <c r="B392" s="10">
        <v>44703</v>
      </c>
      <c r="C392" s="10">
        <v>44703</v>
      </c>
      <c r="D392" t="s">
        <v>255</v>
      </c>
      <c r="E392" s="11">
        <v>9.39</v>
      </c>
      <c r="F392" t="s">
        <v>30</v>
      </c>
      <c r="G392" t="s">
        <v>76</v>
      </c>
      <c r="H392" t="s">
        <v>290</v>
      </c>
      <c r="I392" t="s">
        <v>15</v>
      </c>
      <c r="J392" t="s">
        <v>42</v>
      </c>
      <c r="K392" s="57">
        <f>K391+dis_table[[#This Row],[Amount]]</f>
        <v>5847.279999999997</v>
      </c>
    </row>
    <row r="393" spans="1:11" hidden="1" x14ac:dyDescent="0.25">
      <c r="A393" s="1">
        <v>391</v>
      </c>
      <c r="B393" s="10">
        <v>44706</v>
      </c>
      <c r="C393" s="10">
        <v>44706</v>
      </c>
      <c r="D393" t="s">
        <v>326</v>
      </c>
      <c r="E393" s="11">
        <v>30.08</v>
      </c>
      <c r="F393" t="s">
        <v>12</v>
      </c>
      <c r="G393" t="s">
        <v>185</v>
      </c>
      <c r="H393" t="s">
        <v>290</v>
      </c>
      <c r="I393" t="s">
        <v>15</v>
      </c>
      <c r="J393" t="s">
        <v>16</v>
      </c>
      <c r="K393" s="57">
        <f>K392+dis_table[[#This Row],[Amount]]</f>
        <v>5877.3599999999969</v>
      </c>
    </row>
    <row r="394" spans="1:11" hidden="1" x14ac:dyDescent="0.25">
      <c r="A394" s="1">
        <v>392</v>
      </c>
      <c r="B394" s="10">
        <v>44706</v>
      </c>
      <c r="C394" s="10">
        <v>44706</v>
      </c>
      <c r="D394" t="s">
        <v>255</v>
      </c>
      <c r="E394" s="11">
        <v>7.66</v>
      </c>
      <c r="F394" t="s">
        <v>30</v>
      </c>
      <c r="G394" t="s">
        <v>76</v>
      </c>
      <c r="H394" t="s">
        <v>290</v>
      </c>
      <c r="I394" t="s">
        <v>15</v>
      </c>
      <c r="J394" t="s">
        <v>42</v>
      </c>
      <c r="K394" s="57">
        <f>K393+dis_table[[#This Row],[Amount]]</f>
        <v>5885.0199999999968</v>
      </c>
    </row>
    <row r="395" spans="1:11" hidden="1" x14ac:dyDescent="0.25">
      <c r="A395" s="1">
        <v>393</v>
      </c>
      <c r="B395" s="10">
        <v>44706</v>
      </c>
      <c r="C395" s="10">
        <v>44706</v>
      </c>
      <c r="D395" t="s">
        <v>327</v>
      </c>
      <c r="E395" s="11">
        <v>9.69</v>
      </c>
      <c r="F395" t="s">
        <v>12</v>
      </c>
      <c r="G395" t="s">
        <v>18</v>
      </c>
      <c r="H395" t="s">
        <v>290</v>
      </c>
      <c r="I395" t="s">
        <v>15</v>
      </c>
      <c r="J395" t="s">
        <v>16</v>
      </c>
      <c r="K395" s="57">
        <f>K394+dis_table[[#This Row],[Amount]]</f>
        <v>5894.7099999999964</v>
      </c>
    </row>
    <row r="396" spans="1:11" hidden="1" x14ac:dyDescent="0.25">
      <c r="A396" s="1">
        <v>394</v>
      </c>
      <c r="B396" s="10">
        <v>44706</v>
      </c>
      <c r="C396" s="10">
        <v>44706</v>
      </c>
      <c r="D396" t="s">
        <v>328</v>
      </c>
      <c r="E396" s="11">
        <v>4.3499999999999996</v>
      </c>
      <c r="F396" t="s">
        <v>12</v>
      </c>
      <c r="G396" t="s">
        <v>185</v>
      </c>
      <c r="H396" t="s">
        <v>290</v>
      </c>
      <c r="I396" t="s">
        <v>15</v>
      </c>
      <c r="J396" t="s">
        <v>16</v>
      </c>
      <c r="K396" s="57">
        <f>K395+dis_table[[#This Row],[Amount]]</f>
        <v>5899.0599999999968</v>
      </c>
    </row>
    <row r="397" spans="1:11" hidden="1" x14ac:dyDescent="0.25">
      <c r="A397" s="1">
        <v>395</v>
      </c>
      <c r="B397" s="10">
        <v>44706</v>
      </c>
      <c r="C397" s="10">
        <v>44706</v>
      </c>
      <c r="D397" t="s">
        <v>329</v>
      </c>
      <c r="E397" s="11">
        <v>12.6</v>
      </c>
      <c r="F397" t="s">
        <v>12</v>
      </c>
      <c r="G397" t="s">
        <v>185</v>
      </c>
      <c r="H397" t="s">
        <v>290</v>
      </c>
      <c r="I397" t="s">
        <v>15</v>
      </c>
      <c r="J397" t="s">
        <v>16</v>
      </c>
      <c r="K397" s="57">
        <f>K396+dis_table[[#This Row],[Amount]]</f>
        <v>5911.6599999999971</v>
      </c>
    </row>
    <row r="398" spans="1:11" hidden="1" x14ac:dyDescent="0.25">
      <c r="A398" s="1">
        <v>396</v>
      </c>
      <c r="B398" s="10">
        <v>44707</v>
      </c>
      <c r="C398" s="10">
        <v>44707</v>
      </c>
      <c r="D398" t="s">
        <v>330</v>
      </c>
      <c r="E398" s="11">
        <v>21.65</v>
      </c>
      <c r="F398" t="s">
        <v>12</v>
      </c>
      <c r="G398" t="s">
        <v>185</v>
      </c>
      <c r="H398" t="s">
        <v>290</v>
      </c>
      <c r="I398" t="s">
        <v>15</v>
      </c>
      <c r="J398" t="s">
        <v>16</v>
      </c>
      <c r="K398" s="57">
        <f>K397+dis_table[[#This Row],[Amount]]</f>
        <v>5933.3099999999968</v>
      </c>
    </row>
    <row r="399" spans="1:11" hidden="1" x14ac:dyDescent="0.25">
      <c r="A399" s="1">
        <v>397</v>
      </c>
      <c r="B399" s="10">
        <v>44707</v>
      </c>
      <c r="C399" s="10">
        <v>44707</v>
      </c>
      <c r="D399" t="s">
        <v>331</v>
      </c>
      <c r="E399" s="11">
        <v>3.56</v>
      </c>
      <c r="F399" t="s">
        <v>12</v>
      </c>
      <c r="G399" t="s">
        <v>185</v>
      </c>
      <c r="H399" t="s">
        <v>290</v>
      </c>
      <c r="I399" t="s">
        <v>15</v>
      </c>
      <c r="J399" t="s">
        <v>16</v>
      </c>
      <c r="K399" s="57">
        <f>K398+dis_table[[#This Row],[Amount]]</f>
        <v>5936.8699999999972</v>
      </c>
    </row>
    <row r="400" spans="1:11" hidden="1" x14ac:dyDescent="0.25">
      <c r="A400" s="1">
        <v>398</v>
      </c>
      <c r="B400" s="10">
        <v>44707</v>
      </c>
      <c r="C400" s="10">
        <v>44707</v>
      </c>
      <c r="D400" t="s">
        <v>332</v>
      </c>
      <c r="E400" s="11">
        <v>7.66</v>
      </c>
      <c r="F400" t="s">
        <v>12</v>
      </c>
      <c r="G400" t="s">
        <v>185</v>
      </c>
      <c r="H400" t="s">
        <v>290</v>
      </c>
      <c r="I400" t="s">
        <v>15</v>
      </c>
      <c r="J400" t="s">
        <v>16</v>
      </c>
      <c r="K400" s="57">
        <f>K399+dis_table[[#This Row],[Amount]]</f>
        <v>5944.529999999997</v>
      </c>
    </row>
    <row r="401" spans="1:11" hidden="1" x14ac:dyDescent="0.25">
      <c r="A401" s="1">
        <v>399</v>
      </c>
      <c r="B401" s="10">
        <v>44707</v>
      </c>
      <c r="C401" s="10">
        <v>44707</v>
      </c>
      <c r="D401" t="s">
        <v>333</v>
      </c>
      <c r="E401" s="11">
        <v>13.15</v>
      </c>
      <c r="F401" t="s">
        <v>30</v>
      </c>
      <c r="G401" t="s">
        <v>147</v>
      </c>
      <c r="H401" t="s">
        <v>290</v>
      </c>
      <c r="I401" t="s">
        <v>15</v>
      </c>
      <c r="J401" t="s">
        <v>23</v>
      </c>
      <c r="K401" s="57">
        <f>K400+dis_table[[#This Row],[Amount]]</f>
        <v>5957.6799999999967</v>
      </c>
    </row>
    <row r="402" spans="1:11" hidden="1" x14ac:dyDescent="0.25">
      <c r="A402" s="1">
        <v>400</v>
      </c>
      <c r="B402" s="10">
        <v>44707</v>
      </c>
      <c r="C402" s="10">
        <v>44707</v>
      </c>
      <c r="D402" t="s">
        <v>237</v>
      </c>
      <c r="E402" s="11">
        <v>9.39</v>
      </c>
      <c r="F402" t="s">
        <v>30</v>
      </c>
      <c r="G402" t="s">
        <v>76</v>
      </c>
      <c r="H402" t="s">
        <v>290</v>
      </c>
      <c r="I402" t="s">
        <v>15</v>
      </c>
      <c r="J402" t="s">
        <v>42</v>
      </c>
      <c r="K402" s="57">
        <f>K401+dis_table[[#This Row],[Amount]]</f>
        <v>5967.069999999997</v>
      </c>
    </row>
    <row r="403" spans="1:11" hidden="1" x14ac:dyDescent="0.25">
      <c r="A403" s="1">
        <v>401</v>
      </c>
      <c r="B403" s="10">
        <v>44708</v>
      </c>
      <c r="C403" s="10">
        <v>44708</v>
      </c>
      <c r="D403" t="s">
        <v>334</v>
      </c>
      <c r="E403" s="11">
        <v>9.75</v>
      </c>
      <c r="F403" t="s">
        <v>30</v>
      </c>
      <c r="G403" t="s">
        <v>59</v>
      </c>
      <c r="H403" t="s">
        <v>290</v>
      </c>
      <c r="I403" t="s">
        <v>15</v>
      </c>
      <c r="J403" t="s">
        <v>60</v>
      </c>
      <c r="K403" s="57">
        <f>K402+dis_table[[#This Row],[Amount]]</f>
        <v>5976.819999999997</v>
      </c>
    </row>
    <row r="404" spans="1:11" hidden="1" x14ac:dyDescent="0.25">
      <c r="A404" s="1">
        <v>402</v>
      </c>
      <c r="B404" s="10">
        <v>44709</v>
      </c>
      <c r="C404" s="10">
        <v>44709</v>
      </c>
      <c r="D404" t="s">
        <v>326</v>
      </c>
      <c r="E404" s="11">
        <v>38.99</v>
      </c>
      <c r="F404" t="s">
        <v>12</v>
      </c>
      <c r="G404" t="s">
        <v>185</v>
      </c>
      <c r="H404" t="s">
        <v>290</v>
      </c>
      <c r="I404" t="s">
        <v>15</v>
      </c>
      <c r="J404" t="s">
        <v>16</v>
      </c>
      <c r="K404" s="57">
        <f>K403+dis_table[[#This Row],[Amount]]</f>
        <v>6015.8099999999968</v>
      </c>
    </row>
    <row r="405" spans="1:11" hidden="1" x14ac:dyDescent="0.25">
      <c r="A405" s="1">
        <v>403</v>
      </c>
      <c r="B405" s="10">
        <v>44710</v>
      </c>
      <c r="C405" s="10">
        <v>44710</v>
      </c>
      <c r="D405" t="s">
        <v>335</v>
      </c>
      <c r="E405" s="11">
        <v>16.28</v>
      </c>
      <c r="F405" t="s">
        <v>20</v>
      </c>
      <c r="G405" t="s">
        <v>316</v>
      </c>
      <c r="H405" t="s">
        <v>290</v>
      </c>
      <c r="I405" t="s">
        <v>15</v>
      </c>
      <c r="J405" t="s">
        <v>23</v>
      </c>
      <c r="K405" s="57">
        <f>K404+dis_table[[#This Row],[Amount]]</f>
        <v>6032.0899999999965</v>
      </c>
    </row>
    <row r="406" spans="1:11" hidden="1" x14ac:dyDescent="0.25">
      <c r="A406" s="1">
        <v>404</v>
      </c>
      <c r="B406" s="10">
        <v>44710</v>
      </c>
      <c r="C406" s="10">
        <v>44710</v>
      </c>
      <c r="D406" t="s">
        <v>336</v>
      </c>
      <c r="E406" s="11">
        <v>3.17</v>
      </c>
      <c r="F406" t="s">
        <v>20</v>
      </c>
      <c r="G406" t="s">
        <v>337</v>
      </c>
      <c r="H406" t="s">
        <v>290</v>
      </c>
      <c r="I406" t="s">
        <v>22</v>
      </c>
      <c r="J406" t="s">
        <v>23</v>
      </c>
      <c r="K406" s="57">
        <f>K405+dis_table[[#This Row],[Amount]]</f>
        <v>6035.2599999999966</v>
      </c>
    </row>
    <row r="407" spans="1:11" hidden="1" x14ac:dyDescent="0.25">
      <c r="A407" s="1">
        <v>405</v>
      </c>
      <c r="B407" s="10">
        <v>44711</v>
      </c>
      <c r="C407" s="10">
        <v>44711</v>
      </c>
      <c r="D407" t="s">
        <v>343</v>
      </c>
      <c r="E407" s="11">
        <v>43.43</v>
      </c>
      <c r="F407" t="s">
        <v>20</v>
      </c>
      <c r="G407" t="s">
        <v>277</v>
      </c>
      <c r="H407" t="s">
        <v>290</v>
      </c>
      <c r="I407" t="s">
        <v>15</v>
      </c>
      <c r="J407" t="s">
        <v>32</v>
      </c>
      <c r="K407" s="57">
        <f>K406+dis_table[[#This Row],[Amount]]</f>
        <v>6078.6899999999969</v>
      </c>
    </row>
    <row r="408" spans="1:11" hidden="1" x14ac:dyDescent="0.25">
      <c r="A408" s="1">
        <v>406</v>
      </c>
      <c r="B408" s="10">
        <v>44712</v>
      </c>
      <c r="C408" s="10">
        <v>44712</v>
      </c>
      <c r="D408" t="s">
        <v>344</v>
      </c>
      <c r="E408" s="11">
        <v>17.52</v>
      </c>
      <c r="F408" t="s">
        <v>20</v>
      </c>
      <c r="G408" t="s">
        <v>34</v>
      </c>
      <c r="H408" t="s">
        <v>290</v>
      </c>
      <c r="I408" t="s">
        <v>15</v>
      </c>
      <c r="J408" t="s">
        <v>32</v>
      </c>
      <c r="K408" s="57">
        <f>K407+dis_table[[#This Row],[Amount]]</f>
        <v>6096.2099999999973</v>
      </c>
    </row>
    <row r="409" spans="1:11" hidden="1" x14ac:dyDescent="0.25">
      <c r="A409" s="1">
        <v>407</v>
      </c>
      <c r="B409" s="10">
        <v>44712</v>
      </c>
      <c r="C409" s="10">
        <v>44712</v>
      </c>
      <c r="D409" t="s">
        <v>326</v>
      </c>
      <c r="E409" s="11">
        <v>32.14</v>
      </c>
      <c r="F409" t="s">
        <v>12</v>
      </c>
      <c r="G409" t="s">
        <v>185</v>
      </c>
      <c r="H409" t="s">
        <v>290</v>
      </c>
      <c r="I409" t="s">
        <v>15</v>
      </c>
      <c r="J409" t="s">
        <v>16</v>
      </c>
      <c r="K409" s="57">
        <f>K408+dis_table[[#This Row],[Amount]]</f>
        <v>6128.3499999999976</v>
      </c>
    </row>
    <row r="410" spans="1:11" hidden="1" x14ac:dyDescent="0.25">
      <c r="A410" s="1">
        <v>408</v>
      </c>
      <c r="B410" s="10">
        <v>44712</v>
      </c>
      <c r="C410" s="10">
        <v>44712</v>
      </c>
      <c r="D410" t="s">
        <v>326</v>
      </c>
      <c r="E410" s="11">
        <v>13.36</v>
      </c>
      <c r="F410" t="s">
        <v>12</v>
      </c>
      <c r="G410" t="s">
        <v>185</v>
      </c>
      <c r="H410" t="s">
        <v>290</v>
      </c>
      <c r="I410" t="s">
        <v>15</v>
      </c>
      <c r="J410" t="s">
        <v>16</v>
      </c>
      <c r="K410" s="57">
        <f>K409+dis_table[[#This Row],[Amount]]</f>
        <v>6141.7099999999973</v>
      </c>
    </row>
    <row r="411" spans="1:11" hidden="1" x14ac:dyDescent="0.25">
      <c r="A411" s="1">
        <v>409</v>
      </c>
      <c r="B411" s="10">
        <v>44712</v>
      </c>
      <c r="C411" s="10">
        <v>44712</v>
      </c>
      <c r="D411" t="s">
        <v>326</v>
      </c>
      <c r="E411" s="11">
        <v>5.41</v>
      </c>
      <c r="F411" t="s">
        <v>12</v>
      </c>
      <c r="G411" t="s">
        <v>185</v>
      </c>
      <c r="H411" t="s">
        <v>290</v>
      </c>
      <c r="I411" t="s">
        <v>15</v>
      </c>
      <c r="J411" t="s">
        <v>16</v>
      </c>
      <c r="K411" s="57">
        <f>K410+dis_table[[#This Row],[Amount]]</f>
        <v>6147.1199999999972</v>
      </c>
    </row>
    <row r="412" spans="1:11" hidden="1" x14ac:dyDescent="0.25">
      <c r="A412" s="1">
        <v>410</v>
      </c>
      <c r="B412" s="10">
        <v>44714</v>
      </c>
      <c r="C412" s="10">
        <v>44714</v>
      </c>
      <c r="D412" t="s">
        <v>319</v>
      </c>
      <c r="E412" s="11">
        <v>99.24</v>
      </c>
      <c r="F412" t="s">
        <v>320</v>
      </c>
      <c r="G412" t="s">
        <v>321</v>
      </c>
      <c r="H412" t="s">
        <v>364</v>
      </c>
      <c r="I412" t="s">
        <v>15</v>
      </c>
      <c r="K412" s="57">
        <f>K411+dis_table[[#This Row],[Amount]]</f>
        <v>6246.3599999999969</v>
      </c>
    </row>
    <row r="413" spans="1:11" hidden="1" x14ac:dyDescent="0.25">
      <c r="A413" s="1">
        <v>411</v>
      </c>
      <c r="B413" s="10">
        <v>44713</v>
      </c>
      <c r="C413" s="10">
        <v>44715</v>
      </c>
      <c r="D413" t="s">
        <v>19</v>
      </c>
      <c r="E413" s="11">
        <v>10.59</v>
      </c>
      <c r="F413" t="s">
        <v>20</v>
      </c>
      <c r="G413" t="s">
        <v>21</v>
      </c>
      <c r="H413" t="s">
        <v>364</v>
      </c>
      <c r="I413" t="s">
        <v>22</v>
      </c>
      <c r="J413" t="s">
        <v>23</v>
      </c>
      <c r="K413" s="57">
        <f>K412+dis_table[[#This Row],[Amount]]</f>
        <v>6256.9499999999971</v>
      </c>
    </row>
    <row r="414" spans="1:11" hidden="1" x14ac:dyDescent="0.25">
      <c r="A414" s="1">
        <v>412</v>
      </c>
      <c r="B414" s="10">
        <v>44713</v>
      </c>
      <c r="C414" s="10">
        <v>44715</v>
      </c>
      <c r="D414" t="s">
        <v>365</v>
      </c>
      <c r="E414" s="11">
        <v>9.99</v>
      </c>
      <c r="F414" t="s">
        <v>20</v>
      </c>
      <c r="G414" t="s">
        <v>25</v>
      </c>
      <c r="H414" t="s">
        <v>364</v>
      </c>
      <c r="I414" t="s">
        <v>22</v>
      </c>
      <c r="J414" t="s">
        <v>23</v>
      </c>
      <c r="K414" s="57">
        <f>K413+dis_table[[#This Row],[Amount]]</f>
        <v>6266.9399999999969</v>
      </c>
    </row>
    <row r="415" spans="1:11" hidden="1" x14ac:dyDescent="0.25">
      <c r="A415" s="1">
        <v>413</v>
      </c>
      <c r="B415" s="10">
        <v>44714</v>
      </c>
      <c r="C415" s="10">
        <v>44715</v>
      </c>
      <c r="D415" t="s">
        <v>77</v>
      </c>
      <c r="E415" s="11">
        <v>10</v>
      </c>
      <c r="F415" t="s">
        <v>20</v>
      </c>
      <c r="G415" t="s">
        <v>78</v>
      </c>
      <c r="H415" t="s">
        <v>364</v>
      </c>
      <c r="I415" t="s">
        <v>22</v>
      </c>
      <c r="J415" t="s">
        <v>23</v>
      </c>
      <c r="K415" s="57">
        <f>K414+dis_table[[#This Row],[Amount]]</f>
        <v>6276.9399999999969</v>
      </c>
    </row>
    <row r="416" spans="1:11" hidden="1" x14ac:dyDescent="0.25">
      <c r="A416" s="1">
        <v>414</v>
      </c>
      <c r="B416" s="10">
        <v>44715</v>
      </c>
      <c r="C416" s="10">
        <v>44715</v>
      </c>
      <c r="D416" t="s">
        <v>36</v>
      </c>
      <c r="E416" s="11">
        <v>-1000</v>
      </c>
      <c r="F416" t="s">
        <v>37</v>
      </c>
      <c r="G416" t="s">
        <v>38</v>
      </c>
      <c r="H416" t="s">
        <v>364</v>
      </c>
      <c r="I416" t="s">
        <v>15</v>
      </c>
      <c r="K416" s="57">
        <f>K415+dis_table[[#This Row],[Amount]]</f>
        <v>5276.9399999999969</v>
      </c>
    </row>
    <row r="417" spans="1:11" hidden="1" x14ac:dyDescent="0.25">
      <c r="A417" s="1">
        <v>415</v>
      </c>
      <c r="B417" s="10">
        <v>44715</v>
      </c>
      <c r="C417" s="10">
        <v>44715</v>
      </c>
      <c r="D417" t="s">
        <v>108</v>
      </c>
      <c r="E417" s="11">
        <v>79.38</v>
      </c>
      <c r="F417" t="s">
        <v>20</v>
      </c>
      <c r="G417" t="s">
        <v>109</v>
      </c>
      <c r="H417" t="s">
        <v>364</v>
      </c>
      <c r="I417" t="s">
        <v>22</v>
      </c>
      <c r="J417" t="s">
        <v>110</v>
      </c>
      <c r="K417" s="57">
        <f>K416+dis_table[[#This Row],[Amount]]</f>
        <v>5356.319999999997</v>
      </c>
    </row>
    <row r="418" spans="1:11" hidden="1" x14ac:dyDescent="0.25">
      <c r="A418" s="1">
        <v>416</v>
      </c>
      <c r="B418" s="10">
        <v>44716</v>
      </c>
      <c r="C418" s="10">
        <v>44716</v>
      </c>
      <c r="D418" t="s">
        <v>414</v>
      </c>
      <c r="E418" s="11">
        <v>9.32</v>
      </c>
      <c r="F418" t="s">
        <v>53</v>
      </c>
      <c r="G418" t="s">
        <v>54</v>
      </c>
      <c r="H418" t="s">
        <v>364</v>
      </c>
      <c r="I418" t="s">
        <v>15</v>
      </c>
      <c r="J418" t="s">
        <v>16</v>
      </c>
      <c r="K418" s="57">
        <f>K417+dis_table[[#This Row],[Amount]]</f>
        <v>5365.6399999999967</v>
      </c>
    </row>
    <row r="419" spans="1:11" hidden="1" x14ac:dyDescent="0.25">
      <c r="A419" s="1">
        <v>417</v>
      </c>
      <c r="B419" s="10">
        <v>44716</v>
      </c>
      <c r="C419" s="10">
        <v>44716</v>
      </c>
      <c r="D419" t="s">
        <v>415</v>
      </c>
      <c r="E419" s="11">
        <v>6.5</v>
      </c>
      <c r="F419" t="s">
        <v>53</v>
      </c>
      <c r="G419" t="s">
        <v>13</v>
      </c>
      <c r="H419" t="s">
        <v>364</v>
      </c>
      <c r="I419" t="s">
        <v>15</v>
      </c>
      <c r="J419" t="s">
        <v>16</v>
      </c>
      <c r="K419" s="57">
        <f>K418+dis_table[[#This Row],[Amount]]</f>
        <v>5372.1399999999967</v>
      </c>
    </row>
    <row r="420" spans="1:11" hidden="1" x14ac:dyDescent="0.25">
      <c r="A420" s="1">
        <v>418</v>
      </c>
      <c r="B420" s="10">
        <v>44716</v>
      </c>
      <c r="C420" s="10">
        <v>44716</v>
      </c>
      <c r="D420" t="s">
        <v>416</v>
      </c>
      <c r="E420" s="11">
        <v>21.19</v>
      </c>
      <c r="F420" t="s">
        <v>12</v>
      </c>
      <c r="G420" t="s">
        <v>13</v>
      </c>
      <c r="H420" t="s">
        <v>364</v>
      </c>
      <c r="I420" t="s">
        <v>15</v>
      </c>
      <c r="J420" t="s">
        <v>16</v>
      </c>
      <c r="K420" s="57">
        <f>K419+dis_table[[#This Row],[Amount]]</f>
        <v>5393.3299999999963</v>
      </c>
    </row>
    <row r="421" spans="1:11" hidden="1" x14ac:dyDescent="0.25">
      <c r="A421" s="1">
        <v>419</v>
      </c>
      <c r="B421" s="10">
        <v>44717</v>
      </c>
      <c r="C421" s="10">
        <v>44717</v>
      </c>
      <c r="D421" t="s">
        <v>417</v>
      </c>
      <c r="E421" s="11">
        <v>433.95</v>
      </c>
      <c r="F421" t="s">
        <v>30</v>
      </c>
      <c r="G421" t="s">
        <v>135</v>
      </c>
      <c r="H421" t="s">
        <v>364</v>
      </c>
      <c r="I421" t="s">
        <v>15</v>
      </c>
      <c r="J421" t="s">
        <v>23</v>
      </c>
      <c r="K421" s="57">
        <f>K420+dis_table[[#This Row],[Amount]]</f>
        <v>5827.2799999999961</v>
      </c>
    </row>
    <row r="422" spans="1:11" hidden="1" x14ac:dyDescent="0.25">
      <c r="A422" s="1">
        <v>420</v>
      </c>
      <c r="B422" s="10">
        <v>44717</v>
      </c>
      <c r="C422" s="10">
        <v>44717</v>
      </c>
      <c r="D422" t="s">
        <v>256</v>
      </c>
      <c r="E422" s="11">
        <v>6.37</v>
      </c>
      <c r="F422" t="s">
        <v>20</v>
      </c>
      <c r="G422" t="s">
        <v>80</v>
      </c>
      <c r="H422" t="s">
        <v>364</v>
      </c>
      <c r="I422" t="s">
        <v>15</v>
      </c>
      <c r="J422" t="s">
        <v>23</v>
      </c>
      <c r="K422" s="57">
        <f>K421+dis_table[[#This Row],[Amount]]</f>
        <v>5833.649999999996</v>
      </c>
    </row>
    <row r="423" spans="1:11" hidden="1" x14ac:dyDescent="0.25">
      <c r="A423" s="1">
        <v>421</v>
      </c>
      <c r="B423" s="10">
        <v>44717</v>
      </c>
      <c r="C423" s="10">
        <v>44717</v>
      </c>
      <c r="D423" t="s">
        <v>237</v>
      </c>
      <c r="E423" s="11">
        <v>9.99</v>
      </c>
      <c r="F423" t="s">
        <v>30</v>
      </c>
      <c r="G423" t="s">
        <v>76</v>
      </c>
      <c r="H423" t="s">
        <v>364</v>
      </c>
      <c r="I423" t="s">
        <v>15</v>
      </c>
      <c r="J423" t="s">
        <v>42</v>
      </c>
      <c r="K423" s="57">
        <f>K422+dis_table[[#This Row],[Amount]]</f>
        <v>5843.6399999999958</v>
      </c>
    </row>
    <row r="424" spans="1:11" hidden="1" x14ac:dyDescent="0.25">
      <c r="A424" s="1">
        <v>422</v>
      </c>
      <c r="B424" s="10">
        <v>44717</v>
      </c>
      <c r="C424" s="10">
        <v>44717</v>
      </c>
      <c r="D424" t="s">
        <v>268</v>
      </c>
      <c r="E424" s="11">
        <v>12.75</v>
      </c>
      <c r="F424" t="s">
        <v>20</v>
      </c>
      <c r="G424" t="s">
        <v>80</v>
      </c>
      <c r="H424" t="s">
        <v>364</v>
      </c>
      <c r="I424" t="s">
        <v>15</v>
      </c>
      <c r="J424" t="s">
        <v>23</v>
      </c>
      <c r="K424" s="57">
        <f>K423+dis_table[[#This Row],[Amount]]</f>
        <v>5856.3899999999958</v>
      </c>
    </row>
    <row r="425" spans="1:11" hidden="1" x14ac:dyDescent="0.25">
      <c r="A425" s="1">
        <v>423</v>
      </c>
      <c r="B425" s="10">
        <v>44718</v>
      </c>
      <c r="C425" s="10">
        <v>44718</v>
      </c>
      <c r="D425" t="s">
        <v>258</v>
      </c>
      <c r="E425" s="11">
        <v>7.93</v>
      </c>
      <c r="F425" t="s">
        <v>12</v>
      </c>
      <c r="G425" t="s">
        <v>76</v>
      </c>
      <c r="H425" t="s">
        <v>364</v>
      </c>
      <c r="I425" t="s">
        <v>15</v>
      </c>
      <c r="J425" t="s">
        <v>42</v>
      </c>
      <c r="K425" s="57">
        <f>K424+dis_table[[#This Row],[Amount]]</f>
        <v>5864.3199999999961</v>
      </c>
    </row>
    <row r="426" spans="1:11" hidden="1" x14ac:dyDescent="0.25">
      <c r="A426" s="1">
        <v>424</v>
      </c>
      <c r="B426" s="10">
        <v>44718</v>
      </c>
      <c r="C426" s="10">
        <v>44718</v>
      </c>
      <c r="D426" t="s">
        <v>258</v>
      </c>
      <c r="E426" s="11">
        <v>51.41</v>
      </c>
      <c r="F426" t="s">
        <v>12</v>
      </c>
      <c r="G426" t="s">
        <v>76</v>
      </c>
      <c r="H426" t="s">
        <v>364</v>
      </c>
      <c r="I426" t="s">
        <v>15</v>
      </c>
      <c r="J426" t="s">
        <v>42</v>
      </c>
      <c r="K426" s="57">
        <f>K425+dis_table[[#This Row],[Amount]]</f>
        <v>5915.7299999999959</v>
      </c>
    </row>
    <row r="427" spans="1:11" hidden="1" x14ac:dyDescent="0.25">
      <c r="A427" s="1">
        <v>425</v>
      </c>
      <c r="B427" s="10">
        <v>44720</v>
      </c>
      <c r="C427" s="10">
        <v>44720</v>
      </c>
      <c r="D427" t="s">
        <v>326</v>
      </c>
      <c r="E427" s="11">
        <v>13.36</v>
      </c>
      <c r="F427" t="s">
        <v>12</v>
      </c>
      <c r="G427" t="s">
        <v>185</v>
      </c>
      <c r="H427" t="s">
        <v>364</v>
      </c>
      <c r="I427" t="s">
        <v>15</v>
      </c>
      <c r="J427" t="s">
        <v>16</v>
      </c>
      <c r="K427" s="57">
        <f>K426+dis_table[[#This Row],[Amount]]</f>
        <v>5929.0899999999956</v>
      </c>
    </row>
    <row r="428" spans="1:11" hidden="1" x14ac:dyDescent="0.25">
      <c r="A428" s="1">
        <v>426</v>
      </c>
      <c r="B428" s="10">
        <v>44720</v>
      </c>
      <c r="C428" s="10">
        <v>44720</v>
      </c>
      <c r="D428" t="s">
        <v>418</v>
      </c>
      <c r="E428" s="11">
        <v>52.45</v>
      </c>
      <c r="F428" t="s">
        <v>12</v>
      </c>
      <c r="G428" t="s">
        <v>18</v>
      </c>
      <c r="H428" t="s">
        <v>364</v>
      </c>
      <c r="I428" t="s">
        <v>15</v>
      </c>
      <c r="J428" t="s">
        <v>16</v>
      </c>
      <c r="K428" s="57">
        <f>K427+dis_table[[#This Row],[Amount]]</f>
        <v>5981.5399999999954</v>
      </c>
    </row>
    <row r="429" spans="1:11" hidden="1" x14ac:dyDescent="0.25">
      <c r="A429" s="1">
        <v>427</v>
      </c>
      <c r="B429" s="10">
        <v>44721</v>
      </c>
      <c r="C429" s="10">
        <v>44721</v>
      </c>
      <c r="D429" t="s">
        <v>419</v>
      </c>
      <c r="E429" s="11">
        <v>18.8</v>
      </c>
      <c r="F429" t="s">
        <v>20</v>
      </c>
      <c r="G429" t="s">
        <v>13</v>
      </c>
      <c r="H429" t="s">
        <v>364</v>
      </c>
      <c r="I429" t="s">
        <v>15</v>
      </c>
      <c r="J429" t="s">
        <v>16</v>
      </c>
      <c r="K429" s="57">
        <f>K428+dis_table[[#This Row],[Amount]]</f>
        <v>6000.3399999999956</v>
      </c>
    </row>
    <row r="430" spans="1:11" hidden="1" x14ac:dyDescent="0.25">
      <c r="A430" s="1">
        <v>428</v>
      </c>
      <c r="B430" s="10">
        <v>44722</v>
      </c>
      <c r="C430" s="10">
        <v>44722</v>
      </c>
      <c r="D430" t="s">
        <v>268</v>
      </c>
      <c r="E430" s="11">
        <v>10.62</v>
      </c>
      <c r="F430" t="s">
        <v>20</v>
      </c>
      <c r="G430" t="s">
        <v>80</v>
      </c>
      <c r="H430" t="s">
        <v>364</v>
      </c>
      <c r="I430" t="s">
        <v>15</v>
      </c>
      <c r="J430" t="s">
        <v>23</v>
      </c>
      <c r="K430" s="57">
        <f>K429+dis_table[[#This Row],[Amount]]</f>
        <v>6010.9599999999955</v>
      </c>
    </row>
    <row r="431" spans="1:11" hidden="1" x14ac:dyDescent="0.25">
      <c r="A431" s="1">
        <v>429</v>
      </c>
      <c r="B431" s="10">
        <v>44722</v>
      </c>
      <c r="C431" s="10">
        <v>44722</v>
      </c>
      <c r="D431" t="s">
        <v>256</v>
      </c>
      <c r="E431" s="11">
        <v>8.5</v>
      </c>
      <c r="F431" t="s">
        <v>20</v>
      </c>
      <c r="G431" t="s">
        <v>80</v>
      </c>
      <c r="H431" t="s">
        <v>364</v>
      </c>
      <c r="I431" t="s">
        <v>15</v>
      </c>
      <c r="J431" t="s">
        <v>23</v>
      </c>
      <c r="K431" s="57">
        <f>K430+dis_table[[#This Row],[Amount]]</f>
        <v>6019.4599999999955</v>
      </c>
    </row>
    <row r="432" spans="1:11" hidden="1" x14ac:dyDescent="0.25">
      <c r="A432" s="1">
        <v>430</v>
      </c>
      <c r="B432" s="10">
        <v>44722</v>
      </c>
      <c r="C432" s="10">
        <v>44722</v>
      </c>
      <c r="D432" t="s">
        <v>366</v>
      </c>
      <c r="E432" s="11">
        <v>15.89</v>
      </c>
      <c r="F432" t="s">
        <v>20</v>
      </c>
      <c r="G432" t="s">
        <v>49</v>
      </c>
      <c r="H432" t="s">
        <v>364</v>
      </c>
      <c r="I432" t="s">
        <v>22</v>
      </c>
      <c r="J432" t="s">
        <v>23</v>
      </c>
      <c r="K432" s="57">
        <f>K431+dis_table[[#This Row],[Amount]]</f>
        <v>6035.3499999999958</v>
      </c>
    </row>
    <row r="433" spans="1:11" hidden="1" x14ac:dyDescent="0.25">
      <c r="A433" s="1">
        <v>431</v>
      </c>
      <c r="B433" s="10">
        <v>44723</v>
      </c>
      <c r="C433" s="10">
        <v>44723</v>
      </c>
      <c r="D433" t="s">
        <v>255</v>
      </c>
      <c r="E433" s="11">
        <v>44.24</v>
      </c>
      <c r="F433" t="s">
        <v>30</v>
      </c>
      <c r="G433" t="s">
        <v>76</v>
      </c>
      <c r="H433" t="s">
        <v>364</v>
      </c>
      <c r="I433" t="s">
        <v>15</v>
      </c>
      <c r="J433" t="s">
        <v>42</v>
      </c>
      <c r="K433" s="57">
        <f>K432+dis_table[[#This Row],[Amount]]</f>
        <v>6079.5899999999956</v>
      </c>
    </row>
    <row r="434" spans="1:11" hidden="1" x14ac:dyDescent="0.25">
      <c r="A434" s="1">
        <v>432</v>
      </c>
      <c r="B434" s="10">
        <v>44723</v>
      </c>
      <c r="C434" s="10">
        <v>44723</v>
      </c>
      <c r="D434" t="s">
        <v>367</v>
      </c>
      <c r="E434" s="11">
        <v>91</v>
      </c>
      <c r="F434" t="s">
        <v>12</v>
      </c>
      <c r="G434" t="s">
        <v>18</v>
      </c>
      <c r="H434" t="s">
        <v>364</v>
      </c>
      <c r="I434" t="s">
        <v>15</v>
      </c>
      <c r="J434" t="s">
        <v>16</v>
      </c>
      <c r="K434" s="57">
        <f>K433+dis_table[[#This Row],[Amount]]</f>
        <v>6170.5899999999956</v>
      </c>
    </row>
    <row r="435" spans="1:11" hidden="1" x14ac:dyDescent="0.25">
      <c r="A435" s="1">
        <v>433</v>
      </c>
      <c r="B435" s="10">
        <v>44724</v>
      </c>
      <c r="C435" s="10">
        <v>44724</v>
      </c>
      <c r="D435" t="s">
        <v>368</v>
      </c>
      <c r="E435" s="11">
        <v>154.24</v>
      </c>
      <c r="F435" t="s">
        <v>53</v>
      </c>
      <c r="G435" t="s">
        <v>54</v>
      </c>
      <c r="H435" t="s">
        <v>364</v>
      </c>
      <c r="I435" t="s">
        <v>15</v>
      </c>
      <c r="J435" t="s">
        <v>16</v>
      </c>
      <c r="K435" s="57">
        <f>K434+dis_table[[#This Row],[Amount]]</f>
        <v>6324.8299999999954</v>
      </c>
    </row>
    <row r="436" spans="1:11" hidden="1" x14ac:dyDescent="0.25">
      <c r="A436" s="1">
        <v>434</v>
      </c>
      <c r="B436" s="10">
        <v>44725</v>
      </c>
      <c r="C436" s="10">
        <v>44725</v>
      </c>
      <c r="D436" t="s">
        <v>369</v>
      </c>
      <c r="E436" s="11">
        <v>16.28</v>
      </c>
      <c r="F436" t="s">
        <v>20</v>
      </c>
      <c r="G436" t="s">
        <v>316</v>
      </c>
      <c r="H436" t="s">
        <v>364</v>
      </c>
      <c r="I436" t="s">
        <v>15</v>
      </c>
      <c r="J436" t="s">
        <v>23</v>
      </c>
      <c r="K436" s="57">
        <f>K435+dis_table[[#This Row],[Amount]]</f>
        <v>6341.1099999999951</v>
      </c>
    </row>
    <row r="437" spans="1:11" hidden="1" x14ac:dyDescent="0.25">
      <c r="A437" s="1">
        <v>435</v>
      </c>
      <c r="B437" s="10">
        <v>44725</v>
      </c>
      <c r="C437" s="10">
        <v>44725</v>
      </c>
      <c r="D437" t="s">
        <v>370</v>
      </c>
      <c r="E437" s="11">
        <v>24.97</v>
      </c>
      <c r="F437" t="s">
        <v>20</v>
      </c>
      <c r="G437" t="s">
        <v>316</v>
      </c>
      <c r="H437" t="s">
        <v>364</v>
      </c>
      <c r="I437" t="s">
        <v>15</v>
      </c>
      <c r="J437" t="s">
        <v>23</v>
      </c>
      <c r="K437" s="57">
        <f>K436+dis_table[[#This Row],[Amount]]</f>
        <v>6366.0799999999954</v>
      </c>
    </row>
    <row r="438" spans="1:11" hidden="1" x14ac:dyDescent="0.25">
      <c r="A438" s="1">
        <v>436</v>
      </c>
      <c r="B438" s="10">
        <v>44725</v>
      </c>
      <c r="C438" s="10">
        <v>44725</v>
      </c>
      <c r="D438" t="s">
        <v>371</v>
      </c>
      <c r="E438" s="11">
        <v>110</v>
      </c>
      <c r="F438" t="s">
        <v>12</v>
      </c>
      <c r="G438" t="s">
        <v>18</v>
      </c>
      <c r="H438" t="s">
        <v>364</v>
      </c>
      <c r="I438" t="s">
        <v>15</v>
      </c>
      <c r="J438" t="s">
        <v>16</v>
      </c>
      <c r="K438" s="57">
        <f>K437+dis_table[[#This Row],[Amount]]</f>
        <v>6476.0799999999954</v>
      </c>
    </row>
    <row r="439" spans="1:11" hidden="1" x14ac:dyDescent="0.25">
      <c r="A439" s="1">
        <v>437</v>
      </c>
      <c r="B439" s="10">
        <v>44725</v>
      </c>
      <c r="C439" s="10">
        <v>44725</v>
      </c>
      <c r="D439" t="s">
        <v>372</v>
      </c>
      <c r="E439" s="11">
        <v>27.98</v>
      </c>
      <c r="F439" t="s">
        <v>20</v>
      </c>
      <c r="G439" t="s">
        <v>27</v>
      </c>
      <c r="H439" t="s">
        <v>364</v>
      </c>
      <c r="I439" t="s">
        <v>15</v>
      </c>
      <c r="K439" s="57">
        <f>K438+dis_table[[#This Row],[Amount]]</f>
        <v>6504.0599999999949</v>
      </c>
    </row>
    <row r="440" spans="1:11" hidden="1" x14ac:dyDescent="0.25">
      <c r="A440" s="1">
        <v>438</v>
      </c>
      <c r="B440" s="10">
        <v>44726</v>
      </c>
      <c r="C440" s="10">
        <v>44726</v>
      </c>
      <c r="D440" t="s">
        <v>373</v>
      </c>
      <c r="E440" s="11">
        <v>27.18</v>
      </c>
      <c r="F440" t="s">
        <v>20</v>
      </c>
      <c r="G440" t="s">
        <v>27</v>
      </c>
      <c r="H440" t="s">
        <v>364</v>
      </c>
      <c r="I440" t="s">
        <v>15</v>
      </c>
      <c r="K440" s="57">
        <f>K439+dis_table[[#This Row],[Amount]]</f>
        <v>6531.2399999999952</v>
      </c>
    </row>
    <row r="441" spans="1:11" hidden="1" x14ac:dyDescent="0.25">
      <c r="A441" s="1">
        <v>439</v>
      </c>
      <c r="B441" s="10">
        <v>44726</v>
      </c>
      <c r="C441" s="10">
        <v>44726</v>
      </c>
      <c r="D441" t="s">
        <v>374</v>
      </c>
      <c r="E441" s="11">
        <v>15.19</v>
      </c>
      <c r="F441" t="s">
        <v>20</v>
      </c>
      <c r="G441" t="s">
        <v>316</v>
      </c>
      <c r="H441" t="s">
        <v>364</v>
      </c>
      <c r="I441" t="s">
        <v>15</v>
      </c>
      <c r="J441" t="s">
        <v>23</v>
      </c>
      <c r="K441" s="57">
        <f>K440+dis_table[[#This Row],[Amount]]</f>
        <v>6546.4299999999948</v>
      </c>
    </row>
    <row r="442" spans="1:11" hidden="1" x14ac:dyDescent="0.25">
      <c r="A442" s="1">
        <v>440</v>
      </c>
      <c r="B442" s="10">
        <v>44726</v>
      </c>
      <c r="C442" s="10">
        <v>44726</v>
      </c>
      <c r="D442" t="s">
        <v>375</v>
      </c>
      <c r="E442" s="11">
        <v>7.59</v>
      </c>
      <c r="F442" t="s">
        <v>20</v>
      </c>
      <c r="G442" t="s">
        <v>316</v>
      </c>
      <c r="H442" t="s">
        <v>364</v>
      </c>
      <c r="I442" t="s">
        <v>15</v>
      </c>
      <c r="J442" t="s">
        <v>23</v>
      </c>
      <c r="K442" s="57">
        <f>K441+dis_table[[#This Row],[Amount]]</f>
        <v>6554.019999999995</v>
      </c>
    </row>
    <row r="443" spans="1:11" hidden="1" x14ac:dyDescent="0.25">
      <c r="A443" s="1">
        <v>441</v>
      </c>
      <c r="B443" s="10">
        <v>44726</v>
      </c>
      <c r="C443" s="10">
        <v>44726</v>
      </c>
      <c r="D443" t="s">
        <v>376</v>
      </c>
      <c r="E443" s="11">
        <v>16.28</v>
      </c>
      <c r="F443" t="s">
        <v>20</v>
      </c>
      <c r="G443" t="s">
        <v>316</v>
      </c>
      <c r="H443" t="s">
        <v>364</v>
      </c>
      <c r="I443" t="s">
        <v>15</v>
      </c>
      <c r="J443" t="s">
        <v>23</v>
      </c>
      <c r="K443" s="57">
        <f>K442+dis_table[[#This Row],[Amount]]</f>
        <v>6570.2999999999947</v>
      </c>
    </row>
    <row r="444" spans="1:11" hidden="1" x14ac:dyDescent="0.25">
      <c r="A444" s="1">
        <v>442</v>
      </c>
      <c r="B444" s="10">
        <v>44726</v>
      </c>
      <c r="C444" s="10">
        <v>44726</v>
      </c>
      <c r="D444" t="s">
        <v>377</v>
      </c>
      <c r="E444" s="11">
        <v>11.94</v>
      </c>
      <c r="F444" t="s">
        <v>20</v>
      </c>
      <c r="G444" t="s">
        <v>316</v>
      </c>
      <c r="H444" t="s">
        <v>364</v>
      </c>
      <c r="I444" t="s">
        <v>15</v>
      </c>
      <c r="J444" t="s">
        <v>23</v>
      </c>
      <c r="K444" s="57">
        <f>K443+dis_table[[#This Row],[Amount]]</f>
        <v>6582.2399999999943</v>
      </c>
    </row>
    <row r="445" spans="1:11" hidden="1" x14ac:dyDescent="0.25">
      <c r="A445" s="1">
        <v>443</v>
      </c>
      <c r="B445" s="10">
        <v>44726</v>
      </c>
      <c r="C445" s="10">
        <v>44726</v>
      </c>
      <c r="D445" t="s">
        <v>378</v>
      </c>
      <c r="E445" s="11">
        <v>11.94</v>
      </c>
      <c r="F445" t="s">
        <v>20</v>
      </c>
      <c r="G445" t="s">
        <v>316</v>
      </c>
      <c r="H445" t="s">
        <v>364</v>
      </c>
      <c r="I445" t="s">
        <v>15</v>
      </c>
      <c r="J445" t="s">
        <v>23</v>
      </c>
      <c r="K445" s="57">
        <f>K444+dis_table[[#This Row],[Amount]]</f>
        <v>6594.1799999999939</v>
      </c>
    </row>
    <row r="446" spans="1:11" hidden="1" x14ac:dyDescent="0.25">
      <c r="A446" s="1">
        <v>444</v>
      </c>
      <c r="B446" s="10">
        <v>44727</v>
      </c>
      <c r="C446" s="10">
        <v>44727</v>
      </c>
      <c r="D446" t="s">
        <v>379</v>
      </c>
      <c r="E446" s="11">
        <v>7.43</v>
      </c>
      <c r="F446" t="s">
        <v>20</v>
      </c>
      <c r="G446" t="s">
        <v>80</v>
      </c>
      <c r="H446" t="s">
        <v>364</v>
      </c>
      <c r="I446" t="s">
        <v>15</v>
      </c>
      <c r="J446" t="s">
        <v>23</v>
      </c>
      <c r="K446" s="57">
        <f>K445+dis_table[[#This Row],[Amount]]</f>
        <v>6601.6099999999942</v>
      </c>
    </row>
    <row r="447" spans="1:11" hidden="1" x14ac:dyDescent="0.25">
      <c r="A447" s="1">
        <v>445</v>
      </c>
      <c r="B447" s="10">
        <v>44727</v>
      </c>
      <c r="C447" s="10">
        <v>44727</v>
      </c>
      <c r="D447" t="s">
        <v>380</v>
      </c>
      <c r="E447" s="11">
        <v>3.79</v>
      </c>
      <c r="F447" t="s">
        <v>12</v>
      </c>
      <c r="G447" t="s">
        <v>13</v>
      </c>
      <c r="H447" t="s">
        <v>364</v>
      </c>
      <c r="I447" t="s">
        <v>15</v>
      </c>
      <c r="J447" t="s">
        <v>16</v>
      </c>
      <c r="K447" s="57">
        <f>K446+dis_table[[#This Row],[Amount]]</f>
        <v>6605.3999999999942</v>
      </c>
    </row>
    <row r="448" spans="1:11" hidden="1" x14ac:dyDescent="0.25">
      <c r="A448" s="1">
        <v>446</v>
      </c>
      <c r="B448" s="10">
        <v>44727</v>
      </c>
      <c r="C448" s="10">
        <v>44727</v>
      </c>
      <c r="D448" t="s">
        <v>381</v>
      </c>
      <c r="E448" s="11">
        <v>59.32</v>
      </c>
      <c r="F448" t="s">
        <v>20</v>
      </c>
      <c r="G448" t="s">
        <v>382</v>
      </c>
      <c r="H448" t="s">
        <v>364</v>
      </c>
      <c r="I448" t="s">
        <v>15</v>
      </c>
      <c r="J448" t="s">
        <v>42</v>
      </c>
      <c r="K448" s="57">
        <f>K447+dis_table[[#This Row],[Amount]]</f>
        <v>6664.7199999999939</v>
      </c>
    </row>
    <row r="449" spans="1:11" hidden="1" x14ac:dyDescent="0.25">
      <c r="A449" s="1">
        <v>447</v>
      </c>
      <c r="B449" s="10">
        <v>44727</v>
      </c>
      <c r="C449" s="10">
        <v>44727</v>
      </c>
      <c r="D449" t="s">
        <v>304</v>
      </c>
      <c r="E449" s="11">
        <v>10.85</v>
      </c>
      <c r="F449" t="s">
        <v>56</v>
      </c>
      <c r="G449" t="s">
        <v>305</v>
      </c>
      <c r="H449" t="s">
        <v>364</v>
      </c>
      <c r="I449" t="s">
        <v>22</v>
      </c>
      <c r="J449" t="s">
        <v>23</v>
      </c>
      <c r="K449" s="57">
        <f>K448+dis_table[[#This Row],[Amount]]</f>
        <v>6675.5699999999943</v>
      </c>
    </row>
    <row r="450" spans="1:11" hidden="1" x14ac:dyDescent="0.25">
      <c r="A450" s="1">
        <v>448</v>
      </c>
      <c r="B450" s="10">
        <v>44728</v>
      </c>
      <c r="C450" s="10">
        <v>44728</v>
      </c>
      <c r="D450" t="s">
        <v>379</v>
      </c>
      <c r="E450" s="11">
        <v>8.5</v>
      </c>
      <c r="F450" t="s">
        <v>20</v>
      </c>
      <c r="G450" t="s">
        <v>80</v>
      </c>
      <c r="H450" t="s">
        <v>364</v>
      </c>
      <c r="I450" t="s">
        <v>15</v>
      </c>
      <c r="J450" t="s">
        <v>23</v>
      </c>
      <c r="K450" s="57">
        <f>K449+dis_table[[#This Row],[Amount]]</f>
        <v>6684.0699999999943</v>
      </c>
    </row>
    <row r="451" spans="1:11" hidden="1" x14ac:dyDescent="0.25">
      <c r="A451" s="1">
        <v>449</v>
      </c>
      <c r="B451" s="10">
        <v>44728</v>
      </c>
      <c r="C451" s="10">
        <v>44728</v>
      </c>
      <c r="D451" t="s">
        <v>36</v>
      </c>
      <c r="E451" s="11">
        <v>-2000</v>
      </c>
      <c r="F451" t="s">
        <v>37</v>
      </c>
      <c r="G451" t="s">
        <v>38</v>
      </c>
      <c r="H451" t="s">
        <v>364</v>
      </c>
      <c r="I451" t="s">
        <v>15</v>
      </c>
      <c r="K451" s="57">
        <f>K450+dis_table[[#This Row],[Amount]]</f>
        <v>4684.0699999999943</v>
      </c>
    </row>
    <row r="452" spans="1:11" hidden="1" x14ac:dyDescent="0.25">
      <c r="A452" s="1">
        <v>450</v>
      </c>
      <c r="B452" s="10">
        <v>44728</v>
      </c>
      <c r="C452" s="10">
        <v>44728</v>
      </c>
      <c r="D452" t="s">
        <v>383</v>
      </c>
      <c r="E452" s="11">
        <v>38</v>
      </c>
      <c r="F452" t="s">
        <v>12</v>
      </c>
      <c r="G452" t="s">
        <v>13</v>
      </c>
      <c r="H452" t="s">
        <v>364</v>
      </c>
      <c r="I452" t="s">
        <v>15</v>
      </c>
      <c r="J452" t="s">
        <v>16</v>
      </c>
      <c r="K452" s="57">
        <f>K451+dis_table[[#This Row],[Amount]]</f>
        <v>4722.0699999999943</v>
      </c>
    </row>
    <row r="453" spans="1:11" hidden="1" x14ac:dyDescent="0.25">
      <c r="A453" s="1">
        <v>451</v>
      </c>
      <c r="B453" s="10">
        <v>44729</v>
      </c>
      <c r="C453" s="10">
        <v>44729</v>
      </c>
      <c r="D453" t="s">
        <v>64</v>
      </c>
      <c r="E453" s="11">
        <v>70</v>
      </c>
      <c r="F453" t="s">
        <v>20</v>
      </c>
      <c r="G453" t="s">
        <v>65</v>
      </c>
      <c r="H453" t="s">
        <v>364</v>
      </c>
      <c r="I453" t="s">
        <v>22</v>
      </c>
      <c r="J453" t="s">
        <v>66</v>
      </c>
      <c r="K453" s="57">
        <f>K452+dis_table[[#This Row],[Amount]]</f>
        <v>4792.0699999999943</v>
      </c>
    </row>
    <row r="454" spans="1:11" hidden="1" x14ac:dyDescent="0.25">
      <c r="A454" s="1">
        <v>452</v>
      </c>
      <c r="B454" s="10">
        <v>44729</v>
      </c>
      <c r="C454" s="10">
        <v>44729</v>
      </c>
      <c r="D454" t="s">
        <v>379</v>
      </c>
      <c r="E454" s="11">
        <v>4.26</v>
      </c>
      <c r="F454" t="s">
        <v>20</v>
      </c>
      <c r="G454" t="s">
        <v>80</v>
      </c>
      <c r="H454" t="s">
        <v>364</v>
      </c>
      <c r="I454" t="s">
        <v>15</v>
      </c>
      <c r="J454" t="s">
        <v>23</v>
      </c>
      <c r="K454" s="57">
        <f>K453+dis_table[[#This Row],[Amount]]</f>
        <v>4796.3299999999945</v>
      </c>
    </row>
    <row r="455" spans="1:11" hidden="1" x14ac:dyDescent="0.25">
      <c r="A455" s="1">
        <v>453</v>
      </c>
      <c r="B455" s="10">
        <v>44729</v>
      </c>
      <c r="C455" s="10">
        <v>44729</v>
      </c>
      <c r="D455" t="s">
        <v>58</v>
      </c>
      <c r="E455" s="11">
        <v>5.29</v>
      </c>
      <c r="F455" t="s">
        <v>20</v>
      </c>
      <c r="G455" t="s">
        <v>68</v>
      </c>
      <c r="H455" t="s">
        <v>364</v>
      </c>
      <c r="I455" t="s">
        <v>22</v>
      </c>
      <c r="J455" t="s">
        <v>23</v>
      </c>
      <c r="K455" s="57">
        <f>K454+dis_table[[#This Row],[Amount]]</f>
        <v>4801.6199999999944</v>
      </c>
    </row>
    <row r="456" spans="1:11" hidden="1" x14ac:dyDescent="0.25">
      <c r="A456" s="1">
        <v>454</v>
      </c>
      <c r="B456" s="10">
        <v>44731</v>
      </c>
      <c r="C456" s="10">
        <v>44731</v>
      </c>
      <c r="D456" t="s">
        <v>384</v>
      </c>
      <c r="E456" s="11">
        <v>92.93</v>
      </c>
      <c r="F456" t="s">
        <v>20</v>
      </c>
      <c r="G456" t="s">
        <v>385</v>
      </c>
      <c r="H456" t="s">
        <v>364</v>
      </c>
      <c r="I456" t="s">
        <v>15</v>
      </c>
      <c r="J456" t="s">
        <v>32</v>
      </c>
      <c r="K456" s="57">
        <f>K455+dis_table[[#This Row],[Amount]]</f>
        <v>4894.5499999999947</v>
      </c>
    </row>
    <row r="457" spans="1:11" hidden="1" x14ac:dyDescent="0.25">
      <c r="A457" s="1">
        <v>455</v>
      </c>
      <c r="B457" s="10">
        <v>44731</v>
      </c>
      <c r="C457" s="10">
        <v>44731</v>
      </c>
      <c r="D457" t="s">
        <v>379</v>
      </c>
      <c r="E457" s="11">
        <v>10.62</v>
      </c>
      <c r="F457" t="s">
        <v>20</v>
      </c>
      <c r="G457" t="s">
        <v>80</v>
      </c>
      <c r="H457" t="s">
        <v>364</v>
      </c>
      <c r="I457" t="s">
        <v>15</v>
      </c>
      <c r="J457" t="s">
        <v>23</v>
      </c>
      <c r="K457" s="57">
        <f>K456+dis_table[[#This Row],[Amount]]</f>
        <v>4905.1699999999946</v>
      </c>
    </row>
    <row r="458" spans="1:11" hidden="1" x14ac:dyDescent="0.25">
      <c r="A458" s="1">
        <v>456</v>
      </c>
      <c r="B458" s="10">
        <v>44732</v>
      </c>
      <c r="C458" s="10">
        <v>44732</v>
      </c>
      <c r="D458" t="s">
        <v>386</v>
      </c>
      <c r="E458" s="11">
        <v>24.78</v>
      </c>
      <c r="F458" t="s">
        <v>20</v>
      </c>
      <c r="G458" t="s">
        <v>34</v>
      </c>
      <c r="H458" t="s">
        <v>364</v>
      </c>
      <c r="I458" t="s">
        <v>15</v>
      </c>
      <c r="J458" t="s">
        <v>32</v>
      </c>
      <c r="K458" s="57">
        <f>K457+dis_table[[#This Row],[Amount]]</f>
        <v>4929.9499999999944</v>
      </c>
    </row>
    <row r="459" spans="1:11" hidden="1" x14ac:dyDescent="0.25">
      <c r="A459" s="1">
        <v>457</v>
      </c>
      <c r="B459" s="10">
        <v>44732</v>
      </c>
      <c r="C459" s="10">
        <v>44732</v>
      </c>
      <c r="D459" t="s">
        <v>387</v>
      </c>
      <c r="E459" s="11">
        <v>8.36</v>
      </c>
      <c r="F459" t="s">
        <v>53</v>
      </c>
      <c r="G459" t="s">
        <v>185</v>
      </c>
      <c r="H459" t="s">
        <v>364</v>
      </c>
      <c r="I459" t="s">
        <v>15</v>
      </c>
      <c r="J459" t="s">
        <v>16</v>
      </c>
      <c r="K459" s="57">
        <f>K458+dis_table[[#This Row],[Amount]]</f>
        <v>4938.309999999994</v>
      </c>
    </row>
    <row r="460" spans="1:11" hidden="1" x14ac:dyDescent="0.25">
      <c r="A460" s="1">
        <v>458</v>
      </c>
      <c r="B460" s="10">
        <v>44732</v>
      </c>
      <c r="C460" s="10">
        <v>44732</v>
      </c>
      <c r="D460" t="s">
        <v>388</v>
      </c>
      <c r="E460" s="11">
        <v>100.78</v>
      </c>
      <c r="F460" t="s">
        <v>20</v>
      </c>
      <c r="G460" t="s">
        <v>34</v>
      </c>
      <c r="H460" t="s">
        <v>364</v>
      </c>
      <c r="I460" t="s">
        <v>15</v>
      </c>
      <c r="J460" t="s">
        <v>32</v>
      </c>
      <c r="K460" s="57">
        <f>K459+dis_table[[#This Row],[Amount]]</f>
        <v>5039.0899999999938</v>
      </c>
    </row>
    <row r="461" spans="1:11" hidden="1" x14ac:dyDescent="0.25">
      <c r="A461" s="1">
        <v>459</v>
      </c>
      <c r="B461" s="10">
        <v>44732</v>
      </c>
      <c r="C461" s="10">
        <v>44732</v>
      </c>
      <c r="D461" t="s">
        <v>389</v>
      </c>
      <c r="E461" s="11">
        <v>8</v>
      </c>
      <c r="F461" t="s">
        <v>56</v>
      </c>
      <c r="G461" t="s">
        <v>142</v>
      </c>
      <c r="H461" t="s">
        <v>364</v>
      </c>
      <c r="I461" t="s">
        <v>15</v>
      </c>
      <c r="J461" t="s">
        <v>42</v>
      </c>
      <c r="K461" s="57">
        <f>K460+dis_table[[#This Row],[Amount]]</f>
        <v>5047.0899999999938</v>
      </c>
    </row>
    <row r="462" spans="1:11" hidden="1" x14ac:dyDescent="0.25">
      <c r="A462" s="1">
        <v>460</v>
      </c>
      <c r="B462" s="10">
        <v>44732</v>
      </c>
      <c r="C462" s="10">
        <v>44732</v>
      </c>
      <c r="D462" t="s">
        <v>390</v>
      </c>
      <c r="E462" s="11">
        <v>8</v>
      </c>
      <c r="F462" t="s">
        <v>56</v>
      </c>
      <c r="G462" t="s">
        <v>142</v>
      </c>
      <c r="H462" t="s">
        <v>364</v>
      </c>
      <c r="I462" t="s">
        <v>15</v>
      </c>
      <c r="J462" t="s">
        <v>42</v>
      </c>
      <c r="K462" s="57">
        <f>K461+dis_table[[#This Row],[Amount]]</f>
        <v>5055.0899999999938</v>
      </c>
    </row>
    <row r="463" spans="1:11" hidden="1" x14ac:dyDescent="0.25">
      <c r="A463" s="1">
        <v>461</v>
      </c>
      <c r="B463" s="10">
        <v>44733</v>
      </c>
      <c r="C463" s="10">
        <v>44733</v>
      </c>
      <c r="D463" t="s">
        <v>391</v>
      </c>
      <c r="E463" s="11">
        <v>30.87</v>
      </c>
      <c r="F463" t="s">
        <v>20</v>
      </c>
      <c r="G463" t="s">
        <v>223</v>
      </c>
      <c r="H463" t="s">
        <v>364</v>
      </c>
      <c r="I463" t="s">
        <v>15</v>
      </c>
      <c r="J463" t="s">
        <v>32</v>
      </c>
      <c r="K463" s="57">
        <f>K462+dis_table[[#This Row],[Amount]]</f>
        <v>5085.9599999999937</v>
      </c>
    </row>
    <row r="464" spans="1:11" hidden="1" x14ac:dyDescent="0.25">
      <c r="A464" s="1">
        <v>462</v>
      </c>
      <c r="B464" s="10">
        <v>44733</v>
      </c>
      <c r="C464" s="10">
        <v>44733</v>
      </c>
      <c r="D464" t="s">
        <v>392</v>
      </c>
      <c r="E464" s="11">
        <v>3.35</v>
      </c>
      <c r="F464" t="s">
        <v>53</v>
      </c>
      <c r="G464" t="s">
        <v>54</v>
      </c>
      <c r="H464" t="s">
        <v>364</v>
      </c>
      <c r="I464" t="s">
        <v>15</v>
      </c>
      <c r="J464" t="s">
        <v>16</v>
      </c>
      <c r="K464" s="57">
        <f>K463+dis_table[[#This Row],[Amount]]</f>
        <v>5089.309999999994</v>
      </c>
    </row>
    <row r="465" spans="1:11" hidden="1" x14ac:dyDescent="0.25">
      <c r="A465" s="1">
        <v>463</v>
      </c>
      <c r="B465" s="10">
        <v>44733</v>
      </c>
      <c r="C465" s="10">
        <v>44733</v>
      </c>
      <c r="D465" t="s">
        <v>393</v>
      </c>
      <c r="E465" s="11">
        <v>23</v>
      </c>
      <c r="F465" t="s">
        <v>30</v>
      </c>
      <c r="G465" t="s">
        <v>394</v>
      </c>
      <c r="H465" t="s">
        <v>364</v>
      </c>
      <c r="I465" t="s">
        <v>15</v>
      </c>
      <c r="J465" t="s">
        <v>42</v>
      </c>
      <c r="K465" s="57">
        <f>K464+dis_table[[#This Row],[Amount]]</f>
        <v>5112.309999999994</v>
      </c>
    </row>
    <row r="466" spans="1:11" hidden="1" x14ac:dyDescent="0.25">
      <c r="A466" s="1">
        <v>464</v>
      </c>
      <c r="B466" s="10">
        <v>44733</v>
      </c>
      <c r="C466" s="10">
        <v>44733</v>
      </c>
      <c r="D466" t="s">
        <v>395</v>
      </c>
      <c r="E466" s="11">
        <v>239.73</v>
      </c>
      <c r="F466" t="s">
        <v>30</v>
      </c>
      <c r="G466" t="s">
        <v>159</v>
      </c>
      <c r="H466" t="s">
        <v>364</v>
      </c>
      <c r="I466" t="s">
        <v>15</v>
      </c>
      <c r="J466" t="s">
        <v>23</v>
      </c>
      <c r="K466" s="57">
        <f>K465+dis_table[[#This Row],[Amount]]</f>
        <v>5352.0399999999936</v>
      </c>
    </row>
    <row r="467" spans="1:11" hidden="1" x14ac:dyDescent="0.25">
      <c r="A467" s="1">
        <v>465</v>
      </c>
      <c r="B467" s="10">
        <v>44733</v>
      </c>
      <c r="C467" s="10">
        <v>44733</v>
      </c>
      <c r="D467" t="s">
        <v>396</v>
      </c>
      <c r="E467" s="11">
        <v>14.05</v>
      </c>
      <c r="F467" t="s">
        <v>30</v>
      </c>
      <c r="G467" t="s">
        <v>76</v>
      </c>
      <c r="H467" t="s">
        <v>364</v>
      </c>
      <c r="I467" t="s">
        <v>15</v>
      </c>
      <c r="J467" t="s">
        <v>42</v>
      </c>
      <c r="K467" s="57">
        <f>K466+dis_table[[#This Row],[Amount]]</f>
        <v>5366.0899999999938</v>
      </c>
    </row>
    <row r="468" spans="1:11" hidden="1" x14ac:dyDescent="0.25">
      <c r="A468" s="1">
        <v>466</v>
      </c>
      <c r="B468" s="10">
        <v>44733</v>
      </c>
      <c r="C468" s="10">
        <v>44733</v>
      </c>
      <c r="D468" t="s">
        <v>397</v>
      </c>
      <c r="E468" s="11">
        <v>45.24</v>
      </c>
      <c r="F468" t="s">
        <v>12</v>
      </c>
      <c r="G468" t="s">
        <v>18</v>
      </c>
      <c r="H468" t="s">
        <v>364</v>
      </c>
      <c r="I468" t="s">
        <v>15</v>
      </c>
      <c r="J468" t="s">
        <v>16</v>
      </c>
      <c r="K468" s="57">
        <f>K467+dis_table[[#This Row],[Amount]]</f>
        <v>5411.3299999999936</v>
      </c>
    </row>
    <row r="469" spans="1:11" hidden="1" x14ac:dyDescent="0.25">
      <c r="A469" s="1">
        <v>467</v>
      </c>
      <c r="B469" s="10">
        <v>44733</v>
      </c>
      <c r="C469" s="10">
        <v>44734</v>
      </c>
      <c r="D469" t="s">
        <v>390</v>
      </c>
      <c r="E469" s="11">
        <v>-8</v>
      </c>
      <c r="F469" t="s">
        <v>37</v>
      </c>
      <c r="G469" t="s">
        <v>142</v>
      </c>
      <c r="H469" t="s">
        <v>364</v>
      </c>
      <c r="I469" t="s">
        <v>15</v>
      </c>
      <c r="J469" t="s">
        <v>42</v>
      </c>
      <c r="K469" s="57">
        <f>K468+dis_table[[#This Row],[Amount]]</f>
        <v>5403.3299999999936</v>
      </c>
    </row>
    <row r="470" spans="1:11" hidden="1" x14ac:dyDescent="0.25">
      <c r="A470" s="1">
        <v>468</v>
      </c>
      <c r="B470" s="10">
        <v>44734</v>
      </c>
      <c r="C470" s="10">
        <v>44734</v>
      </c>
      <c r="D470" t="s">
        <v>396</v>
      </c>
      <c r="E470" s="11">
        <v>13.03</v>
      </c>
      <c r="F470" t="s">
        <v>30</v>
      </c>
      <c r="G470" t="s">
        <v>76</v>
      </c>
      <c r="H470" t="s">
        <v>364</v>
      </c>
      <c r="I470" t="s">
        <v>15</v>
      </c>
      <c r="J470" t="s">
        <v>42</v>
      </c>
      <c r="K470" s="57">
        <f>K469+dis_table[[#This Row],[Amount]]</f>
        <v>5416.3599999999933</v>
      </c>
    </row>
    <row r="471" spans="1:11" hidden="1" x14ac:dyDescent="0.25">
      <c r="A471" s="1">
        <v>469</v>
      </c>
      <c r="B471" s="10">
        <v>44734</v>
      </c>
      <c r="C471" s="10">
        <v>44734</v>
      </c>
      <c r="D471" t="s">
        <v>396</v>
      </c>
      <c r="E471" s="11">
        <v>10.199999999999999</v>
      </c>
      <c r="F471" t="s">
        <v>30</v>
      </c>
      <c r="G471" t="s">
        <v>76</v>
      </c>
      <c r="H471" t="s">
        <v>364</v>
      </c>
      <c r="I471" t="s">
        <v>15</v>
      </c>
      <c r="J471" t="s">
        <v>42</v>
      </c>
      <c r="K471" s="57">
        <f>K470+dis_table[[#This Row],[Amount]]</f>
        <v>5426.5599999999931</v>
      </c>
    </row>
    <row r="472" spans="1:11" hidden="1" x14ac:dyDescent="0.25">
      <c r="A472" s="1">
        <v>470</v>
      </c>
      <c r="B472" s="10">
        <v>44734</v>
      </c>
      <c r="C472" s="10">
        <v>44734</v>
      </c>
      <c r="D472" t="s">
        <v>398</v>
      </c>
      <c r="E472" s="11">
        <v>107.5</v>
      </c>
      <c r="F472" t="s">
        <v>30</v>
      </c>
      <c r="G472" t="s">
        <v>169</v>
      </c>
      <c r="H472" t="s">
        <v>364</v>
      </c>
      <c r="I472" t="s">
        <v>15</v>
      </c>
      <c r="J472" t="s">
        <v>23</v>
      </c>
      <c r="K472" s="57">
        <f>K471+dis_table[[#This Row],[Amount]]</f>
        <v>5534.0599999999931</v>
      </c>
    </row>
    <row r="473" spans="1:11" hidden="1" x14ac:dyDescent="0.25">
      <c r="A473" s="1">
        <v>471</v>
      </c>
      <c r="B473" s="10">
        <v>44734</v>
      </c>
      <c r="C473" s="10">
        <v>44734</v>
      </c>
      <c r="D473" t="s">
        <v>399</v>
      </c>
      <c r="E473" s="11">
        <v>39.69</v>
      </c>
      <c r="F473" t="s">
        <v>20</v>
      </c>
      <c r="G473" t="s">
        <v>385</v>
      </c>
      <c r="H473" t="s">
        <v>364</v>
      </c>
      <c r="I473" t="s">
        <v>15</v>
      </c>
      <c r="J473" t="s">
        <v>32</v>
      </c>
      <c r="K473" s="57">
        <f>K472+dis_table[[#This Row],[Amount]]</f>
        <v>5573.7499999999927</v>
      </c>
    </row>
    <row r="474" spans="1:11" hidden="1" x14ac:dyDescent="0.25">
      <c r="A474" s="1">
        <v>472</v>
      </c>
      <c r="B474" s="10">
        <v>44734</v>
      </c>
      <c r="C474" s="10">
        <v>44734</v>
      </c>
      <c r="D474" t="s">
        <v>400</v>
      </c>
      <c r="E474" s="11">
        <v>31.96</v>
      </c>
      <c r="F474" t="s">
        <v>20</v>
      </c>
      <c r="G474" t="s">
        <v>159</v>
      </c>
      <c r="H474" t="s">
        <v>364</v>
      </c>
      <c r="I474" t="s">
        <v>15</v>
      </c>
      <c r="J474" t="s">
        <v>23</v>
      </c>
      <c r="K474" s="57">
        <f>K473+dis_table[[#This Row],[Amount]]</f>
        <v>5605.7099999999928</v>
      </c>
    </row>
    <row r="475" spans="1:11" hidden="1" x14ac:dyDescent="0.25">
      <c r="A475" s="1">
        <v>473</v>
      </c>
      <c r="B475" s="10">
        <v>44734</v>
      </c>
      <c r="C475" s="10">
        <v>44734</v>
      </c>
      <c r="D475" t="s">
        <v>401</v>
      </c>
      <c r="E475" s="11">
        <v>298</v>
      </c>
      <c r="F475" t="s">
        <v>248</v>
      </c>
      <c r="G475" t="s">
        <v>94</v>
      </c>
      <c r="H475" t="s">
        <v>364</v>
      </c>
      <c r="I475" t="s">
        <v>15</v>
      </c>
      <c r="J475" t="s">
        <v>32</v>
      </c>
      <c r="K475" s="57">
        <f>K474+dis_table[[#This Row],[Amount]]</f>
        <v>5903.7099999999928</v>
      </c>
    </row>
    <row r="476" spans="1:11" hidden="1" x14ac:dyDescent="0.25">
      <c r="A476" s="1">
        <v>474</v>
      </c>
      <c r="B476" s="10">
        <v>44734</v>
      </c>
      <c r="C476" s="10">
        <v>44734</v>
      </c>
      <c r="D476" t="s">
        <v>402</v>
      </c>
      <c r="E476" s="11">
        <v>119.7</v>
      </c>
      <c r="F476" t="s">
        <v>30</v>
      </c>
      <c r="G476" t="s">
        <v>159</v>
      </c>
      <c r="H476" t="s">
        <v>364</v>
      </c>
      <c r="I476" t="s">
        <v>15</v>
      </c>
      <c r="J476" t="s">
        <v>23</v>
      </c>
      <c r="K476" s="57">
        <f>K475+dis_table[[#This Row],[Amount]]</f>
        <v>6023.4099999999926</v>
      </c>
    </row>
    <row r="477" spans="1:11" hidden="1" x14ac:dyDescent="0.25">
      <c r="A477" s="1">
        <v>475</v>
      </c>
      <c r="B477" s="10">
        <v>44735</v>
      </c>
      <c r="C477" s="10">
        <v>44735</v>
      </c>
      <c r="D477" t="s">
        <v>403</v>
      </c>
      <c r="E477" s="11">
        <v>21.27</v>
      </c>
      <c r="F477" t="s">
        <v>12</v>
      </c>
      <c r="G477" t="s">
        <v>18</v>
      </c>
      <c r="H477" t="s">
        <v>364</v>
      </c>
      <c r="I477" t="s">
        <v>15</v>
      </c>
      <c r="J477" t="s">
        <v>16</v>
      </c>
      <c r="K477" s="57">
        <f>K476+dis_table[[#This Row],[Amount]]</f>
        <v>6044.679999999993</v>
      </c>
    </row>
    <row r="478" spans="1:11" hidden="1" x14ac:dyDescent="0.25">
      <c r="A478" s="1">
        <v>476</v>
      </c>
      <c r="B478" s="10">
        <v>44735</v>
      </c>
      <c r="C478" s="10">
        <v>44735</v>
      </c>
      <c r="D478" t="s">
        <v>404</v>
      </c>
      <c r="E478" s="11">
        <v>24.26</v>
      </c>
      <c r="F478" t="s">
        <v>20</v>
      </c>
      <c r="G478" t="s">
        <v>405</v>
      </c>
      <c r="H478" t="s">
        <v>364</v>
      </c>
      <c r="I478" t="s">
        <v>15</v>
      </c>
      <c r="J478" t="s">
        <v>32</v>
      </c>
      <c r="K478" s="57">
        <f>K477+dis_table[[#This Row],[Amount]]</f>
        <v>6068.9399999999932</v>
      </c>
    </row>
    <row r="479" spans="1:11" hidden="1" x14ac:dyDescent="0.25">
      <c r="A479" s="1">
        <v>477</v>
      </c>
      <c r="B479" s="10">
        <v>44735</v>
      </c>
      <c r="C479" s="10">
        <v>44735</v>
      </c>
      <c r="D479" t="s">
        <v>406</v>
      </c>
      <c r="E479" s="11">
        <v>44</v>
      </c>
      <c r="F479" t="s">
        <v>20</v>
      </c>
      <c r="G479" t="s">
        <v>169</v>
      </c>
      <c r="H479" t="s">
        <v>364</v>
      </c>
      <c r="I479" t="s">
        <v>15</v>
      </c>
      <c r="J479" t="s">
        <v>23</v>
      </c>
      <c r="K479" s="57">
        <f>K478+dis_table[[#This Row],[Amount]]</f>
        <v>6112.9399999999932</v>
      </c>
    </row>
    <row r="480" spans="1:11" hidden="1" x14ac:dyDescent="0.25">
      <c r="A480" s="1">
        <v>478</v>
      </c>
      <c r="B480" s="10">
        <v>44736</v>
      </c>
      <c r="C480" s="10">
        <v>44736</v>
      </c>
      <c r="D480" t="s">
        <v>396</v>
      </c>
      <c r="E480" s="11">
        <v>35.9</v>
      </c>
      <c r="F480" t="s">
        <v>30</v>
      </c>
      <c r="G480" t="s">
        <v>76</v>
      </c>
      <c r="H480" t="s">
        <v>364</v>
      </c>
      <c r="I480" t="s">
        <v>15</v>
      </c>
      <c r="J480" t="s">
        <v>42</v>
      </c>
      <c r="K480" s="57">
        <f>K479+dis_table[[#This Row],[Amount]]</f>
        <v>6148.8399999999929</v>
      </c>
    </row>
    <row r="481" spans="1:11" hidden="1" x14ac:dyDescent="0.25">
      <c r="A481" s="1">
        <v>479</v>
      </c>
      <c r="B481" s="10">
        <v>44736</v>
      </c>
      <c r="C481" s="10">
        <v>44736</v>
      </c>
      <c r="D481" t="s">
        <v>396</v>
      </c>
      <c r="E481" s="11">
        <v>29.85</v>
      </c>
      <c r="F481" t="s">
        <v>30</v>
      </c>
      <c r="G481" t="s">
        <v>76</v>
      </c>
      <c r="H481" t="s">
        <v>364</v>
      </c>
      <c r="I481" t="s">
        <v>15</v>
      </c>
      <c r="J481" t="s">
        <v>42</v>
      </c>
      <c r="K481" s="57">
        <f>K480+dis_table[[#This Row],[Amount]]</f>
        <v>6178.6899999999932</v>
      </c>
    </row>
    <row r="482" spans="1:11" hidden="1" x14ac:dyDescent="0.25">
      <c r="A482" s="1">
        <v>480</v>
      </c>
      <c r="B482" s="10">
        <v>44737</v>
      </c>
      <c r="C482" s="10">
        <v>44737</v>
      </c>
      <c r="D482" t="s">
        <v>407</v>
      </c>
      <c r="E482" s="11">
        <v>83</v>
      </c>
      <c r="F482" t="s">
        <v>56</v>
      </c>
      <c r="G482" t="s">
        <v>59</v>
      </c>
      <c r="H482" t="s">
        <v>364</v>
      </c>
      <c r="I482" t="s">
        <v>15</v>
      </c>
      <c r="J482" t="s">
        <v>60</v>
      </c>
      <c r="K482" s="57">
        <f>K481+dis_table[[#This Row],[Amount]]</f>
        <v>6261.6899999999932</v>
      </c>
    </row>
    <row r="483" spans="1:11" hidden="1" x14ac:dyDescent="0.25">
      <c r="A483" s="1">
        <v>481</v>
      </c>
      <c r="B483" s="10">
        <v>44737</v>
      </c>
      <c r="C483" s="10">
        <v>44737</v>
      </c>
      <c r="D483" t="s">
        <v>396</v>
      </c>
      <c r="E483" s="11">
        <v>27.99</v>
      </c>
      <c r="F483" t="s">
        <v>30</v>
      </c>
      <c r="G483" t="s">
        <v>76</v>
      </c>
      <c r="H483" t="s">
        <v>364</v>
      </c>
      <c r="I483" t="s">
        <v>15</v>
      </c>
      <c r="J483" t="s">
        <v>42</v>
      </c>
      <c r="K483" s="57">
        <f>K482+dis_table[[#This Row],[Amount]]</f>
        <v>6289.679999999993</v>
      </c>
    </row>
    <row r="484" spans="1:11" hidden="1" x14ac:dyDescent="0.25">
      <c r="A484" s="1">
        <v>482</v>
      </c>
      <c r="B484" s="10">
        <v>44737</v>
      </c>
      <c r="C484" s="10">
        <v>44737</v>
      </c>
      <c r="D484" t="s">
        <v>396</v>
      </c>
      <c r="E484" s="11">
        <v>9.09</v>
      </c>
      <c r="F484" t="s">
        <v>30</v>
      </c>
      <c r="G484" t="s">
        <v>76</v>
      </c>
      <c r="H484" t="s">
        <v>364</v>
      </c>
      <c r="I484" t="s">
        <v>15</v>
      </c>
      <c r="J484" t="s">
        <v>42</v>
      </c>
      <c r="K484" s="57">
        <f>K483+dis_table[[#This Row],[Amount]]</f>
        <v>6298.7699999999932</v>
      </c>
    </row>
    <row r="485" spans="1:11" hidden="1" x14ac:dyDescent="0.25">
      <c r="A485" s="1">
        <v>483</v>
      </c>
      <c r="B485" s="10">
        <v>44738</v>
      </c>
      <c r="C485" s="10">
        <v>44738</v>
      </c>
      <c r="D485" t="s">
        <v>408</v>
      </c>
      <c r="E485" s="11">
        <v>25</v>
      </c>
      <c r="F485" t="s">
        <v>56</v>
      </c>
      <c r="G485" t="s">
        <v>409</v>
      </c>
      <c r="H485" t="s">
        <v>364</v>
      </c>
      <c r="I485" t="s">
        <v>22</v>
      </c>
      <c r="J485" t="s">
        <v>32</v>
      </c>
      <c r="K485" s="57">
        <f>K484+dis_table[[#This Row],[Amount]]</f>
        <v>6323.7699999999932</v>
      </c>
    </row>
    <row r="486" spans="1:11" hidden="1" x14ac:dyDescent="0.25">
      <c r="A486" s="1">
        <v>484</v>
      </c>
      <c r="B486" s="10">
        <v>44738</v>
      </c>
      <c r="C486" s="10">
        <v>44738</v>
      </c>
      <c r="D486" t="s">
        <v>410</v>
      </c>
      <c r="E486" s="11">
        <v>13.9</v>
      </c>
      <c r="F486" t="s">
        <v>12</v>
      </c>
      <c r="G486" t="s">
        <v>13</v>
      </c>
      <c r="H486" t="s">
        <v>364</v>
      </c>
      <c r="I486" t="s">
        <v>15</v>
      </c>
      <c r="J486" t="s">
        <v>16</v>
      </c>
      <c r="K486" s="57">
        <f>K485+dis_table[[#This Row],[Amount]]</f>
        <v>6337.6699999999928</v>
      </c>
    </row>
    <row r="487" spans="1:11" hidden="1" x14ac:dyDescent="0.25">
      <c r="A487" s="1">
        <v>485</v>
      </c>
      <c r="B487" s="10">
        <v>44738</v>
      </c>
      <c r="C487" s="10">
        <v>44738</v>
      </c>
      <c r="D487" t="s">
        <v>396</v>
      </c>
      <c r="E487" s="11">
        <v>27.06</v>
      </c>
      <c r="F487" t="s">
        <v>30</v>
      </c>
      <c r="G487" t="s">
        <v>76</v>
      </c>
      <c r="H487" t="s">
        <v>364</v>
      </c>
      <c r="I487" t="s">
        <v>15</v>
      </c>
      <c r="J487" t="s">
        <v>42</v>
      </c>
      <c r="K487" s="57">
        <f>K486+dis_table[[#This Row],[Amount]]</f>
        <v>6364.7299999999932</v>
      </c>
    </row>
    <row r="488" spans="1:11" hidden="1" x14ac:dyDescent="0.25">
      <c r="A488" s="1">
        <v>486</v>
      </c>
      <c r="B488" s="10">
        <v>44738</v>
      </c>
      <c r="C488" s="10">
        <v>44738</v>
      </c>
      <c r="D488" t="s">
        <v>396</v>
      </c>
      <c r="E488" s="11">
        <v>30.02</v>
      </c>
      <c r="F488" t="s">
        <v>30</v>
      </c>
      <c r="G488" t="s">
        <v>76</v>
      </c>
      <c r="H488" t="s">
        <v>364</v>
      </c>
      <c r="I488" t="s">
        <v>15</v>
      </c>
      <c r="J488" t="s">
        <v>42</v>
      </c>
      <c r="K488" s="57">
        <f>K487+dis_table[[#This Row],[Amount]]</f>
        <v>6394.7499999999936</v>
      </c>
    </row>
    <row r="489" spans="1:11" hidden="1" x14ac:dyDescent="0.25">
      <c r="A489" s="1">
        <v>487</v>
      </c>
      <c r="B489" s="10">
        <v>44739</v>
      </c>
      <c r="C489" s="10">
        <v>44739</v>
      </c>
      <c r="D489" t="s">
        <v>411</v>
      </c>
      <c r="E489" s="11">
        <v>8.6999999999999993</v>
      </c>
      <c r="F489" t="s">
        <v>12</v>
      </c>
      <c r="G489" t="s">
        <v>185</v>
      </c>
      <c r="H489" t="s">
        <v>364</v>
      </c>
      <c r="I489" t="s">
        <v>15</v>
      </c>
      <c r="J489" t="s">
        <v>16</v>
      </c>
      <c r="K489" s="57">
        <f>K488+dis_table[[#This Row],[Amount]]</f>
        <v>6403.4499999999935</v>
      </c>
    </row>
    <row r="490" spans="1:11" hidden="1" x14ac:dyDescent="0.25">
      <c r="A490" s="1">
        <v>488</v>
      </c>
      <c r="B490" s="10">
        <v>44739</v>
      </c>
      <c r="C490" s="10">
        <v>44739</v>
      </c>
      <c r="D490" t="s">
        <v>396</v>
      </c>
      <c r="E490" s="11">
        <v>20.32</v>
      </c>
      <c r="F490" t="s">
        <v>30</v>
      </c>
      <c r="G490" t="s">
        <v>76</v>
      </c>
      <c r="H490" t="s">
        <v>364</v>
      </c>
      <c r="I490" t="s">
        <v>15</v>
      </c>
      <c r="J490" t="s">
        <v>42</v>
      </c>
      <c r="K490" s="57">
        <f>K489+dis_table[[#This Row],[Amount]]</f>
        <v>6423.7699999999932</v>
      </c>
    </row>
    <row r="491" spans="1:11" hidden="1" x14ac:dyDescent="0.25">
      <c r="A491" s="1">
        <v>489</v>
      </c>
      <c r="B491" s="10">
        <v>44739</v>
      </c>
      <c r="C491" s="10">
        <v>44739</v>
      </c>
      <c r="D491" t="s">
        <v>396</v>
      </c>
      <c r="E491" s="11">
        <v>20.73</v>
      </c>
      <c r="F491" t="s">
        <v>30</v>
      </c>
      <c r="G491" t="s">
        <v>76</v>
      </c>
      <c r="H491" t="s">
        <v>364</v>
      </c>
      <c r="I491" t="s">
        <v>15</v>
      </c>
      <c r="J491" t="s">
        <v>42</v>
      </c>
      <c r="K491" s="57">
        <f>K490+dis_table[[#This Row],[Amount]]</f>
        <v>6444.4999999999927</v>
      </c>
    </row>
    <row r="492" spans="1:11" hidden="1" x14ac:dyDescent="0.25">
      <c r="A492" s="1">
        <v>490</v>
      </c>
      <c r="B492" s="10">
        <v>44739</v>
      </c>
      <c r="C492" s="10">
        <v>44739</v>
      </c>
      <c r="D492" t="s">
        <v>396</v>
      </c>
      <c r="E492" s="11">
        <v>13.71</v>
      </c>
      <c r="F492" t="s">
        <v>30</v>
      </c>
      <c r="G492" t="s">
        <v>76</v>
      </c>
      <c r="H492" t="s">
        <v>364</v>
      </c>
      <c r="I492" t="s">
        <v>15</v>
      </c>
      <c r="J492" t="s">
        <v>42</v>
      </c>
      <c r="K492" s="57">
        <f>K491+dis_table[[#This Row],[Amount]]</f>
        <v>6458.2099999999928</v>
      </c>
    </row>
    <row r="493" spans="1:11" hidden="1" x14ac:dyDescent="0.25">
      <c r="A493" s="1">
        <v>491</v>
      </c>
      <c r="B493" s="10">
        <v>44740</v>
      </c>
      <c r="C493" s="10">
        <v>44740</v>
      </c>
      <c r="D493" t="s">
        <v>412</v>
      </c>
      <c r="E493" s="11">
        <v>11.8</v>
      </c>
      <c r="F493" t="s">
        <v>40</v>
      </c>
      <c r="G493" t="s">
        <v>34</v>
      </c>
      <c r="H493" t="s">
        <v>364</v>
      </c>
      <c r="I493" t="s">
        <v>15</v>
      </c>
      <c r="J493" t="s">
        <v>32</v>
      </c>
      <c r="K493" s="57">
        <f>K492+dis_table[[#This Row],[Amount]]</f>
        <v>6470.0099999999929</v>
      </c>
    </row>
    <row r="494" spans="1:11" hidden="1" x14ac:dyDescent="0.25">
      <c r="A494" s="1">
        <v>492</v>
      </c>
      <c r="B494" s="10">
        <v>44740</v>
      </c>
      <c r="C494" s="10">
        <v>44740</v>
      </c>
      <c r="D494" t="s">
        <v>413</v>
      </c>
      <c r="E494" s="11">
        <v>3.17</v>
      </c>
      <c r="F494" t="s">
        <v>20</v>
      </c>
      <c r="G494" t="s">
        <v>337</v>
      </c>
      <c r="H494" t="s">
        <v>364</v>
      </c>
      <c r="I494" t="s">
        <v>22</v>
      </c>
      <c r="J494" t="s">
        <v>23</v>
      </c>
      <c r="K494" s="57">
        <f>K493+dis_table[[#This Row],[Amount]]</f>
        <v>6473.179999999993</v>
      </c>
    </row>
    <row r="495" spans="1:11" hidden="1" x14ac:dyDescent="0.25">
      <c r="A495" s="1">
        <v>493</v>
      </c>
      <c r="B495" s="10">
        <v>44742</v>
      </c>
      <c r="C495" s="10">
        <v>44742</v>
      </c>
      <c r="D495" t="s">
        <v>36</v>
      </c>
      <c r="E495" s="11">
        <v>-1000</v>
      </c>
      <c r="F495" t="s">
        <v>37</v>
      </c>
      <c r="G495" t="s">
        <v>38</v>
      </c>
      <c r="H495" t="s">
        <v>364</v>
      </c>
      <c r="I495" t="s">
        <v>15</v>
      </c>
      <c r="K495" s="57">
        <f>K494+dis_table[[#This Row],[Amount]]</f>
        <v>5473.179999999993</v>
      </c>
    </row>
    <row r="496" spans="1:11" x14ac:dyDescent="0.25">
      <c r="A496" s="1">
        <v>494</v>
      </c>
      <c r="B496" s="10">
        <v>44744</v>
      </c>
      <c r="C496" s="10">
        <v>44744</v>
      </c>
      <c r="D496" t="s">
        <v>319</v>
      </c>
      <c r="E496" s="11">
        <v>99.19</v>
      </c>
      <c r="F496" t="s">
        <v>320</v>
      </c>
      <c r="G496" t="s">
        <v>321</v>
      </c>
      <c r="H496" t="s">
        <v>420</v>
      </c>
      <c r="I496" t="s">
        <v>15</v>
      </c>
      <c r="K496" s="57">
        <f>K495+dis_table[[#This Row],[Amount]]</f>
        <v>5572.3699999999926</v>
      </c>
    </row>
    <row r="497" spans="1:11" x14ac:dyDescent="0.25">
      <c r="A497" s="1">
        <v>495</v>
      </c>
      <c r="B497" s="10">
        <v>44743</v>
      </c>
      <c r="C497" s="10">
        <v>44745</v>
      </c>
      <c r="D497" t="s">
        <v>19</v>
      </c>
      <c r="E497" s="11">
        <v>10.59</v>
      </c>
      <c r="F497" t="s">
        <v>20</v>
      </c>
      <c r="G497" t="s">
        <v>21</v>
      </c>
      <c r="H497" t="s">
        <v>420</v>
      </c>
      <c r="I497" t="s">
        <v>22</v>
      </c>
      <c r="J497" t="s">
        <v>23</v>
      </c>
      <c r="K497" s="57">
        <f>K496+dis_table[[#This Row],[Amount]]</f>
        <v>5582.9599999999928</v>
      </c>
    </row>
    <row r="498" spans="1:11" x14ac:dyDescent="0.25">
      <c r="A498" s="1">
        <v>496</v>
      </c>
      <c r="B498" s="10">
        <v>44743</v>
      </c>
      <c r="C498" s="10">
        <v>44745</v>
      </c>
      <c r="D498" t="s">
        <v>408</v>
      </c>
      <c r="E498" s="11">
        <v>25</v>
      </c>
      <c r="F498" t="s">
        <v>56</v>
      </c>
      <c r="G498" t="s">
        <v>409</v>
      </c>
      <c r="H498" t="s">
        <v>420</v>
      </c>
      <c r="I498" t="s">
        <v>22</v>
      </c>
      <c r="J498" t="s">
        <v>32</v>
      </c>
      <c r="K498" s="57">
        <f>K497+dis_table[[#This Row],[Amount]]</f>
        <v>5607.9599999999928</v>
      </c>
    </row>
    <row r="499" spans="1:11" x14ac:dyDescent="0.25">
      <c r="A499" s="1">
        <v>497</v>
      </c>
      <c r="B499" s="10">
        <v>44743</v>
      </c>
      <c r="C499" s="10">
        <v>44745</v>
      </c>
      <c r="D499" t="s">
        <v>421</v>
      </c>
      <c r="E499" s="11">
        <v>9.99</v>
      </c>
      <c r="F499" t="s">
        <v>20</v>
      </c>
      <c r="G499" t="s">
        <v>25</v>
      </c>
      <c r="H499" t="s">
        <v>420</v>
      </c>
      <c r="I499" t="s">
        <v>22</v>
      </c>
      <c r="J499" t="s">
        <v>23</v>
      </c>
      <c r="K499" s="57">
        <f>K498+dis_table[[#This Row],[Amount]]</f>
        <v>5617.9499999999925</v>
      </c>
    </row>
    <row r="500" spans="1:11" x14ac:dyDescent="0.25">
      <c r="A500" s="1">
        <v>498</v>
      </c>
      <c r="B500" s="10">
        <v>44744</v>
      </c>
      <c r="C500" s="10">
        <v>44745</v>
      </c>
      <c r="D500" t="s">
        <v>77</v>
      </c>
      <c r="E500" s="11">
        <v>10</v>
      </c>
      <c r="F500" t="s">
        <v>20</v>
      </c>
      <c r="G500" t="s">
        <v>78</v>
      </c>
      <c r="H500" t="s">
        <v>420</v>
      </c>
      <c r="I500" t="s">
        <v>22</v>
      </c>
      <c r="J500" t="s">
        <v>23</v>
      </c>
      <c r="K500" s="57">
        <f>K499+dis_table[[#This Row],[Amount]]</f>
        <v>5627.9499999999925</v>
      </c>
    </row>
    <row r="501" spans="1:11" x14ac:dyDescent="0.25">
      <c r="A501" s="1">
        <v>499</v>
      </c>
      <c r="B501" s="10">
        <v>44745</v>
      </c>
      <c r="C501" s="10">
        <v>44745</v>
      </c>
      <c r="D501" t="s">
        <v>468</v>
      </c>
      <c r="E501" s="11">
        <v>12.05</v>
      </c>
      <c r="F501" t="s">
        <v>12</v>
      </c>
      <c r="G501" t="s">
        <v>18</v>
      </c>
      <c r="H501" t="s">
        <v>420</v>
      </c>
      <c r="I501" t="s">
        <v>15</v>
      </c>
      <c r="J501" t="s">
        <v>16</v>
      </c>
      <c r="K501" s="57">
        <f>K500+dis_table[[#This Row],[Amount]]</f>
        <v>5639.9999999999927</v>
      </c>
    </row>
    <row r="502" spans="1:11" x14ac:dyDescent="0.25">
      <c r="A502" s="1">
        <v>500</v>
      </c>
      <c r="B502" s="10">
        <v>44745</v>
      </c>
      <c r="C502" s="10">
        <v>44745</v>
      </c>
      <c r="D502" t="s">
        <v>469</v>
      </c>
      <c r="E502" s="11">
        <v>30</v>
      </c>
      <c r="F502" t="s">
        <v>30</v>
      </c>
      <c r="G502" t="s">
        <v>142</v>
      </c>
      <c r="H502" t="s">
        <v>420</v>
      </c>
      <c r="I502" t="s">
        <v>15</v>
      </c>
      <c r="J502" t="s">
        <v>42</v>
      </c>
      <c r="K502" s="57">
        <f>K501+dis_table[[#This Row],[Amount]]</f>
        <v>5669.9999999999927</v>
      </c>
    </row>
    <row r="503" spans="1:11" x14ac:dyDescent="0.25">
      <c r="A503" s="1">
        <v>501</v>
      </c>
      <c r="B503" s="10">
        <v>44745</v>
      </c>
      <c r="C503" s="10">
        <v>44745</v>
      </c>
      <c r="D503" t="s">
        <v>470</v>
      </c>
      <c r="E503" s="11">
        <v>4.76</v>
      </c>
      <c r="F503" t="s">
        <v>20</v>
      </c>
      <c r="G503" t="s">
        <v>382</v>
      </c>
      <c r="H503" t="s">
        <v>420</v>
      </c>
      <c r="I503" t="s">
        <v>15</v>
      </c>
      <c r="J503" t="s">
        <v>42</v>
      </c>
      <c r="K503" s="57">
        <f>K502+dis_table[[#This Row],[Amount]]</f>
        <v>5674.7599999999929</v>
      </c>
    </row>
    <row r="504" spans="1:11" x14ac:dyDescent="0.25">
      <c r="A504" s="1">
        <v>502</v>
      </c>
      <c r="B504" s="10">
        <v>44745</v>
      </c>
      <c r="C504" s="10">
        <v>44745</v>
      </c>
      <c r="D504" t="s">
        <v>471</v>
      </c>
      <c r="E504" s="11">
        <v>9.1999999999999993</v>
      </c>
      <c r="F504" t="s">
        <v>20</v>
      </c>
      <c r="G504" t="s">
        <v>382</v>
      </c>
      <c r="H504" t="s">
        <v>420</v>
      </c>
      <c r="I504" t="s">
        <v>15</v>
      </c>
      <c r="J504" t="s">
        <v>42</v>
      </c>
      <c r="K504" s="57">
        <f>K503+dis_table[[#This Row],[Amount]]</f>
        <v>5683.9599999999928</v>
      </c>
    </row>
    <row r="505" spans="1:11" x14ac:dyDescent="0.25">
      <c r="A505" s="1">
        <v>503</v>
      </c>
      <c r="B505" s="10">
        <v>44746</v>
      </c>
      <c r="C505" s="10">
        <v>44746</v>
      </c>
      <c r="D505" t="s">
        <v>396</v>
      </c>
      <c r="E505" s="11">
        <v>18.54</v>
      </c>
      <c r="F505" t="s">
        <v>30</v>
      </c>
      <c r="G505" t="s">
        <v>76</v>
      </c>
      <c r="H505" t="s">
        <v>420</v>
      </c>
      <c r="I505" t="s">
        <v>15</v>
      </c>
      <c r="J505" t="s">
        <v>42</v>
      </c>
      <c r="K505" s="57">
        <f>K504+dis_table[[#This Row],[Amount]]</f>
        <v>5702.4999999999927</v>
      </c>
    </row>
    <row r="506" spans="1:11" x14ac:dyDescent="0.25">
      <c r="A506" s="1">
        <v>504</v>
      </c>
      <c r="B506" s="10">
        <v>44746</v>
      </c>
      <c r="C506" s="10">
        <v>44746</v>
      </c>
      <c r="D506" t="s">
        <v>472</v>
      </c>
      <c r="E506" s="11">
        <v>93.31</v>
      </c>
      <c r="F506" t="s">
        <v>53</v>
      </c>
      <c r="G506" t="s">
        <v>54</v>
      </c>
      <c r="H506" t="s">
        <v>420</v>
      </c>
      <c r="I506" t="s">
        <v>15</v>
      </c>
      <c r="J506" t="s">
        <v>16</v>
      </c>
      <c r="K506" s="57">
        <f>K505+dis_table[[#This Row],[Amount]]</f>
        <v>5795.8099999999931</v>
      </c>
    </row>
    <row r="507" spans="1:11" x14ac:dyDescent="0.25">
      <c r="A507" s="1">
        <v>505</v>
      </c>
      <c r="B507" s="10">
        <v>44747</v>
      </c>
      <c r="C507" s="10">
        <v>44747</v>
      </c>
      <c r="D507" t="s">
        <v>473</v>
      </c>
      <c r="E507" s="11">
        <v>8.98</v>
      </c>
      <c r="F507" t="s">
        <v>20</v>
      </c>
      <c r="G507" t="s">
        <v>27</v>
      </c>
      <c r="H507" t="s">
        <v>420</v>
      </c>
      <c r="I507" t="s">
        <v>15</v>
      </c>
      <c r="K507" s="57">
        <f>K506+dis_table[[#This Row],[Amount]]</f>
        <v>5804.7899999999927</v>
      </c>
    </row>
    <row r="508" spans="1:11" x14ac:dyDescent="0.25">
      <c r="A508" s="1">
        <v>506</v>
      </c>
      <c r="B508" s="10">
        <v>44747</v>
      </c>
      <c r="C508" s="10">
        <v>44747</v>
      </c>
      <c r="D508" t="s">
        <v>474</v>
      </c>
      <c r="E508" s="11">
        <v>24.99</v>
      </c>
      <c r="F508" t="s">
        <v>20</v>
      </c>
      <c r="G508" t="s">
        <v>27</v>
      </c>
      <c r="H508" t="s">
        <v>420</v>
      </c>
      <c r="I508" t="s">
        <v>15</v>
      </c>
      <c r="K508" s="57">
        <f>K507+dis_table[[#This Row],[Amount]]</f>
        <v>5829.7799999999925</v>
      </c>
    </row>
    <row r="509" spans="1:11" x14ac:dyDescent="0.25">
      <c r="A509" s="1">
        <v>507</v>
      </c>
      <c r="B509" s="10">
        <v>44747</v>
      </c>
      <c r="C509" s="10">
        <v>44747</v>
      </c>
      <c r="D509" t="s">
        <v>475</v>
      </c>
      <c r="E509" s="11">
        <v>4.67</v>
      </c>
      <c r="F509" t="s">
        <v>30</v>
      </c>
      <c r="G509" t="s">
        <v>76</v>
      </c>
      <c r="H509" t="s">
        <v>420</v>
      </c>
      <c r="I509" t="s">
        <v>15</v>
      </c>
      <c r="J509" t="s">
        <v>42</v>
      </c>
      <c r="K509" s="57">
        <f>K508+dis_table[[#This Row],[Amount]]</f>
        <v>5834.4499999999925</v>
      </c>
    </row>
    <row r="510" spans="1:11" x14ac:dyDescent="0.25">
      <c r="A510" s="1">
        <v>508</v>
      </c>
      <c r="B510" s="10">
        <v>44747</v>
      </c>
      <c r="C510" s="10">
        <v>44747</v>
      </c>
      <c r="D510" t="s">
        <v>476</v>
      </c>
      <c r="E510" s="11">
        <v>5.09</v>
      </c>
      <c r="F510" t="s">
        <v>30</v>
      </c>
      <c r="G510" t="s">
        <v>76</v>
      </c>
      <c r="H510" t="s">
        <v>420</v>
      </c>
      <c r="I510" t="s">
        <v>15</v>
      </c>
      <c r="J510" t="s">
        <v>42</v>
      </c>
      <c r="K510" s="57">
        <f>K509+dis_table[[#This Row],[Amount]]</f>
        <v>5839.5399999999927</v>
      </c>
    </row>
    <row r="511" spans="1:11" x14ac:dyDescent="0.25">
      <c r="A511" s="1">
        <v>509</v>
      </c>
      <c r="B511" s="10">
        <v>44747</v>
      </c>
      <c r="C511" s="10">
        <v>44747</v>
      </c>
      <c r="D511" t="s">
        <v>477</v>
      </c>
      <c r="E511" s="11">
        <v>131.30000000000001</v>
      </c>
      <c r="F511" t="s">
        <v>53</v>
      </c>
      <c r="G511" t="s">
        <v>54</v>
      </c>
      <c r="H511" t="s">
        <v>420</v>
      </c>
      <c r="I511" t="s">
        <v>15</v>
      </c>
      <c r="J511" t="s">
        <v>16</v>
      </c>
      <c r="K511" s="57">
        <f>K510+dis_table[[#This Row],[Amount]]</f>
        <v>5970.8399999999929</v>
      </c>
    </row>
    <row r="512" spans="1:11" x14ac:dyDescent="0.25">
      <c r="A512" s="1">
        <v>510</v>
      </c>
      <c r="B512" s="10">
        <v>44747</v>
      </c>
      <c r="C512" s="10">
        <v>44747</v>
      </c>
      <c r="D512" t="s">
        <v>478</v>
      </c>
      <c r="E512" s="11">
        <v>12.14</v>
      </c>
      <c r="F512" t="s">
        <v>12</v>
      </c>
      <c r="G512" t="s">
        <v>13</v>
      </c>
      <c r="H512" t="s">
        <v>420</v>
      </c>
      <c r="I512" t="s">
        <v>15</v>
      </c>
      <c r="J512" t="s">
        <v>16</v>
      </c>
      <c r="K512" s="57">
        <f>K511+dis_table[[#This Row],[Amount]]</f>
        <v>5982.9799999999932</v>
      </c>
    </row>
    <row r="513" spans="1:11" x14ac:dyDescent="0.25">
      <c r="A513" s="1">
        <v>511</v>
      </c>
      <c r="B513" s="10">
        <v>44747</v>
      </c>
      <c r="C513" s="10">
        <v>44747</v>
      </c>
      <c r="D513" t="s">
        <v>353</v>
      </c>
      <c r="E513" s="11">
        <v>9.99</v>
      </c>
      <c r="F513" t="s">
        <v>30</v>
      </c>
      <c r="G513" t="s">
        <v>76</v>
      </c>
      <c r="H513" t="s">
        <v>420</v>
      </c>
      <c r="I513" t="s">
        <v>15</v>
      </c>
      <c r="J513" t="s">
        <v>42</v>
      </c>
      <c r="K513" s="57">
        <f>K512+dis_table[[#This Row],[Amount]]</f>
        <v>5992.969999999993</v>
      </c>
    </row>
    <row r="514" spans="1:11" x14ac:dyDescent="0.25">
      <c r="A514" s="1">
        <v>512</v>
      </c>
      <c r="B514" s="10">
        <v>44747</v>
      </c>
      <c r="C514" s="10">
        <v>44747</v>
      </c>
      <c r="D514" t="s">
        <v>266</v>
      </c>
      <c r="E514" s="11">
        <v>55.35</v>
      </c>
      <c r="F514" t="s">
        <v>20</v>
      </c>
      <c r="G514" t="s">
        <v>34</v>
      </c>
      <c r="H514" t="s">
        <v>420</v>
      </c>
      <c r="I514" t="s">
        <v>15</v>
      </c>
      <c r="J514" t="s">
        <v>32</v>
      </c>
      <c r="K514" s="57">
        <f>K513+dis_table[[#This Row],[Amount]]</f>
        <v>6048.3199999999933</v>
      </c>
    </row>
    <row r="515" spans="1:11" x14ac:dyDescent="0.25">
      <c r="A515" s="1">
        <v>513</v>
      </c>
      <c r="B515" s="10">
        <v>44747</v>
      </c>
      <c r="C515" s="10">
        <v>44747</v>
      </c>
      <c r="D515" t="s">
        <v>479</v>
      </c>
      <c r="E515" s="11">
        <v>104</v>
      </c>
      <c r="F515" t="s">
        <v>30</v>
      </c>
      <c r="G515" t="s">
        <v>169</v>
      </c>
      <c r="H515" t="s">
        <v>420</v>
      </c>
      <c r="I515" t="s">
        <v>15</v>
      </c>
      <c r="J515" t="s">
        <v>23</v>
      </c>
      <c r="K515" s="57">
        <f>K514+dis_table[[#This Row],[Amount]]</f>
        <v>6152.3199999999933</v>
      </c>
    </row>
    <row r="516" spans="1:11" x14ac:dyDescent="0.25">
      <c r="A516" s="1">
        <v>514</v>
      </c>
      <c r="B516" s="10">
        <v>44748</v>
      </c>
      <c r="C516" s="10">
        <v>44748</v>
      </c>
      <c r="D516" t="s">
        <v>108</v>
      </c>
      <c r="E516" s="11">
        <v>79.66</v>
      </c>
      <c r="F516" t="s">
        <v>20</v>
      </c>
      <c r="G516" t="s">
        <v>109</v>
      </c>
      <c r="H516" t="s">
        <v>420</v>
      </c>
      <c r="I516" t="s">
        <v>22</v>
      </c>
      <c r="J516" t="s">
        <v>110</v>
      </c>
      <c r="K516" s="57">
        <f>K515+dis_table[[#This Row],[Amount]]</f>
        <v>6231.9799999999932</v>
      </c>
    </row>
    <row r="517" spans="1:11" x14ac:dyDescent="0.25">
      <c r="A517" s="1">
        <v>515</v>
      </c>
      <c r="B517" s="10">
        <v>44749</v>
      </c>
      <c r="C517" s="10">
        <v>44749</v>
      </c>
      <c r="D517" t="s">
        <v>480</v>
      </c>
      <c r="E517" s="11">
        <v>1</v>
      </c>
      <c r="F517" t="s">
        <v>56</v>
      </c>
      <c r="G517" t="s">
        <v>481</v>
      </c>
      <c r="H517" t="s">
        <v>420</v>
      </c>
      <c r="I517" t="s">
        <v>22</v>
      </c>
      <c r="J517" t="s">
        <v>23</v>
      </c>
      <c r="K517" s="57">
        <f>K516+dis_table[[#This Row],[Amount]]</f>
        <v>6232.9799999999932</v>
      </c>
    </row>
    <row r="518" spans="1:11" x14ac:dyDescent="0.25">
      <c r="A518" s="1">
        <v>516</v>
      </c>
      <c r="B518" s="10">
        <v>44750</v>
      </c>
      <c r="C518" s="10">
        <v>44750</v>
      </c>
      <c r="D518" t="s">
        <v>482</v>
      </c>
      <c r="E518" s="11">
        <v>20</v>
      </c>
      <c r="F518" t="s">
        <v>20</v>
      </c>
      <c r="G518" t="s">
        <v>281</v>
      </c>
      <c r="H518" t="s">
        <v>420</v>
      </c>
      <c r="I518" t="s">
        <v>15</v>
      </c>
      <c r="J518" t="s">
        <v>23</v>
      </c>
      <c r="K518" s="57">
        <f>K517+dis_table[[#This Row],[Amount]]</f>
        <v>6252.9799999999932</v>
      </c>
    </row>
    <row r="519" spans="1:11" x14ac:dyDescent="0.25">
      <c r="A519" s="1">
        <v>517</v>
      </c>
      <c r="B519" s="10">
        <v>44750</v>
      </c>
      <c r="C519" s="10">
        <v>44750</v>
      </c>
      <c r="D519" t="s">
        <v>379</v>
      </c>
      <c r="E519" s="11">
        <v>5.42</v>
      </c>
      <c r="F519" t="s">
        <v>20</v>
      </c>
      <c r="G519" t="s">
        <v>80</v>
      </c>
      <c r="H519" t="s">
        <v>420</v>
      </c>
      <c r="I519" t="s">
        <v>15</v>
      </c>
      <c r="J519" t="s">
        <v>23</v>
      </c>
      <c r="K519" s="57">
        <f>K518+dis_table[[#This Row],[Amount]]</f>
        <v>6258.3999999999933</v>
      </c>
    </row>
    <row r="520" spans="1:11" x14ac:dyDescent="0.25">
      <c r="A520" s="1">
        <v>518</v>
      </c>
      <c r="B520" s="10">
        <v>44750</v>
      </c>
      <c r="C520" s="10">
        <v>44750</v>
      </c>
      <c r="D520" t="s">
        <v>341</v>
      </c>
      <c r="E520" s="11">
        <v>23.88</v>
      </c>
      <c r="F520" t="s">
        <v>20</v>
      </c>
      <c r="G520" t="s">
        <v>72</v>
      </c>
      <c r="H520" t="s">
        <v>420</v>
      </c>
      <c r="I520" t="s">
        <v>15</v>
      </c>
      <c r="J520" t="s">
        <v>32</v>
      </c>
      <c r="K520" s="57">
        <f>K519+dis_table[[#This Row],[Amount]]</f>
        <v>6282.2799999999934</v>
      </c>
    </row>
    <row r="521" spans="1:11" x14ac:dyDescent="0.25">
      <c r="A521" s="1">
        <v>519</v>
      </c>
      <c r="B521" s="10">
        <v>44751</v>
      </c>
      <c r="C521" s="10">
        <v>44751</v>
      </c>
      <c r="D521" t="s">
        <v>483</v>
      </c>
      <c r="E521" s="11">
        <v>78</v>
      </c>
      <c r="F521" t="s">
        <v>12</v>
      </c>
      <c r="G521" t="s">
        <v>18</v>
      </c>
      <c r="H521" t="s">
        <v>420</v>
      </c>
      <c r="I521" t="s">
        <v>15</v>
      </c>
      <c r="J521" t="s">
        <v>16</v>
      </c>
      <c r="K521" s="57">
        <f>K520+dis_table[[#This Row],[Amount]]</f>
        <v>6360.2799999999934</v>
      </c>
    </row>
    <row r="522" spans="1:11" x14ac:dyDescent="0.25">
      <c r="A522" s="1">
        <v>520</v>
      </c>
      <c r="B522" s="10">
        <v>44751</v>
      </c>
      <c r="C522" s="10">
        <v>44751</v>
      </c>
      <c r="D522" t="s">
        <v>484</v>
      </c>
      <c r="E522" s="11">
        <v>51.5</v>
      </c>
      <c r="F522" t="s">
        <v>20</v>
      </c>
      <c r="G522" t="s">
        <v>485</v>
      </c>
      <c r="H522" t="s">
        <v>420</v>
      </c>
      <c r="I522" t="s">
        <v>15</v>
      </c>
      <c r="J522" t="s">
        <v>127</v>
      </c>
      <c r="K522" s="57">
        <f>K521+dis_table[[#This Row],[Amount]]</f>
        <v>6411.7799999999934</v>
      </c>
    </row>
    <row r="523" spans="1:11" x14ac:dyDescent="0.25">
      <c r="A523" s="1">
        <v>521</v>
      </c>
      <c r="B523" s="10">
        <v>44751</v>
      </c>
      <c r="C523" s="10">
        <v>44751</v>
      </c>
      <c r="D523" t="s">
        <v>379</v>
      </c>
      <c r="E523" s="11">
        <v>8.5</v>
      </c>
      <c r="F523" t="s">
        <v>20</v>
      </c>
      <c r="G523" t="s">
        <v>80</v>
      </c>
      <c r="H523" t="s">
        <v>420</v>
      </c>
      <c r="I523" t="s">
        <v>15</v>
      </c>
      <c r="J523" t="s">
        <v>23</v>
      </c>
      <c r="K523" s="57">
        <f>K522+dis_table[[#This Row],[Amount]]</f>
        <v>6420.2799999999934</v>
      </c>
    </row>
    <row r="524" spans="1:11" x14ac:dyDescent="0.25">
      <c r="A524" s="1">
        <v>522</v>
      </c>
      <c r="B524" s="10">
        <v>44751</v>
      </c>
      <c r="C524" s="10">
        <v>44751</v>
      </c>
      <c r="D524" t="s">
        <v>268</v>
      </c>
      <c r="E524" s="11">
        <v>5.32</v>
      </c>
      <c r="F524" t="s">
        <v>20</v>
      </c>
      <c r="G524" t="s">
        <v>80</v>
      </c>
      <c r="H524" t="s">
        <v>420</v>
      </c>
      <c r="I524" t="s">
        <v>15</v>
      </c>
      <c r="J524" t="s">
        <v>23</v>
      </c>
      <c r="K524" s="57">
        <f>K523+dis_table[[#This Row],[Amount]]</f>
        <v>6425.5999999999931</v>
      </c>
    </row>
    <row r="525" spans="1:11" x14ac:dyDescent="0.25">
      <c r="A525" s="1">
        <v>523</v>
      </c>
      <c r="B525" s="10">
        <v>44751</v>
      </c>
      <c r="C525" s="10">
        <v>44751</v>
      </c>
      <c r="D525" t="s">
        <v>486</v>
      </c>
      <c r="E525" s="11">
        <v>13.28</v>
      </c>
      <c r="F525" t="s">
        <v>20</v>
      </c>
      <c r="G525" t="s">
        <v>13</v>
      </c>
      <c r="H525" t="s">
        <v>420</v>
      </c>
      <c r="I525" t="s">
        <v>15</v>
      </c>
      <c r="J525" t="s">
        <v>16</v>
      </c>
      <c r="K525" s="57">
        <f>K524+dis_table[[#This Row],[Amount]]</f>
        <v>6438.8799999999928</v>
      </c>
    </row>
    <row r="526" spans="1:11" x14ac:dyDescent="0.25">
      <c r="A526" s="1">
        <v>524</v>
      </c>
      <c r="B526" s="10">
        <v>44749</v>
      </c>
      <c r="C526" s="10">
        <v>44752</v>
      </c>
      <c r="D526" t="s">
        <v>480</v>
      </c>
      <c r="E526" s="11">
        <v>-1</v>
      </c>
      <c r="F526" t="s">
        <v>37</v>
      </c>
      <c r="G526" t="s">
        <v>481</v>
      </c>
      <c r="H526" t="s">
        <v>420</v>
      </c>
      <c r="I526" t="s">
        <v>22</v>
      </c>
      <c r="J526" t="s">
        <v>23</v>
      </c>
      <c r="K526" s="57">
        <f>K525+dis_table[[#This Row],[Amount]]</f>
        <v>6437.8799999999928</v>
      </c>
    </row>
    <row r="527" spans="1:11" x14ac:dyDescent="0.25">
      <c r="A527" s="1">
        <v>525</v>
      </c>
      <c r="B527" s="10">
        <v>44752</v>
      </c>
      <c r="C527" s="10">
        <v>44752</v>
      </c>
      <c r="D527" t="s">
        <v>422</v>
      </c>
      <c r="E527" s="11">
        <v>10.63</v>
      </c>
      <c r="F527" t="s">
        <v>53</v>
      </c>
      <c r="G527" t="s">
        <v>54</v>
      </c>
      <c r="H527" t="s">
        <v>420</v>
      </c>
      <c r="I527" t="s">
        <v>15</v>
      </c>
      <c r="J527" t="s">
        <v>16</v>
      </c>
      <c r="K527" s="57">
        <f>K526+dis_table[[#This Row],[Amount]]</f>
        <v>6448.5099999999929</v>
      </c>
    </row>
    <row r="528" spans="1:11" x14ac:dyDescent="0.25">
      <c r="A528" s="1">
        <v>526</v>
      </c>
      <c r="B528" s="10">
        <v>44752</v>
      </c>
      <c r="C528" s="10">
        <v>44752</v>
      </c>
      <c r="D528" t="s">
        <v>379</v>
      </c>
      <c r="E528" s="11">
        <v>5.95</v>
      </c>
      <c r="F528" t="s">
        <v>20</v>
      </c>
      <c r="G528" t="s">
        <v>80</v>
      </c>
      <c r="H528" t="s">
        <v>420</v>
      </c>
      <c r="I528" t="s">
        <v>15</v>
      </c>
      <c r="J528" t="s">
        <v>23</v>
      </c>
      <c r="K528" s="57">
        <f>K527+dis_table[[#This Row],[Amount]]</f>
        <v>6454.4599999999928</v>
      </c>
    </row>
    <row r="529" spans="1:11" x14ac:dyDescent="0.25">
      <c r="A529" s="1">
        <v>527</v>
      </c>
      <c r="B529" s="10">
        <v>44752</v>
      </c>
      <c r="C529" s="10">
        <v>44752</v>
      </c>
      <c r="D529" t="s">
        <v>379</v>
      </c>
      <c r="E529" s="11">
        <v>5.32</v>
      </c>
      <c r="F529" t="s">
        <v>20</v>
      </c>
      <c r="G529" t="s">
        <v>80</v>
      </c>
      <c r="H529" t="s">
        <v>420</v>
      </c>
      <c r="I529" t="s">
        <v>15</v>
      </c>
      <c r="J529" t="s">
        <v>23</v>
      </c>
      <c r="K529" s="57">
        <f>K528+dis_table[[#This Row],[Amount]]</f>
        <v>6459.7799999999925</v>
      </c>
    </row>
    <row r="530" spans="1:11" x14ac:dyDescent="0.25">
      <c r="A530" s="1">
        <v>528</v>
      </c>
      <c r="B530" s="10">
        <v>44752</v>
      </c>
      <c r="C530" s="10">
        <v>44752</v>
      </c>
      <c r="D530" t="s">
        <v>423</v>
      </c>
      <c r="E530" s="11">
        <v>15.77</v>
      </c>
      <c r="F530" t="s">
        <v>30</v>
      </c>
      <c r="G530" t="s">
        <v>31</v>
      </c>
      <c r="H530" t="s">
        <v>420</v>
      </c>
      <c r="I530" t="s">
        <v>15</v>
      </c>
      <c r="J530" t="s">
        <v>32</v>
      </c>
      <c r="K530" s="57">
        <f>K529+dis_table[[#This Row],[Amount]]</f>
        <v>6475.5499999999929</v>
      </c>
    </row>
    <row r="531" spans="1:11" x14ac:dyDescent="0.25">
      <c r="A531" s="1">
        <v>529</v>
      </c>
      <c r="B531" s="10">
        <v>44752</v>
      </c>
      <c r="C531" s="10">
        <v>44752</v>
      </c>
      <c r="D531" t="s">
        <v>424</v>
      </c>
      <c r="E531" s="11">
        <v>55.98</v>
      </c>
      <c r="F531" t="s">
        <v>40</v>
      </c>
      <c r="G531" t="s">
        <v>41</v>
      </c>
      <c r="H531" t="s">
        <v>420</v>
      </c>
      <c r="I531" t="s">
        <v>15</v>
      </c>
      <c r="J531" t="s">
        <v>42</v>
      </c>
      <c r="K531" s="57">
        <f>K530+dis_table[[#This Row],[Amount]]</f>
        <v>6531.5299999999925</v>
      </c>
    </row>
    <row r="532" spans="1:11" x14ac:dyDescent="0.25">
      <c r="A532" s="1">
        <v>530</v>
      </c>
      <c r="B532" s="10">
        <v>44752</v>
      </c>
      <c r="C532" s="10">
        <v>44752</v>
      </c>
      <c r="D532" t="s">
        <v>425</v>
      </c>
      <c r="E532" s="11">
        <v>69.72</v>
      </c>
      <c r="F532" t="s">
        <v>12</v>
      </c>
      <c r="G532" t="s">
        <v>18</v>
      </c>
      <c r="H532" t="s">
        <v>420</v>
      </c>
      <c r="I532" t="s">
        <v>15</v>
      </c>
      <c r="J532" t="s">
        <v>16</v>
      </c>
      <c r="K532" s="57">
        <f>K531+dis_table[[#This Row],[Amount]]</f>
        <v>6601.2499999999927</v>
      </c>
    </row>
    <row r="533" spans="1:11" x14ac:dyDescent="0.25">
      <c r="A533" s="1">
        <v>531</v>
      </c>
      <c r="B533" s="10">
        <v>44753</v>
      </c>
      <c r="C533" s="10">
        <v>44753</v>
      </c>
      <c r="D533" t="s">
        <v>426</v>
      </c>
      <c r="E533" s="11">
        <v>37.229999999999997</v>
      </c>
      <c r="F533" t="s">
        <v>20</v>
      </c>
      <c r="G533" t="s">
        <v>27</v>
      </c>
      <c r="H533" t="s">
        <v>420</v>
      </c>
      <c r="I533" t="s">
        <v>15</v>
      </c>
      <c r="K533" s="57">
        <f>K532+dis_table[[#This Row],[Amount]]</f>
        <v>6638.4799999999923</v>
      </c>
    </row>
    <row r="534" spans="1:11" x14ac:dyDescent="0.25">
      <c r="A534" s="1">
        <v>532</v>
      </c>
      <c r="B534" s="10">
        <v>44753</v>
      </c>
      <c r="C534" s="10">
        <v>44753</v>
      </c>
      <c r="D534" t="s">
        <v>427</v>
      </c>
      <c r="E534" s="11">
        <v>19.309999999999999</v>
      </c>
      <c r="F534" t="s">
        <v>12</v>
      </c>
      <c r="G534" t="s">
        <v>13</v>
      </c>
      <c r="H534" t="s">
        <v>420</v>
      </c>
      <c r="I534" t="s">
        <v>15</v>
      </c>
      <c r="J534" t="s">
        <v>16</v>
      </c>
      <c r="K534" s="57">
        <f>K533+dis_table[[#This Row],[Amount]]</f>
        <v>6657.7899999999927</v>
      </c>
    </row>
    <row r="535" spans="1:11" x14ac:dyDescent="0.25">
      <c r="A535" s="1">
        <v>533</v>
      </c>
      <c r="B535" s="10">
        <v>44753</v>
      </c>
      <c r="C535" s="10">
        <v>44753</v>
      </c>
      <c r="D535" t="s">
        <v>379</v>
      </c>
      <c r="E535" s="11">
        <v>3.72</v>
      </c>
      <c r="F535" t="s">
        <v>20</v>
      </c>
      <c r="G535" t="s">
        <v>80</v>
      </c>
      <c r="H535" t="s">
        <v>420</v>
      </c>
      <c r="I535" t="s">
        <v>15</v>
      </c>
      <c r="J535" t="s">
        <v>23</v>
      </c>
      <c r="K535" s="57">
        <f>K534+dis_table[[#This Row],[Amount]]</f>
        <v>6661.5099999999929</v>
      </c>
    </row>
    <row r="536" spans="1:11" x14ac:dyDescent="0.25">
      <c r="A536" s="1">
        <v>534</v>
      </c>
      <c r="B536" s="10">
        <v>44753</v>
      </c>
      <c r="C536" s="10">
        <v>44753</v>
      </c>
      <c r="D536" t="s">
        <v>379</v>
      </c>
      <c r="E536" s="11">
        <v>4.25</v>
      </c>
      <c r="F536" t="s">
        <v>20</v>
      </c>
      <c r="G536" t="s">
        <v>80</v>
      </c>
      <c r="H536" t="s">
        <v>420</v>
      </c>
      <c r="I536" t="s">
        <v>15</v>
      </c>
      <c r="J536" t="s">
        <v>23</v>
      </c>
      <c r="K536" s="57">
        <f>K535+dis_table[[#This Row],[Amount]]</f>
        <v>6665.7599999999929</v>
      </c>
    </row>
    <row r="537" spans="1:11" x14ac:dyDescent="0.25">
      <c r="A537" s="1">
        <v>535</v>
      </c>
      <c r="B537" s="10">
        <v>44753</v>
      </c>
      <c r="C537" s="10">
        <v>44753</v>
      </c>
      <c r="D537" t="s">
        <v>428</v>
      </c>
      <c r="E537" s="11">
        <v>60.25</v>
      </c>
      <c r="F537" t="s">
        <v>248</v>
      </c>
      <c r="G537" t="s">
        <v>294</v>
      </c>
      <c r="H537" t="s">
        <v>420</v>
      </c>
      <c r="I537" t="s">
        <v>15</v>
      </c>
      <c r="J537" t="s">
        <v>23</v>
      </c>
      <c r="K537" s="57">
        <f>K536+dis_table[[#This Row],[Amount]]</f>
        <v>6726.0099999999929</v>
      </c>
    </row>
    <row r="538" spans="1:11" x14ac:dyDescent="0.25">
      <c r="A538" s="1">
        <v>536</v>
      </c>
      <c r="B538" s="10">
        <v>44754</v>
      </c>
      <c r="C538" s="10">
        <v>44754</v>
      </c>
      <c r="D538" t="s">
        <v>104</v>
      </c>
      <c r="E538" s="11">
        <v>21.51</v>
      </c>
      <c r="F538" t="s">
        <v>53</v>
      </c>
      <c r="G538" t="s">
        <v>54</v>
      </c>
      <c r="H538" t="s">
        <v>420</v>
      </c>
      <c r="I538" t="s">
        <v>15</v>
      </c>
      <c r="J538" t="s">
        <v>16</v>
      </c>
      <c r="K538" s="57">
        <f>K537+dis_table[[#This Row],[Amount]]</f>
        <v>6747.5199999999932</v>
      </c>
    </row>
    <row r="539" spans="1:11" x14ac:dyDescent="0.25">
      <c r="A539" s="1">
        <v>537</v>
      </c>
      <c r="B539" s="10">
        <v>44754</v>
      </c>
      <c r="C539" s="10">
        <v>44754</v>
      </c>
      <c r="D539" t="s">
        <v>73</v>
      </c>
      <c r="E539" s="11">
        <v>13.08</v>
      </c>
      <c r="F539" t="s">
        <v>12</v>
      </c>
      <c r="G539" t="s">
        <v>74</v>
      </c>
      <c r="H539" t="s">
        <v>420</v>
      </c>
      <c r="I539" t="s">
        <v>15</v>
      </c>
      <c r="J539" t="s">
        <v>16</v>
      </c>
      <c r="K539" s="57">
        <f>K538+dis_table[[#This Row],[Amount]]</f>
        <v>6760.5999999999931</v>
      </c>
    </row>
    <row r="540" spans="1:11" x14ac:dyDescent="0.25">
      <c r="A540" s="1">
        <v>538</v>
      </c>
      <c r="B540" s="10">
        <v>44754</v>
      </c>
      <c r="C540" s="10">
        <v>44754</v>
      </c>
      <c r="D540" t="s">
        <v>256</v>
      </c>
      <c r="E540" s="11">
        <v>3.19</v>
      </c>
      <c r="F540" t="s">
        <v>20</v>
      </c>
      <c r="G540" t="s">
        <v>80</v>
      </c>
      <c r="H540" t="s">
        <v>420</v>
      </c>
      <c r="I540" t="s">
        <v>15</v>
      </c>
      <c r="J540" t="s">
        <v>23</v>
      </c>
      <c r="K540" s="57">
        <f>K539+dis_table[[#This Row],[Amount]]</f>
        <v>6763.7899999999927</v>
      </c>
    </row>
    <row r="541" spans="1:11" x14ac:dyDescent="0.25">
      <c r="A541" s="1">
        <v>539</v>
      </c>
      <c r="B541" s="10">
        <v>44754</v>
      </c>
      <c r="C541" s="10">
        <v>44754</v>
      </c>
      <c r="D541" t="s">
        <v>429</v>
      </c>
      <c r="E541" s="11">
        <v>14.37</v>
      </c>
      <c r="F541" t="s">
        <v>12</v>
      </c>
      <c r="G541" t="s">
        <v>13</v>
      </c>
      <c r="H541" t="s">
        <v>420</v>
      </c>
      <c r="I541" t="s">
        <v>15</v>
      </c>
      <c r="J541" t="s">
        <v>16</v>
      </c>
      <c r="K541" s="57">
        <f>K540+dis_table[[#This Row],[Amount]]</f>
        <v>6778.1599999999926</v>
      </c>
    </row>
    <row r="542" spans="1:11" x14ac:dyDescent="0.25">
      <c r="A542" s="1">
        <v>540</v>
      </c>
      <c r="B542" s="10">
        <v>44755</v>
      </c>
      <c r="C542" s="10">
        <v>44755</v>
      </c>
      <c r="D542" t="s">
        <v>73</v>
      </c>
      <c r="E542" s="11">
        <v>11.72</v>
      </c>
      <c r="F542" t="s">
        <v>12</v>
      </c>
      <c r="G542" t="s">
        <v>74</v>
      </c>
      <c r="H542" t="s">
        <v>420</v>
      </c>
      <c r="I542" t="s">
        <v>15</v>
      </c>
      <c r="J542" t="s">
        <v>16</v>
      </c>
      <c r="K542" s="57">
        <f>K541+dis_table[[#This Row],[Amount]]</f>
        <v>6789.8799999999928</v>
      </c>
    </row>
    <row r="543" spans="1:11" x14ac:dyDescent="0.25">
      <c r="A543" s="1">
        <v>541</v>
      </c>
      <c r="B543" s="10">
        <v>44755</v>
      </c>
      <c r="C543" s="10">
        <v>44755</v>
      </c>
      <c r="D543" t="s">
        <v>379</v>
      </c>
      <c r="E543" s="11">
        <v>10.63</v>
      </c>
      <c r="F543" t="s">
        <v>20</v>
      </c>
      <c r="G543" t="s">
        <v>80</v>
      </c>
      <c r="H543" t="s">
        <v>420</v>
      </c>
      <c r="I543" t="s">
        <v>15</v>
      </c>
      <c r="J543" t="s">
        <v>23</v>
      </c>
      <c r="K543" s="57">
        <f>K542+dis_table[[#This Row],[Amount]]</f>
        <v>6800.5099999999929</v>
      </c>
    </row>
    <row r="544" spans="1:11" x14ac:dyDescent="0.25">
      <c r="A544" s="1">
        <v>542</v>
      </c>
      <c r="B544" s="10">
        <v>44756</v>
      </c>
      <c r="C544" s="10">
        <v>44756</v>
      </c>
      <c r="D544" t="s">
        <v>36</v>
      </c>
      <c r="E544" s="11">
        <v>-2600</v>
      </c>
      <c r="F544" t="s">
        <v>37</v>
      </c>
      <c r="G544" t="s">
        <v>38</v>
      </c>
      <c r="H544" t="s">
        <v>420</v>
      </c>
      <c r="I544" t="s">
        <v>15</v>
      </c>
      <c r="K544" s="57">
        <f>K543+dis_table[[#This Row],[Amount]]</f>
        <v>4200.5099999999929</v>
      </c>
    </row>
    <row r="545" spans="1:11" x14ac:dyDescent="0.25">
      <c r="A545" s="1">
        <v>543</v>
      </c>
      <c r="B545" s="10">
        <v>44757</v>
      </c>
      <c r="C545" s="10">
        <v>44757</v>
      </c>
      <c r="D545" t="s">
        <v>304</v>
      </c>
      <c r="E545" s="11">
        <v>10.85</v>
      </c>
      <c r="F545" t="s">
        <v>56</v>
      </c>
      <c r="G545" t="s">
        <v>305</v>
      </c>
      <c r="H545" t="s">
        <v>420</v>
      </c>
      <c r="I545" t="s">
        <v>22</v>
      </c>
      <c r="J545" t="s">
        <v>23</v>
      </c>
      <c r="K545" s="57">
        <f>K544+dis_table[[#This Row],[Amount]]</f>
        <v>4211.3599999999933</v>
      </c>
    </row>
    <row r="546" spans="1:11" x14ac:dyDescent="0.25">
      <c r="A546" s="1">
        <v>544</v>
      </c>
      <c r="B546" s="10">
        <v>44757</v>
      </c>
      <c r="C546" s="10">
        <v>44757</v>
      </c>
      <c r="D546" t="s">
        <v>430</v>
      </c>
      <c r="E546" s="11">
        <v>51.44</v>
      </c>
      <c r="F546" t="s">
        <v>40</v>
      </c>
      <c r="G546" t="s">
        <v>41</v>
      </c>
      <c r="H546" t="s">
        <v>420</v>
      </c>
      <c r="I546" t="s">
        <v>15</v>
      </c>
      <c r="J546" t="s">
        <v>42</v>
      </c>
      <c r="K546" s="57">
        <f>K545+dis_table[[#This Row],[Amount]]</f>
        <v>4262.7999999999929</v>
      </c>
    </row>
    <row r="547" spans="1:11" x14ac:dyDescent="0.25">
      <c r="A547" s="1">
        <v>545</v>
      </c>
      <c r="B547" s="10">
        <v>44757</v>
      </c>
      <c r="C547" s="10">
        <v>44757</v>
      </c>
      <c r="D547" t="s">
        <v>427</v>
      </c>
      <c r="E547" s="11">
        <v>20.38</v>
      </c>
      <c r="F547" t="s">
        <v>12</v>
      </c>
      <c r="G547" t="s">
        <v>13</v>
      </c>
      <c r="H547" t="s">
        <v>420</v>
      </c>
      <c r="I547" t="s">
        <v>15</v>
      </c>
      <c r="J547" t="s">
        <v>16</v>
      </c>
      <c r="K547" s="57">
        <f>K546+dis_table[[#This Row],[Amount]]</f>
        <v>4283.179999999993</v>
      </c>
    </row>
    <row r="548" spans="1:11" x14ac:dyDescent="0.25">
      <c r="A548" s="1">
        <v>546</v>
      </c>
      <c r="B548" s="10">
        <v>44757</v>
      </c>
      <c r="C548" s="10">
        <v>44757</v>
      </c>
      <c r="D548" t="s">
        <v>379</v>
      </c>
      <c r="E548" s="11">
        <v>10.63</v>
      </c>
      <c r="F548" t="s">
        <v>20</v>
      </c>
      <c r="G548" t="s">
        <v>80</v>
      </c>
      <c r="H548" t="s">
        <v>420</v>
      </c>
      <c r="I548" t="s">
        <v>15</v>
      </c>
      <c r="J548" t="s">
        <v>23</v>
      </c>
      <c r="K548" s="57">
        <f>K547+dis_table[[#This Row],[Amount]]</f>
        <v>4293.8099999999931</v>
      </c>
    </row>
    <row r="549" spans="1:11" x14ac:dyDescent="0.25">
      <c r="A549" s="1">
        <v>547</v>
      </c>
      <c r="B549" s="10">
        <v>44757</v>
      </c>
      <c r="C549" s="10">
        <v>44757</v>
      </c>
      <c r="D549" t="s">
        <v>431</v>
      </c>
      <c r="E549" s="11">
        <v>6.98</v>
      </c>
      <c r="F549" t="s">
        <v>40</v>
      </c>
      <c r="G549" t="s">
        <v>41</v>
      </c>
      <c r="H549" t="s">
        <v>420</v>
      </c>
      <c r="I549" t="s">
        <v>15</v>
      </c>
      <c r="J549" t="s">
        <v>42</v>
      </c>
      <c r="K549" s="57">
        <f>K548+dis_table[[#This Row],[Amount]]</f>
        <v>4300.7899999999927</v>
      </c>
    </row>
    <row r="550" spans="1:11" x14ac:dyDescent="0.25">
      <c r="A550" s="1">
        <v>548</v>
      </c>
      <c r="B550" s="10">
        <v>44757</v>
      </c>
      <c r="C550" s="10">
        <v>44757</v>
      </c>
      <c r="D550" t="s">
        <v>432</v>
      </c>
      <c r="E550" s="11">
        <v>50.23</v>
      </c>
      <c r="F550" t="s">
        <v>56</v>
      </c>
      <c r="G550" t="s">
        <v>94</v>
      </c>
      <c r="H550" t="s">
        <v>420</v>
      </c>
      <c r="I550" t="s">
        <v>15</v>
      </c>
      <c r="J550" t="s">
        <v>32</v>
      </c>
      <c r="K550" s="57">
        <f>K549+dis_table[[#This Row],[Amount]]</f>
        <v>4351.0199999999923</v>
      </c>
    </row>
    <row r="551" spans="1:11" x14ac:dyDescent="0.25">
      <c r="A551" s="1">
        <v>549</v>
      </c>
      <c r="B551" s="10">
        <v>44757</v>
      </c>
      <c r="C551" s="10">
        <v>44757</v>
      </c>
      <c r="D551" t="s">
        <v>433</v>
      </c>
      <c r="E551" s="11">
        <v>59.35</v>
      </c>
      <c r="F551" t="s">
        <v>56</v>
      </c>
      <c r="G551" t="s">
        <v>94</v>
      </c>
      <c r="H551" t="s">
        <v>420</v>
      </c>
      <c r="I551" t="s">
        <v>15</v>
      </c>
      <c r="J551" t="s">
        <v>32</v>
      </c>
      <c r="K551" s="57">
        <f>K550+dis_table[[#This Row],[Amount]]</f>
        <v>4410.3699999999926</v>
      </c>
    </row>
    <row r="552" spans="1:11" x14ac:dyDescent="0.25">
      <c r="A552" s="1">
        <v>550</v>
      </c>
      <c r="B552" s="10">
        <v>44757</v>
      </c>
      <c r="C552" s="10">
        <v>44757</v>
      </c>
      <c r="D552" t="s">
        <v>434</v>
      </c>
      <c r="E552" s="11">
        <v>42.71</v>
      </c>
      <c r="F552" t="s">
        <v>40</v>
      </c>
      <c r="G552" t="s">
        <v>41</v>
      </c>
      <c r="H552" t="s">
        <v>420</v>
      </c>
      <c r="I552" t="s">
        <v>15</v>
      </c>
      <c r="J552" t="s">
        <v>42</v>
      </c>
      <c r="K552" s="57">
        <f>K551+dis_table[[#This Row],[Amount]]</f>
        <v>4453.0799999999927</v>
      </c>
    </row>
    <row r="553" spans="1:11" x14ac:dyDescent="0.25">
      <c r="A553" s="1">
        <v>551</v>
      </c>
      <c r="B553" s="10">
        <v>44757</v>
      </c>
      <c r="C553" s="10">
        <v>44757</v>
      </c>
      <c r="D553" t="s">
        <v>435</v>
      </c>
      <c r="E553" s="11">
        <v>15.89</v>
      </c>
      <c r="F553" t="s">
        <v>20</v>
      </c>
      <c r="G553" t="s">
        <v>49</v>
      </c>
      <c r="H553" t="s">
        <v>420</v>
      </c>
      <c r="I553" t="s">
        <v>22</v>
      </c>
      <c r="J553" t="s">
        <v>23</v>
      </c>
      <c r="K553" s="57">
        <f>K552+dis_table[[#This Row],[Amount]]</f>
        <v>4468.969999999993</v>
      </c>
    </row>
    <row r="554" spans="1:11" x14ac:dyDescent="0.25">
      <c r="A554" s="1">
        <v>552</v>
      </c>
      <c r="B554" s="10">
        <v>44757</v>
      </c>
      <c r="C554" s="10">
        <v>44757</v>
      </c>
      <c r="D554" t="s">
        <v>431</v>
      </c>
      <c r="E554" s="11">
        <v>10</v>
      </c>
      <c r="F554" t="s">
        <v>40</v>
      </c>
      <c r="G554" t="s">
        <v>41</v>
      </c>
      <c r="H554" t="s">
        <v>420</v>
      </c>
      <c r="I554" t="s">
        <v>15</v>
      </c>
      <c r="J554" t="s">
        <v>42</v>
      </c>
      <c r="K554" s="57">
        <f>K553+dis_table[[#This Row],[Amount]]</f>
        <v>4478.969999999993</v>
      </c>
    </row>
    <row r="555" spans="1:11" x14ac:dyDescent="0.25">
      <c r="A555" s="1">
        <v>553</v>
      </c>
      <c r="B555" s="10">
        <v>44758</v>
      </c>
      <c r="C555" s="10">
        <v>44758</v>
      </c>
      <c r="D555" t="s">
        <v>436</v>
      </c>
      <c r="E555" s="11">
        <v>20</v>
      </c>
      <c r="F555" t="s">
        <v>56</v>
      </c>
      <c r="G555" t="s">
        <v>203</v>
      </c>
      <c r="H555" t="s">
        <v>420</v>
      </c>
      <c r="I555" t="s">
        <v>15</v>
      </c>
      <c r="J555" t="s">
        <v>42</v>
      </c>
      <c r="K555" s="57">
        <f>K554+dis_table[[#This Row],[Amount]]</f>
        <v>4498.969999999993</v>
      </c>
    </row>
    <row r="556" spans="1:11" x14ac:dyDescent="0.25">
      <c r="A556" s="1">
        <v>554</v>
      </c>
      <c r="B556" s="10">
        <v>44758</v>
      </c>
      <c r="C556" s="10">
        <v>44758</v>
      </c>
      <c r="D556" t="s">
        <v>379</v>
      </c>
      <c r="E556" s="11">
        <v>10.62</v>
      </c>
      <c r="F556" t="s">
        <v>20</v>
      </c>
      <c r="G556" t="s">
        <v>80</v>
      </c>
      <c r="H556" t="s">
        <v>420</v>
      </c>
      <c r="I556" t="s">
        <v>15</v>
      </c>
      <c r="J556" t="s">
        <v>23</v>
      </c>
      <c r="K556" s="57">
        <f>K555+dis_table[[#This Row],[Amount]]</f>
        <v>4509.5899999999929</v>
      </c>
    </row>
    <row r="557" spans="1:11" x14ac:dyDescent="0.25">
      <c r="A557" s="1">
        <v>555</v>
      </c>
      <c r="B557" s="10">
        <v>44758</v>
      </c>
      <c r="C557" s="10">
        <v>44758</v>
      </c>
      <c r="D557" t="s">
        <v>437</v>
      </c>
      <c r="E557" s="11">
        <v>32.5</v>
      </c>
      <c r="F557" t="s">
        <v>20</v>
      </c>
      <c r="G557" t="s">
        <v>223</v>
      </c>
      <c r="H557" t="s">
        <v>420</v>
      </c>
      <c r="I557" t="s">
        <v>15</v>
      </c>
      <c r="J557" t="s">
        <v>32</v>
      </c>
      <c r="K557" s="57">
        <f>K556+dis_table[[#This Row],[Amount]]</f>
        <v>4542.0899999999929</v>
      </c>
    </row>
    <row r="558" spans="1:11" x14ac:dyDescent="0.25">
      <c r="A558" s="1">
        <v>556</v>
      </c>
      <c r="B558" s="10">
        <v>44758</v>
      </c>
      <c r="C558" s="10">
        <v>44758</v>
      </c>
      <c r="D558" t="s">
        <v>438</v>
      </c>
      <c r="E558" s="11">
        <v>17.55</v>
      </c>
      <c r="F558" t="s">
        <v>20</v>
      </c>
      <c r="G558" t="s">
        <v>223</v>
      </c>
      <c r="H558" t="s">
        <v>420</v>
      </c>
      <c r="I558" t="s">
        <v>15</v>
      </c>
      <c r="J558" t="s">
        <v>32</v>
      </c>
      <c r="K558" s="57">
        <f>K557+dis_table[[#This Row],[Amount]]</f>
        <v>4559.6399999999931</v>
      </c>
    </row>
    <row r="559" spans="1:11" x14ac:dyDescent="0.25">
      <c r="A559" s="1">
        <v>557</v>
      </c>
      <c r="B559" s="10">
        <v>44758</v>
      </c>
      <c r="C559" s="10">
        <v>44758</v>
      </c>
      <c r="D559" t="s">
        <v>439</v>
      </c>
      <c r="E559" s="11">
        <v>11.77</v>
      </c>
      <c r="F559" t="s">
        <v>20</v>
      </c>
      <c r="G559" t="s">
        <v>13</v>
      </c>
      <c r="H559" t="s">
        <v>420</v>
      </c>
      <c r="I559" t="s">
        <v>15</v>
      </c>
      <c r="J559" t="s">
        <v>16</v>
      </c>
      <c r="K559" s="57">
        <f>K558+dis_table[[#This Row],[Amount]]</f>
        <v>4571.4099999999935</v>
      </c>
    </row>
    <row r="560" spans="1:11" x14ac:dyDescent="0.25">
      <c r="A560" s="1">
        <v>558</v>
      </c>
      <c r="B560" s="10">
        <v>44758</v>
      </c>
      <c r="C560" s="10">
        <v>44758</v>
      </c>
      <c r="D560" t="s">
        <v>440</v>
      </c>
      <c r="E560" s="11">
        <v>1.35</v>
      </c>
      <c r="F560" t="s">
        <v>56</v>
      </c>
      <c r="G560" t="s">
        <v>203</v>
      </c>
      <c r="H560" t="s">
        <v>420</v>
      </c>
      <c r="I560" t="s">
        <v>15</v>
      </c>
      <c r="J560" t="s">
        <v>42</v>
      </c>
      <c r="K560" s="57">
        <f>K559+dis_table[[#This Row],[Amount]]</f>
        <v>4572.7599999999939</v>
      </c>
    </row>
    <row r="561" spans="1:11" x14ac:dyDescent="0.25">
      <c r="A561" s="1">
        <v>559</v>
      </c>
      <c r="B561" s="10">
        <v>44758</v>
      </c>
      <c r="C561" s="10">
        <v>44758</v>
      </c>
      <c r="D561" t="s">
        <v>441</v>
      </c>
      <c r="E561" s="11">
        <v>28.16</v>
      </c>
      <c r="F561" t="s">
        <v>20</v>
      </c>
      <c r="G561" t="s">
        <v>223</v>
      </c>
      <c r="H561" t="s">
        <v>420</v>
      </c>
      <c r="I561" t="s">
        <v>15</v>
      </c>
      <c r="J561" t="s">
        <v>32</v>
      </c>
      <c r="K561" s="57">
        <f>K560+dis_table[[#This Row],[Amount]]</f>
        <v>4600.9199999999937</v>
      </c>
    </row>
    <row r="562" spans="1:11" x14ac:dyDescent="0.25">
      <c r="A562" s="1">
        <v>560</v>
      </c>
      <c r="B562" s="10">
        <v>44758</v>
      </c>
      <c r="C562" s="10">
        <v>44758</v>
      </c>
      <c r="D562" t="s">
        <v>442</v>
      </c>
      <c r="E562" s="11">
        <v>79</v>
      </c>
      <c r="F562" t="s">
        <v>56</v>
      </c>
      <c r="G562" t="s">
        <v>294</v>
      </c>
      <c r="H562" t="s">
        <v>420</v>
      </c>
      <c r="I562" t="s">
        <v>15</v>
      </c>
      <c r="J562" t="s">
        <v>23</v>
      </c>
      <c r="K562" s="57">
        <f>K561+dis_table[[#This Row],[Amount]]</f>
        <v>4679.9199999999937</v>
      </c>
    </row>
    <row r="563" spans="1:11" x14ac:dyDescent="0.25">
      <c r="A563" s="1">
        <v>561</v>
      </c>
      <c r="B563" s="10">
        <v>44758</v>
      </c>
      <c r="C563" s="10">
        <v>44758</v>
      </c>
      <c r="D563" t="s">
        <v>443</v>
      </c>
      <c r="E563" s="11">
        <v>40</v>
      </c>
      <c r="F563" t="s">
        <v>248</v>
      </c>
      <c r="G563" t="s">
        <v>223</v>
      </c>
      <c r="H563" t="s">
        <v>420</v>
      </c>
      <c r="I563" t="s">
        <v>15</v>
      </c>
      <c r="J563" t="s">
        <v>32</v>
      </c>
      <c r="K563" s="57">
        <f>K562+dis_table[[#This Row],[Amount]]</f>
        <v>4719.9199999999937</v>
      </c>
    </row>
    <row r="564" spans="1:11" x14ac:dyDescent="0.25">
      <c r="A564" s="1">
        <v>562</v>
      </c>
      <c r="B564" s="10">
        <v>44759</v>
      </c>
      <c r="C564" s="10">
        <v>44759</v>
      </c>
      <c r="D564" t="s">
        <v>379</v>
      </c>
      <c r="E564" s="11">
        <v>10.63</v>
      </c>
      <c r="F564" t="s">
        <v>20</v>
      </c>
      <c r="G564" t="s">
        <v>80</v>
      </c>
      <c r="H564" t="s">
        <v>420</v>
      </c>
      <c r="I564" t="s">
        <v>15</v>
      </c>
      <c r="J564" t="s">
        <v>23</v>
      </c>
      <c r="K564" s="57">
        <f>K563+dis_table[[#This Row],[Amount]]</f>
        <v>4730.5499999999938</v>
      </c>
    </row>
    <row r="565" spans="1:11" x14ac:dyDescent="0.25">
      <c r="A565" s="1">
        <v>563</v>
      </c>
      <c r="B565" s="10">
        <v>44759</v>
      </c>
      <c r="C565" s="10">
        <v>44759</v>
      </c>
      <c r="D565" t="s">
        <v>64</v>
      </c>
      <c r="E565" s="11">
        <v>70</v>
      </c>
      <c r="F565" t="s">
        <v>20</v>
      </c>
      <c r="G565" t="s">
        <v>65</v>
      </c>
      <c r="H565" t="s">
        <v>420</v>
      </c>
      <c r="I565" t="s">
        <v>22</v>
      </c>
      <c r="J565" t="s">
        <v>66</v>
      </c>
      <c r="K565" s="57">
        <f>K564+dis_table[[#This Row],[Amount]]</f>
        <v>4800.5499999999938</v>
      </c>
    </row>
    <row r="566" spans="1:11" x14ac:dyDescent="0.25">
      <c r="A566" s="1">
        <v>564</v>
      </c>
      <c r="B566" s="10">
        <v>44759</v>
      </c>
      <c r="C566" s="10">
        <v>44759</v>
      </c>
      <c r="D566" t="s">
        <v>444</v>
      </c>
      <c r="E566" s="11">
        <v>26.15</v>
      </c>
      <c r="F566" t="s">
        <v>40</v>
      </c>
      <c r="G566" t="s">
        <v>41</v>
      </c>
      <c r="H566" t="s">
        <v>420</v>
      </c>
      <c r="I566" t="s">
        <v>15</v>
      </c>
      <c r="J566" t="s">
        <v>42</v>
      </c>
      <c r="K566" s="57">
        <f>K565+dis_table[[#This Row],[Amount]]</f>
        <v>4826.6999999999935</v>
      </c>
    </row>
    <row r="567" spans="1:11" x14ac:dyDescent="0.25">
      <c r="A567" s="1">
        <v>565</v>
      </c>
      <c r="B567" s="10">
        <v>44759</v>
      </c>
      <c r="C567" s="10">
        <v>44759</v>
      </c>
      <c r="D567" t="s">
        <v>444</v>
      </c>
      <c r="E567" s="11">
        <v>5.38</v>
      </c>
      <c r="F567" t="s">
        <v>40</v>
      </c>
      <c r="G567" t="s">
        <v>41</v>
      </c>
      <c r="H567" t="s">
        <v>420</v>
      </c>
      <c r="I567" t="s">
        <v>15</v>
      </c>
      <c r="J567" t="s">
        <v>42</v>
      </c>
      <c r="K567" s="57">
        <f>K566+dis_table[[#This Row],[Amount]]</f>
        <v>4832.0799999999936</v>
      </c>
    </row>
    <row r="568" spans="1:11" x14ac:dyDescent="0.25">
      <c r="A568" s="1">
        <v>566</v>
      </c>
      <c r="B568" s="10">
        <v>44759</v>
      </c>
      <c r="C568" s="10">
        <v>44759</v>
      </c>
      <c r="D568" t="s">
        <v>445</v>
      </c>
      <c r="E568" s="11">
        <v>10</v>
      </c>
      <c r="F568" t="s">
        <v>30</v>
      </c>
      <c r="G568" t="s">
        <v>446</v>
      </c>
      <c r="H568" t="s">
        <v>420</v>
      </c>
      <c r="I568" t="s">
        <v>15</v>
      </c>
      <c r="J568" t="s">
        <v>23</v>
      </c>
      <c r="K568" s="57">
        <f>K567+dis_table[[#This Row],[Amount]]</f>
        <v>4842.0799999999936</v>
      </c>
    </row>
    <row r="569" spans="1:11" x14ac:dyDescent="0.25">
      <c r="A569" s="1">
        <v>567</v>
      </c>
      <c r="B569" s="10">
        <v>44759</v>
      </c>
      <c r="C569" s="10">
        <v>44759</v>
      </c>
      <c r="D569" t="s">
        <v>447</v>
      </c>
      <c r="E569" s="11">
        <v>5.0999999999999996</v>
      </c>
      <c r="F569" t="s">
        <v>12</v>
      </c>
      <c r="G569" t="s">
        <v>448</v>
      </c>
      <c r="H569" t="s">
        <v>420</v>
      </c>
      <c r="I569" t="s">
        <v>15</v>
      </c>
      <c r="J569" t="s">
        <v>60</v>
      </c>
      <c r="K569" s="57">
        <f>K568+dis_table[[#This Row],[Amount]]</f>
        <v>4847.1799999999939</v>
      </c>
    </row>
    <row r="570" spans="1:11" x14ac:dyDescent="0.25">
      <c r="A570" s="1">
        <v>568</v>
      </c>
      <c r="B570" s="10">
        <v>44759</v>
      </c>
      <c r="C570" s="10">
        <v>44759</v>
      </c>
      <c r="D570" t="s">
        <v>449</v>
      </c>
      <c r="E570" s="11">
        <v>21.22</v>
      </c>
      <c r="F570" t="s">
        <v>12</v>
      </c>
      <c r="G570" t="s">
        <v>446</v>
      </c>
      <c r="H570" t="s">
        <v>420</v>
      </c>
      <c r="I570" t="s">
        <v>15</v>
      </c>
      <c r="J570" t="s">
        <v>23</v>
      </c>
      <c r="K570" s="57">
        <f>K569+dis_table[[#This Row],[Amount]]</f>
        <v>4868.3999999999942</v>
      </c>
    </row>
    <row r="571" spans="1:11" x14ac:dyDescent="0.25">
      <c r="A571" s="1">
        <v>569</v>
      </c>
      <c r="B571" s="10">
        <v>44759</v>
      </c>
      <c r="C571" s="10">
        <v>44759</v>
      </c>
      <c r="D571" t="s">
        <v>445</v>
      </c>
      <c r="E571" s="11">
        <v>30</v>
      </c>
      <c r="F571" t="s">
        <v>30</v>
      </c>
      <c r="G571" t="s">
        <v>446</v>
      </c>
      <c r="H571" t="s">
        <v>420</v>
      </c>
      <c r="I571" t="s">
        <v>15</v>
      </c>
      <c r="J571" t="s">
        <v>23</v>
      </c>
      <c r="K571" s="57">
        <f>K570+dis_table[[#This Row],[Amount]]</f>
        <v>4898.3999999999942</v>
      </c>
    </row>
    <row r="572" spans="1:11" x14ac:dyDescent="0.25">
      <c r="A572" s="1">
        <v>570</v>
      </c>
      <c r="B572" s="10">
        <v>44759</v>
      </c>
      <c r="C572" s="10">
        <v>44759</v>
      </c>
      <c r="D572" t="s">
        <v>450</v>
      </c>
      <c r="E572" s="11">
        <v>18.260000000000002</v>
      </c>
      <c r="F572" t="s">
        <v>12</v>
      </c>
      <c r="G572" t="s">
        <v>13</v>
      </c>
      <c r="H572" t="s">
        <v>420</v>
      </c>
      <c r="I572" t="s">
        <v>15</v>
      </c>
      <c r="J572" t="s">
        <v>16</v>
      </c>
      <c r="K572" s="57">
        <f>K571+dis_table[[#This Row],[Amount]]</f>
        <v>4916.6599999999944</v>
      </c>
    </row>
    <row r="573" spans="1:11" x14ac:dyDescent="0.25">
      <c r="A573" s="1">
        <v>571</v>
      </c>
      <c r="B573" s="10">
        <v>44760</v>
      </c>
      <c r="C573" s="10">
        <v>44760</v>
      </c>
      <c r="D573" t="s">
        <v>58</v>
      </c>
      <c r="E573" s="11">
        <v>5.29</v>
      </c>
      <c r="F573" t="s">
        <v>20</v>
      </c>
      <c r="G573" t="s">
        <v>68</v>
      </c>
      <c r="H573" t="s">
        <v>420</v>
      </c>
      <c r="I573" t="s">
        <v>22</v>
      </c>
      <c r="J573" t="s">
        <v>23</v>
      </c>
      <c r="K573" s="57">
        <f>K572+dis_table[[#This Row],[Amount]]</f>
        <v>4921.9499999999944</v>
      </c>
    </row>
    <row r="574" spans="1:11" x14ac:dyDescent="0.25">
      <c r="A574" s="1">
        <v>572</v>
      </c>
      <c r="B574" s="10">
        <v>44760</v>
      </c>
      <c r="C574" s="10">
        <v>44760</v>
      </c>
      <c r="D574" t="s">
        <v>451</v>
      </c>
      <c r="E574" s="11">
        <v>415</v>
      </c>
      <c r="F574" t="s">
        <v>20</v>
      </c>
      <c r="G574" t="s">
        <v>203</v>
      </c>
      <c r="H574" t="s">
        <v>420</v>
      </c>
      <c r="I574" t="s">
        <v>15</v>
      </c>
      <c r="J574" t="s">
        <v>42</v>
      </c>
      <c r="K574" s="57">
        <f>K573+dis_table[[#This Row],[Amount]]</f>
        <v>5336.9499999999944</v>
      </c>
    </row>
    <row r="575" spans="1:11" x14ac:dyDescent="0.25">
      <c r="A575" s="1">
        <v>573</v>
      </c>
      <c r="B575" s="10">
        <v>44761</v>
      </c>
      <c r="C575" s="10">
        <v>44761</v>
      </c>
      <c r="D575" t="s">
        <v>452</v>
      </c>
      <c r="E575" s="11">
        <v>16.8</v>
      </c>
      <c r="F575" t="s">
        <v>12</v>
      </c>
      <c r="G575" t="s">
        <v>13</v>
      </c>
      <c r="H575" t="s">
        <v>420</v>
      </c>
      <c r="I575" t="s">
        <v>15</v>
      </c>
      <c r="J575" t="s">
        <v>16</v>
      </c>
      <c r="K575" s="57">
        <f>K574+dis_table[[#This Row],[Amount]]</f>
        <v>5353.7499999999945</v>
      </c>
    </row>
    <row r="576" spans="1:11" x14ac:dyDescent="0.25">
      <c r="A576" s="1">
        <v>574</v>
      </c>
      <c r="B576" s="10">
        <v>44761</v>
      </c>
      <c r="C576" s="10">
        <v>44761</v>
      </c>
      <c r="D576" t="s">
        <v>453</v>
      </c>
      <c r="E576" s="11">
        <v>5.18</v>
      </c>
      <c r="F576" t="s">
        <v>53</v>
      </c>
      <c r="G576" t="s">
        <v>72</v>
      </c>
      <c r="H576" t="s">
        <v>420</v>
      </c>
      <c r="I576" t="s">
        <v>15</v>
      </c>
      <c r="J576" t="s">
        <v>32</v>
      </c>
      <c r="K576" s="57">
        <f>K575+dis_table[[#This Row],[Amount]]</f>
        <v>5358.9299999999948</v>
      </c>
    </row>
    <row r="577" spans="1:11" x14ac:dyDescent="0.25">
      <c r="A577" s="1">
        <v>575</v>
      </c>
      <c r="B577" s="10">
        <v>44761</v>
      </c>
      <c r="C577" s="10">
        <v>44761</v>
      </c>
      <c r="D577" t="s">
        <v>454</v>
      </c>
      <c r="E577" s="11">
        <v>38.1</v>
      </c>
      <c r="F577" t="s">
        <v>455</v>
      </c>
      <c r="G577" t="s">
        <v>456</v>
      </c>
      <c r="H577" t="s">
        <v>420</v>
      </c>
      <c r="I577" t="s">
        <v>15</v>
      </c>
      <c r="J577" t="s">
        <v>245</v>
      </c>
      <c r="K577" s="57">
        <f>K576+dis_table[[#This Row],[Amount]]</f>
        <v>5397.0299999999952</v>
      </c>
    </row>
    <row r="578" spans="1:11" x14ac:dyDescent="0.25">
      <c r="A578" s="1">
        <v>576</v>
      </c>
      <c r="B578" s="10">
        <v>44762</v>
      </c>
      <c r="C578" s="10">
        <v>44762</v>
      </c>
      <c r="D578" t="s">
        <v>457</v>
      </c>
      <c r="E578" s="11">
        <v>32.06</v>
      </c>
      <c r="F578" t="s">
        <v>12</v>
      </c>
      <c r="G578" t="s">
        <v>18</v>
      </c>
      <c r="H578" t="s">
        <v>420</v>
      </c>
      <c r="I578" t="s">
        <v>15</v>
      </c>
      <c r="J578" t="s">
        <v>16</v>
      </c>
      <c r="K578" s="57">
        <f>K577+dis_table[[#This Row],[Amount]]</f>
        <v>5429.0899999999956</v>
      </c>
    </row>
    <row r="579" spans="1:11" x14ac:dyDescent="0.25">
      <c r="A579" s="1">
        <v>577</v>
      </c>
      <c r="B579" s="10">
        <v>44762</v>
      </c>
      <c r="C579" s="10">
        <v>44762</v>
      </c>
      <c r="D579" t="s">
        <v>458</v>
      </c>
      <c r="E579" s="11">
        <v>32.21</v>
      </c>
      <c r="F579" t="s">
        <v>53</v>
      </c>
      <c r="G579" t="s">
        <v>54</v>
      </c>
      <c r="H579" t="s">
        <v>420</v>
      </c>
      <c r="I579" t="s">
        <v>15</v>
      </c>
      <c r="J579" t="s">
        <v>16</v>
      </c>
      <c r="K579" s="57">
        <f>K578+dis_table[[#This Row],[Amount]]</f>
        <v>5461.2999999999956</v>
      </c>
    </row>
    <row r="580" spans="1:11" x14ac:dyDescent="0.25">
      <c r="A580" s="1">
        <v>578</v>
      </c>
      <c r="B580" s="10">
        <v>44762</v>
      </c>
      <c r="C580" s="10">
        <v>44762</v>
      </c>
      <c r="D580" t="s">
        <v>459</v>
      </c>
      <c r="E580" s="11">
        <v>11.02</v>
      </c>
      <c r="F580" t="s">
        <v>20</v>
      </c>
      <c r="G580" t="s">
        <v>13</v>
      </c>
      <c r="H580" t="s">
        <v>420</v>
      </c>
      <c r="I580" t="s">
        <v>15</v>
      </c>
      <c r="J580" t="s">
        <v>16</v>
      </c>
      <c r="K580" s="57">
        <f>K579+dis_table[[#This Row],[Amount]]</f>
        <v>5472.3199999999961</v>
      </c>
    </row>
    <row r="581" spans="1:11" x14ac:dyDescent="0.25">
      <c r="A581" s="1">
        <v>579</v>
      </c>
      <c r="B581" s="10">
        <v>44762</v>
      </c>
      <c r="C581" s="10">
        <v>44762</v>
      </c>
      <c r="D581" t="s">
        <v>460</v>
      </c>
      <c r="E581" s="11">
        <v>54.28</v>
      </c>
      <c r="F581" t="s">
        <v>20</v>
      </c>
      <c r="G581" t="s">
        <v>223</v>
      </c>
      <c r="H581" t="s">
        <v>420</v>
      </c>
      <c r="I581" t="s">
        <v>15</v>
      </c>
      <c r="J581" t="s">
        <v>32</v>
      </c>
      <c r="K581" s="57">
        <f>K580+dis_table[[#This Row],[Amount]]</f>
        <v>5526.5999999999958</v>
      </c>
    </row>
    <row r="582" spans="1:11" x14ac:dyDescent="0.25">
      <c r="A582" s="1">
        <v>580</v>
      </c>
      <c r="B582" s="10">
        <v>44762</v>
      </c>
      <c r="C582" s="10">
        <v>44762</v>
      </c>
      <c r="D582" t="s">
        <v>461</v>
      </c>
      <c r="E582" s="11">
        <v>87</v>
      </c>
      <c r="F582" t="s">
        <v>30</v>
      </c>
      <c r="G582" t="s">
        <v>270</v>
      </c>
      <c r="H582" t="s">
        <v>420</v>
      </c>
      <c r="I582" t="s">
        <v>15</v>
      </c>
      <c r="J582" t="s">
        <v>23</v>
      </c>
      <c r="K582" s="57">
        <f>K581+dis_table[[#This Row],[Amount]]</f>
        <v>5613.5999999999958</v>
      </c>
    </row>
    <row r="583" spans="1:11" x14ac:dyDescent="0.25">
      <c r="A583" s="1">
        <v>581</v>
      </c>
      <c r="B583" s="10">
        <v>44762</v>
      </c>
      <c r="C583" s="10">
        <v>44762</v>
      </c>
      <c r="D583" t="s">
        <v>462</v>
      </c>
      <c r="E583" s="11">
        <v>35</v>
      </c>
      <c r="F583" t="s">
        <v>12</v>
      </c>
      <c r="G583" t="s">
        <v>169</v>
      </c>
      <c r="H583" t="s">
        <v>420</v>
      </c>
      <c r="I583" t="s">
        <v>15</v>
      </c>
      <c r="J583" t="s">
        <v>23</v>
      </c>
      <c r="K583" s="57">
        <f>K582+dis_table[[#This Row],[Amount]]</f>
        <v>5648.5999999999958</v>
      </c>
    </row>
    <row r="584" spans="1:11" x14ac:dyDescent="0.25">
      <c r="A584" s="1">
        <v>582</v>
      </c>
      <c r="B584" s="10">
        <v>44762</v>
      </c>
      <c r="C584" s="10">
        <v>44762</v>
      </c>
      <c r="D584" t="s">
        <v>463</v>
      </c>
      <c r="E584" s="11">
        <v>14.67</v>
      </c>
      <c r="F584" t="s">
        <v>30</v>
      </c>
      <c r="G584" t="s">
        <v>147</v>
      </c>
      <c r="H584" t="s">
        <v>420</v>
      </c>
      <c r="I584" t="s">
        <v>15</v>
      </c>
      <c r="J584" t="s">
        <v>23</v>
      </c>
      <c r="K584" s="57">
        <f>K583+dis_table[[#This Row],[Amount]]</f>
        <v>5663.2699999999959</v>
      </c>
    </row>
    <row r="585" spans="1:11" x14ac:dyDescent="0.25">
      <c r="A585" s="1">
        <v>583</v>
      </c>
      <c r="B585" s="10">
        <v>44763</v>
      </c>
      <c r="C585" s="10">
        <v>44763</v>
      </c>
      <c r="D585" t="s">
        <v>464</v>
      </c>
      <c r="E585" s="11">
        <v>5.41</v>
      </c>
      <c r="F585" t="s">
        <v>20</v>
      </c>
      <c r="G585" t="s">
        <v>27</v>
      </c>
      <c r="H585" t="s">
        <v>420</v>
      </c>
      <c r="I585" t="s">
        <v>15</v>
      </c>
      <c r="K585" s="57">
        <f>K584+dis_table[[#This Row],[Amount]]</f>
        <v>5668.6799999999957</v>
      </c>
    </row>
    <row r="586" spans="1:11" x14ac:dyDescent="0.25">
      <c r="A586" s="1">
        <v>584</v>
      </c>
      <c r="B586" s="10">
        <v>44763</v>
      </c>
      <c r="C586" s="10">
        <v>44763</v>
      </c>
      <c r="D586" t="s">
        <v>465</v>
      </c>
      <c r="E586" s="11">
        <v>3.84</v>
      </c>
      <c r="F586" t="s">
        <v>30</v>
      </c>
      <c r="G586" t="s">
        <v>76</v>
      </c>
      <c r="H586" t="s">
        <v>420</v>
      </c>
      <c r="I586" t="s">
        <v>15</v>
      </c>
      <c r="J586" t="s">
        <v>42</v>
      </c>
      <c r="K586" s="57">
        <f>K585+dis_table[[#This Row],[Amount]]</f>
        <v>5672.5199999999959</v>
      </c>
    </row>
    <row r="587" spans="1:11" x14ac:dyDescent="0.25">
      <c r="A587" s="1">
        <v>585</v>
      </c>
      <c r="B587" s="10">
        <v>44763</v>
      </c>
      <c r="C587" s="10">
        <v>44763</v>
      </c>
      <c r="D587" t="s">
        <v>465</v>
      </c>
      <c r="E587" s="11">
        <v>5.12</v>
      </c>
      <c r="F587" t="s">
        <v>30</v>
      </c>
      <c r="G587" t="s">
        <v>76</v>
      </c>
      <c r="H587" t="s">
        <v>420</v>
      </c>
      <c r="I587" t="s">
        <v>15</v>
      </c>
      <c r="J587" t="s">
        <v>42</v>
      </c>
      <c r="K587" s="57">
        <f>K586+dis_table[[#This Row],[Amount]]</f>
        <v>5677.6399999999958</v>
      </c>
    </row>
    <row r="588" spans="1:11" x14ac:dyDescent="0.25">
      <c r="A588" s="1">
        <v>586</v>
      </c>
      <c r="B588" s="10">
        <v>44763</v>
      </c>
      <c r="C588" s="10">
        <v>44763</v>
      </c>
      <c r="D588" t="s">
        <v>466</v>
      </c>
      <c r="E588" s="11">
        <v>36.32</v>
      </c>
      <c r="F588" t="s">
        <v>12</v>
      </c>
      <c r="G588" t="s">
        <v>13</v>
      </c>
      <c r="H588" t="s">
        <v>420</v>
      </c>
      <c r="I588" t="s">
        <v>15</v>
      </c>
      <c r="J588" t="s">
        <v>16</v>
      </c>
      <c r="K588" s="57">
        <f>K587+dis_table[[#This Row],[Amount]]</f>
        <v>5713.9599999999955</v>
      </c>
    </row>
    <row r="589" spans="1:11" x14ac:dyDescent="0.25">
      <c r="A589" s="1">
        <v>587</v>
      </c>
      <c r="B589" s="10">
        <v>44763</v>
      </c>
      <c r="C589" s="10">
        <v>44763</v>
      </c>
      <c r="D589" t="s">
        <v>462</v>
      </c>
      <c r="E589" s="11">
        <v>26</v>
      </c>
      <c r="F589" t="s">
        <v>12</v>
      </c>
      <c r="G589" t="s">
        <v>169</v>
      </c>
      <c r="H589" t="s">
        <v>420</v>
      </c>
      <c r="I589" t="s">
        <v>15</v>
      </c>
      <c r="J589" t="s">
        <v>23</v>
      </c>
      <c r="K589" s="57">
        <f>K588+dis_table[[#This Row],[Amount]]</f>
        <v>5739.9599999999955</v>
      </c>
    </row>
    <row r="590" spans="1:11" x14ac:dyDescent="0.25">
      <c r="A590" s="1">
        <v>588</v>
      </c>
      <c r="B590" s="10">
        <v>44763</v>
      </c>
      <c r="C590" s="10">
        <v>44763</v>
      </c>
      <c r="D590" t="s">
        <v>467</v>
      </c>
      <c r="E590" s="11">
        <v>80</v>
      </c>
      <c r="F590" t="s">
        <v>30</v>
      </c>
      <c r="G590" t="s">
        <v>169</v>
      </c>
      <c r="H590" t="s">
        <v>420</v>
      </c>
      <c r="I590" t="s">
        <v>15</v>
      </c>
      <c r="J590" t="s">
        <v>23</v>
      </c>
      <c r="K590" s="57">
        <f>K589+dis_table[[#This Row],[Amount]]</f>
        <v>5819.9599999999955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A64B-C50E-42D5-AEFC-0536C9F2775B}">
  <sheetPr>
    <tabColor theme="5"/>
  </sheetPr>
  <dimension ref="A1:C589"/>
  <sheetViews>
    <sheetView workbookViewId="0">
      <selection activeCell="I23" sqref="I23"/>
    </sheetView>
  </sheetViews>
  <sheetFormatPr defaultRowHeight="15" x14ac:dyDescent="0.25"/>
  <cols>
    <col min="2" max="2" width="10.5703125" bestFit="1" customWidth="1"/>
    <col min="3" max="3" width="13.7109375" bestFit="1" customWidth="1"/>
  </cols>
  <sheetData>
    <row r="1" spans="1:3" x14ac:dyDescent="0.25">
      <c r="A1" s="12" t="s">
        <v>6</v>
      </c>
      <c r="B1" s="12" t="s">
        <v>504</v>
      </c>
      <c r="C1" s="60" t="s">
        <v>9</v>
      </c>
    </row>
    <row r="2" spans="1:3" x14ac:dyDescent="0.25">
      <c r="A2" s="3" t="s">
        <v>14</v>
      </c>
      <c r="B2" s="19"/>
      <c r="C2" s="58">
        <v>3599.69</v>
      </c>
    </row>
    <row r="3" spans="1:3" x14ac:dyDescent="0.25">
      <c r="A3" s="3" t="s">
        <v>14</v>
      </c>
      <c r="B3" s="19"/>
      <c r="C3" s="58">
        <v>3659.69</v>
      </c>
    </row>
    <row r="4" spans="1:3" x14ac:dyDescent="0.25">
      <c r="A4" s="3" t="s">
        <v>14</v>
      </c>
      <c r="B4" s="19">
        <v>-1800</v>
      </c>
      <c r="C4" s="58">
        <v>1859.69</v>
      </c>
    </row>
    <row r="5" spans="1:3" x14ac:dyDescent="0.25">
      <c r="A5" s="3" t="s">
        <v>14</v>
      </c>
      <c r="B5" s="19"/>
      <c r="C5" s="58">
        <v>1874.52</v>
      </c>
    </row>
    <row r="6" spans="1:3" x14ac:dyDescent="0.25">
      <c r="A6" s="3" t="s">
        <v>14</v>
      </c>
      <c r="B6" s="19"/>
      <c r="C6" s="58">
        <v>1884.51</v>
      </c>
    </row>
    <row r="7" spans="1:3" x14ac:dyDescent="0.25">
      <c r="A7" s="3" t="s">
        <v>14</v>
      </c>
      <c r="B7" s="19"/>
      <c r="C7" s="58">
        <v>1894.51</v>
      </c>
    </row>
    <row r="8" spans="1:3" x14ac:dyDescent="0.25">
      <c r="A8" s="3" t="s">
        <v>14</v>
      </c>
      <c r="B8" s="19"/>
      <c r="C8" s="58">
        <v>1907.5</v>
      </c>
    </row>
    <row r="9" spans="1:3" x14ac:dyDescent="0.25">
      <c r="A9" s="3" t="s">
        <v>14</v>
      </c>
      <c r="B9" s="19"/>
      <c r="C9" s="58">
        <v>1949.84</v>
      </c>
    </row>
    <row r="10" spans="1:3" x14ac:dyDescent="0.25">
      <c r="A10" s="3" t="s">
        <v>14</v>
      </c>
      <c r="B10" s="19"/>
      <c r="C10" s="58">
        <v>2029.2199999999998</v>
      </c>
    </row>
    <row r="11" spans="1:3" x14ac:dyDescent="0.25">
      <c r="A11" s="3" t="s">
        <v>14</v>
      </c>
      <c r="B11" s="19"/>
      <c r="C11" s="58">
        <v>2037.2199999999998</v>
      </c>
    </row>
    <row r="12" spans="1:3" x14ac:dyDescent="0.25">
      <c r="A12" s="3" t="s">
        <v>14</v>
      </c>
      <c r="B12" s="19"/>
      <c r="C12" s="58">
        <v>2067.1499999999996</v>
      </c>
    </row>
    <row r="13" spans="1:3" x14ac:dyDescent="0.25">
      <c r="A13" s="3" t="s">
        <v>14</v>
      </c>
      <c r="B13" s="19"/>
      <c r="C13" s="58">
        <v>2072.1399999999994</v>
      </c>
    </row>
    <row r="14" spans="1:3" x14ac:dyDescent="0.25">
      <c r="A14" s="3" t="s">
        <v>14</v>
      </c>
      <c r="B14" s="19"/>
      <c r="C14" s="58">
        <v>2104.7199999999993</v>
      </c>
    </row>
    <row r="15" spans="1:3" x14ac:dyDescent="0.25">
      <c r="A15" s="3" t="s">
        <v>14</v>
      </c>
      <c r="B15" s="19"/>
      <c r="C15" s="58">
        <v>2124.7199999999993</v>
      </c>
    </row>
    <row r="16" spans="1:3" x14ac:dyDescent="0.25">
      <c r="A16" s="3" t="s">
        <v>14</v>
      </c>
      <c r="B16" s="19"/>
      <c r="C16" s="58">
        <v>2127.2099999999991</v>
      </c>
    </row>
    <row r="17" spans="1:3" x14ac:dyDescent="0.25">
      <c r="A17" s="3" t="s">
        <v>14</v>
      </c>
      <c r="B17" s="19"/>
      <c r="C17" s="58">
        <v>2163.9299999999989</v>
      </c>
    </row>
    <row r="18" spans="1:3" x14ac:dyDescent="0.25">
      <c r="A18" s="3" t="s">
        <v>14</v>
      </c>
      <c r="B18" s="19"/>
      <c r="C18" s="58">
        <v>2213.9099999999989</v>
      </c>
    </row>
    <row r="19" spans="1:3" x14ac:dyDescent="0.25">
      <c r="A19" s="3" t="s">
        <v>14</v>
      </c>
      <c r="B19" s="19"/>
      <c r="C19" s="58">
        <v>2223.9999999999991</v>
      </c>
    </row>
    <row r="20" spans="1:3" x14ac:dyDescent="0.25">
      <c r="A20" s="3" t="s">
        <v>14</v>
      </c>
      <c r="B20" s="19"/>
      <c r="C20" s="58">
        <v>2433.9999999999991</v>
      </c>
    </row>
    <row r="21" spans="1:3" x14ac:dyDescent="0.25">
      <c r="A21" s="3" t="s">
        <v>14</v>
      </c>
      <c r="B21" s="19"/>
      <c r="C21" s="58">
        <v>2453.7999999999993</v>
      </c>
    </row>
    <row r="22" spans="1:3" x14ac:dyDescent="0.25">
      <c r="A22" s="3" t="s">
        <v>14</v>
      </c>
      <c r="B22" s="19"/>
      <c r="C22" s="58">
        <v>2468.8999999999992</v>
      </c>
    </row>
    <row r="23" spans="1:3" x14ac:dyDescent="0.25">
      <c r="A23" s="3" t="s">
        <v>14</v>
      </c>
      <c r="B23" s="19">
        <v>-2194.92</v>
      </c>
      <c r="C23" s="58">
        <v>273.97999999999911</v>
      </c>
    </row>
    <row r="24" spans="1:3" x14ac:dyDescent="0.25">
      <c r="A24" s="3" t="s">
        <v>14</v>
      </c>
      <c r="B24" s="19"/>
      <c r="C24" s="58">
        <v>304.8699999999991</v>
      </c>
    </row>
    <row r="25" spans="1:3" x14ac:dyDescent="0.25">
      <c r="A25" s="3" t="s">
        <v>14</v>
      </c>
      <c r="B25" s="19">
        <v>-29.08</v>
      </c>
      <c r="C25" s="58">
        <v>275.78999999999911</v>
      </c>
    </row>
    <row r="26" spans="1:3" x14ac:dyDescent="0.25">
      <c r="A26" s="3" t="s">
        <v>14</v>
      </c>
      <c r="B26" s="19"/>
      <c r="C26" s="58">
        <v>282.07999999999913</v>
      </c>
    </row>
    <row r="27" spans="1:3" x14ac:dyDescent="0.25">
      <c r="A27" s="3" t="s">
        <v>14</v>
      </c>
      <c r="B27" s="19"/>
      <c r="C27" s="58">
        <v>297.96999999999912</v>
      </c>
    </row>
    <row r="28" spans="1:3" x14ac:dyDescent="0.25">
      <c r="A28" s="3" t="s">
        <v>14</v>
      </c>
      <c r="B28" s="19"/>
      <c r="C28" s="58">
        <v>350.37999999999909</v>
      </c>
    </row>
    <row r="29" spans="1:3" x14ac:dyDescent="0.25">
      <c r="A29" s="3" t="s">
        <v>14</v>
      </c>
      <c r="B29" s="19"/>
      <c r="C29" s="58">
        <v>371.8699999999991</v>
      </c>
    </row>
    <row r="30" spans="1:3" x14ac:dyDescent="0.25">
      <c r="A30" s="3" t="s">
        <v>14</v>
      </c>
      <c r="B30" s="19"/>
      <c r="C30" s="58">
        <v>406.88999999999908</v>
      </c>
    </row>
    <row r="31" spans="1:3" x14ac:dyDescent="0.25">
      <c r="A31" s="3" t="s">
        <v>14</v>
      </c>
      <c r="B31" s="19"/>
      <c r="C31" s="58">
        <v>468.88999999999908</v>
      </c>
    </row>
    <row r="32" spans="1:3" x14ac:dyDescent="0.25">
      <c r="A32" s="3" t="s">
        <v>14</v>
      </c>
      <c r="B32" s="19"/>
      <c r="C32" s="58">
        <v>495.37999999999909</v>
      </c>
    </row>
    <row r="33" spans="1:3" x14ac:dyDescent="0.25">
      <c r="A33" s="3" t="s">
        <v>14</v>
      </c>
      <c r="B33" s="19"/>
      <c r="C33" s="58">
        <v>498.3699999999991</v>
      </c>
    </row>
    <row r="34" spans="1:3" x14ac:dyDescent="0.25">
      <c r="A34" s="3" t="s">
        <v>14</v>
      </c>
      <c r="B34" s="19"/>
      <c r="C34" s="58">
        <v>522.51999999999907</v>
      </c>
    </row>
    <row r="35" spans="1:3" x14ac:dyDescent="0.25">
      <c r="A35" s="3" t="s">
        <v>14</v>
      </c>
      <c r="B35" s="19"/>
      <c r="C35" s="58">
        <v>535.19999999999902</v>
      </c>
    </row>
    <row r="36" spans="1:3" x14ac:dyDescent="0.25">
      <c r="A36" s="3" t="s">
        <v>14</v>
      </c>
      <c r="B36" s="19"/>
      <c r="C36" s="58">
        <v>605.19999999999902</v>
      </c>
    </row>
    <row r="37" spans="1:3" x14ac:dyDescent="0.25">
      <c r="A37" s="3" t="s">
        <v>14</v>
      </c>
      <c r="B37" s="19"/>
      <c r="C37" s="58">
        <v>610.48999999999899</v>
      </c>
    </row>
    <row r="38" spans="1:3" x14ac:dyDescent="0.25">
      <c r="A38" s="3" t="s">
        <v>14</v>
      </c>
      <c r="B38" s="19"/>
      <c r="C38" s="58">
        <v>792.93999999999892</v>
      </c>
    </row>
    <row r="39" spans="1:3" x14ac:dyDescent="0.25">
      <c r="A39" s="3" t="s">
        <v>14</v>
      </c>
      <c r="B39" s="19"/>
      <c r="C39" s="58">
        <v>946.81999999999891</v>
      </c>
    </row>
    <row r="40" spans="1:3" x14ac:dyDescent="0.25">
      <c r="A40" s="3" t="s">
        <v>14</v>
      </c>
      <c r="B40" s="19"/>
      <c r="C40" s="58">
        <v>959.43999999999892</v>
      </c>
    </row>
    <row r="41" spans="1:3" x14ac:dyDescent="0.25">
      <c r="A41" s="3" t="s">
        <v>14</v>
      </c>
      <c r="B41" s="19"/>
      <c r="C41" s="58">
        <v>983.14999999999895</v>
      </c>
    </row>
    <row r="42" spans="1:3" x14ac:dyDescent="0.25">
      <c r="A42" s="3" t="s">
        <v>14</v>
      </c>
      <c r="B42" s="19"/>
      <c r="C42" s="58">
        <v>996.13999999999896</v>
      </c>
    </row>
    <row r="43" spans="1:3" x14ac:dyDescent="0.25">
      <c r="A43" s="3" t="s">
        <v>14</v>
      </c>
      <c r="B43" s="19"/>
      <c r="C43" s="58">
        <v>1001.129999999999</v>
      </c>
    </row>
    <row r="44" spans="1:3" x14ac:dyDescent="0.25">
      <c r="A44" s="3" t="s">
        <v>14</v>
      </c>
      <c r="B44" s="19"/>
      <c r="C44" s="58">
        <v>1033.569999999999</v>
      </c>
    </row>
    <row r="45" spans="1:3" x14ac:dyDescent="0.25">
      <c r="A45" s="3" t="s">
        <v>14</v>
      </c>
      <c r="B45" s="19"/>
      <c r="C45" s="58">
        <v>1040.399999999999</v>
      </c>
    </row>
    <row r="46" spans="1:3" x14ac:dyDescent="0.25">
      <c r="A46" s="3" t="s">
        <v>14</v>
      </c>
      <c r="B46" s="19"/>
      <c r="C46" s="58">
        <v>1051.399999999999</v>
      </c>
    </row>
    <row r="47" spans="1:3" x14ac:dyDescent="0.25">
      <c r="A47" s="3" t="s">
        <v>14</v>
      </c>
      <c r="B47" s="19"/>
      <c r="C47" s="58">
        <v>1058.7599999999989</v>
      </c>
    </row>
    <row r="48" spans="1:3" x14ac:dyDescent="0.25">
      <c r="A48" s="3" t="s">
        <v>14</v>
      </c>
      <c r="B48" s="19"/>
      <c r="C48" s="58">
        <v>1091.7399999999989</v>
      </c>
    </row>
    <row r="49" spans="1:3" x14ac:dyDescent="0.25">
      <c r="A49" s="3" t="s">
        <v>14</v>
      </c>
      <c r="B49" s="19"/>
      <c r="C49" s="58">
        <v>1121.7299999999989</v>
      </c>
    </row>
    <row r="50" spans="1:3" x14ac:dyDescent="0.25">
      <c r="A50" s="3" t="s">
        <v>14</v>
      </c>
      <c r="B50" s="19"/>
      <c r="C50" s="58">
        <v>1144.5199999999988</v>
      </c>
    </row>
    <row r="51" spans="1:3" x14ac:dyDescent="0.25">
      <c r="A51" s="3" t="s">
        <v>14</v>
      </c>
      <c r="B51" s="19"/>
      <c r="C51" s="58">
        <v>1174.5199999999988</v>
      </c>
    </row>
    <row r="52" spans="1:3" x14ac:dyDescent="0.25">
      <c r="A52" s="3" t="s">
        <v>14</v>
      </c>
      <c r="B52" s="19"/>
      <c r="C52" s="58">
        <v>1253.5199999999988</v>
      </c>
    </row>
    <row r="53" spans="1:3" x14ac:dyDescent="0.25">
      <c r="A53" s="3" t="s">
        <v>14</v>
      </c>
      <c r="B53" s="19"/>
      <c r="C53" s="58">
        <v>1255.6899999999989</v>
      </c>
    </row>
    <row r="54" spans="1:3" x14ac:dyDescent="0.25">
      <c r="A54" s="3" t="s">
        <v>14</v>
      </c>
      <c r="B54" s="19"/>
      <c r="C54" s="58">
        <v>1257.5599999999988</v>
      </c>
    </row>
    <row r="55" spans="1:3" x14ac:dyDescent="0.25">
      <c r="A55" s="3" t="s">
        <v>14</v>
      </c>
      <c r="B55" s="19"/>
      <c r="C55" s="58">
        <v>1467.5599999999988</v>
      </c>
    </row>
    <row r="56" spans="1:3" x14ac:dyDescent="0.25">
      <c r="A56" s="3" t="s">
        <v>14</v>
      </c>
      <c r="B56" s="19"/>
      <c r="C56" s="58">
        <v>1497.5599999999988</v>
      </c>
    </row>
    <row r="57" spans="1:3" x14ac:dyDescent="0.25">
      <c r="A57" s="3" t="s">
        <v>14</v>
      </c>
      <c r="B57" s="19"/>
      <c r="C57" s="58">
        <v>1506.5599999999988</v>
      </c>
    </row>
    <row r="58" spans="1:3" x14ac:dyDescent="0.25">
      <c r="A58" s="3" t="s">
        <v>14</v>
      </c>
      <c r="B58" s="19"/>
      <c r="C58" s="58">
        <v>1512.2299999999989</v>
      </c>
    </row>
    <row r="59" spans="1:3" x14ac:dyDescent="0.25">
      <c r="A59" s="3" t="s">
        <v>14</v>
      </c>
      <c r="B59" s="19"/>
      <c r="C59" s="58">
        <v>1516.379999999999</v>
      </c>
    </row>
    <row r="60" spans="1:3" x14ac:dyDescent="0.25">
      <c r="A60" s="3" t="s">
        <v>14</v>
      </c>
      <c r="B60" s="19"/>
      <c r="C60" s="58">
        <v>1540.7399999999989</v>
      </c>
    </row>
    <row r="61" spans="1:3" x14ac:dyDescent="0.25">
      <c r="A61" s="3" t="s">
        <v>14</v>
      </c>
      <c r="B61" s="19"/>
      <c r="C61" s="58">
        <v>1547.5699999999988</v>
      </c>
    </row>
    <row r="62" spans="1:3" x14ac:dyDescent="0.25">
      <c r="A62" s="3" t="s">
        <v>14</v>
      </c>
      <c r="B62" s="19"/>
      <c r="C62" s="58">
        <v>1554.4299999999987</v>
      </c>
    </row>
    <row r="63" spans="1:3" x14ac:dyDescent="0.25">
      <c r="A63" s="3" t="s">
        <v>14</v>
      </c>
      <c r="B63" s="19"/>
      <c r="C63" s="58">
        <v>1584.4299999999987</v>
      </c>
    </row>
    <row r="64" spans="1:3" x14ac:dyDescent="0.25">
      <c r="A64" s="3" t="s">
        <v>14</v>
      </c>
      <c r="B64" s="19"/>
      <c r="C64" s="58">
        <v>1618.8099999999988</v>
      </c>
    </row>
    <row r="65" spans="1:3" x14ac:dyDescent="0.25">
      <c r="A65" s="3" t="s">
        <v>14</v>
      </c>
      <c r="B65" s="19"/>
      <c r="C65" s="58">
        <v>1629.5999999999988</v>
      </c>
    </row>
    <row r="66" spans="1:3" x14ac:dyDescent="0.25">
      <c r="A66" s="3" t="s">
        <v>14</v>
      </c>
      <c r="B66" s="19"/>
      <c r="C66" s="58">
        <v>1634.6099999999988</v>
      </c>
    </row>
    <row r="67" spans="1:3" x14ac:dyDescent="0.25">
      <c r="A67" s="3" t="s">
        <v>14</v>
      </c>
      <c r="B67" s="19"/>
      <c r="C67" s="58">
        <v>1644.9199999999987</v>
      </c>
    </row>
    <row r="68" spans="1:3" x14ac:dyDescent="0.25">
      <c r="A68" s="3" t="s">
        <v>14</v>
      </c>
      <c r="B68" s="19"/>
      <c r="C68" s="58">
        <v>1689.3799999999987</v>
      </c>
    </row>
    <row r="69" spans="1:3" x14ac:dyDescent="0.25">
      <c r="A69" s="3" t="s">
        <v>117</v>
      </c>
      <c r="B69" s="19"/>
      <c r="C69" s="58">
        <v>1733.3299999999988</v>
      </c>
    </row>
    <row r="70" spans="1:3" x14ac:dyDescent="0.25">
      <c r="A70" s="3" t="s">
        <v>14</v>
      </c>
      <c r="B70" s="19"/>
      <c r="C70" s="58">
        <v>1793.3299999999988</v>
      </c>
    </row>
    <row r="71" spans="1:3" x14ac:dyDescent="0.25">
      <c r="A71" s="3" t="s">
        <v>117</v>
      </c>
      <c r="B71" s="19"/>
      <c r="C71" s="58">
        <v>1808.1599999999987</v>
      </c>
    </row>
    <row r="72" spans="1:3" x14ac:dyDescent="0.25">
      <c r="A72" s="3" t="s">
        <v>117</v>
      </c>
      <c r="B72" s="19"/>
      <c r="C72" s="58">
        <v>1887.3499999999988</v>
      </c>
    </row>
    <row r="73" spans="1:3" x14ac:dyDescent="0.25">
      <c r="A73" s="3" t="s">
        <v>117</v>
      </c>
      <c r="B73" s="19"/>
      <c r="C73" s="58">
        <v>1897.3399999999988</v>
      </c>
    </row>
    <row r="74" spans="1:3" x14ac:dyDescent="0.25">
      <c r="A74" s="3" t="s">
        <v>117</v>
      </c>
      <c r="B74" s="19"/>
      <c r="C74" s="58">
        <v>1907.3399999999988</v>
      </c>
    </row>
    <row r="75" spans="1:3" x14ac:dyDescent="0.25">
      <c r="A75" s="3" t="s">
        <v>117</v>
      </c>
      <c r="B75" s="19"/>
      <c r="C75" s="58">
        <v>1920.3299999999988</v>
      </c>
    </row>
    <row r="76" spans="1:3" x14ac:dyDescent="0.25">
      <c r="A76" s="3" t="s">
        <v>117</v>
      </c>
      <c r="B76" s="19"/>
      <c r="C76" s="58">
        <v>1999.7099999999987</v>
      </c>
    </row>
    <row r="77" spans="1:3" x14ac:dyDescent="0.25">
      <c r="A77" s="3" t="s">
        <v>117</v>
      </c>
      <c r="B77" s="19"/>
      <c r="C77" s="58">
        <v>2013.4399999999987</v>
      </c>
    </row>
    <row r="78" spans="1:3" x14ac:dyDescent="0.25">
      <c r="A78" s="3" t="s">
        <v>117</v>
      </c>
      <c r="B78" s="19"/>
      <c r="C78" s="58">
        <v>2346.6299999999987</v>
      </c>
    </row>
    <row r="79" spans="1:3" x14ac:dyDescent="0.25">
      <c r="A79" s="3" t="s">
        <v>117</v>
      </c>
      <c r="B79" s="19"/>
      <c r="C79" s="58">
        <v>2357.2199999999989</v>
      </c>
    </row>
    <row r="80" spans="1:3" x14ac:dyDescent="0.25">
      <c r="A80" s="3" t="s">
        <v>117</v>
      </c>
      <c r="B80" s="19"/>
      <c r="C80" s="58">
        <v>2362.2099999999987</v>
      </c>
    </row>
    <row r="81" spans="1:3" x14ac:dyDescent="0.25">
      <c r="A81" s="3" t="s">
        <v>117</v>
      </c>
      <c r="B81" s="19"/>
      <c r="C81" s="58">
        <v>2379.2799999999988</v>
      </c>
    </row>
    <row r="82" spans="1:3" x14ac:dyDescent="0.25">
      <c r="A82" s="3" t="s">
        <v>117</v>
      </c>
      <c r="B82" s="19"/>
      <c r="C82" s="58">
        <v>2384.2799999999988</v>
      </c>
    </row>
    <row r="83" spans="1:3" x14ac:dyDescent="0.25">
      <c r="A83" s="3" t="s">
        <v>117</v>
      </c>
      <c r="B83" s="19"/>
      <c r="C83" s="58">
        <v>2388.9399999999987</v>
      </c>
    </row>
    <row r="84" spans="1:3" x14ac:dyDescent="0.25">
      <c r="A84" s="3" t="s">
        <v>117</v>
      </c>
      <c r="B84" s="19">
        <v>-1733.33</v>
      </c>
      <c r="C84" s="58">
        <v>655.60999999999876</v>
      </c>
    </row>
    <row r="85" spans="1:3" x14ac:dyDescent="0.25">
      <c r="A85" s="3" t="s">
        <v>117</v>
      </c>
      <c r="B85" s="19"/>
      <c r="C85" s="58">
        <v>671.49999999999875</v>
      </c>
    </row>
    <row r="86" spans="1:3" x14ac:dyDescent="0.25">
      <c r="A86" s="3" t="s">
        <v>117</v>
      </c>
      <c r="B86" s="19">
        <v>-5</v>
      </c>
      <c r="C86" s="58">
        <v>666.49999999999875</v>
      </c>
    </row>
    <row r="87" spans="1:3" x14ac:dyDescent="0.25">
      <c r="A87" s="3" t="s">
        <v>117</v>
      </c>
      <c r="B87" s="19"/>
      <c r="C87" s="58">
        <v>675.69999999999879</v>
      </c>
    </row>
    <row r="88" spans="1:3" x14ac:dyDescent="0.25">
      <c r="A88" s="3" t="s">
        <v>117</v>
      </c>
      <c r="B88" s="19"/>
      <c r="C88" s="58">
        <v>689.80999999999881</v>
      </c>
    </row>
    <row r="89" spans="1:3" x14ac:dyDescent="0.25">
      <c r="A89" s="3" t="s">
        <v>117</v>
      </c>
      <c r="B89" s="19"/>
      <c r="C89" s="58">
        <v>709.80999999999881</v>
      </c>
    </row>
    <row r="90" spans="1:3" x14ac:dyDescent="0.25">
      <c r="A90" s="3" t="s">
        <v>117</v>
      </c>
      <c r="B90" s="19"/>
      <c r="C90" s="58">
        <v>724.79999999999882</v>
      </c>
    </row>
    <row r="91" spans="1:3" x14ac:dyDescent="0.25">
      <c r="A91" s="3" t="s">
        <v>117</v>
      </c>
      <c r="B91" s="19"/>
      <c r="C91" s="58">
        <v>751.38999999999885</v>
      </c>
    </row>
    <row r="92" spans="1:3" x14ac:dyDescent="0.25">
      <c r="A92" s="3" t="s">
        <v>117</v>
      </c>
      <c r="B92" s="19"/>
      <c r="C92" s="58">
        <v>800.38999999999885</v>
      </c>
    </row>
    <row r="93" spans="1:3" x14ac:dyDescent="0.25">
      <c r="A93" s="3" t="s">
        <v>117</v>
      </c>
      <c r="B93" s="19"/>
      <c r="C93" s="58">
        <v>812.38999999999885</v>
      </c>
    </row>
    <row r="94" spans="1:3" x14ac:dyDescent="0.25">
      <c r="A94" s="3" t="s">
        <v>117</v>
      </c>
      <c r="B94" s="19"/>
      <c r="C94" s="58">
        <v>882.38999999999885</v>
      </c>
    </row>
    <row r="95" spans="1:3" x14ac:dyDescent="0.25">
      <c r="A95" s="3" t="s">
        <v>117</v>
      </c>
      <c r="B95" s="19"/>
      <c r="C95" s="58">
        <v>887.67999999999881</v>
      </c>
    </row>
    <row r="96" spans="1:3" x14ac:dyDescent="0.25">
      <c r="A96" s="3" t="s">
        <v>117</v>
      </c>
      <c r="B96" s="19">
        <v>-29.29</v>
      </c>
      <c r="C96" s="58">
        <v>858.38999999999885</v>
      </c>
    </row>
    <row r="97" spans="1:3" x14ac:dyDescent="0.25">
      <c r="A97" s="3" t="s">
        <v>117</v>
      </c>
      <c r="B97" s="19"/>
      <c r="C97" s="58">
        <v>928.96999999999889</v>
      </c>
    </row>
    <row r="98" spans="1:3" x14ac:dyDescent="0.25">
      <c r="A98" s="3" t="s">
        <v>117</v>
      </c>
      <c r="B98" s="19">
        <v>-771.1</v>
      </c>
      <c r="C98" s="58">
        <v>157.86999999999887</v>
      </c>
    </row>
    <row r="99" spans="1:3" x14ac:dyDescent="0.25">
      <c r="A99" s="3" t="s">
        <v>117</v>
      </c>
      <c r="B99" s="19"/>
      <c r="C99" s="58">
        <v>168.86999999999887</v>
      </c>
    </row>
    <row r="100" spans="1:3" x14ac:dyDescent="0.25">
      <c r="A100" s="3" t="s">
        <v>117</v>
      </c>
      <c r="B100" s="19"/>
      <c r="C100" s="58">
        <v>198.86999999999887</v>
      </c>
    </row>
    <row r="101" spans="1:3" x14ac:dyDescent="0.25">
      <c r="A101" s="3" t="s">
        <v>117</v>
      </c>
      <c r="B101" s="19"/>
      <c r="C101" s="58">
        <v>213.02999999999886</v>
      </c>
    </row>
    <row r="102" spans="1:3" x14ac:dyDescent="0.25">
      <c r="A102" s="3" t="s">
        <v>117</v>
      </c>
      <c r="B102" s="19"/>
      <c r="C102" s="58">
        <v>214.64999999999887</v>
      </c>
    </row>
    <row r="103" spans="1:3" x14ac:dyDescent="0.25">
      <c r="A103" s="3" t="s">
        <v>117</v>
      </c>
      <c r="B103" s="19"/>
      <c r="C103" s="58">
        <v>341.34999999999889</v>
      </c>
    </row>
    <row r="104" spans="1:3" x14ac:dyDescent="0.25">
      <c r="A104" s="3" t="s">
        <v>117</v>
      </c>
      <c r="B104" s="19"/>
      <c r="C104" s="58">
        <v>471.52999999999889</v>
      </c>
    </row>
    <row r="105" spans="1:3" x14ac:dyDescent="0.25">
      <c r="A105" s="3" t="s">
        <v>117</v>
      </c>
      <c r="B105" s="19"/>
      <c r="C105" s="58">
        <v>480.84999999999889</v>
      </c>
    </row>
    <row r="106" spans="1:3" x14ac:dyDescent="0.25">
      <c r="A106" s="3" t="s">
        <v>117</v>
      </c>
      <c r="B106" s="19"/>
      <c r="C106" s="58">
        <v>498.84999999999889</v>
      </c>
    </row>
    <row r="107" spans="1:3" x14ac:dyDescent="0.25">
      <c r="A107" s="3" t="s">
        <v>117</v>
      </c>
      <c r="B107" s="19"/>
      <c r="C107" s="58">
        <v>528.83999999999889</v>
      </c>
    </row>
    <row r="108" spans="1:3" x14ac:dyDescent="0.25">
      <c r="A108" s="3" t="s">
        <v>117</v>
      </c>
      <c r="B108" s="19"/>
      <c r="C108" s="58">
        <v>547.72999999999888</v>
      </c>
    </row>
    <row r="109" spans="1:3" x14ac:dyDescent="0.25">
      <c r="A109" s="3" t="s">
        <v>117</v>
      </c>
      <c r="B109" s="19"/>
      <c r="C109" s="58">
        <v>578.74999999999886</v>
      </c>
    </row>
    <row r="110" spans="1:3" x14ac:dyDescent="0.25">
      <c r="A110" s="3" t="s">
        <v>117</v>
      </c>
      <c r="B110" s="19"/>
      <c r="C110" s="58">
        <v>620.11999999999887</v>
      </c>
    </row>
    <row r="111" spans="1:3" x14ac:dyDescent="0.25">
      <c r="A111" s="3" t="s">
        <v>117</v>
      </c>
      <c r="B111" s="19"/>
      <c r="C111" s="58">
        <v>669.24999999999886</v>
      </c>
    </row>
    <row r="112" spans="1:3" x14ac:dyDescent="0.25">
      <c r="A112" s="3" t="s">
        <v>117</v>
      </c>
      <c r="B112" s="19"/>
      <c r="C112" s="58">
        <v>674.18999999999892</v>
      </c>
    </row>
    <row r="113" spans="1:3" x14ac:dyDescent="0.25">
      <c r="A113" s="3" t="s">
        <v>145</v>
      </c>
      <c r="B113" s="19"/>
      <c r="C113" s="58">
        <v>712.60999999999888</v>
      </c>
    </row>
    <row r="114" spans="1:3" x14ac:dyDescent="0.25">
      <c r="A114" s="3" t="s">
        <v>145</v>
      </c>
      <c r="B114" s="19"/>
      <c r="C114" s="58">
        <v>723.5799999999989</v>
      </c>
    </row>
    <row r="115" spans="1:3" x14ac:dyDescent="0.25">
      <c r="A115" s="3" t="s">
        <v>145</v>
      </c>
      <c r="B115" s="19"/>
      <c r="C115" s="58">
        <v>734.54999999999893</v>
      </c>
    </row>
    <row r="116" spans="1:3" x14ac:dyDescent="0.25">
      <c r="A116" s="3" t="s">
        <v>145</v>
      </c>
      <c r="B116" s="19"/>
      <c r="C116" s="58">
        <v>752.13999999999896</v>
      </c>
    </row>
    <row r="117" spans="1:3" x14ac:dyDescent="0.25">
      <c r="A117" s="3" t="s">
        <v>145</v>
      </c>
      <c r="B117" s="19"/>
      <c r="C117" s="58">
        <v>768.55999999999892</v>
      </c>
    </row>
    <row r="118" spans="1:3" x14ac:dyDescent="0.25">
      <c r="A118" s="3" t="s">
        <v>145</v>
      </c>
      <c r="B118" s="19"/>
      <c r="C118" s="58">
        <v>778.54999999999893</v>
      </c>
    </row>
    <row r="119" spans="1:3" x14ac:dyDescent="0.25">
      <c r="A119" s="3" t="s">
        <v>145</v>
      </c>
      <c r="B119" s="19"/>
      <c r="C119" s="58">
        <v>805.53999999999894</v>
      </c>
    </row>
    <row r="120" spans="1:3" x14ac:dyDescent="0.25">
      <c r="A120" s="3" t="s">
        <v>145</v>
      </c>
      <c r="B120" s="19"/>
      <c r="C120" s="58">
        <v>815.53999999999894</v>
      </c>
    </row>
    <row r="121" spans="1:3" x14ac:dyDescent="0.25">
      <c r="A121" s="3" t="s">
        <v>145</v>
      </c>
      <c r="B121" s="19"/>
      <c r="C121" s="58">
        <v>855.69999999999891</v>
      </c>
    </row>
    <row r="122" spans="1:3" x14ac:dyDescent="0.25">
      <c r="A122" s="3" t="s">
        <v>145</v>
      </c>
      <c r="B122" s="19"/>
      <c r="C122" s="58">
        <v>858.48999999999887</v>
      </c>
    </row>
    <row r="123" spans="1:3" x14ac:dyDescent="0.25">
      <c r="A123" s="3" t="s">
        <v>145</v>
      </c>
      <c r="B123" s="19"/>
      <c r="C123" s="58">
        <v>867.96999999999889</v>
      </c>
    </row>
    <row r="124" spans="1:3" x14ac:dyDescent="0.25">
      <c r="A124" s="3" t="s">
        <v>145</v>
      </c>
      <c r="B124" s="19"/>
      <c r="C124" s="58">
        <v>948.18999999999892</v>
      </c>
    </row>
    <row r="125" spans="1:3" x14ac:dyDescent="0.25">
      <c r="A125" s="3" t="s">
        <v>145</v>
      </c>
      <c r="B125" s="19"/>
      <c r="C125" s="58">
        <v>985.75999999999897</v>
      </c>
    </row>
    <row r="126" spans="1:3" x14ac:dyDescent="0.25">
      <c r="A126" s="3" t="s">
        <v>145</v>
      </c>
      <c r="B126" s="19"/>
      <c r="C126" s="58">
        <v>998.849999999999</v>
      </c>
    </row>
    <row r="127" spans="1:3" x14ac:dyDescent="0.25">
      <c r="A127" s="3" t="s">
        <v>145</v>
      </c>
      <c r="B127" s="19"/>
      <c r="C127" s="58">
        <v>1078.2299999999991</v>
      </c>
    </row>
    <row r="128" spans="1:3" x14ac:dyDescent="0.25">
      <c r="A128" s="3" t="s">
        <v>145</v>
      </c>
      <c r="B128" s="19"/>
      <c r="C128" s="58">
        <v>1091.2199999999991</v>
      </c>
    </row>
    <row r="129" spans="1:3" x14ac:dyDescent="0.25">
      <c r="A129" s="3" t="s">
        <v>145</v>
      </c>
      <c r="B129" s="19"/>
      <c r="C129" s="58">
        <v>1103.1599999999992</v>
      </c>
    </row>
    <row r="130" spans="1:3" x14ac:dyDescent="0.25">
      <c r="A130" s="3" t="s">
        <v>145</v>
      </c>
      <c r="B130" s="19"/>
      <c r="C130" s="58">
        <v>1124.3799999999992</v>
      </c>
    </row>
    <row r="131" spans="1:3" x14ac:dyDescent="0.25">
      <c r="A131" s="3" t="s">
        <v>145</v>
      </c>
      <c r="B131" s="19"/>
      <c r="C131" s="58">
        <v>1130.3999999999992</v>
      </c>
    </row>
    <row r="132" spans="1:3" x14ac:dyDescent="0.25">
      <c r="A132" s="3" t="s">
        <v>145</v>
      </c>
      <c r="B132" s="19"/>
      <c r="C132" s="58">
        <v>1172.3999999999992</v>
      </c>
    </row>
    <row r="133" spans="1:3" x14ac:dyDescent="0.25">
      <c r="A133" s="3" t="s">
        <v>145</v>
      </c>
      <c r="B133" s="19"/>
      <c r="C133" s="58">
        <v>1197.3999999999992</v>
      </c>
    </row>
    <row r="134" spans="1:3" x14ac:dyDescent="0.25">
      <c r="A134" s="3" t="s">
        <v>145</v>
      </c>
      <c r="B134" s="19"/>
      <c r="C134" s="58">
        <v>1475.0099999999993</v>
      </c>
    </row>
    <row r="135" spans="1:3" x14ac:dyDescent="0.25">
      <c r="A135" s="3" t="s">
        <v>145</v>
      </c>
      <c r="B135" s="19"/>
      <c r="C135" s="58">
        <v>1522.5199999999993</v>
      </c>
    </row>
    <row r="136" spans="1:3" x14ac:dyDescent="0.25">
      <c r="A136" s="3" t="s">
        <v>145</v>
      </c>
      <c r="B136" s="19"/>
      <c r="C136" s="58">
        <v>1535.0399999999993</v>
      </c>
    </row>
    <row r="137" spans="1:3" x14ac:dyDescent="0.25">
      <c r="A137" s="3" t="s">
        <v>145</v>
      </c>
      <c r="B137" s="19"/>
      <c r="C137" s="58">
        <v>1612.6999999999994</v>
      </c>
    </row>
    <row r="138" spans="1:3" x14ac:dyDescent="0.25">
      <c r="A138" s="3" t="s">
        <v>145</v>
      </c>
      <c r="B138" s="19"/>
      <c r="C138" s="58">
        <v>1616.6999999999994</v>
      </c>
    </row>
    <row r="139" spans="1:3" x14ac:dyDescent="0.25">
      <c r="A139" s="3" t="s">
        <v>145</v>
      </c>
      <c r="B139" s="19"/>
      <c r="C139" s="58">
        <v>1697.3399999999995</v>
      </c>
    </row>
    <row r="140" spans="1:3" x14ac:dyDescent="0.25">
      <c r="A140" s="3" t="s">
        <v>145</v>
      </c>
      <c r="B140" s="19"/>
      <c r="C140" s="58">
        <v>1702.3299999999995</v>
      </c>
    </row>
    <row r="141" spans="1:3" x14ac:dyDescent="0.25">
      <c r="A141" s="3" t="s">
        <v>145</v>
      </c>
      <c r="B141" s="19"/>
      <c r="C141" s="58">
        <v>1737.3299999999995</v>
      </c>
    </row>
    <row r="142" spans="1:3" x14ac:dyDescent="0.25">
      <c r="A142" s="3" t="s">
        <v>145</v>
      </c>
      <c r="B142" s="19"/>
      <c r="C142" s="58">
        <v>1789.1299999999994</v>
      </c>
    </row>
    <row r="143" spans="1:3" x14ac:dyDescent="0.25">
      <c r="A143" s="3" t="s">
        <v>145</v>
      </c>
      <c r="B143" s="19"/>
      <c r="C143" s="58">
        <v>1821.7099999999994</v>
      </c>
    </row>
    <row r="144" spans="1:3" x14ac:dyDescent="0.25">
      <c r="A144" s="3" t="s">
        <v>145</v>
      </c>
      <c r="B144" s="19"/>
      <c r="C144" s="58">
        <v>1826.8399999999995</v>
      </c>
    </row>
    <row r="145" spans="1:3" x14ac:dyDescent="0.25">
      <c r="A145" s="3" t="s">
        <v>145</v>
      </c>
      <c r="B145" s="19"/>
      <c r="C145" s="58">
        <v>1851.7599999999995</v>
      </c>
    </row>
    <row r="146" spans="1:3" x14ac:dyDescent="0.25">
      <c r="A146" s="3" t="s">
        <v>145</v>
      </c>
      <c r="B146" s="19"/>
      <c r="C146" s="58">
        <v>1891.7599999999995</v>
      </c>
    </row>
    <row r="147" spans="1:3" x14ac:dyDescent="0.25">
      <c r="A147" s="3" t="s">
        <v>145</v>
      </c>
      <c r="B147" s="19"/>
      <c r="C147" s="58">
        <v>1926.7599999999995</v>
      </c>
    </row>
    <row r="148" spans="1:3" x14ac:dyDescent="0.25">
      <c r="A148" s="3" t="s">
        <v>145</v>
      </c>
      <c r="B148" s="19">
        <v>-734.55</v>
      </c>
      <c r="C148" s="58">
        <v>1192.2099999999996</v>
      </c>
    </row>
    <row r="149" spans="1:3" x14ac:dyDescent="0.25">
      <c r="A149" s="3" t="s">
        <v>145</v>
      </c>
      <c r="B149" s="19"/>
      <c r="C149" s="58">
        <v>1197.3999999999996</v>
      </c>
    </row>
    <row r="150" spans="1:3" x14ac:dyDescent="0.25">
      <c r="A150" s="3" t="s">
        <v>145</v>
      </c>
      <c r="B150" s="19"/>
      <c r="C150" s="58">
        <v>1218.5199999999995</v>
      </c>
    </row>
    <row r="151" spans="1:3" x14ac:dyDescent="0.25">
      <c r="A151" s="3" t="s">
        <v>145</v>
      </c>
      <c r="B151" s="19"/>
      <c r="C151" s="58">
        <v>1229.1099999999994</v>
      </c>
    </row>
    <row r="152" spans="1:3" x14ac:dyDescent="0.25">
      <c r="A152" s="3" t="s">
        <v>145</v>
      </c>
      <c r="B152" s="19"/>
      <c r="C152" s="58">
        <v>1244.9999999999995</v>
      </c>
    </row>
    <row r="153" spans="1:3" x14ac:dyDescent="0.25">
      <c r="A153" s="3" t="s">
        <v>145</v>
      </c>
      <c r="B153" s="19"/>
      <c r="C153" s="58">
        <v>1278.1299999999997</v>
      </c>
    </row>
    <row r="154" spans="1:3" x14ac:dyDescent="0.25">
      <c r="A154" s="3" t="s">
        <v>145</v>
      </c>
      <c r="B154" s="19"/>
      <c r="C154" s="58">
        <v>1308.1299999999997</v>
      </c>
    </row>
    <row r="155" spans="1:3" x14ac:dyDescent="0.25">
      <c r="A155" s="3" t="s">
        <v>145</v>
      </c>
      <c r="B155" s="19"/>
      <c r="C155" s="58">
        <v>1369.9099999999996</v>
      </c>
    </row>
    <row r="156" spans="1:3" x14ac:dyDescent="0.25">
      <c r="A156" s="3" t="s">
        <v>145</v>
      </c>
      <c r="B156" s="19"/>
      <c r="C156" s="58">
        <v>1423.9099999999996</v>
      </c>
    </row>
    <row r="157" spans="1:3" x14ac:dyDescent="0.25">
      <c r="A157" s="3" t="s">
        <v>145</v>
      </c>
      <c r="B157" s="19"/>
      <c r="C157" s="58">
        <v>1445.9099999999996</v>
      </c>
    </row>
    <row r="158" spans="1:3" x14ac:dyDescent="0.25">
      <c r="A158" s="3" t="s">
        <v>145</v>
      </c>
      <c r="B158" s="19"/>
      <c r="C158" s="58">
        <v>1457.4099999999996</v>
      </c>
    </row>
    <row r="159" spans="1:3" x14ac:dyDescent="0.25">
      <c r="A159" s="3" t="s">
        <v>145</v>
      </c>
      <c r="B159" s="19"/>
      <c r="C159" s="58">
        <v>1537.3099999999997</v>
      </c>
    </row>
    <row r="160" spans="1:3" x14ac:dyDescent="0.25">
      <c r="A160" s="3" t="s">
        <v>145</v>
      </c>
      <c r="B160" s="19"/>
      <c r="C160" s="58">
        <v>1545.8399999999997</v>
      </c>
    </row>
    <row r="161" spans="1:3" x14ac:dyDescent="0.25">
      <c r="A161" s="3" t="s">
        <v>145</v>
      </c>
      <c r="B161" s="19"/>
      <c r="C161" s="58">
        <v>1595.2699999999998</v>
      </c>
    </row>
    <row r="162" spans="1:3" x14ac:dyDescent="0.25">
      <c r="A162" s="3" t="s">
        <v>145</v>
      </c>
      <c r="B162" s="19"/>
      <c r="C162" s="58">
        <v>1643.5999999999997</v>
      </c>
    </row>
    <row r="163" spans="1:3" x14ac:dyDescent="0.25">
      <c r="A163" s="3" t="s">
        <v>145</v>
      </c>
      <c r="B163" s="19"/>
      <c r="C163" s="58">
        <v>1691.8299999999997</v>
      </c>
    </row>
    <row r="164" spans="1:3" x14ac:dyDescent="0.25">
      <c r="A164" s="3" t="s">
        <v>145</v>
      </c>
      <c r="B164" s="19"/>
      <c r="C164" s="58">
        <v>1751.8299999999997</v>
      </c>
    </row>
    <row r="165" spans="1:3" x14ac:dyDescent="0.25">
      <c r="A165" s="3" t="s">
        <v>145</v>
      </c>
      <c r="B165" s="19"/>
      <c r="C165" s="58">
        <v>1781.8299999999997</v>
      </c>
    </row>
    <row r="166" spans="1:3" x14ac:dyDescent="0.25">
      <c r="A166" s="3" t="s">
        <v>145</v>
      </c>
      <c r="B166" s="19"/>
      <c r="C166" s="58">
        <v>1796.8199999999997</v>
      </c>
    </row>
    <row r="167" spans="1:3" x14ac:dyDescent="0.25">
      <c r="A167" s="3" t="s">
        <v>145</v>
      </c>
      <c r="B167" s="19"/>
      <c r="C167" s="58">
        <v>1797.6799999999996</v>
      </c>
    </row>
    <row r="168" spans="1:3" x14ac:dyDescent="0.25">
      <c r="A168" s="3" t="s">
        <v>145</v>
      </c>
      <c r="B168" s="19"/>
      <c r="C168" s="58">
        <v>1806.9099999999996</v>
      </c>
    </row>
    <row r="169" spans="1:3" x14ac:dyDescent="0.25">
      <c r="A169" s="3" t="s">
        <v>145</v>
      </c>
      <c r="B169" s="19"/>
      <c r="C169" s="58">
        <v>1826.7599999999995</v>
      </c>
    </row>
    <row r="170" spans="1:3" x14ac:dyDescent="0.25">
      <c r="A170" s="3" t="s">
        <v>145</v>
      </c>
      <c r="B170" s="19"/>
      <c r="C170" s="58">
        <v>1893.7099999999996</v>
      </c>
    </row>
    <row r="171" spans="1:3" x14ac:dyDescent="0.25">
      <c r="A171" s="3" t="s">
        <v>145</v>
      </c>
      <c r="B171" s="19"/>
      <c r="C171" s="58">
        <v>1941.3099999999995</v>
      </c>
    </row>
    <row r="172" spans="1:3" x14ac:dyDescent="0.25">
      <c r="A172" s="3" t="s">
        <v>145</v>
      </c>
      <c r="B172" s="19"/>
      <c r="C172" s="58">
        <v>1953.3099999999995</v>
      </c>
    </row>
    <row r="173" spans="1:3" x14ac:dyDescent="0.25">
      <c r="A173" s="3" t="s">
        <v>145</v>
      </c>
      <c r="B173" s="19"/>
      <c r="C173" s="58">
        <v>2023.3099999999995</v>
      </c>
    </row>
    <row r="174" spans="1:3" x14ac:dyDescent="0.25">
      <c r="A174" s="3" t="s">
        <v>145</v>
      </c>
      <c r="B174" s="19"/>
      <c r="C174" s="58">
        <v>2044.1699999999994</v>
      </c>
    </row>
    <row r="175" spans="1:3" x14ac:dyDescent="0.25">
      <c r="A175" s="3" t="s">
        <v>145</v>
      </c>
      <c r="B175" s="19"/>
      <c r="C175" s="58">
        <v>2050.1599999999994</v>
      </c>
    </row>
    <row r="176" spans="1:3" x14ac:dyDescent="0.25">
      <c r="A176" s="3" t="s">
        <v>145</v>
      </c>
      <c r="B176" s="19"/>
      <c r="C176" s="58">
        <v>2055.4499999999994</v>
      </c>
    </row>
    <row r="177" spans="1:3" x14ac:dyDescent="0.25">
      <c r="A177" s="3" t="s">
        <v>145</v>
      </c>
      <c r="B177" s="19"/>
      <c r="C177" s="58">
        <v>2065.4499999999994</v>
      </c>
    </row>
    <row r="178" spans="1:3" x14ac:dyDescent="0.25">
      <c r="A178" s="3" t="s">
        <v>145</v>
      </c>
      <c r="B178" s="19"/>
      <c r="C178" s="58">
        <v>2123.3499999999995</v>
      </c>
    </row>
    <row r="179" spans="1:3" x14ac:dyDescent="0.25">
      <c r="A179" s="3" t="s">
        <v>145</v>
      </c>
      <c r="B179" s="19"/>
      <c r="C179" s="58">
        <v>2249.5499999999993</v>
      </c>
    </row>
    <row r="180" spans="1:3" x14ac:dyDescent="0.25">
      <c r="A180" s="3" t="s">
        <v>145</v>
      </c>
      <c r="B180" s="19"/>
      <c r="C180" s="58">
        <v>2349.5499999999993</v>
      </c>
    </row>
    <row r="181" spans="1:3" x14ac:dyDescent="0.25">
      <c r="A181" s="3" t="s">
        <v>145</v>
      </c>
      <c r="B181" s="19"/>
      <c r="C181" s="58">
        <v>2363.7499999999991</v>
      </c>
    </row>
    <row r="182" spans="1:3" x14ac:dyDescent="0.25">
      <c r="A182" s="3" t="s">
        <v>145</v>
      </c>
      <c r="B182" s="19"/>
      <c r="C182" s="58">
        <v>2401.2499999999991</v>
      </c>
    </row>
    <row r="183" spans="1:3" x14ac:dyDescent="0.25">
      <c r="A183" s="3" t="s">
        <v>145</v>
      </c>
      <c r="B183" s="19"/>
      <c r="C183" s="58">
        <v>2731.059999999999</v>
      </c>
    </row>
    <row r="184" spans="1:3" x14ac:dyDescent="0.25">
      <c r="A184" s="3" t="s">
        <v>145</v>
      </c>
      <c r="B184" s="19"/>
      <c r="C184" s="58">
        <v>2785.349999999999</v>
      </c>
    </row>
    <row r="185" spans="1:3" x14ac:dyDescent="0.25">
      <c r="A185" s="3" t="s">
        <v>145</v>
      </c>
      <c r="B185" s="19"/>
      <c r="C185" s="58">
        <v>2798.5099999999989</v>
      </c>
    </row>
    <row r="186" spans="1:3" x14ac:dyDescent="0.25">
      <c r="A186" s="3" t="s">
        <v>145</v>
      </c>
      <c r="B186" s="19">
        <v>-734.55</v>
      </c>
      <c r="C186" s="58">
        <v>2063.9599999999991</v>
      </c>
    </row>
    <row r="187" spans="1:3" x14ac:dyDescent="0.25">
      <c r="A187" s="3" t="s">
        <v>145</v>
      </c>
      <c r="B187" s="19"/>
      <c r="C187" s="58">
        <v>2074.369999999999</v>
      </c>
    </row>
    <row r="188" spans="1:3" x14ac:dyDescent="0.25">
      <c r="A188" s="3" t="s">
        <v>145</v>
      </c>
      <c r="B188" s="19"/>
      <c r="C188" s="58">
        <v>2313.599999999999</v>
      </c>
    </row>
    <row r="189" spans="1:3" x14ac:dyDescent="0.25">
      <c r="A189" s="3" t="s">
        <v>145</v>
      </c>
      <c r="B189" s="19"/>
      <c r="C189" s="58">
        <v>2345.1299999999992</v>
      </c>
    </row>
    <row r="190" spans="1:3" x14ac:dyDescent="0.25">
      <c r="A190" s="3" t="s">
        <v>145</v>
      </c>
      <c r="B190" s="19"/>
      <c r="C190" s="58">
        <v>2360.1299999999992</v>
      </c>
    </row>
    <row r="191" spans="1:3" x14ac:dyDescent="0.25">
      <c r="A191" s="3" t="s">
        <v>145</v>
      </c>
      <c r="B191" s="19">
        <v>-500</v>
      </c>
      <c r="C191" s="58">
        <v>1860.1299999999992</v>
      </c>
    </row>
    <row r="192" spans="1:3" x14ac:dyDescent="0.25">
      <c r="A192" s="3" t="s">
        <v>145</v>
      </c>
      <c r="B192" s="19"/>
      <c r="C192" s="58">
        <v>2252.1299999999992</v>
      </c>
    </row>
    <row r="193" spans="1:3" x14ac:dyDescent="0.25">
      <c r="A193" s="3" t="s">
        <v>145</v>
      </c>
      <c r="B193" s="19"/>
      <c r="C193" s="58">
        <v>2296.329999999999</v>
      </c>
    </row>
    <row r="194" spans="1:3" x14ac:dyDescent="0.25">
      <c r="A194" s="3" t="s">
        <v>145</v>
      </c>
      <c r="B194" s="19"/>
      <c r="C194" s="58">
        <v>2306.329999999999</v>
      </c>
    </row>
    <row r="195" spans="1:3" x14ac:dyDescent="0.25">
      <c r="A195" s="3" t="s">
        <v>145</v>
      </c>
      <c r="B195" s="19"/>
      <c r="C195" s="58">
        <v>2318.329999999999</v>
      </c>
    </row>
    <row r="196" spans="1:3" x14ac:dyDescent="0.25">
      <c r="A196" s="3" t="s">
        <v>145</v>
      </c>
      <c r="B196" s="19"/>
      <c r="C196" s="58">
        <v>2322.139999999999</v>
      </c>
    </row>
    <row r="197" spans="1:3" x14ac:dyDescent="0.25">
      <c r="A197" s="3" t="s">
        <v>145</v>
      </c>
      <c r="B197" s="19"/>
      <c r="C197" s="58">
        <v>2338.139999999999</v>
      </c>
    </row>
    <row r="198" spans="1:3" x14ac:dyDescent="0.25">
      <c r="A198" s="3" t="s">
        <v>145</v>
      </c>
      <c r="B198" s="19"/>
      <c r="C198" s="58">
        <v>2357.2599999999989</v>
      </c>
    </row>
    <row r="199" spans="1:3" x14ac:dyDescent="0.25">
      <c r="A199" s="3" t="s">
        <v>145</v>
      </c>
      <c r="B199" s="19"/>
      <c r="C199" s="58">
        <v>2381.829999999999</v>
      </c>
    </row>
    <row r="200" spans="1:3" x14ac:dyDescent="0.25">
      <c r="A200" s="3" t="s">
        <v>145</v>
      </c>
      <c r="B200" s="19"/>
      <c r="C200" s="58">
        <v>2423.639999999999</v>
      </c>
    </row>
    <row r="201" spans="1:3" x14ac:dyDescent="0.25">
      <c r="A201" s="3" t="s">
        <v>145</v>
      </c>
      <c r="B201" s="19"/>
      <c r="C201" s="58">
        <v>2500.639999999999</v>
      </c>
    </row>
    <row r="202" spans="1:3" x14ac:dyDescent="0.25">
      <c r="A202" s="3" t="s">
        <v>145</v>
      </c>
      <c r="B202" s="19"/>
      <c r="C202" s="58">
        <v>2530.4699999999989</v>
      </c>
    </row>
    <row r="203" spans="1:3" x14ac:dyDescent="0.25">
      <c r="A203" s="3" t="s">
        <v>145</v>
      </c>
      <c r="B203" s="19"/>
      <c r="C203" s="58">
        <v>2610.4599999999987</v>
      </c>
    </row>
    <row r="204" spans="1:3" x14ac:dyDescent="0.25">
      <c r="A204" s="3" t="s">
        <v>233</v>
      </c>
      <c r="B204" s="19"/>
      <c r="C204" s="58">
        <v>2626.8799999999987</v>
      </c>
    </row>
    <row r="205" spans="1:3" x14ac:dyDescent="0.25">
      <c r="A205" s="3" t="s">
        <v>233</v>
      </c>
      <c r="B205" s="19"/>
      <c r="C205" s="58">
        <v>2636.8699999999985</v>
      </c>
    </row>
    <row r="206" spans="1:3" x14ac:dyDescent="0.25">
      <c r="A206" s="3" t="s">
        <v>233</v>
      </c>
      <c r="B206" s="19"/>
      <c r="C206" s="58">
        <v>2646.8699999999985</v>
      </c>
    </row>
    <row r="207" spans="1:3" x14ac:dyDescent="0.25">
      <c r="A207" s="3" t="s">
        <v>233</v>
      </c>
      <c r="B207" s="19"/>
      <c r="C207" s="58">
        <v>2659.8599999999983</v>
      </c>
    </row>
    <row r="208" spans="1:3" x14ac:dyDescent="0.25">
      <c r="A208" s="3" t="s">
        <v>233</v>
      </c>
      <c r="B208" s="19"/>
      <c r="C208" s="58">
        <v>2677.4899999999984</v>
      </c>
    </row>
    <row r="209" spans="1:3" x14ac:dyDescent="0.25">
      <c r="A209" s="3" t="s">
        <v>233</v>
      </c>
      <c r="B209" s="19"/>
      <c r="C209" s="58">
        <v>2727.8099999999986</v>
      </c>
    </row>
    <row r="210" spans="1:3" x14ac:dyDescent="0.25">
      <c r="A210" s="3" t="s">
        <v>233</v>
      </c>
      <c r="B210" s="19"/>
      <c r="C210" s="58">
        <v>2807.1899999999987</v>
      </c>
    </row>
    <row r="211" spans="1:3" x14ac:dyDescent="0.25">
      <c r="A211" s="3" t="s">
        <v>233</v>
      </c>
      <c r="B211" s="19"/>
      <c r="C211" s="58">
        <v>2817.7799999999988</v>
      </c>
    </row>
    <row r="212" spans="1:3" x14ac:dyDescent="0.25">
      <c r="A212" s="3" t="s">
        <v>233</v>
      </c>
      <c r="B212" s="19"/>
      <c r="C212" s="58">
        <v>2861.7799999999988</v>
      </c>
    </row>
    <row r="213" spans="1:3" x14ac:dyDescent="0.25">
      <c r="A213" s="3" t="s">
        <v>233</v>
      </c>
      <c r="B213" s="19"/>
      <c r="C213" s="58">
        <v>2866.5399999999991</v>
      </c>
    </row>
    <row r="214" spans="1:3" x14ac:dyDescent="0.25">
      <c r="A214" s="3" t="s">
        <v>233</v>
      </c>
      <c r="B214" s="19"/>
      <c r="C214" s="58">
        <v>2899.0899999999992</v>
      </c>
    </row>
    <row r="215" spans="1:3" x14ac:dyDescent="0.25">
      <c r="A215" s="3" t="s">
        <v>233</v>
      </c>
      <c r="B215" s="19"/>
      <c r="C215" s="58">
        <v>2910.2199999999993</v>
      </c>
    </row>
    <row r="216" spans="1:3" x14ac:dyDescent="0.25">
      <c r="A216" s="3" t="s">
        <v>233</v>
      </c>
      <c r="B216" s="19"/>
      <c r="C216" s="58">
        <v>3010.2199999999993</v>
      </c>
    </row>
    <row r="217" spans="1:3" x14ac:dyDescent="0.25">
      <c r="A217" s="3" t="s">
        <v>233</v>
      </c>
      <c r="B217" s="19"/>
      <c r="C217" s="58">
        <v>3068.7399999999993</v>
      </c>
    </row>
    <row r="218" spans="1:3" x14ac:dyDescent="0.25">
      <c r="A218" s="3" t="s">
        <v>233</v>
      </c>
      <c r="B218" s="19">
        <v>-934.85</v>
      </c>
      <c r="C218" s="58">
        <v>2133.8899999999994</v>
      </c>
    </row>
    <row r="219" spans="1:3" x14ac:dyDescent="0.25">
      <c r="A219" s="3" t="s">
        <v>233</v>
      </c>
      <c r="B219" s="19">
        <v>-65.150000000000006</v>
      </c>
      <c r="C219" s="58">
        <v>2068.7399999999993</v>
      </c>
    </row>
    <row r="220" spans="1:3" x14ac:dyDescent="0.25">
      <c r="A220" s="3" t="s">
        <v>233</v>
      </c>
      <c r="B220" s="19"/>
      <c r="C220" s="58">
        <v>2118.7399999999993</v>
      </c>
    </row>
    <row r="221" spans="1:3" x14ac:dyDescent="0.25">
      <c r="A221" s="3" t="s">
        <v>233</v>
      </c>
      <c r="B221" s="19"/>
      <c r="C221" s="58">
        <v>2123.7299999999991</v>
      </c>
    </row>
    <row r="222" spans="1:3" x14ac:dyDescent="0.25">
      <c r="A222" s="3" t="s">
        <v>233</v>
      </c>
      <c r="B222" s="19"/>
      <c r="C222" s="58">
        <v>2147.079999999999</v>
      </c>
    </row>
    <row r="223" spans="1:3" x14ac:dyDescent="0.25">
      <c r="A223" s="3" t="s">
        <v>233</v>
      </c>
      <c r="B223" s="19"/>
      <c r="C223" s="58">
        <v>2159.7199999999989</v>
      </c>
    </row>
    <row r="224" spans="1:3" x14ac:dyDescent="0.25">
      <c r="A224" s="3" t="s">
        <v>233</v>
      </c>
      <c r="B224" s="19"/>
      <c r="C224" s="58">
        <v>2172.619999999999</v>
      </c>
    </row>
    <row r="225" spans="1:3" x14ac:dyDescent="0.25">
      <c r="A225" s="3" t="s">
        <v>233</v>
      </c>
      <c r="B225" s="19"/>
      <c r="C225" s="58">
        <v>2345.2899999999991</v>
      </c>
    </row>
    <row r="226" spans="1:3" x14ac:dyDescent="0.25">
      <c r="A226" s="3" t="s">
        <v>233</v>
      </c>
      <c r="B226" s="19"/>
      <c r="C226" s="58">
        <v>2360.7899999999991</v>
      </c>
    </row>
    <row r="227" spans="1:3" x14ac:dyDescent="0.25">
      <c r="A227" s="3" t="s">
        <v>233</v>
      </c>
      <c r="B227" s="19"/>
      <c r="C227" s="58">
        <v>2366.3199999999993</v>
      </c>
    </row>
    <row r="228" spans="1:3" x14ac:dyDescent="0.25">
      <c r="A228" s="3" t="s">
        <v>233</v>
      </c>
      <c r="B228" s="19"/>
      <c r="C228" s="58">
        <v>2382.2099999999991</v>
      </c>
    </row>
    <row r="229" spans="1:3" x14ac:dyDescent="0.25">
      <c r="A229" s="3" t="s">
        <v>233</v>
      </c>
      <c r="B229" s="19"/>
      <c r="C229" s="58">
        <v>2387.2099999999991</v>
      </c>
    </row>
    <row r="230" spans="1:3" x14ac:dyDescent="0.25">
      <c r="A230" s="3" t="s">
        <v>233</v>
      </c>
      <c r="B230" s="19"/>
      <c r="C230" s="58">
        <v>2398.3999999999992</v>
      </c>
    </row>
    <row r="231" spans="1:3" x14ac:dyDescent="0.25">
      <c r="A231" s="3" t="s">
        <v>233</v>
      </c>
      <c r="B231" s="19"/>
      <c r="C231" s="58">
        <v>2408.389999999999</v>
      </c>
    </row>
    <row r="232" spans="1:3" x14ac:dyDescent="0.25">
      <c r="A232" s="3" t="s">
        <v>233</v>
      </c>
      <c r="B232" s="19"/>
      <c r="C232" s="58">
        <v>2421.2899999999991</v>
      </c>
    </row>
    <row r="233" spans="1:3" x14ac:dyDescent="0.25">
      <c r="A233" s="3" t="s">
        <v>233</v>
      </c>
      <c r="B233" s="19"/>
      <c r="C233" s="58">
        <v>2436.1499999999992</v>
      </c>
    </row>
    <row r="234" spans="1:3" x14ac:dyDescent="0.25">
      <c r="A234" s="3" t="s">
        <v>233</v>
      </c>
      <c r="B234" s="19"/>
      <c r="C234" s="58">
        <v>2478.579999999999</v>
      </c>
    </row>
    <row r="235" spans="1:3" x14ac:dyDescent="0.25">
      <c r="A235" s="3" t="s">
        <v>233</v>
      </c>
      <c r="B235" s="19"/>
      <c r="C235" s="58">
        <v>2486.579999999999</v>
      </c>
    </row>
    <row r="236" spans="1:3" x14ac:dyDescent="0.25">
      <c r="A236" s="3" t="s">
        <v>233</v>
      </c>
      <c r="B236" s="19"/>
      <c r="C236" s="58">
        <v>2544.1299999999992</v>
      </c>
    </row>
    <row r="237" spans="1:3" x14ac:dyDescent="0.25">
      <c r="A237" s="3" t="s">
        <v>233</v>
      </c>
      <c r="B237" s="19"/>
      <c r="C237" s="58">
        <v>2549.1299999999992</v>
      </c>
    </row>
    <row r="238" spans="1:3" x14ac:dyDescent="0.25">
      <c r="A238" s="3" t="s">
        <v>233</v>
      </c>
      <c r="B238" s="19"/>
      <c r="C238" s="58">
        <v>2565.0199999999991</v>
      </c>
    </row>
    <row r="239" spans="1:3" x14ac:dyDescent="0.25">
      <c r="A239" s="3" t="s">
        <v>233</v>
      </c>
      <c r="B239" s="19"/>
      <c r="C239" s="58">
        <v>2628.6799999999989</v>
      </c>
    </row>
    <row r="240" spans="1:3" x14ac:dyDescent="0.25">
      <c r="A240" s="3" t="s">
        <v>233</v>
      </c>
      <c r="B240" s="19"/>
      <c r="C240" s="58">
        <v>2658.6799999999989</v>
      </c>
    </row>
    <row r="241" spans="1:3" x14ac:dyDescent="0.25">
      <c r="A241" s="3" t="s">
        <v>233</v>
      </c>
      <c r="B241" s="19"/>
      <c r="C241" s="58">
        <v>2680.389999999999</v>
      </c>
    </row>
    <row r="242" spans="1:3" x14ac:dyDescent="0.25">
      <c r="A242" s="3" t="s">
        <v>233</v>
      </c>
      <c r="B242" s="19"/>
      <c r="C242" s="58">
        <v>2731.6999999999989</v>
      </c>
    </row>
    <row r="243" spans="1:3" x14ac:dyDescent="0.25">
      <c r="A243" s="3" t="s">
        <v>233</v>
      </c>
      <c r="B243" s="19"/>
      <c r="C243" s="58">
        <v>2739.599999999999</v>
      </c>
    </row>
    <row r="244" spans="1:3" x14ac:dyDescent="0.25">
      <c r="A244" s="3" t="s">
        <v>233</v>
      </c>
      <c r="B244" s="19"/>
      <c r="C244" s="58">
        <v>2771.389999999999</v>
      </c>
    </row>
    <row r="245" spans="1:3" x14ac:dyDescent="0.25">
      <c r="A245" s="3" t="s">
        <v>233</v>
      </c>
      <c r="B245" s="19"/>
      <c r="C245" s="58">
        <v>2842.9399999999991</v>
      </c>
    </row>
    <row r="246" spans="1:3" x14ac:dyDescent="0.25">
      <c r="A246" s="3" t="s">
        <v>233</v>
      </c>
      <c r="B246" s="19"/>
      <c r="C246" s="58">
        <v>2861.4099999999989</v>
      </c>
    </row>
    <row r="247" spans="1:3" x14ac:dyDescent="0.25">
      <c r="A247" s="3" t="s">
        <v>233</v>
      </c>
      <c r="B247" s="19"/>
      <c r="C247" s="58">
        <v>2890.5899999999988</v>
      </c>
    </row>
    <row r="248" spans="1:3" x14ac:dyDescent="0.25">
      <c r="A248" s="3" t="s">
        <v>233</v>
      </c>
      <c r="B248" s="19"/>
      <c r="C248" s="58">
        <v>2905.5799999999986</v>
      </c>
    </row>
    <row r="249" spans="1:3" x14ac:dyDescent="0.25">
      <c r="A249" s="3" t="s">
        <v>233</v>
      </c>
      <c r="B249" s="19"/>
      <c r="C249" s="58">
        <v>2975.5799999999986</v>
      </c>
    </row>
    <row r="250" spans="1:3" x14ac:dyDescent="0.25">
      <c r="A250" s="3" t="s">
        <v>233</v>
      </c>
      <c r="B250" s="19"/>
      <c r="C250" s="58">
        <v>3025.0599999999986</v>
      </c>
    </row>
    <row r="251" spans="1:3" x14ac:dyDescent="0.25">
      <c r="A251" s="3" t="s">
        <v>233</v>
      </c>
      <c r="B251" s="19"/>
      <c r="C251" s="58">
        <v>3030.2899999999986</v>
      </c>
    </row>
    <row r="252" spans="1:3" x14ac:dyDescent="0.25">
      <c r="A252" s="3" t="s">
        <v>233</v>
      </c>
      <c r="B252" s="19"/>
      <c r="C252" s="58">
        <v>3039.8899999999985</v>
      </c>
    </row>
    <row r="253" spans="1:3" x14ac:dyDescent="0.25">
      <c r="A253" s="3" t="s">
        <v>233</v>
      </c>
      <c r="B253" s="19"/>
      <c r="C253" s="58">
        <v>3066.0599999999986</v>
      </c>
    </row>
    <row r="254" spans="1:3" x14ac:dyDescent="0.25">
      <c r="A254" s="3" t="s">
        <v>233</v>
      </c>
      <c r="B254" s="19"/>
      <c r="C254" s="58">
        <v>3070.3199999999988</v>
      </c>
    </row>
    <row r="255" spans="1:3" x14ac:dyDescent="0.25">
      <c r="A255" s="3" t="s">
        <v>233</v>
      </c>
      <c r="B255" s="19"/>
      <c r="C255" s="58">
        <v>3101.0299999999988</v>
      </c>
    </row>
    <row r="256" spans="1:3" x14ac:dyDescent="0.25">
      <c r="A256" s="3" t="s">
        <v>233</v>
      </c>
      <c r="B256" s="19"/>
      <c r="C256" s="58">
        <v>3105.6299999999987</v>
      </c>
    </row>
    <row r="257" spans="1:3" x14ac:dyDescent="0.25">
      <c r="A257" s="3" t="s">
        <v>233</v>
      </c>
      <c r="B257" s="19"/>
      <c r="C257" s="58">
        <v>3144.0599999999986</v>
      </c>
    </row>
    <row r="258" spans="1:3" x14ac:dyDescent="0.25">
      <c r="A258" s="3" t="s">
        <v>233</v>
      </c>
      <c r="B258" s="19"/>
      <c r="C258" s="58">
        <v>3177.6199999999985</v>
      </c>
    </row>
    <row r="259" spans="1:3" x14ac:dyDescent="0.25">
      <c r="A259" s="3" t="s">
        <v>233</v>
      </c>
      <c r="B259" s="19"/>
      <c r="C259" s="58">
        <v>3247.6199999999985</v>
      </c>
    </row>
    <row r="260" spans="1:3" x14ac:dyDescent="0.25">
      <c r="A260" s="3" t="s">
        <v>233</v>
      </c>
      <c r="B260" s="19"/>
      <c r="C260" s="58">
        <v>3267.4799999999987</v>
      </c>
    </row>
    <row r="261" spans="1:3" x14ac:dyDescent="0.25">
      <c r="A261" s="3" t="s">
        <v>233</v>
      </c>
      <c r="B261" s="19"/>
      <c r="C261" s="58">
        <v>3272.6999999999985</v>
      </c>
    </row>
    <row r="262" spans="1:3" x14ac:dyDescent="0.25">
      <c r="A262" s="3" t="s">
        <v>233</v>
      </c>
      <c r="B262" s="19"/>
      <c r="C262" s="58">
        <v>3307.9499999999985</v>
      </c>
    </row>
    <row r="263" spans="1:3" x14ac:dyDescent="0.25">
      <c r="A263" s="3" t="s">
        <v>233</v>
      </c>
      <c r="B263" s="19"/>
      <c r="C263" s="58">
        <v>3407.9499999999985</v>
      </c>
    </row>
    <row r="264" spans="1:3" x14ac:dyDescent="0.25">
      <c r="A264" s="3" t="s">
        <v>233</v>
      </c>
      <c r="B264" s="19"/>
      <c r="C264" s="58">
        <v>3437.9499999999985</v>
      </c>
    </row>
    <row r="265" spans="1:3" x14ac:dyDescent="0.25">
      <c r="A265" s="3" t="s">
        <v>233</v>
      </c>
      <c r="B265" s="19"/>
      <c r="C265" s="58">
        <v>3447.9499999999985</v>
      </c>
    </row>
    <row r="266" spans="1:3" x14ac:dyDescent="0.25">
      <c r="A266" s="3" t="s">
        <v>233</v>
      </c>
      <c r="B266" s="19"/>
      <c r="C266" s="58">
        <v>3452.9799999999987</v>
      </c>
    </row>
    <row r="267" spans="1:3" x14ac:dyDescent="0.25">
      <c r="A267" s="3" t="s">
        <v>233</v>
      </c>
      <c r="B267" s="19"/>
      <c r="C267" s="58">
        <v>3458.2699999999986</v>
      </c>
    </row>
    <row r="268" spans="1:3" x14ac:dyDescent="0.25">
      <c r="A268" s="3" t="s">
        <v>233</v>
      </c>
      <c r="B268" s="19"/>
      <c r="C268" s="58">
        <v>3505.6099999999988</v>
      </c>
    </row>
    <row r="269" spans="1:3" x14ac:dyDescent="0.25">
      <c r="A269" s="3" t="s">
        <v>233</v>
      </c>
      <c r="B269" s="19"/>
      <c r="C269" s="58">
        <v>3553.0699999999988</v>
      </c>
    </row>
    <row r="270" spans="1:3" x14ac:dyDescent="0.25">
      <c r="A270" s="3" t="s">
        <v>233</v>
      </c>
      <c r="B270" s="19"/>
      <c r="C270" s="58">
        <v>3623.6499999999987</v>
      </c>
    </row>
    <row r="271" spans="1:3" x14ac:dyDescent="0.25">
      <c r="A271" s="3" t="s">
        <v>233</v>
      </c>
      <c r="B271" s="19"/>
      <c r="C271" s="58">
        <v>3674.8999999999987</v>
      </c>
    </row>
    <row r="272" spans="1:3" x14ac:dyDescent="0.25">
      <c r="A272" s="3" t="s">
        <v>233</v>
      </c>
      <c r="B272" s="19"/>
      <c r="C272" s="58">
        <v>3694.1599999999989</v>
      </c>
    </row>
    <row r="273" spans="1:3" x14ac:dyDescent="0.25">
      <c r="A273" s="3" t="s">
        <v>233</v>
      </c>
      <c r="B273" s="19"/>
      <c r="C273" s="58">
        <v>3727.7099999999991</v>
      </c>
    </row>
    <row r="274" spans="1:3" x14ac:dyDescent="0.25">
      <c r="A274" s="3" t="s">
        <v>233</v>
      </c>
      <c r="B274" s="19"/>
      <c r="C274" s="58">
        <v>3735.7099999999991</v>
      </c>
    </row>
    <row r="275" spans="1:3" x14ac:dyDescent="0.25">
      <c r="A275" s="3" t="s">
        <v>233</v>
      </c>
      <c r="B275" s="19"/>
      <c r="C275" s="58">
        <v>3753.3999999999992</v>
      </c>
    </row>
    <row r="276" spans="1:3" x14ac:dyDescent="0.25">
      <c r="A276" s="3" t="s">
        <v>233</v>
      </c>
      <c r="B276" s="19"/>
      <c r="C276" s="58">
        <v>3762.0199999999991</v>
      </c>
    </row>
    <row r="277" spans="1:3" x14ac:dyDescent="0.25">
      <c r="A277" s="3" t="s">
        <v>233</v>
      </c>
      <c r="B277" s="19"/>
      <c r="C277" s="58">
        <v>3772.639999999999</v>
      </c>
    </row>
    <row r="278" spans="1:3" x14ac:dyDescent="0.25">
      <c r="A278" s="3" t="s">
        <v>233</v>
      </c>
      <c r="B278" s="19"/>
      <c r="C278" s="58">
        <v>3780.0699999999988</v>
      </c>
    </row>
    <row r="279" spans="1:3" x14ac:dyDescent="0.25">
      <c r="A279" s="3" t="s">
        <v>233</v>
      </c>
      <c r="B279" s="19"/>
      <c r="C279" s="58">
        <v>3790.6899999999987</v>
      </c>
    </row>
    <row r="280" spans="1:3" x14ac:dyDescent="0.25">
      <c r="A280" s="3" t="s">
        <v>233</v>
      </c>
      <c r="B280" s="19"/>
      <c r="C280" s="58">
        <v>3803.2599999999989</v>
      </c>
    </row>
    <row r="281" spans="1:3" x14ac:dyDescent="0.25">
      <c r="A281" s="3" t="s">
        <v>233</v>
      </c>
      <c r="B281" s="19"/>
      <c r="C281" s="58">
        <v>3827.2599999999989</v>
      </c>
    </row>
    <row r="282" spans="1:3" x14ac:dyDescent="0.25">
      <c r="A282" s="3" t="s">
        <v>233</v>
      </c>
      <c r="B282" s="19"/>
      <c r="C282" s="58">
        <v>3859.829999999999</v>
      </c>
    </row>
    <row r="283" spans="1:3" x14ac:dyDescent="0.25">
      <c r="A283" s="3" t="s">
        <v>233</v>
      </c>
      <c r="B283" s="19"/>
      <c r="C283" s="58">
        <v>3880.4199999999992</v>
      </c>
    </row>
    <row r="284" spans="1:3" x14ac:dyDescent="0.25">
      <c r="A284" s="3" t="s">
        <v>233</v>
      </c>
      <c r="B284" s="19"/>
      <c r="C284" s="58">
        <v>3895.6099999999992</v>
      </c>
    </row>
    <row r="285" spans="1:3" x14ac:dyDescent="0.25">
      <c r="A285" s="3" t="s">
        <v>233</v>
      </c>
      <c r="B285" s="19"/>
      <c r="C285" s="58">
        <v>3925.9699999999993</v>
      </c>
    </row>
    <row r="286" spans="1:3" x14ac:dyDescent="0.25">
      <c r="A286" s="3" t="s">
        <v>233</v>
      </c>
      <c r="B286" s="19"/>
      <c r="C286" s="58">
        <v>3933.3999999999992</v>
      </c>
    </row>
    <row r="287" spans="1:3" x14ac:dyDescent="0.25">
      <c r="A287" s="3" t="s">
        <v>233</v>
      </c>
      <c r="B287" s="19"/>
      <c r="C287" s="58">
        <v>3954.3599999999992</v>
      </c>
    </row>
    <row r="288" spans="1:3" x14ac:dyDescent="0.25">
      <c r="A288" s="3" t="s">
        <v>233</v>
      </c>
      <c r="B288" s="19"/>
      <c r="C288" s="58">
        <v>3960.5899999999992</v>
      </c>
    </row>
    <row r="289" spans="1:3" x14ac:dyDescent="0.25">
      <c r="A289" s="3" t="s">
        <v>233</v>
      </c>
      <c r="B289" s="19"/>
      <c r="C289" s="58">
        <v>3964.1799999999994</v>
      </c>
    </row>
    <row r="290" spans="1:3" x14ac:dyDescent="0.25">
      <c r="A290" s="3" t="s">
        <v>233</v>
      </c>
      <c r="B290" s="19"/>
      <c r="C290" s="58">
        <v>3992.0199999999995</v>
      </c>
    </row>
    <row r="291" spans="1:3" x14ac:dyDescent="0.25">
      <c r="A291" s="3" t="s">
        <v>233</v>
      </c>
      <c r="B291" s="19"/>
      <c r="C291" s="58">
        <v>4042.0199999999995</v>
      </c>
    </row>
    <row r="292" spans="1:3" x14ac:dyDescent="0.25">
      <c r="A292" s="3" t="s">
        <v>233</v>
      </c>
      <c r="B292" s="19"/>
      <c r="C292" s="58">
        <v>4072.0199999999995</v>
      </c>
    </row>
    <row r="293" spans="1:3" x14ac:dyDescent="0.25">
      <c r="A293" s="3" t="s">
        <v>233</v>
      </c>
      <c r="B293" s="19"/>
      <c r="C293" s="58">
        <v>4088.2999999999997</v>
      </c>
    </row>
    <row r="294" spans="1:3" x14ac:dyDescent="0.25">
      <c r="A294" s="3" t="s">
        <v>233</v>
      </c>
      <c r="B294" s="19"/>
      <c r="C294" s="58">
        <v>4157.2999999999993</v>
      </c>
    </row>
    <row r="295" spans="1:3" x14ac:dyDescent="0.25">
      <c r="A295" s="3" t="s">
        <v>233</v>
      </c>
      <c r="B295" s="19"/>
      <c r="C295" s="58">
        <v>4200.7299999999996</v>
      </c>
    </row>
    <row r="296" spans="1:3" x14ac:dyDescent="0.25">
      <c r="A296" s="3" t="s">
        <v>290</v>
      </c>
      <c r="B296" s="19"/>
      <c r="C296" s="58">
        <v>4246.3999999999996</v>
      </c>
    </row>
    <row r="297" spans="1:3" x14ac:dyDescent="0.25">
      <c r="A297" s="3" t="s">
        <v>290</v>
      </c>
      <c r="B297" s="19"/>
      <c r="C297" s="58">
        <v>4267.1899999999996</v>
      </c>
    </row>
    <row r="298" spans="1:3" x14ac:dyDescent="0.25">
      <c r="A298" s="3" t="s">
        <v>290</v>
      </c>
      <c r="B298" s="19"/>
      <c r="C298" s="58">
        <v>4317.6699999999992</v>
      </c>
    </row>
    <row r="299" spans="1:3" x14ac:dyDescent="0.25">
      <c r="A299" s="3" t="s">
        <v>290</v>
      </c>
      <c r="B299" s="19"/>
      <c r="C299" s="58">
        <v>4328.2599999999993</v>
      </c>
    </row>
    <row r="300" spans="1:3" x14ac:dyDescent="0.25">
      <c r="A300" s="3" t="s">
        <v>290</v>
      </c>
      <c r="B300" s="19"/>
      <c r="C300" s="58">
        <v>4338.2499999999991</v>
      </c>
    </row>
    <row r="301" spans="1:3" x14ac:dyDescent="0.25">
      <c r="A301" s="3" t="s">
        <v>290</v>
      </c>
      <c r="B301" s="19"/>
      <c r="C301" s="58">
        <v>4339.329999999999</v>
      </c>
    </row>
    <row r="302" spans="1:3" x14ac:dyDescent="0.25">
      <c r="A302" s="3" t="s">
        <v>290</v>
      </c>
      <c r="B302" s="19"/>
      <c r="C302" s="58">
        <v>4343.119999999999</v>
      </c>
    </row>
    <row r="303" spans="1:3" x14ac:dyDescent="0.25">
      <c r="A303" s="3" t="s">
        <v>290</v>
      </c>
      <c r="B303" s="19"/>
      <c r="C303" s="58">
        <v>4353.119999999999</v>
      </c>
    </row>
    <row r="304" spans="1:3" x14ac:dyDescent="0.25">
      <c r="A304" s="3" t="s">
        <v>290</v>
      </c>
      <c r="B304" s="19"/>
      <c r="C304" s="58">
        <v>4390.619999999999</v>
      </c>
    </row>
    <row r="305" spans="1:3" x14ac:dyDescent="0.25">
      <c r="A305" s="3" t="s">
        <v>290</v>
      </c>
      <c r="B305" s="19"/>
      <c r="C305" s="58">
        <v>4471.2199999999993</v>
      </c>
    </row>
    <row r="306" spans="1:3" x14ac:dyDescent="0.25">
      <c r="A306" s="3" t="s">
        <v>290</v>
      </c>
      <c r="B306" s="19"/>
      <c r="C306" s="58">
        <v>4620.2199999999993</v>
      </c>
    </row>
    <row r="307" spans="1:3" x14ac:dyDescent="0.25">
      <c r="A307" s="3" t="s">
        <v>290</v>
      </c>
      <c r="B307" s="19"/>
      <c r="C307" s="58">
        <v>4647.6299999999992</v>
      </c>
    </row>
    <row r="308" spans="1:3" x14ac:dyDescent="0.25">
      <c r="A308" s="3" t="s">
        <v>290</v>
      </c>
      <c r="B308" s="19"/>
      <c r="C308" s="58">
        <v>4796.6299999999992</v>
      </c>
    </row>
    <row r="309" spans="1:3" x14ac:dyDescent="0.25">
      <c r="A309" s="3" t="s">
        <v>290</v>
      </c>
      <c r="B309" s="19"/>
      <c r="C309" s="58">
        <v>4876.0099999999993</v>
      </c>
    </row>
    <row r="310" spans="1:3" x14ac:dyDescent="0.25">
      <c r="A310" s="3" t="s">
        <v>290</v>
      </c>
      <c r="B310" s="19"/>
      <c r="C310" s="58">
        <v>4883.9799999999996</v>
      </c>
    </row>
    <row r="311" spans="1:3" x14ac:dyDescent="0.25">
      <c r="A311" s="3" t="s">
        <v>290</v>
      </c>
      <c r="B311" s="19"/>
      <c r="C311" s="58">
        <v>4914.3799999999992</v>
      </c>
    </row>
    <row r="312" spans="1:3" x14ac:dyDescent="0.25">
      <c r="A312" s="3" t="s">
        <v>290</v>
      </c>
      <c r="B312" s="19"/>
      <c r="C312" s="58">
        <v>5125.9499999999989</v>
      </c>
    </row>
    <row r="313" spans="1:3" x14ac:dyDescent="0.25">
      <c r="A313" s="3" t="s">
        <v>290</v>
      </c>
      <c r="B313" s="19"/>
      <c r="C313" s="58">
        <v>5168.9299999999985</v>
      </c>
    </row>
    <row r="314" spans="1:3" x14ac:dyDescent="0.25">
      <c r="A314" s="3" t="s">
        <v>290</v>
      </c>
      <c r="B314" s="19"/>
      <c r="C314" s="58">
        <v>5275.3299999999981</v>
      </c>
    </row>
    <row r="315" spans="1:3" x14ac:dyDescent="0.25">
      <c r="A315" s="3" t="s">
        <v>290</v>
      </c>
      <c r="B315" s="19"/>
      <c r="C315" s="58">
        <v>5285.3299999999981</v>
      </c>
    </row>
    <row r="316" spans="1:3" x14ac:dyDescent="0.25">
      <c r="A316" s="3" t="s">
        <v>290</v>
      </c>
      <c r="B316" s="19"/>
      <c r="C316" s="58">
        <v>5317.8999999999978</v>
      </c>
    </row>
    <row r="317" spans="1:3" x14ac:dyDescent="0.25">
      <c r="A317" s="3" t="s">
        <v>290</v>
      </c>
      <c r="B317" s="19"/>
      <c r="C317" s="58">
        <v>5350.4699999999975</v>
      </c>
    </row>
    <row r="318" spans="1:3" x14ac:dyDescent="0.25">
      <c r="A318" s="3" t="s">
        <v>290</v>
      </c>
      <c r="B318" s="19"/>
      <c r="C318" s="58">
        <v>5372.1799999999976</v>
      </c>
    </row>
    <row r="319" spans="1:3" x14ac:dyDescent="0.25">
      <c r="A319" s="3" t="s">
        <v>290</v>
      </c>
      <c r="B319" s="19"/>
      <c r="C319" s="58">
        <v>5404.7499999999973</v>
      </c>
    </row>
    <row r="320" spans="1:3" x14ac:dyDescent="0.25">
      <c r="A320" s="3" t="s">
        <v>290</v>
      </c>
      <c r="B320" s="19"/>
      <c r="C320" s="58">
        <v>5421.5599999999977</v>
      </c>
    </row>
    <row r="321" spans="1:3" x14ac:dyDescent="0.25">
      <c r="A321" s="3" t="s">
        <v>290</v>
      </c>
      <c r="B321" s="19"/>
      <c r="C321" s="58">
        <v>5468.3199999999979</v>
      </c>
    </row>
    <row r="322" spans="1:3" x14ac:dyDescent="0.25">
      <c r="A322" s="3" t="s">
        <v>290</v>
      </c>
      <c r="B322" s="19">
        <v>-1000</v>
      </c>
      <c r="C322" s="58">
        <v>4468.3199999999979</v>
      </c>
    </row>
    <row r="323" spans="1:3" x14ac:dyDescent="0.25">
      <c r="A323" s="3" t="s">
        <v>290</v>
      </c>
      <c r="B323" s="19"/>
      <c r="C323" s="58">
        <v>4473.3199999999979</v>
      </c>
    </row>
    <row r="324" spans="1:3" x14ac:dyDescent="0.25">
      <c r="A324" s="3" t="s">
        <v>290</v>
      </c>
      <c r="B324" s="19"/>
      <c r="C324" s="58">
        <v>4485.1199999999981</v>
      </c>
    </row>
    <row r="325" spans="1:3" x14ac:dyDescent="0.25">
      <c r="A325" s="3" t="s">
        <v>290</v>
      </c>
      <c r="B325" s="19"/>
      <c r="C325" s="58">
        <v>4498.3699999999981</v>
      </c>
    </row>
    <row r="326" spans="1:3" x14ac:dyDescent="0.25">
      <c r="A326" s="3" t="s">
        <v>290</v>
      </c>
      <c r="B326" s="19"/>
      <c r="C326" s="58">
        <v>4503.3699999999981</v>
      </c>
    </row>
    <row r="327" spans="1:3" x14ac:dyDescent="0.25">
      <c r="A327" s="3" t="s">
        <v>290</v>
      </c>
      <c r="B327" s="19"/>
      <c r="C327" s="58">
        <v>4531.3599999999979</v>
      </c>
    </row>
    <row r="328" spans="1:3" x14ac:dyDescent="0.25">
      <c r="A328" s="3" t="s">
        <v>290</v>
      </c>
      <c r="B328" s="19"/>
      <c r="C328" s="58">
        <v>4541.3499999999976</v>
      </c>
    </row>
    <row r="329" spans="1:3" x14ac:dyDescent="0.25">
      <c r="A329" s="3" t="s">
        <v>290</v>
      </c>
      <c r="B329" s="19"/>
      <c r="C329" s="58">
        <v>4549.2499999999973</v>
      </c>
    </row>
    <row r="330" spans="1:3" x14ac:dyDescent="0.25">
      <c r="A330" s="3" t="s">
        <v>290</v>
      </c>
      <c r="B330" s="19"/>
      <c r="C330" s="58">
        <v>4565.1099999999969</v>
      </c>
    </row>
    <row r="331" spans="1:3" x14ac:dyDescent="0.25">
      <c r="A331" s="3" t="s">
        <v>290</v>
      </c>
      <c r="B331" s="19"/>
      <c r="C331" s="58">
        <v>4570.1099999999969</v>
      </c>
    </row>
    <row r="332" spans="1:3" x14ac:dyDescent="0.25">
      <c r="A332" s="3" t="s">
        <v>290</v>
      </c>
      <c r="B332" s="19"/>
      <c r="C332" s="58">
        <v>4589.5199999999968</v>
      </c>
    </row>
    <row r="333" spans="1:3" x14ac:dyDescent="0.25">
      <c r="A333" s="3" t="s">
        <v>290</v>
      </c>
      <c r="B333" s="19"/>
      <c r="C333" s="58">
        <v>4625.8799999999965</v>
      </c>
    </row>
    <row r="334" spans="1:3" x14ac:dyDescent="0.25">
      <c r="A334" s="3" t="s">
        <v>290</v>
      </c>
      <c r="B334" s="19"/>
      <c r="C334" s="58">
        <v>4711.6399999999967</v>
      </c>
    </row>
    <row r="335" spans="1:3" x14ac:dyDescent="0.25">
      <c r="A335" s="3" t="s">
        <v>290</v>
      </c>
      <c r="B335" s="19"/>
      <c r="C335" s="58">
        <v>4760.3599999999969</v>
      </c>
    </row>
    <row r="336" spans="1:3" x14ac:dyDescent="0.25">
      <c r="A336" s="3" t="s">
        <v>290</v>
      </c>
      <c r="B336" s="19"/>
      <c r="C336" s="58">
        <v>4822.3599999999969</v>
      </c>
    </row>
    <row r="337" spans="1:3" x14ac:dyDescent="0.25">
      <c r="A337" s="3" t="s">
        <v>290</v>
      </c>
      <c r="B337" s="19"/>
      <c r="C337" s="58">
        <v>5600.3599999999969</v>
      </c>
    </row>
    <row r="338" spans="1:3" x14ac:dyDescent="0.25">
      <c r="A338" s="3" t="s">
        <v>290</v>
      </c>
      <c r="B338" s="19"/>
      <c r="C338" s="58">
        <v>5661.9799999999968</v>
      </c>
    </row>
    <row r="339" spans="1:3" x14ac:dyDescent="0.25">
      <c r="A339" s="3" t="s">
        <v>290</v>
      </c>
      <c r="B339" s="19"/>
      <c r="C339" s="58">
        <v>5671.9799999999968</v>
      </c>
    </row>
    <row r="340" spans="1:3" x14ac:dyDescent="0.25">
      <c r="A340" s="3" t="s">
        <v>290</v>
      </c>
      <c r="B340" s="19"/>
      <c r="C340" s="58">
        <v>5741.9799999999968</v>
      </c>
    </row>
    <row r="341" spans="1:3" x14ac:dyDescent="0.25">
      <c r="A341" s="3" t="s">
        <v>290</v>
      </c>
      <c r="B341" s="19"/>
      <c r="C341" s="58">
        <v>5746.9799999999968</v>
      </c>
    </row>
    <row r="342" spans="1:3" x14ac:dyDescent="0.25">
      <c r="A342" s="3" t="s">
        <v>290</v>
      </c>
      <c r="B342" s="19"/>
      <c r="C342" s="58">
        <v>5754.8799999999965</v>
      </c>
    </row>
    <row r="343" spans="1:3" x14ac:dyDescent="0.25">
      <c r="A343" s="3" t="s">
        <v>290</v>
      </c>
      <c r="B343" s="19"/>
      <c r="C343" s="58">
        <v>5761.3099999999968</v>
      </c>
    </row>
    <row r="344" spans="1:3" x14ac:dyDescent="0.25">
      <c r="A344" s="3" t="s">
        <v>290</v>
      </c>
      <c r="B344" s="19"/>
      <c r="C344" s="58">
        <v>5826.0399999999963</v>
      </c>
    </row>
    <row r="345" spans="1:3" x14ac:dyDescent="0.25">
      <c r="A345" s="3" t="s">
        <v>290</v>
      </c>
      <c r="B345" s="19"/>
      <c r="C345" s="58">
        <v>5839.6999999999962</v>
      </c>
    </row>
    <row r="346" spans="1:3" x14ac:dyDescent="0.25">
      <c r="A346" s="3" t="s">
        <v>290</v>
      </c>
      <c r="B346" s="19"/>
      <c r="C346" s="58">
        <v>5893.9799999999959</v>
      </c>
    </row>
    <row r="347" spans="1:3" x14ac:dyDescent="0.25">
      <c r="A347" s="3" t="s">
        <v>290</v>
      </c>
      <c r="B347" s="19"/>
      <c r="C347" s="58">
        <v>5906.8399999999956</v>
      </c>
    </row>
    <row r="348" spans="1:3" x14ac:dyDescent="0.25">
      <c r="A348" s="3" t="s">
        <v>290</v>
      </c>
      <c r="B348" s="19"/>
      <c r="C348" s="58">
        <v>5945.9499999999953</v>
      </c>
    </row>
    <row r="349" spans="1:3" x14ac:dyDescent="0.25">
      <c r="A349" s="3" t="s">
        <v>290</v>
      </c>
      <c r="B349" s="19"/>
      <c r="C349" s="58">
        <v>5956.5699999999952</v>
      </c>
    </row>
    <row r="350" spans="1:3" x14ac:dyDescent="0.25">
      <c r="A350" s="3" t="s">
        <v>290</v>
      </c>
      <c r="B350" s="19"/>
      <c r="C350" s="58">
        <v>5978.2399999999952</v>
      </c>
    </row>
    <row r="351" spans="1:3" x14ac:dyDescent="0.25">
      <c r="A351" s="3" t="s">
        <v>290</v>
      </c>
      <c r="B351" s="19"/>
      <c r="C351" s="58">
        <v>6008.2199999999948</v>
      </c>
    </row>
    <row r="352" spans="1:3" x14ac:dyDescent="0.25">
      <c r="A352" s="3" t="s">
        <v>290</v>
      </c>
      <c r="B352" s="19"/>
      <c r="C352" s="58">
        <v>6025.5499999999947</v>
      </c>
    </row>
    <row r="353" spans="1:3" x14ac:dyDescent="0.25">
      <c r="A353" s="3" t="s">
        <v>290</v>
      </c>
      <c r="B353" s="19"/>
      <c r="C353" s="58">
        <v>6041.4399999999951</v>
      </c>
    </row>
    <row r="354" spans="1:3" x14ac:dyDescent="0.25">
      <c r="A354" s="3" t="s">
        <v>290</v>
      </c>
      <c r="B354" s="19"/>
      <c r="C354" s="58">
        <v>6053.6599999999953</v>
      </c>
    </row>
    <row r="355" spans="1:3" x14ac:dyDescent="0.25">
      <c r="A355" s="3" t="s">
        <v>290</v>
      </c>
      <c r="B355" s="19"/>
      <c r="C355" s="58">
        <v>6091.1599999999953</v>
      </c>
    </row>
    <row r="356" spans="1:3" x14ac:dyDescent="0.25">
      <c r="A356" s="3" t="s">
        <v>290</v>
      </c>
      <c r="B356" s="19"/>
      <c r="C356" s="58">
        <v>6097.7599999999957</v>
      </c>
    </row>
    <row r="357" spans="1:3" x14ac:dyDescent="0.25">
      <c r="A357" s="3" t="s">
        <v>290</v>
      </c>
      <c r="B357" s="19"/>
      <c r="C357" s="58">
        <v>6145.4599999999955</v>
      </c>
    </row>
    <row r="358" spans="1:3" x14ac:dyDescent="0.25">
      <c r="A358" s="3" t="s">
        <v>290</v>
      </c>
      <c r="B358" s="19"/>
      <c r="C358" s="58">
        <v>6150.4599999999955</v>
      </c>
    </row>
    <row r="359" spans="1:3" x14ac:dyDescent="0.25">
      <c r="A359" s="3" t="s">
        <v>290</v>
      </c>
      <c r="B359" s="19"/>
      <c r="C359" s="58">
        <v>6168.7799999999952</v>
      </c>
    </row>
    <row r="360" spans="1:3" x14ac:dyDescent="0.25">
      <c r="A360" s="3" t="s">
        <v>290</v>
      </c>
      <c r="B360" s="19"/>
      <c r="C360" s="58">
        <v>6196.9599999999955</v>
      </c>
    </row>
    <row r="361" spans="1:3" x14ac:dyDescent="0.25">
      <c r="A361" s="3" t="s">
        <v>290</v>
      </c>
      <c r="B361" s="19"/>
      <c r="C361" s="58">
        <v>6206.9599999999955</v>
      </c>
    </row>
    <row r="362" spans="1:3" x14ac:dyDescent="0.25">
      <c r="A362" s="3" t="s">
        <v>290</v>
      </c>
      <c r="B362" s="19"/>
      <c r="C362" s="58">
        <v>6216.3699999999953</v>
      </c>
    </row>
    <row r="363" spans="1:3" x14ac:dyDescent="0.25">
      <c r="A363" s="3" t="s">
        <v>290</v>
      </c>
      <c r="B363" s="19"/>
      <c r="C363" s="58">
        <v>6237.0699999999952</v>
      </c>
    </row>
    <row r="364" spans="1:3" x14ac:dyDescent="0.25">
      <c r="A364" s="3" t="s">
        <v>290</v>
      </c>
      <c r="B364" s="19"/>
      <c r="C364" s="58">
        <v>6267.0699999999952</v>
      </c>
    </row>
    <row r="365" spans="1:3" x14ac:dyDescent="0.25">
      <c r="A365" s="3" t="s">
        <v>290</v>
      </c>
      <c r="B365" s="19"/>
      <c r="C365" s="58">
        <v>6273.3299999999954</v>
      </c>
    </row>
    <row r="366" spans="1:3" x14ac:dyDescent="0.25">
      <c r="A366" s="3" t="s">
        <v>290</v>
      </c>
      <c r="B366" s="19"/>
      <c r="C366" s="58">
        <v>6346.729999999995</v>
      </c>
    </row>
    <row r="367" spans="1:3" x14ac:dyDescent="0.25">
      <c r="A367" s="3" t="s">
        <v>290</v>
      </c>
      <c r="B367" s="19"/>
      <c r="C367" s="58">
        <v>6350.8099999999949</v>
      </c>
    </row>
    <row r="368" spans="1:3" x14ac:dyDescent="0.25">
      <c r="A368" s="3" t="s">
        <v>290</v>
      </c>
      <c r="B368" s="19"/>
      <c r="C368" s="58">
        <v>6358.2399999999952</v>
      </c>
    </row>
    <row r="369" spans="1:3" x14ac:dyDescent="0.25">
      <c r="A369" s="3" t="s">
        <v>290</v>
      </c>
      <c r="B369" s="19"/>
      <c r="C369" s="58">
        <v>6369.0899999999956</v>
      </c>
    </row>
    <row r="370" spans="1:3" x14ac:dyDescent="0.25">
      <c r="A370" s="3" t="s">
        <v>290</v>
      </c>
      <c r="B370" s="19"/>
      <c r="C370" s="58">
        <v>6377.5899999999956</v>
      </c>
    </row>
    <row r="371" spans="1:3" x14ac:dyDescent="0.25">
      <c r="A371" s="3" t="s">
        <v>290</v>
      </c>
      <c r="B371" s="19"/>
      <c r="C371" s="58">
        <v>6389.2399999999952</v>
      </c>
    </row>
    <row r="372" spans="1:3" x14ac:dyDescent="0.25">
      <c r="A372" s="3" t="s">
        <v>290</v>
      </c>
      <c r="B372" s="19"/>
      <c r="C372" s="58">
        <v>6428.3299999999954</v>
      </c>
    </row>
    <row r="373" spans="1:3" x14ac:dyDescent="0.25">
      <c r="A373" s="3" t="s">
        <v>290</v>
      </c>
      <c r="B373" s="19"/>
      <c r="C373" s="58">
        <v>6498.3299999999954</v>
      </c>
    </row>
    <row r="374" spans="1:3" x14ac:dyDescent="0.25">
      <c r="A374" s="3" t="s">
        <v>290</v>
      </c>
      <c r="B374" s="19"/>
      <c r="C374" s="58">
        <v>6501.3299999999954</v>
      </c>
    </row>
    <row r="375" spans="1:3" x14ac:dyDescent="0.25">
      <c r="A375" s="3" t="s">
        <v>290</v>
      </c>
      <c r="B375" s="19"/>
      <c r="C375" s="58">
        <v>6520.8899999999958</v>
      </c>
    </row>
    <row r="376" spans="1:3" x14ac:dyDescent="0.25">
      <c r="A376" s="3" t="s">
        <v>290</v>
      </c>
      <c r="B376" s="19"/>
      <c r="C376" s="58">
        <v>6540.4599999999955</v>
      </c>
    </row>
    <row r="377" spans="1:3" x14ac:dyDescent="0.25">
      <c r="A377" s="3" t="s">
        <v>290</v>
      </c>
      <c r="B377" s="19"/>
      <c r="C377" s="58">
        <v>6605.6399999999958</v>
      </c>
    </row>
    <row r="378" spans="1:3" x14ac:dyDescent="0.25">
      <c r="A378" s="3" t="s">
        <v>290</v>
      </c>
      <c r="B378" s="19"/>
      <c r="C378" s="58">
        <v>6623.9299999999957</v>
      </c>
    </row>
    <row r="379" spans="1:3" x14ac:dyDescent="0.25">
      <c r="A379" s="3" t="s">
        <v>290</v>
      </c>
      <c r="B379" s="19"/>
      <c r="C379" s="58">
        <v>6647.2299999999959</v>
      </c>
    </row>
    <row r="380" spans="1:3" x14ac:dyDescent="0.25">
      <c r="A380" s="3" t="s">
        <v>290</v>
      </c>
      <c r="B380" s="19"/>
      <c r="C380" s="58">
        <v>6678.1699999999955</v>
      </c>
    </row>
    <row r="381" spans="1:3" x14ac:dyDescent="0.25">
      <c r="A381" s="3" t="s">
        <v>290</v>
      </c>
      <c r="B381" s="19"/>
      <c r="C381" s="58">
        <v>6705.0199999999959</v>
      </c>
    </row>
    <row r="382" spans="1:3" x14ac:dyDescent="0.25">
      <c r="A382" s="3" t="s">
        <v>290</v>
      </c>
      <c r="B382" s="19">
        <v>-41.23</v>
      </c>
      <c r="C382" s="58">
        <v>6663.7899999999963</v>
      </c>
    </row>
    <row r="383" spans="1:3" x14ac:dyDescent="0.25">
      <c r="A383" s="3" t="s">
        <v>290</v>
      </c>
      <c r="B383" s="19">
        <v>-1000</v>
      </c>
      <c r="C383" s="58">
        <v>5663.7899999999963</v>
      </c>
    </row>
    <row r="384" spans="1:3" x14ac:dyDescent="0.25">
      <c r="A384" s="3" t="s">
        <v>290</v>
      </c>
      <c r="B384" s="19"/>
      <c r="C384" s="58">
        <v>5674.4099999999962</v>
      </c>
    </row>
    <row r="385" spans="1:3" x14ac:dyDescent="0.25">
      <c r="A385" s="3" t="s">
        <v>290</v>
      </c>
      <c r="B385" s="19"/>
      <c r="C385" s="58">
        <v>5679.6999999999962</v>
      </c>
    </row>
    <row r="386" spans="1:3" x14ac:dyDescent="0.25">
      <c r="A386" s="3" t="s">
        <v>290</v>
      </c>
      <c r="B386" s="19"/>
      <c r="C386" s="58">
        <v>5684.9999999999964</v>
      </c>
    </row>
    <row r="387" spans="1:3" x14ac:dyDescent="0.25">
      <c r="A387" s="3" t="s">
        <v>290</v>
      </c>
      <c r="B387" s="19"/>
      <c r="C387" s="58">
        <v>5712.0599999999968</v>
      </c>
    </row>
    <row r="388" spans="1:3" x14ac:dyDescent="0.25">
      <c r="A388" s="3" t="s">
        <v>290</v>
      </c>
      <c r="B388" s="19"/>
      <c r="C388" s="58">
        <v>5782.6399999999967</v>
      </c>
    </row>
    <row r="389" spans="1:3" x14ac:dyDescent="0.25">
      <c r="A389" s="3" t="s">
        <v>290</v>
      </c>
      <c r="B389" s="19"/>
      <c r="C389" s="58">
        <v>5789.8399999999965</v>
      </c>
    </row>
    <row r="390" spans="1:3" x14ac:dyDescent="0.25">
      <c r="A390" s="3" t="s">
        <v>290</v>
      </c>
      <c r="B390" s="19"/>
      <c r="C390" s="58">
        <v>5837.8899999999967</v>
      </c>
    </row>
    <row r="391" spans="1:3" x14ac:dyDescent="0.25">
      <c r="A391" s="3" t="s">
        <v>290</v>
      </c>
      <c r="B391" s="19"/>
      <c r="C391" s="58">
        <v>5847.279999999997</v>
      </c>
    </row>
    <row r="392" spans="1:3" x14ac:dyDescent="0.25">
      <c r="A392" s="3" t="s">
        <v>290</v>
      </c>
      <c r="B392" s="19"/>
      <c r="C392" s="58">
        <v>5877.3599999999969</v>
      </c>
    </row>
    <row r="393" spans="1:3" x14ac:dyDescent="0.25">
      <c r="A393" s="3" t="s">
        <v>290</v>
      </c>
      <c r="B393" s="19"/>
      <c r="C393" s="58">
        <v>5885.0199999999968</v>
      </c>
    </row>
    <row r="394" spans="1:3" x14ac:dyDescent="0.25">
      <c r="A394" s="3" t="s">
        <v>290</v>
      </c>
      <c r="B394" s="19"/>
      <c r="C394" s="58">
        <v>5894.7099999999964</v>
      </c>
    </row>
    <row r="395" spans="1:3" x14ac:dyDescent="0.25">
      <c r="A395" s="3" t="s">
        <v>290</v>
      </c>
      <c r="B395" s="19"/>
      <c r="C395" s="58">
        <v>5899.0599999999968</v>
      </c>
    </row>
    <row r="396" spans="1:3" x14ac:dyDescent="0.25">
      <c r="A396" s="3" t="s">
        <v>290</v>
      </c>
      <c r="B396" s="19"/>
      <c r="C396" s="58">
        <v>5911.6599999999971</v>
      </c>
    </row>
    <row r="397" spans="1:3" x14ac:dyDescent="0.25">
      <c r="A397" s="3" t="s">
        <v>290</v>
      </c>
      <c r="B397" s="19"/>
      <c r="C397" s="58">
        <v>5933.3099999999968</v>
      </c>
    </row>
    <row r="398" spans="1:3" x14ac:dyDescent="0.25">
      <c r="A398" s="3" t="s">
        <v>290</v>
      </c>
      <c r="B398" s="19"/>
      <c r="C398" s="58">
        <v>5936.8699999999972</v>
      </c>
    </row>
    <row r="399" spans="1:3" x14ac:dyDescent="0.25">
      <c r="A399" s="3" t="s">
        <v>290</v>
      </c>
      <c r="B399" s="19"/>
      <c r="C399" s="58">
        <v>5944.529999999997</v>
      </c>
    </row>
    <row r="400" spans="1:3" x14ac:dyDescent="0.25">
      <c r="A400" s="3" t="s">
        <v>290</v>
      </c>
      <c r="B400" s="19"/>
      <c r="C400" s="58">
        <v>5957.6799999999967</v>
      </c>
    </row>
    <row r="401" spans="1:3" x14ac:dyDescent="0.25">
      <c r="A401" s="3" t="s">
        <v>290</v>
      </c>
      <c r="B401" s="19"/>
      <c r="C401" s="58">
        <v>5967.069999999997</v>
      </c>
    </row>
    <row r="402" spans="1:3" x14ac:dyDescent="0.25">
      <c r="A402" s="3" t="s">
        <v>290</v>
      </c>
      <c r="B402" s="19"/>
      <c r="C402" s="58">
        <v>5976.819999999997</v>
      </c>
    </row>
    <row r="403" spans="1:3" x14ac:dyDescent="0.25">
      <c r="A403" s="3" t="s">
        <v>290</v>
      </c>
      <c r="B403" s="19"/>
      <c r="C403" s="58">
        <v>6015.8099999999968</v>
      </c>
    </row>
    <row r="404" spans="1:3" x14ac:dyDescent="0.25">
      <c r="A404" s="3" t="s">
        <v>290</v>
      </c>
      <c r="B404" s="19"/>
      <c r="C404" s="58">
        <v>6032.0899999999965</v>
      </c>
    </row>
    <row r="405" spans="1:3" x14ac:dyDescent="0.25">
      <c r="A405" s="3" t="s">
        <v>290</v>
      </c>
      <c r="B405" s="19"/>
      <c r="C405" s="58">
        <v>6035.2599999999966</v>
      </c>
    </row>
    <row r="406" spans="1:3" x14ac:dyDescent="0.25">
      <c r="A406" s="3" t="s">
        <v>290</v>
      </c>
      <c r="B406" s="19"/>
      <c r="C406" s="58">
        <v>6078.6899999999969</v>
      </c>
    </row>
    <row r="407" spans="1:3" x14ac:dyDescent="0.25">
      <c r="A407" s="3" t="s">
        <v>290</v>
      </c>
      <c r="B407" s="19"/>
      <c r="C407" s="58">
        <v>6096.2099999999973</v>
      </c>
    </row>
    <row r="408" spans="1:3" x14ac:dyDescent="0.25">
      <c r="A408" s="3" t="s">
        <v>290</v>
      </c>
      <c r="B408" s="19"/>
      <c r="C408" s="58">
        <v>6128.3499999999976</v>
      </c>
    </row>
    <row r="409" spans="1:3" x14ac:dyDescent="0.25">
      <c r="A409" s="3" t="s">
        <v>290</v>
      </c>
      <c r="B409" s="19"/>
      <c r="C409" s="58">
        <v>6141.7099999999973</v>
      </c>
    </row>
    <row r="410" spans="1:3" x14ac:dyDescent="0.25">
      <c r="A410" s="3" t="s">
        <v>290</v>
      </c>
      <c r="B410" s="19"/>
      <c r="C410" s="58">
        <v>6147.1199999999972</v>
      </c>
    </row>
    <row r="411" spans="1:3" x14ac:dyDescent="0.25">
      <c r="A411" s="3" t="s">
        <v>364</v>
      </c>
      <c r="B411" s="19"/>
      <c r="C411" s="58">
        <v>6246.3599999999969</v>
      </c>
    </row>
    <row r="412" spans="1:3" x14ac:dyDescent="0.25">
      <c r="A412" s="3" t="s">
        <v>364</v>
      </c>
      <c r="B412" s="19"/>
      <c r="C412" s="58">
        <v>6256.9499999999971</v>
      </c>
    </row>
    <row r="413" spans="1:3" x14ac:dyDescent="0.25">
      <c r="A413" s="3" t="s">
        <v>364</v>
      </c>
      <c r="B413" s="19"/>
      <c r="C413" s="58">
        <v>6266.9399999999969</v>
      </c>
    </row>
    <row r="414" spans="1:3" x14ac:dyDescent="0.25">
      <c r="A414" s="3" t="s">
        <v>364</v>
      </c>
      <c r="B414" s="19"/>
      <c r="C414" s="58">
        <v>6276.9399999999969</v>
      </c>
    </row>
    <row r="415" spans="1:3" x14ac:dyDescent="0.25">
      <c r="A415" s="3" t="s">
        <v>364</v>
      </c>
      <c r="B415" s="19">
        <v>-1000</v>
      </c>
      <c r="C415" s="58">
        <v>5276.9399999999969</v>
      </c>
    </row>
    <row r="416" spans="1:3" x14ac:dyDescent="0.25">
      <c r="A416" s="3" t="s">
        <v>364</v>
      </c>
      <c r="B416" s="19"/>
      <c r="C416" s="58">
        <v>5356.319999999997</v>
      </c>
    </row>
    <row r="417" spans="1:3" x14ac:dyDescent="0.25">
      <c r="A417" s="3" t="s">
        <v>364</v>
      </c>
      <c r="B417" s="19"/>
      <c r="C417" s="58">
        <v>5365.6399999999967</v>
      </c>
    </row>
    <row r="418" spans="1:3" x14ac:dyDescent="0.25">
      <c r="A418" s="3" t="s">
        <v>364</v>
      </c>
      <c r="B418" s="19"/>
      <c r="C418" s="58">
        <v>5372.1399999999967</v>
      </c>
    </row>
    <row r="419" spans="1:3" x14ac:dyDescent="0.25">
      <c r="A419" s="3" t="s">
        <v>364</v>
      </c>
      <c r="B419" s="19"/>
      <c r="C419" s="58">
        <v>5393.3299999999963</v>
      </c>
    </row>
    <row r="420" spans="1:3" x14ac:dyDescent="0.25">
      <c r="A420" s="3" t="s">
        <v>364</v>
      </c>
      <c r="B420" s="19"/>
      <c r="C420" s="58">
        <v>5827.2799999999961</v>
      </c>
    </row>
    <row r="421" spans="1:3" x14ac:dyDescent="0.25">
      <c r="A421" s="3" t="s">
        <v>364</v>
      </c>
      <c r="B421" s="19"/>
      <c r="C421" s="58">
        <v>5833.649999999996</v>
      </c>
    </row>
    <row r="422" spans="1:3" x14ac:dyDescent="0.25">
      <c r="A422" s="3" t="s">
        <v>364</v>
      </c>
      <c r="B422" s="19"/>
      <c r="C422" s="58">
        <v>5843.6399999999958</v>
      </c>
    </row>
    <row r="423" spans="1:3" x14ac:dyDescent="0.25">
      <c r="A423" s="3" t="s">
        <v>364</v>
      </c>
      <c r="B423" s="19"/>
      <c r="C423" s="58">
        <v>5856.3899999999958</v>
      </c>
    </row>
    <row r="424" spans="1:3" x14ac:dyDescent="0.25">
      <c r="A424" s="3" t="s">
        <v>364</v>
      </c>
      <c r="B424" s="19"/>
      <c r="C424" s="58">
        <v>5864.3199999999961</v>
      </c>
    </row>
    <row r="425" spans="1:3" x14ac:dyDescent="0.25">
      <c r="A425" s="3" t="s">
        <v>364</v>
      </c>
      <c r="B425" s="19"/>
      <c r="C425" s="58">
        <v>5915.7299999999959</v>
      </c>
    </row>
    <row r="426" spans="1:3" x14ac:dyDescent="0.25">
      <c r="A426" s="3" t="s">
        <v>364</v>
      </c>
      <c r="B426" s="19"/>
      <c r="C426" s="58">
        <v>5929.0899999999956</v>
      </c>
    </row>
    <row r="427" spans="1:3" x14ac:dyDescent="0.25">
      <c r="A427" s="3" t="s">
        <v>364</v>
      </c>
      <c r="B427" s="19"/>
      <c r="C427" s="58">
        <v>5981.5399999999954</v>
      </c>
    </row>
    <row r="428" spans="1:3" x14ac:dyDescent="0.25">
      <c r="A428" s="3" t="s">
        <v>364</v>
      </c>
      <c r="B428" s="19"/>
      <c r="C428" s="58">
        <v>6000.3399999999956</v>
      </c>
    </row>
    <row r="429" spans="1:3" x14ac:dyDescent="0.25">
      <c r="A429" s="3" t="s">
        <v>364</v>
      </c>
      <c r="B429" s="19"/>
      <c r="C429" s="58">
        <v>6010.9599999999955</v>
      </c>
    </row>
    <row r="430" spans="1:3" x14ac:dyDescent="0.25">
      <c r="A430" s="3" t="s">
        <v>364</v>
      </c>
      <c r="B430" s="19"/>
      <c r="C430" s="58">
        <v>6019.4599999999955</v>
      </c>
    </row>
    <row r="431" spans="1:3" x14ac:dyDescent="0.25">
      <c r="A431" s="3" t="s">
        <v>364</v>
      </c>
      <c r="B431" s="19"/>
      <c r="C431" s="58">
        <v>6035.3499999999958</v>
      </c>
    </row>
    <row r="432" spans="1:3" x14ac:dyDescent="0.25">
      <c r="A432" s="3" t="s">
        <v>364</v>
      </c>
      <c r="B432" s="19"/>
      <c r="C432" s="58">
        <v>6079.5899999999956</v>
      </c>
    </row>
    <row r="433" spans="1:3" x14ac:dyDescent="0.25">
      <c r="A433" s="3" t="s">
        <v>364</v>
      </c>
      <c r="B433" s="19"/>
      <c r="C433" s="58">
        <v>6170.5899999999956</v>
      </c>
    </row>
    <row r="434" spans="1:3" x14ac:dyDescent="0.25">
      <c r="A434" s="3" t="s">
        <v>364</v>
      </c>
      <c r="B434" s="19"/>
      <c r="C434" s="58">
        <v>6324.8299999999954</v>
      </c>
    </row>
    <row r="435" spans="1:3" x14ac:dyDescent="0.25">
      <c r="A435" s="3" t="s">
        <v>364</v>
      </c>
      <c r="B435" s="19"/>
      <c r="C435" s="58">
        <v>6341.1099999999951</v>
      </c>
    </row>
    <row r="436" spans="1:3" x14ac:dyDescent="0.25">
      <c r="A436" s="3" t="s">
        <v>364</v>
      </c>
      <c r="B436" s="19"/>
      <c r="C436" s="58">
        <v>6366.0799999999954</v>
      </c>
    </row>
    <row r="437" spans="1:3" x14ac:dyDescent="0.25">
      <c r="A437" s="3" t="s">
        <v>364</v>
      </c>
      <c r="B437" s="19"/>
      <c r="C437" s="58">
        <v>6476.0799999999954</v>
      </c>
    </row>
    <row r="438" spans="1:3" x14ac:dyDescent="0.25">
      <c r="A438" s="3" t="s">
        <v>364</v>
      </c>
      <c r="B438" s="19"/>
      <c r="C438" s="58">
        <v>6504.0599999999949</v>
      </c>
    </row>
    <row r="439" spans="1:3" x14ac:dyDescent="0.25">
      <c r="A439" s="3" t="s">
        <v>364</v>
      </c>
      <c r="B439" s="19"/>
      <c r="C439" s="58">
        <v>6531.2399999999952</v>
      </c>
    </row>
    <row r="440" spans="1:3" x14ac:dyDescent="0.25">
      <c r="A440" s="3" t="s">
        <v>364</v>
      </c>
      <c r="B440" s="19"/>
      <c r="C440" s="58">
        <v>6546.4299999999948</v>
      </c>
    </row>
    <row r="441" spans="1:3" x14ac:dyDescent="0.25">
      <c r="A441" s="3" t="s">
        <v>364</v>
      </c>
      <c r="B441" s="19"/>
      <c r="C441" s="58">
        <v>6554.019999999995</v>
      </c>
    </row>
    <row r="442" spans="1:3" x14ac:dyDescent="0.25">
      <c r="A442" s="3" t="s">
        <v>364</v>
      </c>
      <c r="B442" s="19"/>
      <c r="C442" s="58">
        <v>6570.2999999999947</v>
      </c>
    </row>
    <row r="443" spans="1:3" x14ac:dyDescent="0.25">
      <c r="A443" s="3" t="s">
        <v>364</v>
      </c>
      <c r="B443" s="19"/>
      <c r="C443" s="58">
        <v>6582.2399999999943</v>
      </c>
    </row>
    <row r="444" spans="1:3" x14ac:dyDescent="0.25">
      <c r="A444" s="3" t="s">
        <v>364</v>
      </c>
      <c r="B444" s="19"/>
      <c r="C444" s="58">
        <v>6594.1799999999939</v>
      </c>
    </row>
    <row r="445" spans="1:3" x14ac:dyDescent="0.25">
      <c r="A445" s="3" t="s">
        <v>364</v>
      </c>
      <c r="B445" s="19"/>
      <c r="C445" s="58">
        <v>6601.6099999999942</v>
      </c>
    </row>
    <row r="446" spans="1:3" x14ac:dyDescent="0.25">
      <c r="A446" s="3" t="s">
        <v>364</v>
      </c>
      <c r="B446" s="19"/>
      <c r="C446" s="58">
        <v>6605.3999999999942</v>
      </c>
    </row>
    <row r="447" spans="1:3" x14ac:dyDescent="0.25">
      <c r="A447" s="3" t="s">
        <v>364</v>
      </c>
      <c r="B447" s="19"/>
      <c r="C447" s="58">
        <v>6664.7199999999939</v>
      </c>
    </row>
    <row r="448" spans="1:3" x14ac:dyDescent="0.25">
      <c r="A448" s="3" t="s">
        <v>364</v>
      </c>
      <c r="B448" s="19"/>
      <c r="C448" s="58">
        <v>6675.5699999999943</v>
      </c>
    </row>
    <row r="449" spans="1:3" x14ac:dyDescent="0.25">
      <c r="A449" s="3" t="s">
        <v>364</v>
      </c>
      <c r="B449" s="19"/>
      <c r="C449" s="58">
        <v>6684.0699999999943</v>
      </c>
    </row>
    <row r="450" spans="1:3" x14ac:dyDescent="0.25">
      <c r="A450" s="3" t="s">
        <v>364</v>
      </c>
      <c r="B450" s="19">
        <v>-2000</v>
      </c>
      <c r="C450" s="58">
        <v>4684.0699999999943</v>
      </c>
    </row>
    <row r="451" spans="1:3" x14ac:dyDescent="0.25">
      <c r="A451" s="3" t="s">
        <v>364</v>
      </c>
      <c r="B451" s="19"/>
      <c r="C451" s="58">
        <v>4722.0699999999943</v>
      </c>
    </row>
    <row r="452" spans="1:3" x14ac:dyDescent="0.25">
      <c r="A452" s="3" t="s">
        <v>364</v>
      </c>
      <c r="B452" s="19"/>
      <c r="C452" s="58">
        <v>4792.0699999999943</v>
      </c>
    </row>
    <row r="453" spans="1:3" x14ac:dyDescent="0.25">
      <c r="A453" s="3" t="s">
        <v>364</v>
      </c>
      <c r="B453" s="19"/>
      <c r="C453" s="58">
        <v>4796.3299999999945</v>
      </c>
    </row>
    <row r="454" spans="1:3" x14ac:dyDescent="0.25">
      <c r="A454" s="3" t="s">
        <v>364</v>
      </c>
      <c r="B454" s="19"/>
      <c r="C454" s="58">
        <v>4801.6199999999944</v>
      </c>
    </row>
    <row r="455" spans="1:3" x14ac:dyDescent="0.25">
      <c r="A455" s="3" t="s">
        <v>364</v>
      </c>
      <c r="B455" s="19"/>
      <c r="C455" s="58">
        <v>4894.5499999999947</v>
      </c>
    </row>
    <row r="456" spans="1:3" x14ac:dyDescent="0.25">
      <c r="A456" s="3" t="s">
        <v>364</v>
      </c>
      <c r="B456" s="19"/>
      <c r="C456" s="58">
        <v>4905.1699999999946</v>
      </c>
    </row>
    <row r="457" spans="1:3" x14ac:dyDescent="0.25">
      <c r="A457" s="3" t="s">
        <v>364</v>
      </c>
      <c r="B457" s="19"/>
      <c r="C457" s="58">
        <v>4929.9499999999944</v>
      </c>
    </row>
    <row r="458" spans="1:3" x14ac:dyDescent="0.25">
      <c r="A458" s="3" t="s">
        <v>364</v>
      </c>
      <c r="B458" s="19"/>
      <c r="C458" s="58">
        <v>4938.309999999994</v>
      </c>
    </row>
    <row r="459" spans="1:3" x14ac:dyDescent="0.25">
      <c r="A459" s="3" t="s">
        <v>364</v>
      </c>
      <c r="B459" s="19"/>
      <c r="C459" s="58">
        <v>5039.0899999999938</v>
      </c>
    </row>
    <row r="460" spans="1:3" x14ac:dyDescent="0.25">
      <c r="A460" s="3" t="s">
        <v>364</v>
      </c>
      <c r="B460" s="19"/>
      <c r="C460" s="58">
        <v>5047.0899999999938</v>
      </c>
    </row>
    <row r="461" spans="1:3" x14ac:dyDescent="0.25">
      <c r="A461" s="3" t="s">
        <v>364</v>
      </c>
      <c r="B461" s="19"/>
      <c r="C461" s="58">
        <v>5055.0899999999938</v>
      </c>
    </row>
    <row r="462" spans="1:3" x14ac:dyDescent="0.25">
      <c r="A462" s="3" t="s">
        <v>364</v>
      </c>
      <c r="B462" s="19"/>
      <c r="C462" s="58">
        <v>5085.9599999999937</v>
      </c>
    </row>
    <row r="463" spans="1:3" x14ac:dyDescent="0.25">
      <c r="A463" s="3" t="s">
        <v>364</v>
      </c>
      <c r="B463" s="19"/>
      <c r="C463" s="58">
        <v>5089.309999999994</v>
      </c>
    </row>
    <row r="464" spans="1:3" x14ac:dyDescent="0.25">
      <c r="A464" s="3" t="s">
        <v>364</v>
      </c>
      <c r="B464" s="19"/>
      <c r="C464" s="58">
        <v>5112.309999999994</v>
      </c>
    </row>
    <row r="465" spans="1:3" x14ac:dyDescent="0.25">
      <c r="A465" s="3" t="s">
        <v>364</v>
      </c>
      <c r="B465" s="19"/>
      <c r="C465" s="58">
        <v>5352.0399999999936</v>
      </c>
    </row>
    <row r="466" spans="1:3" x14ac:dyDescent="0.25">
      <c r="A466" s="3" t="s">
        <v>364</v>
      </c>
      <c r="B466" s="19"/>
      <c r="C466" s="58">
        <v>5366.0899999999938</v>
      </c>
    </row>
    <row r="467" spans="1:3" x14ac:dyDescent="0.25">
      <c r="A467" s="3" t="s">
        <v>364</v>
      </c>
      <c r="B467" s="19"/>
      <c r="C467" s="58">
        <v>5411.3299999999936</v>
      </c>
    </row>
    <row r="468" spans="1:3" x14ac:dyDescent="0.25">
      <c r="A468" s="3" t="s">
        <v>364</v>
      </c>
      <c r="B468" s="19">
        <v>-8</v>
      </c>
      <c r="C468" s="58">
        <v>5403.3299999999936</v>
      </c>
    </row>
    <row r="469" spans="1:3" x14ac:dyDescent="0.25">
      <c r="A469" s="3" t="s">
        <v>364</v>
      </c>
      <c r="B469" s="19"/>
      <c r="C469" s="58">
        <v>5416.3599999999933</v>
      </c>
    </row>
    <row r="470" spans="1:3" x14ac:dyDescent="0.25">
      <c r="A470" s="3" t="s">
        <v>364</v>
      </c>
      <c r="B470" s="19"/>
      <c r="C470" s="58">
        <v>5426.5599999999931</v>
      </c>
    </row>
    <row r="471" spans="1:3" x14ac:dyDescent="0.25">
      <c r="A471" s="3" t="s">
        <v>364</v>
      </c>
      <c r="B471" s="19"/>
      <c r="C471" s="58">
        <v>5534.0599999999931</v>
      </c>
    </row>
    <row r="472" spans="1:3" x14ac:dyDescent="0.25">
      <c r="A472" s="3" t="s">
        <v>364</v>
      </c>
      <c r="B472" s="19"/>
      <c r="C472" s="58">
        <v>5573.7499999999927</v>
      </c>
    </row>
    <row r="473" spans="1:3" x14ac:dyDescent="0.25">
      <c r="A473" s="3" t="s">
        <v>364</v>
      </c>
      <c r="B473" s="19"/>
      <c r="C473" s="58">
        <v>5605.7099999999928</v>
      </c>
    </row>
    <row r="474" spans="1:3" x14ac:dyDescent="0.25">
      <c r="A474" s="3" t="s">
        <v>364</v>
      </c>
      <c r="B474" s="19"/>
      <c r="C474" s="58">
        <v>5903.7099999999928</v>
      </c>
    </row>
    <row r="475" spans="1:3" x14ac:dyDescent="0.25">
      <c r="A475" s="3" t="s">
        <v>364</v>
      </c>
      <c r="B475" s="19"/>
      <c r="C475" s="58">
        <v>6023.4099999999926</v>
      </c>
    </row>
    <row r="476" spans="1:3" x14ac:dyDescent="0.25">
      <c r="A476" s="3" t="s">
        <v>364</v>
      </c>
      <c r="B476" s="19"/>
      <c r="C476" s="58">
        <v>6044.679999999993</v>
      </c>
    </row>
    <row r="477" spans="1:3" x14ac:dyDescent="0.25">
      <c r="A477" s="3" t="s">
        <v>364</v>
      </c>
      <c r="B477" s="19"/>
      <c r="C477" s="58">
        <v>6068.9399999999932</v>
      </c>
    </row>
    <row r="478" spans="1:3" x14ac:dyDescent="0.25">
      <c r="A478" s="3" t="s">
        <v>364</v>
      </c>
      <c r="B478" s="19"/>
      <c r="C478" s="58">
        <v>6112.9399999999932</v>
      </c>
    </row>
    <row r="479" spans="1:3" x14ac:dyDescent="0.25">
      <c r="A479" s="3" t="s">
        <v>364</v>
      </c>
      <c r="B479" s="19"/>
      <c r="C479" s="58">
        <v>6148.8399999999929</v>
      </c>
    </row>
    <row r="480" spans="1:3" x14ac:dyDescent="0.25">
      <c r="A480" s="3" t="s">
        <v>364</v>
      </c>
      <c r="B480" s="19"/>
      <c r="C480" s="58">
        <v>6178.6899999999932</v>
      </c>
    </row>
    <row r="481" spans="1:3" x14ac:dyDescent="0.25">
      <c r="A481" s="3" t="s">
        <v>364</v>
      </c>
      <c r="B481" s="19"/>
      <c r="C481" s="58">
        <v>6261.6899999999932</v>
      </c>
    </row>
    <row r="482" spans="1:3" x14ac:dyDescent="0.25">
      <c r="A482" s="3" t="s">
        <v>364</v>
      </c>
      <c r="B482" s="19"/>
      <c r="C482" s="58">
        <v>6289.679999999993</v>
      </c>
    </row>
    <row r="483" spans="1:3" x14ac:dyDescent="0.25">
      <c r="A483" s="3" t="s">
        <v>364</v>
      </c>
      <c r="B483" s="19"/>
      <c r="C483" s="58">
        <v>6298.7699999999932</v>
      </c>
    </row>
    <row r="484" spans="1:3" x14ac:dyDescent="0.25">
      <c r="A484" s="3" t="s">
        <v>364</v>
      </c>
      <c r="B484" s="19"/>
      <c r="C484" s="58">
        <v>6323.7699999999932</v>
      </c>
    </row>
    <row r="485" spans="1:3" x14ac:dyDescent="0.25">
      <c r="A485" s="3" t="s">
        <v>364</v>
      </c>
      <c r="B485" s="19"/>
      <c r="C485" s="58">
        <v>6337.6699999999928</v>
      </c>
    </row>
    <row r="486" spans="1:3" x14ac:dyDescent="0.25">
      <c r="A486" s="3" t="s">
        <v>364</v>
      </c>
      <c r="B486" s="19"/>
      <c r="C486" s="58">
        <v>6364.7299999999932</v>
      </c>
    </row>
    <row r="487" spans="1:3" x14ac:dyDescent="0.25">
      <c r="A487" s="3" t="s">
        <v>364</v>
      </c>
      <c r="B487" s="19"/>
      <c r="C487" s="58">
        <v>6394.7499999999936</v>
      </c>
    </row>
    <row r="488" spans="1:3" x14ac:dyDescent="0.25">
      <c r="A488" s="3" t="s">
        <v>364</v>
      </c>
      <c r="B488" s="19"/>
      <c r="C488" s="58">
        <v>6403.4499999999935</v>
      </c>
    </row>
    <row r="489" spans="1:3" x14ac:dyDescent="0.25">
      <c r="A489" s="3" t="s">
        <v>364</v>
      </c>
      <c r="B489" s="19"/>
      <c r="C489" s="58">
        <v>6423.7699999999932</v>
      </c>
    </row>
    <row r="490" spans="1:3" x14ac:dyDescent="0.25">
      <c r="A490" s="3" t="s">
        <v>364</v>
      </c>
      <c r="B490" s="19"/>
      <c r="C490" s="58">
        <v>6444.4999999999927</v>
      </c>
    </row>
    <row r="491" spans="1:3" x14ac:dyDescent="0.25">
      <c r="A491" s="3" t="s">
        <v>364</v>
      </c>
      <c r="B491" s="19"/>
      <c r="C491" s="58">
        <v>6458.2099999999928</v>
      </c>
    </row>
    <row r="492" spans="1:3" x14ac:dyDescent="0.25">
      <c r="A492" s="3" t="s">
        <v>364</v>
      </c>
      <c r="B492" s="19"/>
      <c r="C492" s="58">
        <v>6470.0099999999929</v>
      </c>
    </row>
    <row r="493" spans="1:3" x14ac:dyDescent="0.25">
      <c r="A493" s="3" t="s">
        <v>364</v>
      </c>
      <c r="B493" s="19"/>
      <c r="C493" s="58">
        <v>6473.179999999993</v>
      </c>
    </row>
    <row r="494" spans="1:3" x14ac:dyDescent="0.25">
      <c r="A494" s="3" t="s">
        <v>364</v>
      </c>
      <c r="B494" s="19">
        <v>-1000</v>
      </c>
      <c r="C494" s="58">
        <v>5473.179999999993</v>
      </c>
    </row>
    <row r="495" spans="1:3" x14ac:dyDescent="0.25">
      <c r="A495" s="3" t="s">
        <v>420</v>
      </c>
      <c r="B495" s="19"/>
      <c r="C495" s="58">
        <v>5572.3699999999926</v>
      </c>
    </row>
    <row r="496" spans="1:3" x14ac:dyDescent="0.25">
      <c r="A496" s="3" t="s">
        <v>420</v>
      </c>
      <c r="B496" s="19"/>
      <c r="C496" s="58">
        <v>5582.9599999999928</v>
      </c>
    </row>
    <row r="497" spans="1:3" x14ac:dyDescent="0.25">
      <c r="A497" s="3" t="s">
        <v>420</v>
      </c>
      <c r="B497" s="19"/>
      <c r="C497" s="58">
        <v>5607.9599999999928</v>
      </c>
    </row>
    <row r="498" spans="1:3" x14ac:dyDescent="0.25">
      <c r="A498" s="3" t="s">
        <v>420</v>
      </c>
      <c r="B498" s="19"/>
      <c r="C498" s="58">
        <v>5617.9499999999925</v>
      </c>
    </row>
    <row r="499" spans="1:3" x14ac:dyDescent="0.25">
      <c r="A499" s="3" t="s">
        <v>420</v>
      </c>
      <c r="B499" s="19"/>
      <c r="C499" s="58">
        <v>5627.9499999999925</v>
      </c>
    </row>
    <row r="500" spans="1:3" x14ac:dyDescent="0.25">
      <c r="A500" s="3" t="s">
        <v>420</v>
      </c>
      <c r="B500" s="19"/>
      <c r="C500" s="58">
        <v>5639.9999999999927</v>
      </c>
    </row>
    <row r="501" spans="1:3" x14ac:dyDescent="0.25">
      <c r="A501" s="3" t="s">
        <v>420</v>
      </c>
      <c r="B501" s="19"/>
      <c r="C501" s="58">
        <v>5669.9999999999927</v>
      </c>
    </row>
    <row r="502" spans="1:3" x14ac:dyDescent="0.25">
      <c r="A502" s="3" t="s">
        <v>420</v>
      </c>
      <c r="B502" s="19"/>
      <c r="C502" s="58">
        <v>5674.7599999999929</v>
      </c>
    </row>
    <row r="503" spans="1:3" x14ac:dyDescent="0.25">
      <c r="A503" s="3" t="s">
        <v>420</v>
      </c>
      <c r="B503" s="19"/>
      <c r="C503" s="58">
        <v>5683.9599999999928</v>
      </c>
    </row>
    <row r="504" spans="1:3" x14ac:dyDescent="0.25">
      <c r="A504" s="3" t="s">
        <v>420</v>
      </c>
      <c r="B504" s="19"/>
      <c r="C504" s="58">
        <v>5702.4999999999927</v>
      </c>
    </row>
    <row r="505" spans="1:3" x14ac:dyDescent="0.25">
      <c r="A505" s="3" t="s">
        <v>420</v>
      </c>
      <c r="B505" s="19"/>
      <c r="C505" s="58">
        <v>5795.8099999999931</v>
      </c>
    </row>
    <row r="506" spans="1:3" x14ac:dyDescent="0.25">
      <c r="A506" s="3" t="s">
        <v>420</v>
      </c>
      <c r="B506" s="19"/>
      <c r="C506" s="58">
        <v>5804.7899999999927</v>
      </c>
    </row>
    <row r="507" spans="1:3" x14ac:dyDescent="0.25">
      <c r="A507" s="3" t="s">
        <v>420</v>
      </c>
      <c r="B507" s="19"/>
      <c r="C507" s="58">
        <v>5829.7799999999925</v>
      </c>
    </row>
    <row r="508" spans="1:3" x14ac:dyDescent="0.25">
      <c r="A508" s="3" t="s">
        <v>420</v>
      </c>
      <c r="B508" s="19"/>
      <c r="C508" s="58">
        <v>5834.4499999999925</v>
      </c>
    </row>
    <row r="509" spans="1:3" x14ac:dyDescent="0.25">
      <c r="A509" s="3" t="s">
        <v>420</v>
      </c>
      <c r="B509" s="19"/>
      <c r="C509" s="58">
        <v>5839.5399999999927</v>
      </c>
    </row>
    <row r="510" spans="1:3" x14ac:dyDescent="0.25">
      <c r="A510" s="3" t="s">
        <v>420</v>
      </c>
      <c r="B510" s="19"/>
      <c r="C510" s="58">
        <v>5970.8399999999929</v>
      </c>
    </row>
    <row r="511" spans="1:3" x14ac:dyDescent="0.25">
      <c r="A511" s="3" t="s">
        <v>420</v>
      </c>
      <c r="B511" s="19"/>
      <c r="C511" s="58">
        <v>5982.9799999999932</v>
      </c>
    </row>
    <row r="512" spans="1:3" x14ac:dyDescent="0.25">
      <c r="A512" s="3" t="s">
        <v>420</v>
      </c>
      <c r="B512" s="19"/>
      <c r="C512" s="58">
        <v>5992.969999999993</v>
      </c>
    </row>
    <row r="513" spans="1:3" x14ac:dyDescent="0.25">
      <c r="A513" s="3" t="s">
        <v>420</v>
      </c>
      <c r="B513" s="19"/>
      <c r="C513" s="58">
        <v>6048.3199999999933</v>
      </c>
    </row>
    <row r="514" spans="1:3" x14ac:dyDescent="0.25">
      <c r="A514" s="3" t="s">
        <v>420</v>
      </c>
      <c r="B514" s="19"/>
      <c r="C514" s="58">
        <v>6152.3199999999933</v>
      </c>
    </row>
    <row r="515" spans="1:3" x14ac:dyDescent="0.25">
      <c r="A515" s="3" t="s">
        <v>420</v>
      </c>
      <c r="B515" s="19"/>
      <c r="C515" s="58">
        <v>6231.9799999999932</v>
      </c>
    </row>
    <row r="516" spans="1:3" x14ac:dyDescent="0.25">
      <c r="A516" s="3" t="s">
        <v>420</v>
      </c>
      <c r="B516" s="19"/>
      <c r="C516" s="58">
        <v>6232.9799999999932</v>
      </c>
    </row>
    <row r="517" spans="1:3" x14ac:dyDescent="0.25">
      <c r="A517" s="3" t="s">
        <v>420</v>
      </c>
      <c r="B517" s="19"/>
      <c r="C517" s="58">
        <v>6252.9799999999932</v>
      </c>
    </row>
    <row r="518" spans="1:3" x14ac:dyDescent="0.25">
      <c r="A518" s="3" t="s">
        <v>420</v>
      </c>
      <c r="B518" s="19"/>
      <c r="C518" s="58">
        <v>6258.3999999999933</v>
      </c>
    </row>
    <row r="519" spans="1:3" x14ac:dyDescent="0.25">
      <c r="A519" s="3" t="s">
        <v>420</v>
      </c>
      <c r="B519" s="19"/>
      <c r="C519" s="58">
        <v>6282.2799999999934</v>
      </c>
    </row>
    <row r="520" spans="1:3" x14ac:dyDescent="0.25">
      <c r="A520" s="3" t="s">
        <v>420</v>
      </c>
      <c r="B520" s="19"/>
      <c r="C520" s="58">
        <v>6360.2799999999934</v>
      </c>
    </row>
    <row r="521" spans="1:3" x14ac:dyDescent="0.25">
      <c r="A521" s="3" t="s">
        <v>420</v>
      </c>
      <c r="B521" s="19"/>
      <c r="C521" s="58">
        <v>6411.7799999999934</v>
      </c>
    </row>
    <row r="522" spans="1:3" x14ac:dyDescent="0.25">
      <c r="A522" s="3" t="s">
        <v>420</v>
      </c>
      <c r="B522" s="19"/>
      <c r="C522" s="58">
        <v>6420.2799999999934</v>
      </c>
    </row>
    <row r="523" spans="1:3" x14ac:dyDescent="0.25">
      <c r="A523" s="3" t="s">
        <v>420</v>
      </c>
      <c r="B523" s="19"/>
      <c r="C523" s="58">
        <v>6425.5999999999931</v>
      </c>
    </row>
    <row r="524" spans="1:3" x14ac:dyDescent="0.25">
      <c r="A524" s="3" t="s">
        <v>420</v>
      </c>
      <c r="B524" s="19"/>
      <c r="C524" s="58">
        <v>6438.8799999999928</v>
      </c>
    </row>
    <row r="525" spans="1:3" x14ac:dyDescent="0.25">
      <c r="A525" s="3" t="s">
        <v>420</v>
      </c>
      <c r="B525" s="19">
        <v>-1</v>
      </c>
      <c r="C525" s="58">
        <v>6437.8799999999928</v>
      </c>
    </row>
    <row r="526" spans="1:3" x14ac:dyDescent="0.25">
      <c r="A526" s="3" t="s">
        <v>420</v>
      </c>
      <c r="B526" s="19"/>
      <c r="C526" s="58">
        <v>6448.5099999999929</v>
      </c>
    </row>
    <row r="527" spans="1:3" x14ac:dyDescent="0.25">
      <c r="A527" s="3" t="s">
        <v>420</v>
      </c>
      <c r="B527" s="19"/>
      <c r="C527" s="58">
        <v>6454.4599999999928</v>
      </c>
    </row>
    <row r="528" spans="1:3" x14ac:dyDescent="0.25">
      <c r="A528" s="3" t="s">
        <v>420</v>
      </c>
      <c r="B528" s="19"/>
      <c r="C528" s="58">
        <v>6459.7799999999925</v>
      </c>
    </row>
    <row r="529" spans="1:3" x14ac:dyDescent="0.25">
      <c r="A529" s="3" t="s">
        <v>420</v>
      </c>
      <c r="B529" s="19"/>
      <c r="C529" s="58">
        <v>6475.5499999999929</v>
      </c>
    </row>
    <row r="530" spans="1:3" x14ac:dyDescent="0.25">
      <c r="A530" s="3" t="s">
        <v>420</v>
      </c>
      <c r="B530" s="19"/>
      <c r="C530" s="58">
        <v>6531.5299999999925</v>
      </c>
    </row>
    <row r="531" spans="1:3" x14ac:dyDescent="0.25">
      <c r="A531" s="3" t="s">
        <v>420</v>
      </c>
      <c r="B531" s="19"/>
      <c r="C531" s="58">
        <v>6601.2499999999927</v>
      </c>
    </row>
    <row r="532" spans="1:3" x14ac:dyDescent="0.25">
      <c r="A532" s="3" t="s">
        <v>420</v>
      </c>
      <c r="B532" s="19"/>
      <c r="C532" s="58">
        <v>6638.4799999999923</v>
      </c>
    </row>
    <row r="533" spans="1:3" x14ac:dyDescent="0.25">
      <c r="A533" s="3" t="s">
        <v>420</v>
      </c>
      <c r="B533" s="19"/>
      <c r="C533" s="58">
        <v>6657.7899999999927</v>
      </c>
    </row>
    <row r="534" spans="1:3" x14ac:dyDescent="0.25">
      <c r="A534" s="3" t="s">
        <v>420</v>
      </c>
      <c r="B534" s="19"/>
      <c r="C534" s="58">
        <v>6661.5099999999929</v>
      </c>
    </row>
    <row r="535" spans="1:3" x14ac:dyDescent="0.25">
      <c r="A535" s="3" t="s">
        <v>420</v>
      </c>
      <c r="B535" s="19"/>
      <c r="C535" s="58">
        <v>6665.7599999999929</v>
      </c>
    </row>
    <row r="536" spans="1:3" x14ac:dyDescent="0.25">
      <c r="A536" s="3" t="s">
        <v>420</v>
      </c>
      <c r="B536" s="19"/>
      <c r="C536" s="58">
        <v>6726.0099999999929</v>
      </c>
    </row>
    <row r="537" spans="1:3" x14ac:dyDescent="0.25">
      <c r="A537" s="3" t="s">
        <v>420</v>
      </c>
      <c r="B537" s="19"/>
      <c r="C537" s="58">
        <v>6747.5199999999932</v>
      </c>
    </row>
    <row r="538" spans="1:3" x14ac:dyDescent="0.25">
      <c r="A538" s="3" t="s">
        <v>420</v>
      </c>
      <c r="B538" s="19"/>
      <c r="C538" s="58">
        <v>6760.5999999999931</v>
      </c>
    </row>
    <row r="539" spans="1:3" x14ac:dyDescent="0.25">
      <c r="A539" s="3" t="s">
        <v>420</v>
      </c>
      <c r="B539" s="19"/>
      <c r="C539" s="58">
        <v>6763.7899999999927</v>
      </c>
    </row>
    <row r="540" spans="1:3" x14ac:dyDescent="0.25">
      <c r="A540" s="3" t="s">
        <v>420</v>
      </c>
      <c r="B540" s="19"/>
      <c r="C540" s="58">
        <v>6778.1599999999926</v>
      </c>
    </row>
    <row r="541" spans="1:3" x14ac:dyDescent="0.25">
      <c r="A541" s="3" t="s">
        <v>420</v>
      </c>
      <c r="B541" s="19"/>
      <c r="C541" s="58">
        <v>6789.8799999999928</v>
      </c>
    </row>
    <row r="542" spans="1:3" x14ac:dyDescent="0.25">
      <c r="A542" s="3" t="s">
        <v>420</v>
      </c>
      <c r="B542" s="19"/>
      <c r="C542" s="58">
        <v>6800.5099999999929</v>
      </c>
    </row>
    <row r="543" spans="1:3" x14ac:dyDescent="0.25">
      <c r="A543" s="3" t="s">
        <v>420</v>
      </c>
      <c r="B543" s="19">
        <v>-2600</v>
      </c>
      <c r="C543" s="58">
        <v>4200.5099999999929</v>
      </c>
    </row>
    <row r="544" spans="1:3" x14ac:dyDescent="0.25">
      <c r="A544" s="3" t="s">
        <v>420</v>
      </c>
      <c r="B544" s="19"/>
      <c r="C544" s="58">
        <v>4211.3599999999933</v>
      </c>
    </row>
    <row r="545" spans="1:3" x14ac:dyDescent="0.25">
      <c r="A545" s="3" t="s">
        <v>420</v>
      </c>
      <c r="B545" s="19"/>
      <c r="C545" s="58">
        <v>4262.7999999999929</v>
      </c>
    </row>
    <row r="546" spans="1:3" x14ac:dyDescent="0.25">
      <c r="A546" s="3" t="s">
        <v>420</v>
      </c>
      <c r="B546" s="19"/>
      <c r="C546" s="58">
        <v>4283.179999999993</v>
      </c>
    </row>
    <row r="547" spans="1:3" x14ac:dyDescent="0.25">
      <c r="A547" s="3" t="s">
        <v>420</v>
      </c>
      <c r="B547" s="19"/>
      <c r="C547" s="58">
        <v>4293.8099999999931</v>
      </c>
    </row>
    <row r="548" spans="1:3" x14ac:dyDescent="0.25">
      <c r="A548" s="3" t="s">
        <v>420</v>
      </c>
      <c r="B548" s="19"/>
      <c r="C548" s="58">
        <v>4300.7899999999927</v>
      </c>
    </row>
    <row r="549" spans="1:3" x14ac:dyDescent="0.25">
      <c r="A549" s="3" t="s">
        <v>420</v>
      </c>
      <c r="B549" s="19"/>
      <c r="C549" s="58">
        <v>4351.0199999999923</v>
      </c>
    </row>
    <row r="550" spans="1:3" x14ac:dyDescent="0.25">
      <c r="A550" s="3" t="s">
        <v>420</v>
      </c>
      <c r="B550" s="19"/>
      <c r="C550" s="58">
        <v>4410.3699999999926</v>
      </c>
    </row>
    <row r="551" spans="1:3" x14ac:dyDescent="0.25">
      <c r="A551" s="3" t="s">
        <v>420</v>
      </c>
      <c r="B551" s="19"/>
      <c r="C551" s="58">
        <v>4453.0799999999927</v>
      </c>
    </row>
    <row r="552" spans="1:3" x14ac:dyDescent="0.25">
      <c r="A552" s="3" t="s">
        <v>420</v>
      </c>
      <c r="B552" s="19"/>
      <c r="C552" s="58">
        <v>4468.969999999993</v>
      </c>
    </row>
    <row r="553" spans="1:3" x14ac:dyDescent="0.25">
      <c r="A553" s="3" t="s">
        <v>420</v>
      </c>
      <c r="B553" s="19"/>
      <c r="C553" s="58">
        <v>4478.969999999993</v>
      </c>
    </row>
    <row r="554" spans="1:3" x14ac:dyDescent="0.25">
      <c r="A554" s="3" t="s">
        <v>420</v>
      </c>
      <c r="B554" s="19"/>
      <c r="C554" s="58">
        <v>4498.969999999993</v>
      </c>
    </row>
    <row r="555" spans="1:3" x14ac:dyDescent="0.25">
      <c r="A555" s="3" t="s">
        <v>420</v>
      </c>
      <c r="B555" s="19"/>
      <c r="C555" s="58">
        <v>4509.5899999999929</v>
      </c>
    </row>
    <row r="556" spans="1:3" x14ac:dyDescent="0.25">
      <c r="A556" s="3" t="s">
        <v>420</v>
      </c>
      <c r="B556" s="19"/>
      <c r="C556" s="58">
        <v>4542.0899999999929</v>
      </c>
    </row>
    <row r="557" spans="1:3" x14ac:dyDescent="0.25">
      <c r="A557" s="3" t="s">
        <v>420</v>
      </c>
      <c r="B557" s="19"/>
      <c r="C557" s="58">
        <v>4559.6399999999931</v>
      </c>
    </row>
    <row r="558" spans="1:3" x14ac:dyDescent="0.25">
      <c r="A558" s="3" t="s">
        <v>420</v>
      </c>
      <c r="B558" s="19"/>
      <c r="C558" s="58">
        <v>4571.4099999999935</v>
      </c>
    </row>
    <row r="559" spans="1:3" x14ac:dyDescent="0.25">
      <c r="A559" s="3" t="s">
        <v>420</v>
      </c>
      <c r="B559" s="19"/>
      <c r="C559" s="58">
        <v>4572.7599999999939</v>
      </c>
    </row>
    <row r="560" spans="1:3" x14ac:dyDescent="0.25">
      <c r="A560" s="3" t="s">
        <v>420</v>
      </c>
      <c r="B560" s="19"/>
      <c r="C560" s="58">
        <v>4600.9199999999937</v>
      </c>
    </row>
    <row r="561" spans="1:3" x14ac:dyDescent="0.25">
      <c r="A561" s="3" t="s">
        <v>420</v>
      </c>
      <c r="B561" s="19"/>
      <c r="C561" s="58">
        <v>4679.9199999999937</v>
      </c>
    </row>
    <row r="562" spans="1:3" x14ac:dyDescent="0.25">
      <c r="A562" s="3" t="s">
        <v>420</v>
      </c>
      <c r="B562" s="19"/>
      <c r="C562" s="58">
        <v>4719.9199999999937</v>
      </c>
    </row>
    <row r="563" spans="1:3" x14ac:dyDescent="0.25">
      <c r="A563" s="3" t="s">
        <v>420</v>
      </c>
      <c r="B563" s="19"/>
      <c r="C563" s="58">
        <v>4730.5499999999938</v>
      </c>
    </row>
    <row r="564" spans="1:3" x14ac:dyDescent="0.25">
      <c r="A564" s="3" t="s">
        <v>420</v>
      </c>
      <c r="B564" s="19"/>
      <c r="C564" s="58">
        <v>4800.5499999999938</v>
      </c>
    </row>
    <row r="565" spans="1:3" x14ac:dyDescent="0.25">
      <c r="A565" s="3" t="s">
        <v>420</v>
      </c>
      <c r="B565" s="19"/>
      <c r="C565" s="58">
        <v>4826.6999999999935</v>
      </c>
    </row>
    <row r="566" spans="1:3" x14ac:dyDescent="0.25">
      <c r="A566" s="3" t="s">
        <v>420</v>
      </c>
      <c r="B566" s="19"/>
      <c r="C566" s="58">
        <v>4832.0799999999936</v>
      </c>
    </row>
    <row r="567" spans="1:3" x14ac:dyDescent="0.25">
      <c r="A567" s="3" t="s">
        <v>420</v>
      </c>
      <c r="B567" s="19"/>
      <c r="C567" s="58">
        <v>4842.0799999999936</v>
      </c>
    </row>
    <row r="568" spans="1:3" x14ac:dyDescent="0.25">
      <c r="A568" s="3" t="s">
        <v>420</v>
      </c>
      <c r="B568" s="19"/>
      <c r="C568" s="58">
        <v>4847.1799999999939</v>
      </c>
    </row>
    <row r="569" spans="1:3" x14ac:dyDescent="0.25">
      <c r="A569" s="3" t="s">
        <v>420</v>
      </c>
      <c r="B569" s="19"/>
      <c r="C569" s="58">
        <v>4868.3999999999942</v>
      </c>
    </row>
    <row r="570" spans="1:3" x14ac:dyDescent="0.25">
      <c r="A570" s="3" t="s">
        <v>420</v>
      </c>
      <c r="B570" s="19"/>
      <c r="C570" s="58">
        <v>4898.3999999999942</v>
      </c>
    </row>
    <row r="571" spans="1:3" x14ac:dyDescent="0.25">
      <c r="A571" s="3" t="s">
        <v>420</v>
      </c>
      <c r="B571" s="19"/>
      <c r="C571" s="58">
        <v>4916.6599999999944</v>
      </c>
    </row>
    <row r="572" spans="1:3" x14ac:dyDescent="0.25">
      <c r="A572" s="3" t="s">
        <v>420</v>
      </c>
      <c r="B572" s="19"/>
      <c r="C572" s="58">
        <v>4921.9499999999944</v>
      </c>
    </row>
    <row r="573" spans="1:3" x14ac:dyDescent="0.25">
      <c r="A573" s="3" t="s">
        <v>420</v>
      </c>
      <c r="B573" s="19"/>
      <c r="C573" s="58">
        <v>5336.9499999999944</v>
      </c>
    </row>
    <row r="574" spans="1:3" x14ac:dyDescent="0.25">
      <c r="A574" s="3" t="s">
        <v>420</v>
      </c>
      <c r="B574" s="19"/>
      <c r="C574" s="58">
        <v>5353.7499999999945</v>
      </c>
    </row>
    <row r="575" spans="1:3" x14ac:dyDescent="0.25">
      <c r="A575" s="3" t="s">
        <v>420</v>
      </c>
      <c r="B575" s="19"/>
      <c r="C575" s="58">
        <v>5358.9299999999948</v>
      </c>
    </row>
    <row r="576" spans="1:3" x14ac:dyDescent="0.25">
      <c r="A576" s="3" t="s">
        <v>420</v>
      </c>
      <c r="B576" s="19"/>
      <c r="C576" s="58">
        <v>5397.0299999999952</v>
      </c>
    </row>
    <row r="577" spans="1:3" x14ac:dyDescent="0.25">
      <c r="A577" s="3" t="s">
        <v>420</v>
      </c>
      <c r="B577" s="19"/>
      <c r="C577" s="58">
        <v>5429.0899999999956</v>
      </c>
    </row>
    <row r="578" spans="1:3" x14ac:dyDescent="0.25">
      <c r="A578" s="3" t="s">
        <v>420</v>
      </c>
      <c r="B578" s="19"/>
      <c r="C578" s="58">
        <v>5461.2999999999956</v>
      </c>
    </row>
    <row r="579" spans="1:3" x14ac:dyDescent="0.25">
      <c r="A579" s="3" t="s">
        <v>420</v>
      </c>
      <c r="B579" s="19"/>
      <c r="C579" s="58">
        <v>5472.3199999999961</v>
      </c>
    </row>
    <row r="580" spans="1:3" x14ac:dyDescent="0.25">
      <c r="A580" s="3" t="s">
        <v>420</v>
      </c>
      <c r="B580" s="19"/>
      <c r="C580" s="58">
        <v>5526.5999999999958</v>
      </c>
    </row>
    <row r="581" spans="1:3" x14ac:dyDescent="0.25">
      <c r="A581" s="3" t="s">
        <v>420</v>
      </c>
      <c r="B581" s="19"/>
      <c r="C581" s="58">
        <v>5613.5999999999958</v>
      </c>
    </row>
    <row r="582" spans="1:3" x14ac:dyDescent="0.25">
      <c r="A582" s="3" t="s">
        <v>420</v>
      </c>
      <c r="B582" s="19"/>
      <c r="C582" s="58">
        <v>5648.5999999999958</v>
      </c>
    </row>
    <row r="583" spans="1:3" x14ac:dyDescent="0.25">
      <c r="A583" s="3" t="s">
        <v>420</v>
      </c>
      <c r="B583" s="19"/>
      <c r="C583" s="58">
        <v>5663.2699999999959</v>
      </c>
    </row>
    <row r="584" spans="1:3" x14ac:dyDescent="0.25">
      <c r="A584" s="3" t="s">
        <v>420</v>
      </c>
      <c r="B584" s="19"/>
      <c r="C584" s="58">
        <v>5668.6799999999957</v>
      </c>
    </row>
    <row r="585" spans="1:3" x14ac:dyDescent="0.25">
      <c r="A585" s="3" t="s">
        <v>420</v>
      </c>
      <c r="B585" s="19"/>
      <c r="C585" s="58">
        <v>5672.5199999999959</v>
      </c>
    </row>
    <row r="586" spans="1:3" x14ac:dyDescent="0.25">
      <c r="A586" s="3" t="s">
        <v>420</v>
      </c>
      <c r="B586" s="19"/>
      <c r="C586" s="58">
        <v>5677.6399999999958</v>
      </c>
    </row>
    <row r="587" spans="1:3" x14ac:dyDescent="0.25">
      <c r="A587" s="3" t="s">
        <v>420</v>
      </c>
      <c r="B587" s="19"/>
      <c r="C587" s="58">
        <v>5713.9599999999955</v>
      </c>
    </row>
    <row r="588" spans="1:3" x14ac:dyDescent="0.25">
      <c r="A588" s="3" t="s">
        <v>420</v>
      </c>
      <c r="B588" s="19"/>
      <c r="C588" s="58">
        <v>5739.9599999999955</v>
      </c>
    </row>
    <row r="589" spans="1:3" x14ac:dyDescent="0.25">
      <c r="A589" s="4" t="s">
        <v>420</v>
      </c>
      <c r="B589" s="61"/>
      <c r="C589" s="59">
        <v>5819.9599999999955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2FA8-9ADA-4AE0-9A85-141024D4D677}">
  <sheetPr>
    <tabColor theme="5"/>
  </sheetPr>
  <dimension ref="A1:G13"/>
  <sheetViews>
    <sheetView workbookViewId="0">
      <selection activeCell="G301" sqref="G301"/>
    </sheetView>
  </sheetViews>
  <sheetFormatPr defaultRowHeight="15" x14ac:dyDescent="0.25"/>
  <cols>
    <col min="1" max="1" width="17.85546875" customWidth="1"/>
    <col min="2" max="2" width="11.5703125" customWidth="1"/>
    <col min="3" max="3" width="62" bestFit="1" customWidth="1"/>
    <col min="4" max="4" width="10.5703125" bestFit="1" customWidth="1"/>
    <col min="5" max="5" width="13" customWidth="1"/>
    <col min="6" max="6" width="10.28515625" customWidth="1"/>
    <col min="7" max="7" width="13" customWidth="1"/>
    <col min="8" max="8" width="9.7109375" customWidth="1"/>
  </cols>
  <sheetData>
    <row r="1" spans="1:7" x14ac:dyDescent="0.25">
      <c r="A1" t="s">
        <v>490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8</v>
      </c>
    </row>
    <row r="2" spans="1:7" x14ac:dyDescent="0.25">
      <c r="A2" s="10">
        <v>44571</v>
      </c>
      <c r="B2" s="10">
        <v>44571</v>
      </c>
      <c r="C2" t="s">
        <v>501</v>
      </c>
      <c r="D2" s="11">
        <v>2286</v>
      </c>
      <c r="E2" t="s">
        <v>502</v>
      </c>
      <c r="F2" s="10" t="str">
        <f t="shared" ref="F2:F13" si="0">MONTH(A2)&amp;"/"&amp;YEAR(A2)</f>
        <v>1/2022</v>
      </c>
      <c r="G2" t="s">
        <v>156</v>
      </c>
    </row>
    <row r="3" spans="1:7" x14ac:dyDescent="0.25">
      <c r="A3" s="10">
        <v>44574</v>
      </c>
      <c r="B3" s="10">
        <v>44574</v>
      </c>
      <c r="C3" t="s">
        <v>500</v>
      </c>
      <c r="D3" s="11">
        <v>-1000</v>
      </c>
      <c r="E3" t="s">
        <v>504</v>
      </c>
      <c r="F3" s="10" t="str">
        <f t="shared" si="0"/>
        <v>1/2022</v>
      </c>
    </row>
    <row r="4" spans="1:7" x14ac:dyDescent="0.25">
      <c r="A4" s="10">
        <v>44599</v>
      </c>
      <c r="B4" s="10">
        <v>44599</v>
      </c>
      <c r="C4" t="s">
        <v>495</v>
      </c>
      <c r="D4" s="11">
        <v>21.35</v>
      </c>
      <c r="E4" t="s">
        <v>506</v>
      </c>
      <c r="F4" s="10" t="str">
        <f t="shared" si="0"/>
        <v>2/2022</v>
      </c>
      <c r="G4" t="s">
        <v>156</v>
      </c>
    </row>
    <row r="5" spans="1:7" x14ac:dyDescent="0.25">
      <c r="A5" s="10">
        <v>44602</v>
      </c>
      <c r="B5" s="10">
        <v>44602</v>
      </c>
      <c r="C5" t="s">
        <v>499</v>
      </c>
      <c r="D5" s="11">
        <v>-307.35000000000002</v>
      </c>
      <c r="E5" t="s">
        <v>504</v>
      </c>
      <c r="F5" s="10" t="str">
        <f t="shared" si="0"/>
        <v>2/2022</v>
      </c>
    </row>
    <row r="6" spans="1:7" x14ac:dyDescent="0.25">
      <c r="A6" s="10">
        <v>44611</v>
      </c>
      <c r="B6" s="10">
        <v>44611</v>
      </c>
      <c r="C6" t="s">
        <v>498</v>
      </c>
      <c r="D6" s="11">
        <v>-1000</v>
      </c>
      <c r="E6" t="s">
        <v>504</v>
      </c>
      <c r="F6" s="10" t="str">
        <f t="shared" si="0"/>
        <v>2/2022</v>
      </c>
    </row>
    <row r="7" spans="1:7" x14ac:dyDescent="0.25">
      <c r="A7" s="10">
        <v>44645</v>
      </c>
      <c r="B7" s="10">
        <v>44645</v>
      </c>
      <c r="C7" t="s">
        <v>497</v>
      </c>
      <c r="D7" s="11">
        <v>2121.16</v>
      </c>
      <c r="E7" t="s">
        <v>503</v>
      </c>
      <c r="F7" s="10" t="str">
        <f t="shared" si="0"/>
        <v>3/2022</v>
      </c>
      <c r="G7" t="s">
        <v>156</v>
      </c>
    </row>
    <row r="8" spans="1:7" x14ac:dyDescent="0.25">
      <c r="A8" s="10">
        <v>44658</v>
      </c>
      <c r="B8" s="10">
        <v>44658</v>
      </c>
      <c r="C8" t="s">
        <v>496</v>
      </c>
      <c r="D8" s="11">
        <v>-1000</v>
      </c>
      <c r="E8" t="s">
        <v>504</v>
      </c>
      <c r="F8" s="10" t="str">
        <f t="shared" si="0"/>
        <v>4/2022</v>
      </c>
    </row>
    <row r="9" spans="1:7" x14ac:dyDescent="0.25">
      <c r="A9" s="10">
        <v>44659</v>
      </c>
      <c r="B9" s="10">
        <v>44659</v>
      </c>
      <c r="C9" t="s">
        <v>495</v>
      </c>
      <c r="D9" s="11">
        <v>18.61</v>
      </c>
      <c r="E9" t="s">
        <v>506</v>
      </c>
      <c r="F9" s="10" t="str">
        <f t="shared" si="0"/>
        <v>4/2022</v>
      </c>
    </row>
    <row r="10" spans="1:7" x14ac:dyDescent="0.25">
      <c r="A10" s="10">
        <v>44677</v>
      </c>
      <c r="B10" s="10">
        <v>44677</v>
      </c>
      <c r="C10" t="s">
        <v>494</v>
      </c>
      <c r="D10" s="11">
        <v>-139.77000000000001</v>
      </c>
      <c r="E10" t="s">
        <v>504</v>
      </c>
      <c r="F10" s="10" t="str">
        <f t="shared" si="0"/>
        <v>4/2022</v>
      </c>
    </row>
    <row r="11" spans="1:7" x14ac:dyDescent="0.25">
      <c r="A11" s="10">
        <v>44686</v>
      </c>
      <c r="B11" s="10">
        <v>44686</v>
      </c>
      <c r="C11" t="s">
        <v>493</v>
      </c>
      <c r="D11" s="11">
        <v>-1000</v>
      </c>
      <c r="E11" t="s">
        <v>504</v>
      </c>
      <c r="F11" s="10" t="str">
        <f t="shared" si="0"/>
        <v>5/2022</v>
      </c>
    </row>
    <row r="12" spans="1:7" x14ac:dyDescent="0.25">
      <c r="A12" s="10">
        <v>44760</v>
      </c>
      <c r="B12" s="10">
        <v>44760</v>
      </c>
      <c r="C12" t="s">
        <v>492</v>
      </c>
      <c r="D12" s="11">
        <v>-504.86</v>
      </c>
      <c r="E12" t="s">
        <v>516</v>
      </c>
      <c r="F12" s="10" t="str">
        <f t="shared" si="0"/>
        <v>7/2022</v>
      </c>
    </row>
    <row r="13" spans="1:7" x14ac:dyDescent="0.25">
      <c r="A13" s="10">
        <v>44763</v>
      </c>
      <c r="B13" s="10">
        <v>44763</v>
      </c>
      <c r="C13" t="s">
        <v>491</v>
      </c>
      <c r="D13" s="11">
        <v>504.86</v>
      </c>
      <c r="E13" t="s">
        <v>505</v>
      </c>
      <c r="F13" s="10" t="str">
        <f t="shared" si="0"/>
        <v>7/2022</v>
      </c>
      <c r="G13" t="s">
        <v>156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BE5D-98CC-4007-BBF8-FFC4CB6E9F54}">
  <sheetPr>
    <tabColor theme="5"/>
  </sheetPr>
  <dimension ref="A1:G9"/>
  <sheetViews>
    <sheetView workbookViewId="0">
      <selection activeCell="G301" sqref="G301"/>
    </sheetView>
  </sheetViews>
  <sheetFormatPr defaultRowHeight="15" x14ac:dyDescent="0.25"/>
  <cols>
    <col min="1" max="1" width="17.85546875" customWidth="1"/>
    <col min="2" max="2" width="11.140625" bestFit="1" customWidth="1"/>
    <col min="3" max="3" width="43.7109375" bestFit="1" customWidth="1"/>
    <col min="4" max="4" width="15.5703125" bestFit="1" customWidth="1"/>
    <col min="5" max="5" width="13" customWidth="1"/>
    <col min="6" max="6" width="18.28515625" bestFit="1" customWidth="1"/>
    <col min="7" max="7" width="24.85546875" bestFit="1" customWidth="1"/>
  </cols>
  <sheetData>
    <row r="1" spans="1:7" ht="15.75" thickBot="1" x14ac:dyDescent="0.3">
      <c r="A1" s="14" t="s">
        <v>490</v>
      </c>
      <c r="B1" s="15" t="s">
        <v>3</v>
      </c>
      <c r="C1" s="15" t="s">
        <v>2</v>
      </c>
      <c r="D1" s="16" t="s">
        <v>4</v>
      </c>
      <c r="E1" s="15" t="s">
        <v>5</v>
      </c>
      <c r="F1" s="15" t="s">
        <v>6</v>
      </c>
      <c r="G1" s="16" t="s">
        <v>8</v>
      </c>
    </row>
    <row r="2" spans="1:7" ht="15.75" thickTop="1" x14ac:dyDescent="0.25">
      <c r="A2" s="10">
        <v>44697</v>
      </c>
      <c r="B2" s="11">
        <v>582.53</v>
      </c>
      <c r="C2" t="s">
        <v>509</v>
      </c>
      <c r="D2" t="s">
        <v>508</v>
      </c>
      <c r="E2" t="s">
        <v>94</v>
      </c>
      <c r="F2" t="str">
        <f>MONTH(A2)&amp;"/"&amp;YEAR(A2)</f>
        <v>5/2022</v>
      </c>
      <c r="G2" t="s">
        <v>32</v>
      </c>
    </row>
    <row r="3" spans="1:7" x14ac:dyDescent="0.25">
      <c r="A3" s="10">
        <v>44714</v>
      </c>
      <c r="B3" s="11">
        <v>-974.91</v>
      </c>
      <c r="C3" t="s">
        <v>507</v>
      </c>
      <c r="D3" t="s">
        <v>38</v>
      </c>
      <c r="E3" t="s">
        <v>38</v>
      </c>
      <c r="F3" t="str">
        <f t="shared" ref="F3:F9" si="0">MONTH(A3)&amp;"/"&amp;YEAR(A3)</f>
        <v>6/2022</v>
      </c>
    </row>
    <row r="4" spans="1:7" x14ac:dyDescent="0.25">
      <c r="A4" s="10">
        <v>44702</v>
      </c>
      <c r="B4" s="11">
        <v>12</v>
      </c>
      <c r="C4" t="s">
        <v>510</v>
      </c>
      <c r="D4" t="s">
        <v>508</v>
      </c>
      <c r="E4" t="s">
        <v>514</v>
      </c>
      <c r="F4" t="str">
        <f t="shared" si="0"/>
        <v>5/2022</v>
      </c>
      <c r="G4" t="s">
        <v>23</v>
      </c>
    </row>
    <row r="5" spans="1:7" x14ac:dyDescent="0.25">
      <c r="A5" s="10">
        <v>44702</v>
      </c>
      <c r="B5" s="11">
        <v>9.6</v>
      </c>
      <c r="C5" t="s">
        <v>510</v>
      </c>
      <c r="D5" t="s">
        <v>508</v>
      </c>
      <c r="E5" t="s">
        <v>514</v>
      </c>
      <c r="F5" t="str">
        <f t="shared" si="0"/>
        <v>5/2022</v>
      </c>
      <c r="G5" t="s">
        <v>23</v>
      </c>
    </row>
    <row r="6" spans="1:7" x14ac:dyDescent="0.25">
      <c r="A6" s="10">
        <v>44702</v>
      </c>
      <c r="B6" s="11">
        <v>26.14</v>
      </c>
      <c r="C6" t="s">
        <v>510</v>
      </c>
      <c r="D6" t="s">
        <v>508</v>
      </c>
      <c r="E6" t="s">
        <v>514</v>
      </c>
      <c r="F6" t="str">
        <f t="shared" si="0"/>
        <v>5/2022</v>
      </c>
      <c r="G6" t="s">
        <v>23</v>
      </c>
    </row>
    <row r="7" spans="1:7" x14ac:dyDescent="0.25">
      <c r="A7" s="10">
        <v>44702</v>
      </c>
      <c r="B7" s="11">
        <v>299.8</v>
      </c>
      <c r="C7" t="s">
        <v>511</v>
      </c>
      <c r="D7" t="s">
        <v>508</v>
      </c>
      <c r="E7" t="s">
        <v>514</v>
      </c>
      <c r="F7" t="str">
        <f t="shared" si="0"/>
        <v>5/2022</v>
      </c>
      <c r="G7" t="s">
        <v>23</v>
      </c>
    </row>
    <row r="8" spans="1:7" x14ac:dyDescent="0.25">
      <c r="A8" s="10">
        <v>44703</v>
      </c>
      <c r="B8" s="11">
        <v>32</v>
      </c>
      <c r="C8" t="s">
        <v>512</v>
      </c>
      <c r="D8" t="s">
        <v>508</v>
      </c>
      <c r="E8" t="s">
        <v>515</v>
      </c>
      <c r="F8" t="str">
        <f t="shared" si="0"/>
        <v>5/2022</v>
      </c>
      <c r="G8" t="s">
        <v>16</v>
      </c>
    </row>
    <row r="9" spans="1:7" x14ac:dyDescent="0.25">
      <c r="A9" s="10">
        <v>44703</v>
      </c>
      <c r="B9" s="11">
        <v>12.84</v>
      </c>
      <c r="C9" t="s">
        <v>513</v>
      </c>
      <c r="D9" t="s">
        <v>508</v>
      </c>
      <c r="E9" t="s">
        <v>185</v>
      </c>
      <c r="F9" t="str">
        <f t="shared" si="0"/>
        <v>5/2022</v>
      </c>
      <c r="G9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8DA-BD4A-4F52-9B6E-4A14DEE43F64}">
  <sheetPr>
    <tabColor theme="5"/>
  </sheetPr>
  <dimension ref="A1:G163"/>
  <sheetViews>
    <sheetView workbookViewId="0">
      <selection activeCell="G301" sqref="G301"/>
    </sheetView>
  </sheetViews>
  <sheetFormatPr defaultRowHeight="15" x14ac:dyDescent="0.25"/>
  <cols>
    <col min="1" max="1" width="12.42578125" customWidth="1"/>
    <col min="2" max="2" width="16.140625" customWidth="1"/>
    <col min="3" max="3" width="10.5703125" customWidth="1"/>
    <col min="4" max="4" width="124" bestFit="1" customWidth="1"/>
    <col min="5" max="5" width="13" customWidth="1"/>
    <col min="6" max="6" width="9.7109375" customWidth="1"/>
    <col min="7" max="7" width="24.85546875" bestFit="1" customWidth="1"/>
  </cols>
  <sheetData>
    <row r="1" spans="1:7" ht="15.75" thickBot="1" x14ac:dyDescent="0.3">
      <c r="A1" t="s">
        <v>517</v>
      </c>
      <c r="B1" t="s">
        <v>676</v>
      </c>
      <c r="C1" t="s">
        <v>3</v>
      </c>
      <c r="D1" t="s">
        <v>2</v>
      </c>
      <c r="E1" s="17" t="s">
        <v>5</v>
      </c>
      <c r="F1" s="17" t="s">
        <v>6</v>
      </c>
      <c r="G1" s="18" t="s">
        <v>8</v>
      </c>
    </row>
    <row r="2" spans="1:7" ht="15.75" thickTop="1" x14ac:dyDescent="0.25">
      <c r="A2" s="10">
        <v>44564</v>
      </c>
      <c r="B2" s="20">
        <v>-1800</v>
      </c>
      <c r="C2" s="21">
        <f t="shared" ref="C2:C33" si="0">IF(SIGN(B2)=-1, B2*-1, B2)</f>
        <v>1800</v>
      </c>
      <c r="D2" t="s">
        <v>670</v>
      </c>
      <c r="E2" t="s">
        <v>678</v>
      </c>
      <c r="F2" t="str">
        <f t="shared" ref="F2:F33" si="1">MONTH(A2)&amp;"/"&amp;YEAR(A2)</f>
        <v>1/2022</v>
      </c>
      <c r="G2" s="5" t="s">
        <v>687</v>
      </c>
    </row>
    <row r="3" spans="1:7" x14ac:dyDescent="0.25">
      <c r="A3" s="10">
        <v>44564</v>
      </c>
      <c r="B3" s="20">
        <v>-241.99</v>
      </c>
      <c r="C3" s="21">
        <f t="shared" si="0"/>
        <v>241.99</v>
      </c>
      <c r="D3" t="s">
        <v>671</v>
      </c>
      <c r="E3" t="s">
        <v>686</v>
      </c>
      <c r="F3" t="str">
        <f t="shared" si="1"/>
        <v>1/2022</v>
      </c>
      <c r="G3" s="5" t="s">
        <v>687</v>
      </c>
    </row>
    <row r="4" spans="1:7" x14ac:dyDescent="0.25">
      <c r="A4" s="10">
        <v>44564</v>
      </c>
      <c r="B4" s="20">
        <v>-10</v>
      </c>
      <c r="C4" s="21">
        <f t="shared" si="0"/>
        <v>10</v>
      </c>
      <c r="D4" t="s">
        <v>672</v>
      </c>
      <c r="E4" t="s">
        <v>187</v>
      </c>
      <c r="F4" t="str">
        <f t="shared" si="1"/>
        <v>1/2022</v>
      </c>
      <c r="G4" s="5">
        <f>IFERROR(VLOOKUP('Wells Fargo'!E159,dis_table[[#All],[Short_Desc]:[CumAmount]],4,0),0)</f>
        <v>0</v>
      </c>
    </row>
    <row r="5" spans="1:7" x14ac:dyDescent="0.25">
      <c r="A5" s="10">
        <v>44564</v>
      </c>
      <c r="B5" s="20">
        <v>194</v>
      </c>
      <c r="C5" s="21">
        <f t="shared" si="0"/>
        <v>194</v>
      </c>
      <c r="D5" t="s">
        <v>675</v>
      </c>
      <c r="E5" t="s">
        <v>705</v>
      </c>
      <c r="F5" t="str">
        <f t="shared" si="1"/>
        <v>1/2022</v>
      </c>
      <c r="G5" s="5">
        <v>0</v>
      </c>
    </row>
    <row r="6" spans="1:7" x14ac:dyDescent="0.25">
      <c r="A6" s="10">
        <v>44564</v>
      </c>
      <c r="B6" s="20">
        <v>-485</v>
      </c>
      <c r="C6" s="21">
        <f t="shared" si="0"/>
        <v>485</v>
      </c>
      <c r="D6" t="s">
        <v>673</v>
      </c>
      <c r="E6" t="s">
        <v>679</v>
      </c>
      <c r="F6" t="str">
        <f t="shared" si="1"/>
        <v>1/2022</v>
      </c>
      <c r="G6" s="5" t="s">
        <v>127</v>
      </c>
    </row>
    <row r="7" spans="1:7" x14ac:dyDescent="0.25">
      <c r="A7" s="10">
        <v>44564</v>
      </c>
      <c r="B7" s="20">
        <v>477.73</v>
      </c>
      <c r="C7" s="21">
        <f t="shared" si="0"/>
        <v>477.73</v>
      </c>
      <c r="D7" t="s">
        <v>674</v>
      </c>
      <c r="E7" t="s">
        <v>696</v>
      </c>
      <c r="F7" t="str">
        <f t="shared" si="1"/>
        <v>1/2022</v>
      </c>
      <c r="G7" s="5" t="s">
        <v>127</v>
      </c>
    </row>
    <row r="8" spans="1:7" x14ac:dyDescent="0.25">
      <c r="A8" s="10">
        <v>44568</v>
      </c>
      <c r="B8" s="20">
        <v>30.89</v>
      </c>
      <c r="C8" s="21">
        <f t="shared" si="0"/>
        <v>30.89</v>
      </c>
      <c r="D8" t="s">
        <v>668</v>
      </c>
      <c r="E8" t="s">
        <v>696</v>
      </c>
      <c r="F8" t="str">
        <f t="shared" si="1"/>
        <v>1/2022</v>
      </c>
      <c r="G8" s="5" t="s">
        <v>66</v>
      </c>
    </row>
    <row r="9" spans="1:7" x14ac:dyDescent="0.25">
      <c r="A9" s="10">
        <v>44568</v>
      </c>
      <c r="B9" s="20">
        <v>23.27</v>
      </c>
      <c r="C9" s="21">
        <f t="shared" si="0"/>
        <v>23.27</v>
      </c>
      <c r="D9" t="s">
        <v>669</v>
      </c>
      <c r="E9" t="s">
        <v>31</v>
      </c>
      <c r="F9" t="str">
        <f t="shared" si="1"/>
        <v>1/2022</v>
      </c>
      <c r="G9" s="5">
        <f>IFERROR(VLOOKUP('Wells Fargo'!E156,dis_table[[#All],[Short_Desc]:[CumAmount]],4,0),0)</f>
        <v>0</v>
      </c>
    </row>
    <row r="10" spans="1:7" x14ac:dyDescent="0.25">
      <c r="A10" s="10">
        <v>44571</v>
      </c>
      <c r="B10" s="20">
        <v>234.58</v>
      </c>
      <c r="C10" s="21">
        <f t="shared" si="0"/>
        <v>234.58</v>
      </c>
      <c r="D10" t="s">
        <v>666</v>
      </c>
      <c r="E10" t="s">
        <v>688</v>
      </c>
      <c r="F10" t="str">
        <f t="shared" si="1"/>
        <v>1/2022</v>
      </c>
      <c r="G10" s="5" t="s">
        <v>66</v>
      </c>
    </row>
    <row r="11" spans="1:7" x14ac:dyDescent="0.25">
      <c r="A11" s="10">
        <v>44571</v>
      </c>
      <c r="B11" s="20">
        <v>50</v>
      </c>
      <c r="C11" s="21">
        <f t="shared" si="0"/>
        <v>50</v>
      </c>
      <c r="D11" t="s">
        <v>667</v>
      </c>
      <c r="E11" t="s">
        <v>703</v>
      </c>
      <c r="F11" t="str">
        <f t="shared" si="1"/>
        <v>1/2022</v>
      </c>
      <c r="G11" t="s">
        <v>23</v>
      </c>
    </row>
    <row r="12" spans="1:7" x14ac:dyDescent="0.25">
      <c r="A12" s="10">
        <v>44572</v>
      </c>
      <c r="B12" s="20">
        <v>-100</v>
      </c>
      <c r="C12" s="21">
        <f t="shared" si="0"/>
        <v>100</v>
      </c>
      <c r="D12" t="s">
        <v>665</v>
      </c>
      <c r="E12" t="s">
        <v>690</v>
      </c>
      <c r="F12" t="str">
        <f t="shared" si="1"/>
        <v>1/2022</v>
      </c>
      <c r="G12" s="5" t="s">
        <v>127</v>
      </c>
    </row>
    <row r="13" spans="1:7" x14ac:dyDescent="0.25">
      <c r="A13" s="10">
        <v>44574</v>
      </c>
      <c r="B13" s="20">
        <v>-2194.92</v>
      </c>
      <c r="C13" s="21">
        <f t="shared" si="0"/>
        <v>2194.92</v>
      </c>
      <c r="D13" t="s">
        <v>663</v>
      </c>
      <c r="E13" t="s">
        <v>678</v>
      </c>
      <c r="F13" t="str">
        <f t="shared" si="1"/>
        <v>1/2022</v>
      </c>
      <c r="G13" s="5" t="s">
        <v>687</v>
      </c>
    </row>
    <row r="14" spans="1:7" x14ac:dyDescent="0.25">
      <c r="A14" s="10">
        <v>44574</v>
      </c>
      <c r="B14" s="20">
        <v>3898.5</v>
      </c>
      <c r="C14" s="21">
        <f t="shared" si="0"/>
        <v>3898.5</v>
      </c>
      <c r="D14" t="s">
        <v>664</v>
      </c>
      <c r="E14" t="s">
        <v>677</v>
      </c>
      <c r="F14" t="str">
        <f t="shared" si="1"/>
        <v>1/2022</v>
      </c>
      <c r="G14" s="5" t="s">
        <v>681</v>
      </c>
    </row>
    <row r="15" spans="1:7" x14ac:dyDescent="0.25">
      <c r="A15" s="10">
        <v>44575</v>
      </c>
      <c r="B15" s="20">
        <v>-1000</v>
      </c>
      <c r="C15" s="21">
        <f t="shared" si="0"/>
        <v>1000</v>
      </c>
      <c r="D15" t="s">
        <v>661</v>
      </c>
      <c r="E15" t="s">
        <v>691</v>
      </c>
      <c r="F15" t="str">
        <f t="shared" si="1"/>
        <v>1/2022</v>
      </c>
      <c r="G15" s="5" t="s">
        <v>687</v>
      </c>
    </row>
    <row r="16" spans="1:7" x14ac:dyDescent="0.25">
      <c r="A16" s="10">
        <v>44575</v>
      </c>
      <c r="B16" s="20">
        <v>-2.5</v>
      </c>
      <c r="C16" s="21">
        <f t="shared" si="0"/>
        <v>2.5</v>
      </c>
      <c r="D16" t="s">
        <v>621</v>
      </c>
      <c r="E16" t="s">
        <v>705</v>
      </c>
      <c r="F16" t="str">
        <f t="shared" si="1"/>
        <v>1/2022</v>
      </c>
      <c r="G16" s="5">
        <f>IFERROR(VLOOKUP('Wells Fargo'!E148,dis_table[[#All],[Short_Desc]:[CumAmount]],4,0),0)</f>
        <v>0</v>
      </c>
    </row>
    <row r="17" spans="1:7" x14ac:dyDescent="0.25">
      <c r="A17" s="10">
        <v>44575</v>
      </c>
      <c r="B17" s="20">
        <v>-103.5</v>
      </c>
      <c r="C17" s="21">
        <f t="shared" si="0"/>
        <v>103.5</v>
      </c>
      <c r="D17" t="s">
        <v>662</v>
      </c>
      <c r="E17" t="s">
        <v>705</v>
      </c>
      <c r="F17" t="str">
        <f t="shared" si="1"/>
        <v>1/2022</v>
      </c>
      <c r="G17" s="5">
        <v>0</v>
      </c>
    </row>
    <row r="18" spans="1:7" x14ac:dyDescent="0.25">
      <c r="A18" s="10">
        <v>44579</v>
      </c>
      <c r="B18" s="20">
        <v>-48.5</v>
      </c>
      <c r="C18" s="21">
        <f t="shared" si="0"/>
        <v>48.5</v>
      </c>
      <c r="D18" t="s">
        <v>655</v>
      </c>
      <c r="E18" t="s">
        <v>705</v>
      </c>
      <c r="F18" t="str">
        <f t="shared" si="1"/>
        <v>1/2022</v>
      </c>
      <c r="G18" s="5">
        <f>IFERROR(VLOOKUP('Wells Fargo'!E140,dis_table[[#All],[Short_Desc]:[CumAmount]],4,0),0)</f>
        <v>0</v>
      </c>
    </row>
    <row r="19" spans="1:7" x14ac:dyDescent="0.25">
      <c r="A19" s="10">
        <v>44579</v>
      </c>
      <c r="B19" s="20">
        <v>-2.5</v>
      </c>
      <c r="C19" s="21">
        <f t="shared" si="0"/>
        <v>2.5</v>
      </c>
      <c r="D19" t="s">
        <v>621</v>
      </c>
      <c r="E19" t="s">
        <v>705</v>
      </c>
      <c r="F19" t="str">
        <f t="shared" si="1"/>
        <v>1/2022</v>
      </c>
      <c r="G19" s="5">
        <f>IFERROR(VLOOKUP('Wells Fargo'!E144,dis_table[[#All],[Short_Desc]:[CumAmount]],4,0),0)</f>
        <v>0</v>
      </c>
    </row>
    <row r="20" spans="1:7" x14ac:dyDescent="0.25">
      <c r="A20" s="10">
        <v>44579</v>
      </c>
      <c r="B20" s="20">
        <v>-10</v>
      </c>
      <c r="C20" s="21">
        <f t="shared" si="0"/>
        <v>10</v>
      </c>
      <c r="D20" t="s">
        <v>653</v>
      </c>
      <c r="E20" t="s">
        <v>13</v>
      </c>
      <c r="F20" t="str">
        <f t="shared" si="1"/>
        <v>1/2022</v>
      </c>
      <c r="G20" s="5" t="str">
        <f>IFERROR(VLOOKUP('Wells Fargo'!E137,dis_table[[#All],[Short_Desc]:[CumAmount]],4,0),0)</f>
        <v>Misc</v>
      </c>
    </row>
    <row r="21" spans="1:7" x14ac:dyDescent="0.25">
      <c r="A21" s="10">
        <v>44579</v>
      </c>
      <c r="B21" s="20">
        <v>-20</v>
      </c>
      <c r="C21" s="21">
        <f t="shared" si="0"/>
        <v>20</v>
      </c>
      <c r="D21" t="s">
        <v>654</v>
      </c>
      <c r="E21" t="s">
        <v>13</v>
      </c>
      <c r="F21" t="str">
        <f t="shared" si="1"/>
        <v>1/2022</v>
      </c>
      <c r="G21" s="5" t="str">
        <f>IFERROR(VLOOKUP('Wells Fargo'!E138,dis_table[[#All],[Short_Desc]:[CumAmount]],4,0),0)</f>
        <v>Personal_Spending</v>
      </c>
    </row>
    <row r="22" spans="1:7" x14ac:dyDescent="0.25">
      <c r="A22" s="10">
        <v>44579</v>
      </c>
      <c r="B22" s="20">
        <v>-2.5</v>
      </c>
      <c r="C22" s="21">
        <f t="shared" si="0"/>
        <v>2.5</v>
      </c>
      <c r="D22" t="s">
        <v>621</v>
      </c>
      <c r="E22" t="s">
        <v>705</v>
      </c>
      <c r="F22" t="str">
        <f t="shared" si="1"/>
        <v>1/2022</v>
      </c>
      <c r="G22" s="5" t="str">
        <f>IFERROR(VLOOKUP('Wells Fargo'!E139,dis_table[[#All],[Short_Desc]:[CumAmount]],4,0),0)</f>
        <v>People</v>
      </c>
    </row>
    <row r="23" spans="1:7" x14ac:dyDescent="0.25">
      <c r="A23" s="10">
        <v>44579</v>
      </c>
      <c r="B23" s="20">
        <v>-54.04</v>
      </c>
      <c r="C23" s="21">
        <f t="shared" si="0"/>
        <v>54.04</v>
      </c>
      <c r="D23" t="s">
        <v>656</v>
      </c>
      <c r="E23" t="s">
        <v>41</v>
      </c>
      <c r="F23" t="str">
        <f t="shared" si="1"/>
        <v>1/2022</v>
      </c>
      <c r="G23" s="5">
        <f>IFERROR(VLOOKUP('Wells Fargo'!E141,dis_table[[#All],[Short_Desc]:[CumAmount]],4,0),0)</f>
        <v>0</v>
      </c>
    </row>
    <row r="24" spans="1:7" x14ac:dyDescent="0.25">
      <c r="A24" s="10">
        <v>44579</v>
      </c>
      <c r="B24" s="20">
        <v>-21.54</v>
      </c>
      <c r="C24" s="21">
        <f t="shared" si="0"/>
        <v>21.54</v>
      </c>
      <c r="D24" t="s">
        <v>657</v>
      </c>
      <c r="E24" t="s">
        <v>57</v>
      </c>
      <c r="F24" t="str">
        <f t="shared" si="1"/>
        <v>1/2022</v>
      </c>
      <c r="G24" s="5">
        <f>IFERROR(VLOOKUP('Wells Fargo'!E142,dis_table[[#All],[Short_Desc]:[CumAmount]],4,0),0)</f>
        <v>0</v>
      </c>
    </row>
    <row r="25" spans="1:7" x14ac:dyDescent="0.25">
      <c r="A25" s="10">
        <v>44579</v>
      </c>
      <c r="B25" s="20">
        <v>-6.99</v>
      </c>
      <c r="C25" s="21">
        <f t="shared" si="0"/>
        <v>6.99</v>
      </c>
      <c r="D25" t="s">
        <v>658</v>
      </c>
      <c r="E25" t="s">
        <v>57</v>
      </c>
      <c r="F25" t="str">
        <f t="shared" si="1"/>
        <v>1/2022</v>
      </c>
      <c r="G25" s="5" t="str">
        <f>IFERROR(VLOOKUP('Wells Fargo'!E143,dis_table[[#All],[Short_Desc]:[CumAmount]],4,0),0)</f>
        <v>People</v>
      </c>
    </row>
    <row r="26" spans="1:7" x14ac:dyDescent="0.25">
      <c r="A26" s="10">
        <v>44579</v>
      </c>
      <c r="B26" s="20">
        <v>-42.75</v>
      </c>
      <c r="C26" s="21">
        <f t="shared" si="0"/>
        <v>42.75</v>
      </c>
      <c r="D26" t="s">
        <v>659</v>
      </c>
      <c r="E26" t="s">
        <v>705</v>
      </c>
      <c r="F26" t="str">
        <f t="shared" si="1"/>
        <v>1/2022</v>
      </c>
      <c r="G26" s="5">
        <f>IFERROR(VLOOKUP('Wells Fargo'!E145,dis_table[[#All],[Short_Desc]:[CumAmount]],4,0),0)</f>
        <v>0</v>
      </c>
    </row>
    <row r="27" spans="1:7" x14ac:dyDescent="0.25">
      <c r="A27" s="10">
        <v>44579</v>
      </c>
      <c r="B27" s="20">
        <v>-40</v>
      </c>
      <c r="C27" s="21">
        <f t="shared" si="0"/>
        <v>40</v>
      </c>
      <c r="D27" t="s">
        <v>660</v>
      </c>
      <c r="E27" t="s">
        <v>18</v>
      </c>
      <c r="F27" t="str">
        <f t="shared" si="1"/>
        <v>1/2022</v>
      </c>
      <c r="G27" s="5" t="s">
        <v>16</v>
      </c>
    </row>
    <row r="28" spans="1:7" x14ac:dyDescent="0.25">
      <c r="A28" s="10">
        <v>44579</v>
      </c>
      <c r="B28" s="20">
        <v>-576.01</v>
      </c>
      <c r="C28" s="21">
        <f t="shared" si="0"/>
        <v>576.01</v>
      </c>
      <c r="D28" t="s">
        <v>651</v>
      </c>
      <c r="E28" t="s">
        <v>703</v>
      </c>
      <c r="F28" t="str">
        <f t="shared" si="1"/>
        <v>1/2022</v>
      </c>
      <c r="G28" t="s">
        <v>23</v>
      </c>
    </row>
    <row r="29" spans="1:7" x14ac:dyDescent="0.25">
      <c r="A29" s="10">
        <v>44579</v>
      </c>
      <c r="B29" s="20">
        <v>-68.33</v>
      </c>
      <c r="C29" s="21">
        <f t="shared" si="0"/>
        <v>68.33</v>
      </c>
      <c r="D29" t="s">
        <v>652</v>
      </c>
      <c r="E29" t="s">
        <v>704</v>
      </c>
      <c r="F29" t="str">
        <f t="shared" si="1"/>
        <v>1/2022</v>
      </c>
      <c r="G29" t="s">
        <v>23</v>
      </c>
    </row>
    <row r="30" spans="1:7" x14ac:dyDescent="0.25">
      <c r="A30" s="10">
        <v>44585</v>
      </c>
      <c r="B30" s="20">
        <v>-70</v>
      </c>
      <c r="C30" s="21">
        <f t="shared" si="0"/>
        <v>70</v>
      </c>
      <c r="D30" t="s">
        <v>650</v>
      </c>
      <c r="E30" t="s">
        <v>701</v>
      </c>
      <c r="F30" t="str">
        <f t="shared" si="1"/>
        <v>1/2022</v>
      </c>
      <c r="G30" s="5" t="s">
        <v>32</v>
      </c>
    </row>
    <row r="31" spans="1:7" x14ac:dyDescent="0.25">
      <c r="A31" s="10">
        <v>44588</v>
      </c>
      <c r="B31" s="20">
        <v>-1866.67</v>
      </c>
      <c r="C31" s="21">
        <f t="shared" si="0"/>
        <v>1866.67</v>
      </c>
      <c r="D31" t="s">
        <v>647</v>
      </c>
      <c r="E31" t="s">
        <v>680</v>
      </c>
      <c r="F31" t="str">
        <f t="shared" si="1"/>
        <v>1/2022</v>
      </c>
      <c r="G31" s="5" t="s">
        <v>245</v>
      </c>
    </row>
    <row r="32" spans="1:7" x14ac:dyDescent="0.25">
      <c r="A32" s="10">
        <v>44588</v>
      </c>
      <c r="B32" s="20">
        <v>933.33</v>
      </c>
      <c r="C32" s="21">
        <f t="shared" si="0"/>
        <v>933.33</v>
      </c>
      <c r="D32" t="s">
        <v>648</v>
      </c>
      <c r="E32" t="s">
        <v>696</v>
      </c>
      <c r="F32" t="str">
        <f t="shared" si="1"/>
        <v>1/2022</v>
      </c>
      <c r="G32" s="5" t="s">
        <v>245</v>
      </c>
    </row>
    <row r="33" spans="1:7" x14ac:dyDescent="0.25">
      <c r="A33" s="10">
        <v>44588</v>
      </c>
      <c r="B33" s="20">
        <v>1718.36</v>
      </c>
      <c r="C33" s="21">
        <f t="shared" si="0"/>
        <v>1718.36</v>
      </c>
      <c r="D33" t="s">
        <v>649</v>
      </c>
      <c r="E33" t="s">
        <v>677</v>
      </c>
      <c r="F33" t="str">
        <f t="shared" si="1"/>
        <v>1/2022</v>
      </c>
      <c r="G33" s="5" t="s">
        <v>681</v>
      </c>
    </row>
    <row r="34" spans="1:7" x14ac:dyDescent="0.25">
      <c r="A34" s="10">
        <v>44592</v>
      </c>
      <c r="B34" s="20">
        <v>-120</v>
      </c>
      <c r="C34" s="21">
        <f t="shared" ref="C34:C65" si="2">IF(SIGN(B34)=-1, B34*-1, B34)</f>
        <v>120</v>
      </c>
      <c r="D34" t="s">
        <v>646</v>
      </c>
      <c r="E34" t="s">
        <v>683</v>
      </c>
      <c r="F34" t="str">
        <f t="shared" ref="F34:F65" si="3">MONTH(A34)&amp;"/"&amp;YEAR(A34)</f>
        <v>1/2022</v>
      </c>
      <c r="G34" s="5" t="s">
        <v>127</v>
      </c>
    </row>
    <row r="35" spans="1:7" x14ac:dyDescent="0.25">
      <c r="A35" s="10">
        <v>44592</v>
      </c>
      <c r="B35" s="20">
        <v>-20</v>
      </c>
      <c r="C35" s="21">
        <f t="shared" si="2"/>
        <v>20</v>
      </c>
      <c r="D35" t="s">
        <v>645</v>
      </c>
      <c r="E35" t="s">
        <v>679</v>
      </c>
      <c r="F35" t="str">
        <f t="shared" si="3"/>
        <v>1/2022</v>
      </c>
      <c r="G35" s="5" t="s">
        <v>127</v>
      </c>
    </row>
    <row r="36" spans="1:7" x14ac:dyDescent="0.25">
      <c r="A36" s="10">
        <v>44592</v>
      </c>
      <c r="B36" s="20">
        <v>-29</v>
      </c>
      <c r="C36" s="21">
        <f t="shared" si="2"/>
        <v>29</v>
      </c>
      <c r="D36" t="s">
        <v>644</v>
      </c>
      <c r="E36" t="s">
        <v>697</v>
      </c>
      <c r="F36" t="str">
        <f t="shared" si="3"/>
        <v>1/2022</v>
      </c>
      <c r="G36" t="s">
        <v>23</v>
      </c>
    </row>
    <row r="37" spans="1:7" x14ac:dyDescent="0.25">
      <c r="A37" s="10">
        <v>44599</v>
      </c>
      <c r="B37" s="20">
        <v>120</v>
      </c>
      <c r="C37" s="21">
        <f t="shared" si="2"/>
        <v>120</v>
      </c>
      <c r="D37" t="s">
        <v>643</v>
      </c>
      <c r="E37" t="s">
        <v>683</v>
      </c>
      <c r="F37" t="str">
        <f t="shared" si="3"/>
        <v>2/2022</v>
      </c>
      <c r="G37" s="5" t="s">
        <v>127</v>
      </c>
    </row>
    <row r="38" spans="1:7" x14ac:dyDescent="0.25">
      <c r="A38" s="10">
        <v>44602</v>
      </c>
      <c r="B38" s="20">
        <v>-1733.33</v>
      </c>
      <c r="C38" s="21">
        <f t="shared" si="2"/>
        <v>1733.33</v>
      </c>
      <c r="D38" t="s">
        <v>638</v>
      </c>
      <c r="E38" t="s">
        <v>678</v>
      </c>
      <c r="F38" t="str">
        <f t="shared" si="3"/>
        <v>2/2022</v>
      </c>
      <c r="G38" s="5">
        <f>IFERROR(VLOOKUP('Wells Fargo'!E122,dis_table[[#All],[Short_Desc]:[CumAmount]],4,0),0)</f>
        <v>0</v>
      </c>
    </row>
    <row r="39" spans="1:7" x14ac:dyDescent="0.25">
      <c r="A39" s="10">
        <v>44602</v>
      </c>
      <c r="B39" s="20">
        <v>-70</v>
      </c>
      <c r="C39" s="21">
        <f t="shared" si="2"/>
        <v>70</v>
      </c>
      <c r="D39" t="s">
        <v>639</v>
      </c>
      <c r="E39" t="s">
        <v>702</v>
      </c>
      <c r="F39" t="str">
        <f t="shared" si="3"/>
        <v>2/2022</v>
      </c>
      <c r="G39" s="5" t="s">
        <v>32</v>
      </c>
    </row>
    <row r="40" spans="1:7" x14ac:dyDescent="0.25">
      <c r="A40" s="10">
        <v>44602</v>
      </c>
      <c r="B40" s="20">
        <v>662.38</v>
      </c>
      <c r="C40" s="21">
        <f t="shared" si="2"/>
        <v>662.38</v>
      </c>
      <c r="D40" t="s">
        <v>640</v>
      </c>
      <c r="E40" t="s">
        <v>696</v>
      </c>
      <c r="F40" t="str">
        <f t="shared" si="3"/>
        <v>2/2022</v>
      </c>
      <c r="G40" s="5" t="s">
        <v>245</v>
      </c>
    </row>
    <row r="41" spans="1:7" x14ac:dyDescent="0.25">
      <c r="A41" s="10">
        <v>44602</v>
      </c>
      <c r="B41" s="20">
        <v>68.58</v>
      </c>
      <c r="C41" s="21">
        <f t="shared" si="2"/>
        <v>68.58</v>
      </c>
      <c r="D41" t="s">
        <v>641</v>
      </c>
      <c r="E41" t="s">
        <v>688</v>
      </c>
      <c r="F41" t="str">
        <f t="shared" si="3"/>
        <v>2/2022</v>
      </c>
      <c r="G41" s="5" t="s">
        <v>66</v>
      </c>
    </row>
    <row r="42" spans="1:7" x14ac:dyDescent="0.25">
      <c r="A42" s="10">
        <v>44602</v>
      </c>
      <c r="B42" s="20">
        <v>1718.36</v>
      </c>
      <c r="C42" s="21">
        <f t="shared" si="2"/>
        <v>1718.36</v>
      </c>
      <c r="D42" t="s">
        <v>642</v>
      </c>
      <c r="E42" t="s">
        <v>677</v>
      </c>
      <c r="F42" t="str">
        <f t="shared" si="3"/>
        <v>2/2022</v>
      </c>
      <c r="G42" s="5" t="s">
        <v>681</v>
      </c>
    </row>
    <row r="43" spans="1:7" x14ac:dyDescent="0.25">
      <c r="A43" s="10">
        <v>44603</v>
      </c>
      <c r="B43" s="20">
        <v>-70</v>
      </c>
      <c r="C43" s="21">
        <f t="shared" si="2"/>
        <v>70</v>
      </c>
      <c r="D43" t="s">
        <v>636</v>
      </c>
      <c r="E43" t="s">
        <v>701</v>
      </c>
      <c r="F43" t="str">
        <f t="shared" si="3"/>
        <v>2/2022</v>
      </c>
      <c r="G43" s="5" t="s">
        <v>32</v>
      </c>
    </row>
    <row r="44" spans="1:7" x14ac:dyDescent="0.25">
      <c r="A44" s="10">
        <v>44603</v>
      </c>
      <c r="B44" s="20">
        <v>-307.35000000000002</v>
      </c>
      <c r="C44" s="21">
        <f t="shared" si="2"/>
        <v>307.35000000000002</v>
      </c>
      <c r="D44" t="s">
        <v>637</v>
      </c>
      <c r="E44" t="s">
        <v>691</v>
      </c>
      <c r="F44" t="str">
        <f t="shared" si="3"/>
        <v>2/2022</v>
      </c>
      <c r="G44" s="5" t="s">
        <v>687</v>
      </c>
    </row>
    <row r="45" spans="1:7" x14ac:dyDescent="0.25">
      <c r="A45" s="10">
        <v>44606</v>
      </c>
      <c r="B45" s="20">
        <v>-100</v>
      </c>
      <c r="C45" s="21">
        <f t="shared" si="2"/>
        <v>100</v>
      </c>
      <c r="D45" t="s">
        <v>635</v>
      </c>
      <c r="E45" t="s">
        <v>705</v>
      </c>
      <c r="F45" t="str">
        <f t="shared" si="3"/>
        <v>2/2022</v>
      </c>
      <c r="G45" s="5">
        <f>IFERROR(VLOOKUP('Wells Fargo'!E119,dis_table[[#All],[Short_Desc]:[CumAmount]],4,0),0)</f>
        <v>0</v>
      </c>
    </row>
    <row r="46" spans="1:7" x14ac:dyDescent="0.25">
      <c r="A46" s="10">
        <v>44610</v>
      </c>
      <c r="B46" s="20">
        <v>-70</v>
      </c>
      <c r="C46" s="21">
        <f t="shared" si="2"/>
        <v>70</v>
      </c>
      <c r="D46" t="s">
        <v>634</v>
      </c>
      <c r="E46" t="s">
        <v>701</v>
      </c>
      <c r="F46" t="str">
        <f t="shared" si="3"/>
        <v>2/2022</v>
      </c>
      <c r="G46" s="5" t="s">
        <v>32</v>
      </c>
    </row>
    <row r="47" spans="1:7" x14ac:dyDescent="0.25">
      <c r="A47" s="10">
        <v>44614</v>
      </c>
      <c r="B47" s="20">
        <v>-205.75</v>
      </c>
      <c r="C47" s="21">
        <f t="shared" si="2"/>
        <v>205.75</v>
      </c>
      <c r="D47" t="s">
        <v>629</v>
      </c>
      <c r="E47" t="s">
        <v>70</v>
      </c>
      <c r="F47" t="str">
        <f t="shared" si="3"/>
        <v>2/2022</v>
      </c>
      <c r="G47" s="5" t="s">
        <v>66</v>
      </c>
    </row>
    <row r="48" spans="1:7" x14ac:dyDescent="0.25">
      <c r="A48" s="10">
        <v>44614</v>
      </c>
      <c r="B48" s="20">
        <v>-1000</v>
      </c>
      <c r="C48" s="21">
        <f t="shared" si="2"/>
        <v>1000</v>
      </c>
      <c r="D48" t="s">
        <v>630</v>
      </c>
      <c r="E48" t="s">
        <v>691</v>
      </c>
      <c r="F48" t="str">
        <f t="shared" si="3"/>
        <v>2/2022</v>
      </c>
      <c r="G48" s="5" t="s">
        <v>687</v>
      </c>
    </row>
    <row r="49" spans="1:7" x14ac:dyDescent="0.25">
      <c r="A49" s="10">
        <v>44614</v>
      </c>
      <c r="B49" s="20">
        <v>-771.1</v>
      </c>
      <c r="C49" s="21">
        <f t="shared" si="2"/>
        <v>771.1</v>
      </c>
      <c r="D49" t="s">
        <v>631</v>
      </c>
      <c r="E49" t="s">
        <v>678</v>
      </c>
      <c r="F49" t="str">
        <f t="shared" si="3"/>
        <v>2/2022</v>
      </c>
      <c r="G49" s="5">
        <f>IFERROR(VLOOKUP('Wells Fargo'!E115,dis_table[[#All],[Short_Desc]:[CumAmount]],4,0),0)</f>
        <v>0</v>
      </c>
    </row>
    <row r="50" spans="1:7" x14ac:dyDescent="0.25">
      <c r="A50" s="10">
        <v>44614</v>
      </c>
      <c r="B50" s="20">
        <v>520.85</v>
      </c>
      <c r="C50" s="21">
        <f t="shared" si="2"/>
        <v>520.85</v>
      </c>
      <c r="D50" t="s">
        <v>632</v>
      </c>
      <c r="E50" t="s">
        <v>707</v>
      </c>
      <c r="F50" t="str">
        <f t="shared" si="3"/>
        <v>2/2022</v>
      </c>
      <c r="G50" s="5" t="s">
        <v>681</v>
      </c>
    </row>
    <row r="51" spans="1:7" x14ac:dyDescent="0.25">
      <c r="A51" s="10">
        <v>44614</v>
      </c>
      <c r="B51" s="20">
        <v>1257</v>
      </c>
      <c r="C51" s="21">
        <f t="shared" si="2"/>
        <v>1257</v>
      </c>
      <c r="D51" t="s">
        <v>633</v>
      </c>
      <c r="E51" t="s">
        <v>707</v>
      </c>
      <c r="F51" t="str">
        <f t="shared" si="3"/>
        <v>2/2022</v>
      </c>
      <c r="G51" s="5" t="s">
        <v>681</v>
      </c>
    </row>
    <row r="52" spans="1:7" x14ac:dyDescent="0.25">
      <c r="A52" s="10">
        <v>44614</v>
      </c>
      <c r="B52" s="20">
        <v>-189.21</v>
      </c>
      <c r="C52" s="21">
        <f t="shared" si="2"/>
        <v>189.21</v>
      </c>
      <c r="D52" t="s">
        <v>628</v>
      </c>
      <c r="E52" t="s">
        <v>696</v>
      </c>
      <c r="F52" t="str">
        <f t="shared" si="3"/>
        <v>2/2022</v>
      </c>
      <c r="G52" s="5" t="s">
        <v>127</v>
      </c>
    </row>
    <row r="53" spans="1:7" x14ac:dyDescent="0.25">
      <c r="A53" s="10">
        <v>44616</v>
      </c>
      <c r="B53" s="20">
        <v>2176.2199999999998</v>
      </c>
      <c r="C53" s="21">
        <f t="shared" si="2"/>
        <v>2176.2199999999998</v>
      </c>
      <c r="D53" t="s">
        <v>626</v>
      </c>
      <c r="E53" t="s">
        <v>677</v>
      </c>
      <c r="F53" t="str">
        <f t="shared" si="3"/>
        <v>2/2022</v>
      </c>
      <c r="G53" s="5" t="s">
        <v>681</v>
      </c>
    </row>
    <row r="54" spans="1:7" x14ac:dyDescent="0.25">
      <c r="A54" s="10">
        <v>44616</v>
      </c>
      <c r="B54" s="20">
        <v>100</v>
      </c>
      <c r="C54" s="21">
        <f t="shared" si="2"/>
        <v>100</v>
      </c>
      <c r="D54" t="s">
        <v>627</v>
      </c>
      <c r="E54" t="s">
        <v>708</v>
      </c>
      <c r="F54" t="str">
        <f t="shared" si="3"/>
        <v>2/2022</v>
      </c>
      <c r="G54" s="5" t="s">
        <v>681</v>
      </c>
    </row>
    <row r="55" spans="1:7" x14ac:dyDescent="0.25">
      <c r="A55" s="10">
        <v>44617</v>
      </c>
      <c r="B55" s="20">
        <v>1424</v>
      </c>
      <c r="C55" s="21">
        <f t="shared" si="2"/>
        <v>1424</v>
      </c>
      <c r="D55" t="s">
        <v>625</v>
      </c>
      <c r="E55" t="s">
        <v>707</v>
      </c>
      <c r="F55" t="str">
        <f t="shared" si="3"/>
        <v>2/2022</v>
      </c>
      <c r="G55" s="5" t="s">
        <v>681</v>
      </c>
    </row>
    <row r="56" spans="1:7" x14ac:dyDescent="0.25">
      <c r="A56" s="10">
        <v>44617</v>
      </c>
      <c r="B56" s="20">
        <v>-1400</v>
      </c>
      <c r="C56" s="21">
        <f t="shared" si="2"/>
        <v>1400</v>
      </c>
      <c r="D56" t="s">
        <v>624</v>
      </c>
      <c r="E56" t="s">
        <v>696</v>
      </c>
      <c r="F56" t="str">
        <f t="shared" si="3"/>
        <v>2/2022</v>
      </c>
      <c r="G56" s="5" t="s">
        <v>127</v>
      </c>
    </row>
    <row r="57" spans="1:7" x14ac:dyDescent="0.25">
      <c r="A57" s="10">
        <v>44620</v>
      </c>
      <c r="B57" s="20">
        <v>-1866.67</v>
      </c>
      <c r="C57" s="21">
        <f t="shared" si="2"/>
        <v>1866.67</v>
      </c>
      <c r="D57" t="s">
        <v>619</v>
      </c>
      <c r="E57" t="s">
        <v>680</v>
      </c>
      <c r="F57" t="str">
        <f t="shared" si="3"/>
        <v>2/2022</v>
      </c>
      <c r="G57" s="5" t="s">
        <v>245</v>
      </c>
    </row>
    <row r="58" spans="1:7" x14ac:dyDescent="0.25">
      <c r="A58" s="10">
        <v>44620</v>
      </c>
      <c r="B58" s="20">
        <v>-2.5</v>
      </c>
      <c r="C58" s="21">
        <f t="shared" si="2"/>
        <v>2.5</v>
      </c>
      <c r="D58" t="s">
        <v>621</v>
      </c>
      <c r="E58" t="s">
        <v>705</v>
      </c>
      <c r="F58" t="str">
        <f t="shared" si="3"/>
        <v>2/2022</v>
      </c>
      <c r="G58" s="5">
        <f>IFERROR(VLOOKUP('Wells Fargo'!E105,dis_table[[#All],[Short_Desc]:[CumAmount]],4,0),0)</f>
        <v>0</v>
      </c>
    </row>
    <row r="59" spans="1:7" x14ac:dyDescent="0.25">
      <c r="A59" s="10">
        <v>44620</v>
      </c>
      <c r="B59" s="20">
        <v>-42</v>
      </c>
      <c r="C59" s="21">
        <f t="shared" si="2"/>
        <v>42</v>
      </c>
      <c r="D59" t="s">
        <v>622</v>
      </c>
      <c r="E59" t="s">
        <v>705</v>
      </c>
      <c r="F59" t="str">
        <f t="shared" si="3"/>
        <v>2/2022</v>
      </c>
      <c r="G59" s="5">
        <f>IFERROR(VLOOKUP('Wells Fargo'!E106,dis_table[[#All],[Short_Desc]:[CumAmount]],4,0),0)</f>
        <v>0</v>
      </c>
    </row>
    <row r="60" spans="1:7" x14ac:dyDescent="0.25">
      <c r="A60" s="10">
        <v>44620</v>
      </c>
      <c r="B60" s="20">
        <v>485</v>
      </c>
      <c r="C60" s="21">
        <f t="shared" si="2"/>
        <v>485</v>
      </c>
      <c r="D60" t="s">
        <v>623</v>
      </c>
      <c r="E60" t="s">
        <v>679</v>
      </c>
      <c r="F60" t="str">
        <f t="shared" si="3"/>
        <v>2/2022</v>
      </c>
      <c r="G60" s="5" t="s">
        <v>127</v>
      </c>
    </row>
    <row r="61" spans="1:7" x14ac:dyDescent="0.25">
      <c r="A61" s="10">
        <v>44620</v>
      </c>
      <c r="B61" s="20">
        <v>-485</v>
      </c>
      <c r="C61" s="21">
        <f t="shared" si="2"/>
        <v>485</v>
      </c>
      <c r="D61" t="s">
        <v>620</v>
      </c>
      <c r="E61" t="s">
        <v>696</v>
      </c>
      <c r="F61" t="str">
        <f t="shared" si="3"/>
        <v>2/2022</v>
      </c>
      <c r="G61" s="5" t="s">
        <v>127</v>
      </c>
    </row>
    <row r="62" spans="1:7" x14ac:dyDescent="0.25">
      <c r="A62" s="10">
        <v>44621</v>
      </c>
      <c r="B62" s="20">
        <v>-62</v>
      </c>
      <c r="C62" s="21">
        <f t="shared" si="2"/>
        <v>62</v>
      </c>
      <c r="D62" t="s">
        <v>618</v>
      </c>
      <c r="E62" t="s">
        <v>696</v>
      </c>
      <c r="F62" t="str">
        <f t="shared" si="3"/>
        <v>3/2022</v>
      </c>
      <c r="G62" s="5" t="s">
        <v>66</v>
      </c>
    </row>
    <row r="63" spans="1:7" x14ac:dyDescent="0.25">
      <c r="A63" s="10">
        <v>44630</v>
      </c>
      <c r="B63" s="20">
        <v>-734.55</v>
      </c>
      <c r="C63" s="21">
        <f t="shared" si="2"/>
        <v>734.55</v>
      </c>
      <c r="D63" t="s">
        <v>616</v>
      </c>
      <c r="E63" t="s">
        <v>678</v>
      </c>
      <c r="F63" t="str">
        <f t="shared" si="3"/>
        <v>3/2022</v>
      </c>
      <c r="G63" s="5" t="s">
        <v>687</v>
      </c>
    </row>
    <row r="64" spans="1:7" x14ac:dyDescent="0.25">
      <c r="A64" s="10">
        <v>44630</v>
      </c>
      <c r="B64" s="20">
        <v>2240.0700000000002</v>
      </c>
      <c r="C64" s="21">
        <f t="shared" si="2"/>
        <v>2240.0700000000002</v>
      </c>
      <c r="D64" t="s">
        <v>617</v>
      </c>
      <c r="E64" t="s">
        <v>677</v>
      </c>
      <c r="F64" t="str">
        <f t="shared" si="3"/>
        <v>3/2022</v>
      </c>
      <c r="G64" s="5" t="s">
        <v>681</v>
      </c>
    </row>
    <row r="65" spans="1:7" x14ac:dyDescent="0.25">
      <c r="A65" s="10">
        <v>44630</v>
      </c>
      <c r="B65" s="20">
        <v>-1500</v>
      </c>
      <c r="C65" s="21">
        <f t="shared" si="2"/>
        <v>1500</v>
      </c>
      <c r="D65" t="s">
        <v>615</v>
      </c>
      <c r="E65" t="s">
        <v>696</v>
      </c>
      <c r="F65" t="str">
        <f t="shared" si="3"/>
        <v>3/2022</v>
      </c>
      <c r="G65" s="5" t="s">
        <v>127</v>
      </c>
    </row>
    <row r="66" spans="1:7" x14ac:dyDescent="0.25">
      <c r="A66" s="10">
        <v>44638</v>
      </c>
      <c r="B66" s="20">
        <v>-60</v>
      </c>
      <c r="C66" s="21">
        <f t="shared" ref="C66:C97" si="4">IF(SIGN(B66)=-1, B66*-1, B66)</f>
        <v>60</v>
      </c>
      <c r="D66" t="s">
        <v>614</v>
      </c>
      <c r="E66" t="s">
        <v>682</v>
      </c>
      <c r="F66" t="str">
        <f t="shared" ref="F66:F97" si="5">MONTH(A66)&amp;"/"&amp;YEAR(A66)</f>
        <v>3/2022</v>
      </c>
      <c r="G66" s="5" t="s">
        <v>127</v>
      </c>
    </row>
    <row r="67" spans="1:7" x14ac:dyDescent="0.25">
      <c r="A67" s="10">
        <v>44641</v>
      </c>
      <c r="B67" s="20">
        <v>33</v>
      </c>
      <c r="C67" s="21">
        <f t="shared" si="4"/>
        <v>33</v>
      </c>
      <c r="D67" t="s">
        <v>613</v>
      </c>
      <c r="E67" t="s">
        <v>695</v>
      </c>
      <c r="F67" t="str">
        <f t="shared" si="5"/>
        <v>3/2022</v>
      </c>
      <c r="G67" s="5" t="s">
        <v>16</v>
      </c>
    </row>
    <row r="68" spans="1:7" x14ac:dyDescent="0.25">
      <c r="A68" s="10">
        <v>44641</v>
      </c>
      <c r="B68" s="20">
        <v>137.51</v>
      </c>
      <c r="C68" s="21">
        <f t="shared" si="4"/>
        <v>137.51</v>
      </c>
      <c r="D68" t="s">
        <v>612</v>
      </c>
      <c r="E68" t="s">
        <v>685</v>
      </c>
      <c r="F68" t="str">
        <f t="shared" si="5"/>
        <v>3/2022</v>
      </c>
      <c r="G68" s="5" t="s">
        <v>127</v>
      </c>
    </row>
    <row r="69" spans="1:7" x14ac:dyDescent="0.25">
      <c r="A69" s="10">
        <v>44642</v>
      </c>
      <c r="B69" s="20">
        <v>-734.55</v>
      </c>
      <c r="C69" s="21">
        <f t="shared" si="4"/>
        <v>734.55</v>
      </c>
      <c r="D69" t="s">
        <v>608</v>
      </c>
      <c r="E69" t="s">
        <v>678</v>
      </c>
      <c r="F69" t="str">
        <f t="shared" si="5"/>
        <v>3/2022</v>
      </c>
      <c r="G69" s="5" t="s">
        <v>687</v>
      </c>
    </row>
    <row r="70" spans="1:7" x14ac:dyDescent="0.25">
      <c r="A70" s="10">
        <v>44642</v>
      </c>
      <c r="B70" s="20">
        <v>-146.16999999999999</v>
      </c>
      <c r="C70" s="21">
        <f t="shared" si="4"/>
        <v>146.16999999999999</v>
      </c>
      <c r="D70" t="s">
        <v>609</v>
      </c>
      <c r="E70" t="s">
        <v>70</v>
      </c>
      <c r="F70" t="str">
        <f t="shared" si="5"/>
        <v>3/2022</v>
      </c>
      <c r="G70" s="5" t="s">
        <v>66</v>
      </c>
    </row>
    <row r="71" spans="1:7" x14ac:dyDescent="0.25">
      <c r="A71" s="10">
        <v>44642</v>
      </c>
      <c r="B71" s="20">
        <v>-43.16</v>
      </c>
      <c r="C71" s="21">
        <f t="shared" si="4"/>
        <v>43.16</v>
      </c>
      <c r="D71" t="s">
        <v>610</v>
      </c>
      <c r="E71" t="s">
        <v>41</v>
      </c>
      <c r="F71" t="str">
        <f t="shared" si="5"/>
        <v>3/2022</v>
      </c>
      <c r="G71" s="5">
        <f>IFERROR(VLOOKUP('Wells Fargo'!E94,dis_table[[#All],[Short_Desc]:[CumAmount]],4,0),0)</f>
        <v>0</v>
      </c>
    </row>
    <row r="72" spans="1:7" x14ac:dyDescent="0.25">
      <c r="A72" s="10">
        <v>44642</v>
      </c>
      <c r="B72" s="20">
        <v>66</v>
      </c>
      <c r="C72" s="21">
        <f t="shared" si="4"/>
        <v>66</v>
      </c>
      <c r="D72" t="s">
        <v>611</v>
      </c>
      <c r="E72" t="s">
        <v>696</v>
      </c>
      <c r="F72" t="str">
        <f t="shared" si="5"/>
        <v>3/2022</v>
      </c>
      <c r="G72" s="5" t="s">
        <v>127</v>
      </c>
    </row>
    <row r="73" spans="1:7" x14ac:dyDescent="0.25">
      <c r="A73" s="10">
        <v>44644</v>
      </c>
      <c r="B73" s="20">
        <v>-1400</v>
      </c>
      <c r="C73" s="21">
        <f t="shared" si="4"/>
        <v>1400</v>
      </c>
      <c r="D73" t="s">
        <v>605</v>
      </c>
      <c r="E73" t="s">
        <v>680</v>
      </c>
      <c r="F73" t="str">
        <f t="shared" si="5"/>
        <v>3/2022</v>
      </c>
      <c r="G73" s="5" t="s">
        <v>245</v>
      </c>
    </row>
    <row r="74" spans="1:7" x14ac:dyDescent="0.25">
      <c r="A74" s="10">
        <v>44644</v>
      </c>
      <c r="B74" s="20">
        <v>-500</v>
      </c>
      <c r="C74" s="21">
        <f t="shared" si="4"/>
        <v>500</v>
      </c>
      <c r="D74" t="s">
        <v>606</v>
      </c>
      <c r="E74" t="s">
        <v>678</v>
      </c>
      <c r="F74" t="str">
        <f t="shared" si="5"/>
        <v>3/2022</v>
      </c>
      <c r="G74" s="5" t="s">
        <v>687</v>
      </c>
    </row>
    <row r="75" spans="1:7" x14ac:dyDescent="0.25">
      <c r="A75" s="10">
        <v>44644</v>
      </c>
      <c r="B75" s="20">
        <v>2240.0700000000002</v>
      </c>
      <c r="C75" s="21">
        <f t="shared" si="4"/>
        <v>2240.0700000000002</v>
      </c>
      <c r="D75" t="s">
        <v>607</v>
      </c>
      <c r="E75" t="s">
        <v>677</v>
      </c>
      <c r="F75" t="str">
        <f t="shared" si="5"/>
        <v>3/2022</v>
      </c>
      <c r="G75" s="5" t="s">
        <v>681</v>
      </c>
    </row>
    <row r="76" spans="1:7" x14ac:dyDescent="0.25">
      <c r="A76" s="10">
        <v>44645</v>
      </c>
      <c r="B76" s="20">
        <v>-52</v>
      </c>
      <c r="C76" s="21">
        <f t="shared" si="4"/>
        <v>52</v>
      </c>
      <c r="D76" t="s">
        <v>604</v>
      </c>
      <c r="E76" t="s">
        <v>697</v>
      </c>
      <c r="F76" t="str">
        <f t="shared" si="5"/>
        <v>3/2022</v>
      </c>
      <c r="G76" t="s">
        <v>23</v>
      </c>
    </row>
    <row r="77" spans="1:7" x14ac:dyDescent="0.25">
      <c r="A77" s="10">
        <v>44648</v>
      </c>
      <c r="B77" s="20">
        <v>-5</v>
      </c>
      <c r="C77" s="21">
        <f t="shared" si="4"/>
        <v>5</v>
      </c>
      <c r="D77" t="s">
        <v>602</v>
      </c>
      <c r="E77" t="s">
        <v>684</v>
      </c>
      <c r="F77" t="str">
        <f t="shared" si="5"/>
        <v>3/2022</v>
      </c>
      <c r="G77" s="5" t="s">
        <v>127</v>
      </c>
    </row>
    <row r="78" spans="1:7" x14ac:dyDescent="0.25">
      <c r="A78" s="10">
        <v>44648</v>
      </c>
      <c r="B78" s="20">
        <v>-100</v>
      </c>
      <c r="C78" s="21">
        <f t="shared" si="4"/>
        <v>100</v>
      </c>
      <c r="D78" t="s">
        <v>603</v>
      </c>
      <c r="E78" t="s">
        <v>694</v>
      </c>
      <c r="F78" t="str">
        <f t="shared" si="5"/>
        <v>3/2022</v>
      </c>
      <c r="G78" s="5" t="s">
        <v>127</v>
      </c>
    </row>
    <row r="79" spans="1:7" x14ac:dyDescent="0.25">
      <c r="A79" s="10">
        <v>44649</v>
      </c>
      <c r="B79" s="20">
        <v>-70.650000000000006</v>
      </c>
      <c r="C79" s="21">
        <f t="shared" si="4"/>
        <v>70.650000000000006</v>
      </c>
      <c r="D79" t="s">
        <v>599</v>
      </c>
      <c r="E79" t="s">
        <v>688</v>
      </c>
      <c r="F79" t="str">
        <f t="shared" si="5"/>
        <v>3/2022</v>
      </c>
      <c r="G79" s="5" t="s">
        <v>66</v>
      </c>
    </row>
    <row r="80" spans="1:7" x14ac:dyDescent="0.25">
      <c r="A80" s="10">
        <v>44649</v>
      </c>
      <c r="B80" s="20">
        <v>49.32</v>
      </c>
      <c r="C80" s="21">
        <f t="shared" si="4"/>
        <v>49.32</v>
      </c>
      <c r="D80" t="s">
        <v>601</v>
      </c>
      <c r="E80" t="s">
        <v>688</v>
      </c>
      <c r="F80" t="str">
        <f t="shared" si="5"/>
        <v>3/2022</v>
      </c>
      <c r="G80" s="5" t="s">
        <v>66</v>
      </c>
    </row>
    <row r="81" spans="1:7" x14ac:dyDescent="0.25">
      <c r="A81" s="10">
        <v>44649</v>
      </c>
      <c r="B81" s="20">
        <v>87.4</v>
      </c>
      <c r="C81" s="21">
        <f t="shared" si="4"/>
        <v>87.4</v>
      </c>
      <c r="D81" t="s">
        <v>600</v>
      </c>
      <c r="E81" t="s">
        <v>685</v>
      </c>
      <c r="F81" t="str">
        <f t="shared" si="5"/>
        <v>3/2022</v>
      </c>
      <c r="G81" s="5" t="s">
        <v>127</v>
      </c>
    </row>
    <row r="82" spans="1:7" x14ac:dyDescent="0.25">
      <c r="A82" s="10">
        <v>44651</v>
      </c>
      <c r="B82" s="20">
        <v>-10</v>
      </c>
      <c r="C82" s="21">
        <f t="shared" si="4"/>
        <v>10</v>
      </c>
      <c r="D82" t="s">
        <v>598</v>
      </c>
      <c r="E82" t="s">
        <v>690</v>
      </c>
      <c r="F82" t="str">
        <f t="shared" si="5"/>
        <v>3/2022</v>
      </c>
      <c r="G82" s="5" t="s">
        <v>127</v>
      </c>
    </row>
    <row r="83" spans="1:7" x14ac:dyDescent="0.25">
      <c r="A83" s="10">
        <v>44652</v>
      </c>
      <c r="B83" s="20">
        <v>-45</v>
      </c>
      <c r="C83" s="21">
        <f t="shared" si="4"/>
        <v>45</v>
      </c>
      <c r="D83" t="s">
        <v>597</v>
      </c>
      <c r="E83" t="s">
        <v>690</v>
      </c>
      <c r="F83" t="str">
        <f t="shared" si="5"/>
        <v>4/2022</v>
      </c>
      <c r="G83" s="5" t="s">
        <v>127</v>
      </c>
    </row>
    <row r="84" spans="1:7" x14ac:dyDescent="0.25">
      <c r="A84" s="10">
        <v>44655</v>
      </c>
      <c r="B84" s="20">
        <v>-8</v>
      </c>
      <c r="C84" s="21">
        <f t="shared" si="4"/>
        <v>8</v>
      </c>
      <c r="D84" t="s">
        <v>596</v>
      </c>
      <c r="E84" t="s">
        <v>690</v>
      </c>
      <c r="F84" t="str">
        <f t="shared" si="5"/>
        <v>4/2022</v>
      </c>
      <c r="G84" s="5" t="s">
        <v>127</v>
      </c>
    </row>
    <row r="85" spans="1:7" x14ac:dyDescent="0.25">
      <c r="A85" s="10">
        <v>44655</v>
      </c>
      <c r="B85" s="20">
        <v>-38.71</v>
      </c>
      <c r="C85" s="21">
        <f t="shared" si="4"/>
        <v>38.71</v>
      </c>
      <c r="D85" t="s">
        <v>595</v>
      </c>
      <c r="E85" t="s">
        <v>54</v>
      </c>
      <c r="F85" t="str">
        <f t="shared" si="5"/>
        <v>4/2022</v>
      </c>
      <c r="G85" s="5">
        <f>IFERROR(VLOOKUP('Wells Fargo'!E79,dis_table[[#All],[Short_Desc]:[CumAmount]],4,0),0)</f>
        <v>0</v>
      </c>
    </row>
    <row r="86" spans="1:7" x14ac:dyDescent="0.25">
      <c r="A86" s="10">
        <v>44655</v>
      </c>
      <c r="B86" s="20">
        <v>-100</v>
      </c>
      <c r="C86" s="21">
        <f t="shared" si="4"/>
        <v>100</v>
      </c>
      <c r="D86" t="s">
        <v>594</v>
      </c>
      <c r="E86" t="s">
        <v>679</v>
      </c>
      <c r="F86" t="str">
        <f t="shared" si="5"/>
        <v>4/2022</v>
      </c>
      <c r="G86" s="5" t="s">
        <v>127</v>
      </c>
    </row>
    <row r="87" spans="1:7" x14ac:dyDescent="0.25">
      <c r="A87" s="10">
        <v>44656</v>
      </c>
      <c r="B87" s="20">
        <v>-5.41</v>
      </c>
      <c r="C87" s="21">
        <f t="shared" si="4"/>
        <v>5.41</v>
      </c>
      <c r="D87" t="s">
        <v>592</v>
      </c>
      <c r="E87" t="s">
        <v>59</v>
      </c>
      <c r="F87" t="str">
        <f t="shared" si="5"/>
        <v>4/2022</v>
      </c>
      <c r="G87" s="5">
        <f>IFERROR(VLOOKUP('Wells Fargo'!E76,dis_table[[#All],[Short_Desc]:[CumAmount]],4,0),0)</f>
        <v>0</v>
      </c>
    </row>
    <row r="88" spans="1:7" x14ac:dyDescent="0.25">
      <c r="A88" s="10">
        <v>44656</v>
      </c>
      <c r="B88" s="20">
        <v>-10.78</v>
      </c>
      <c r="C88" s="21">
        <f t="shared" si="4"/>
        <v>10.78</v>
      </c>
      <c r="D88" t="s">
        <v>593</v>
      </c>
      <c r="E88" t="s">
        <v>59</v>
      </c>
      <c r="F88" t="str">
        <f t="shared" si="5"/>
        <v>4/2022</v>
      </c>
      <c r="G88" s="5">
        <f>IFERROR(VLOOKUP('Wells Fargo'!E77,dis_table[[#All],[Short_Desc]:[CumAmount]],4,0),0)</f>
        <v>0</v>
      </c>
    </row>
    <row r="89" spans="1:7" x14ac:dyDescent="0.25">
      <c r="A89" s="10">
        <v>44657</v>
      </c>
      <c r="B89" s="20">
        <v>-40</v>
      </c>
      <c r="C89" s="21">
        <f t="shared" si="4"/>
        <v>40</v>
      </c>
      <c r="D89" t="s">
        <v>591</v>
      </c>
      <c r="E89" t="s">
        <v>690</v>
      </c>
      <c r="F89" t="str">
        <f t="shared" si="5"/>
        <v>4/2022</v>
      </c>
      <c r="G89" s="5" t="s">
        <v>127</v>
      </c>
    </row>
    <row r="90" spans="1:7" x14ac:dyDescent="0.25">
      <c r="A90" s="10">
        <v>44658</v>
      </c>
      <c r="B90" s="20">
        <v>-934.85</v>
      </c>
      <c r="C90" s="21">
        <f t="shared" si="4"/>
        <v>934.85</v>
      </c>
      <c r="D90" t="s">
        <v>589</v>
      </c>
      <c r="E90" t="s">
        <v>678</v>
      </c>
      <c r="F90" t="str">
        <f t="shared" si="5"/>
        <v>4/2022</v>
      </c>
      <c r="G90" s="5" t="s">
        <v>687</v>
      </c>
    </row>
    <row r="91" spans="1:7" x14ac:dyDescent="0.25">
      <c r="A91" s="10">
        <v>44658</v>
      </c>
      <c r="B91" s="20">
        <v>2240.08</v>
      </c>
      <c r="C91" s="21">
        <f t="shared" si="4"/>
        <v>2240.08</v>
      </c>
      <c r="D91" t="s">
        <v>590</v>
      </c>
      <c r="E91" t="s">
        <v>677</v>
      </c>
      <c r="F91" t="str">
        <f t="shared" si="5"/>
        <v>4/2022</v>
      </c>
      <c r="G91" s="5" t="s">
        <v>681</v>
      </c>
    </row>
    <row r="92" spans="1:7" x14ac:dyDescent="0.25">
      <c r="A92" s="10">
        <v>44659</v>
      </c>
      <c r="B92" s="20">
        <v>-35</v>
      </c>
      <c r="C92" s="21">
        <f t="shared" si="4"/>
        <v>35</v>
      </c>
      <c r="D92" t="s">
        <v>588</v>
      </c>
      <c r="E92" t="s">
        <v>693</v>
      </c>
      <c r="F92" t="str">
        <f t="shared" si="5"/>
        <v>4/2022</v>
      </c>
      <c r="G92" s="5" t="s">
        <v>127</v>
      </c>
    </row>
    <row r="93" spans="1:7" x14ac:dyDescent="0.25">
      <c r="A93" s="10">
        <v>44659</v>
      </c>
      <c r="B93" s="20">
        <v>-1000</v>
      </c>
      <c r="C93" s="21">
        <f t="shared" si="4"/>
        <v>1000</v>
      </c>
      <c r="D93" t="s">
        <v>586</v>
      </c>
      <c r="E93" t="s">
        <v>691</v>
      </c>
      <c r="F93" t="str">
        <f t="shared" si="5"/>
        <v>4/2022</v>
      </c>
      <c r="G93" s="5" t="s">
        <v>687</v>
      </c>
    </row>
    <row r="94" spans="1:7" x14ac:dyDescent="0.25">
      <c r="A94" s="10">
        <v>44659</v>
      </c>
      <c r="B94" s="20">
        <v>-200</v>
      </c>
      <c r="C94" s="21">
        <f t="shared" si="4"/>
        <v>200</v>
      </c>
      <c r="D94" t="s">
        <v>587</v>
      </c>
      <c r="E94" t="s">
        <v>679</v>
      </c>
      <c r="F94" t="str">
        <f t="shared" si="5"/>
        <v>4/2022</v>
      </c>
      <c r="G94" s="5" t="s">
        <v>127</v>
      </c>
    </row>
    <row r="95" spans="1:7" x14ac:dyDescent="0.25">
      <c r="A95" s="10">
        <v>44666</v>
      </c>
      <c r="B95" s="20">
        <v>-50</v>
      </c>
      <c r="C95" s="21">
        <f t="shared" si="4"/>
        <v>50</v>
      </c>
      <c r="D95" t="s">
        <v>584</v>
      </c>
      <c r="E95" t="s">
        <v>70</v>
      </c>
      <c r="F95" t="str">
        <f t="shared" si="5"/>
        <v>4/2022</v>
      </c>
      <c r="G95" s="5" t="s">
        <v>66</v>
      </c>
    </row>
    <row r="96" spans="1:7" x14ac:dyDescent="0.25">
      <c r="A96" s="10">
        <v>44666</v>
      </c>
      <c r="B96" s="20">
        <v>63</v>
      </c>
      <c r="C96" s="21">
        <f t="shared" si="4"/>
        <v>63</v>
      </c>
      <c r="D96" t="s">
        <v>585</v>
      </c>
      <c r="E96" t="s">
        <v>741</v>
      </c>
      <c r="F96" t="str">
        <f t="shared" si="5"/>
        <v>4/2022</v>
      </c>
      <c r="G96" s="5" t="s">
        <v>681</v>
      </c>
    </row>
    <row r="97" spans="1:7" x14ac:dyDescent="0.25">
      <c r="A97" s="10">
        <v>44671</v>
      </c>
      <c r="B97" s="20">
        <v>-147.97</v>
      </c>
      <c r="C97" s="21">
        <f t="shared" si="4"/>
        <v>147.97</v>
      </c>
      <c r="D97" t="s">
        <v>583</v>
      </c>
      <c r="E97" t="s">
        <v>70</v>
      </c>
      <c r="F97" t="str">
        <f t="shared" si="5"/>
        <v>4/2022</v>
      </c>
      <c r="G97" s="5" t="s">
        <v>66</v>
      </c>
    </row>
    <row r="98" spans="1:7" x14ac:dyDescent="0.25">
      <c r="A98" s="10">
        <v>44672</v>
      </c>
      <c r="B98" s="20">
        <v>-1400</v>
      </c>
      <c r="C98" s="21">
        <f t="shared" ref="C98:C129" si="6">IF(SIGN(B98)=-1, B98*-1, B98)</f>
        <v>1400</v>
      </c>
      <c r="D98" t="s">
        <v>581</v>
      </c>
      <c r="E98" t="s">
        <v>680</v>
      </c>
      <c r="F98" t="str">
        <f t="shared" ref="F98:F129" si="7">MONTH(A98)&amp;"/"&amp;YEAR(A98)</f>
        <v>4/2022</v>
      </c>
      <c r="G98" s="5" t="s">
        <v>245</v>
      </c>
    </row>
    <row r="99" spans="1:7" x14ac:dyDescent="0.25">
      <c r="A99" s="10">
        <v>44672</v>
      </c>
      <c r="B99" s="20">
        <v>2240.0700000000002</v>
      </c>
      <c r="C99" s="21">
        <f t="shared" si="6"/>
        <v>2240.0700000000002</v>
      </c>
      <c r="D99" t="s">
        <v>582</v>
      </c>
      <c r="E99" t="s">
        <v>677</v>
      </c>
      <c r="F99" t="str">
        <f t="shared" si="7"/>
        <v>4/2022</v>
      </c>
      <c r="G99" s="5" t="s">
        <v>681</v>
      </c>
    </row>
    <row r="100" spans="1:7" x14ac:dyDescent="0.25">
      <c r="A100" s="10">
        <v>44676</v>
      </c>
      <c r="B100" s="20">
        <v>-59</v>
      </c>
      <c r="C100" s="21">
        <f t="shared" si="6"/>
        <v>59</v>
      </c>
      <c r="D100" t="s">
        <v>579</v>
      </c>
      <c r="E100" t="s">
        <v>700</v>
      </c>
      <c r="F100" t="str">
        <f t="shared" si="7"/>
        <v>4/2022</v>
      </c>
      <c r="G100" t="s">
        <v>23</v>
      </c>
    </row>
    <row r="101" spans="1:7" x14ac:dyDescent="0.25">
      <c r="A101" s="10">
        <v>44676</v>
      </c>
      <c r="B101" s="20">
        <v>-130</v>
      </c>
      <c r="C101" s="21">
        <f t="shared" si="6"/>
        <v>130</v>
      </c>
      <c r="D101" t="s">
        <v>580</v>
      </c>
      <c r="E101" t="s">
        <v>679</v>
      </c>
      <c r="F101" t="str">
        <f t="shared" si="7"/>
        <v>4/2022</v>
      </c>
      <c r="G101" s="5" t="s">
        <v>127</v>
      </c>
    </row>
    <row r="102" spans="1:7" x14ac:dyDescent="0.25">
      <c r="A102" s="10">
        <v>44677</v>
      </c>
      <c r="B102" s="20">
        <v>-50</v>
      </c>
      <c r="C102" s="21">
        <f t="shared" si="6"/>
        <v>50</v>
      </c>
      <c r="D102" t="s">
        <v>575</v>
      </c>
      <c r="E102" t="s">
        <v>684</v>
      </c>
      <c r="F102" t="str">
        <f t="shared" si="7"/>
        <v>4/2022</v>
      </c>
      <c r="G102" s="5" t="s">
        <v>127</v>
      </c>
    </row>
    <row r="103" spans="1:7" x14ac:dyDescent="0.25">
      <c r="A103" s="10">
        <v>44677</v>
      </c>
      <c r="B103" s="20">
        <v>-50</v>
      </c>
      <c r="C103" s="21">
        <f t="shared" si="6"/>
        <v>50</v>
      </c>
      <c r="D103" t="s">
        <v>576</v>
      </c>
      <c r="E103" t="s">
        <v>684</v>
      </c>
      <c r="F103" t="str">
        <f t="shared" si="7"/>
        <v>4/2022</v>
      </c>
      <c r="G103" s="5" t="s">
        <v>127</v>
      </c>
    </row>
    <row r="104" spans="1:7" x14ac:dyDescent="0.25">
      <c r="A104" s="10">
        <v>44677</v>
      </c>
      <c r="B104" s="20">
        <v>-5</v>
      </c>
      <c r="C104" s="21">
        <f t="shared" si="6"/>
        <v>5</v>
      </c>
      <c r="D104" t="s">
        <v>577</v>
      </c>
      <c r="E104" t="s">
        <v>684</v>
      </c>
      <c r="F104" t="str">
        <f t="shared" si="7"/>
        <v>4/2022</v>
      </c>
      <c r="G104" s="5" t="s">
        <v>127</v>
      </c>
    </row>
    <row r="105" spans="1:7" x14ac:dyDescent="0.25">
      <c r="A105" s="10">
        <v>44677</v>
      </c>
      <c r="B105" s="20">
        <v>-5</v>
      </c>
      <c r="C105" s="21">
        <f t="shared" si="6"/>
        <v>5</v>
      </c>
      <c r="D105" t="s">
        <v>578</v>
      </c>
      <c r="E105" t="s">
        <v>684</v>
      </c>
      <c r="F105" t="str">
        <f t="shared" si="7"/>
        <v>4/2022</v>
      </c>
      <c r="G105" s="5" t="s">
        <v>127</v>
      </c>
    </row>
    <row r="106" spans="1:7" x14ac:dyDescent="0.25">
      <c r="A106" s="10">
        <v>44678</v>
      </c>
      <c r="B106" s="20">
        <v>-139.77000000000001</v>
      </c>
      <c r="C106" s="21">
        <f t="shared" si="6"/>
        <v>139.77000000000001</v>
      </c>
      <c r="D106" t="s">
        <v>574</v>
      </c>
      <c r="E106" t="s">
        <v>691</v>
      </c>
      <c r="F106" t="str">
        <f t="shared" si="7"/>
        <v>4/2022</v>
      </c>
      <c r="G106" s="5" t="s">
        <v>687</v>
      </c>
    </row>
    <row r="107" spans="1:7" x14ac:dyDescent="0.25">
      <c r="A107" s="10">
        <v>44683</v>
      </c>
      <c r="B107" s="20">
        <v>-433.31</v>
      </c>
      <c r="C107" s="21">
        <f t="shared" si="6"/>
        <v>433.31</v>
      </c>
      <c r="D107" t="s">
        <v>571</v>
      </c>
      <c r="E107" t="s">
        <v>692</v>
      </c>
      <c r="F107" t="str">
        <f t="shared" si="7"/>
        <v>5/2022</v>
      </c>
      <c r="G107" s="22" t="s">
        <v>23</v>
      </c>
    </row>
    <row r="108" spans="1:7" x14ac:dyDescent="0.25">
      <c r="A108" s="10">
        <v>44683</v>
      </c>
      <c r="B108" s="20">
        <v>88.42</v>
      </c>
      <c r="C108" s="21">
        <f t="shared" si="6"/>
        <v>88.42</v>
      </c>
      <c r="D108" t="s">
        <v>573</v>
      </c>
      <c r="E108" t="s">
        <v>59</v>
      </c>
      <c r="F108" t="str">
        <f t="shared" si="7"/>
        <v>5/2022</v>
      </c>
      <c r="G108" s="5">
        <f>IFERROR(VLOOKUP('Wells Fargo'!E57,dis_table[[#All],[Short_Desc]:[CumAmount]],4,0),0)</f>
        <v>0</v>
      </c>
    </row>
    <row r="109" spans="1:7" x14ac:dyDescent="0.25">
      <c r="A109" s="10">
        <v>44683</v>
      </c>
      <c r="B109" s="20">
        <v>66.010000000000005</v>
      </c>
      <c r="C109" s="21">
        <f t="shared" si="6"/>
        <v>66.010000000000005</v>
      </c>
      <c r="D109" t="s">
        <v>572</v>
      </c>
      <c r="E109" t="s">
        <v>685</v>
      </c>
      <c r="F109" t="str">
        <f t="shared" si="7"/>
        <v>5/2022</v>
      </c>
      <c r="G109" s="5" t="s">
        <v>127</v>
      </c>
    </row>
    <row r="110" spans="1:7" x14ac:dyDescent="0.25">
      <c r="A110" s="10">
        <v>44686</v>
      </c>
      <c r="B110" s="20">
        <v>-1000</v>
      </c>
      <c r="C110" s="21">
        <f t="shared" si="6"/>
        <v>1000</v>
      </c>
      <c r="D110" t="s">
        <v>568</v>
      </c>
      <c r="E110" t="s">
        <v>678</v>
      </c>
      <c r="F110" t="str">
        <f t="shared" si="7"/>
        <v>5/2022</v>
      </c>
      <c r="G110" s="5" t="s">
        <v>687</v>
      </c>
    </row>
    <row r="111" spans="1:7" x14ac:dyDescent="0.25">
      <c r="A111" s="10">
        <v>44686</v>
      </c>
      <c r="B111" s="20">
        <v>-5.41</v>
      </c>
      <c r="C111" s="21">
        <f t="shared" si="6"/>
        <v>5.41</v>
      </c>
      <c r="D111" t="s">
        <v>569</v>
      </c>
      <c r="E111" t="s">
        <v>59</v>
      </c>
      <c r="F111" t="str">
        <f t="shared" si="7"/>
        <v>5/2022</v>
      </c>
      <c r="G111" s="5">
        <f>IFERROR(VLOOKUP('Wells Fargo'!E53,dis_table[[#All],[Short_Desc]:[CumAmount]],4,0),0)</f>
        <v>0</v>
      </c>
    </row>
    <row r="112" spans="1:7" x14ac:dyDescent="0.25">
      <c r="A112" s="10">
        <v>44686</v>
      </c>
      <c r="B112" s="20">
        <v>2482.89</v>
      </c>
      <c r="C112" s="21">
        <f t="shared" si="6"/>
        <v>2482.89</v>
      </c>
      <c r="D112" t="s">
        <v>570</v>
      </c>
      <c r="E112" t="s">
        <v>677</v>
      </c>
      <c r="F112" t="str">
        <f t="shared" si="7"/>
        <v>5/2022</v>
      </c>
      <c r="G112" s="5" t="s">
        <v>681</v>
      </c>
    </row>
    <row r="113" spans="1:7" x14ac:dyDescent="0.25">
      <c r="A113" s="10">
        <v>44687</v>
      </c>
      <c r="B113" s="20">
        <v>-1000</v>
      </c>
      <c r="C113" s="21">
        <f t="shared" si="6"/>
        <v>1000</v>
      </c>
      <c r="D113" t="s">
        <v>567</v>
      </c>
      <c r="E113" t="s">
        <v>691</v>
      </c>
      <c r="F113" t="str">
        <f t="shared" si="7"/>
        <v>5/2022</v>
      </c>
      <c r="G113" s="5" t="s">
        <v>687</v>
      </c>
    </row>
    <row r="114" spans="1:7" x14ac:dyDescent="0.25">
      <c r="A114" s="10">
        <v>44690</v>
      </c>
      <c r="B114" s="20">
        <v>-30</v>
      </c>
      <c r="C114" s="21">
        <f t="shared" si="6"/>
        <v>30</v>
      </c>
      <c r="D114" t="s">
        <v>563</v>
      </c>
      <c r="E114" t="s">
        <v>690</v>
      </c>
      <c r="F114" t="str">
        <f t="shared" si="7"/>
        <v>5/2022</v>
      </c>
      <c r="G114" s="5" t="s">
        <v>127</v>
      </c>
    </row>
    <row r="115" spans="1:7" x14ac:dyDescent="0.25">
      <c r="A115" s="10">
        <v>44690</v>
      </c>
      <c r="B115" s="20">
        <v>-10</v>
      </c>
      <c r="C115" s="21">
        <f t="shared" si="6"/>
        <v>10</v>
      </c>
      <c r="D115" t="s">
        <v>564</v>
      </c>
      <c r="E115" t="s">
        <v>690</v>
      </c>
      <c r="F115" t="str">
        <f t="shared" si="7"/>
        <v>5/2022</v>
      </c>
      <c r="G115" s="5" t="s">
        <v>127</v>
      </c>
    </row>
    <row r="116" spans="1:7" x14ac:dyDescent="0.25">
      <c r="A116" s="10">
        <v>44690</v>
      </c>
      <c r="B116" s="20">
        <v>-100</v>
      </c>
      <c r="C116" s="21">
        <f t="shared" si="6"/>
        <v>100</v>
      </c>
      <c r="D116" t="s">
        <v>562</v>
      </c>
      <c r="E116" t="s">
        <v>679</v>
      </c>
      <c r="F116" t="str">
        <f t="shared" si="7"/>
        <v>5/2022</v>
      </c>
      <c r="G116" s="5" t="s">
        <v>127</v>
      </c>
    </row>
    <row r="117" spans="1:7" x14ac:dyDescent="0.25">
      <c r="A117" s="10">
        <v>44690</v>
      </c>
      <c r="B117" s="20">
        <v>-16</v>
      </c>
      <c r="C117" s="21">
        <f t="shared" si="6"/>
        <v>16</v>
      </c>
      <c r="D117" t="s">
        <v>565</v>
      </c>
      <c r="E117" t="s">
        <v>147</v>
      </c>
      <c r="F117" t="str">
        <f t="shared" si="7"/>
        <v>5/2022</v>
      </c>
      <c r="G117" s="5">
        <f>IFERROR(VLOOKUP('Wells Fargo'!E49,dis_table[[#All],[Short_Desc]:[CumAmount]],4,0),0)</f>
        <v>0</v>
      </c>
    </row>
    <row r="118" spans="1:7" x14ac:dyDescent="0.25">
      <c r="A118" s="10">
        <v>44690</v>
      </c>
      <c r="B118" s="20">
        <v>-75</v>
      </c>
      <c r="C118" s="21">
        <f t="shared" si="6"/>
        <v>75</v>
      </c>
      <c r="D118" t="s">
        <v>561</v>
      </c>
      <c r="E118" t="s">
        <v>699</v>
      </c>
      <c r="F118" t="str">
        <f t="shared" si="7"/>
        <v>5/2022</v>
      </c>
      <c r="G118" t="s">
        <v>23</v>
      </c>
    </row>
    <row r="119" spans="1:7" x14ac:dyDescent="0.25">
      <c r="A119" s="10">
        <v>44690</v>
      </c>
      <c r="B119" s="20">
        <v>389</v>
      </c>
      <c r="C119" s="21">
        <f t="shared" si="6"/>
        <v>389</v>
      </c>
      <c r="D119" t="s">
        <v>566</v>
      </c>
      <c r="E119" t="s">
        <v>699</v>
      </c>
      <c r="F119" t="str">
        <f t="shared" si="7"/>
        <v>5/2022</v>
      </c>
      <c r="G119" t="s">
        <v>23</v>
      </c>
    </row>
    <row r="120" spans="1:7" x14ac:dyDescent="0.25">
      <c r="A120" s="10">
        <v>44692</v>
      </c>
      <c r="B120" s="20">
        <v>-25</v>
      </c>
      <c r="C120" s="21">
        <f t="shared" si="6"/>
        <v>25</v>
      </c>
      <c r="D120" t="s">
        <v>558</v>
      </c>
      <c r="E120" t="s">
        <v>689</v>
      </c>
      <c r="F120" t="str">
        <f t="shared" si="7"/>
        <v>5/2022</v>
      </c>
      <c r="G120" s="22" t="s">
        <v>23</v>
      </c>
    </row>
    <row r="121" spans="1:7" x14ac:dyDescent="0.25">
      <c r="A121" s="10">
        <v>44692</v>
      </c>
      <c r="B121" s="20">
        <v>-25</v>
      </c>
      <c r="C121" s="21">
        <f t="shared" si="6"/>
        <v>25</v>
      </c>
      <c r="D121" t="s">
        <v>559</v>
      </c>
      <c r="E121" t="s">
        <v>689</v>
      </c>
      <c r="F121" t="str">
        <f t="shared" si="7"/>
        <v>5/2022</v>
      </c>
      <c r="G121" s="22" t="s">
        <v>23</v>
      </c>
    </row>
    <row r="122" spans="1:7" x14ac:dyDescent="0.25">
      <c r="A122" s="10">
        <v>44692</v>
      </c>
      <c r="B122" s="20">
        <v>-25</v>
      </c>
      <c r="C122" s="21">
        <f t="shared" si="6"/>
        <v>25</v>
      </c>
      <c r="D122" t="s">
        <v>560</v>
      </c>
      <c r="E122" t="s">
        <v>689</v>
      </c>
      <c r="F122" t="str">
        <f t="shared" si="7"/>
        <v>5/2022</v>
      </c>
      <c r="G122" s="22" t="s">
        <v>23</v>
      </c>
    </row>
    <row r="123" spans="1:7" x14ac:dyDescent="0.25">
      <c r="A123" s="10">
        <v>44694</v>
      </c>
      <c r="B123" s="20">
        <v>-77</v>
      </c>
      <c r="C123" s="21">
        <f t="shared" si="6"/>
        <v>77</v>
      </c>
      <c r="D123" t="s">
        <v>557</v>
      </c>
      <c r="E123" t="s">
        <v>698</v>
      </c>
      <c r="F123" t="str">
        <f t="shared" si="7"/>
        <v>5/2022</v>
      </c>
      <c r="G123" s="5" t="s">
        <v>127</v>
      </c>
    </row>
    <row r="124" spans="1:7" x14ac:dyDescent="0.25">
      <c r="A124" s="10">
        <v>44698</v>
      </c>
      <c r="B124" s="20">
        <v>-50</v>
      </c>
      <c r="C124" s="21">
        <f t="shared" si="6"/>
        <v>50</v>
      </c>
      <c r="D124" t="s">
        <v>556</v>
      </c>
      <c r="E124" t="s">
        <v>688</v>
      </c>
      <c r="F124" t="str">
        <f t="shared" si="7"/>
        <v>5/2022</v>
      </c>
      <c r="G124" s="5" t="s">
        <v>66</v>
      </c>
    </row>
    <row r="125" spans="1:7" x14ac:dyDescent="0.25">
      <c r="A125" s="10">
        <v>44700</v>
      </c>
      <c r="B125" s="20">
        <v>-1400</v>
      </c>
      <c r="C125" s="21">
        <f t="shared" si="6"/>
        <v>1400</v>
      </c>
      <c r="D125" t="s">
        <v>553</v>
      </c>
      <c r="E125" t="s">
        <v>680</v>
      </c>
      <c r="F125" t="str">
        <f t="shared" si="7"/>
        <v>5/2022</v>
      </c>
      <c r="G125" s="5" t="s">
        <v>245</v>
      </c>
    </row>
    <row r="126" spans="1:7" x14ac:dyDescent="0.25">
      <c r="A126" s="10">
        <v>44700</v>
      </c>
      <c r="B126" s="20">
        <v>-1000</v>
      </c>
      <c r="C126" s="21">
        <f t="shared" si="6"/>
        <v>1000</v>
      </c>
      <c r="D126" t="s">
        <v>554</v>
      </c>
      <c r="E126" t="s">
        <v>678</v>
      </c>
      <c r="F126" t="str">
        <f t="shared" si="7"/>
        <v>5/2022</v>
      </c>
      <c r="G126" s="5" t="s">
        <v>687</v>
      </c>
    </row>
    <row r="127" spans="1:7" x14ac:dyDescent="0.25">
      <c r="A127" s="10">
        <v>44700</v>
      </c>
      <c r="B127" s="20">
        <v>2482.9</v>
      </c>
      <c r="C127" s="21">
        <f t="shared" si="6"/>
        <v>2482.9</v>
      </c>
      <c r="D127" t="s">
        <v>555</v>
      </c>
      <c r="E127" t="s">
        <v>677</v>
      </c>
      <c r="F127" t="str">
        <f t="shared" si="7"/>
        <v>5/2022</v>
      </c>
      <c r="G127" s="5" t="s">
        <v>681</v>
      </c>
    </row>
    <row r="128" spans="1:7" x14ac:dyDescent="0.25">
      <c r="A128" s="10">
        <v>44701</v>
      </c>
      <c r="B128" s="20">
        <v>-400</v>
      </c>
      <c r="C128" s="21">
        <f t="shared" si="6"/>
        <v>400</v>
      </c>
      <c r="D128" t="s">
        <v>552</v>
      </c>
      <c r="E128" t="s">
        <v>679</v>
      </c>
      <c r="F128" t="str">
        <f t="shared" si="7"/>
        <v>5/2022</v>
      </c>
      <c r="G128" s="5" t="s">
        <v>127</v>
      </c>
    </row>
    <row r="129" spans="1:7" x14ac:dyDescent="0.25">
      <c r="A129" s="10">
        <v>44701</v>
      </c>
      <c r="B129" s="20">
        <v>-143.04</v>
      </c>
      <c r="C129" s="21">
        <f t="shared" si="6"/>
        <v>143.04</v>
      </c>
      <c r="D129" t="s">
        <v>551</v>
      </c>
      <c r="E129" t="s">
        <v>70</v>
      </c>
      <c r="F129" t="str">
        <f t="shared" si="7"/>
        <v>5/2022</v>
      </c>
      <c r="G129" s="5" t="s">
        <v>66</v>
      </c>
    </row>
    <row r="130" spans="1:7" x14ac:dyDescent="0.25">
      <c r="A130" s="10">
        <v>44704</v>
      </c>
      <c r="B130" s="20">
        <v>-82.52</v>
      </c>
      <c r="C130" s="21">
        <f t="shared" ref="C130:C161" si="8">IF(SIGN(B130)=-1, B130*-1, B130)</f>
        <v>82.52</v>
      </c>
      <c r="D130" t="s">
        <v>548</v>
      </c>
      <c r="E130" t="s">
        <v>697</v>
      </c>
      <c r="F130" t="str">
        <f t="shared" ref="F130:F162" si="9">MONTH(A130)&amp;"/"&amp;YEAR(A130)</f>
        <v>5/2022</v>
      </c>
      <c r="G130" t="s">
        <v>23</v>
      </c>
    </row>
    <row r="131" spans="1:7" x14ac:dyDescent="0.25">
      <c r="A131" s="10">
        <v>44704</v>
      </c>
      <c r="B131" s="20">
        <v>-82.52</v>
      </c>
      <c r="C131" s="21">
        <f t="shared" si="8"/>
        <v>82.52</v>
      </c>
      <c r="D131" t="s">
        <v>549</v>
      </c>
      <c r="E131" t="s">
        <v>516</v>
      </c>
      <c r="F131" t="str">
        <f t="shared" si="9"/>
        <v>5/2022</v>
      </c>
      <c r="G131" s="5">
        <f>IFERROR(VLOOKUP('Wells Fargo'!E33,dis_table[[#All],[Short_Desc]:[CumAmount]],4,0),0)</f>
        <v>0</v>
      </c>
    </row>
    <row r="132" spans="1:7" x14ac:dyDescent="0.25">
      <c r="A132" s="10">
        <v>44704</v>
      </c>
      <c r="B132" s="20">
        <v>82.52</v>
      </c>
      <c r="C132" s="21">
        <f t="shared" si="8"/>
        <v>82.52</v>
      </c>
      <c r="D132" t="s">
        <v>550</v>
      </c>
      <c r="E132" t="s">
        <v>516</v>
      </c>
      <c r="F132" t="str">
        <f t="shared" si="9"/>
        <v>5/2022</v>
      </c>
      <c r="G132" s="5" t="str">
        <f>IFERROR(VLOOKUP('Wells Fargo'!E34,dis_table[[#All],[Short_Desc]:[CumAmount]],4,0),0)</f>
        <v>People</v>
      </c>
    </row>
    <row r="133" spans="1:7" x14ac:dyDescent="0.25">
      <c r="A133" s="10">
        <v>44714</v>
      </c>
      <c r="B133" s="20">
        <v>2482.9</v>
      </c>
      <c r="C133" s="21">
        <f t="shared" si="8"/>
        <v>2482.9</v>
      </c>
      <c r="D133" t="s">
        <v>547</v>
      </c>
      <c r="E133" t="s">
        <v>677</v>
      </c>
      <c r="F133" t="str">
        <f t="shared" si="9"/>
        <v>6/2022</v>
      </c>
      <c r="G133" s="5" t="s">
        <v>681</v>
      </c>
    </row>
    <row r="134" spans="1:7" x14ac:dyDescent="0.25">
      <c r="A134" s="10">
        <v>44715</v>
      </c>
      <c r="B134" s="20">
        <v>-1000</v>
      </c>
      <c r="C134" s="21">
        <f t="shared" si="8"/>
        <v>1000</v>
      </c>
      <c r="D134" t="s">
        <v>546</v>
      </c>
      <c r="E134" t="s">
        <v>678</v>
      </c>
      <c r="F134" t="str">
        <f t="shared" si="9"/>
        <v>6/2022</v>
      </c>
      <c r="G134" s="5" t="s">
        <v>687</v>
      </c>
    </row>
    <row r="135" spans="1:7" x14ac:dyDescent="0.25">
      <c r="A135" s="10">
        <v>44718</v>
      </c>
      <c r="B135" s="20">
        <v>-200</v>
      </c>
      <c r="C135" s="21">
        <f t="shared" si="8"/>
        <v>200</v>
      </c>
      <c r="D135" t="s">
        <v>543</v>
      </c>
      <c r="E135" t="s">
        <v>679</v>
      </c>
      <c r="F135" t="str">
        <f t="shared" si="9"/>
        <v>6/2022</v>
      </c>
      <c r="G135" s="5" t="s">
        <v>127</v>
      </c>
    </row>
    <row r="136" spans="1:7" x14ac:dyDescent="0.25">
      <c r="A136" s="10">
        <v>44718</v>
      </c>
      <c r="B136" s="20">
        <v>-974.91</v>
      </c>
      <c r="C136" s="21">
        <f t="shared" si="8"/>
        <v>974.91</v>
      </c>
      <c r="D136" t="s">
        <v>542</v>
      </c>
      <c r="E136" t="s">
        <v>686</v>
      </c>
      <c r="F136" t="str">
        <f t="shared" si="9"/>
        <v>6/2022</v>
      </c>
      <c r="G136" s="5" t="s">
        <v>687</v>
      </c>
    </row>
    <row r="137" spans="1:7" x14ac:dyDescent="0.25">
      <c r="A137" s="10">
        <v>44718</v>
      </c>
      <c r="B137" s="20">
        <v>-5.41</v>
      </c>
      <c r="C137" s="21">
        <f t="shared" si="8"/>
        <v>5.41</v>
      </c>
      <c r="D137" t="s">
        <v>544</v>
      </c>
      <c r="E137" t="s">
        <v>59</v>
      </c>
      <c r="F137" t="str">
        <f t="shared" si="9"/>
        <v>6/2022</v>
      </c>
      <c r="G137" s="5">
        <f>IFERROR(VLOOKUP('Wells Fargo'!E28,dis_table[[#All],[Short_Desc]:[CumAmount]],4,0),0)</f>
        <v>0</v>
      </c>
    </row>
    <row r="138" spans="1:7" x14ac:dyDescent="0.25">
      <c r="A138" s="10">
        <v>44718</v>
      </c>
      <c r="B138" s="20">
        <v>-67.45</v>
      </c>
      <c r="C138" s="21">
        <f t="shared" si="8"/>
        <v>67.45</v>
      </c>
      <c r="D138" t="s">
        <v>545</v>
      </c>
      <c r="E138" t="s">
        <v>34</v>
      </c>
      <c r="F138" t="str">
        <f t="shared" si="9"/>
        <v>6/2022</v>
      </c>
      <c r="G138" s="5">
        <f>IFERROR(VLOOKUP('Wells Fargo'!E29,dis_table[[#All],[Short_Desc]:[CumAmount]],4,0),0)</f>
        <v>0</v>
      </c>
    </row>
    <row r="139" spans="1:7" x14ac:dyDescent="0.25">
      <c r="A139" s="10">
        <v>44725</v>
      </c>
      <c r="B139" s="20">
        <v>-60</v>
      </c>
      <c r="C139" s="21">
        <f t="shared" si="8"/>
        <v>60</v>
      </c>
      <c r="D139" t="s">
        <v>539</v>
      </c>
      <c r="E139" t="s">
        <v>683</v>
      </c>
      <c r="F139" t="str">
        <f t="shared" si="9"/>
        <v>6/2022</v>
      </c>
      <c r="G139" s="5" t="s">
        <v>127</v>
      </c>
    </row>
    <row r="140" spans="1:7" x14ac:dyDescent="0.25">
      <c r="A140" s="10">
        <v>44725</v>
      </c>
      <c r="B140" s="20">
        <v>-20</v>
      </c>
      <c r="C140" s="21">
        <f t="shared" si="8"/>
        <v>20</v>
      </c>
      <c r="D140" t="s">
        <v>538</v>
      </c>
      <c r="E140" t="s">
        <v>684</v>
      </c>
      <c r="F140" t="str">
        <f t="shared" si="9"/>
        <v>6/2022</v>
      </c>
      <c r="G140" s="5" t="s">
        <v>127</v>
      </c>
    </row>
    <row r="141" spans="1:7" x14ac:dyDescent="0.25">
      <c r="A141" s="10">
        <v>44725</v>
      </c>
      <c r="B141" s="20">
        <v>50</v>
      </c>
      <c r="C141" s="21">
        <f t="shared" si="8"/>
        <v>50</v>
      </c>
      <c r="D141" t="s">
        <v>540</v>
      </c>
      <c r="E141" t="s">
        <v>679</v>
      </c>
      <c r="F141" t="str">
        <f t="shared" si="9"/>
        <v>6/2022</v>
      </c>
      <c r="G141" s="5" t="s">
        <v>127</v>
      </c>
    </row>
    <row r="142" spans="1:7" x14ac:dyDescent="0.25">
      <c r="A142" s="10">
        <v>44725</v>
      </c>
      <c r="B142" s="20">
        <v>150</v>
      </c>
      <c r="C142" s="21">
        <f t="shared" si="8"/>
        <v>150</v>
      </c>
      <c r="D142" t="s">
        <v>541</v>
      </c>
      <c r="E142" t="s">
        <v>679</v>
      </c>
      <c r="F142" t="str">
        <f t="shared" si="9"/>
        <v>6/2022</v>
      </c>
      <c r="G142" s="5" t="s">
        <v>127</v>
      </c>
    </row>
    <row r="143" spans="1:7" x14ac:dyDescent="0.25">
      <c r="A143" s="10">
        <v>44727</v>
      </c>
      <c r="B143" s="20">
        <v>-50</v>
      </c>
      <c r="C143" s="21">
        <f t="shared" si="8"/>
        <v>50</v>
      </c>
      <c r="D143" t="s">
        <v>537</v>
      </c>
      <c r="E143" t="s">
        <v>683</v>
      </c>
      <c r="F143" t="str">
        <f t="shared" si="9"/>
        <v>6/2022</v>
      </c>
      <c r="G143" s="5" t="s">
        <v>127</v>
      </c>
    </row>
    <row r="144" spans="1:7" x14ac:dyDescent="0.25">
      <c r="A144" s="10">
        <v>44727</v>
      </c>
      <c r="B144" s="20">
        <v>-50</v>
      </c>
      <c r="C144" s="21">
        <f t="shared" si="8"/>
        <v>50</v>
      </c>
      <c r="D144" t="s">
        <v>536</v>
      </c>
      <c r="E144" t="s">
        <v>682</v>
      </c>
      <c r="F144" t="str">
        <f t="shared" si="9"/>
        <v>6/2022</v>
      </c>
      <c r="G144" s="5" t="s">
        <v>127</v>
      </c>
    </row>
    <row r="145" spans="1:7" x14ac:dyDescent="0.25">
      <c r="A145" s="10">
        <v>44728</v>
      </c>
      <c r="B145" s="20">
        <v>-2000</v>
      </c>
      <c r="C145" s="21">
        <f t="shared" si="8"/>
        <v>2000</v>
      </c>
      <c r="D145" t="s">
        <v>533</v>
      </c>
      <c r="E145" t="s">
        <v>678</v>
      </c>
      <c r="F145" t="str">
        <f t="shared" si="9"/>
        <v>6/2022</v>
      </c>
      <c r="G145" s="5" t="s">
        <v>687</v>
      </c>
    </row>
    <row r="146" spans="1:7" x14ac:dyDescent="0.25">
      <c r="A146" s="10">
        <v>44728</v>
      </c>
      <c r="B146" s="20">
        <v>2482.89</v>
      </c>
      <c r="C146" s="21">
        <f t="shared" si="8"/>
        <v>2482.89</v>
      </c>
      <c r="D146" t="s">
        <v>535</v>
      </c>
      <c r="E146" t="s">
        <v>677</v>
      </c>
      <c r="F146" t="str">
        <f t="shared" si="9"/>
        <v>6/2022</v>
      </c>
      <c r="G146" s="5" t="s">
        <v>681</v>
      </c>
    </row>
    <row r="147" spans="1:7" x14ac:dyDescent="0.25">
      <c r="A147" s="10">
        <v>44728</v>
      </c>
      <c r="B147" s="20">
        <v>-186.07</v>
      </c>
      <c r="C147" s="21">
        <f t="shared" si="8"/>
        <v>186.07</v>
      </c>
      <c r="D147" t="s">
        <v>534</v>
      </c>
      <c r="E147" t="s">
        <v>696</v>
      </c>
      <c r="F147" t="str">
        <f t="shared" si="9"/>
        <v>6/2022</v>
      </c>
      <c r="G147" s="5" t="s">
        <v>127</v>
      </c>
    </row>
    <row r="148" spans="1:7" x14ac:dyDescent="0.25">
      <c r="A148" s="10">
        <v>44729</v>
      </c>
      <c r="B148" s="20">
        <v>400</v>
      </c>
      <c r="C148" s="21">
        <f t="shared" si="8"/>
        <v>400</v>
      </c>
      <c r="D148" t="s">
        <v>532</v>
      </c>
      <c r="E148" t="s">
        <v>679</v>
      </c>
      <c r="F148" t="str">
        <f t="shared" si="9"/>
        <v>6/2022</v>
      </c>
      <c r="G148" s="5" t="s">
        <v>127</v>
      </c>
    </row>
    <row r="149" spans="1:7" x14ac:dyDescent="0.25">
      <c r="A149" s="10">
        <v>44733</v>
      </c>
      <c r="B149" s="20">
        <v>-100</v>
      </c>
      <c r="C149" s="21">
        <f t="shared" si="8"/>
        <v>100</v>
      </c>
      <c r="D149" t="s">
        <v>531</v>
      </c>
      <c r="E149" t="s">
        <v>684</v>
      </c>
      <c r="F149" t="str">
        <f t="shared" si="9"/>
        <v>6/2022</v>
      </c>
      <c r="G149" s="5" t="s">
        <v>127</v>
      </c>
    </row>
    <row r="150" spans="1:7" x14ac:dyDescent="0.25">
      <c r="A150" s="10">
        <v>44733</v>
      </c>
      <c r="B150" s="20">
        <v>-238.5</v>
      </c>
      <c r="C150" s="21">
        <f t="shared" si="8"/>
        <v>238.5</v>
      </c>
      <c r="D150" t="s">
        <v>529</v>
      </c>
      <c r="E150" t="s">
        <v>70</v>
      </c>
      <c r="F150" t="str">
        <f t="shared" si="9"/>
        <v>6/2022</v>
      </c>
      <c r="G150" s="5" t="s">
        <v>66</v>
      </c>
    </row>
    <row r="151" spans="1:7" x14ac:dyDescent="0.25">
      <c r="A151" s="10">
        <v>44733</v>
      </c>
      <c r="B151" s="20">
        <v>-10</v>
      </c>
      <c r="C151" s="21">
        <f t="shared" si="8"/>
        <v>10</v>
      </c>
      <c r="D151" t="s">
        <v>530</v>
      </c>
      <c r="E151" t="s">
        <v>705</v>
      </c>
      <c r="F151" t="str">
        <f t="shared" si="9"/>
        <v>6/2022</v>
      </c>
      <c r="G151" s="5">
        <f>IFERROR(VLOOKUP('Wells Fargo'!E14,dis_table[[#All],[Short_Desc]:[CumAmount]],4,0),0)</f>
        <v>0</v>
      </c>
    </row>
    <row r="152" spans="1:7" x14ac:dyDescent="0.25">
      <c r="A152" s="10">
        <v>44735</v>
      </c>
      <c r="B152" s="20">
        <v>-33.270000000000003</v>
      </c>
      <c r="C152" s="21">
        <f t="shared" si="8"/>
        <v>33.270000000000003</v>
      </c>
      <c r="D152" t="s">
        <v>528</v>
      </c>
      <c r="E152" t="s">
        <v>688</v>
      </c>
      <c r="F152" t="str">
        <f t="shared" si="9"/>
        <v>6/2022</v>
      </c>
      <c r="G152" s="5" t="s">
        <v>66</v>
      </c>
    </row>
    <row r="153" spans="1:7" x14ac:dyDescent="0.25">
      <c r="A153" s="10">
        <v>44742</v>
      </c>
      <c r="B153" s="20">
        <v>-1400</v>
      </c>
      <c r="C153" s="21">
        <f t="shared" si="8"/>
        <v>1400</v>
      </c>
      <c r="D153" t="s">
        <v>525</v>
      </c>
      <c r="E153" t="s">
        <v>680</v>
      </c>
      <c r="F153" t="str">
        <f t="shared" si="9"/>
        <v>6/2022</v>
      </c>
      <c r="G153" s="5" t="s">
        <v>245</v>
      </c>
    </row>
    <row r="154" spans="1:7" x14ac:dyDescent="0.25">
      <c r="A154" s="10">
        <v>44742</v>
      </c>
      <c r="B154" s="20">
        <v>-1000</v>
      </c>
      <c r="C154" s="21">
        <f t="shared" si="8"/>
        <v>1000</v>
      </c>
      <c r="D154" t="s">
        <v>526</v>
      </c>
      <c r="E154" t="s">
        <v>678</v>
      </c>
      <c r="F154" t="str">
        <f t="shared" si="9"/>
        <v>6/2022</v>
      </c>
      <c r="G154" s="5" t="s">
        <v>687</v>
      </c>
    </row>
    <row r="155" spans="1:7" x14ac:dyDescent="0.25">
      <c r="A155" s="10">
        <v>44742</v>
      </c>
      <c r="B155" s="20">
        <v>2482.9</v>
      </c>
      <c r="C155" s="21">
        <f t="shared" si="8"/>
        <v>2482.9</v>
      </c>
      <c r="D155" t="s">
        <v>527</v>
      </c>
      <c r="E155" t="s">
        <v>677</v>
      </c>
      <c r="F155" t="str">
        <f t="shared" si="9"/>
        <v>6/2022</v>
      </c>
      <c r="G155" s="5" t="s">
        <v>681</v>
      </c>
    </row>
    <row r="156" spans="1:7" x14ac:dyDescent="0.25">
      <c r="A156" s="10">
        <v>44747</v>
      </c>
      <c r="B156" s="20">
        <v>-100</v>
      </c>
      <c r="C156" s="21">
        <f t="shared" si="8"/>
        <v>100</v>
      </c>
      <c r="D156" t="s">
        <v>524</v>
      </c>
      <c r="E156" t="s">
        <v>679</v>
      </c>
      <c r="F156" t="str">
        <f t="shared" si="9"/>
        <v>7/2022</v>
      </c>
      <c r="G156" s="5" t="s">
        <v>127</v>
      </c>
    </row>
    <row r="157" spans="1:7" x14ac:dyDescent="0.25">
      <c r="A157" s="10">
        <v>44755</v>
      </c>
      <c r="B157" s="20">
        <v>-64</v>
      </c>
      <c r="C157" s="21">
        <f t="shared" si="8"/>
        <v>64</v>
      </c>
      <c r="D157" t="s">
        <v>523</v>
      </c>
      <c r="E157" t="s">
        <v>706</v>
      </c>
      <c r="F157" t="str">
        <f t="shared" si="9"/>
        <v>7/2022</v>
      </c>
      <c r="G157" s="5" t="s">
        <v>42</v>
      </c>
    </row>
    <row r="158" spans="1:7" x14ac:dyDescent="0.25">
      <c r="A158" s="10">
        <v>44756</v>
      </c>
      <c r="B158" s="20">
        <v>-2600</v>
      </c>
      <c r="C158" s="21">
        <f t="shared" si="8"/>
        <v>2600</v>
      </c>
      <c r="D158" t="s">
        <v>521</v>
      </c>
      <c r="E158" t="s">
        <v>678</v>
      </c>
      <c r="F158" t="str">
        <f t="shared" si="9"/>
        <v>7/2022</v>
      </c>
      <c r="G158" s="5" t="s">
        <v>687</v>
      </c>
    </row>
    <row r="159" spans="1:7" x14ac:dyDescent="0.25">
      <c r="A159" s="10">
        <v>44756</v>
      </c>
      <c r="B159" s="20">
        <v>2482.89</v>
      </c>
      <c r="C159" s="21">
        <f t="shared" si="8"/>
        <v>2482.89</v>
      </c>
      <c r="D159" t="s">
        <v>522</v>
      </c>
      <c r="E159" t="s">
        <v>677</v>
      </c>
      <c r="F159" t="str">
        <f t="shared" si="9"/>
        <v>7/2022</v>
      </c>
      <c r="G159" s="5" t="s">
        <v>681</v>
      </c>
    </row>
    <row r="160" spans="1:7" x14ac:dyDescent="0.25">
      <c r="A160" s="10">
        <v>44760</v>
      </c>
      <c r="B160" s="20">
        <v>-25.48</v>
      </c>
      <c r="C160" s="21">
        <f t="shared" si="8"/>
        <v>25.48</v>
      </c>
      <c r="D160" t="s">
        <v>520</v>
      </c>
      <c r="E160" t="s">
        <v>31</v>
      </c>
      <c r="F160" t="str">
        <f t="shared" si="9"/>
        <v>7/2022</v>
      </c>
      <c r="G160" s="5" t="str">
        <f>IFERROR(VLOOKUP('Wells Fargo'!E4,dis_table[[#All],[Short_Desc]:[CumAmount]],4,0),0)</f>
        <v>Recreation_Entertainment</v>
      </c>
    </row>
    <row r="161" spans="1:7" x14ac:dyDescent="0.25">
      <c r="A161" s="10">
        <v>44762</v>
      </c>
      <c r="B161" s="20">
        <v>-44.33</v>
      </c>
      <c r="C161" s="21">
        <f t="shared" si="8"/>
        <v>44.33</v>
      </c>
      <c r="D161" t="s">
        <v>519</v>
      </c>
      <c r="E161" t="s">
        <v>41</v>
      </c>
      <c r="F161" t="str">
        <f t="shared" si="9"/>
        <v>7/2022</v>
      </c>
      <c r="G161" s="5">
        <f>IFERROR(VLOOKUP('Wells Fargo'!E3,dis_table[[#All],[Short_Desc]:[CumAmount]],4,0),0)</f>
        <v>0</v>
      </c>
    </row>
    <row r="162" spans="1:7" x14ac:dyDescent="0.25">
      <c r="A162" s="10">
        <v>44763</v>
      </c>
      <c r="B162" s="20">
        <v>-202.46</v>
      </c>
      <c r="C162" s="21">
        <f t="shared" ref="C162" si="10">IF(SIGN(B162)=-1, B162*-1, B162)</f>
        <v>202.46</v>
      </c>
      <c r="D162" t="s">
        <v>518</v>
      </c>
      <c r="E162" t="s">
        <v>70</v>
      </c>
      <c r="F162" t="str">
        <f t="shared" si="9"/>
        <v>7/2022</v>
      </c>
      <c r="G162" s="5" t="s">
        <v>66</v>
      </c>
    </row>
    <row r="163" spans="1:7" x14ac:dyDescent="0.25">
      <c r="G163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9265-E786-4413-81B1-B423C89FCBAB}">
  <sheetPr>
    <tabColor rgb="FFC00000"/>
  </sheetPr>
  <dimension ref="A1:D68"/>
  <sheetViews>
    <sheetView topLeftCell="A35" workbookViewId="0">
      <selection activeCell="B69" sqref="B69"/>
    </sheetView>
  </sheetViews>
  <sheetFormatPr defaultRowHeight="15" x14ac:dyDescent="0.25"/>
  <cols>
    <col min="2" max="2" width="44.85546875" style="36" bestFit="1" customWidth="1"/>
    <col min="3" max="3" width="14.140625" style="40" bestFit="1" customWidth="1"/>
    <col min="4" max="4" width="40.5703125" style="36" bestFit="1" customWidth="1"/>
  </cols>
  <sheetData>
    <row r="1" spans="1:4" ht="13.5" customHeight="1" x14ac:dyDescent="0.25">
      <c r="A1" s="30" t="s">
        <v>6</v>
      </c>
      <c r="B1" s="33" t="s">
        <v>2</v>
      </c>
      <c r="C1" s="37" t="s">
        <v>3</v>
      </c>
      <c r="D1" s="33" t="s">
        <v>4</v>
      </c>
    </row>
    <row r="2" spans="1:4" ht="13.5" customHeight="1" x14ac:dyDescent="0.25">
      <c r="A2" s="31" t="s">
        <v>856</v>
      </c>
      <c r="B2" s="34" t="s">
        <v>857</v>
      </c>
      <c r="C2" s="38">
        <v>17.809999999999999</v>
      </c>
      <c r="D2" s="34" t="s">
        <v>757</v>
      </c>
    </row>
    <row r="3" spans="1:4" ht="13.5" customHeight="1" x14ac:dyDescent="0.25">
      <c r="A3" s="31" t="s">
        <v>853</v>
      </c>
      <c r="B3" s="34" t="s">
        <v>854</v>
      </c>
      <c r="C3" s="38">
        <v>32.409999999999997</v>
      </c>
      <c r="D3" s="34" t="s">
        <v>762</v>
      </c>
    </row>
    <row r="4" spans="1:4" ht="13.5" customHeight="1" x14ac:dyDescent="0.25">
      <c r="A4" s="32" t="s">
        <v>853</v>
      </c>
      <c r="B4" s="35" t="s">
        <v>855</v>
      </c>
      <c r="C4" s="39">
        <v>26.04</v>
      </c>
      <c r="D4" s="35" t="s">
        <v>831</v>
      </c>
    </row>
    <row r="5" spans="1:4" ht="13.5" customHeight="1" x14ac:dyDescent="0.25">
      <c r="A5" s="32" t="s">
        <v>850</v>
      </c>
      <c r="B5" s="35" t="s">
        <v>851</v>
      </c>
      <c r="C5" s="39">
        <v>378.17</v>
      </c>
      <c r="D5" s="35" t="s">
        <v>852</v>
      </c>
    </row>
    <row r="6" spans="1:4" ht="13.5" customHeight="1" x14ac:dyDescent="0.25">
      <c r="A6" s="32" t="s">
        <v>843</v>
      </c>
      <c r="B6" s="35" t="s">
        <v>844</v>
      </c>
      <c r="C6" s="39">
        <v>5</v>
      </c>
      <c r="D6" s="35" t="s">
        <v>762</v>
      </c>
    </row>
    <row r="7" spans="1:4" ht="13.5" customHeight="1" x14ac:dyDescent="0.25">
      <c r="A7" s="31" t="s">
        <v>843</v>
      </c>
      <c r="B7" s="34" t="s">
        <v>845</v>
      </c>
      <c r="C7" s="38">
        <v>152.80000000000001</v>
      </c>
      <c r="D7" s="34" t="s">
        <v>846</v>
      </c>
    </row>
    <row r="8" spans="1:4" ht="13.5" customHeight="1" x14ac:dyDescent="0.25">
      <c r="A8" s="32" t="s">
        <v>843</v>
      </c>
      <c r="B8" s="35" t="s">
        <v>847</v>
      </c>
      <c r="C8" s="39">
        <v>15.7</v>
      </c>
      <c r="D8" s="35" t="s">
        <v>762</v>
      </c>
    </row>
    <row r="9" spans="1:4" ht="13.5" customHeight="1" x14ac:dyDescent="0.25">
      <c r="A9" s="31" t="s">
        <v>843</v>
      </c>
      <c r="B9" s="34" t="s">
        <v>848</v>
      </c>
      <c r="C9" s="38">
        <v>37.4</v>
      </c>
      <c r="D9" s="34" t="s">
        <v>849</v>
      </c>
    </row>
    <row r="10" spans="1:4" ht="13.5" customHeight="1" x14ac:dyDescent="0.25">
      <c r="A10" s="31" t="s">
        <v>841</v>
      </c>
      <c r="B10" s="34" t="s">
        <v>842</v>
      </c>
      <c r="C10" s="38">
        <v>40.869999999999997</v>
      </c>
      <c r="D10" s="34" t="s">
        <v>762</v>
      </c>
    </row>
    <row r="11" spans="1:4" ht="13.5" customHeight="1" x14ac:dyDescent="0.25">
      <c r="A11" s="32" t="s">
        <v>838</v>
      </c>
      <c r="B11" s="35" t="s">
        <v>839</v>
      </c>
      <c r="C11" s="39">
        <v>3.19</v>
      </c>
      <c r="D11" s="35" t="s">
        <v>840</v>
      </c>
    </row>
    <row r="12" spans="1:4" ht="13.5" customHeight="1" x14ac:dyDescent="0.25">
      <c r="A12" s="32" t="s">
        <v>835</v>
      </c>
      <c r="B12" s="35" t="s">
        <v>836</v>
      </c>
      <c r="C12" s="39">
        <v>4.33</v>
      </c>
      <c r="D12" s="35" t="s">
        <v>782</v>
      </c>
    </row>
    <row r="13" spans="1:4" ht="13.5" customHeight="1" x14ac:dyDescent="0.25">
      <c r="A13" s="31" t="s">
        <v>835</v>
      </c>
      <c r="B13" s="34" t="s">
        <v>837</v>
      </c>
      <c r="C13" s="38">
        <v>67</v>
      </c>
      <c r="D13" s="34" t="s">
        <v>796</v>
      </c>
    </row>
    <row r="14" spans="1:4" ht="13.5" customHeight="1" x14ac:dyDescent="0.25">
      <c r="A14" s="31" t="s">
        <v>828</v>
      </c>
      <c r="B14" s="34" t="s">
        <v>829</v>
      </c>
      <c r="C14" s="38">
        <v>21.46</v>
      </c>
      <c r="D14" s="34" t="s">
        <v>757</v>
      </c>
    </row>
    <row r="15" spans="1:4" ht="13.5" customHeight="1" x14ac:dyDescent="0.25">
      <c r="A15" s="32" t="s">
        <v>828</v>
      </c>
      <c r="B15" s="35" t="s">
        <v>830</v>
      </c>
      <c r="C15" s="39">
        <v>33.64</v>
      </c>
      <c r="D15" s="35" t="s">
        <v>831</v>
      </c>
    </row>
    <row r="16" spans="1:4" ht="13.5" customHeight="1" x14ac:dyDescent="0.25">
      <c r="A16" s="31" t="s">
        <v>828</v>
      </c>
      <c r="B16" s="34" t="s">
        <v>832</v>
      </c>
      <c r="C16" s="38">
        <v>42.37</v>
      </c>
      <c r="D16" s="34" t="s">
        <v>766</v>
      </c>
    </row>
    <row r="17" spans="1:4" ht="13.5" customHeight="1" x14ac:dyDescent="0.25">
      <c r="A17" s="32" t="s">
        <v>828</v>
      </c>
      <c r="B17" s="35" t="s">
        <v>833</v>
      </c>
      <c r="C17" s="39">
        <v>30</v>
      </c>
      <c r="D17" s="35" t="s">
        <v>762</v>
      </c>
    </row>
    <row r="18" spans="1:4" ht="13.5" customHeight="1" x14ac:dyDescent="0.25">
      <c r="A18" s="31" t="s">
        <v>828</v>
      </c>
      <c r="B18" s="34" t="s">
        <v>834</v>
      </c>
      <c r="C18" s="38">
        <v>71.709999999999994</v>
      </c>
      <c r="D18" s="34" t="s">
        <v>766</v>
      </c>
    </row>
    <row r="19" spans="1:4" ht="13.5" customHeight="1" x14ac:dyDescent="0.25">
      <c r="A19" s="32" t="s">
        <v>826</v>
      </c>
      <c r="B19" s="35" t="s">
        <v>827</v>
      </c>
      <c r="C19" s="39">
        <v>86.32</v>
      </c>
      <c r="D19" s="35" t="s">
        <v>777</v>
      </c>
    </row>
    <row r="20" spans="1:4" ht="13.5" customHeight="1" x14ac:dyDescent="0.25">
      <c r="A20" s="31" t="s">
        <v>824</v>
      </c>
      <c r="B20" s="34" t="s">
        <v>825</v>
      </c>
      <c r="C20" s="38">
        <v>15</v>
      </c>
      <c r="D20" s="34" t="s">
        <v>789</v>
      </c>
    </row>
    <row r="21" spans="1:4" ht="13.5" customHeight="1" x14ac:dyDescent="0.25">
      <c r="A21" s="32" t="s">
        <v>822</v>
      </c>
      <c r="B21" s="35" t="s">
        <v>823</v>
      </c>
      <c r="C21" s="39">
        <v>50</v>
      </c>
      <c r="D21" s="35" t="s">
        <v>762</v>
      </c>
    </row>
    <row r="22" spans="1:4" ht="13.5" customHeight="1" x14ac:dyDescent="0.25">
      <c r="A22" s="31" t="s">
        <v>821</v>
      </c>
      <c r="B22" s="34" t="s">
        <v>815</v>
      </c>
      <c r="C22" s="38">
        <v>9.33</v>
      </c>
      <c r="D22" s="34" t="s">
        <v>757</v>
      </c>
    </row>
    <row r="23" spans="1:4" ht="13.5" customHeight="1" x14ac:dyDescent="0.25">
      <c r="A23" s="32" t="s">
        <v>818</v>
      </c>
      <c r="B23" s="35" t="s">
        <v>819</v>
      </c>
      <c r="C23" s="39">
        <v>50</v>
      </c>
      <c r="D23" s="35" t="s">
        <v>762</v>
      </c>
    </row>
    <row r="24" spans="1:4" ht="13.5" customHeight="1" x14ac:dyDescent="0.25">
      <c r="A24" s="31" t="s">
        <v>818</v>
      </c>
      <c r="B24" s="34" t="s">
        <v>820</v>
      </c>
      <c r="C24" s="38">
        <v>5.42</v>
      </c>
      <c r="D24" s="34" t="s">
        <v>762</v>
      </c>
    </row>
    <row r="25" spans="1:4" ht="13.5" customHeight="1" x14ac:dyDescent="0.25">
      <c r="A25" s="32" t="s">
        <v>818</v>
      </c>
      <c r="B25" s="35" t="s">
        <v>820</v>
      </c>
      <c r="C25" s="39">
        <v>25.34</v>
      </c>
      <c r="D25" s="35" t="s">
        <v>762</v>
      </c>
    </row>
    <row r="26" spans="1:4" ht="13.5" customHeight="1" x14ac:dyDescent="0.25">
      <c r="A26" s="31" t="s">
        <v>816</v>
      </c>
      <c r="B26" s="34" t="s">
        <v>817</v>
      </c>
      <c r="C26" s="38">
        <v>50</v>
      </c>
      <c r="D26" s="34" t="s">
        <v>762</v>
      </c>
    </row>
    <row r="27" spans="1:4" ht="13.5" customHeight="1" x14ac:dyDescent="0.25">
      <c r="A27" s="31" t="s">
        <v>813</v>
      </c>
      <c r="B27" s="34" t="s">
        <v>814</v>
      </c>
      <c r="C27" s="38">
        <v>9.11</v>
      </c>
      <c r="D27" s="34" t="s">
        <v>757</v>
      </c>
    </row>
    <row r="28" spans="1:4" ht="13.5" customHeight="1" x14ac:dyDescent="0.25">
      <c r="A28" s="32" t="s">
        <v>813</v>
      </c>
      <c r="B28" s="35" t="s">
        <v>815</v>
      </c>
      <c r="C28" s="39">
        <v>18.66</v>
      </c>
      <c r="D28" s="35" t="s">
        <v>757</v>
      </c>
    </row>
    <row r="29" spans="1:4" ht="13.5" customHeight="1" x14ac:dyDescent="0.25">
      <c r="A29" s="32" t="s">
        <v>812</v>
      </c>
      <c r="B29" s="35" t="s">
        <v>793</v>
      </c>
      <c r="C29" s="39">
        <v>104.01</v>
      </c>
      <c r="D29" s="35" t="s">
        <v>769</v>
      </c>
    </row>
    <row r="30" spans="1:4" ht="13.5" customHeight="1" x14ac:dyDescent="0.25">
      <c r="A30" s="32" t="s">
        <v>807</v>
      </c>
      <c r="B30" s="35" t="s">
        <v>808</v>
      </c>
      <c r="C30" s="39">
        <v>8.0500000000000007</v>
      </c>
      <c r="D30" s="35" t="s">
        <v>757</v>
      </c>
    </row>
    <row r="31" spans="1:4" ht="13.5" customHeight="1" x14ac:dyDescent="0.25">
      <c r="A31" s="31" t="s">
        <v>807</v>
      </c>
      <c r="B31" s="34" t="s">
        <v>809</v>
      </c>
      <c r="C31" s="38">
        <v>50</v>
      </c>
      <c r="D31" s="34" t="s">
        <v>762</v>
      </c>
    </row>
    <row r="32" spans="1:4" ht="13.5" customHeight="1" x14ac:dyDescent="0.25">
      <c r="A32" s="32" t="s">
        <v>807</v>
      </c>
      <c r="B32" s="35" t="s">
        <v>810</v>
      </c>
      <c r="C32" s="39">
        <v>78.599999999999994</v>
      </c>
      <c r="D32" s="35" t="s">
        <v>769</v>
      </c>
    </row>
    <row r="33" spans="1:4" ht="13.5" customHeight="1" x14ac:dyDescent="0.25">
      <c r="A33" s="31" t="s">
        <v>807</v>
      </c>
      <c r="B33" s="34" t="s">
        <v>811</v>
      </c>
      <c r="C33" s="38">
        <v>88.45</v>
      </c>
      <c r="D33" s="34" t="s">
        <v>766</v>
      </c>
    </row>
    <row r="34" spans="1:4" ht="13.5" customHeight="1" x14ac:dyDescent="0.25">
      <c r="A34" s="31" t="s">
        <v>805</v>
      </c>
      <c r="B34" s="34" t="s">
        <v>806</v>
      </c>
      <c r="C34" s="38">
        <v>80</v>
      </c>
      <c r="D34" s="34" t="s">
        <v>762</v>
      </c>
    </row>
    <row r="35" spans="1:4" ht="13.5" customHeight="1" x14ac:dyDescent="0.25">
      <c r="A35" s="31" t="s">
        <v>803</v>
      </c>
      <c r="B35" s="34" t="s">
        <v>804</v>
      </c>
      <c r="C35" s="38">
        <v>56.28</v>
      </c>
      <c r="D35" s="34" t="s">
        <v>762</v>
      </c>
    </row>
    <row r="36" spans="1:4" ht="13.5" customHeight="1" x14ac:dyDescent="0.25">
      <c r="A36" s="32" t="s">
        <v>803</v>
      </c>
      <c r="B36" s="35" t="s">
        <v>804</v>
      </c>
      <c r="C36" s="39">
        <v>92.37</v>
      </c>
      <c r="D36" s="35" t="s">
        <v>762</v>
      </c>
    </row>
    <row r="37" spans="1:4" ht="13.5" customHeight="1" x14ac:dyDescent="0.25">
      <c r="A37" s="32" t="s">
        <v>798</v>
      </c>
      <c r="B37" s="35" t="s">
        <v>799</v>
      </c>
      <c r="C37" s="39">
        <v>11.85</v>
      </c>
      <c r="D37" s="35" t="s">
        <v>751</v>
      </c>
    </row>
    <row r="38" spans="1:4" ht="13.5" customHeight="1" x14ac:dyDescent="0.25">
      <c r="A38" s="31" t="s">
        <v>798</v>
      </c>
      <c r="B38" s="34" t="s">
        <v>800</v>
      </c>
      <c r="C38" s="38">
        <v>80</v>
      </c>
      <c r="D38" s="34" t="s">
        <v>762</v>
      </c>
    </row>
    <row r="39" spans="1:4" ht="13.5" customHeight="1" x14ac:dyDescent="0.25">
      <c r="A39" s="32" t="s">
        <v>798</v>
      </c>
      <c r="B39" s="35" t="s">
        <v>801</v>
      </c>
      <c r="C39" s="39">
        <v>19.399999999999999</v>
      </c>
      <c r="D39" s="35" t="s">
        <v>802</v>
      </c>
    </row>
    <row r="40" spans="1:4" ht="13.5" customHeight="1" x14ac:dyDescent="0.25">
      <c r="A40" s="31" t="s">
        <v>798</v>
      </c>
      <c r="B40" s="34" t="s">
        <v>801</v>
      </c>
      <c r="C40" s="38">
        <v>35.56</v>
      </c>
      <c r="D40" s="34" t="s">
        <v>802</v>
      </c>
    </row>
    <row r="41" spans="1:4" ht="13.5" customHeight="1" x14ac:dyDescent="0.25">
      <c r="A41" s="32" t="s">
        <v>798</v>
      </c>
      <c r="B41" s="35" t="s">
        <v>801</v>
      </c>
      <c r="C41" s="39">
        <v>40.270000000000003</v>
      </c>
      <c r="D41" s="35" t="s">
        <v>802</v>
      </c>
    </row>
    <row r="42" spans="1:4" ht="13.5" customHeight="1" x14ac:dyDescent="0.25">
      <c r="A42" s="31" t="s">
        <v>794</v>
      </c>
      <c r="B42" s="34" t="s">
        <v>795</v>
      </c>
      <c r="C42" s="38">
        <v>25</v>
      </c>
      <c r="D42" s="34" t="s">
        <v>796</v>
      </c>
    </row>
    <row r="43" spans="1:4" ht="13.5" customHeight="1" x14ac:dyDescent="0.25">
      <c r="A43" s="32" t="s">
        <v>794</v>
      </c>
      <c r="B43" s="35" t="s">
        <v>795</v>
      </c>
      <c r="C43" s="39">
        <v>150</v>
      </c>
      <c r="D43" s="35" t="s">
        <v>796</v>
      </c>
    </row>
    <row r="44" spans="1:4" ht="13.5" customHeight="1" x14ac:dyDescent="0.25">
      <c r="A44" s="31" t="s">
        <v>794</v>
      </c>
      <c r="B44" s="34" t="s">
        <v>797</v>
      </c>
      <c r="C44" s="38">
        <v>19</v>
      </c>
      <c r="D44" s="34" t="s">
        <v>766</v>
      </c>
    </row>
    <row r="45" spans="1:4" ht="13.5" customHeight="1" x14ac:dyDescent="0.25">
      <c r="A45" s="31" t="s">
        <v>792</v>
      </c>
      <c r="B45" s="34" t="s">
        <v>793</v>
      </c>
      <c r="C45" s="38">
        <v>58.13</v>
      </c>
      <c r="D45" s="34" t="s">
        <v>769</v>
      </c>
    </row>
    <row r="46" spans="1:4" ht="13.5" customHeight="1" x14ac:dyDescent="0.25">
      <c r="A46" s="32" t="s">
        <v>792</v>
      </c>
      <c r="B46" s="35" t="s">
        <v>793</v>
      </c>
      <c r="C46" s="39">
        <v>269.60000000000002</v>
      </c>
      <c r="D46" s="35" t="s">
        <v>769</v>
      </c>
    </row>
    <row r="47" spans="1:4" ht="13.5" customHeight="1" x14ac:dyDescent="0.25">
      <c r="A47" s="32" t="s">
        <v>790</v>
      </c>
      <c r="B47" s="35" t="s">
        <v>791</v>
      </c>
      <c r="C47" s="39">
        <v>17.350000000000001</v>
      </c>
      <c r="D47" s="35" t="s">
        <v>789</v>
      </c>
    </row>
    <row r="48" spans="1:4" ht="13.5" customHeight="1" x14ac:dyDescent="0.25">
      <c r="A48" s="31" t="s">
        <v>787</v>
      </c>
      <c r="B48" s="34" t="s">
        <v>788</v>
      </c>
      <c r="C48" s="38">
        <v>29</v>
      </c>
      <c r="D48" s="34" t="s">
        <v>789</v>
      </c>
    </row>
    <row r="49" spans="1:4" ht="13.5" customHeight="1" x14ac:dyDescent="0.25">
      <c r="A49" s="32" t="s">
        <v>785</v>
      </c>
      <c r="B49" s="35" t="s">
        <v>786</v>
      </c>
      <c r="C49" s="39">
        <v>268.60000000000002</v>
      </c>
      <c r="D49" s="35" t="s">
        <v>769</v>
      </c>
    </row>
    <row r="50" spans="1:4" ht="13.5" customHeight="1" x14ac:dyDescent="0.25">
      <c r="A50" s="31" t="s">
        <v>783</v>
      </c>
      <c r="B50" s="34" t="s">
        <v>784</v>
      </c>
      <c r="C50" s="38">
        <v>85</v>
      </c>
      <c r="D50" s="34" t="s">
        <v>782</v>
      </c>
    </row>
    <row r="51" spans="1:4" ht="13.5" customHeight="1" x14ac:dyDescent="0.25">
      <c r="A51" s="32" t="s">
        <v>780</v>
      </c>
      <c r="B51" s="35" t="s">
        <v>781</v>
      </c>
      <c r="C51" s="39">
        <v>-85</v>
      </c>
      <c r="D51" s="35" t="s">
        <v>782</v>
      </c>
    </row>
    <row r="52" spans="1:4" ht="13.5" customHeight="1" x14ac:dyDescent="0.25">
      <c r="A52" s="31" t="s">
        <v>778</v>
      </c>
      <c r="B52" s="34" t="s">
        <v>779</v>
      </c>
      <c r="C52" s="38">
        <v>76.33</v>
      </c>
      <c r="D52" s="34" t="s">
        <v>766</v>
      </c>
    </row>
    <row r="53" spans="1:4" ht="13.5" customHeight="1" x14ac:dyDescent="0.25">
      <c r="A53" s="41" t="s">
        <v>775</v>
      </c>
      <c r="B53" s="35" t="s">
        <v>776</v>
      </c>
      <c r="C53" s="39">
        <v>66.75</v>
      </c>
      <c r="D53" s="35" t="s">
        <v>777</v>
      </c>
    </row>
    <row r="54" spans="1:4" ht="13.5" customHeight="1" x14ac:dyDescent="0.25">
      <c r="A54" s="42" t="s">
        <v>767</v>
      </c>
      <c r="B54" s="34" t="s">
        <v>768</v>
      </c>
      <c r="C54" s="38">
        <v>30</v>
      </c>
      <c r="D54" s="34" t="s">
        <v>769</v>
      </c>
    </row>
    <row r="55" spans="1:4" ht="13.5" customHeight="1" x14ac:dyDescent="0.25">
      <c r="A55" s="41" t="s">
        <v>767</v>
      </c>
      <c r="B55" s="35" t="s">
        <v>768</v>
      </c>
      <c r="C55" s="39">
        <v>35</v>
      </c>
      <c r="D55" s="35" t="s">
        <v>769</v>
      </c>
    </row>
    <row r="56" spans="1:4" ht="13.5" customHeight="1" x14ac:dyDescent="0.25">
      <c r="A56" s="42" t="s">
        <v>767</v>
      </c>
      <c r="B56" s="34" t="s">
        <v>770</v>
      </c>
      <c r="C56" s="38">
        <v>93.69</v>
      </c>
      <c r="D56" s="34" t="s">
        <v>771</v>
      </c>
    </row>
    <row r="57" spans="1:4" ht="13.5" customHeight="1" x14ac:dyDescent="0.25">
      <c r="A57" s="41" t="s">
        <v>767</v>
      </c>
      <c r="B57" s="35" t="s">
        <v>772</v>
      </c>
      <c r="C57" s="39">
        <v>74.489999999999995</v>
      </c>
      <c r="D57" s="35" t="s">
        <v>773</v>
      </c>
    </row>
    <row r="58" spans="1:4" ht="13.5" customHeight="1" x14ac:dyDescent="0.25">
      <c r="A58" s="42" t="s">
        <v>767</v>
      </c>
      <c r="B58" s="34" t="s">
        <v>774</v>
      </c>
      <c r="C58" s="38">
        <v>17.89</v>
      </c>
      <c r="D58" s="34" t="s">
        <v>762</v>
      </c>
    </row>
    <row r="59" spans="1:4" ht="13.5" customHeight="1" x14ac:dyDescent="0.25">
      <c r="A59" s="41" t="s">
        <v>764</v>
      </c>
      <c r="B59" s="35" t="s">
        <v>765</v>
      </c>
      <c r="C59" s="39">
        <v>11.71</v>
      </c>
      <c r="D59" s="35" t="s">
        <v>766</v>
      </c>
    </row>
    <row r="60" spans="1:4" ht="13.5" customHeight="1" x14ac:dyDescent="0.25">
      <c r="A60" s="42" t="s">
        <v>763</v>
      </c>
      <c r="B60" s="34" t="s">
        <v>753</v>
      </c>
      <c r="C60" s="38">
        <v>42.54</v>
      </c>
      <c r="D60" s="34" t="s">
        <v>754</v>
      </c>
    </row>
    <row r="61" spans="1:4" ht="13.5" customHeight="1" x14ac:dyDescent="0.25">
      <c r="A61" s="41" t="s">
        <v>760</v>
      </c>
      <c r="B61" s="35" t="s">
        <v>761</v>
      </c>
      <c r="C61" s="39">
        <v>5.3</v>
      </c>
      <c r="D61" s="35" t="s">
        <v>762</v>
      </c>
    </row>
    <row r="62" spans="1:4" ht="13.5" customHeight="1" x14ac:dyDescent="0.25">
      <c r="A62" s="42" t="s">
        <v>758</v>
      </c>
      <c r="B62" s="34" t="s">
        <v>759</v>
      </c>
      <c r="C62" s="38">
        <v>40</v>
      </c>
      <c r="D62" s="34" t="s">
        <v>751</v>
      </c>
    </row>
    <row r="63" spans="1:4" ht="13.5" customHeight="1" x14ac:dyDescent="0.25">
      <c r="A63" s="41" t="s">
        <v>755</v>
      </c>
      <c r="B63" s="35" t="s">
        <v>756</v>
      </c>
      <c r="C63" s="39">
        <v>18.5</v>
      </c>
      <c r="D63" s="35" t="s">
        <v>757</v>
      </c>
    </row>
    <row r="64" spans="1:4" ht="13.5" customHeight="1" x14ac:dyDescent="0.25">
      <c r="A64" s="41" t="s">
        <v>752</v>
      </c>
      <c r="B64" s="35" t="s">
        <v>753</v>
      </c>
      <c r="C64" s="39">
        <v>12.97</v>
      </c>
      <c r="D64" s="35" t="s">
        <v>754</v>
      </c>
    </row>
    <row r="65" spans="1:4" ht="13.5" customHeight="1" x14ac:dyDescent="0.25">
      <c r="A65" s="31" t="s">
        <v>752</v>
      </c>
      <c r="B65" s="34" t="s">
        <v>753</v>
      </c>
      <c r="C65" s="38">
        <v>56.52</v>
      </c>
      <c r="D65" s="34" t="s">
        <v>754</v>
      </c>
    </row>
    <row r="66" spans="1:4" ht="13.5" customHeight="1" x14ac:dyDescent="0.25">
      <c r="A66" s="32" t="s">
        <v>747</v>
      </c>
      <c r="B66" s="35" t="s">
        <v>748</v>
      </c>
      <c r="C66" s="39">
        <v>262</v>
      </c>
      <c r="D66" s="35" t="s">
        <v>749</v>
      </c>
    </row>
    <row r="67" spans="1:4" ht="13.5" customHeight="1" x14ac:dyDescent="0.25">
      <c r="A67" s="31" t="s">
        <v>747</v>
      </c>
      <c r="B67" s="34" t="s">
        <v>750</v>
      </c>
      <c r="C67" s="38">
        <v>94.71</v>
      </c>
      <c r="D67" s="34" t="s">
        <v>751</v>
      </c>
    </row>
    <row r="68" spans="1:4" ht="13.5" customHeight="1" x14ac:dyDescent="0.25">
      <c r="A68" s="31" t="s">
        <v>744</v>
      </c>
      <c r="B68" s="34" t="s">
        <v>745</v>
      </c>
      <c r="C68" s="38">
        <v>112.87</v>
      </c>
      <c r="D68" s="34" t="s">
        <v>746</v>
      </c>
    </row>
  </sheetData>
  <autoFilter ref="A1:D1" xr:uid="{897A9265-E786-4413-81B1-B423C89FCBAB}">
    <sortState xmlns:xlrd2="http://schemas.microsoft.com/office/spreadsheetml/2017/richdata2" ref="A2:D68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7AF8-932F-4546-B745-599A449E2D57}">
  <sheetPr>
    <tabColor theme="5"/>
  </sheetPr>
  <dimension ref="A1:I34"/>
  <sheetViews>
    <sheetView zoomScale="85" zoomScaleNormal="85" workbookViewId="0">
      <selection activeCell="F35" sqref="F35"/>
    </sheetView>
  </sheetViews>
  <sheetFormatPr defaultRowHeight="15" x14ac:dyDescent="0.25"/>
  <cols>
    <col min="1" max="1" width="12.42578125" customWidth="1"/>
    <col min="2" max="2" width="44" bestFit="1" customWidth="1"/>
    <col min="3" max="3" width="19.5703125" customWidth="1"/>
    <col min="4" max="4" width="16.85546875" customWidth="1"/>
    <col min="5" max="5" width="14.7109375" customWidth="1"/>
    <col min="6" max="6" width="10.28515625" customWidth="1"/>
    <col min="8" max="8" width="13.28515625" bestFit="1" customWidth="1"/>
    <col min="9" max="9" width="25.7109375" bestFit="1" customWidth="1"/>
  </cols>
  <sheetData>
    <row r="1" spans="1:9" x14ac:dyDescent="0.25">
      <c r="A1" t="s">
        <v>517</v>
      </c>
      <c r="B1" t="s">
        <v>2</v>
      </c>
      <c r="C1" t="s">
        <v>739</v>
      </c>
      <c r="D1" t="s">
        <v>737</v>
      </c>
      <c r="E1" t="s">
        <v>738</v>
      </c>
      <c r="F1" t="s">
        <v>3</v>
      </c>
      <c r="G1" t="s">
        <v>6</v>
      </c>
      <c r="H1" t="s">
        <v>5</v>
      </c>
      <c r="I1" t="s">
        <v>8</v>
      </c>
    </row>
    <row r="2" spans="1:9" x14ac:dyDescent="0.25">
      <c r="A2" s="10">
        <v>44725</v>
      </c>
      <c r="B2" t="s">
        <v>710</v>
      </c>
      <c r="C2" s="6"/>
      <c r="D2" s="6">
        <v>11.71</v>
      </c>
      <c r="E2" s="6">
        <f>D2/2</f>
        <v>5.8550000000000004</v>
      </c>
      <c r="F2" s="7">
        <f>E2+C2</f>
        <v>5.8550000000000004</v>
      </c>
      <c r="G2" s="6" t="str">
        <f t="shared" ref="G2:G4" si="0">MONTH(A2)&amp;"/"&amp;YEAR(A2)</f>
        <v>6/2022</v>
      </c>
      <c r="H2" s="6" t="s">
        <v>54</v>
      </c>
      <c r="I2" s="6" t="str">
        <f>VLOOKUP(Table5[[#This Row],[Short_Desc]],dis_table[[#All],[Short_Desc]:[CumAmount]],4,0)</f>
        <v>Food</v>
      </c>
    </row>
    <row r="3" spans="1:9" x14ac:dyDescent="0.25">
      <c r="A3" s="10">
        <v>44727</v>
      </c>
      <c r="B3" t="s">
        <v>711</v>
      </c>
      <c r="C3" s="6"/>
      <c r="D3" s="6">
        <v>42.54</v>
      </c>
      <c r="E3" s="6">
        <f>D3/2</f>
        <v>21.27</v>
      </c>
      <c r="F3" s="7">
        <f t="shared" ref="F3:F33" si="1">E3+C3</f>
        <v>21.27</v>
      </c>
      <c r="G3" s="6" t="str">
        <f t="shared" si="0"/>
        <v>6/2022</v>
      </c>
      <c r="H3" s="6" t="s">
        <v>76</v>
      </c>
      <c r="I3" s="6" t="str">
        <f>VLOOKUP(Table5[[#This Row],[Short_Desc]],dis_table[[#All],[Short_Desc]:[CumAmount]],4,0)</f>
        <v>Transportation</v>
      </c>
    </row>
    <row r="4" spans="1:9" x14ac:dyDescent="0.25">
      <c r="A4" s="10">
        <v>44729</v>
      </c>
      <c r="B4" t="s">
        <v>712</v>
      </c>
      <c r="C4" s="6">
        <v>5.3</v>
      </c>
      <c r="D4" s="6"/>
      <c r="E4" s="6"/>
      <c r="F4" s="7">
        <f t="shared" si="1"/>
        <v>5.3</v>
      </c>
      <c r="G4" s="6" t="str">
        <f t="shared" si="0"/>
        <v>6/2022</v>
      </c>
      <c r="H4" s="6" t="s">
        <v>18</v>
      </c>
      <c r="I4" s="6" t="str">
        <f>VLOOKUP(Table5[[#This Row],[Short_Desc]],dis_table[[#All],[Short_Desc]:[CumAmount]],4,0)</f>
        <v>Food</v>
      </c>
    </row>
    <row r="5" spans="1:9" x14ac:dyDescent="0.25">
      <c r="A5" s="10">
        <v>44731</v>
      </c>
      <c r="B5" t="s">
        <v>713</v>
      </c>
      <c r="C5" s="6">
        <v>18.5</v>
      </c>
      <c r="D5" s="6"/>
      <c r="E5" s="6"/>
      <c r="F5" s="7">
        <f t="shared" si="1"/>
        <v>18.5</v>
      </c>
      <c r="G5" s="6" t="str">
        <f t="shared" ref="G5:G33" si="2">MONTH(A5)&amp;"/"&amp;YEAR(A5)</f>
        <v>6/2022</v>
      </c>
      <c r="H5" s="6" t="s">
        <v>13</v>
      </c>
      <c r="I5" s="6" t="str">
        <f>VLOOKUP(Table5[[#This Row],[Short_Desc]],dis_table[[#All],[Short_Desc]:[CumAmount]],4,0)</f>
        <v>Food</v>
      </c>
    </row>
    <row r="6" spans="1:9" x14ac:dyDescent="0.25">
      <c r="A6" s="10">
        <v>44731</v>
      </c>
      <c r="B6" t="s">
        <v>714</v>
      </c>
      <c r="C6" s="6"/>
      <c r="D6" s="6">
        <v>23.62</v>
      </c>
      <c r="E6" s="6">
        <f t="shared" ref="E6:E13" si="3">D6/2</f>
        <v>11.81</v>
      </c>
      <c r="F6" s="7">
        <f t="shared" si="1"/>
        <v>11.81</v>
      </c>
      <c r="G6" s="6" t="str">
        <f t="shared" si="2"/>
        <v>6/2022</v>
      </c>
      <c r="H6" s="6" t="s">
        <v>13</v>
      </c>
      <c r="I6" s="6" t="str">
        <f>VLOOKUP(Table5[[#This Row],[Short_Desc]],dis_table[[#All],[Short_Desc]:[CumAmount]],4,0)</f>
        <v>Food</v>
      </c>
    </row>
    <row r="7" spans="1:9" x14ac:dyDescent="0.25">
      <c r="A7" s="10">
        <v>44731</v>
      </c>
      <c r="B7" t="s">
        <v>715</v>
      </c>
      <c r="C7" s="6"/>
      <c r="D7" s="6">
        <v>497.04</v>
      </c>
      <c r="E7" s="6">
        <f t="shared" si="3"/>
        <v>248.52</v>
      </c>
      <c r="F7" s="7">
        <f t="shared" si="1"/>
        <v>248.52</v>
      </c>
      <c r="G7" s="6" t="str">
        <f t="shared" si="2"/>
        <v>6/2022</v>
      </c>
      <c r="H7" s="6" t="s">
        <v>740</v>
      </c>
      <c r="I7" t="s">
        <v>23</v>
      </c>
    </row>
    <row r="8" spans="1:9" x14ac:dyDescent="0.25">
      <c r="A8" s="10">
        <v>44732</v>
      </c>
      <c r="B8" t="s">
        <v>711</v>
      </c>
      <c r="C8" s="6"/>
      <c r="D8" s="6">
        <v>56.52</v>
      </c>
      <c r="E8" s="6">
        <f t="shared" si="3"/>
        <v>28.26</v>
      </c>
      <c r="F8" s="7">
        <f t="shared" si="1"/>
        <v>28.26</v>
      </c>
      <c r="G8" s="6" t="str">
        <f t="shared" si="2"/>
        <v>6/2022</v>
      </c>
      <c r="H8" s="6" t="s">
        <v>76</v>
      </c>
      <c r="I8" s="6" t="str">
        <f>VLOOKUP(Table5[[#This Row],[Short_Desc]],dis_table[[#All],[Short_Desc]:[CumAmount]],4,0)</f>
        <v>Transportation</v>
      </c>
    </row>
    <row r="9" spans="1:9" x14ac:dyDescent="0.25">
      <c r="A9" s="10">
        <v>44732</v>
      </c>
      <c r="B9" t="s">
        <v>711</v>
      </c>
      <c r="C9" s="6"/>
      <c r="D9" s="6">
        <v>12.97</v>
      </c>
      <c r="E9" s="6">
        <f t="shared" si="3"/>
        <v>6.4850000000000003</v>
      </c>
      <c r="F9" s="7">
        <f t="shared" si="1"/>
        <v>6.4850000000000003</v>
      </c>
      <c r="G9" s="6" t="str">
        <f t="shared" si="2"/>
        <v>6/2022</v>
      </c>
      <c r="H9" s="6" t="s">
        <v>76</v>
      </c>
      <c r="I9" s="6" t="str">
        <f>VLOOKUP(Table5[[#This Row],[Short_Desc]],dis_table[[#All],[Short_Desc]:[CumAmount]],4,0)</f>
        <v>Transportation</v>
      </c>
    </row>
    <row r="10" spans="1:9" x14ac:dyDescent="0.25">
      <c r="A10" s="10">
        <v>44732</v>
      </c>
      <c r="B10" t="s">
        <v>716</v>
      </c>
      <c r="C10" s="6"/>
      <c r="D10" s="6">
        <v>85</v>
      </c>
      <c r="E10" s="6">
        <f t="shared" si="3"/>
        <v>42.5</v>
      </c>
      <c r="F10" s="7">
        <f t="shared" si="1"/>
        <v>42.5</v>
      </c>
      <c r="G10" s="6" t="str">
        <f t="shared" si="2"/>
        <v>6/2022</v>
      </c>
      <c r="H10" s="6" t="s">
        <v>18</v>
      </c>
      <c r="I10" s="6" t="str">
        <f>VLOOKUP(Table5[[#This Row],[Short_Desc]],dis_table[[#All],[Short_Desc]:[CumAmount]],4,0)</f>
        <v>Food</v>
      </c>
    </row>
    <row r="11" spans="1:9" x14ac:dyDescent="0.25">
      <c r="A11" s="10">
        <v>44732</v>
      </c>
      <c r="B11" t="s">
        <v>717</v>
      </c>
      <c r="C11" s="6"/>
      <c r="D11" s="6">
        <v>58.06</v>
      </c>
      <c r="E11" s="6">
        <f t="shared" si="3"/>
        <v>29.03</v>
      </c>
      <c r="F11" s="7">
        <f t="shared" si="1"/>
        <v>29.03</v>
      </c>
      <c r="G11" s="6" t="str">
        <f t="shared" si="2"/>
        <v>6/2022</v>
      </c>
      <c r="H11" s="6" t="s">
        <v>743</v>
      </c>
      <c r="I11" t="s">
        <v>23</v>
      </c>
    </row>
    <row r="12" spans="1:9" x14ac:dyDescent="0.25">
      <c r="A12" s="10">
        <v>44734</v>
      </c>
      <c r="B12" t="s">
        <v>718</v>
      </c>
      <c r="C12" s="6"/>
      <c r="D12" s="6">
        <v>33.08</v>
      </c>
      <c r="E12" s="6">
        <f t="shared" si="3"/>
        <v>16.54</v>
      </c>
      <c r="F12" s="7">
        <f t="shared" si="1"/>
        <v>16.54</v>
      </c>
      <c r="G12" s="6" t="str">
        <f t="shared" si="2"/>
        <v>6/2022</v>
      </c>
      <c r="H12" s="6" t="s">
        <v>18</v>
      </c>
      <c r="I12" s="6" t="str">
        <f>VLOOKUP(Table5[[#This Row],[Short_Desc]],dis_table[[#All],[Short_Desc]:[CumAmount]],4,0)</f>
        <v>Food</v>
      </c>
    </row>
    <row r="13" spans="1:9" x14ac:dyDescent="0.25">
      <c r="A13" s="10">
        <v>44735</v>
      </c>
      <c r="B13" t="s">
        <v>719</v>
      </c>
      <c r="C13" s="6"/>
      <c r="D13" s="6">
        <v>26.22</v>
      </c>
      <c r="E13" s="6">
        <f t="shared" si="3"/>
        <v>13.11</v>
      </c>
      <c r="F13" s="7">
        <f t="shared" si="1"/>
        <v>13.11</v>
      </c>
      <c r="G13" s="6" t="str">
        <f t="shared" si="2"/>
        <v>6/2022</v>
      </c>
      <c r="H13" s="6" t="s">
        <v>18</v>
      </c>
      <c r="I13" s="6" t="str">
        <f>VLOOKUP(Table5[[#This Row],[Short_Desc]],dis_table[[#All],[Short_Desc]:[CumAmount]],4,0)</f>
        <v>Food</v>
      </c>
    </row>
    <row r="14" spans="1:9" x14ac:dyDescent="0.25">
      <c r="A14" s="10">
        <v>44736</v>
      </c>
      <c r="B14" t="s">
        <v>720</v>
      </c>
      <c r="C14" s="6">
        <v>14.37</v>
      </c>
      <c r="D14" s="6"/>
      <c r="E14" s="6"/>
      <c r="F14" s="7">
        <f t="shared" si="1"/>
        <v>14.37</v>
      </c>
      <c r="G14" s="6" t="str">
        <f t="shared" si="2"/>
        <v>6/2022</v>
      </c>
      <c r="H14" s="6" t="s">
        <v>13</v>
      </c>
      <c r="I14" s="6" t="str">
        <f>VLOOKUP(Table5[[#This Row],[Short_Desc]],dis_table[[#All],[Short_Desc]:[CumAmount]],4,0)</f>
        <v>Food</v>
      </c>
    </row>
    <row r="15" spans="1:9" x14ac:dyDescent="0.25">
      <c r="A15" s="10">
        <v>44736</v>
      </c>
      <c r="B15" t="s">
        <v>721</v>
      </c>
      <c r="C15" s="6"/>
      <c r="D15" s="6">
        <v>32.82</v>
      </c>
      <c r="E15" s="6">
        <f>D15/2</f>
        <v>16.41</v>
      </c>
      <c r="F15" s="7">
        <f t="shared" si="1"/>
        <v>16.41</v>
      </c>
      <c r="G15" s="6" t="str">
        <f t="shared" si="2"/>
        <v>6/2022</v>
      </c>
      <c r="H15" s="6" t="s">
        <v>18</v>
      </c>
      <c r="I15" s="6" t="str">
        <f>VLOOKUP(Table5[[#This Row],[Short_Desc]],dis_table[[#All],[Short_Desc]:[CumAmount]],4,0)</f>
        <v>Food</v>
      </c>
    </row>
    <row r="16" spans="1:9" x14ac:dyDescent="0.25">
      <c r="A16" s="10">
        <v>44736</v>
      </c>
      <c r="B16" t="s">
        <v>722</v>
      </c>
      <c r="C16" s="6">
        <v>711.25</v>
      </c>
      <c r="D16" s="6"/>
      <c r="E16" s="6"/>
      <c r="F16" s="7">
        <f t="shared" si="1"/>
        <v>711.25</v>
      </c>
      <c r="G16" s="6" t="str">
        <f t="shared" si="2"/>
        <v>6/2022</v>
      </c>
      <c r="H16" s="6" t="s">
        <v>742</v>
      </c>
      <c r="I16" t="s">
        <v>32</v>
      </c>
    </row>
    <row r="17" spans="1:9" x14ac:dyDescent="0.25">
      <c r="A17" s="10">
        <v>44736</v>
      </c>
      <c r="B17" t="s">
        <v>723</v>
      </c>
      <c r="C17" s="6"/>
      <c r="D17" s="6">
        <v>145.54</v>
      </c>
      <c r="E17" s="6">
        <f t="shared" ref="E17:E21" si="4">D17/2</f>
        <v>72.77</v>
      </c>
      <c r="F17" s="7">
        <f t="shared" si="1"/>
        <v>72.77</v>
      </c>
      <c r="G17" s="6" t="str">
        <f t="shared" si="2"/>
        <v>6/2022</v>
      </c>
      <c r="H17" s="6" t="s">
        <v>18</v>
      </c>
      <c r="I17" s="6" t="str">
        <f>VLOOKUP(Table5[[#This Row],[Short_Desc]],dis_table[[#All],[Short_Desc]:[CumAmount]],4,0)</f>
        <v>Food</v>
      </c>
    </row>
    <row r="18" spans="1:9" x14ac:dyDescent="0.25">
      <c r="A18" s="10">
        <v>44738</v>
      </c>
      <c r="B18" t="s">
        <v>724</v>
      </c>
      <c r="C18" s="6"/>
      <c r="D18" s="6">
        <v>44</v>
      </c>
      <c r="E18" s="6">
        <f t="shared" si="4"/>
        <v>22</v>
      </c>
      <c r="F18" s="7">
        <f t="shared" si="1"/>
        <v>22</v>
      </c>
      <c r="G18" s="6" t="str">
        <f t="shared" si="2"/>
        <v>6/2022</v>
      </c>
      <c r="H18" s="6" t="s">
        <v>18</v>
      </c>
      <c r="I18" s="6" t="str">
        <f>VLOOKUP(Table5[[#This Row],[Short_Desc]],dis_table[[#All],[Short_Desc]:[CumAmount]],4,0)</f>
        <v>Food</v>
      </c>
    </row>
    <row r="19" spans="1:9" x14ac:dyDescent="0.25">
      <c r="A19" s="10">
        <v>44738</v>
      </c>
      <c r="B19" t="s">
        <v>725</v>
      </c>
      <c r="C19" s="6"/>
      <c r="D19" s="6">
        <v>1751.05</v>
      </c>
      <c r="E19" s="6">
        <f t="shared" si="4"/>
        <v>875.52499999999998</v>
      </c>
      <c r="F19" s="7">
        <f t="shared" si="1"/>
        <v>875.52499999999998</v>
      </c>
      <c r="G19" s="6" t="str">
        <f t="shared" si="2"/>
        <v>6/2022</v>
      </c>
      <c r="H19" s="6" t="s">
        <v>740</v>
      </c>
      <c r="I19" t="s">
        <v>23</v>
      </c>
    </row>
    <row r="20" spans="1:9" x14ac:dyDescent="0.25">
      <c r="A20" s="10">
        <v>44739</v>
      </c>
      <c r="B20" t="s">
        <v>726</v>
      </c>
      <c r="C20" s="6"/>
      <c r="D20" s="6">
        <v>116</v>
      </c>
      <c r="E20" s="6">
        <f t="shared" si="4"/>
        <v>58</v>
      </c>
      <c r="F20" s="7">
        <f t="shared" si="1"/>
        <v>58</v>
      </c>
      <c r="G20" s="6" t="str">
        <f t="shared" si="2"/>
        <v>6/2022</v>
      </c>
      <c r="H20" s="6" t="s">
        <v>740</v>
      </c>
      <c r="I20" t="s">
        <v>23</v>
      </c>
    </row>
    <row r="21" spans="1:9" x14ac:dyDescent="0.25">
      <c r="A21" s="10">
        <v>44740</v>
      </c>
      <c r="B21" t="s">
        <v>727</v>
      </c>
      <c r="C21" s="6"/>
      <c r="D21" s="6">
        <v>25.71</v>
      </c>
      <c r="E21" s="6">
        <f t="shared" si="4"/>
        <v>12.855</v>
      </c>
      <c r="F21" s="7">
        <f t="shared" si="1"/>
        <v>12.855</v>
      </c>
      <c r="G21" s="6" t="str">
        <f t="shared" si="2"/>
        <v>6/2022</v>
      </c>
      <c r="H21" s="6" t="s">
        <v>18</v>
      </c>
      <c r="I21" s="6" t="str">
        <f>VLOOKUP(Table5[[#This Row],[Short_Desc]],dis_table[[#All],[Short_Desc]:[CumAmount]],4,0)</f>
        <v>Food</v>
      </c>
    </row>
    <row r="22" spans="1:9" x14ac:dyDescent="0.25">
      <c r="A22" s="10">
        <v>44741</v>
      </c>
      <c r="B22" t="s">
        <v>728</v>
      </c>
      <c r="C22" s="6"/>
      <c r="D22" s="6">
        <v>34.700000000000003</v>
      </c>
      <c r="E22" s="6">
        <f t="shared" ref="E22:E32" si="5">D22/2</f>
        <v>17.350000000000001</v>
      </c>
      <c r="F22" s="7">
        <f t="shared" si="1"/>
        <v>17.350000000000001</v>
      </c>
      <c r="G22" s="6" t="str">
        <f t="shared" si="2"/>
        <v>6/2022</v>
      </c>
      <c r="H22" s="6" t="s">
        <v>18</v>
      </c>
      <c r="I22" s="6" t="str">
        <f>VLOOKUP(Table5[[#This Row],[Short_Desc]],dis_table[[#All],[Short_Desc]:[CumAmount]],4,0)</f>
        <v>Food</v>
      </c>
    </row>
    <row r="23" spans="1:9" x14ac:dyDescent="0.25">
      <c r="A23" s="10">
        <v>44741</v>
      </c>
      <c r="B23" t="s">
        <v>729</v>
      </c>
      <c r="C23" s="6"/>
      <c r="D23" s="6">
        <v>19.88</v>
      </c>
      <c r="E23" s="6">
        <f t="shared" si="5"/>
        <v>9.94</v>
      </c>
      <c r="F23" s="7">
        <f t="shared" si="1"/>
        <v>9.94</v>
      </c>
      <c r="G23" s="6" t="str">
        <f t="shared" si="2"/>
        <v>6/2022</v>
      </c>
      <c r="H23" s="6" t="s">
        <v>34</v>
      </c>
      <c r="I23" s="6" t="str">
        <f>VLOOKUP(Table5[[#This Row],[Short_Desc]],dis_table[[#All],[Short_Desc]:[CumAmount]],4,0)</f>
        <v>Personal_Spending</v>
      </c>
    </row>
    <row r="24" spans="1:9" x14ac:dyDescent="0.25">
      <c r="A24" s="10">
        <v>44741</v>
      </c>
      <c r="B24" t="s">
        <v>730</v>
      </c>
      <c r="C24" s="6"/>
      <c r="D24" s="6">
        <v>41.7</v>
      </c>
      <c r="E24" s="6">
        <f t="shared" si="5"/>
        <v>20.85</v>
      </c>
      <c r="F24" s="7">
        <f t="shared" si="1"/>
        <v>20.85</v>
      </c>
      <c r="G24" s="6" t="str">
        <f t="shared" si="2"/>
        <v>6/2022</v>
      </c>
      <c r="H24" s="6" t="s">
        <v>13</v>
      </c>
      <c r="I24" s="6" t="str">
        <f>VLOOKUP(Table5[[#This Row],[Short_Desc]],dis_table[[#All],[Short_Desc]:[CumAmount]],4,0)</f>
        <v>Food</v>
      </c>
    </row>
    <row r="25" spans="1:9" x14ac:dyDescent="0.25">
      <c r="A25" s="10">
        <v>44741</v>
      </c>
      <c r="B25" t="s">
        <v>731</v>
      </c>
      <c r="C25" s="6"/>
      <c r="D25" s="6">
        <v>478</v>
      </c>
      <c r="E25" s="6">
        <f t="shared" si="5"/>
        <v>239</v>
      </c>
      <c r="F25" s="7">
        <f t="shared" si="1"/>
        <v>239</v>
      </c>
      <c r="G25" s="6" t="str">
        <f t="shared" si="2"/>
        <v>6/2022</v>
      </c>
      <c r="H25" s="6" t="s">
        <v>740</v>
      </c>
      <c r="I25" t="s">
        <v>23</v>
      </c>
    </row>
    <row r="26" spans="1:9" x14ac:dyDescent="0.25">
      <c r="A26" s="10">
        <v>44742</v>
      </c>
      <c r="B26" t="s">
        <v>729</v>
      </c>
      <c r="C26" s="6"/>
      <c r="D26" s="6">
        <v>46.45</v>
      </c>
      <c r="E26" s="6">
        <f t="shared" si="5"/>
        <v>23.225000000000001</v>
      </c>
      <c r="F26" s="7">
        <f t="shared" si="1"/>
        <v>23.225000000000001</v>
      </c>
      <c r="G26" s="6" t="str">
        <f t="shared" si="2"/>
        <v>6/2022</v>
      </c>
      <c r="H26" s="6" t="s">
        <v>34</v>
      </c>
      <c r="I26" s="6" t="str">
        <f>VLOOKUP(Table5[[#This Row],[Short_Desc]],dis_table[[#All],[Short_Desc]:[CumAmount]],4,0)</f>
        <v>Personal_Spending</v>
      </c>
    </row>
    <row r="27" spans="1:9" x14ac:dyDescent="0.25">
      <c r="A27" s="10">
        <v>44742</v>
      </c>
      <c r="B27" t="s">
        <v>732</v>
      </c>
      <c r="C27" s="6"/>
      <c r="D27" s="6">
        <v>21.28</v>
      </c>
      <c r="E27" s="6">
        <f t="shared" si="5"/>
        <v>10.64</v>
      </c>
      <c r="F27" s="7">
        <f t="shared" si="1"/>
        <v>10.64</v>
      </c>
      <c r="G27" s="6" t="str">
        <f t="shared" si="2"/>
        <v>6/2022</v>
      </c>
      <c r="H27" s="6" t="s">
        <v>18</v>
      </c>
      <c r="I27" s="6" t="str">
        <f>VLOOKUP(Table5[[#This Row],[Short_Desc]],dis_table[[#All],[Short_Desc]:[CumAmount]],4,0)</f>
        <v>Food</v>
      </c>
    </row>
    <row r="28" spans="1:9" x14ac:dyDescent="0.25">
      <c r="A28" s="10">
        <v>44742</v>
      </c>
      <c r="B28" t="s">
        <v>733</v>
      </c>
      <c r="C28" s="6"/>
      <c r="D28" s="6">
        <v>50.88</v>
      </c>
      <c r="E28" s="6">
        <f t="shared" si="5"/>
        <v>25.44</v>
      </c>
      <c r="F28" s="7">
        <f t="shared" si="1"/>
        <v>25.44</v>
      </c>
      <c r="G28" s="6" t="str">
        <f t="shared" si="2"/>
        <v>6/2022</v>
      </c>
      <c r="H28" s="6" t="s">
        <v>18</v>
      </c>
      <c r="I28" s="6" t="str">
        <f>VLOOKUP(Table5[[#This Row],[Short_Desc]],dis_table[[#All],[Short_Desc]:[CumAmount]],4,0)</f>
        <v>Food</v>
      </c>
    </row>
    <row r="29" spans="1:9" x14ac:dyDescent="0.25">
      <c r="A29" s="10">
        <v>44743</v>
      </c>
      <c r="B29" t="s">
        <v>734</v>
      </c>
      <c r="C29" s="6"/>
      <c r="D29" s="6">
        <v>53.5</v>
      </c>
      <c r="E29" s="6">
        <f t="shared" si="5"/>
        <v>26.75</v>
      </c>
      <c r="F29" s="7">
        <f t="shared" si="1"/>
        <v>26.75</v>
      </c>
      <c r="G29" s="6" t="str">
        <f t="shared" si="2"/>
        <v>7/2022</v>
      </c>
      <c r="H29" s="6" t="s">
        <v>13</v>
      </c>
      <c r="I29" s="6" t="str">
        <f>VLOOKUP(Table5[[#This Row],[Short_Desc]],dis_table[[#All],[Short_Desc]:[CumAmount]],4,0)</f>
        <v>Food</v>
      </c>
    </row>
    <row r="30" spans="1:9" x14ac:dyDescent="0.25">
      <c r="A30" s="10">
        <v>44743</v>
      </c>
      <c r="B30" t="s">
        <v>735</v>
      </c>
      <c r="C30" s="6"/>
      <c r="D30" s="6">
        <v>20.41</v>
      </c>
      <c r="E30" s="6">
        <f t="shared" si="5"/>
        <v>10.205</v>
      </c>
      <c r="F30" s="7">
        <f t="shared" si="1"/>
        <v>10.205</v>
      </c>
      <c r="G30" s="6" t="str">
        <f t="shared" si="2"/>
        <v>7/2022</v>
      </c>
      <c r="H30" s="6" t="s">
        <v>13</v>
      </c>
      <c r="I30" s="6" t="str">
        <f>VLOOKUP(Table5[[#This Row],[Short_Desc]],dis_table[[#All],[Short_Desc]:[CumAmount]],4,0)</f>
        <v>Food</v>
      </c>
    </row>
    <row r="31" spans="1:9" x14ac:dyDescent="0.25">
      <c r="A31" s="10">
        <v>44744</v>
      </c>
      <c r="B31" t="s">
        <v>730</v>
      </c>
      <c r="C31" s="6"/>
      <c r="D31" s="6">
        <v>38.5</v>
      </c>
      <c r="E31" s="6">
        <f t="shared" si="5"/>
        <v>19.25</v>
      </c>
      <c r="F31" s="7">
        <f t="shared" si="1"/>
        <v>19.25</v>
      </c>
      <c r="G31" s="6" t="str">
        <f t="shared" si="2"/>
        <v>7/2022</v>
      </c>
      <c r="H31" s="6" t="s">
        <v>13</v>
      </c>
      <c r="I31" s="6" t="str">
        <f>VLOOKUP(Table5[[#This Row],[Short_Desc]],dis_table[[#All],[Short_Desc]:[CumAmount]],4,0)</f>
        <v>Food</v>
      </c>
    </row>
    <row r="32" spans="1:9" x14ac:dyDescent="0.25">
      <c r="A32" s="10">
        <v>44745</v>
      </c>
      <c r="B32" t="s">
        <v>711</v>
      </c>
      <c r="C32" s="6"/>
      <c r="D32" s="6">
        <v>95.86</v>
      </c>
      <c r="E32" s="6">
        <f t="shared" si="5"/>
        <v>47.93</v>
      </c>
      <c r="F32" s="7">
        <f t="shared" si="1"/>
        <v>47.93</v>
      </c>
      <c r="G32" s="6" t="str">
        <f t="shared" si="2"/>
        <v>7/2022</v>
      </c>
      <c r="H32" s="6" t="s">
        <v>76</v>
      </c>
      <c r="I32" s="6" t="str">
        <f>VLOOKUP(Table5[[#This Row],[Short_Desc]],dis_table[[#All],[Short_Desc]:[CumAmount]],4,0)</f>
        <v>Transportation</v>
      </c>
    </row>
    <row r="33" spans="1:9" x14ac:dyDescent="0.25">
      <c r="A33" s="10">
        <v>44745</v>
      </c>
      <c r="B33" t="s">
        <v>736</v>
      </c>
      <c r="C33" s="6">
        <v>9.5399999999999991</v>
      </c>
      <c r="D33" s="6"/>
      <c r="E33" s="6"/>
      <c r="F33" s="7">
        <f t="shared" si="1"/>
        <v>9.5399999999999991</v>
      </c>
      <c r="G33" s="6" t="str">
        <f t="shared" si="2"/>
        <v>7/2022</v>
      </c>
      <c r="H33" s="6" t="s">
        <v>34</v>
      </c>
      <c r="I33" s="6" t="str">
        <f>VLOOKUP(Table5[[#This Row],[Short_Desc]],dis_table[[#All],[Short_Desc]:[CumAmount]],4,0)</f>
        <v>Personal_Spending</v>
      </c>
    </row>
    <row r="34" spans="1:9" x14ac:dyDescent="0.25">
      <c r="A34" s="10"/>
      <c r="C34" s="6"/>
      <c r="D34" s="6"/>
      <c r="E34" s="6"/>
      <c r="F34" s="7">
        <f>SUBTOTAL(109,Table5[Amount])</f>
        <v>2690.4799999999996</v>
      </c>
      <c r="G34" s="28"/>
      <c r="H34" s="6"/>
      <c r="I34" s="28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94DE-BE85-46D6-B691-CBD6605A96A7}">
  <sheetPr>
    <tabColor rgb="FFFFC000"/>
  </sheetPr>
  <dimension ref="A2:N34"/>
  <sheetViews>
    <sheetView workbookViewId="0">
      <selection activeCell="B8" sqref="B8"/>
    </sheetView>
  </sheetViews>
  <sheetFormatPr defaultRowHeight="15" x14ac:dyDescent="0.25"/>
  <cols>
    <col min="1" max="1" width="15.28515625" bestFit="1" customWidth="1"/>
    <col min="2" max="2" width="11.5703125" bestFit="1" customWidth="1"/>
    <col min="3" max="3" width="14.42578125" bestFit="1" customWidth="1"/>
    <col min="4" max="4" width="15.42578125" bestFit="1" customWidth="1"/>
    <col min="5" max="5" width="15.42578125" customWidth="1"/>
    <col min="6" max="6" width="10.5703125" bestFit="1" customWidth="1"/>
    <col min="7" max="7" width="12" bestFit="1" customWidth="1"/>
    <col min="8" max="13" width="11.5703125" bestFit="1" customWidth="1"/>
    <col min="14" max="14" width="10.85546875" bestFit="1" customWidth="1"/>
  </cols>
  <sheetData>
    <row r="2" spans="1:14" x14ac:dyDescent="0.25">
      <c r="B2" t="s">
        <v>10</v>
      </c>
      <c r="C2" t="s">
        <v>862</v>
      </c>
      <c r="D2" t="s">
        <v>863</v>
      </c>
      <c r="E2" t="s">
        <v>866</v>
      </c>
      <c r="F2" t="s">
        <v>864</v>
      </c>
    </row>
    <row r="3" spans="1:14" x14ac:dyDescent="0.25">
      <c r="A3" t="s">
        <v>858</v>
      </c>
      <c r="B3" s="6">
        <v>6077.24</v>
      </c>
      <c r="C3" s="6">
        <v>7900</v>
      </c>
      <c r="D3" s="6">
        <f>C3-B3</f>
        <v>1822.7600000000002</v>
      </c>
      <c r="E3" s="6">
        <v>120</v>
      </c>
      <c r="F3" s="43">
        <v>28</v>
      </c>
      <c r="G3">
        <f>B3/E3</f>
        <v>50.643666666666668</v>
      </c>
    </row>
    <row r="4" spans="1:14" x14ac:dyDescent="0.25">
      <c r="A4" t="s">
        <v>859</v>
      </c>
      <c r="B4" s="6">
        <v>0</v>
      </c>
      <c r="C4" s="6">
        <v>7550</v>
      </c>
      <c r="D4" s="6">
        <f t="shared" ref="D4:D5" si="0">C4-B4</f>
        <v>7550</v>
      </c>
      <c r="E4" s="6"/>
      <c r="F4" s="43">
        <v>2</v>
      </c>
    </row>
    <row r="5" spans="1:14" x14ac:dyDescent="0.25">
      <c r="A5" t="s">
        <v>860</v>
      </c>
      <c r="B5" s="6">
        <v>554.09</v>
      </c>
      <c r="C5" s="6">
        <v>4997</v>
      </c>
      <c r="D5" s="6">
        <f t="shared" si="0"/>
        <v>4442.91</v>
      </c>
      <c r="E5" s="6"/>
      <c r="F5" s="44">
        <v>14</v>
      </c>
    </row>
    <row r="6" spans="1:14" x14ac:dyDescent="0.25">
      <c r="A6" t="s">
        <v>861</v>
      </c>
      <c r="B6" s="6">
        <v>505.36</v>
      </c>
      <c r="C6" s="45"/>
      <c r="D6" s="45"/>
      <c r="E6" s="6"/>
      <c r="F6" s="44">
        <v>2</v>
      </c>
    </row>
    <row r="7" spans="1:14" x14ac:dyDescent="0.25">
      <c r="A7" t="s">
        <v>867</v>
      </c>
      <c r="B7" s="6">
        <v>22430.560000000001</v>
      </c>
      <c r="C7" s="45"/>
      <c r="D7" s="45"/>
      <c r="E7" s="6">
        <v>348</v>
      </c>
      <c r="F7" s="44"/>
    </row>
    <row r="8" spans="1:14" x14ac:dyDescent="0.25">
      <c r="A8" t="s">
        <v>868</v>
      </c>
      <c r="B8" s="6">
        <f>Table5[[#Totals],[Amount]]</f>
        <v>2690.4799999999996</v>
      </c>
    </row>
    <row r="10" spans="1:14" x14ac:dyDescent="0.25">
      <c r="B10" s="46"/>
    </row>
    <row r="12" spans="1:14" ht="15.75" thickBot="1" x14ac:dyDescent="0.3">
      <c r="A12" s="23" t="s">
        <v>876</v>
      </c>
      <c r="B12" s="10">
        <v>44771</v>
      </c>
      <c r="C12" s="10">
        <f>B12+14</f>
        <v>44785</v>
      </c>
      <c r="D12" s="10">
        <f t="shared" ref="D12" si="1">C12+14</f>
        <v>44799</v>
      </c>
      <c r="E12" s="10">
        <f t="shared" ref="E12:M12" si="2">D12+14</f>
        <v>44813</v>
      </c>
      <c r="F12" s="10">
        <f t="shared" si="2"/>
        <v>44827</v>
      </c>
      <c r="G12" s="10">
        <f t="shared" si="2"/>
        <v>44841</v>
      </c>
      <c r="H12" s="10">
        <f t="shared" si="2"/>
        <v>44855</v>
      </c>
      <c r="I12" s="10">
        <f t="shared" si="2"/>
        <v>44869</v>
      </c>
      <c r="J12" s="10">
        <f t="shared" si="2"/>
        <v>44883</v>
      </c>
      <c r="K12" s="10">
        <f t="shared" si="2"/>
        <v>44897</v>
      </c>
      <c r="L12" s="10">
        <f t="shared" si="2"/>
        <v>44911</v>
      </c>
      <c r="M12" s="10">
        <f t="shared" si="2"/>
        <v>44925</v>
      </c>
    </row>
    <row r="13" spans="1:14" x14ac:dyDescent="0.25">
      <c r="A13" t="s">
        <v>877</v>
      </c>
      <c r="B13" s="47">
        <v>2482.89</v>
      </c>
      <c r="C13" s="48">
        <v>2482.89</v>
      </c>
      <c r="D13" s="48">
        <v>2482.89</v>
      </c>
      <c r="E13" s="48">
        <v>2482.89</v>
      </c>
      <c r="F13" s="48">
        <v>2482.89</v>
      </c>
      <c r="G13" s="48">
        <v>2482.89</v>
      </c>
      <c r="H13" s="48">
        <v>2482.89</v>
      </c>
      <c r="I13" s="48">
        <v>2482.89</v>
      </c>
      <c r="J13" s="48">
        <v>2482.89</v>
      </c>
      <c r="K13" s="48">
        <v>2482.89</v>
      </c>
      <c r="L13" s="48">
        <v>2482.89</v>
      </c>
      <c r="M13" s="49">
        <v>2482.89</v>
      </c>
      <c r="N13" s="9">
        <f>SUM(B13:M13)</f>
        <v>29794.679999999997</v>
      </c>
    </row>
    <row r="14" spans="1:14" x14ac:dyDescent="0.25">
      <c r="A14" t="s">
        <v>878</v>
      </c>
      <c r="B14" s="50">
        <v>504.86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2"/>
    </row>
    <row r="15" spans="1:14" ht="15.75" thickBot="1" x14ac:dyDescent="0.3">
      <c r="A15" t="s">
        <v>865</v>
      </c>
      <c r="B15" s="53"/>
      <c r="C15" s="54"/>
      <c r="D15" s="54"/>
      <c r="E15" s="54"/>
      <c r="F15" s="54"/>
      <c r="G15" s="54">
        <v>550</v>
      </c>
      <c r="H15" s="54"/>
      <c r="I15" s="54"/>
      <c r="J15" s="54"/>
      <c r="K15" s="54"/>
      <c r="L15" s="54"/>
      <c r="M15" s="55"/>
    </row>
    <row r="16" spans="1:14" x14ac:dyDescent="0.25">
      <c r="B16" s="25">
        <f>SUM(B13:B15)</f>
        <v>2987.75</v>
      </c>
      <c r="C16" s="25">
        <f t="shared" ref="C16:M16" si="3">SUM(C13:C15)+B28</f>
        <v>2993.4</v>
      </c>
      <c r="D16" s="25">
        <f t="shared" si="3"/>
        <v>2916.8399999999997</v>
      </c>
      <c r="E16" s="25">
        <f t="shared" si="3"/>
        <v>2999.7299999999996</v>
      </c>
      <c r="F16" s="25">
        <f t="shared" si="3"/>
        <v>2944.5239999999994</v>
      </c>
      <c r="G16" s="25">
        <f t="shared" si="3"/>
        <v>3439.3179999999993</v>
      </c>
      <c r="H16" s="25">
        <f t="shared" si="3"/>
        <v>3026.1119999999992</v>
      </c>
      <c r="I16" s="25">
        <f t="shared" si="3"/>
        <v>2970.905999999999</v>
      </c>
      <c r="J16" s="25">
        <f t="shared" si="3"/>
        <v>2857.6999999999989</v>
      </c>
      <c r="K16" s="25">
        <f t="shared" si="3"/>
        <v>3340.5899999999988</v>
      </c>
      <c r="L16" s="25">
        <f t="shared" si="3"/>
        <v>3565.4799999999987</v>
      </c>
      <c r="M16" s="25">
        <f t="shared" si="3"/>
        <v>5048.369999999999</v>
      </c>
    </row>
    <row r="18" spans="1:13" ht="15.75" thickBot="1" x14ac:dyDescent="0.3">
      <c r="A18" s="23" t="s">
        <v>875</v>
      </c>
    </row>
    <row r="19" spans="1:13" x14ac:dyDescent="0.25">
      <c r="A19" t="s">
        <v>680</v>
      </c>
      <c r="B19" s="47">
        <v>1400</v>
      </c>
      <c r="C19" s="48"/>
      <c r="D19" s="48">
        <v>1400</v>
      </c>
      <c r="E19" s="48"/>
      <c r="F19" s="48"/>
      <c r="G19" s="48">
        <v>710</v>
      </c>
      <c r="H19" s="48"/>
      <c r="I19" s="48">
        <v>710</v>
      </c>
      <c r="J19" s="48"/>
      <c r="K19" s="48">
        <v>710</v>
      </c>
      <c r="L19" s="48"/>
      <c r="M19" s="49"/>
    </row>
    <row r="20" spans="1:13" x14ac:dyDescent="0.25">
      <c r="A20" t="s">
        <v>858</v>
      </c>
      <c r="B20" s="50">
        <v>1077.24</v>
      </c>
      <c r="C20" s="51">
        <v>1500</v>
      </c>
      <c r="D20" s="51">
        <v>1000</v>
      </c>
      <c r="E20" s="51">
        <v>2000</v>
      </c>
      <c r="F20" s="51">
        <v>2000</v>
      </c>
      <c r="G20" s="51">
        <v>1300</v>
      </c>
      <c r="H20" s="51">
        <v>2000</v>
      </c>
      <c r="I20" s="51">
        <v>1000</v>
      </c>
      <c r="J20" s="51">
        <v>2000</v>
      </c>
      <c r="K20" s="51">
        <v>1200</v>
      </c>
      <c r="L20" s="51">
        <v>1000</v>
      </c>
      <c r="M20" s="52">
        <v>1000</v>
      </c>
    </row>
    <row r="21" spans="1:13" x14ac:dyDescent="0.25">
      <c r="A21" t="s">
        <v>859</v>
      </c>
      <c r="B21" s="50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2">
        <v>0</v>
      </c>
    </row>
    <row r="22" spans="1:13" x14ac:dyDescent="0.25">
      <c r="A22" t="s">
        <v>860</v>
      </c>
      <c r="B22" s="50"/>
      <c r="C22" s="51">
        <v>554.09</v>
      </c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0</v>
      </c>
      <c r="M22" s="52">
        <v>0</v>
      </c>
    </row>
    <row r="23" spans="1:13" x14ac:dyDescent="0.25">
      <c r="A23" t="s">
        <v>861</v>
      </c>
      <c r="B23" s="50"/>
      <c r="C23" s="51">
        <v>505.36</v>
      </c>
      <c r="D23" s="51">
        <v>0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2">
        <v>0</v>
      </c>
    </row>
    <row r="24" spans="1:13" x14ac:dyDescent="0.25">
      <c r="A24" t="s">
        <v>867</v>
      </c>
      <c r="B24" s="50"/>
      <c r="C24" s="51"/>
      <c r="D24" s="51"/>
      <c r="E24" s="51"/>
      <c r="F24" s="51"/>
      <c r="G24" s="51">
        <f>$E$7</f>
        <v>348</v>
      </c>
      <c r="H24" s="51"/>
      <c r="I24" s="51">
        <f>$E$7</f>
        <v>348</v>
      </c>
      <c r="J24" s="51"/>
      <c r="K24" s="51">
        <f>$E$7</f>
        <v>348</v>
      </c>
      <c r="L24" s="51"/>
      <c r="M24" s="52"/>
    </row>
    <row r="25" spans="1:13" ht="15.75" thickBot="1" x14ac:dyDescent="0.3">
      <c r="A25" t="s">
        <v>868</v>
      </c>
      <c r="B25" s="53"/>
      <c r="C25" s="54"/>
      <c r="D25" s="54"/>
      <c r="E25" s="54">
        <f>B8/5</f>
        <v>538.09599999999989</v>
      </c>
      <c r="F25" s="54">
        <v>538.09599999999989</v>
      </c>
      <c r="G25" s="54">
        <v>538.09599999999989</v>
      </c>
      <c r="H25" s="54">
        <v>538.09599999999989</v>
      </c>
      <c r="I25" s="54">
        <v>538.09599999999989</v>
      </c>
      <c r="J25" s="54"/>
      <c r="K25" s="54"/>
      <c r="L25" s="54"/>
      <c r="M25" s="55"/>
    </row>
    <row r="26" spans="1:13" x14ac:dyDescent="0.25">
      <c r="B26" s="25">
        <f>SUM(B19:B25)</f>
        <v>2477.2399999999998</v>
      </c>
      <c r="C26" s="25">
        <f t="shared" ref="C26:M26" si="4">SUM(C19:C25)</f>
        <v>2559.4500000000003</v>
      </c>
      <c r="D26" s="25">
        <f t="shared" si="4"/>
        <v>2400</v>
      </c>
      <c r="E26" s="25">
        <f t="shared" si="4"/>
        <v>2538.096</v>
      </c>
      <c r="F26" s="25">
        <f t="shared" si="4"/>
        <v>2538.096</v>
      </c>
      <c r="G26" s="25">
        <f t="shared" si="4"/>
        <v>2896.096</v>
      </c>
      <c r="H26" s="25">
        <f t="shared" si="4"/>
        <v>2538.096</v>
      </c>
      <c r="I26" s="25">
        <f t="shared" si="4"/>
        <v>2596.096</v>
      </c>
      <c r="J26" s="25">
        <f t="shared" si="4"/>
        <v>2000</v>
      </c>
      <c r="K26" s="25">
        <f t="shared" si="4"/>
        <v>2258</v>
      </c>
      <c r="L26" s="25">
        <f t="shared" si="4"/>
        <v>1000</v>
      </c>
      <c r="M26" s="25">
        <f t="shared" si="4"/>
        <v>1000</v>
      </c>
    </row>
    <row r="28" spans="1:13" x14ac:dyDescent="0.25">
      <c r="B28" s="25">
        <f t="shared" ref="B28:M28" si="5">B16-B26</f>
        <v>510.51000000000022</v>
      </c>
      <c r="C28" s="25">
        <f t="shared" si="5"/>
        <v>433.94999999999982</v>
      </c>
      <c r="D28" s="25">
        <f t="shared" si="5"/>
        <v>516.83999999999969</v>
      </c>
      <c r="E28" s="25">
        <f t="shared" si="5"/>
        <v>461.63399999999956</v>
      </c>
      <c r="F28" s="25">
        <f t="shared" si="5"/>
        <v>406.42799999999943</v>
      </c>
      <c r="G28" s="25">
        <f t="shared" si="5"/>
        <v>543.2219999999993</v>
      </c>
      <c r="H28" s="25">
        <f t="shared" si="5"/>
        <v>488.01599999999917</v>
      </c>
      <c r="I28" s="25">
        <f t="shared" si="5"/>
        <v>374.80999999999904</v>
      </c>
      <c r="J28" s="25">
        <f t="shared" si="5"/>
        <v>857.69999999999891</v>
      </c>
      <c r="K28" s="25">
        <f t="shared" si="5"/>
        <v>1082.5899999999988</v>
      </c>
      <c r="L28" s="25">
        <f t="shared" si="5"/>
        <v>2565.4799999999987</v>
      </c>
      <c r="M28" s="25">
        <f t="shared" si="5"/>
        <v>4048.369999999999</v>
      </c>
    </row>
    <row r="29" spans="1:13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x14ac:dyDescent="0.25">
      <c r="A30" s="23" t="s">
        <v>874</v>
      </c>
    </row>
    <row r="31" spans="1:13" x14ac:dyDescent="0.25">
      <c r="A31" t="s">
        <v>872</v>
      </c>
      <c r="B31" s="25">
        <f>B3</f>
        <v>6077.24</v>
      </c>
      <c r="C31" s="25">
        <f>B34</f>
        <v>6000</v>
      </c>
      <c r="D31" s="25">
        <f t="shared" ref="D31:G31" si="6">C34</f>
        <v>5500</v>
      </c>
      <c r="E31" s="25">
        <f t="shared" si="6"/>
        <v>5500</v>
      </c>
      <c r="F31" s="25">
        <f t="shared" si="6"/>
        <v>4500</v>
      </c>
      <c r="G31" s="25">
        <f t="shared" si="6"/>
        <v>3500</v>
      </c>
      <c r="H31" s="25">
        <f t="shared" ref="H31:M31" si="7">G34</f>
        <v>3200</v>
      </c>
      <c r="I31" s="25">
        <f t="shared" si="7"/>
        <v>2200</v>
      </c>
      <c r="J31" s="25">
        <f t="shared" si="7"/>
        <v>2200</v>
      </c>
      <c r="K31" s="25">
        <f t="shared" si="7"/>
        <v>1200</v>
      </c>
      <c r="L31" s="25">
        <f t="shared" si="7"/>
        <v>1000</v>
      </c>
      <c r="M31" s="25">
        <f t="shared" si="7"/>
        <v>1000</v>
      </c>
    </row>
    <row r="32" spans="1:13" x14ac:dyDescent="0.25">
      <c r="A32" t="s">
        <v>871</v>
      </c>
      <c r="B32" s="25">
        <f>B31-B20</f>
        <v>5000</v>
      </c>
      <c r="C32" s="25">
        <f t="shared" ref="C32:I32" si="8">C31-C20</f>
        <v>4500</v>
      </c>
      <c r="D32" s="25">
        <f t="shared" si="8"/>
        <v>4500</v>
      </c>
      <c r="E32" s="25">
        <f t="shared" si="8"/>
        <v>3500</v>
      </c>
      <c r="F32" s="25">
        <f t="shared" si="8"/>
        <v>2500</v>
      </c>
      <c r="G32" s="25">
        <f t="shared" si="8"/>
        <v>2200</v>
      </c>
      <c r="H32" s="25">
        <f t="shared" si="8"/>
        <v>1200</v>
      </c>
      <c r="I32" s="25">
        <f t="shared" si="8"/>
        <v>1200</v>
      </c>
      <c r="J32" s="25">
        <f t="shared" ref="J32" si="9">J31-J20</f>
        <v>200</v>
      </c>
      <c r="K32" s="25">
        <f t="shared" ref="K32" si="10">K31-K20</f>
        <v>0</v>
      </c>
      <c r="L32" s="25">
        <f t="shared" ref="L32" si="11">L31-L20</f>
        <v>0</v>
      </c>
      <c r="M32" s="25">
        <f t="shared" ref="M32" si="12">M31-M20</f>
        <v>0</v>
      </c>
    </row>
    <row r="33" spans="1:13" x14ac:dyDescent="0.25">
      <c r="A33" t="s">
        <v>870</v>
      </c>
      <c r="B33" s="6">
        <v>1000</v>
      </c>
      <c r="C33" s="6">
        <v>1000</v>
      </c>
      <c r="D33" s="6">
        <v>1000</v>
      </c>
      <c r="E33" s="6">
        <v>1000</v>
      </c>
      <c r="F33" s="6">
        <v>1000</v>
      </c>
      <c r="G33" s="6">
        <v>1000</v>
      </c>
      <c r="H33" s="6">
        <v>1000</v>
      </c>
      <c r="I33" s="6">
        <v>1000</v>
      </c>
      <c r="J33" s="6">
        <v>1000</v>
      </c>
      <c r="K33" s="6">
        <v>1000</v>
      </c>
      <c r="L33" s="6">
        <v>1000</v>
      </c>
      <c r="M33" s="6">
        <v>1000</v>
      </c>
    </row>
    <row r="34" spans="1:13" x14ac:dyDescent="0.25">
      <c r="A34" t="s">
        <v>873</v>
      </c>
      <c r="B34" s="6">
        <f>B32+B33</f>
        <v>6000</v>
      </c>
      <c r="C34" s="6">
        <f t="shared" ref="C34:G34" si="13">C32+C33</f>
        <v>5500</v>
      </c>
      <c r="D34" s="6">
        <f t="shared" si="13"/>
        <v>5500</v>
      </c>
      <c r="E34" s="6">
        <f t="shared" si="13"/>
        <v>4500</v>
      </c>
      <c r="F34" s="6">
        <f t="shared" si="13"/>
        <v>3500</v>
      </c>
      <c r="G34" s="6">
        <f t="shared" si="13"/>
        <v>3200</v>
      </c>
      <c r="H34" s="6">
        <f t="shared" ref="H34" si="14">H32+H33</f>
        <v>2200</v>
      </c>
      <c r="I34" s="6">
        <f t="shared" ref="I34" si="15">I32+I33</f>
        <v>2200</v>
      </c>
      <c r="J34" s="6">
        <f t="shared" ref="J34" si="16">J32+J33</f>
        <v>1200</v>
      </c>
      <c r="K34" s="6">
        <f t="shared" ref="K34" si="17">K32+K33</f>
        <v>1000</v>
      </c>
      <c r="L34" s="6">
        <f t="shared" ref="L34" si="18">L32+L33</f>
        <v>1000</v>
      </c>
      <c r="M34" s="6">
        <f t="shared" ref="M34" si="19">M32+M33</f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5736-7084-4616-B983-2AF76ED36A6A}">
  <sheetPr>
    <tabColor theme="4"/>
  </sheetPr>
  <dimension ref="B2:K28"/>
  <sheetViews>
    <sheetView workbookViewId="0">
      <selection activeCell="I8" sqref="I8"/>
    </sheetView>
  </sheetViews>
  <sheetFormatPr defaultRowHeight="15" x14ac:dyDescent="0.25"/>
  <cols>
    <col min="2" max="2" width="24.85546875" bestFit="1" customWidth="1"/>
    <col min="3" max="9" width="11.28515625" customWidth="1"/>
    <col min="10" max="10" width="9.7109375" customWidth="1"/>
  </cols>
  <sheetData>
    <row r="2" spans="2:11" x14ac:dyDescent="0.25">
      <c r="B2" s="23" t="s">
        <v>869</v>
      </c>
      <c r="C2" t="s">
        <v>14</v>
      </c>
      <c r="D2" t="s">
        <v>117</v>
      </c>
      <c r="E2" t="s">
        <v>145</v>
      </c>
      <c r="F2" t="s">
        <v>233</v>
      </c>
      <c r="G2" t="s">
        <v>290</v>
      </c>
      <c r="H2" t="s">
        <v>364</v>
      </c>
      <c r="I2" t="s">
        <v>420</v>
      </c>
      <c r="J2" t="s">
        <v>489</v>
      </c>
    </row>
    <row r="3" spans="2:11" x14ac:dyDescent="0.25">
      <c r="B3" t="s">
        <v>16</v>
      </c>
      <c r="C3" s="8">
        <f>SUMIFS(dis_table[Amount],dis_table[Category_2],'Category Summary'!$B3,dis_table[Date],'Category Summary'!C$2) +SUMIFS(cc_table[Amount],cc_table[Category_2],'Category Summary'!$B3,cc_table[Date],'Category Summary'!C$2) + SUMIFS(bb_table[Amount],bb_table[Category_2],'Category Summary'!$B3,bb_table[Date],'Category Summary'!C$2) + SUMIFS(Table5[Amount],Table5[Category_2],'Category Summary'!$B3,Table5[Date],'Category Summary'!C$2)+C18*-1</f>
        <v>587.29</v>
      </c>
      <c r="D3" s="8">
        <f>SUMIFS(dis_table[Amount],dis_table[Category_2],'Category Summary'!$B3,dis_table[Date],'Category Summary'!D$2) +SUMIFS(cc_table[Amount],cc_table[Category_2],'Category Summary'!$B3,cc_table[Date],'Category Summary'!D$2) + SUMIFS(bb_table[Amount],bb_table[Category_2],'Category Summary'!$B3,bb_table[Date],'Category Summary'!D$2) + SUMIFS(Table5[Amount],Table5[Category_2],'Category Summary'!$B3,Table5[Date],'Category Summary'!D$2)+D18*-1</f>
        <v>248.29</v>
      </c>
      <c r="E3" s="8">
        <f>SUMIFS(dis_table[Amount],dis_table[Category_2],'Category Summary'!$B3,dis_table[Date],'Category Summary'!E$2) +SUMIFS(cc_table[Amount],cc_table[Category_2],'Category Summary'!$B3,cc_table[Date],'Category Summary'!E$2) + SUMIFS(bb_table[Amount],bb_table[Category_2],'Category Summary'!$B3,bb_table[Date],'Category Summary'!E$2) + SUMIFS(Table5[Amount],Table5[Category_2],'Category Summary'!$B3,Table5[Date],'Category Summary'!E$2)+E18*-1</f>
        <v>1231.2499999999998</v>
      </c>
      <c r="F3" s="8">
        <f>SUMIFS(dis_table[Amount],dis_table[Category_2],'Category Summary'!$B3,dis_table[Date],'Category Summary'!F$2) +SUMIFS(cc_table[Amount],cc_table[Category_2],'Category Summary'!$B3,cc_table[Date],'Category Summary'!F$2) + SUMIFS(bb_table[Amount],bb_table[Category_2],'Category Summary'!$B3,bb_table[Date],'Category Summary'!F$2) + SUMIFS(Table5[Amount],Table5[Category_2],'Category Summary'!$B3,Table5[Date],'Category Summary'!F$2)+F18*-1</f>
        <v>945.31000000000029</v>
      </c>
      <c r="G3" s="8">
        <f>SUMIFS(dis_table[Amount],dis_table[Category_2],'Category Summary'!$B3,dis_table[Date],'Category Summary'!G$2) +SUMIFS(cc_table[Amount],cc_table[Category_2],'Category Summary'!$B3,cc_table[Date],'Category Summary'!G$2) + SUMIFS(bb_table[Amount],bb_table[Category_2],'Category Summary'!$B3,bb_table[Date],'Category Summary'!G$2) + SUMIFS(Table5[Amount],Table5[Category_2],'Category Summary'!$B3,Table5[Date],'Category Summary'!G$2)+G18*-1</f>
        <v>766.29</v>
      </c>
      <c r="H3" s="8">
        <f>SUMIFS(dis_table[Amount],dis_table[Category_2],'Category Summary'!$B3,dis_table[Date],'Category Summary'!H$2) +SUMIFS(cc_table[Amount],cc_table[Category_2],'Category Summary'!$B3,cc_table[Date],'Category Summary'!H$2) + SUMIFS(bb_table[Amount],bb_table[Category_2],'Category Summary'!$B3,bb_table[Date],'Category Summary'!H$2) + SUMIFS(Table5[Amount],Table5[Category_2],'Category Summary'!$B3,Table5[Date],'Category Summary'!H$2)+H18*-1</f>
        <v>945.77000000000021</v>
      </c>
      <c r="I3" s="8">
        <f>SUMIFS(dis_table[Amount],dis_table[Category_2],'Category Summary'!$B3,dis_table[Date],'Category Summary'!I$2) +SUMIFS(cc_table[Amount],cc_table[Category_2],'Category Summary'!$B3,cc_table[Date],'Category Summary'!I$2) + SUMIFS(bb_table[Amount],bb_table[Category_2],'Category Summary'!$B3,bb_table[Date],'Category Summary'!I$2) + SUMIFS(Table5[Amount],Table5[Category_2],'Category Summary'!$B3,Table5[Date],'Category Summary'!I$2)+I18*-1</f>
        <v>735.44499999999994</v>
      </c>
      <c r="J3" s="13">
        <f>SUM(C3:I3)</f>
        <v>5459.6450000000004</v>
      </c>
      <c r="K3" s="27">
        <f>J3/$J$27</f>
        <v>0.1486266791346969</v>
      </c>
    </row>
    <row r="4" spans="2:11" x14ac:dyDescent="0.25">
      <c r="B4" t="s">
        <v>23</v>
      </c>
      <c r="C4" s="8">
        <f>SUMIFS(dis_table[Amount],dis_table[Category_2],'Category Summary'!$B4,dis_table[Date],'Category Summary'!C$2) +SUMIFS(cc_table[Amount],cc_table[Category_2],'Category Summary'!$B4,cc_table[Date],'Category Summary'!C$2) + SUMIFS(bb_table[Amount],bb_table[Category_2],'Category Summary'!$B4,bb_table[Date],'Category Summary'!C$2) + SUMIFS(Table5[Amount],Table5[Category_2],'Category Summary'!$B4,Table5[Date],'Category Summary'!C$2)+C19*-1</f>
        <v>849.09</v>
      </c>
      <c r="D4" s="8">
        <f>SUMIFS(dis_table[Amount],dis_table[Category_2],'Category Summary'!$B4,dis_table[Date],'Category Summary'!D$2) +SUMIFS(cc_table[Amount],cc_table[Category_2],'Category Summary'!$B4,cc_table[Date],'Category Summary'!D$2) + SUMIFS(bb_table[Amount],bb_table[Category_2],'Category Summary'!$B4,bb_table[Date],'Category Summary'!D$2) + SUMIFS(Table5[Amount],Table5[Category_2],'Category Summary'!$B4,Table5[Date],'Category Summary'!D$2)+D19*-1</f>
        <v>528.66000000000008</v>
      </c>
      <c r="E4" s="8">
        <f>SUMIFS(dis_table[Amount],dis_table[Category_2],'Category Summary'!$B4,dis_table[Date],'Category Summary'!E$2) +SUMIFS(cc_table[Amount],cc_table[Category_2],'Category Summary'!$B4,cc_table[Date],'Category Summary'!E$2) + SUMIFS(bb_table[Amount],bb_table[Category_2],'Category Summary'!$B4,bb_table[Date],'Category Summary'!E$2) + SUMIFS(Table5[Amount],Table5[Category_2],'Category Summary'!$B4,Table5[Date],'Category Summary'!E$2)+E19*-1</f>
        <v>887.46999999999991</v>
      </c>
      <c r="F4" s="8">
        <f>SUMIFS(dis_table[Amount],dis_table[Category_2],'Category Summary'!$B4,dis_table[Date],'Category Summary'!F$2) +SUMIFS(cc_table[Amount],cc_table[Category_2],'Category Summary'!$B4,cc_table[Date],'Category Summary'!F$2) + SUMIFS(bb_table[Amount],bb_table[Category_2],'Category Summary'!$B4,bb_table[Date],'Category Summary'!F$2) + SUMIFS(Table5[Amount],Table5[Category_2],'Category Summary'!$B4,Table5[Date],'Category Summary'!F$2)+F19*-1</f>
        <v>695.0200000000001</v>
      </c>
      <c r="G4" s="8">
        <f>SUMIFS(dis_table[Amount],dis_table[Category_2],'Category Summary'!$B4,dis_table[Date],'Category Summary'!G$2) +SUMIFS(cc_table[Amount],cc_table[Category_2],'Category Summary'!$B4,cc_table[Date],'Category Summary'!G$2) + SUMIFS(bb_table[Amount],bb_table[Category_2],'Category Summary'!$B4,bb_table[Date],'Category Summary'!G$2) + SUMIFS(Table5[Amount],Table5[Category_2],'Category Summary'!$B4,Table5[Date],'Category Summary'!G$2)+G19*-1</f>
        <v>2111.44</v>
      </c>
      <c r="H4" s="8">
        <f>SUMIFS(dis_table[Amount],dis_table[Category_2],'Category Summary'!$B4,dis_table[Date],'Category Summary'!H$2) +SUMIFS(cc_table[Amount],cc_table[Category_2],'Category Summary'!$B4,cc_table[Date],'Category Summary'!H$2) + SUMIFS(bb_table[Amount],bb_table[Category_2],'Category Summary'!$B4,bb_table[Date],'Category Summary'!H$2) + SUMIFS(Table5[Amount],Table5[Category_2],'Category Summary'!$B4,Table5[Date],'Category Summary'!H$2)+H19*-1</f>
        <v>2665.9350000000004</v>
      </c>
      <c r="I4" s="8">
        <f>SUMIFS(dis_table[Amount],dis_table[Category_2],'Category Summary'!$B4,dis_table[Date],'Category Summary'!I$2) +SUMIFS(cc_table[Amount],cc_table[Category_2],'Category Summary'!$B4,cc_table[Date],'Category Summary'!I$2) + SUMIFS(bb_table[Amount],bb_table[Category_2],'Category Summary'!$B4,bb_table[Date],'Category Summary'!I$2) + SUMIFS(Table5[Amount],Table5[Category_2],'Category Summary'!$B4,Table5[Date],'Category Summary'!I$2)+I19*-1</f>
        <v>739.41</v>
      </c>
      <c r="J4" s="13">
        <f t="shared" ref="J4:J12" si="0">SUM(C4:I4)</f>
        <v>8477.0250000000015</v>
      </c>
      <c r="K4" s="27">
        <f t="shared" ref="K4:K12" si="1">J4/$J$27</f>
        <v>0.23076813138799396</v>
      </c>
    </row>
    <row r="5" spans="2:11" x14ac:dyDescent="0.25">
      <c r="B5" t="s">
        <v>32</v>
      </c>
      <c r="C5" s="8">
        <f>SUMIFS(dis_table[Amount],dis_table[Category_2],'Category Summary'!$B5,dis_table[Date],'Category Summary'!C$2) +SUMIFS(cc_table[Amount],cc_table[Category_2],'Category Summary'!$B5,cc_table[Date],'Category Summary'!C$2) + SUMIFS(bb_table[Amount],bb_table[Category_2],'Category Summary'!$B5,bb_table[Date],'Category Summary'!C$2) + SUMIFS(Table5[Amount],Table5[Category_2],'Category Summary'!$B5,Table5[Date],'Category Summary'!C$2)+C20*-1</f>
        <v>826.69999999999993</v>
      </c>
      <c r="D5" s="8">
        <f>SUMIFS(dis_table[Amount],dis_table[Category_2],'Category Summary'!$B5,dis_table[Date],'Category Summary'!D$2) +SUMIFS(cc_table[Amount],cc_table[Category_2],'Category Summary'!$B5,cc_table[Date],'Category Summary'!D$2) + SUMIFS(bb_table[Amount],bb_table[Category_2],'Category Summary'!$B5,bb_table[Date],'Category Summary'!D$2) + SUMIFS(Table5[Amount],Table5[Category_2],'Category Summary'!$B5,Table5[Date],'Category Summary'!D$2)+D20*-1</f>
        <v>336.7</v>
      </c>
      <c r="E5" s="8">
        <f>SUMIFS(dis_table[Amount],dis_table[Category_2],'Category Summary'!$B5,dis_table[Date],'Category Summary'!E$2) +SUMIFS(cc_table[Amount],cc_table[Category_2],'Category Summary'!$B5,cc_table[Date],'Category Summary'!E$2) + SUMIFS(bb_table[Amount],bb_table[Category_2],'Category Summary'!$B5,bb_table[Date],'Category Summary'!E$2) + SUMIFS(Table5[Amount],Table5[Category_2],'Category Summary'!$B5,Table5[Date],'Category Summary'!E$2)+E20*-1</f>
        <v>726.8900000000001</v>
      </c>
      <c r="F5" s="8">
        <f>SUMIFS(dis_table[Amount],dis_table[Category_2],'Category Summary'!$B5,dis_table[Date],'Category Summary'!F$2) +SUMIFS(cc_table[Amount],cc_table[Category_2],'Category Summary'!$B5,cc_table[Date],'Category Summary'!F$2) + SUMIFS(bb_table[Amount],bb_table[Category_2],'Category Summary'!$B5,bb_table[Date],'Category Summary'!F$2) + SUMIFS(Table5[Amount],Table5[Category_2],'Category Summary'!$B5,Table5[Date],'Category Summary'!F$2)+F20*-1</f>
        <v>185.98</v>
      </c>
      <c r="G5" s="8">
        <f>SUMIFS(dis_table[Amount],dis_table[Category_2],'Category Summary'!$B5,dis_table[Date],'Category Summary'!G$2) +SUMIFS(cc_table[Amount],cc_table[Category_2],'Category Summary'!$B5,cc_table[Date],'Category Summary'!G$2) + SUMIFS(bb_table[Amount],bb_table[Category_2],'Category Summary'!$B5,bb_table[Date],'Category Summary'!G$2) + SUMIFS(Table5[Amount],Table5[Category_2],'Category Summary'!$B5,Table5[Date],'Category Summary'!G$2)+G20*-1</f>
        <v>1010.8299999999999</v>
      </c>
      <c r="H5" s="8">
        <f>SUMIFS(dis_table[Amount],dis_table[Category_2],'Category Summary'!$B5,dis_table[Date],'Category Summary'!H$2) +SUMIFS(cc_table[Amount],cc_table[Category_2],'Category Summary'!$B5,cc_table[Date],'Category Summary'!H$2) + SUMIFS(bb_table[Amount],bb_table[Category_2],'Category Summary'!$B5,bb_table[Date],'Category Summary'!H$2) + SUMIFS(Table5[Amount],Table5[Category_2],'Category Summary'!$B5,Table5[Date],'Category Summary'!H$2)+H20*-1</f>
        <v>1392.5250000000001</v>
      </c>
      <c r="I5" s="8">
        <f>SUMIFS(dis_table[Amount],dis_table[Category_2],'Category Summary'!$B5,dis_table[Date],'Category Summary'!I$2) +SUMIFS(cc_table[Amount],cc_table[Category_2],'Category Summary'!$B5,cc_table[Date],'Category Summary'!I$2) + SUMIFS(bb_table[Amount],bb_table[Category_2],'Category Summary'!$B5,bb_table[Date],'Category Summary'!I$2) + SUMIFS(Table5[Amount],Table5[Category_2],'Category Summary'!$B5,Table5[Date],'Category Summary'!I$2)+I20*-1</f>
        <v>416.79</v>
      </c>
      <c r="J5" s="13">
        <f t="shared" si="0"/>
        <v>4896.415</v>
      </c>
      <c r="K5" s="27">
        <f t="shared" si="1"/>
        <v>0.13329399642564982</v>
      </c>
    </row>
    <row r="6" spans="2:11" x14ac:dyDescent="0.25">
      <c r="B6" t="s">
        <v>42</v>
      </c>
      <c r="C6" s="8">
        <f>SUMIFS(dis_table[Amount],dis_table[Category_2],'Category Summary'!$B6,dis_table[Date],'Category Summary'!C$2) +SUMIFS(cc_table[Amount],cc_table[Category_2],'Category Summary'!$B6,cc_table[Date],'Category Summary'!C$2) + SUMIFS(bb_table[Amount],bb_table[Category_2],'Category Summary'!$B6,bb_table[Date],'Category Summary'!C$2) + SUMIFS(Table5[Amount],Table5[Category_2],'Category Summary'!$B6,Table5[Date],'Category Summary'!C$2)+C21*-1</f>
        <v>145.57</v>
      </c>
      <c r="D6" s="8">
        <f>SUMIFS(dis_table[Amount],dis_table[Category_2],'Category Summary'!$B6,dis_table[Date],'Category Summary'!D$2) +SUMIFS(cc_table[Amount],cc_table[Category_2],'Category Summary'!$B6,cc_table[Date],'Category Summary'!D$2) + SUMIFS(bb_table[Amount],bb_table[Category_2],'Category Summary'!$B6,bb_table[Date],'Category Summary'!D$2) + SUMIFS(Table5[Amount],Table5[Category_2],'Category Summary'!$B6,Table5[Date],'Category Summary'!D$2)+D21*-1</f>
        <v>333.19</v>
      </c>
      <c r="E6" s="8">
        <f>SUMIFS(dis_table[Amount],dis_table[Category_2],'Category Summary'!$B6,dis_table[Date],'Category Summary'!E$2) +SUMIFS(cc_table[Amount],cc_table[Category_2],'Category Summary'!$B6,cc_table[Date],'Category Summary'!E$2) + SUMIFS(bb_table[Amount],bb_table[Category_2],'Category Summary'!$B6,bb_table[Date],'Category Summary'!E$2) + SUMIFS(Table5[Amount],Table5[Category_2],'Category Summary'!$B6,Table5[Date],'Category Summary'!E$2)+E21*-1</f>
        <v>307.96000000000004</v>
      </c>
      <c r="F6" s="8">
        <f>SUMIFS(dis_table[Amount],dis_table[Category_2],'Category Summary'!$B6,dis_table[Date],'Category Summary'!F$2) +SUMIFS(cc_table[Amount],cc_table[Category_2],'Category Summary'!$B6,cc_table[Date],'Category Summary'!F$2) + SUMIFS(bb_table[Amount],bb_table[Category_2],'Category Summary'!$B6,bb_table[Date],'Category Summary'!F$2) + SUMIFS(Table5[Amount],Table5[Category_2],'Category Summary'!$B6,Table5[Date],'Category Summary'!F$2)+F21*-1</f>
        <v>316.06999999999994</v>
      </c>
      <c r="G6" s="8">
        <f>SUMIFS(dis_table[Amount],dis_table[Category_2],'Category Summary'!$B6,dis_table[Date],'Category Summary'!G$2) +SUMIFS(cc_table[Amount],cc_table[Category_2],'Category Summary'!$B6,cc_table[Date],'Category Summary'!G$2) + SUMIFS(bb_table[Amount],bb_table[Category_2],'Category Summary'!$B6,bb_table[Date],'Category Summary'!G$2) + SUMIFS(Table5[Amount],Table5[Category_2],'Category Summary'!$B6,Table5[Date],'Category Summary'!G$2)+G21*-1</f>
        <v>682.91000000000008</v>
      </c>
      <c r="H6" s="8">
        <f>SUMIFS(dis_table[Amount],dis_table[Category_2],'Category Summary'!$B6,dis_table[Date],'Category Summary'!H$2) +SUMIFS(cc_table[Amount],cc_table[Category_2],'Category Summary'!$B6,cc_table[Date],'Category Summary'!H$2) + SUMIFS(bb_table[Amount],bb_table[Category_2],'Category Summary'!$B6,bb_table[Date],'Category Summary'!H$2) + SUMIFS(Table5[Amount],Table5[Category_2],'Category Summary'!$B6,Table5[Date],'Category Summary'!H$2)+H21*-1</f>
        <v>511.85499999999996</v>
      </c>
      <c r="I6" s="8">
        <f>SUMIFS(dis_table[Amount],dis_table[Category_2],'Category Summary'!$B6,dis_table[Date],'Category Summary'!I$2) +SUMIFS(cc_table[Amount],cc_table[Category_2],'Category Summary'!$B6,cc_table[Date],'Category Summary'!I$2) + SUMIFS(bb_table[Amount],bb_table[Category_2],'Category Summary'!$B6,bb_table[Date],'Category Summary'!I$2) + SUMIFS(Table5[Amount],Table5[Category_2],'Category Summary'!$B6,Table5[Date],'Category Summary'!I$2)+I21*-1</f>
        <v>838.13</v>
      </c>
      <c r="J6" s="13">
        <f t="shared" si="0"/>
        <v>3135.6849999999999</v>
      </c>
      <c r="K6" s="27">
        <f t="shared" si="1"/>
        <v>8.5362042470248894E-2</v>
      </c>
    </row>
    <row r="7" spans="2:11" x14ac:dyDescent="0.25">
      <c r="B7" t="s">
        <v>60</v>
      </c>
      <c r="C7" s="8">
        <f>SUMIFS(dis_table[Amount],dis_table[Category_2],'Category Summary'!$B7,dis_table[Date],'Category Summary'!C$2) +SUMIFS(cc_table[Amount],cc_table[Category_2],'Category Summary'!$B7,cc_table[Date],'Category Summary'!C$2) + SUMIFS(bb_table[Amount],bb_table[Category_2],'Category Summary'!$B7,bb_table[Date],'Category Summary'!C$2) + SUMIFS(Table5[Amount],Table5[Category_2],'Category Summary'!$B7,Table5[Date],'Category Summary'!C$2)+C22*-1</f>
        <v>36.489999999999995</v>
      </c>
      <c r="D7" s="8">
        <f>SUMIFS(dis_table[Amount],dis_table[Category_2],'Category Summary'!$B7,dis_table[Date],'Category Summary'!D$2) +SUMIFS(cc_table[Amount],cc_table[Category_2],'Category Summary'!$B7,cc_table[Date],'Category Summary'!D$2) + SUMIFS(bb_table[Amount],bb_table[Category_2],'Category Summary'!$B7,bb_table[Date],'Category Summary'!D$2) + SUMIFS(Table5[Amount],Table5[Category_2],'Category Summary'!$B7,Table5[Date],'Category Summary'!D$2)+D22*-1</f>
        <v>0</v>
      </c>
      <c r="E7" s="8">
        <f>SUMIFS(dis_table[Amount],dis_table[Category_2],'Category Summary'!$B7,dis_table[Date],'Category Summary'!E$2) +SUMIFS(cc_table[Amount],cc_table[Category_2],'Category Summary'!$B7,cc_table[Date],'Category Summary'!E$2) + SUMIFS(bb_table[Amount],bb_table[Category_2],'Category Summary'!$B7,bb_table[Date],'Category Summary'!E$2) + SUMIFS(Table5[Amount],Table5[Category_2],'Category Summary'!$B7,Table5[Date],'Category Summary'!E$2)+E22*-1</f>
        <v>0</v>
      </c>
      <c r="F7" s="8">
        <f>SUMIFS(dis_table[Amount],dis_table[Category_2],'Category Summary'!$B7,dis_table[Date],'Category Summary'!F$2) +SUMIFS(cc_table[Amount],cc_table[Category_2],'Category Summary'!$B7,cc_table[Date],'Category Summary'!F$2) + SUMIFS(bb_table[Amount],bb_table[Category_2],'Category Summary'!$B7,bb_table[Date],'Category Summary'!F$2) + SUMIFS(Table5[Amount],Table5[Category_2],'Category Summary'!$B7,Table5[Date],'Category Summary'!F$2)+F22*-1</f>
        <v>16</v>
      </c>
      <c r="G7" s="8">
        <f>SUMIFS(dis_table[Amount],dis_table[Category_2],'Category Summary'!$B7,dis_table[Date],'Category Summary'!G$2) +SUMIFS(cc_table[Amount],cc_table[Category_2],'Category Summary'!$B7,cc_table[Date],'Category Summary'!G$2) + SUMIFS(bb_table[Amount],bb_table[Category_2],'Category Summary'!$B7,bb_table[Date],'Category Summary'!G$2) + SUMIFS(Table5[Amount],Table5[Category_2],'Category Summary'!$B7,Table5[Date],'Category Summary'!G$2)+G22*-1</f>
        <v>9.75</v>
      </c>
      <c r="H7" s="8">
        <f>SUMIFS(dis_table[Amount],dis_table[Category_2],'Category Summary'!$B7,dis_table[Date],'Category Summary'!H$2) +SUMIFS(cc_table[Amount],cc_table[Category_2],'Category Summary'!$B7,cc_table[Date],'Category Summary'!H$2) + SUMIFS(bb_table[Amount],bb_table[Category_2],'Category Summary'!$B7,bb_table[Date],'Category Summary'!H$2) + SUMIFS(Table5[Amount],Table5[Category_2],'Category Summary'!$B7,Table5[Date],'Category Summary'!H$2)+H22*-1</f>
        <v>83</v>
      </c>
      <c r="I7" s="8">
        <f>SUMIFS(dis_table[Amount],dis_table[Category_2],'Category Summary'!$B7,dis_table[Date],'Category Summary'!I$2) +SUMIFS(cc_table[Amount],cc_table[Category_2],'Category Summary'!$B7,cc_table[Date],'Category Summary'!I$2) + SUMIFS(bb_table[Amount],bb_table[Category_2],'Category Summary'!$B7,bb_table[Date],'Category Summary'!I$2) + SUMIFS(Table5[Amount],Table5[Category_2],'Category Summary'!$B7,Table5[Date],'Category Summary'!I$2)+I22*-1</f>
        <v>5.0999999999999996</v>
      </c>
      <c r="J7" s="13">
        <f t="shared" si="0"/>
        <v>150.34</v>
      </c>
      <c r="K7" s="27">
        <f t="shared" si="1"/>
        <v>4.0926717654921401E-3</v>
      </c>
    </row>
    <row r="8" spans="2:11" x14ac:dyDescent="0.25">
      <c r="B8" t="s">
        <v>66</v>
      </c>
      <c r="C8" s="8">
        <f>SUMIFS(dis_table[Amount],dis_table[Category_2],'Category Summary'!$B8,dis_table[Date],'Category Summary'!C$2) +SUMIFS(cc_table[Amount],cc_table[Category_2],'Category Summary'!$B8,cc_table[Date],'Category Summary'!C$2) + SUMIFS(bb_table[Amount],bb_table[Category_2],'Category Summary'!$B8,bb_table[Date],'Category Summary'!C$2) + SUMIFS(Table5[Amount],Table5[Category_2],'Category Summary'!$B8,Table5[Date],'Category Summary'!C$2)+C23*-1</f>
        <v>29.319999999999936</v>
      </c>
      <c r="D8" s="8">
        <f>SUMIFS(dis_table[Amount],dis_table[Category_2],'Category Summary'!$B8,dis_table[Date],'Category Summary'!D$2) +SUMIFS(cc_table[Amount],cc_table[Category_2],'Category Summary'!$B8,cc_table[Date],'Category Summary'!D$2) + SUMIFS(bb_table[Amount],bb_table[Category_2],'Category Summary'!$B8,bb_table[Date],'Category Summary'!D$2) + SUMIFS(Table5[Amount],Table5[Category_2],'Category Summary'!$B8,Table5[Date],'Category Summary'!D$2)+D23*-1</f>
        <v>207.17000000000002</v>
      </c>
      <c r="E8" s="8">
        <f>SUMIFS(dis_table[Amount],dis_table[Category_2],'Category Summary'!$B8,dis_table[Date],'Category Summary'!E$2) +SUMIFS(cc_table[Amount],cc_table[Category_2],'Category Summary'!$B8,cc_table[Date],'Category Summary'!E$2) + SUMIFS(bb_table[Amount],bb_table[Category_2],'Category Summary'!$B8,bb_table[Date],'Category Summary'!E$2) + SUMIFS(Table5[Amount],Table5[Category_2],'Category Summary'!$B8,Table5[Date],'Category Summary'!E$2)+E23*-1</f>
        <v>299.5</v>
      </c>
      <c r="F8" s="8">
        <f>SUMIFS(dis_table[Amount],dis_table[Category_2],'Category Summary'!$B8,dis_table[Date],'Category Summary'!F$2) +SUMIFS(cc_table[Amount],cc_table[Category_2],'Category Summary'!$B8,cc_table[Date],'Category Summary'!F$2) + SUMIFS(bb_table[Amount],bb_table[Category_2],'Category Summary'!$B8,bb_table[Date],'Category Summary'!F$2) + SUMIFS(Table5[Amount],Table5[Category_2],'Category Summary'!$B8,Table5[Date],'Category Summary'!F$2)+F23*-1</f>
        <v>267.97000000000003</v>
      </c>
      <c r="G8" s="8">
        <f>SUMIFS(dis_table[Amount],dis_table[Category_2],'Category Summary'!$B8,dis_table[Date],'Category Summary'!G$2) +SUMIFS(cc_table[Amount],cc_table[Category_2],'Category Summary'!$B8,cc_table[Date],'Category Summary'!G$2) + SUMIFS(bb_table[Amount],bb_table[Category_2],'Category Summary'!$B8,bb_table[Date],'Category Summary'!G$2) + SUMIFS(Table5[Amount],Table5[Category_2],'Category Summary'!$B8,Table5[Date],'Category Summary'!G$2)+G23*-1</f>
        <v>263.03999999999996</v>
      </c>
      <c r="H8" s="8">
        <f>SUMIFS(dis_table[Amount],dis_table[Category_2],'Category Summary'!$B8,dis_table[Date],'Category Summary'!H$2) +SUMIFS(cc_table[Amount],cc_table[Category_2],'Category Summary'!$B8,cc_table[Date],'Category Summary'!H$2) + SUMIFS(bb_table[Amount],bb_table[Category_2],'Category Summary'!$B8,bb_table[Date],'Category Summary'!H$2) + SUMIFS(Table5[Amount],Table5[Category_2],'Category Summary'!$B8,Table5[Date],'Category Summary'!H$2)+H23*-1</f>
        <v>341.77</v>
      </c>
      <c r="I8" s="8">
        <f>SUMIFS(dis_table[Amount],dis_table[Category_2],'Category Summary'!$B8,dis_table[Date],'Category Summary'!I$2) +SUMIFS(cc_table[Amount],cc_table[Category_2],'Category Summary'!$B8,cc_table[Date],'Category Summary'!I$2) + SUMIFS(bb_table[Amount],bb_table[Category_2],'Category Summary'!$B8,bb_table[Date],'Category Summary'!I$2) + SUMIFS(Table5[Amount],Table5[Category_2],'Category Summary'!$B8,Table5[Date],'Category Summary'!I$2)+I23*-1</f>
        <v>272.46000000000004</v>
      </c>
      <c r="J8" s="13">
        <f t="shared" si="0"/>
        <v>1681.23</v>
      </c>
      <c r="K8" s="27">
        <f t="shared" si="1"/>
        <v>4.5767743463471795E-2</v>
      </c>
    </row>
    <row r="9" spans="2:11" x14ac:dyDescent="0.25">
      <c r="B9" t="s">
        <v>110</v>
      </c>
      <c r="C9" s="8">
        <f>SUMIFS(dis_table[Amount],dis_table[Category_2],'Category Summary'!$B9,dis_table[Date],'Category Summary'!C$2) +SUMIFS(cc_table[Amount],cc_table[Category_2],'Category Summary'!$B9,cc_table[Date],'Category Summary'!C$2) + SUMIFS(bb_table[Amount],bb_table[Category_2],'Category Summary'!$B9,bb_table[Date],'Category Summary'!C$2) + SUMIFS(Table5[Amount],Table5[Category_2],'Category Summary'!$B9,Table5[Date],'Category Summary'!C$2)</f>
        <v>79.38</v>
      </c>
      <c r="D9" s="8">
        <f>SUMIFS(dis_table[Amount],dis_table[Category_2],'Category Summary'!$B9,dis_table[Date],'Category Summary'!D$2) +SUMIFS(cc_table[Amount],cc_table[Category_2],'Category Summary'!$B9,cc_table[Date],'Category Summary'!D$2) + SUMIFS(bb_table[Amount],bb_table[Category_2],'Category Summary'!$B9,bb_table[Date],'Category Summary'!D$2) + SUMIFS(Table5[Amount],Table5[Category_2],'Category Summary'!$B9,Table5[Date],'Category Summary'!D$2)</f>
        <v>79.38</v>
      </c>
      <c r="E9" s="8">
        <f>SUMIFS(dis_table[Amount],dis_table[Category_2],'Category Summary'!$B9,dis_table[Date],'Category Summary'!E$2) +SUMIFS(cc_table[Amount],cc_table[Category_2],'Category Summary'!$B9,cc_table[Date],'Category Summary'!E$2) + SUMIFS(bb_table[Amount],bb_table[Category_2],'Category Summary'!$B9,bb_table[Date],'Category Summary'!E$2) + SUMIFS(Table5[Amount],Table5[Category_2],'Category Summary'!$B9,Table5[Date],'Category Summary'!E$2)</f>
        <v>79.38</v>
      </c>
      <c r="F9" s="8">
        <f>SUMIFS(dis_table[Amount],dis_table[Category_2],'Category Summary'!$B9,dis_table[Date],'Category Summary'!F$2) +SUMIFS(cc_table[Amount],cc_table[Category_2],'Category Summary'!$B9,cc_table[Date],'Category Summary'!F$2) + SUMIFS(bb_table[Amount],bb_table[Category_2],'Category Summary'!$B9,bb_table[Date],'Category Summary'!F$2) + SUMIFS(Table5[Amount],Table5[Category_2],'Category Summary'!$B9,Table5[Date],'Category Summary'!F$2)</f>
        <v>79.38</v>
      </c>
      <c r="G9" s="8">
        <f>SUMIFS(dis_table[Amount],dis_table[Category_2],'Category Summary'!$B9,dis_table[Date],'Category Summary'!G$2) +SUMIFS(cc_table[Amount],cc_table[Category_2],'Category Summary'!$B9,cc_table[Date],'Category Summary'!G$2) + SUMIFS(bb_table[Amount],bb_table[Category_2],'Category Summary'!$B9,bb_table[Date],'Category Summary'!G$2) + SUMIFS(Table5[Amount],Table5[Category_2],'Category Summary'!$B9,Table5[Date],'Category Summary'!G$2)</f>
        <v>79.38</v>
      </c>
      <c r="H9" s="8">
        <f>SUMIFS(dis_table[Amount],dis_table[Category_2],'Category Summary'!$B9,dis_table[Date],'Category Summary'!H$2) +SUMIFS(cc_table[Amount],cc_table[Category_2],'Category Summary'!$B9,cc_table[Date],'Category Summary'!H$2) + SUMIFS(bb_table[Amount],bb_table[Category_2],'Category Summary'!$B9,bb_table[Date],'Category Summary'!H$2) + SUMIFS(Table5[Amount],Table5[Category_2],'Category Summary'!$B9,Table5[Date],'Category Summary'!H$2)</f>
        <v>79.38</v>
      </c>
      <c r="I9" s="8">
        <f>SUMIFS(dis_table[Amount],dis_table[Category_2],'Category Summary'!$B9,dis_table[Date],'Category Summary'!I$2) +SUMIFS(cc_table[Amount],cc_table[Category_2],'Category Summary'!$B9,cc_table[Date],'Category Summary'!I$2) + SUMIFS(bb_table[Amount],bb_table[Category_2],'Category Summary'!$B9,bb_table[Date],'Category Summary'!I$2) + SUMIFS(Table5[Amount],Table5[Category_2],'Category Summary'!$B9,Table5[Date],'Category Summary'!I$2)</f>
        <v>79.66</v>
      </c>
      <c r="J9" s="13">
        <f t="shared" si="0"/>
        <v>555.93999999999994</v>
      </c>
      <c r="K9" s="27">
        <f t="shared" si="1"/>
        <v>1.5134228690353198E-2</v>
      </c>
    </row>
    <row r="10" spans="2:11" x14ac:dyDescent="0.25">
      <c r="B10" t="s">
        <v>127</v>
      </c>
      <c r="C10" s="8">
        <f>SUMIFS(dis_table[Amount],dis_table[Category_2],'Category Summary'!$B10,dis_table[Date],'Category Summary'!C$2) +SUMIFS(cc_table[Amount],cc_table[Category_2],'Category Summary'!$B10,cc_table[Date],'Category Summary'!C$2) + SUMIFS(bb_table[Amount],bb_table[Category_2],'Category Summary'!$B10,bb_table[Date],'Category Summary'!C$2) + SUMIFS(Table5[Amount],Table5[Category_2],'Category Summary'!$B10,Table5[Date],'Category Summary'!C$2)+C24*-1</f>
        <v>256.76</v>
      </c>
      <c r="D10" s="8">
        <f>SUMIFS(dis_table[Amount],dis_table[Category_2],'Category Summary'!$B10,dis_table[Date],'Category Summary'!D$2) +SUMIFS(cc_table[Amount],cc_table[Category_2],'Category Summary'!$B10,cc_table[Date],'Category Summary'!D$2) + SUMIFS(bb_table[Amount],bb_table[Category_2],'Category Summary'!$B10,bb_table[Date],'Category Summary'!D$2) + SUMIFS(Table5[Amount],Table5[Category_2],'Category Summary'!$B10,Table5[Date],'Category Summary'!D$2)+D24*-1</f>
        <v>1518.21</v>
      </c>
      <c r="E10" s="8">
        <f>SUMIFS(dis_table[Amount],dis_table[Category_2],'Category Summary'!$B10,dis_table[Date],'Category Summary'!E$2) +SUMIFS(cc_table[Amount],cc_table[Category_2],'Category Summary'!$B10,cc_table[Date],'Category Summary'!E$2) + SUMIFS(bb_table[Amount],bb_table[Category_2],'Category Summary'!$B10,bb_table[Date],'Category Summary'!E$2) + SUMIFS(Table5[Amount],Table5[Category_2],'Category Summary'!$B10,Table5[Date],'Category Summary'!E$2)+E24*-1</f>
        <v>1552.29</v>
      </c>
      <c r="F10" s="8">
        <f>SUMIFS(dis_table[Amount],dis_table[Category_2],'Category Summary'!$B10,dis_table[Date],'Category Summary'!F$2) +SUMIFS(cc_table[Amount],cc_table[Category_2],'Category Summary'!$B10,cc_table[Date],'Category Summary'!F$2) + SUMIFS(bb_table[Amount],bb_table[Category_2],'Category Summary'!$B10,bb_table[Date],'Category Summary'!F$2) + SUMIFS(Table5[Amount],Table5[Category_2],'Category Summary'!$B10,Table5[Date],'Category Summary'!F$2)+F24*-1</f>
        <v>668</v>
      </c>
      <c r="G10" s="8">
        <f>SUMIFS(dis_table[Amount],dis_table[Category_2],'Category Summary'!$B10,dis_table[Date],'Category Summary'!G$2) +SUMIFS(cc_table[Amount],cc_table[Category_2],'Category Summary'!$B10,cc_table[Date],'Category Summary'!G$2) + SUMIFS(bb_table[Amount],bb_table[Category_2],'Category Summary'!$B10,bb_table[Date],'Category Summary'!G$2) + SUMIFS(Table5[Amount],Table5[Category_2],'Category Summary'!$B10,Table5[Date],'Category Summary'!G$2)+G24*-1</f>
        <v>468.47</v>
      </c>
      <c r="H10" s="8">
        <f>SUMIFS(dis_table[Amount],dis_table[Category_2],'Category Summary'!$B10,dis_table[Date],'Category Summary'!H$2) +SUMIFS(cc_table[Amount],cc_table[Category_2],'Category Summary'!$B10,cc_table[Date],'Category Summary'!H$2) + SUMIFS(bb_table[Amount],bb_table[Category_2],'Category Summary'!$B10,bb_table[Date],'Category Summary'!H$2) + SUMIFS(Table5[Amount],Table5[Category_2],'Category Summary'!$B10,Table5[Date],'Category Summary'!H$2)+H24*-1</f>
        <v>66.069999999999993</v>
      </c>
      <c r="I10" s="8">
        <f>SUMIFS(dis_table[Amount],dis_table[Category_2],'Category Summary'!$B10,dis_table[Date],'Category Summary'!I$2) +SUMIFS(cc_table[Amount],cc_table[Category_2],'Category Summary'!$B10,cc_table[Date],'Category Summary'!I$2) + SUMIFS(bb_table[Amount],bb_table[Category_2],'Category Summary'!$B10,bb_table[Date],'Category Summary'!I$2) + SUMIFS(Table5[Amount],Table5[Category_2],'Category Summary'!$B10,Table5[Date],'Category Summary'!I$2)+I24*-1</f>
        <v>151.5</v>
      </c>
      <c r="J10" s="13">
        <f t="shared" si="0"/>
        <v>4681.3</v>
      </c>
      <c r="K10" s="27">
        <f t="shared" si="1"/>
        <v>0.12743796950777142</v>
      </c>
    </row>
    <row r="11" spans="2:11" x14ac:dyDescent="0.25">
      <c r="B11" t="s">
        <v>156</v>
      </c>
      <c r="C11" s="8">
        <f>SUMIFS(dis_table[Amount],dis_table[Category_2],'Category Summary'!$B11,dis_table[Date],'Category Summary'!C$2) +SUMIFS(cc_table[Amount],cc_table[Category_2],'Category Summary'!$B11,cc_table[Date],'Category Summary'!C$2) + SUMIFS(bb_table[Amount],bb_table[Category_2],'Category Summary'!$B11,bb_table[Date],'Category Summary'!C$2) + SUMIFS(Table5[Amount],Table5[Category_2],'Category Summary'!$B11,Table5[Date],'Category Summary'!C$2)</f>
        <v>2286</v>
      </c>
      <c r="D11" s="8">
        <f>SUMIFS(dis_table[Amount],dis_table[Category_2],'Category Summary'!$B11,dis_table[Date],'Category Summary'!D$2) +SUMIFS(cc_table[Amount],cc_table[Category_2],'Category Summary'!$B11,cc_table[Date],'Category Summary'!D$2) + SUMIFS(bb_table[Amount],bb_table[Category_2],'Category Summary'!$B11,bb_table[Date],'Category Summary'!D$2) + SUMIFS(Table5[Amount],Table5[Category_2],'Category Summary'!$B11,Table5[Date],'Category Summary'!D$2)</f>
        <v>21.35</v>
      </c>
      <c r="E11" s="8">
        <f>SUMIFS(dis_table[Amount],dis_table[Category_2],'Category Summary'!$B11,dis_table[Date],'Category Summary'!E$2) +SUMIFS(cc_table[Amount],cc_table[Category_2],'Category Summary'!$B11,cc_table[Date],'Category Summary'!E$2) + SUMIFS(bb_table[Amount],bb_table[Category_2],'Category Summary'!$B11,bb_table[Date],'Category Summary'!E$2) + SUMIFS(Table5[Amount],Table5[Category_2],'Category Summary'!$B11,Table5[Date],'Category Summary'!E$2)</f>
        <v>2553.16</v>
      </c>
      <c r="F11" s="8">
        <f>SUMIFS(dis_table[Amount],dis_table[Category_2],'Category Summary'!$B11,dis_table[Date],'Category Summary'!F$2) +SUMIFS(cc_table[Amount],cc_table[Category_2],'Category Summary'!$B11,cc_table[Date],'Category Summary'!F$2) + SUMIFS(bb_table[Amount],bb_table[Category_2],'Category Summary'!$B11,bb_table[Date],'Category Summary'!F$2) + SUMIFS(Table5[Amount],Table5[Category_2],'Category Summary'!$B11,Table5[Date],'Category Summary'!F$2)</f>
        <v>0</v>
      </c>
      <c r="G11" s="8">
        <f>SUMIFS(dis_table[Amount],dis_table[Category_2],'Category Summary'!$B11,dis_table[Date],'Category Summary'!G$2) +SUMIFS(cc_table[Amount],cc_table[Category_2],'Category Summary'!$B11,cc_table[Date],'Category Summary'!G$2) + SUMIFS(bb_table[Amount],bb_table[Category_2],'Category Summary'!$B11,bb_table[Date],'Category Summary'!G$2) + SUMIFS(Table5[Amount],Table5[Category_2],'Category Summary'!$B11,Table5[Date],'Category Summary'!G$2)</f>
        <v>0</v>
      </c>
      <c r="H11" s="8">
        <f>SUMIFS(dis_table[Amount],dis_table[Category_2],'Category Summary'!$B11,dis_table[Date],'Category Summary'!H$2) +SUMIFS(cc_table[Amount],cc_table[Category_2],'Category Summary'!$B11,cc_table[Date],'Category Summary'!H$2) + SUMIFS(bb_table[Amount],bb_table[Category_2],'Category Summary'!$B11,bb_table[Date],'Category Summary'!H$2) + SUMIFS(Table5[Amount],Table5[Category_2],'Category Summary'!$B11,Table5[Date],'Category Summary'!H$2)</f>
        <v>0</v>
      </c>
      <c r="I11" s="8">
        <f>SUMIFS(dis_table[Amount],dis_table[Category_2],'Category Summary'!$B11,dis_table[Date],'Category Summary'!I$2) +SUMIFS(cc_table[Amount],cc_table[Category_2],'Category Summary'!$B11,cc_table[Date],'Category Summary'!I$2) + SUMIFS(bb_table[Amount],bb_table[Category_2],'Category Summary'!$B11,bb_table[Date],'Category Summary'!I$2) + SUMIFS(Table5[Amount],Table5[Category_2],'Category Summary'!$B11,Table5[Date],'Category Summary'!I$2)</f>
        <v>504.86</v>
      </c>
      <c r="J11" s="13">
        <f t="shared" si="0"/>
        <v>5365.37</v>
      </c>
      <c r="K11" s="27">
        <f t="shared" si="1"/>
        <v>0.14606025216455076</v>
      </c>
    </row>
    <row r="12" spans="2:11" x14ac:dyDescent="0.25">
      <c r="B12" t="s">
        <v>245</v>
      </c>
      <c r="C12" s="8">
        <f>SUMIFS(dis_table[Amount],dis_table[Category_2],'Category Summary'!$B12,dis_table[Date],'Category Summary'!C$2) +SUMIFS(cc_table[Amount],cc_table[Category_2],'Category Summary'!$B12,cc_table[Date],'Category Summary'!C$2) + SUMIFS(bb_table[Amount],bb_table[Category_2],'Category Summary'!$B12,bb_table[Date],'Category Summary'!C$2) + SUMIFS(Table5[Amount],Table5[Category_2],'Category Summary'!$B12,Table5[Date],'Category Summary'!C$2)+C25*-1</f>
        <v>933.34</v>
      </c>
      <c r="D12" s="8">
        <f>SUMIFS(dis_table[Amount],dis_table[Category_2],'Category Summary'!$B12,dis_table[Date],'Category Summary'!D$2) +SUMIFS(cc_table[Amount],cc_table[Category_2],'Category Summary'!$B12,cc_table[Date],'Category Summary'!D$2) + SUMIFS(bb_table[Amount],bb_table[Category_2],'Category Summary'!$B12,bb_table[Date],'Category Summary'!D$2) + SUMIFS(Table5[Amount],Table5[Category_2],'Category Summary'!$B12,Table5[Date],'Category Summary'!D$2)+D25*-1</f>
        <v>1204.29</v>
      </c>
      <c r="E12" s="8">
        <f>SUMIFS(dis_table[Amount],dis_table[Category_2],'Category Summary'!$B12,dis_table[Date],'Category Summary'!E$2) +SUMIFS(cc_table[Amount],cc_table[Category_2],'Category Summary'!$B12,cc_table[Date],'Category Summary'!E$2) + SUMIFS(bb_table[Amount],bb_table[Category_2],'Category Summary'!$B12,bb_table[Date],'Category Summary'!E$2) + SUMIFS(Table5[Amount],Table5[Category_2],'Category Summary'!$B12,Table5[Date],'Category Summary'!E$2)+E25*-1</f>
        <v>1400</v>
      </c>
      <c r="F12" s="8">
        <f>SUMIFS(dis_table[Amount],dis_table[Category_2],'Category Summary'!$B12,dis_table[Date],'Category Summary'!F$2) +SUMIFS(cc_table[Amount],cc_table[Category_2],'Category Summary'!$B12,cc_table[Date],'Category Summary'!F$2) + SUMIFS(bb_table[Amount],bb_table[Category_2],'Category Summary'!$B12,bb_table[Date],'Category Summary'!F$2) + SUMIFS(Table5[Amount],Table5[Category_2],'Category Summary'!$B12,Table5[Date],'Category Summary'!F$2)+F25*-1</f>
        <v>1463.66</v>
      </c>
      <c r="G12" s="8">
        <f>SUMIFS(dis_table[Amount],dis_table[Category_2],'Category Summary'!$B12,dis_table[Date],'Category Summary'!G$2) +SUMIFS(cc_table[Amount],cc_table[Category_2],'Category Summary'!$B12,cc_table[Date],'Category Summary'!G$2) + SUMIFS(bb_table[Amount],bb_table[Category_2],'Category Summary'!$B12,bb_table[Date],'Category Summary'!G$2) + SUMIFS(Table5[Amount],Table5[Category_2],'Category Summary'!$B12,Table5[Date],'Category Summary'!G$2)+G25*-1</f>
        <v>1400</v>
      </c>
      <c r="H12" s="8">
        <f>SUMIFS(dis_table[Amount],dis_table[Category_2],'Category Summary'!$B12,dis_table[Date],'Category Summary'!H$2) +SUMIFS(cc_table[Amount],cc_table[Category_2],'Category Summary'!$B12,cc_table[Date],'Category Summary'!H$2) + SUMIFS(bb_table[Amount],bb_table[Category_2],'Category Summary'!$B12,bb_table[Date],'Category Summary'!H$2) + SUMIFS(Table5[Amount],Table5[Category_2],'Category Summary'!$B12,Table5[Date],'Category Summary'!H$2)+H25*-1</f>
        <v>1400</v>
      </c>
      <c r="I12" s="8">
        <f>SUMIFS(dis_table[Amount],dis_table[Category_2],'Category Summary'!$B12,dis_table[Date],'Category Summary'!I$2) +SUMIFS(cc_table[Amount],cc_table[Category_2],'Category Summary'!$B12,cc_table[Date],'Category Summary'!I$2) + SUMIFS(bb_table[Amount],bb_table[Category_2],'Category Summary'!$B12,bb_table[Date],'Category Summary'!I$2) + SUMIFS(Table5[Amount],Table5[Category_2],'Category Summary'!$B12,Table5[Date],'Category Summary'!I$2)+I25*-1</f>
        <v>38.1</v>
      </c>
      <c r="J12" s="13">
        <f t="shared" si="0"/>
        <v>7839.39</v>
      </c>
      <c r="K12" s="27">
        <f t="shared" si="1"/>
        <v>0.21340993821791557</v>
      </c>
    </row>
    <row r="13" spans="2:11" x14ac:dyDescent="0.25">
      <c r="B13" t="s">
        <v>489</v>
      </c>
      <c r="C13" s="13">
        <f t="shared" ref="C13:K13" si="2">SUM(C3:C12)</f>
        <v>6029.9400000000005</v>
      </c>
      <c r="D13" s="13">
        <f t="shared" si="2"/>
        <v>4477.24</v>
      </c>
      <c r="E13" s="13">
        <f t="shared" si="2"/>
        <v>9037.9</v>
      </c>
      <c r="F13" s="13">
        <f t="shared" si="2"/>
        <v>4637.3900000000003</v>
      </c>
      <c r="G13" s="13">
        <f t="shared" si="2"/>
        <v>6792.1100000000006</v>
      </c>
      <c r="H13" s="13">
        <f t="shared" si="2"/>
        <v>7486.3050000000012</v>
      </c>
      <c r="I13" s="13">
        <f t="shared" si="2"/>
        <v>3781.4549999999999</v>
      </c>
      <c r="J13" s="24">
        <f t="shared" si="2"/>
        <v>42242.340000000004</v>
      </c>
      <c r="K13" s="26">
        <f t="shared" si="2"/>
        <v>1.1499536532281445</v>
      </c>
    </row>
    <row r="17" spans="2:10" x14ac:dyDescent="0.25">
      <c r="B17" s="23" t="s">
        <v>709</v>
      </c>
      <c r="C17" t="s">
        <v>14</v>
      </c>
      <c r="D17" t="s">
        <v>117</v>
      </c>
      <c r="E17" t="s">
        <v>145</v>
      </c>
      <c r="F17" t="s">
        <v>233</v>
      </c>
      <c r="G17" t="s">
        <v>290</v>
      </c>
      <c r="H17" t="s">
        <v>364</v>
      </c>
      <c r="I17" t="s">
        <v>420</v>
      </c>
      <c r="J17" t="s">
        <v>489</v>
      </c>
    </row>
    <row r="18" spans="2:10" x14ac:dyDescent="0.25">
      <c r="B18" t="s">
        <v>16</v>
      </c>
      <c r="C18" s="8">
        <f>SUMIFS(wf_table[Debit_Amount],wf_table[Category_2],'Category Summary'!$B18,wf_table[Date],'Category Summary'!C$17)</f>
        <v>-40</v>
      </c>
      <c r="D18" s="8">
        <f>SUMIFS(wf_table[Debit_Amount],wf_table[Category_2],'Category Summary'!$B18,wf_table[Date],'Category Summary'!D$17)</f>
        <v>0</v>
      </c>
      <c r="E18" s="8">
        <f>SUMIFS(wf_table[Debit_Amount],wf_table[Category_2],'Category Summary'!$B18,wf_table[Date],'Category Summary'!E$17)</f>
        <v>33</v>
      </c>
      <c r="F18" s="8">
        <f>SUMIFS(wf_table[Debit_Amount],wf_table[Category_2],'Category Summary'!$B18,wf_table[Date],'Category Summary'!F$17)</f>
        <v>0</v>
      </c>
      <c r="G18" s="8">
        <f>SUMIFS(wf_table[Debit_Amount],wf_table[Category_2],'Category Summary'!$B18,wf_table[Date],'Category Summary'!G$17)</f>
        <v>0</v>
      </c>
      <c r="H18" s="8">
        <f>SUMIFS(wf_table[Debit_Amount],wf_table[Category_2],'Category Summary'!$B18,wf_table[Date],'Category Summary'!H$17)</f>
        <v>0</v>
      </c>
      <c r="I18" s="8">
        <f>SUMIFS(wf_table[Debit_Amount],wf_table[Category_2],'Category Summary'!$B18,wf_table[Date],'Category Summary'!I$17)</f>
        <v>0</v>
      </c>
      <c r="J18" s="9">
        <f t="shared" ref="J18:J27" si="3">SUM(C18:I18)</f>
        <v>-7</v>
      </c>
    </row>
    <row r="19" spans="2:10" x14ac:dyDescent="0.25">
      <c r="B19" t="s">
        <v>23</v>
      </c>
      <c r="C19" s="8">
        <f>SUMIFS(wf_table[Debit_Amount],wf_table[Category_2],'Category Summary'!$B19,wf_table[Date],'Category Summary'!C$17)</f>
        <v>-623.34</v>
      </c>
      <c r="D19" s="8">
        <f>SUMIFS(wf_table[Debit_Amount],wf_table[Category_2],'Category Summary'!$B19,wf_table[Date],'Category Summary'!D$17)</f>
        <v>0</v>
      </c>
      <c r="E19" s="8">
        <f>SUMIFS(wf_table[Debit_Amount],wf_table[Category_2],'Category Summary'!$B19,wf_table[Date],'Category Summary'!E$17)</f>
        <v>-52</v>
      </c>
      <c r="F19" s="8">
        <f>SUMIFS(wf_table[Debit_Amount],wf_table[Category_2],'Category Summary'!$B19,wf_table[Date],'Category Summary'!F$17)</f>
        <v>-59</v>
      </c>
      <c r="G19" s="8">
        <f>SUMIFS(wf_table[Debit_Amount],wf_table[Category_2],'Category Summary'!$B19,wf_table[Date],'Category Summary'!G$17)</f>
        <v>-276.83</v>
      </c>
      <c r="H19" s="8">
        <f>SUMIFS(wf_table[Debit_Amount],wf_table[Category_2],'Category Summary'!$B19,wf_table[Date],'Category Summary'!H$17)</f>
        <v>0</v>
      </c>
      <c r="I19" s="8">
        <f>SUMIFS(wf_table[Debit_Amount],wf_table[Category_2],'Category Summary'!$B19,wf_table[Date],'Category Summary'!I$17)</f>
        <v>-25.48</v>
      </c>
      <c r="J19" s="9">
        <f t="shared" si="3"/>
        <v>-1036.6500000000001</v>
      </c>
    </row>
    <row r="20" spans="2:10" x14ac:dyDescent="0.25">
      <c r="B20" t="s">
        <v>32</v>
      </c>
      <c r="C20" s="8">
        <f>SUMIFS(wf_table[Debit_Amount],wf_table[Category_2],'Category Summary'!$B20,wf_table[Date],'Category Summary'!C$17)</f>
        <v>-90</v>
      </c>
      <c r="D20" s="8">
        <f>SUMIFS(wf_table[Debit_Amount],wf_table[Category_2],'Category Summary'!$B20,wf_table[Date],'Category Summary'!D$17)</f>
        <v>-210</v>
      </c>
      <c r="E20" s="8">
        <f>SUMIFS(wf_table[Debit_Amount],wf_table[Category_2],'Category Summary'!$B20,wf_table[Date],'Category Summary'!E$17)</f>
        <v>0</v>
      </c>
      <c r="F20" s="8">
        <f>SUMIFS(wf_table[Debit_Amount],wf_table[Category_2],'Category Summary'!$B20,wf_table[Date],'Category Summary'!F$17)</f>
        <v>0</v>
      </c>
      <c r="G20" s="8">
        <f>SUMIFS(wf_table[Debit_Amount],wf_table[Category_2],'Category Summary'!$B20,wf_table[Date],'Category Summary'!G$17)</f>
        <v>0</v>
      </c>
      <c r="H20" s="8">
        <f>SUMIFS(wf_table[Debit_Amount],wf_table[Category_2],'Category Summary'!$B20,wf_table[Date],'Category Summary'!H$17)</f>
        <v>0</v>
      </c>
      <c r="I20" s="8">
        <f>SUMIFS(wf_table[Debit_Amount],wf_table[Category_2],'Category Summary'!$B20,wf_table[Date],'Category Summary'!I$17)</f>
        <v>0</v>
      </c>
      <c r="J20" s="9">
        <f t="shared" si="3"/>
        <v>-300</v>
      </c>
    </row>
    <row r="21" spans="2:10" x14ac:dyDescent="0.25">
      <c r="B21" t="s">
        <v>42</v>
      </c>
      <c r="C21" s="8">
        <f>SUMIFS(wf_table[Debit_Amount],wf_table[Category_2],'Category Summary'!$B21,wf_table[Date],'Category Summary'!C$17)</f>
        <v>0</v>
      </c>
      <c r="D21" s="8">
        <f>SUMIFS(wf_table[Debit_Amount],wf_table[Category_2],'Category Summary'!$B21,wf_table[Date],'Category Summary'!D$17)</f>
        <v>0</v>
      </c>
      <c r="E21" s="8">
        <f>SUMIFS(wf_table[Debit_Amount],wf_table[Category_2],'Category Summary'!$B21,wf_table[Date],'Category Summary'!E$17)</f>
        <v>0</v>
      </c>
      <c r="F21" s="8">
        <f>SUMIFS(wf_table[Debit_Amount],wf_table[Category_2],'Category Summary'!$B21,wf_table[Date],'Category Summary'!F$17)</f>
        <v>0</v>
      </c>
      <c r="G21" s="8">
        <f>SUMIFS(wf_table[Debit_Amount],wf_table[Category_2],'Category Summary'!$B21,wf_table[Date],'Category Summary'!G$17)</f>
        <v>0</v>
      </c>
      <c r="H21" s="8">
        <f>SUMIFS(wf_table[Debit_Amount],wf_table[Category_2],'Category Summary'!$B21,wf_table[Date],'Category Summary'!H$17)</f>
        <v>0</v>
      </c>
      <c r="I21" s="8">
        <f>SUMIFS(wf_table[Debit_Amount],wf_table[Category_2],'Category Summary'!$B21,wf_table[Date],'Category Summary'!I$17)</f>
        <v>-64</v>
      </c>
      <c r="J21" s="9">
        <f t="shared" si="3"/>
        <v>-64</v>
      </c>
    </row>
    <row r="22" spans="2:10" x14ac:dyDescent="0.25">
      <c r="B22" t="s">
        <v>60</v>
      </c>
      <c r="C22" s="8">
        <f>SUMIFS(wf_table[Debit_Amount],wf_table[Category_2],'Category Summary'!$B22,wf_table[Date],'Category Summary'!C$17)</f>
        <v>-10</v>
      </c>
      <c r="D22" s="8">
        <f>SUMIFS(wf_table[Debit_Amount],wf_table[Category_2],'Category Summary'!$B22,wf_table[Date],'Category Summary'!D$17)</f>
        <v>0</v>
      </c>
      <c r="E22" s="8">
        <f>SUMIFS(wf_table[Debit_Amount],wf_table[Category_2],'Category Summary'!$B22,wf_table[Date],'Category Summary'!E$17)</f>
        <v>0</v>
      </c>
      <c r="F22" s="8">
        <f>SUMIFS(wf_table[Debit_Amount],wf_table[Category_2],'Category Summary'!$B22,wf_table[Date],'Category Summary'!F$17)</f>
        <v>0</v>
      </c>
      <c r="G22" s="8">
        <f>SUMIFS(wf_table[Debit_Amount],wf_table[Category_2],'Category Summary'!$B22,wf_table[Date],'Category Summary'!G$17)</f>
        <v>0</v>
      </c>
      <c r="H22" s="8">
        <f>SUMIFS(wf_table[Debit_Amount],wf_table[Category_2],'Category Summary'!$B22,wf_table[Date],'Category Summary'!H$17)</f>
        <v>0</v>
      </c>
      <c r="I22" s="8">
        <f>SUMIFS(wf_table[Debit_Amount],wf_table[Category_2],'Category Summary'!$B22,wf_table[Date],'Category Summary'!I$17)</f>
        <v>0</v>
      </c>
      <c r="J22" s="9">
        <f t="shared" si="3"/>
        <v>-10</v>
      </c>
    </row>
    <row r="23" spans="2:10" x14ac:dyDescent="0.25">
      <c r="B23" t="s">
        <v>66</v>
      </c>
      <c r="C23" s="8">
        <f>SUMIFS(wf_table[Debit_Amount],wf_table[Category_2],'Category Summary'!$B23,wf_table[Date],'Category Summary'!C$17)</f>
        <v>265.47000000000003</v>
      </c>
      <c r="D23" s="8">
        <f>SUMIFS(wf_table[Debit_Amount],wf_table[Category_2],'Category Summary'!$B23,wf_table[Date],'Category Summary'!D$17)</f>
        <v>-137.17000000000002</v>
      </c>
      <c r="E23" s="8">
        <f>SUMIFS(wf_table[Debit_Amount],wf_table[Category_2],'Category Summary'!$B23,wf_table[Date],'Category Summary'!E$17)</f>
        <v>-229.5</v>
      </c>
      <c r="F23" s="8">
        <f>SUMIFS(wf_table[Debit_Amount],wf_table[Category_2],'Category Summary'!$B23,wf_table[Date],'Category Summary'!F$17)</f>
        <v>-197.97</v>
      </c>
      <c r="G23" s="8">
        <f>SUMIFS(wf_table[Debit_Amount],wf_table[Category_2],'Category Summary'!$B23,wf_table[Date],'Category Summary'!G$17)</f>
        <v>-193.04</v>
      </c>
      <c r="H23" s="8">
        <f>SUMIFS(wf_table[Debit_Amount],wf_table[Category_2],'Category Summary'!$B23,wf_table[Date],'Category Summary'!H$17)</f>
        <v>-271.77</v>
      </c>
      <c r="I23" s="8">
        <f>SUMIFS(wf_table[Debit_Amount],wf_table[Category_2],'Category Summary'!$B23,wf_table[Date],'Category Summary'!I$17)</f>
        <v>-202.46</v>
      </c>
      <c r="J23" s="9">
        <f t="shared" si="3"/>
        <v>-966.43999999999994</v>
      </c>
    </row>
    <row r="24" spans="2:10" x14ac:dyDescent="0.25">
      <c r="B24" t="s">
        <v>127</v>
      </c>
      <c r="C24" s="8">
        <f>SUMIFS(wf_table[Debit_Amount],wf_table[Category_2],'Category Summary'!$B24,wf_table[Date],'Category Summary'!C$17)</f>
        <v>-256.76</v>
      </c>
      <c r="D24" s="8">
        <f>SUMIFS(wf_table[Debit_Amount],wf_table[Category_2],'Category Summary'!$B24,wf_table[Date],'Category Summary'!D$17)</f>
        <v>-1469.21</v>
      </c>
      <c r="E24" s="8">
        <f>SUMIFS(wf_table[Debit_Amount],wf_table[Category_2],'Category Summary'!$B24,wf_table[Date],'Category Summary'!E$17)</f>
        <v>-1384.09</v>
      </c>
      <c r="F24" s="8">
        <f>SUMIFS(wf_table[Debit_Amount],wf_table[Category_2],'Category Summary'!$B24,wf_table[Date],'Category Summary'!F$17)</f>
        <v>-668</v>
      </c>
      <c r="G24" s="8">
        <f>SUMIFS(wf_table[Debit_Amount],wf_table[Category_2],'Category Summary'!$B24,wf_table[Date],'Category Summary'!G$17)</f>
        <v>-468.47</v>
      </c>
      <c r="H24" s="8">
        <f>SUMIFS(wf_table[Debit_Amount],wf_table[Category_2],'Category Summary'!$B24,wf_table[Date],'Category Summary'!H$17)</f>
        <v>-66.069999999999993</v>
      </c>
      <c r="I24" s="8">
        <f>SUMIFS(wf_table[Debit_Amount],wf_table[Category_2],'Category Summary'!$B24,wf_table[Date],'Category Summary'!I$17)</f>
        <v>-100</v>
      </c>
      <c r="J24" s="9">
        <f t="shared" si="3"/>
        <v>-4412.5999999999995</v>
      </c>
    </row>
    <row r="25" spans="2:10" x14ac:dyDescent="0.25">
      <c r="B25" t="s">
        <v>245</v>
      </c>
      <c r="C25" s="8">
        <f>SUMIFS(wf_table[Debit_Amount],wf_table[Category_2],'Category Summary'!$B25,wf_table[Date],'Category Summary'!C$17)</f>
        <v>-933.34</v>
      </c>
      <c r="D25" s="8">
        <f>SUMIFS(wf_table[Debit_Amount],wf_table[Category_2],'Category Summary'!$B25,wf_table[Date],'Category Summary'!D$17)</f>
        <v>-1204.29</v>
      </c>
      <c r="E25" s="8">
        <f>SUMIFS(wf_table[Debit_Amount],wf_table[Category_2],'Category Summary'!$B25,wf_table[Date],'Category Summary'!E$17)</f>
        <v>-1400</v>
      </c>
      <c r="F25" s="8">
        <f>SUMIFS(wf_table[Debit_Amount],wf_table[Category_2],'Category Summary'!$B25,wf_table[Date],'Category Summary'!F$17)</f>
        <v>-1400</v>
      </c>
      <c r="G25" s="8">
        <f>SUMIFS(wf_table[Debit_Amount],wf_table[Category_2],'Category Summary'!$B25,wf_table[Date],'Category Summary'!G$17)</f>
        <v>-1400</v>
      </c>
      <c r="H25" s="8">
        <f>SUMIFS(wf_table[Debit_Amount],wf_table[Category_2],'Category Summary'!$B25,wf_table[Date],'Category Summary'!H$17)</f>
        <v>-1400</v>
      </c>
      <c r="I25" s="8">
        <f>SUMIFS(wf_table[Debit_Amount],wf_table[Category_2],'Category Summary'!$B25,wf_table[Date],'Category Summary'!I$17)</f>
        <v>0</v>
      </c>
      <c r="J25" s="9">
        <f t="shared" si="3"/>
        <v>-7737.63</v>
      </c>
    </row>
    <row r="26" spans="2:10" x14ac:dyDescent="0.25">
      <c r="B26" t="s">
        <v>687</v>
      </c>
      <c r="C26" s="8">
        <f>SUMIFS(wf_table[Debit_Amount],wf_table[Category_2],'Category Summary'!$B26,wf_table[Date],'Category Summary'!C$17)</f>
        <v>-5236.91</v>
      </c>
      <c r="D26" s="8">
        <f>SUMIFS(wf_table[Debit_Amount],wf_table[Category_2],'Category Summary'!$B26,wf_table[Date],'Category Summary'!D$17)</f>
        <v>-1307.3499999999999</v>
      </c>
      <c r="E26" s="8">
        <f>SUMIFS(wf_table[Debit_Amount],wf_table[Category_2],'Category Summary'!$B26,wf_table[Date],'Category Summary'!E$17)</f>
        <v>-1969.1</v>
      </c>
      <c r="F26" s="8">
        <f>SUMIFS(wf_table[Debit_Amount],wf_table[Category_2],'Category Summary'!$B26,wf_table[Date],'Category Summary'!F$17)</f>
        <v>-2074.62</v>
      </c>
      <c r="G26" s="8">
        <f>SUMIFS(wf_table[Debit_Amount],wf_table[Category_2],'Category Summary'!$B26,wf_table[Date],'Category Summary'!G$17)</f>
        <v>-3000</v>
      </c>
      <c r="H26" s="8">
        <f>SUMIFS(wf_table[Debit_Amount],wf_table[Category_2],'Category Summary'!$B26,wf_table[Date],'Category Summary'!H$17)</f>
        <v>-4974.91</v>
      </c>
      <c r="I26" s="8">
        <f>SUMIFS(wf_table[Debit_Amount],wf_table[Category_2],'Category Summary'!$B26,wf_table[Date],'Category Summary'!I$17)</f>
        <v>-2600</v>
      </c>
      <c r="J26" s="9">
        <f t="shared" si="3"/>
        <v>-21162.89</v>
      </c>
    </row>
    <row r="27" spans="2:10" x14ac:dyDescent="0.25">
      <c r="B27" t="s">
        <v>681</v>
      </c>
      <c r="C27" s="8">
        <f>SUMIFS(wf_table[Debit_Amount],wf_table[Category_2],'Category Summary'!$B27,wf_table[Date],'Category Summary'!C$17)</f>
        <v>5616.86</v>
      </c>
      <c r="D27" s="8">
        <f>SUMIFS(wf_table[Debit_Amount],wf_table[Category_2],'Category Summary'!$B27,wf_table[Date],'Category Summary'!D$17)</f>
        <v>7196.43</v>
      </c>
      <c r="E27" s="8">
        <f>SUMIFS(wf_table[Debit_Amount],wf_table[Category_2],'Category Summary'!$B27,wf_table[Date],'Category Summary'!E$17)</f>
        <v>4480.1400000000003</v>
      </c>
      <c r="F27" s="8">
        <f>SUMIFS(wf_table[Debit_Amount],wf_table[Category_2],'Category Summary'!$B27,wf_table[Date],'Category Summary'!F$17)</f>
        <v>4543.1499999999996</v>
      </c>
      <c r="G27" s="8">
        <f>SUMIFS(wf_table[Debit_Amount],wf_table[Category_2],'Category Summary'!$B27,wf_table[Date],'Category Summary'!G$17)</f>
        <v>4965.79</v>
      </c>
      <c r="H27" s="8">
        <f>SUMIFS(wf_table[Debit_Amount],wf_table[Category_2],'Category Summary'!$B27,wf_table[Date],'Category Summary'!H$17)</f>
        <v>7448.6900000000005</v>
      </c>
      <c r="I27" s="8">
        <f>SUMIFS(wf_table[Debit_Amount],wf_table[Category_2],'Category Summary'!$B27,wf_table[Date],'Category Summary'!I$17)</f>
        <v>2482.89</v>
      </c>
      <c r="J27" s="24">
        <f t="shared" si="3"/>
        <v>36733.950000000004</v>
      </c>
    </row>
    <row r="28" spans="2:10" x14ac:dyDescent="0.25">
      <c r="C28" s="9">
        <f>SUM(C18:C27)</f>
        <v>-1308.0200000000004</v>
      </c>
      <c r="D28" s="9">
        <f t="shared" ref="D28:I28" si="4">SUM(D18:D27)</f>
        <v>2868.41</v>
      </c>
      <c r="E28" s="9">
        <f t="shared" si="4"/>
        <v>-521.55000000000018</v>
      </c>
      <c r="F28" s="9">
        <f t="shared" si="4"/>
        <v>143.55999999999949</v>
      </c>
      <c r="G28" s="9">
        <f t="shared" si="4"/>
        <v>-372.55000000000018</v>
      </c>
      <c r="H28" s="9">
        <f t="shared" si="4"/>
        <v>735.94000000000051</v>
      </c>
      <c r="I28" s="9">
        <f t="shared" si="4"/>
        <v>-509.05000000000018</v>
      </c>
      <c r="J28" s="9">
        <f>J27-J13</f>
        <v>-5508.3899999999994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86C7-77E0-45B1-BD7E-1E8DECAEE512}">
  <sheetPr>
    <tabColor theme="4"/>
  </sheetPr>
  <dimension ref="B1:J18"/>
  <sheetViews>
    <sheetView workbookViewId="0">
      <selection activeCell="E30" sqref="E30"/>
    </sheetView>
  </sheetViews>
  <sheetFormatPr defaultRowHeight="15" x14ac:dyDescent="0.25"/>
  <cols>
    <col min="3" max="3" width="10.5703125" bestFit="1" customWidth="1"/>
    <col min="4" max="5" width="11.28515625" bestFit="1" customWidth="1"/>
    <col min="6" max="9" width="9.7109375" bestFit="1" customWidth="1"/>
    <col min="10" max="10" width="11.28515625" bestFit="1" customWidth="1"/>
    <col min="13" max="13" width="9" bestFit="1" customWidth="1"/>
    <col min="14" max="14" width="8.28515625" bestFit="1" customWidth="1"/>
    <col min="15" max="15" width="7.85546875" bestFit="1" customWidth="1"/>
    <col min="16" max="16" width="6.85546875" bestFit="1" customWidth="1"/>
    <col min="17" max="17" width="8.7109375" bestFit="1" customWidth="1"/>
  </cols>
  <sheetData>
    <row r="1" spans="2:10" x14ac:dyDescent="0.25">
      <c r="C1" t="s">
        <v>14</v>
      </c>
      <c r="D1" t="s">
        <v>117</v>
      </c>
      <c r="E1" t="s">
        <v>145</v>
      </c>
      <c r="F1" t="s">
        <v>233</v>
      </c>
      <c r="G1" t="s">
        <v>290</v>
      </c>
      <c r="H1" t="s">
        <v>364</v>
      </c>
      <c r="I1" t="s">
        <v>420</v>
      </c>
      <c r="J1" t="s">
        <v>489</v>
      </c>
    </row>
    <row r="2" spans="2:10" x14ac:dyDescent="0.25">
      <c r="B2" t="s">
        <v>679</v>
      </c>
      <c r="C2" s="8">
        <f>SUMIFS(wf_table[Debit_Amount],wf_table[Short_Desc],'People Summary'!$B2,wf_table[Date],'People Summary'!C$1,wf_table[Category_2],"People" )</f>
        <v>-505</v>
      </c>
      <c r="D2" s="8">
        <f>SUMIFS(wf_table[Debit_Amount],wf_table[Short_Desc],'People Summary'!$B2,wf_table[Date],'People Summary'!D$1,wf_table[Category_2],"People" )</f>
        <v>485</v>
      </c>
      <c r="E2" s="8">
        <f>SUMIFS(wf_table[Debit_Amount],wf_table[Short_Desc],'People Summary'!$B2,wf_table[Date],'People Summary'!E$1,wf_table[Category_2],"People" )</f>
        <v>0</v>
      </c>
      <c r="F2" s="8">
        <f>SUMIFS(wf_table[Debit_Amount],wf_table[Short_Desc],'People Summary'!$B2,wf_table[Date],'People Summary'!F$1,wf_table[Category_2],"People" )</f>
        <v>-430</v>
      </c>
      <c r="G2" s="8">
        <f>SUMIFS(wf_table[Debit_Amount],wf_table[Short_Desc],'People Summary'!$B2,wf_table[Date],'People Summary'!G$1,wf_table[Category_2],"People" )</f>
        <v>-500</v>
      </c>
      <c r="H2" s="8">
        <f>SUMIFS(wf_table[Debit_Amount],wf_table[Short_Desc],'People Summary'!$B2,wf_table[Date],'People Summary'!H$1,wf_table[Category_2],"People" )</f>
        <v>400</v>
      </c>
      <c r="I2" s="8">
        <f>SUMIFS(wf_table[Debit_Amount],wf_table[Short_Desc],'People Summary'!$B2,wf_table[Date],'People Summary'!I$1,wf_table[Category_2],"People" )</f>
        <v>-100</v>
      </c>
      <c r="J2" s="8">
        <f>SUM(C2:I2)</f>
        <v>-650</v>
      </c>
    </row>
    <row r="3" spans="2:10" x14ac:dyDescent="0.25">
      <c r="B3" t="s">
        <v>696</v>
      </c>
      <c r="C3" s="8">
        <f>SUMIFS(wf_table[Debit_Amount],wf_table[Short_Desc],'People Summary'!$B3,wf_table[Date],'People Summary'!C$1,wf_table[Category_2],"People" )</f>
        <v>477.73</v>
      </c>
      <c r="D3" s="8">
        <f>SUMIFS(wf_table[Debit_Amount],wf_table[Short_Desc],'People Summary'!$B3,wf_table[Date],'People Summary'!D$1,wf_table[Category_2],"People" )</f>
        <v>-2074.21</v>
      </c>
      <c r="E3" s="8">
        <f>SUMIFS(wf_table[Debit_Amount],wf_table[Short_Desc],'People Summary'!$B3,wf_table[Date],'People Summary'!E$1,wf_table[Category_2],"People" )</f>
        <v>-1434</v>
      </c>
      <c r="F3" s="8">
        <f>SUMIFS(wf_table[Debit_Amount],wf_table[Short_Desc],'People Summary'!$B3,wf_table[Date],'People Summary'!F$1,wf_table[Category_2],"People" )</f>
        <v>0</v>
      </c>
      <c r="G3" s="8">
        <f>SUMIFS(wf_table[Debit_Amount],wf_table[Short_Desc],'People Summary'!$B3,wf_table[Date],'People Summary'!G$1,wf_table[Category_2],"People" )</f>
        <v>0</v>
      </c>
      <c r="H3" s="8">
        <f>SUMIFS(wf_table[Debit_Amount],wf_table[Short_Desc],'People Summary'!$B3,wf_table[Date],'People Summary'!H$1,wf_table[Category_2],"People" )</f>
        <v>-186.07</v>
      </c>
      <c r="I3" s="8">
        <f>SUMIFS(wf_table[Debit_Amount],wf_table[Short_Desc],'People Summary'!$B3,wf_table[Date],'People Summary'!I$1,wf_table[Category_2],"People" )</f>
        <v>0</v>
      </c>
      <c r="J3" s="8">
        <f t="shared" ref="J3:J17" si="0">SUM(C3:I3)</f>
        <v>-3216.55</v>
      </c>
    </row>
    <row r="4" spans="2:10" x14ac:dyDescent="0.25">
      <c r="B4" t="s">
        <v>703</v>
      </c>
      <c r="C4" s="8">
        <f>SUMIFS(wf_table[Debit_Amount],wf_table[Short_Desc],'People Summary'!$B4,wf_table[Date],'People Summary'!C$1,wf_table[Category_2],"People" )</f>
        <v>0</v>
      </c>
      <c r="D4" s="8">
        <f>SUMIFS(wf_table[Debit_Amount],wf_table[Short_Desc],'People Summary'!$B4,wf_table[Date],'People Summary'!D$1,wf_table[Category_2],"People" )</f>
        <v>0</v>
      </c>
      <c r="E4" s="8">
        <f>SUMIFS(wf_table[Debit_Amount],wf_table[Short_Desc],'People Summary'!$B4,wf_table[Date],'People Summary'!E$1,wf_table[Category_2],"People" )</f>
        <v>0</v>
      </c>
      <c r="F4" s="8">
        <f>SUMIFS(wf_table[Debit_Amount],wf_table[Short_Desc],'People Summary'!$B4,wf_table[Date],'People Summary'!F$1,wf_table[Category_2],"People" )</f>
        <v>0</v>
      </c>
      <c r="G4" s="8">
        <f>SUMIFS(wf_table[Debit_Amount],wf_table[Short_Desc],'People Summary'!$B4,wf_table[Date],'People Summary'!G$1,wf_table[Category_2],"People" )</f>
        <v>0</v>
      </c>
      <c r="H4" s="8">
        <f>SUMIFS(wf_table[Debit_Amount],wf_table[Short_Desc],'People Summary'!$B4,wf_table[Date],'People Summary'!H$1,wf_table[Category_2],"People" )</f>
        <v>0</v>
      </c>
      <c r="I4" s="8">
        <f>SUMIFS(wf_table[Debit_Amount],wf_table[Short_Desc],'People Summary'!$B4,wf_table[Date],'People Summary'!I$1,wf_table[Category_2],"People" )</f>
        <v>0</v>
      </c>
      <c r="J4" s="8">
        <f t="shared" si="0"/>
        <v>0</v>
      </c>
    </row>
    <row r="5" spans="2:10" x14ac:dyDescent="0.25">
      <c r="B5" t="s">
        <v>690</v>
      </c>
      <c r="C5" s="8">
        <f>SUMIFS(wf_table[Debit_Amount],wf_table[Short_Desc],'People Summary'!$B5,wf_table[Date],'People Summary'!C$1,wf_table[Category_2],"People" )</f>
        <v>-100</v>
      </c>
      <c r="D5" s="8">
        <f>SUMIFS(wf_table[Debit_Amount],wf_table[Short_Desc],'People Summary'!$B5,wf_table[Date],'People Summary'!D$1,wf_table[Category_2],"People" )</f>
        <v>0</v>
      </c>
      <c r="E5" s="8">
        <f>SUMIFS(wf_table[Debit_Amount],wf_table[Short_Desc],'People Summary'!$B5,wf_table[Date],'People Summary'!E$1,wf_table[Category_2],"People" )</f>
        <v>-110</v>
      </c>
      <c r="F5" s="8">
        <f>SUMIFS(wf_table[Debit_Amount],wf_table[Short_Desc],'People Summary'!$B5,wf_table[Date],'People Summary'!F$1,wf_table[Category_2],"People" )</f>
        <v>-93</v>
      </c>
      <c r="G5" s="8">
        <f>SUMIFS(wf_table[Debit_Amount],wf_table[Short_Desc],'People Summary'!$B5,wf_table[Date],'People Summary'!G$1,wf_table[Category_2],"People" )</f>
        <v>-40</v>
      </c>
      <c r="H5" s="8">
        <f>SUMIFS(wf_table[Debit_Amount],wf_table[Short_Desc],'People Summary'!$B5,wf_table[Date],'People Summary'!H$1,wf_table[Category_2],"People" )</f>
        <v>0</v>
      </c>
      <c r="I5" s="8">
        <f>SUMIFS(wf_table[Debit_Amount],wf_table[Short_Desc],'People Summary'!$B5,wf_table[Date],'People Summary'!I$1,wf_table[Category_2],"People" )</f>
        <v>0</v>
      </c>
      <c r="J5" s="8">
        <f t="shared" si="0"/>
        <v>-343</v>
      </c>
    </row>
    <row r="6" spans="2:10" x14ac:dyDescent="0.25">
      <c r="B6" t="s">
        <v>704</v>
      </c>
      <c r="C6" s="8">
        <f>SUMIFS(wf_table[Debit_Amount],wf_table[Short_Desc],'People Summary'!$B6,wf_table[Date],'People Summary'!C$1,wf_table[Category_2],"People" )</f>
        <v>0</v>
      </c>
      <c r="D6" s="8">
        <f>SUMIFS(wf_table[Debit_Amount],wf_table[Short_Desc],'People Summary'!$B6,wf_table[Date],'People Summary'!D$1,wf_table[Category_2],"People" )</f>
        <v>0</v>
      </c>
      <c r="E6" s="8">
        <f>SUMIFS(wf_table[Debit_Amount],wf_table[Short_Desc],'People Summary'!$B6,wf_table[Date],'People Summary'!E$1,wf_table[Category_2],"People" )</f>
        <v>0</v>
      </c>
      <c r="F6" s="8">
        <f>SUMIFS(wf_table[Debit_Amount],wf_table[Short_Desc],'People Summary'!$B6,wf_table[Date],'People Summary'!F$1,wf_table[Category_2],"People" )</f>
        <v>0</v>
      </c>
      <c r="G6" s="8">
        <f>SUMIFS(wf_table[Debit_Amount],wf_table[Short_Desc],'People Summary'!$B6,wf_table[Date],'People Summary'!G$1,wf_table[Category_2],"People" )</f>
        <v>0</v>
      </c>
      <c r="H6" s="8">
        <f>SUMIFS(wf_table[Debit_Amount],wf_table[Short_Desc],'People Summary'!$B6,wf_table[Date],'People Summary'!H$1,wf_table[Category_2],"People" )</f>
        <v>0</v>
      </c>
      <c r="I6" s="8">
        <f>SUMIFS(wf_table[Debit_Amount],wf_table[Short_Desc],'People Summary'!$B6,wf_table[Date],'People Summary'!I$1,wf_table[Category_2],"People" )</f>
        <v>0</v>
      </c>
      <c r="J6" s="8">
        <f t="shared" si="0"/>
        <v>0</v>
      </c>
    </row>
    <row r="7" spans="2:10" x14ac:dyDescent="0.25">
      <c r="B7" t="s">
        <v>705</v>
      </c>
      <c r="C7" s="8">
        <f>SUMIFS(wf_table[Debit_Amount],wf_table[Short_Desc],'People Summary'!$B7,wf_table[Date],'People Summary'!C$1,wf_table[Category_2],"People" )</f>
        <v>-2.5</v>
      </c>
      <c r="D7" s="8">
        <f>SUMIFS(wf_table[Debit_Amount],wf_table[Short_Desc],'People Summary'!$B7,wf_table[Date],'People Summary'!D$1,wf_table[Category_2],"People" )</f>
        <v>0</v>
      </c>
      <c r="E7" s="8">
        <f>SUMIFS(wf_table[Debit_Amount],wf_table[Short_Desc],'People Summary'!$B7,wf_table[Date],'People Summary'!E$1,wf_table[Category_2],"People" )</f>
        <v>0</v>
      </c>
      <c r="F7" s="8">
        <f>SUMIFS(wf_table[Debit_Amount],wf_table[Short_Desc],'People Summary'!$B7,wf_table[Date],'People Summary'!F$1,wf_table[Category_2],"People" )</f>
        <v>0</v>
      </c>
      <c r="G7" s="8">
        <f>SUMIFS(wf_table[Debit_Amount],wf_table[Short_Desc],'People Summary'!$B7,wf_table[Date],'People Summary'!G$1,wf_table[Category_2],"People" )</f>
        <v>0</v>
      </c>
      <c r="H7" s="8">
        <f>SUMIFS(wf_table[Debit_Amount],wf_table[Short_Desc],'People Summary'!$B7,wf_table[Date],'People Summary'!H$1,wf_table[Category_2],"People" )</f>
        <v>0</v>
      </c>
      <c r="I7" s="8">
        <f>SUMIFS(wf_table[Debit_Amount],wf_table[Short_Desc],'People Summary'!$B7,wf_table[Date],'People Summary'!I$1,wf_table[Category_2],"People" )</f>
        <v>0</v>
      </c>
      <c r="J7" s="8">
        <f t="shared" si="0"/>
        <v>-2.5</v>
      </c>
    </row>
    <row r="8" spans="2:10" x14ac:dyDescent="0.25">
      <c r="B8" t="s">
        <v>697</v>
      </c>
      <c r="C8" s="8">
        <f>SUMIFS(wf_table[Debit_Amount],wf_table[Short_Desc],'People Summary'!$B8,wf_table[Date],'People Summary'!C$1,wf_table[Category_2],"People" )</f>
        <v>0</v>
      </c>
      <c r="D8" s="8">
        <f>SUMIFS(wf_table[Debit_Amount],wf_table[Short_Desc],'People Summary'!$B8,wf_table[Date],'People Summary'!D$1,wf_table[Category_2],"People" )</f>
        <v>0</v>
      </c>
      <c r="E8" s="8">
        <f>SUMIFS(wf_table[Debit_Amount],wf_table[Short_Desc],'People Summary'!$B8,wf_table[Date],'People Summary'!E$1,wf_table[Category_2],"People" )</f>
        <v>0</v>
      </c>
      <c r="F8" s="8">
        <f>SUMIFS(wf_table[Debit_Amount],wf_table[Short_Desc],'People Summary'!$B8,wf_table[Date],'People Summary'!F$1,wf_table[Category_2],"People" )</f>
        <v>0</v>
      </c>
      <c r="G8" s="8">
        <f>SUMIFS(wf_table[Debit_Amount],wf_table[Short_Desc],'People Summary'!$B8,wf_table[Date],'People Summary'!G$1,wf_table[Category_2],"People" )</f>
        <v>0</v>
      </c>
      <c r="H8" s="8">
        <f>SUMIFS(wf_table[Debit_Amount],wf_table[Short_Desc],'People Summary'!$B8,wf_table[Date],'People Summary'!H$1,wf_table[Category_2],"People" )</f>
        <v>0</v>
      </c>
      <c r="I8" s="8">
        <f>SUMIFS(wf_table[Debit_Amount],wf_table[Short_Desc],'People Summary'!$B8,wf_table[Date],'People Summary'!I$1,wf_table[Category_2],"People" )</f>
        <v>0</v>
      </c>
      <c r="J8" s="8">
        <f t="shared" si="0"/>
        <v>0</v>
      </c>
    </row>
    <row r="9" spans="2:10" x14ac:dyDescent="0.25">
      <c r="B9" t="s">
        <v>682</v>
      </c>
      <c r="C9" s="8">
        <f>SUMIFS(wf_table[Debit_Amount],wf_table[Short_Desc],'People Summary'!$B9,wf_table[Date],'People Summary'!C$1,wf_table[Category_2],"People" )</f>
        <v>0</v>
      </c>
      <c r="D9" s="8">
        <f>SUMIFS(wf_table[Debit_Amount],wf_table[Short_Desc],'People Summary'!$B9,wf_table[Date],'People Summary'!D$1,wf_table[Category_2],"People" )</f>
        <v>0</v>
      </c>
      <c r="E9" s="8">
        <f>SUMIFS(wf_table[Debit_Amount],wf_table[Short_Desc],'People Summary'!$B9,wf_table[Date],'People Summary'!E$1,wf_table[Category_2],"People" )</f>
        <v>-60</v>
      </c>
      <c r="F9" s="8">
        <f>SUMIFS(wf_table[Debit_Amount],wf_table[Short_Desc],'People Summary'!$B9,wf_table[Date],'People Summary'!F$1,wf_table[Category_2],"People" )</f>
        <v>0</v>
      </c>
      <c r="G9" s="8">
        <f>SUMIFS(wf_table[Debit_Amount],wf_table[Short_Desc],'People Summary'!$B9,wf_table[Date],'People Summary'!G$1,wf_table[Category_2],"People" )</f>
        <v>0</v>
      </c>
      <c r="H9" s="8">
        <f>SUMIFS(wf_table[Debit_Amount],wf_table[Short_Desc],'People Summary'!$B9,wf_table[Date],'People Summary'!H$1,wf_table[Category_2],"People" )</f>
        <v>-50</v>
      </c>
      <c r="I9" s="8">
        <f>SUMIFS(wf_table[Debit_Amount],wf_table[Short_Desc],'People Summary'!$B9,wf_table[Date],'People Summary'!I$1,wf_table[Category_2],"People" )</f>
        <v>0</v>
      </c>
      <c r="J9" s="8">
        <f t="shared" si="0"/>
        <v>-110</v>
      </c>
    </row>
    <row r="10" spans="2:10" x14ac:dyDescent="0.25">
      <c r="B10" t="s">
        <v>685</v>
      </c>
      <c r="C10" s="8">
        <f>SUMIFS(wf_table[Debit_Amount],wf_table[Short_Desc],'People Summary'!$B10,wf_table[Date],'People Summary'!C$1,wf_table[Category_2],"People" )</f>
        <v>0</v>
      </c>
      <c r="D10" s="8">
        <f>SUMIFS(wf_table[Debit_Amount],wf_table[Short_Desc],'People Summary'!$B10,wf_table[Date],'People Summary'!D$1,wf_table[Category_2],"People" )</f>
        <v>0</v>
      </c>
      <c r="E10" s="8">
        <f>SUMIFS(wf_table[Debit_Amount],wf_table[Short_Desc],'People Summary'!$B10,wf_table[Date],'People Summary'!E$1,wf_table[Category_2],"People" )</f>
        <v>224.91</v>
      </c>
      <c r="F10" s="8">
        <f>SUMIFS(wf_table[Debit_Amount],wf_table[Short_Desc],'People Summary'!$B10,wf_table[Date],'People Summary'!F$1,wf_table[Category_2],"People" )</f>
        <v>0</v>
      </c>
      <c r="G10" s="8">
        <f>SUMIFS(wf_table[Debit_Amount],wf_table[Short_Desc],'People Summary'!$B10,wf_table[Date],'People Summary'!G$1,wf_table[Category_2],"People" )</f>
        <v>66.010000000000005</v>
      </c>
      <c r="H10" s="8">
        <f>SUMIFS(wf_table[Debit_Amount],wf_table[Short_Desc],'People Summary'!$B10,wf_table[Date],'People Summary'!H$1,wf_table[Category_2],"People" )</f>
        <v>0</v>
      </c>
      <c r="I10" s="8">
        <f>SUMIFS(wf_table[Debit_Amount],wf_table[Short_Desc],'People Summary'!$B10,wf_table[Date],'People Summary'!I$1,wf_table[Category_2],"People" )</f>
        <v>0</v>
      </c>
      <c r="J10" s="8">
        <f t="shared" si="0"/>
        <v>290.92</v>
      </c>
    </row>
    <row r="11" spans="2:10" x14ac:dyDescent="0.25">
      <c r="B11" t="s">
        <v>695</v>
      </c>
      <c r="C11" s="8">
        <f>SUMIFS(wf_table[Debit_Amount],wf_table[Short_Desc],'People Summary'!$B11,wf_table[Date],'People Summary'!C$1,wf_table[Category_2],"People" )</f>
        <v>0</v>
      </c>
      <c r="D11" s="8">
        <f>SUMIFS(wf_table[Debit_Amount],wf_table[Short_Desc],'People Summary'!$B11,wf_table[Date],'People Summary'!D$1,wf_table[Category_2],"People" )</f>
        <v>0</v>
      </c>
      <c r="E11" s="8">
        <f>SUMIFS(wf_table[Debit_Amount],wf_table[Short_Desc],'People Summary'!$B11,wf_table[Date],'People Summary'!E$1,wf_table[Category_2],"People" )</f>
        <v>0</v>
      </c>
      <c r="F11" s="8">
        <f>SUMIFS(wf_table[Debit_Amount],wf_table[Short_Desc],'People Summary'!$B11,wf_table[Date],'People Summary'!F$1,wf_table[Category_2],"People" )</f>
        <v>0</v>
      </c>
      <c r="G11" s="8">
        <f>SUMIFS(wf_table[Debit_Amount],wf_table[Short_Desc],'People Summary'!$B11,wf_table[Date],'People Summary'!G$1,wf_table[Category_2],"People" )</f>
        <v>0</v>
      </c>
      <c r="H11" s="8">
        <f>SUMIFS(wf_table[Debit_Amount],wf_table[Short_Desc],'People Summary'!$B11,wf_table[Date],'People Summary'!H$1,wf_table[Category_2],"People" )</f>
        <v>0</v>
      </c>
      <c r="I11" s="8">
        <f>SUMIFS(wf_table[Debit_Amount],wf_table[Short_Desc],'People Summary'!$B11,wf_table[Date],'People Summary'!I$1,wf_table[Category_2],"People" )</f>
        <v>0</v>
      </c>
      <c r="J11" s="8">
        <f t="shared" si="0"/>
        <v>0</v>
      </c>
    </row>
    <row r="12" spans="2:10" x14ac:dyDescent="0.25">
      <c r="B12" t="s">
        <v>684</v>
      </c>
      <c r="C12" s="8">
        <f>SUMIFS(wf_table[Debit_Amount],wf_table[Short_Desc],'People Summary'!$B12,wf_table[Date],'People Summary'!C$1,wf_table[Category_2],"People" )</f>
        <v>0</v>
      </c>
      <c r="D12" s="8">
        <f>SUMIFS(wf_table[Debit_Amount],wf_table[Short_Desc],'People Summary'!$B12,wf_table[Date],'People Summary'!D$1,wf_table[Category_2],"People" )</f>
        <v>0</v>
      </c>
      <c r="E12" s="8">
        <f>SUMIFS(wf_table[Debit_Amount],wf_table[Short_Desc],'People Summary'!$B12,wf_table[Date],'People Summary'!E$1,wf_table[Category_2],"People" )</f>
        <v>-5</v>
      </c>
      <c r="F12" s="8">
        <f>SUMIFS(wf_table[Debit_Amount],wf_table[Short_Desc],'People Summary'!$B12,wf_table[Date],'People Summary'!F$1,wf_table[Category_2],"People" )</f>
        <v>-110</v>
      </c>
      <c r="G12" s="8">
        <f>SUMIFS(wf_table[Debit_Amount],wf_table[Short_Desc],'People Summary'!$B12,wf_table[Date],'People Summary'!G$1,wf_table[Category_2],"People" )</f>
        <v>0</v>
      </c>
      <c r="H12" s="8">
        <f>SUMIFS(wf_table[Debit_Amount],wf_table[Short_Desc],'People Summary'!$B12,wf_table[Date],'People Summary'!H$1,wf_table[Category_2],"People" )</f>
        <v>-120</v>
      </c>
      <c r="I12" s="8">
        <f>SUMIFS(wf_table[Debit_Amount],wf_table[Short_Desc],'People Summary'!$B12,wf_table[Date],'People Summary'!I$1,wf_table[Category_2],"People" )</f>
        <v>0</v>
      </c>
      <c r="J12" s="8">
        <f t="shared" si="0"/>
        <v>-235</v>
      </c>
    </row>
    <row r="13" spans="2:10" x14ac:dyDescent="0.25">
      <c r="B13" t="s">
        <v>693</v>
      </c>
      <c r="C13" s="8">
        <f>SUMIFS(wf_table[Debit_Amount],wf_table[Short_Desc],'People Summary'!$B13,wf_table[Date],'People Summary'!C$1,wf_table[Category_2],"People" )</f>
        <v>0</v>
      </c>
      <c r="D13" s="8">
        <f>SUMIFS(wf_table[Debit_Amount],wf_table[Short_Desc],'People Summary'!$B13,wf_table[Date],'People Summary'!D$1,wf_table[Category_2],"People" )</f>
        <v>0</v>
      </c>
      <c r="E13" s="8">
        <f>SUMIFS(wf_table[Debit_Amount],wf_table[Short_Desc],'People Summary'!$B13,wf_table[Date],'People Summary'!E$1,wf_table[Category_2],"People" )</f>
        <v>0</v>
      </c>
      <c r="F13" s="8">
        <f>SUMIFS(wf_table[Debit_Amount],wf_table[Short_Desc],'People Summary'!$B13,wf_table[Date],'People Summary'!F$1,wf_table[Category_2],"People" )</f>
        <v>-35</v>
      </c>
      <c r="G13" s="8">
        <f>SUMIFS(wf_table[Debit_Amount],wf_table[Short_Desc],'People Summary'!$B13,wf_table[Date],'People Summary'!G$1,wf_table[Category_2],"People" )</f>
        <v>0</v>
      </c>
      <c r="H13" s="8">
        <f>SUMIFS(wf_table[Debit_Amount],wf_table[Short_Desc],'People Summary'!$B13,wf_table[Date],'People Summary'!H$1,wf_table[Category_2],"People" )</f>
        <v>0</v>
      </c>
      <c r="I13" s="8">
        <f>SUMIFS(wf_table[Debit_Amount],wf_table[Short_Desc],'People Summary'!$B13,wf_table[Date],'People Summary'!I$1,wf_table[Category_2],"People" )</f>
        <v>0</v>
      </c>
      <c r="J13" s="8">
        <f t="shared" si="0"/>
        <v>-35</v>
      </c>
    </row>
    <row r="14" spans="2:10" x14ac:dyDescent="0.25">
      <c r="B14" t="s">
        <v>700</v>
      </c>
      <c r="C14" s="8">
        <f>SUMIFS(wf_table[Debit_Amount],wf_table[Short_Desc],'People Summary'!$B14,wf_table[Date],'People Summary'!C$1,wf_table[Category_2],"People" )</f>
        <v>0</v>
      </c>
      <c r="D14" s="8">
        <f>SUMIFS(wf_table[Debit_Amount],wf_table[Short_Desc],'People Summary'!$B14,wf_table[Date],'People Summary'!D$1,wf_table[Category_2],"People" )</f>
        <v>0</v>
      </c>
      <c r="E14" s="8">
        <f>SUMIFS(wf_table[Debit_Amount],wf_table[Short_Desc],'People Summary'!$B14,wf_table[Date],'People Summary'!E$1,wf_table[Category_2],"People" )</f>
        <v>0</v>
      </c>
      <c r="F14" s="8">
        <f>SUMIFS(wf_table[Debit_Amount],wf_table[Short_Desc],'People Summary'!$B14,wf_table[Date],'People Summary'!F$1,wf_table[Category_2],"People" )</f>
        <v>0</v>
      </c>
      <c r="G14" s="8">
        <f>SUMIFS(wf_table[Debit_Amount],wf_table[Short_Desc],'People Summary'!$B14,wf_table[Date],'People Summary'!G$1,wf_table[Category_2],"People" )</f>
        <v>0</v>
      </c>
      <c r="H14" s="8">
        <f>SUMIFS(wf_table[Debit_Amount],wf_table[Short_Desc],'People Summary'!$B14,wf_table[Date],'People Summary'!H$1,wf_table[Category_2],"People" )</f>
        <v>0</v>
      </c>
      <c r="I14" s="8">
        <f>SUMIFS(wf_table[Debit_Amount],wf_table[Short_Desc],'People Summary'!$B14,wf_table[Date],'People Summary'!I$1,wf_table[Category_2],"People" )</f>
        <v>0</v>
      </c>
      <c r="J14" s="8">
        <f t="shared" si="0"/>
        <v>0</v>
      </c>
    </row>
    <row r="15" spans="2:10" x14ac:dyDescent="0.25">
      <c r="B15" t="s">
        <v>699</v>
      </c>
      <c r="C15" s="8">
        <f>SUMIFS(wf_table[Debit_Amount],wf_table[Short_Desc],'People Summary'!$B15,wf_table[Date],'People Summary'!C$1,wf_table[Category_2],"People" )</f>
        <v>0</v>
      </c>
      <c r="D15" s="8">
        <f>SUMIFS(wf_table[Debit_Amount],wf_table[Short_Desc],'People Summary'!$B15,wf_table[Date],'People Summary'!D$1,wf_table[Category_2],"People" )</f>
        <v>0</v>
      </c>
      <c r="E15" s="8">
        <f>SUMIFS(wf_table[Debit_Amount],wf_table[Short_Desc],'People Summary'!$B15,wf_table[Date],'People Summary'!E$1,wf_table[Category_2],"People" )</f>
        <v>0</v>
      </c>
      <c r="F15" s="8">
        <f>SUMIFS(wf_table[Debit_Amount],wf_table[Short_Desc],'People Summary'!$B15,wf_table[Date],'People Summary'!F$1,wf_table[Category_2],"People" )</f>
        <v>0</v>
      </c>
      <c r="G15" s="8">
        <f>SUMIFS(wf_table[Debit_Amount],wf_table[Short_Desc],'People Summary'!$B15,wf_table[Date],'People Summary'!G$1,wf_table[Category_2],"People" )</f>
        <v>0</v>
      </c>
      <c r="H15" s="8">
        <f>SUMIFS(wf_table[Debit_Amount],wf_table[Short_Desc],'People Summary'!$B15,wf_table[Date],'People Summary'!H$1,wf_table[Category_2],"People" )</f>
        <v>0</v>
      </c>
      <c r="I15" s="8">
        <f>SUMIFS(wf_table[Debit_Amount],wf_table[Short_Desc],'People Summary'!$B15,wf_table[Date],'People Summary'!I$1,wf_table[Category_2],"People" )</f>
        <v>0</v>
      </c>
      <c r="J15" s="8">
        <f t="shared" si="0"/>
        <v>0</v>
      </c>
    </row>
    <row r="16" spans="2:10" x14ac:dyDescent="0.25">
      <c r="B16" t="s">
        <v>698</v>
      </c>
      <c r="C16" s="8">
        <f>SUMIFS(wf_table[Debit_Amount],wf_table[Short_Desc],'People Summary'!$B16,wf_table[Date],'People Summary'!C$1,wf_table[Category_2],"People" )</f>
        <v>0</v>
      </c>
      <c r="D16" s="8">
        <f>SUMIFS(wf_table[Debit_Amount],wf_table[Short_Desc],'People Summary'!$B16,wf_table[Date],'People Summary'!D$1,wf_table[Category_2],"People" )</f>
        <v>0</v>
      </c>
      <c r="E16" s="8">
        <f>SUMIFS(wf_table[Debit_Amount],wf_table[Short_Desc],'People Summary'!$B16,wf_table[Date],'People Summary'!E$1,wf_table[Category_2],"People" )</f>
        <v>0</v>
      </c>
      <c r="F16" s="8">
        <f>SUMIFS(wf_table[Debit_Amount],wf_table[Short_Desc],'People Summary'!$B16,wf_table[Date],'People Summary'!F$1,wf_table[Category_2],"People" )</f>
        <v>0</v>
      </c>
      <c r="G16" s="8">
        <f>SUMIFS(wf_table[Debit_Amount],wf_table[Short_Desc],'People Summary'!$B16,wf_table[Date],'People Summary'!G$1,wf_table[Category_2],"People" )</f>
        <v>-77</v>
      </c>
      <c r="H16" s="8">
        <f>SUMIFS(wf_table[Debit_Amount],wf_table[Short_Desc],'People Summary'!$B16,wf_table[Date],'People Summary'!H$1,wf_table[Category_2],"People" )</f>
        <v>0</v>
      </c>
      <c r="I16" s="8">
        <f>SUMIFS(wf_table[Debit_Amount],wf_table[Short_Desc],'People Summary'!$B16,wf_table[Date],'People Summary'!I$1,wf_table[Category_2],"People" )</f>
        <v>0</v>
      </c>
      <c r="J16" s="8">
        <f t="shared" si="0"/>
        <v>-77</v>
      </c>
    </row>
    <row r="17" spans="2:10" x14ac:dyDescent="0.25">
      <c r="B17" t="s">
        <v>683</v>
      </c>
      <c r="C17" s="8">
        <f>SUMIFS(wf_table[Debit_Amount],wf_table[Short_Desc],'People Summary'!$B17,wf_table[Date],'People Summary'!C$1,wf_table[Category_2],"People" )</f>
        <v>-120</v>
      </c>
      <c r="D17" s="8">
        <f>SUMIFS(wf_table[Debit_Amount],wf_table[Short_Desc],'People Summary'!$B17,wf_table[Date],'People Summary'!D$1,wf_table[Category_2],"People" )</f>
        <v>120</v>
      </c>
      <c r="E17" s="8">
        <f>SUMIFS(wf_table[Debit_Amount],wf_table[Short_Desc],'People Summary'!$B17,wf_table[Date],'People Summary'!E$1,wf_table[Category_2],"People" )</f>
        <v>0</v>
      </c>
      <c r="F17" s="8">
        <f>SUMIFS(wf_table[Debit_Amount],wf_table[Short_Desc],'People Summary'!$B17,wf_table[Date],'People Summary'!F$1,wf_table[Category_2],"People" )</f>
        <v>0</v>
      </c>
      <c r="G17" s="8">
        <f>SUMIFS(wf_table[Debit_Amount],wf_table[Short_Desc],'People Summary'!$B17,wf_table[Date],'People Summary'!G$1,wf_table[Category_2],"People" )</f>
        <v>0</v>
      </c>
      <c r="H17" s="8">
        <f>SUMIFS(wf_table[Debit_Amount],wf_table[Short_Desc],'People Summary'!$B17,wf_table[Date],'People Summary'!H$1,wf_table[Category_2],"People" )</f>
        <v>-110</v>
      </c>
      <c r="I17" s="8">
        <f>SUMIFS(wf_table[Debit_Amount],wf_table[Short_Desc],'People Summary'!$B17,wf_table[Date],'People Summary'!I$1,wf_table[Category_2],"People" )</f>
        <v>0</v>
      </c>
      <c r="J17" s="8">
        <f t="shared" si="0"/>
        <v>-110</v>
      </c>
    </row>
    <row r="18" spans="2:10" x14ac:dyDescent="0.25">
      <c r="C18" s="9">
        <f>SUM(C2:C17)</f>
        <v>-249.76999999999998</v>
      </c>
      <c r="D18" s="9">
        <f t="shared" ref="D18:J18" si="1">SUM(D2:D17)</f>
        <v>-1469.21</v>
      </c>
      <c r="E18" s="9">
        <f t="shared" si="1"/>
        <v>-1384.09</v>
      </c>
      <c r="F18" s="9">
        <f t="shared" si="1"/>
        <v>-668</v>
      </c>
      <c r="G18" s="9">
        <f t="shared" si="1"/>
        <v>-550.99</v>
      </c>
      <c r="H18" s="9">
        <f t="shared" si="1"/>
        <v>-66.069999999999993</v>
      </c>
      <c r="I18" s="9">
        <f t="shared" si="1"/>
        <v>-100</v>
      </c>
      <c r="J18" s="9">
        <f t="shared" si="1"/>
        <v>-4488.13</v>
      </c>
    </row>
  </sheetData>
  <autoFilter ref="M1:Q11" xr:uid="{A2F386C7-77E0-45B1-BD7E-1E8DECAEE512}">
    <sortState xmlns:xlrd2="http://schemas.microsoft.com/office/spreadsheetml/2017/richdata2" ref="M2:Q11">
      <sortCondition ref="O1:O1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F89A-0C38-4640-8F42-3B4BE950EA41}">
  <sheetPr>
    <tabColor theme="4"/>
  </sheetPr>
  <dimension ref="A2:J82"/>
  <sheetViews>
    <sheetView workbookViewId="0">
      <selection activeCell="J9" sqref="J9"/>
    </sheetView>
  </sheetViews>
  <sheetFormatPr defaultRowHeight="15" x14ac:dyDescent="0.25"/>
  <cols>
    <col min="1" max="1" width="24.85546875" bestFit="1" customWidth="1"/>
    <col min="2" max="2" width="16.28515625" bestFit="1" customWidth="1"/>
    <col min="3" max="3" width="16.28515625" customWidth="1"/>
  </cols>
  <sheetData>
    <row r="2" spans="1:10" x14ac:dyDescent="0.25">
      <c r="A2" t="s">
        <v>4</v>
      </c>
      <c r="B2" t="s">
        <v>487</v>
      </c>
      <c r="C2" t="s">
        <v>488</v>
      </c>
      <c r="D2" t="s">
        <v>14</v>
      </c>
      <c r="E2" t="s">
        <v>117</v>
      </c>
      <c r="F2" t="s">
        <v>145</v>
      </c>
      <c r="G2" t="s">
        <v>233</v>
      </c>
      <c r="H2" t="s">
        <v>290</v>
      </c>
      <c r="I2" t="s">
        <v>364</v>
      </c>
      <c r="J2" t="s">
        <v>420</v>
      </c>
    </row>
    <row r="3" spans="1:10" x14ac:dyDescent="0.25">
      <c r="A3" s="5">
        <f>VLOOKUP(B3,dis_table[[#All],[Short_Desc]:[Category_2]],4,0)</f>
        <v>0</v>
      </c>
      <c r="B3" t="s">
        <v>10</v>
      </c>
      <c r="C3">
        <f>VLOOKUP(B3,dis_table[[#All],[Short_Desc]:[Reoccurring_Flag]],3,0)</f>
        <v>0</v>
      </c>
      <c r="D3" s="8">
        <f>SUMIFS(dis_table[Amount],dis_table[Short_Desc],'Short Desc Summary'!$B3,dis_table[Date],'Short Desc Summary'!D$2) +SUMIFS(cc_table[Amount],cc_table[Short_Desc],'Short Desc Summary'!$B3,cc_table[Date],'Short Desc Summary'!D$2) +SUMIFS(bb_table[Amount],bb_table[Short_Desc],'Short Desc Summary'!$B3,bb_table[Date],'Short Desc Summary'!D$2)</f>
        <v>0</v>
      </c>
      <c r="E3" s="8">
        <f>SUMIFS(dis_table[Amount],dis_table[Short_Desc],'Short Desc Summary'!$B3,dis_table[Date],'Short Desc Summary'!E$2) +SUMIFS(cc_table[Amount],cc_table[Short_Desc],'Short Desc Summary'!$B3,cc_table[Date],'Short Desc Summary'!E$2) +SUMIFS(bb_table[Amount],bb_table[Short_Desc],'Short Desc Summary'!$B3,bb_table[Date],'Short Desc Summary'!E$2)</f>
        <v>0</v>
      </c>
      <c r="F3" s="8">
        <f>SUMIFS(dis_table[Amount],dis_table[Short_Desc],'Short Desc Summary'!$B3,dis_table[Date],'Short Desc Summary'!F$2) +SUMIFS(cc_table[Amount],cc_table[Short_Desc],'Short Desc Summary'!$B3,cc_table[Date],'Short Desc Summary'!F$2) +SUMIFS(bb_table[Amount],bb_table[Short_Desc],'Short Desc Summary'!$B3,bb_table[Date],'Short Desc Summary'!F$2)</f>
        <v>0</v>
      </c>
      <c r="G3" s="8">
        <f>SUMIFS(dis_table[Amount],dis_table[Short_Desc],'Short Desc Summary'!$B3,dis_table[Date],'Short Desc Summary'!G$2) +SUMIFS(cc_table[Amount],cc_table[Short_Desc],'Short Desc Summary'!$B3,cc_table[Date],'Short Desc Summary'!G$2) +SUMIFS(bb_table[Amount],bb_table[Short_Desc],'Short Desc Summary'!$B3,bb_table[Date],'Short Desc Summary'!G$2)</f>
        <v>0</v>
      </c>
      <c r="H3" s="8">
        <f>SUMIFS(dis_table[Amount],dis_table[Short_Desc],'Short Desc Summary'!$B3,dis_table[Date],'Short Desc Summary'!H$2) +SUMIFS(cc_table[Amount],cc_table[Short_Desc],'Short Desc Summary'!$B3,cc_table[Date],'Short Desc Summary'!H$2) +SUMIFS(bb_table[Amount],bb_table[Short_Desc],'Short Desc Summary'!$B3,bb_table[Date],'Short Desc Summary'!H$2)</f>
        <v>0</v>
      </c>
      <c r="I3" s="8">
        <f>SUMIFS(dis_table[Amount],dis_table[Short_Desc],'Short Desc Summary'!$B3,dis_table[Date],'Short Desc Summary'!I$2) +SUMIFS(cc_table[Amount],cc_table[Short_Desc],'Short Desc Summary'!$B3,cc_table[Date],'Short Desc Summary'!I$2) +SUMIFS(bb_table[Amount],bb_table[Short_Desc],'Short Desc Summary'!$B3,bb_table[Date],'Short Desc Summary'!I$2)</f>
        <v>0</v>
      </c>
      <c r="J3" s="8">
        <f>SUMIFS(dis_table[Amount],dis_table[Short_Desc],'Short Desc Summary'!$B3,dis_table[Date],'Short Desc Summary'!J$2) +SUMIFS(cc_table[Amount],cc_table[Short_Desc],'Short Desc Summary'!$B3,cc_table[Date],'Short Desc Summary'!J$2) +SUMIFS(bb_table[Amount],bb_table[Short_Desc],'Short Desc Summary'!$B3,bb_table[Date],'Short Desc Summary'!J$2)</f>
        <v>0</v>
      </c>
    </row>
    <row r="4" spans="1:10" x14ac:dyDescent="0.25">
      <c r="A4" s="5">
        <f>VLOOKUP(B4,dis_table[[#All],[Short_Desc]:[Category_2]],4,0)</f>
        <v>0</v>
      </c>
      <c r="B4" t="s">
        <v>27</v>
      </c>
      <c r="C4" t="str">
        <f>VLOOKUP(B4,dis_table[[#All],[Short_Desc]:[Reoccurring_Flag]],3,0)</f>
        <v>No</v>
      </c>
      <c r="D4" s="8">
        <f>SUMIFS(dis_table[Amount],dis_table[Short_Desc],'Short Desc Summary'!$B4,dis_table[Date],'Short Desc Summary'!D$2) +SUMIFS(cc_table[Amount],cc_table[Short_Desc],'Short Desc Summary'!$B4,cc_table[Date],'Short Desc Summary'!D$2) +SUMIFS(bb_table[Amount],bb_table[Short_Desc],'Short Desc Summary'!$B4,bb_table[Date],'Short Desc Summary'!D$2)</f>
        <v>135.73999999999998</v>
      </c>
      <c r="E4" s="8">
        <f>SUMIFS(dis_table[Amount],dis_table[Short_Desc],'Short Desc Summary'!$B4,dis_table[Date],'Short Desc Summary'!E$2) +SUMIFS(cc_table[Amount],cc_table[Short_Desc],'Short Desc Summary'!$B4,cc_table[Date],'Short Desc Summary'!E$2) +SUMIFS(bb_table[Amount],bb_table[Short_Desc],'Short Desc Summary'!$B4,bb_table[Date],'Short Desc Summary'!E$2)</f>
        <v>23.31</v>
      </c>
      <c r="F4" s="8">
        <f>SUMIFS(dis_table[Amount],dis_table[Short_Desc],'Short Desc Summary'!$B4,dis_table[Date],'Short Desc Summary'!F$2) +SUMIFS(cc_table[Amount],cc_table[Short_Desc],'Short Desc Summary'!$B4,cc_table[Date],'Short Desc Summary'!F$2) +SUMIFS(bb_table[Amount],bb_table[Short_Desc],'Short Desc Summary'!$B4,bb_table[Date],'Short Desc Summary'!F$2)</f>
        <v>21.22</v>
      </c>
      <c r="G4" s="8">
        <f>SUMIFS(dis_table[Amount],dis_table[Short_Desc],'Short Desc Summary'!$B4,dis_table[Date],'Short Desc Summary'!G$2) +SUMIFS(cc_table[Amount],cc_table[Short_Desc],'Short Desc Summary'!$B4,cc_table[Date],'Short Desc Summary'!G$2) +SUMIFS(bb_table[Amount],bb_table[Short_Desc],'Short Desc Summary'!$B4,bb_table[Date],'Short Desc Summary'!G$2)</f>
        <v>277.84999999999997</v>
      </c>
      <c r="H4" s="8">
        <f>SUMIFS(dis_table[Amount],dis_table[Short_Desc],'Short Desc Summary'!$B4,dis_table[Date],'Short Desc Summary'!H$2) +SUMIFS(cc_table[Amount],cc_table[Short_Desc],'Short Desc Summary'!$B4,cc_table[Date],'Short Desc Summary'!H$2) +SUMIFS(bb_table[Amount],bb_table[Short_Desc],'Short Desc Summary'!$B4,bb_table[Date],'Short Desc Summary'!H$2)</f>
        <v>458.28000000000003</v>
      </c>
      <c r="I4" s="8">
        <f>SUMIFS(dis_table[Amount],dis_table[Short_Desc],'Short Desc Summary'!$B4,dis_table[Date],'Short Desc Summary'!I$2) +SUMIFS(cc_table[Amount],cc_table[Short_Desc],'Short Desc Summary'!$B4,cc_table[Date],'Short Desc Summary'!I$2) +SUMIFS(bb_table[Amount],bb_table[Short_Desc],'Short Desc Summary'!$B4,bb_table[Date],'Short Desc Summary'!I$2)</f>
        <v>55.16</v>
      </c>
      <c r="J4" s="8">
        <f>SUMIFS(dis_table[Amount],dis_table[Short_Desc],'Short Desc Summary'!$B4,dis_table[Date],'Short Desc Summary'!J$2) +SUMIFS(cc_table[Amount],cc_table[Short_Desc],'Short Desc Summary'!$B4,cc_table[Date],'Short Desc Summary'!J$2) +SUMIFS(bb_table[Amount],bb_table[Short_Desc],'Short Desc Summary'!$B4,bb_table[Date],'Short Desc Summary'!J$2)</f>
        <v>76.609999999999985</v>
      </c>
    </row>
    <row r="5" spans="1:10" x14ac:dyDescent="0.25">
      <c r="A5" s="5">
        <f>VLOOKUP(B5,dis_table[[#All],[Short_Desc]:[Category_2]],4,0)</f>
        <v>0</v>
      </c>
      <c r="B5" t="s">
        <v>38</v>
      </c>
      <c r="C5" t="str">
        <f>VLOOKUP(B5,dis_table[[#All],[Short_Desc]:[Reoccurring_Flag]],3,0)</f>
        <v>No</v>
      </c>
      <c r="D5" s="8">
        <f>SUMIFS(dis_table[Amount],dis_table[Short_Desc],'Short Desc Summary'!$B5,dis_table[Date],'Short Desc Summary'!D$2) +SUMIFS(cc_table[Amount],cc_table[Short_Desc],'Short Desc Summary'!$B5,cc_table[Date],'Short Desc Summary'!D$2) +SUMIFS(bb_table[Amount],bb_table[Short_Desc],'Short Desc Summary'!$B5,bb_table[Date],'Short Desc Summary'!D$2)</f>
        <v>-4994.92</v>
      </c>
      <c r="E5" s="8">
        <f>SUMIFS(dis_table[Amount],dis_table[Short_Desc],'Short Desc Summary'!$B5,dis_table[Date],'Short Desc Summary'!E$2) +SUMIFS(cc_table[Amount],cc_table[Short_Desc],'Short Desc Summary'!$B5,cc_table[Date],'Short Desc Summary'!E$2) +SUMIFS(bb_table[Amount],bb_table[Short_Desc],'Short Desc Summary'!$B5,bb_table[Date],'Short Desc Summary'!E$2)</f>
        <v>-3811.7799999999997</v>
      </c>
      <c r="F5" s="8">
        <f>SUMIFS(dis_table[Amount],dis_table[Short_Desc],'Short Desc Summary'!$B5,dis_table[Date],'Short Desc Summary'!F$2) +SUMIFS(cc_table[Amount],cc_table[Short_Desc],'Short Desc Summary'!$B5,cc_table[Date],'Short Desc Summary'!F$2) +SUMIFS(bb_table[Amount],bb_table[Short_Desc],'Short Desc Summary'!$B5,bb_table[Date],'Short Desc Summary'!F$2)</f>
        <v>-1969.1</v>
      </c>
      <c r="G5" s="8">
        <f>SUMIFS(dis_table[Amount],dis_table[Short_Desc],'Short Desc Summary'!$B5,dis_table[Date],'Short Desc Summary'!G$2) +SUMIFS(cc_table[Amount],cc_table[Short_Desc],'Short Desc Summary'!$B5,cc_table[Date],'Short Desc Summary'!G$2) +SUMIFS(bb_table[Amount],bb_table[Short_Desc],'Short Desc Summary'!$B5,bb_table[Date],'Short Desc Summary'!G$2)</f>
        <v>-2074.62</v>
      </c>
      <c r="H5" s="8">
        <f>SUMIFS(dis_table[Amount],dis_table[Short_Desc],'Short Desc Summary'!$B5,dis_table[Date],'Short Desc Summary'!H$2) +SUMIFS(cc_table[Amount],cc_table[Short_Desc],'Short Desc Summary'!$B5,cc_table[Date],'Short Desc Summary'!H$2) +SUMIFS(bb_table[Amount],bb_table[Short_Desc],'Short Desc Summary'!$B5,bb_table[Date],'Short Desc Summary'!H$2)</f>
        <v>-3000</v>
      </c>
      <c r="I5" s="8">
        <f>SUMIFS(dis_table[Amount],dis_table[Short_Desc],'Short Desc Summary'!$B5,dis_table[Date],'Short Desc Summary'!I$2) +SUMIFS(cc_table[Amount],cc_table[Short_Desc],'Short Desc Summary'!$B5,cc_table[Date],'Short Desc Summary'!I$2) +SUMIFS(bb_table[Amount],bb_table[Short_Desc],'Short Desc Summary'!$B5,bb_table[Date],'Short Desc Summary'!I$2)</f>
        <v>-4974.91</v>
      </c>
      <c r="J5" s="8">
        <f>SUMIFS(dis_table[Amount],dis_table[Short_Desc],'Short Desc Summary'!$B5,dis_table[Date],'Short Desc Summary'!J$2) +SUMIFS(cc_table[Amount],cc_table[Short_Desc],'Short Desc Summary'!$B5,cc_table[Date],'Short Desc Summary'!J$2) +SUMIFS(bb_table[Amount],bb_table[Short_Desc],'Short Desc Summary'!$B5,bb_table[Date],'Short Desc Summary'!J$2)</f>
        <v>-2600</v>
      </c>
    </row>
    <row r="6" spans="1:10" x14ac:dyDescent="0.25">
      <c r="A6" s="5">
        <f>VLOOKUP(B6,dis_table[[#All],[Short_Desc]:[Category_2]],4,0)</f>
        <v>0</v>
      </c>
      <c r="B6" t="s">
        <v>45</v>
      </c>
      <c r="C6" t="str">
        <f>VLOOKUP(B6,dis_table[[#All],[Short_Desc]:[Reoccurring_Flag]],3,0)</f>
        <v>No</v>
      </c>
      <c r="D6" s="8">
        <f>SUMIFS(dis_table[Amount],dis_table[Short_Desc],'Short Desc Summary'!$B6,dis_table[Date],'Short Desc Summary'!D$2) +SUMIFS(cc_table[Amount],cc_table[Short_Desc],'Short Desc Summary'!$B6,cc_table[Date],'Short Desc Summary'!D$2) +SUMIFS(bb_table[Amount],bb_table[Short_Desc],'Short Desc Summary'!$B6,bb_table[Date],'Short Desc Summary'!D$2)</f>
        <v>-29.08</v>
      </c>
      <c r="E6" s="8">
        <f>SUMIFS(dis_table[Amount],dis_table[Short_Desc],'Short Desc Summary'!$B6,dis_table[Date],'Short Desc Summary'!E$2) +SUMIFS(cc_table[Amount],cc_table[Short_Desc],'Short Desc Summary'!$B6,cc_table[Date],'Short Desc Summary'!E$2) +SUMIFS(bb_table[Amount],bb_table[Short_Desc],'Short Desc Summary'!$B6,bb_table[Date],'Short Desc Summary'!E$2)</f>
        <v>-29.29</v>
      </c>
      <c r="F6" s="8">
        <f>SUMIFS(dis_table[Amount],dis_table[Short_Desc],'Short Desc Summary'!$B6,dis_table[Date],'Short Desc Summary'!F$2) +SUMIFS(cc_table[Amount],cc_table[Short_Desc],'Short Desc Summary'!$B6,cc_table[Date],'Short Desc Summary'!F$2) +SUMIFS(bb_table[Amount],bb_table[Short_Desc],'Short Desc Summary'!$B6,bb_table[Date],'Short Desc Summary'!F$2)</f>
        <v>0</v>
      </c>
      <c r="G6" s="8">
        <f>SUMIFS(dis_table[Amount],dis_table[Short_Desc],'Short Desc Summary'!$B6,dis_table[Date],'Short Desc Summary'!G$2) +SUMIFS(cc_table[Amount],cc_table[Short_Desc],'Short Desc Summary'!$B6,cc_table[Date],'Short Desc Summary'!G$2) +SUMIFS(bb_table[Amount],bb_table[Short_Desc],'Short Desc Summary'!$B6,bb_table[Date],'Short Desc Summary'!G$2)</f>
        <v>-65.150000000000006</v>
      </c>
      <c r="H6" s="8">
        <f>SUMIFS(dis_table[Amount],dis_table[Short_Desc],'Short Desc Summary'!$B6,dis_table[Date],'Short Desc Summary'!H$2) +SUMIFS(cc_table[Amount],cc_table[Short_Desc],'Short Desc Summary'!$B6,cc_table[Date],'Short Desc Summary'!H$2) +SUMIFS(bb_table[Amount],bb_table[Short_Desc],'Short Desc Summary'!$B6,bb_table[Date],'Short Desc Summary'!H$2)</f>
        <v>-41.23</v>
      </c>
      <c r="I6" s="8">
        <f>SUMIFS(dis_table[Amount],dis_table[Short_Desc],'Short Desc Summary'!$B6,dis_table[Date],'Short Desc Summary'!I$2) +SUMIFS(cc_table[Amount],cc_table[Short_Desc],'Short Desc Summary'!$B6,cc_table[Date],'Short Desc Summary'!I$2) +SUMIFS(bb_table[Amount],bb_table[Short_Desc],'Short Desc Summary'!$B6,bb_table[Date],'Short Desc Summary'!I$2)</f>
        <v>0</v>
      </c>
      <c r="J6" s="8">
        <f>SUMIFS(dis_table[Amount],dis_table[Short_Desc],'Short Desc Summary'!$B6,dis_table[Date],'Short Desc Summary'!J$2) +SUMIFS(cc_table[Amount],cc_table[Short_Desc],'Short Desc Summary'!$B6,cc_table[Date],'Short Desc Summary'!J$2) +SUMIFS(bb_table[Amount],bb_table[Short_Desc],'Short Desc Summary'!$B6,bb_table[Date],'Short Desc Summary'!J$2)</f>
        <v>0</v>
      </c>
    </row>
    <row r="7" spans="1:10" x14ac:dyDescent="0.25">
      <c r="A7" s="5">
        <f>VLOOKUP(B7,dis_table[[#All],[Short_Desc]:[Category_2]],4,0)</f>
        <v>0</v>
      </c>
      <c r="B7" t="s">
        <v>321</v>
      </c>
      <c r="C7" t="str">
        <f>VLOOKUP(B7,dis_table[[#All],[Short_Desc]:[Reoccurring_Flag]],3,0)</f>
        <v>No</v>
      </c>
      <c r="D7" s="8">
        <f>SUMIFS(dis_table[Amount],dis_table[Short_Desc],'Short Desc Summary'!$B7,dis_table[Date],'Short Desc Summary'!D$2) +SUMIFS(cc_table[Amount],cc_table[Short_Desc],'Short Desc Summary'!$B7,cc_table[Date],'Short Desc Summary'!D$2) +SUMIFS(bb_table[Amount],bb_table[Short_Desc],'Short Desc Summary'!$B7,bb_table[Date],'Short Desc Summary'!D$2)</f>
        <v>0</v>
      </c>
      <c r="E7" s="8">
        <f>SUMIFS(dis_table[Amount],dis_table[Short_Desc],'Short Desc Summary'!$B7,dis_table[Date],'Short Desc Summary'!E$2) +SUMIFS(cc_table[Amount],cc_table[Short_Desc],'Short Desc Summary'!$B7,cc_table[Date],'Short Desc Summary'!E$2) +SUMIFS(bb_table[Amount],bb_table[Short_Desc],'Short Desc Summary'!$B7,bb_table[Date],'Short Desc Summary'!E$2)</f>
        <v>0</v>
      </c>
      <c r="F7" s="8">
        <f>SUMIFS(dis_table[Amount],dis_table[Short_Desc],'Short Desc Summary'!$B7,dis_table[Date],'Short Desc Summary'!F$2) +SUMIFS(cc_table[Amount],cc_table[Short_Desc],'Short Desc Summary'!$B7,cc_table[Date],'Short Desc Summary'!F$2) +SUMIFS(bb_table[Amount],bb_table[Short_Desc],'Short Desc Summary'!$B7,bb_table[Date],'Short Desc Summary'!F$2)</f>
        <v>0</v>
      </c>
      <c r="G7" s="8">
        <f>SUMIFS(dis_table[Amount],dis_table[Short_Desc],'Short Desc Summary'!$B7,dis_table[Date],'Short Desc Summary'!G$2) +SUMIFS(cc_table[Amount],cc_table[Short_Desc],'Short Desc Summary'!$B7,cc_table[Date],'Short Desc Summary'!G$2) +SUMIFS(bb_table[Amount],bb_table[Short_Desc],'Short Desc Summary'!$B7,bb_table[Date],'Short Desc Summary'!G$2)</f>
        <v>0</v>
      </c>
      <c r="H7" s="8">
        <f>SUMIFS(dis_table[Amount],dis_table[Short_Desc],'Short Desc Summary'!$B7,dis_table[Date],'Short Desc Summary'!H$2) +SUMIFS(cc_table[Amount],cc_table[Short_Desc],'Short Desc Summary'!$B7,cc_table[Date],'Short Desc Summary'!H$2) +SUMIFS(bb_table[Amount],bb_table[Short_Desc],'Short Desc Summary'!$B7,bb_table[Date],'Short Desc Summary'!H$2)</f>
        <v>50.48</v>
      </c>
      <c r="I7" s="8">
        <f>SUMIFS(dis_table[Amount],dis_table[Short_Desc],'Short Desc Summary'!$B7,dis_table[Date],'Short Desc Summary'!I$2) +SUMIFS(cc_table[Amount],cc_table[Short_Desc],'Short Desc Summary'!$B7,cc_table[Date],'Short Desc Summary'!I$2) +SUMIFS(bb_table[Amount],bb_table[Short_Desc],'Short Desc Summary'!$B7,bb_table[Date],'Short Desc Summary'!I$2)</f>
        <v>99.24</v>
      </c>
      <c r="J7" s="8">
        <f>SUMIFS(dis_table[Amount],dis_table[Short_Desc],'Short Desc Summary'!$B7,dis_table[Date],'Short Desc Summary'!J$2) +SUMIFS(cc_table[Amount],cc_table[Short_Desc],'Short Desc Summary'!$B7,cc_table[Date],'Short Desc Summary'!J$2) +SUMIFS(bb_table[Amount],bb_table[Short_Desc],'Short Desc Summary'!$B7,bb_table[Date],'Short Desc Summary'!J$2)</f>
        <v>99.19</v>
      </c>
    </row>
    <row r="8" spans="1:10" x14ac:dyDescent="0.25">
      <c r="A8" t="str">
        <f>VLOOKUP(B8,dis_table[[#All],[Short_Desc]:[Category_2]],4,0)</f>
        <v>Food</v>
      </c>
      <c r="B8" t="s">
        <v>13</v>
      </c>
      <c r="C8" t="str">
        <f>VLOOKUP(B8,dis_table[[#All],[Short_Desc]:[Reoccurring_Flag]],3,0)</f>
        <v>No</v>
      </c>
      <c r="D8" s="8">
        <f>SUMIFS(dis_table[Amount],dis_table[Short_Desc],'Short Desc Summary'!$B8,dis_table[Date],'Short Desc Summary'!D$2) +SUMIFS(cc_table[Amount],cc_table[Short_Desc],'Short Desc Summary'!$B8,cc_table[Date],'Short Desc Summary'!D$2) +SUMIFS(bb_table[Amount],bb_table[Short_Desc],'Short Desc Summary'!$B8,bb_table[Date],'Short Desc Summary'!D$2)</f>
        <v>180.99000000000004</v>
      </c>
      <c r="E8" s="8">
        <f>SUMIFS(dis_table[Amount],dis_table[Short_Desc],'Short Desc Summary'!$B8,dis_table[Date],'Short Desc Summary'!E$2) +SUMIFS(cc_table[Amount],cc_table[Short_Desc],'Short Desc Summary'!$B8,cc_table[Date],'Short Desc Summary'!E$2) +SUMIFS(bb_table[Amount],bb_table[Short_Desc],'Short Desc Summary'!$B8,bb_table[Date],'Short Desc Summary'!E$2)</f>
        <v>82.05</v>
      </c>
      <c r="F8" s="8">
        <f>SUMIFS(dis_table[Amount],dis_table[Short_Desc],'Short Desc Summary'!$B8,dis_table[Date],'Short Desc Summary'!F$2) +SUMIFS(cc_table[Amount],cc_table[Short_Desc],'Short Desc Summary'!$B8,cc_table[Date],'Short Desc Summary'!F$2) +SUMIFS(bb_table[Amount],bb_table[Short_Desc],'Short Desc Summary'!$B8,bb_table[Date],'Short Desc Summary'!F$2)</f>
        <v>432.69</v>
      </c>
      <c r="G8" s="8">
        <f>SUMIFS(dis_table[Amount],dis_table[Short_Desc],'Short Desc Summary'!$B8,dis_table[Date],'Short Desc Summary'!G$2) +SUMIFS(cc_table[Amount],cc_table[Short_Desc],'Short Desc Summary'!$B8,cc_table[Date],'Short Desc Summary'!G$2) +SUMIFS(bb_table[Amount],bb_table[Short_Desc],'Short Desc Summary'!$B8,bb_table[Date],'Short Desc Summary'!G$2)</f>
        <v>291.45999999999998</v>
      </c>
      <c r="H8" s="8">
        <f>SUMIFS(dis_table[Amount],dis_table[Short_Desc],'Short Desc Summary'!$B8,dis_table[Date],'Short Desc Summary'!H$2) +SUMIFS(cc_table[Amount],cc_table[Short_Desc],'Short Desc Summary'!$B8,cc_table[Date],'Short Desc Summary'!H$2) +SUMIFS(bb_table[Amount],bb_table[Short_Desc],'Short Desc Summary'!$B8,bb_table[Date],'Short Desc Summary'!H$2)</f>
        <v>227.61</v>
      </c>
      <c r="I8" s="8">
        <f>SUMIFS(dis_table[Amount],dis_table[Short_Desc],'Short Desc Summary'!$B8,dis_table[Date],'Short Desc Summary'!I$2) +SUMIFS(cc_table[Amount],cc_table[Short_Desc],'Short Desc Summary'!$B8,cc_table[Date],'Short Desc Summary'!I$2) +SUMIFS(bb_table[Amount],bb_table[Short_Desc],'Short Desc Summary'!$B8,bb_table[Date],'Short Desc Summary'!I$2)</f>
        <v>102.18</v>
      </c>
      <c r="J8" s="8">
        <f>SUMIFS(dis_table[Amount],dis_table[Short_Desc],'Short Desc Summary'!$B8,dis_table[Date],'Short Desc Summary'!J$2) +SUMIFS(cc_table[Amount],cc_table[Short_Desc],'Short Desc Summary'!$B8,cc_table[Date],'Short Desc Summary'!J$2) +SUMIFS(bb_table[Amount],bb_table[Short_Desc],'Short Desc Summary'!$B8,bb_table[Date],'Short Desc Summary'!J$2)</f>
        <v>173.65</v>
      </c>
    </row>
    <row r="9" spans="1:10" x14ac:dyDescent="0.25">
      <c r="A9" t="str">
        <f>VLOOKUP(B9,dis_table[[#All],[Short_Desc]:[Category_2]],4,0)</f>
        <v>Food</v>
      </c>
      <c r="B9" t="s">
        <v>18</v>
      </c>
      <c r="C9" t="str">
        <f>VLOOKUP(B9,dis_table[[#All],[Short_Desc]:[Reoccurring_Flag]],3,0)</f>
        <v>No</v>
      </c>
      <c r="D9" s="8">
        <f>SUMIFS(dis_table[Amount],dis_table[Short_Desc],'Short Desc Summary'!$B9,dis_table[Date],'Short Desc Summary'!D$2) +SUMIFS(cc_table[Amount],cc_table[Short_Desc],'Short Desc Summary'!$B9,cc_table[Date],'Short Desc Summary'!D$2) +SUMIFS(bb_table[Amount],bb_table[Short_Desc],'Short Desc Summary'!$B9,bb_table[Date],'Short Desc Summary'!D$2)</f>
        <v>202.41</v>
      </c>
      <c r="E9" s="8">
        <f>SUMIFS(dis_table[Amount],dis_table[Short_Desc],'Short Desc Summary'!$B9,dis_table[Date],'Short Desc Summary'!E$2) +SUMIFS(cc_table[Amount],cc_table[Short_Desc],'Short Desc Summary'!$B9,cc_table[Date],'Short Desc Summary'!E$2) +SUMIFS(bb_table[Amount],bb_table[Short_Desc],'Short Desc Summary'!$B9,bb_table[Date],'Short Desc Summary'!E$2)</f>
        <v>18</v>
      </c>
      <c r="F9" s="8">
        <f>SUMIFS(dis_table[Amount],dis_table[Short_Desc],'Short Desc Summary'!$B9,dis_table[Date],'Short Desc Summary'!F$2) +SUMIFS(cc_table[Amount],cc_table[Short_Desc],'Short Desc Summary'!$B9,cc_table[Date],'Short Desc Summary'!F$2) +SUMIFS(bb_table[Amount],bb_table[Short_Desc],'Short Desc Summary'!$B9,bb_table[Date],'Short Desc Summary'!F$2)</f>
        <v>796.13</v>
      </c>
      <c r="G9" s="8">
        <f>SUMIFS(dis_table[Amount],dis_table[Short_Desc],'Short Desc Summary'!$B9,dis_table[Date],'Short Desc Summary'!G$2) +SUMIFS(cc_table[Amount],cc_table[Short_Desc],'Short Desc Summary'!$B9,cc_table[Date],'Short Desc Summary'!G$2) +SUMIFS(bb_table[Amount],bb_table[Short_Desc],'Short Desc Summary'!$B9,bb_table[Date],'Short Desc Summary'!G$2)</f>
        <v>243.61</v>
      </c>
      <c r="H9" s="8">
        <f>SUMIFS(dis_table[Amount],dis_table[Short_Desc],'Short Desc Summary'!$B9,dis_table[Date],'Short Desc Summary'!H$2) +SUMIFS(cc_table[Amount],cc_table[Short_Desc],'Short Desc Summary'!$B9,cc_table[Date],'Short Desc Summary'!H$2) +SUMIFS(bb_table[Amount],bb_table[Short_Desc],'Short Desc Summary'!$B9,bb_table[Date],'Short Desc Summary'!H$2)</f>
        <v>324.04000000000002</v>
      </c>
      <c r="I9" s="8">
        <f>SUMIFS(dis_table[Amount],dis_table[Short_Desc],'Short Desc Summary'!$B9,dis_table[Date],'Short Desc Summary'!I$2) +SUMIFS(cc_table[Amount],cc_table[Short_Desc],'Short Desc Summary'!$B9,cc_table[Date],'Short Desc Summary'!I$2) +SUMIFS(bb_table[Amount],bb_table[Short_Desc],'Short Desc Summary'!$B9,bb_table[Date],'Short Desc Summary'!I$2)</f>
        <v>319.95999999999998</v>
      </c>
      <c r="J9" s="8">
        <f>SUMIFS(dis_table[Amount],dis_table[Short_Desc],'Short Desc Summary'!$B9,dis_table[Date],'Short Desc Summary'!J$2) +SUMIFS(cc_table[Amount],cc_table[Short_Desc],'Short Desc Summary'!$B9,cc_table[Date],'Short Desc Summary'!J$2) +SUMIFS(bb_table[Amount],bb_table[Short_Desc],'Short Desc Summary'!$B9,bb_table[Date],'Short Desc Summary'!J$2)</f>
        <v>191.82999999999998</v>
      </c>
    </row>
    <row r="10" spans="1:10" x14ac:dyDescent="0.25">
      <c r="A10" t="str">
        <f>VLOOKUP(B10,dis_table[[#All],[Short_Desc]:[Category_2]],4,0)</f>
        <v>Food</v>
      </c>
      <c r="B10" t="s">
        <v>54</v>
      </c>
      <c r="C10" t="str">
        <f>VLOOKUP(B10,dis_table[[#All],[Short_Desc]:[Reoccurring_Flag]],3,0)</f>
        <v>No</v>
      </c>
      <c r="D10" s="8">
        <f>SUMIFS(dis_table[Amount],dis_table[Short_Desc],'Short Desc Summary'!$B10,dis_table[Date],'Short Desc Summary'!D$2) +SUMIFS(cc_table[Amount],cc_table[Short_Desc],'Short Desc Summary'!$B10,cc_table[Date],'Short Desc Summary'!D$2) +SUMIFS(bb_table[Amount],bb_table[Short_Desc],'Short Desc Summary'!$B10,bb_table[Date],'Short Desc Summary'!D$2)</f>
        <v>151.27000000000001</v>
      </c>
      <c r="E10" s="8">
        <f>SUMIFS(dis_table[Amount],dis_table[Short_Desc],'Short Desc Summary'!$B10,dis_table[Date],'Short Desc Summary'!E$2) +SUMIFS(cc_table[Amount],cc_table[Short_Desc],'Short Desc Summary'!$B10,cc_table[Date],'Short Desc Summary'!E$2) +SUMIFS(bb_table[Amount],bb_table[Short_Desc],'Short Desc Summary'!$B10,bb_table[Date],'Short Desc Summary'!E$2)</f>
        <v>132.46</v>
      </c>
      <c r="F10" s="8">
        <f>SUMIFS(dis_table[Amount],dis_table[Short_Desc],'Short Desc Summary'!$B10,dis_table[Date],'Short Desc Summary'!F$2) +SUMIFS(cc_table[Amount],cc_table[Short_Desc],'Short Desc Summary'!$B10,cc_table[Date],'Short Desc Summary'!F$2) +SUMIFS(bb_table[Amount],bb_table[Short_Desc],'Short Desc Summary'!$B10,bb_table[Date],'Short Desc Summary'!F$2)</f>
        <v>12.27</v>
      </c>
      <c r="G10" s="8">
        <f>SUMIFS(dis_table[Amount],dis_table[Short_Desc],'Short Desc Summary'!$B10,dis_table[Date],'Short Desc Summary'!G$2) +SUMIFS(cc_table[Amount],cc_table[Short_Desc],'Short Desc Summary'!$B10,cc_table[Date],'Short Desc Summary'!G$2) +SUMIFS(bb_table[Amount],bb_table[Short_Desc],'Short Desc Summary'!$B10,bb_table[Date],'Short Desc Summary'!G$2)</f>
        <v>410.24000000000007</v>
      </c>
      <c r="H10" s="8">
        <f>SUMIFS(dis_table[Amount],dis_table[Short_Desc],'Short Desc Summary'!$B10,dis_table[Date],'Short Desc Summary'!H$2) +SUMIFS(cc_table[Amount],cc_table[Short_Desc],'Short Desc Summary'!$B10,cc_table[Date],'Short Desc Summary'!H$2) +SUMIFS(bb_table[Amount],bb_table[Short_Desc],'Short Desc Summary'!$B10,bb_table[Date],'Short Desc Summary'!H$2)</f>
        <v>0</v>
      </c>
      <c r="I10" s="8">
        <f>SUMIFS(dis_table[Amount],dis_table[Short_Desc],'Short Desc Summary'!$B10,dis_table[Date],'Short Desc Summary'!I$2) +SUMIFS(cc_table[Amount],cc_table[Short_Desc],'Short Desc Summary'!$B10,cc_table[Date],'Short Desc Summary'!I$2) +SUMIFS(bb_table[Amount],bb_table[Short_Desc],'Short Desc Summary'!$B10,bb_table[Date],'Short Desc Summary'!I$2)</f>
        <v>166.91</v>
      </c>
      <c r="J10" s="8">
        <f>SUMIFS(dis_table[Amount],dis_table[Short_Desc],'Short Desc Summary'!$B10,dis_table[Date],'Short Desc Summary'!J$2) +SUMIFS(cc_table[Amount],cc_table[Short_Desc],'Short Desc Summary'!$B10,cc_table[Date],'Short Desc Summary'!J$2) +SUMIFS(bb_table[Amount],bb_table[Short_Desc],'Short Desc Summary'!$B10,bb_table[Date],'Short Desc Summary'!J$2)</f>
        <v>288.95999999999998</v>
      </c>
    </row>
    <row r="11" spans="1:10" x14ac:dyDescent="0.25">
      <c r="A11" t="str">
        <f>VLOOKUP(B11,dis_table[[#All],[Short_Desc]:[Category_2]],4,0)</f>
        <v>Food</v>
      </c>
      <c r="B11" t="s">
        <v>74</v>
      </c>
      <c r="C11" t="str">
        <f>VLOOKUP(B11,dis_table[[#All],[Short_Desc]:[Reoccurring_Flag]],3,0)</f>
        <v>No</v>
      </c>
      <c r="D11" s="8">
        <f>SUMIFS(dis_table[Amount],dis_table[Short_Desc],'Short Desc Summary'!$B11,dis_table[Date],'Short Desc Summary'!D$2) +SUMIFS(cc_table[Amount],cc_table[Short_Desc],'Short Desc Summary'!$B11,cc_table[Date],'Short Desc Summary'!D$2) +SUMIFS(bb_table[Amount],bb_table[Short_Desc],'Short Desc Summary'!$B11,bb_table[Date],'Short Desc Summary'!D$2)</f>
        <v>12.62</v>
      </c>
      <c r="E11" s="8">
        <f>SUMIFS(dis_table[Amount],dis_table[Short_Desc],'Short Desc Summary'!$B11,dis_table[Date],'Short Desc Summary'!E$2) +SUMIFS(cc_table[Amount],cc_table[Short_Desc],'Short Desc Summary'!$B11,cc_table[Date],'Short Desc Summary'!E$2) +SUMIFS(bb_table[Amount],bb_table[Short_Desc],'Short Desc Summary'!$B11,bb_table[Date],'Short Desc Summary'!E$2)</f>
        <v>15.780000000000001</v>
      </c>
      <c r="F11" s="8">
        <f>SUMIFS(dis_table[Amount],dis_table[Short_Desc],'Short Desc Summary'!$B11,dis_table[Date],'Short Desc Summary'!F$2) +SUMIFS(cc_table[Amount],cc_table[Short_Desc],'Short Desc Summary'!$B11,cc_table[Date],'Short Desc Summary'!F$2) +SUMIFS(bb_table[Amount],bb_table[Short_Desc],'Short Desc Summary'!$B11,bb_table[Date],'Short Desc Summary'!F$2)</f>
        <v>13.16</v>
      </c>
      <c r="G11" s="8">
        <f>SUMIFS(dis_table[Amount],dis_table[Short_Desc],'Short Desc Summary'!$B11,dis_table[Date],'Short Desc Summary'!G$2) +SUMIFS(cc_table[Amount],cc_table[Short_Desc],'Short Desc Summary'!$B11,cc_table[Date],'Short Desc Summary'!G$2) +SUMIFS(bb_table[Amount],bb_table[Short_Desc],'Short Desc Summary'!$B11,bb_table[Date],'Short Desc Summary'!G$2)</f>
        <v>0</v>
      </c>
      <c r="H11" s="8">
        <f>SUMIFS(dis_table[Amount],dis_table[Short_Desc],'Short Desc Summary'!$B11,dis_table[Date],'Short Desc Summary'!H$2) +SUMIFS(cc_table[Amount],cc_table[Short_Desc],'Short Desc Summary'!$B11,cc_table[Date],'Short Desc Summary'!H$2) +SUMIFS(bb_table[Amount],bb_table[Short_Desc],'Short Desc Summary'!$B11,bb_table[Date],'Short Desc Summary'!H$2)</f>
        <v>0</v>
      </c>
      <c r="I11" s="8">
        <f>SUMIFS(dis_table[Amount],dis_table[Short_Desc],'Short Desc Summary'!$B11,dis_table[Date],'Short Desc Summary'!I$2) +SUMIFS(cc_table[Amount],cc_table[Short_Desc],'Short Desc Summary'!$B11,cc_table[Date],'Short Desc Summary'!I$2) +SUMIFS(bb_table[Amount],bb_table[Short_Desc],'Short Desc Summary'!$B11,bb_table[Date],'Short Desc Summary'!I$2)</f>
        <v>0</v>
      </c>
      <c r="J11" s="8">
        <f>SUMIFS(dis_table[Amount],dis_table[Short_Desc],'Short Desc Summary'!$B11,dis_table[Date],'Short Desc Summary'!J$2) +SUMIFS(cc_table[Amount],cc_table[Short_Desc],'Short Desc Summary'!$B11,cc_table[Date],'Short Desc Summary'!J$2) +SUMIFS(bb_table[Amount],bb_table[Short_Desc],'Short Desc Summary'!$B11,bb_table[Date],'Short Desc Summary'!J$2)</f>
        <v>24.8</v>
      </c>
    </row>
    <row r="12" spans="1:10" x14ac:dyDescent="0.25">
      <c r="A12" t="str">
        <f>VLOOKUP(B12,dis_table[[#All],[Short_Desc]:[Category_2]],4,0)</f>
        <v>Food</v>
      </c>
      <c r="B12" t="s">
        <v>185</v>
      </c>
      <c r="C12" t="str">
        <f>VLOOKUP(B12,dis_table[[#All],[Short_Desc]:[Reoccurring_Flag]],3,0)</f>
        <v>No</v>
      </c>
      <c r="D12" s="8">
        <f>SUMIFS(dis_table[Amount],dis_table[Short_Desc],'Short Desc Summary'!$B12,dis_table[Date],'Short Desc Summary'!D$2) +SUMIFS(cc_table[Amount],cc_table[Short_Desc],'Short Desc Summary'!$B12,cc_table[Date],'Short Desc Summary'!D$2) +SUMIFS(bb_table[Amount],bb_table[Short_Desc],'Short Desc Summary'!$B12,bb_table[Date],'Short Desc Summary'!D$2)</f>
        <v>0</v>
      </c>
      <c r="E12" s="8">
        <f>SUMIFS(dis_table[Amount],dis_table[Short_Desc],'Short Desc Summary'!$B12,dis_table[Date],'Short Desc Summary'!E$2) +SUMIFS(cc_table[Amount],cc_table[Short_Desc],'Short Desc Summary'!$B12,cc_table[Date],'Short Desc Summary'!E$2) +SUMIFS(bb_table[Amount],bb_table[Short_Desc],'Short Desc Summary'!$B12,bb_table[Date],'Short Desc Summary'!E$2)</f>
        <v>0</v>
      </c>
      <c r="F12" s="8">
        <f>SUMIFS(dis_table[Amount],dis_table[Short_Desc],'Short Desc Summary'!$B12,dis_table[Date],'Short Desc Summary'!F$2) +SUMIFS(cc_table[Amount],cc_table[Short_Desc],'Short Desc Summary'!$B12,cc_table[Date],'Short Desc Summary'!F$2) +SUMIFS(bb_table[Amount],bb_table[Short_Desc],'Short Desc Summary'!$B12,bb_table[Date],'Short Desc Summary'!F$2)</f>
        <v>10</v>
      </c>
      <c r="G12" s="8">
        <f>SUMIFS(dis_table[Amount],dis_table[Short_Desc],'Short Desc Summary'!$B12,dis_table[Date],'Short Desc Summary'!G$2) +SUMIFS(cc_table[Amount],cc_table[Short_Desc],'Short Desc Summary'!$B12,cc_table[Date],'Short Desc Summary'!G$2) +SUMIFS(bb_table[Amount],bb_table[Short_Desc],'Short Desc Summary'!$B12,bb_table[Date],'Short Desc Summary'!G$2)</f>
        <v>0</v>
      </c>
      <c r="H12" s="8">
        <f>SUMIFS(dis_table[Amount],dis_table[Short_Desc],'Short Desc Summary'!$B12,dis_table[Date],'Short Desc Summary'!H$2) +SUMIFS(cc_table[Amount],cc_table[Short_Desc],'Short Desc Summary'!$B12,cc_table[Date],'Short Desc Summary'!H$2) +SUMIFS(bb_table[Amount],bb_table[Short_Desc],'Short Desc Summary'!$B12,bb_table[Date],'Short Desc Summary'!H$2)</f>
        <v>182.64000000000004</v>
      </c>
      <c r="I12" s="8">
        <f>SUMIFS(dis_table[Amount],dis_table[Short_Desc],'Short Desc Summary'!$B12,dis_table[Date],'Short Desc Summary'!I$2) +SUMIFS(cc_table[Amount],cc_table[Short_Desc],'Short Desc Summary'!$B12,cc_table[Date],'Short Desc Summary'!I$2) +SUMIFS(bb_table[Amount],bb_table[Short_Desc],'Short Desc Summary'!$B12,bb_table[Date],'Short Desc Summary'!I$2)</f>
        <v>30.419999999999998</v>
      </c>
      <c r="J12" s="8">
        <f>SUMIFS(dis_table[Amount],dis_table[Short_Desc],'Short Desc Summary'!$B12,dis_table[Date],'Short Desc Summary'!J$2) +SUMIFS(cc_table[Amount],cc_table[Short_Desc],'Short Desc Summary'!$B12,cc_table[Date],'Short Desc Summary'!J$2) +SUMIFS(bb_table[Amount],bb_table[Short_Desc],'Short Desc Summary'!$B12,bb_table[Date],'Short Desc Summary'!J$2)</f>
        <v>0</v>
      </c>
    </row>
    <row r="13" spans="1:10" x14ac:dyDescent="0.25">
      <c r="A13" t="str">
        <f>VLOOKUP(B13,dis_table[[#All],[Short_Desc]:[Category_2]],4,0)</f>
        <v>Housing</v>
      </c>
      <c r="B13" t="s">
        <v>244</v>
      </c>
      <c r="C13" t="str">
        <f>VLOOKUP(B13,dis_table[[#All],[Short_Desc]:[Reoccurring_Flag]],3,0)</f>
        <v>No</v>
      </c>
      <c r="D13" s="8">
        <f>SUMIFS(dis_table[Amount],dis_table[Short_Desc],'Short Desc Summary'!$B13,dis_table[Date],'Short Desc Summary'!D$2) +SUMIFS(cc_table[Amount],cc_table[Short_Desc],'Short Desc Summary'!$B13,cc_table[Date],'Short Desc Summary'!D$2) +SUMIFS(bb_table[Amount],bb_table[Short_Desc],'Short Desc Summary'!$B13,bb_table[Date],'Short Desc Summary'!D$2)</f>
        <v>0</v>
      </c>
      <c r="E13" s="8">
        <f>SUMIFS(dis_table[Amount],dis_table[Short_Desc],'Short Desc Summary'!$B13,dis_table[Date],'Short Desc Summary'!E$2) +SUMIFS(cc_table[Amount],cc_table[Short_Desc],'Short Desc Summary'!$B13,cc_table[Date],'Short Desc Summary'!E$2) +SUMIFS(bb_table[Amount],bb_table[Short_Desc],'Short Desc Summary'!$B13,bb_table[Date],'Short Desc Summary'!E$2)</f>
        <v>0</v>
      </c>
      <c r="F13" s="8">
        <f>SUMIFS(dis_table[Amount],dis_table[Short_Desc],'Short Desc Summary'!$B13,dis_table[Date],'Short Desc Summary'!F$2) +SUMIFS(cc_table[Amount],cc_table[Short_Desc],'Short Desc Summary'!$B13,cc_table[Date],'Short Desc Summary'!F$2) +SUMIFS(bb_table[Amount],bb_table[Short_Desc],'Short Desc Summary'!$B13,bb_table[Date],'Short Desc Summary'!F$2)</f>
        <v>0</v>
      </c>
      <c r="G13" s="8">
        <f>SUMIFS(dis_table[Amount],dis_table[Short_Desc],'Short Desc Summary'!$B13,dis_table[Date],'Short Desc Summary'!G$2) +SUMIFS(cc_table[Amount],cc_table[Short_Desc],'Short Desc Summary'!$B13,cc_table[Date],'Short Desc Summary'!G$2) +SUMIFS(bb_table[Amount],bb_table[Short_Desc],'Short Desc Summary'!$B13,bb_table[Date],'Short Desc Summary'!G$2)</f>
        <v>63.66</v>
      </c>
      <c r="H13" s="8">
        <f>SUMIFS(dis_table[Amount],dis_table[Short_Desc],'Short Desc Summary'!$B13,dis_table[Date],'Short Desc Summary'!H$2) +SUMIFS(cc_table[Amount],cc_table[Short_Desc],'Short Desc Summary'!$B13,cc_table[Date],'Short Desc Summary'!H$2) +SUMIFS(bb_table[Amount],bb_table[Short_Desc],'Short Desc Summary'!$B13,bb_table[Date],'Short Desc Summary'!H$2)</f>
        <v>0</v>
      </c>
      <c r="I13" s="8">
        <f>SUMIFS(dis_table[Amount],dis_table[Short_Desc],'Short Desc Summary'!$B13,dis_table[Date],'Short Desc Summary'!I$2) +SUMIFS(cc_table[Amount],cc_table[Short_Desc],'Short Desc Summary'!$B13,cc_table[Date],'Short Desc Summary'!I$2) +SUMIFS(bb_table[Amount],bb_table[Short_Desc],'Short Desc Summary'!$B13,bb_table[Date],'Short Desc Summary'!I$2)</f>
        <v>0</v>
      </c>
      <c r="J13" s="8">
        <f>SUMIFS(dis_table[Amount],dis_table[Short_Desc],'Short Desc Summary'!$B13,dis_table[Date],'Short Desc Summary'!J$2) +SUMIFS(cc_table[Amount],cc_table[Short_Desc],'Short Desc Summary'!$B13,cc_table[Date],'Short Desc Summary'!J$2) +SUMIFS(bb_table[Amount],bb_table[Short_Desc],'Short Desc Summary'!$B13,bb_table[Date],'Short Desc Summary'!J$2)</f>
        <v>0</v>
      </c>
    </row>
    <row r="14" spans="1:10" x14ac:dyDescent="0.25">
      <c r="A14" t="str">
        <f>VLOOKUP(B14,dis_table[[#All],[Short_Desc]:[Category_2]],4,0)</f>
        <v>Housing</v>
      </c>
      <c r="B14" t="s">
        <v>456</v>
      </c>
      <c r="C14" t="str">
        <f>VLOOKUP(B14,dis_table[[#All],[Short_Desc]:[Reoccurring_Flag]],3,0)</f>
        <v>No</v>
      </c>
      <c r="D14" s="8">
        <f>SUMIFS(dis_table[Amount],dis_table[Short_Desc],'Short Desc Summary'!$B14,dis_table[Date],'Short Desc Summary'!D$2) +SUMIFS(cc_table[Amount],cc_table[Short_Desc],'Short Desc Summary'!$B14,cc_table[Date],'Short Desc Summary'!D$2) +SUMIFS(bb_table[Amount],bb_table[Short_Desc],'Short Desc Summary'!$B14,bb_table[Date],'Short Desc Summary'!D$2)</f>
        <v>0</v>
      </c>
      <c r="E14" s="8">
        <f>SUMIFS(dis_table[Amount],dis_table[Short_Desc],'Short Desc Summary'!$B14,dis_table[Date],'Short Desc Summary'!E$2) +SUMIFS(cc_table[Amount],cc_table[Short_Desc],'Short Desc Summary'!$B14,cc_table[Date],'Short Desc Summary'!E$2) +SUMIFS(bb_table[Amount],bb_table[Short_Desc],'Short Desc Summary'!$B14,bb_table[Date],'Short Desc Summary'!E$2)</f>
        <v>0</v>
      </c>
      <c r="F14" s="8">
        <f>SUMIFS(dis_table[Amount],dis_table[Short_Desc],'Short Desc Summary'!$B14,dis_table[Date],'Short Desc Summary'!F$2) +SUMIFS(cc_table[Amount],cc_table[Short_Desc],'Short Desc Summary'!$B14,cc_table[Date],'Short Desc Summary'!F$2) +SUMIFS(bb_table[Amount],bb_table[Short_Desc],'Short Desc Summary'!$B14,bb_table[Date],'Short Desc Summary'!F$2)</f>
        <v>0</v>
      </c>
      <c r="G14" s="8">
        <f>SUMIFS(dis_table[Amount],dis_table[Short_Desc],'Short Desc Summary'!$B14,dis_table[Date],'Short Desc Summary'!G$2) +SUMIFS(cc_table[Amount],cc_table[Short_Desc],'Short Desc Summary'!$B14,cc_table[Date],'Short Desc Summary'!G$2) +SUMIFS(bb_table[Amount],bb_table[Short_Desc],'Short Desc Summary'!$B14,bb_table[Date],'Short Desc Summary'!G$2)</f>
        <v>0</v>
      </c>
      <c r="H14" s="8">
        <f>SUMIFS(dis_table[Amount],dis_table[Short_Desc],'Short Desc Summary'!$B14,dis_table[Date],'Short Desc Summary'!H$2) +SUMIFS(cc_table[Amount],cc_table[Short_Desc],'Short Desc Summary'!$B14,cc_table[Date],'Short Desc Summary'!H$2) +SUMIFS(bb_table[Amount],bb_table[Short_Desc],'Short Desc Summary'!$B14,bb_table[Date],'Short Desc Summary'!H$2)</f>
        <v>0</v>
      </c>
      <c r="I14" s="8">
        <f>SUMIFS(dis_table[Amount],dis_table[Short_Desc],'Short Desc Summary'!$B14,dis_table[Date],'Short Desc Summary'!I$2) +SUMIFS(cc_table[Amount],cc_table[Short_Desc],'Short Desc Summary'!$B14,cc_table[Date],'Short Desc Summary'!I$2) +SUMIFS(bb_table[Amount],bb_table[Short_Desc],'Short Desc Summary'!$B14,bb_table[Date],'Short Desc Summary'!I$2)</f>
        <v>0</v>
      </c>
      <c r="J14" s="8">
        <f>SUMIFS(dis_table[Amount],dis_table[Short_Desc],'Short Desc Summary'!$B14,dis_table[Date],'Short Desc Summary'!J$2) +SUMIFS(cc_table[Amount],cc_table[Short_Desc],'Short Desc Summary'!$B14,cc_table[Date],'Short Desc Summary'!J$2) +SUMIFS(bb_table[Amount],bb_table[Short_Desc],'Short Desc Summary'!$B14,bb_table[Date],'Short Desc Summary'!J$2)</f>
        <v>38.1</v>
      </c>
    </row>
    <row r="15" spans="1:10" x14ac:dyDescent="0.25">
      <c r="A15" t="str">
        <f>VLOOKUP(B15,dis_table[[#All],[Short_Desc]:[Category_2]],4,0)</f>
        <v>Insurance</v>
      </c>
      <c r="B15" t="s">
        <v>109</v>
      </c>
      <c r="C15" t="str">
        <f>VLOOKUP(B15,dis_table[[#All],[Short_Desc]:[Reoccurring_Flag]],3,0)</f>
        <v>Yes</v>
      </c>
      <c r="D15" s="8">
        <f>SUMIFS(dis_table[Amount],dis_table[Short_Desc],'Short Desc Summary'!$B15,dis_table[Date],'Short Desc Summary'!D$2) +SUMIFS(cc_table[Amount],cc_table[Short_Desc],'Short Desc Summary'!$B15,cc_table[Date],'Short Desc Summary'!D$2) +SUMIFS(bb_table[Amount],bb_table[Short_Desc],'Short Desc Summary'!$B15,bb_table[Date],'Short Desc Summary'!D$2)</f>
        <v>79.38</v>
      </c>
      <c r="E15" s="8">
        <f>SUMIFS(dis_table[Amount],dis_table[Short_Desc],'Short Desc Summary'!$B15,dis_table[Date],'Short Desc Summary'!E$2) +SUMIFS(cc_table[Amount],cc_table[Short_Desc],'Short Desc Summary'!$B15,cc_table[Date],'Short Desc Summary'!E$2) +SUMIFS(bb_table[Amount],bb_table[Short_Desc],'Short Desc Summary'!$B15,bb_table[Date],'Short Desc Summary'!E$2)</f>
        <v>79.38</v>
      </c>
      <c r="F15" s="8">
        <f>SUMIFS(dis_table[Amount],dis_table[Short_Desc],'Short Desc Summary'!$B15,dis_table[Date],'Short Desc Summary'!F$2) +SUMIFS(cc_table[Amount],cc_table[Short_Desc],'Short Desc Summary'!$B15,cc_table[Date],'Short Desc Summary'!F$2) +SUMIFS(bb_table[Amount],bb_table[Short_Desc],'Short Desc Summary'!$B15,bb_table[Date],'Short Desc Summary'!F$2)</f>
        <v>79.38</v>
      </c>
      <c r="G15" s="8">
        <f>SUMIFS(dis_table[Amount],dis_table[Short_Desc],'Short Desc Summary'!$B15,dis_table[Date],'Short Desc Summary'!G$2) +SUMIFS(cc_table[Amount],cc_table[Short_Desc],'Short Desc Summary'!$B15,cc_table[Date],'Short Desc Summary'!G$2) +SUMIFS(bb_table[Amount],bb_table[Short_Desc],'Short Desc Summary'!$B15,bb_table[Date],'Short Desc Summary'!G$2)</f>
        <v>79.38</v>
      </c>
      <c r="H15" s="8">
        <f>SUMIFS(dis_table[Amount],dis_table[Short_Desc],'Short Desc Summary'!$B15,dis_table[Date],'Short Desc Summary'!H$2) +SUMIFS(cc_table[Amount],cc_table[Short_Desc],'Short Desc Summary'!$B15,cc_table[Date],'Short Desc Summary'!H$2) +SUMIFS(bb_table[Amount],bb_table[Short_Desc],'Short Desc Summary'!$B15,bb_table[Date],'Short Desc Summary'!H$2)</f>
        <v>79.38</v>
      </c>
      <c r="I15" s="8">
        <f>SUMIFS(dis_table[Amount],dis_table[Short_Desc],'Short Desc Summary'!$B15,dis_table[Date],'Short Desc Summary'!I$2) +SUMIFS(cc_table[Amount],cc_table[Short_Desc],'Short Desc Summary'!$B15,cc_table[Date],'Short Desc Summary'!I$2) +SUMIFS(bb_table[Amount],bb_table[Short_Desc],'Short Desc Summary'!$B15,bb_table[Date],'Short Desc Summary'!I$2)</f>
        <v>79.38</v>
      </c>
      <c r="J15" s="8">
        <f>SUMIFS(dis_table[Amount],dis_table[Short_Desc],'Short Desc Summary'!$B15,dis_table[Date],'Short Desc Summary'!J$2) +SUMIFS(cc_table[Amount],cc_table[Short_Desc],'Short Desc Summary'!$B15,cc_table[Date],'Short Desc Summary'!J$2) +SUMIFS(bb_table[Amount],bb_table[Short_Desc],'Short Desc Summary'!$B15,bb_table[Date],'Short Desc Summary'!J$2)</f>
        <v>79.66</v>
      </c>
    </row>
    <row r="16" spans="1:10" x14ac:dyDescent="0.25">
      <c r="A16" t="str">
        <f>VLOOKUP(B16,dis_table[[#All],[Short_Desc]:[Category_2]],4,0)</f>
        <v>Medical</v>
      </c>
      <c r="B16" t="s">
        <v>155</v>
      </c>
      <c r="C16" t="str">
        <f>VLOOKUP(B16,dis_table[[#All],[Short_Desc]:[Reoccurring_Flag]],3,0)</f>
        <v>No</v>
      </c>
      <c r="D16" s="8">
        <f>SUMIFS(dis_table[Amount],dis_table[Short_Desc],'Short Desc Summary'!$B16,dis_table[Date],'Short Desc Summary'!D$2) +SUMIFS(cc_table[Amount],cc_table[Short_Desc],'Short Desc Summary'!$B16,cc_table[Date],'Short Desc Summary'!D$2) +SUMIFS(bb_table[Amount],bb_table[Short_Desc],'Short Desc Summary'!$B16,bb_table[Date],'Short Desc Summary'!D$2)</f>
        <v>0</v>
      </c>
      <c r="E16" s="8">
        <f>SUMIFS(dis_table[Amount],dis_table[Short_Desc],'Short Desc Summary'!$B16,dis_table[Date],'Short Desc Summary'!E$2) +SUMIFS(cc_table[Amount],cc_table[Short_Desc],'Short Desc Summary'!$B16,cc_table[Date],'Short Desc Summary'!E$2) +SUMIFS(bb_table[Amount],bb_table[Short_Desc],'Short Desc Summary'!$B16,bb_table[Date],'Short Desc Summary'!E$2)</f>
        <v>0</v>
      </c>
      <c r="F16" s="8">
        <f>SUMIFS(dis_table[Amount],dis_table[Short_Desc],'Short Desc Summary'!$B16,dis_table[Date],'Short Desc Summary'!F$2) +SUMIFS(cc_table[Amount],cc_table[Short_Desc],'Short Desc Summary'!$B16,cc_table[Date],'Short Desc Summary'!F$2) +SUMIFS(bb_table[Amount],bb_table[Short_Desc],'Short Desc Summary'!$B16,bb_table[Date],'Short Desc Summary'!F$2)</f>
        <v>432</v>
      </c>
      <c r="G16" s="8">
        <f>SUMIFS(dis_table[Amount],dis_table[Short_Desc],'Short Desc Summary'!$B16,dis_table[Date],'Short Desc Summary'!G$2) +SUMIFS(cc_table[Amount],cc_table[Short_Desc],'Short Desc Summary'!$B16,cc_table[Date],'Short Desc Summary'!G$2) +SUMIFS(bb_table[Amount],bb_table[Short_Desc],'Short Desc Summary'!$B16,bb_table[Date],'Short Desc Summary'!G$2)</f>
        <v>0</v>
      </c>
      <c r="H16" s="8">
        <f>SUMIFS(dis_table[Amount],dis_table[Short_Desc],'Short Desc Summary'!$B16,dis_table[Date],'Short Desc Summary'!H$2) +SUMIFS(cc_table[Amount],cc_table[Short_Desc],'Short Desc Summary'!$B16,cc_table[Date],'Short Desc Summary'!H$2) +SUMIFS(bb_table[Amount],bb_table[Short_Desc],'Short Desc Summary'!$B16,bb_table[Date],'Short Desc Summary'!H$2)</f>
        <v>0</v>
      </c>
      <c r="I16" s="8">
        <f>SUMIFS(dis_table[Amount],dis_table[Short_Desc],'Short Desc Summary'!$B16,dis_table[Date],'Short Desc Summary'!I$2) +SUMIFS(cc_table[Amount],cc_table[Short_Desc],'Short Desc Summary'!$B16,cc_table[Date],'Short Desc Summary'!I$2) +SUMIFS(bb_table[Amount],bb_table[Short_Desc],'Short Desc Summary'!$B16,bb_table[Date],'Short Desc Summary'!I$2)</f>
        <v>0</v>
      </c>
      <c r="J16" s="8">
        <f>SUMIFS(dis_table[Amount],dis_table[Short_Desc],'Short Desc Summary'!$B16,dis_table[Date],'Short Desc Summary'!J$2) +SUMIFS(cc_table[Amount],cc_table[Short_Desc],'Short Desc Summary'!$B16,cc_table[Date],'Short Desc Summary'!J$2) +SUMIFS(bb_table[Amount],bb_table[Short_Desc],'Short Desc Summary'!$B16,bb_table[Date],'Short Desc Summary'!J$2)</f>
        <v>0</v>
      </c>
    </row>
    <row r="17" spans="1:10" x14ac:dyDescent="0.25">
      <c r="A17" t="str">
        <f>VLOOKUP(B17,cc_table[[#All],[Short_Desc]:[Category_2]],3,0)</f>
        <v>Medical</v>
      </c>
      <c r="B17" t="s">
        <v>502</v>
      </c>
      <c r="C17" t="s">
        <v>15</v>
      </c>
      <c r="D17" s="8">
        <f>SUMIFS(dis_table[Amount],dis_table[Short_Desc],'Short Desc Summary'!$B17,dis_table[Date],'Short Desc Summary'!D$2) +SUMIFS(cc_table[Amount],cc_table[Short_Desc],'Short Desc Summary'!$B17,cc_table[Date],'Short Desc Summary'!D$2) +SUMIFS(bb_table[Amount],bb_table[Short_Desc],'Short Desc Summary'!$B17,bb_table[Date],'Short Desc Summary'!D$2)</f>
        <v>2286</v>
      </c>
      <c r="E17" s="8">
        <f>SUMIFS(dis_table[Amount],dis_table[Short_Desc],'Short Desc Summary'!$B17,dis_table[Date],'Short Desc Summary'!E$2) +SUMIFS(cc_table[Amount],cc_table[Short_Desc],'Short Desc Summary'!$B17,cc_table[Date],'Short Desc Summary'!E$2) +SUMIFS(bb_table[Amount],bb_table[Short_Desc],'Short Desc Summary'!$B17,bb_table[Date],'Short Desc Summary'!E$2)</f>
        <v>0</v>
      </c>
      <c r="F17" s="8">
        <f>SUMIFS(dis_table[Amount],dis_table[Short_Desc],'Short Desc Summary'!$B17,dis_table[Date],'Short Desc Summary'!F$2) +SUMIFS(cc_table[Amount],cc_table[Short_Desc],'Short Desc Summary'!$B17,cc_table[Date],'Short Desc Summary'!F$2) +SUMIFS(bb_table[Amount],bb_table[Short_Desc],'Short Desc Summary'!$B17,bb_table[Date],'Short Desc Summary'!F$2)</f>
        <v>0</v>
      </c>
      <c r="G17" s="8">
        <f>SUMIFS(dis_table[Amount],dis_table[Short_Desc],'Short Desc Summary'!$B17,dis_table[Date],'Short Desc Summary'!G$2) +SUMIFS(cc_table[Amount],cc_table[Short_Desc],'Short Desc Summary'!$B17,cc_table[Date],'Short Desc Summary'!G$2) +SUMIFS(bb_table[Amount],bb_table[Short_Desc],'Short Desc Summary'!$B17,bb_table[Date],'Short Desc Summary'!G$2)</f>
        <v>0</v>
      </c>
      <c r="H17" s="8">
        <f>SUMIFS(dis_table[Amount],dis_table[Short_Desc],'Short Desc Summary'!$B17,dis_table[Date],'Short Desc Summary'!H$2) +SUMIFS(cc_table[Amount],cc_table[Short_Desc],'Short Desc Summary'!$B17,cc_table[Date],'Short Desc Summary'!H$2) +SUMIFS(bb_table[Amount],bb_table[Short_Desc],'Short Desc Summary'!$B17,bb_table[Date],'Short Desc Summary'!H$2)</f>
        <v>0</v>
      </c>
      <c r="I17" s="8">
        <f>SUMIFS(dis_table[Amount],dis_table[Short_Desc],'Short Desc Summary'!$B17,dis_table[Date],'Short Desc Summary'!I$2) +SUMIFS(cc_table[Amount],cc_table[Short_Desc],'Short Desc Summary'!$B17,cc_table[Date],'Short Desc Summary'!I$2) +SUMIFS(bb_table[Amount],bb_table[Short_Desc],'Short Desc Summary'!$B17,bb_table[Date],'Short Desc Summary'!I$2)</f>
        <v>0</v>
      </c>
      <c r="J17" s="8">
        <f>SUMIFS(dis_table[Amount],dis_table[Short_Desc],'Short Desc Summary'!$B17,dis_table[Date],'Short Desc Summary'!J$2) +SUMIFS(cc_table[Amount],cc_table[Short_Desc],'Short Desc Summary'!$B17,cc_table[Date],'Short Desc Summary'!J$2) +SUMIFS(bb_table[Amount],bb_table[Short_Desc],'Short Desc Summary'!$B17,bb_table[Date],'Short Desc Summary'!J$2)</f>
        <v>0</v>
      </c>
    </row>
    <row r="18" spans="1:10" x14ac:dyDescent="0.25">
      <c r="A18" t="str">
        <f>VLOOKUP(B18,cc_table[[#All],[Short_Desc]:[Category_2]],3,0)</f>
        <v>Medical</v>
      </c>
      <c r="B18" t="s">
        <v>503</v>
      </c>
      <c r="C18" t="s">
        <v>15</v>
      </c>
      <c r="D18" s="8">
        <f>SUMIFS(dis_table[Amount],dis_table[Short_Desc],'Short Desc Summary'!$B18,dis_table[Date],'Short Desc Summary'!D$2) +SUMIFS(cc_table[Amount],cc_table[Short_Desc],'Short Desc Summary'!$B18,cc_table[Date],'Short Desc Summary'!D$2) +SUMIFS(bb_table[Amount],bb_table[Short_Desc],'Short Desc Summary'!$B18,bb_table[Date],'Short Desc Summary'!D$2)</f>
        <v>0</v>
      </c>
      <c r="E18" s="8">
        <f>SUMIFS(dis_table[Amount],dis_table[Short_Desc],'Short Desc Summary'!$B18,dis_table[Date],'Short Desc Summary'!E$2) +SUMIFS(cc_table[Amount],cc_table[Short_Desc],'Short Desc Summary'!$B18,cc_table[Date],'Short Desc Summary'!E$2) +SUMIFS(bb_table[Amount],bb_table[Short_Desc],'Short Desc Summary'!$B18,bb_table[Date],'Short Desc Summary'!E$2)</f>
        <v>0</v>
      </c>
      <c r="F18" s="8">
        <f>SUMIFS(dis_table[Amount],dis_table[Short_Desc],'Short Desc Summary'!$B18,dis_table[Date],'Short Desc Summary'!F$2) +SUMIFS(cc_table[Amount],cc_table[Short_Desc],'Short Desc Summary'!$B18,cc_table[Date],'Short Desc Summary'!F$2) +SUMIFS(bb_table[Amount],bb_table[Short_Desc],'Short Desc Summary'!$B18,bb_table[Date],'Short Desc Summary'!F$2)</f>
        <v>2121.16</v>
      </c>
      <c r="G18" s="8">
        <f>SUMIFS(dis_table[Amount],dis_table[Short_Desc],'Short Desc Summary'!$B18,dis_table[Date],'Short Desc Summary'!G$2) +SUMIFS(cc_table[Amount],cc_table[Short_Desc],'Short Desc Summary'!$B18,cc_table[Date],'Short Desc Summary'!G$2) +SUMIFS(bb_table[Amount],bb_table[Short_Desc],'Short Desc Summary'!$B18,bb_table[Date],'Short Desc Summary'!G$2)</f>
        <v>0</v>
      </c>
      <c r="H18" s="8">
        <f>SUMIFS(dis_table[Amount],dis_table[Short_Desc],'Short Desc Summary'!$B18,dis_table[Date],'Short Desc Summary'!H$2) +SUMIFS(cc_table[Amount],cc_table[Short_Desc],'Short Desc Summary'!$B18,cc_table[Date],'Short Desc Summary'!H$2) +SUMIFS(bb_table[Amount],bb_table[Short_Desc],'Short Desc Summary'!$B18,bb_table[Date],'Short Desc Summary'!H$2)</f>
        <v>0</v>
      </c>
      <c r="I18" s="8">
        <f>SUMIFS(dis_table[Amount],dis_table[Short_Desc],'Short Desc Summary'!$B18,dis_table[Date],'Short Desc Summary'!I$2) +SUMIFS(cc_table[Amount],cc_table[Short_Desc],'Short Desc Summary'!$B18,cc_table[Date],'Short Desc Summary'!I$2) +SUMIFS(bb_table[Amount],bb_table[Short_Desc],'Short Desc Summary'!$B18,bb_table[Date],'Short Desc Summary'!I$2)</f>
        <v>0</v>
      </c>
      <c r="J18" s="8">
        <f>SUMIFS(dis_table[Amount],dis_table[Short_Desc],'Short Desc Summary'!$B18,dis_table[Date],'Short Desc Summary'!J$2) +SUMIFS(cc_table[Amount],cc_table[Short_Desc],'Short Desc Summary'!$B18,cc_table[Date],'Short Desc Summary'!J$2) +SUMIFS(bb_table[Amount],bb_table[Short_Desc],'Short Desc Summary'!$B18,bb_table[Date],'Short Desc Summary'!J$2)</f>
        <v>0</v>
      </c>
    </row>
    <row r="19" spans="1:10" x14ac:dyDescent="0.25">
      <c r="A19" t="str">
        <f>VLOOKUP(B19,dis_table[[#All],[Short_Desc]:[Category_2]],4,0)</f>
        <v>Misc</v>
      </c>
      <c r="B19" t="s">
        <v>59</v>
      </c>
      <c r="C19" t="str">
        <f>VLOOKUP(B19,dis_table[[#All],[Short_Desc]:[Reoccurring_Flag]],3,0)</f>
        <v>No</v>
      </c>
      <c r="D19" s="8">
        <f>SUMIFS(dis_table[Amount],dis_table[Short_Desc],'Short Desc Summary'!$B19,dis_table[Date],'Short Desc Summary'!D$2) +SUMIFS(cc_table[Amount],cc_table[Short_Desc],'Short Desc Summary'!$B19,cc_table[Date],'Short Desc Summary'!D$2) +SUMIFS(bb_table[Amount],bb_table[Short_Desc],'Short Desc Summary'!$B19,bb_table[Date],'Short Desc Summary'!D$2)</f>
        <v>26.49</v>
      </c>
      <c r="E19" s="8">
        <f>SUMIFS(dis_table[Amount],dis_table[Short_Desc],'Short Desc Summary'!$B19,dis_table[Date],'Short Desc Summary'!E$2) +SUMIFS(cc_table[Amount],cc_table[Short_Desc],'Short Desc Summary'!$B19,cc_table[Date],'Short Desc Summary'!E$2) +SUMIFS(bb_table[Amount],bb_table[Short_Desc],'Short Desc Summary'!$B19,bb_table[Date],'Short Desc Summary'!E$2)</f>
        <v>0</v>
      </c>
      <c r="F19" s="8">
        <f>SUMIFS(dis_table[Amount],dis_table[Short_Desc],'Short Desc Summary'!$B19,dis_table[Date],'Short Desc Summary'!F$2) +SUMIFS(cc_table[Amount],cc_table[Short_Desc],'Short Desc Summary'!$B19,cc_table[Date],'Short Desc Summary'!F$2) +SUMIFS(bb_table[Amount],bb_table[Short_Desc],'Short Desc Summary'!$B19,bb_table[Date],'Short Desc Summary'!F$2)</f>
        <v>0</v>
      </c>
      <c r="G19" s="8">
        <f>SUMIFS(dis_table[Amount],dis_table[Short_Desc],'Short Desc Summary'!$B19,dis_table[Date],'Short Desc Summary'!G$2) +SUMIFS(cc_table[Amount],cc_table[Short_Desc],'Short Desc Summary'!$B19,cc_table[Date],'Short Desc Summary'!G$2) +SUMIFS(bb_table[Amount],bb_table[Short_Desc],'Short Desc Summary'!$B19,bb_table[Date],'Short Desc Summary'!G$2)</f>
        <v>16</v>
      </c>
      <c r="H19" s="8">
        <f>SUMIFS(dis_table[Amount],dis_table[Short_Desc],'Short Desc Summary'!$B19,dis_table[Date],'Short Desc Summary'!H$2) +SUMIFS(cc_table[Amount],cc_table[Short_Desc],'Short Desc Summary'!$B19,cc_table[Date],'Short Desc Summary'!H$2) +SUMIFS(bb_table[Amount],bb_table[Short_Desc],'Short Desc Summary'!$B19,bb_table[Date],'Short Desc Summary'!H$2)</f>
        <v>9.75</v>
      </c>
      <c r="I19" s="8">
        <f>SUMIFS(dis_table[Amount],dis_table[Short_Desc],'Short Desc Summary'!$B19,dis_table[Date],'Short Desc Summary'!I$2) +SUMIFS(cc_table[Amount],cc_table[Short_Desc],'Short Desc Summary'!$B19,cc_table[Date],'Short Desc Summary'!I$2) +SUMIFS(bb_table[Amount],bb_table[Short_Desc],'Short Desc Summary'!$B19,bb_table[Date],'Short Desc Summary'!I$2)</f>
        <v>83</v>
      </c>
      <c r="J19" s="8">
        <f>SUMIFS(dis_table[Amount],dis_table[Short_Desc],'Short Desc Summary'!$B19,dis_table[Date],'Short Desc Summary'!J$2) +SUMIFS(cc_table[Amount],cc_table[Short_Desc],'Short Desc Summary'!$B19,cc_table[Date],'Short Desc Summary'!J$2) +SUMIFS(bb_table[Amount],bb_table[Short_Desc],'Short Desc Summary'!$B19,bb_table[Date],'Short Desc Summary'!J$2)</f>
        <v>0</v>
      </c>
    </row>
    <row r="20" spans="1:10" x14ac:dyDescent="0.25">
      <c r="A20" t="str">
        <f>VLOOKUP(B20,dis_table[[#All],[Short_Desc]:[Category_2]],4,0)</f>
        <v>Misc</v>
      </c>
      <c r="B20" t="s">
        <v>448</v>
      </c>
      <c r="C20" t="str">
        <f>VLOOKUP(B20,dis_table[[#All],[Short_Desc]:[Reoccurring_Flag]],3,0)</f>
        <v>No</v>
      </c>
      <c r="D20" s="8">
        <f>SUMIFS(dis_table[Amount],dis_table[Short_Desc],'Short Desc Summary'!$B20,dis_table[Date],'Short Desc Summary'!D$2) +SUMIFS(cc_table[Amount],cc_table[Short_Desc],'Short Desc Summary'!$B20,cc_table[Date],'Short Desc Summary'!D$2) +SUMIFS(bb_table[Amount],bb_table[Short_Desc],'Short Desc Summary'!$B20,bb_table[Date],'Short Desc Summary'!D$2)</f>
        <v>0</v>
      </c>
      <c r="E20" s="8">
        <f>SUMIFS(dis_table[Amount],dis_table[Short_Desc],'Short Desc Summary'!$B20,dis_table[Date],'Short Desc Summary'!E$2) +SUMIFS(cc_table[Amount],cc_table[Short_Desc],'Short Desc Summary'!$B20,cc_table[Date],'Short Desc Summary'!E$2) +SUMIFS(bb_table[Amount],bb_table[Short_Desc],'Short Desc Summary'!$B20,bb_table[Date],'Short Desc Summary'!E$2)</f>
        <v>0</v>
      </c>
      <c r="F20" s="8">
        <f>SUMIFS(dis_table[Amount],dis_table[Short_Desc],'Short Desc Summary'!$B20,dis_table[Date],'Short Desc Summary'!F$2) +SUMIFS(cc_table[Amount],cc_table[Short_Desc],'Short Desc Summary'!$B20,cc_table[Date],'Short Desc Summary'!F$2) +SUMIFS(bb_table[Amount],bb_table[Short_Desc],'Short Desc Summary'!$B20,bb_table[Date],'Short Desc Summary'!F$2)</f>
        <v>0</v>
      </c>
      <c r="G20" s="8">
        <f>SUMIFS(dis_table[Amount],dis_table[Short_Desc],'Short Desc Summary'!$B20,dis_table[Date],'Short Desc Summary'!G$2) +SUMIFS(cc_table[Amount],cc_table[Short_Desc],'Short Desc Summary'!$B20,cc_table[Date],'Short Desc Summary'!G$2) +SUMIFS(bb_table[Amount],bb_table[Short_Desc],'Short Desc Summary'!$B20,bb_table[Date],'Short Desc Summary'!G$2)</f>
        <v>0</v>
      </c>
      <c r="H20" s="8">
        <f>SUMIFS(dis_table[Amount],dis_table[Short_Desc],'Short Desc Summary'!$B20,dis_table[Date],'Short Desc Summary'!H$2) +SUMIFS(cc_table[Amount],cc_table[Short_Desc],'Short Desc Summary'!$B20,cc_table[Date],'Short Desc Summary'!H$2) +SUMIFS(bb_table[Amount],bb_table[Short_Desc],'Short Desc Summary'!$B20,bb_table[Date],'Short Desc Summary'!H$2)</f>
        <v>0</v>
      </c>
      <c r="I20" s="8">
        <f>SUMIFS(dis_table[Amount],dis_table[Short_Desc],'Short Desc Summary'!$B20,dis_table[Date],'Short Desc Summary'!I$2) +SUMIFS(cc_table[Amount],cc_table[Short_Desc],'Short Desc Summary'!$B20,cc_table[Date],'Short Desc Summary'!I$2) +SUMIFS(bb_table[Amount],bb_table[Short_Desc],'Short Desc Summary'!$B20,bb_table[Date],'Short Desc Summary'!I$2)</f>
        <v>0</v>
      </c>
      <c r="J20" s="8">
        <f>SUMIFS(dis_table[Amount],dis_table[Short_Desc],'Short Desc Summary'!$B20,dis_table[Date],'Short Desc Summary'!J$2) +SUMIFS(cc_table[Amount],cc_table[Short_Desc],'Short Desc Summary'!$B20,cc_table[Date],'Short Desc Summary'!J$2) +SUMIFS(bb_table[Amount],bb_table[Short_Desc],'Short Desc Summary'!$B20,bb_table[Date],'Short Desc Summary'!J$2)</f>
        <v>5.0999999999999996</v>
      </c>
    </row>
    <row r="21" spans="1:10" x14ac:dyDescent="0.25">
      <c r="A21" t="str">
        <f>VLOOKUP(B21,dis_table[[#All],[Short_Desc]:[Category_2]],4,0)</f>
        <v>People</v>
      </c>
      <c r="B21" t="s">
        <v>126</v>
      </c>
      <c r="C21" t="str">
        <f>VLOOKUP(B21,dis_table[[#All],[Short_Desc]:[Reoccurring_Flag]],3,0)</f>
        <v>No</v>
      </c>
      <c r="D21" s="8">
        <f>SUMIFS(dis_table[Amount],dis_table[Short_Desc],'Short Desc Summary'!$B21,dis_table[Date],'Short Desc Summary'!D$2) +SUMIFS(cc_table[Amount],cc_table[Short_Desc],'Short Desc Summary'!$B21,cc_table[Date],'Short Desc Summary'!D$2) +SUMIFS(bb_table[Amount],bb_table[Short_Desc],'Short Desc Summary'!$B21,bb_table[Date],'Short Desc Summary'!D$2)</f>
        <v>0</v>
      </c>
      <c r="E21" s="8">
        <f>SUMIFS(dis_table[Amount],dis_table[Short_Desc],'Short Desc Summary'!$B21,dis_table[Date],'Short Desc Summary'!E$2) +SUMIFS(cc_table[Amount],cc_table[Short_Desc],'Short Desc Summary'!$B21,cc_table[Date],'Short Desc Summary'!E$2) +SUMIFS(bb_table[Amount],bb_table[Short_Desc],'Short Desc Summary'!$B21,bb_table[Date],'Short Desc Summary'!E$2)</f>
        <v>49</v>
      </c>
      <c r="F21" s="8">
        <f>SUMIFS(dis_table[Amount],dis_table[Short_Desc],'Short Desc Summary'!$B21,dis_table[Date],'Short Desc Summary'!F$2) +SUMIFS(cc_table[Amount],cc_table[Short_Desc],'Short Desc Summary'!$B21,cc_table[Date],'Short Desc Summary'!F$2) +SUMIFS(bb_table[Amount],bb_table[Short_Desc],'Short Desc Summary'!$B21,bb_table[Date],'Short Desc Summary'!F$2)</f>
        <v>42</v>
      </c>
      <c r="G21" s="8">
        <f>SUMIFS(dis_table[Amount],dis_table[Short_Desc],'Short Desc Summary'!$B21,dis_table[Date],'Short Desc Summary'!G$2) +SUMIFS(cc_table[Amount],cc_table[Short_Desc],'Short Desc Summary'!$B21,cc_table[Date],'Short Desc Summary'!G$2) +SUMIFS(bb_table[Amount],bb_table[Short_Desc],'Short Desc Summary'!$B21,bb_table[Date],'Short Desc Summary'!G$2)</f>
        <v>0</v>
      </c>
      <c r="H21" s="8">
        <f>SUMIFS(dis_table[Amount],dis_table[Short_Desc],'Short Desc Summary'!$B21,dis_table[Date],'Short Desc Summary'!H$2) +SUMIFS(cc_table[Amount],cc_table[Short_Desc],'Short Desc Summary'!$B21,cc_table[Date],'Short Desc Summary'!H$2) +SUMIFS(bb_table[Amount],bb_table[Short_Desc],'Short Desc Summary'!$B21,bb_table[Date],'Short Desc Summary'!H$2)</f>
        <v>0</v>
      </c>
      <c r="I21" s="8">
        <f>SUMIFS(dis_table[Amount],dis_table[Short_Desc],'Short Desc Summary'!$B21,dis_table[Date],'Short Desc Summary'!I$2) +SUMIFS(cc_table[Amount],cc_table[Short_Desc],'Short Desc Summary'!$B21,cc_table[Date],'Short Desc Summary'!I$2) +SUMIFS(bb_table[Amount],bb_table[Short_Desc],'Short Desc Summary'!$B21,bb_table[Date],'Short Desc Summary'!I$2)</f>
        <v>0</v>
      </c>
      <c r="J21" s="8">
        <f>SUMIFS(dis_table[Amount],dis_table[Short_Desc],'Short Desc Summary'!$B21,dis_table[Date],'Short Desc Summary'!J$2) +SUMIFS(cc_table[Amount],cc_table[Short_Desc],'Short Desc Summary'!$B21,cc_table[Date],'Short Desc Summary'!J$2) +SUMIFS(bb_table[Amount],bb_table[Short_Desc],'Short Desc Summary'!$B21,bb_table[Date],'Short Desc Summary'!J$2)</f>
        <v>0</v>
      </c>
    </row>
    <row r="22" spans="1:10" x14ac:dyDescent="0.25">
      <c r="A22" t="str">
        <f>VLOOKUP(B22,dis_table[[#All],[Short_Desc]:[Category_2]],4,0)</f>
        <v>People</v>
      </c>
      <c r="B22" t="s">
        <v>189</v>
      </c>
      <c r="C22" t="str">
        <f>VLOOKUP(B22,dis_table[[#All],[Short_Desc]:[Reoccurring_Flag]],3,0)</f>
        <v>No</v>
      </c>
      <c r="D22" s="8">
        <f>SUMIFS(dis_table[Amount],dis_table[Short_Desc],'Short Desc Summary'!$B22,dis_table[Date],'Short Desc Summary'!D$2) +SUMIFS(cc_table[Amount],cc_table[Short_Desc],'Short Desc Summary'!$B22,cc_table[Date],'Short Desc Summary'!D$2) +SUMIFS(bb_table[Amount],bb_table[Short_Desc],'Short Desc Summary'!$B22,bb_table[Date],'Short Desc Summary'!D$2)</f>
        <v>0</v>
      </c>
      <c r="E22" s="8">
        <f>SUMIFS(dis_table[Amount],dis_table[Short_Desc],'Short Desc Summary'!$B22,dis_table[Date],'Short Desc Summary'!E$2) +SUMIFS(cc_table[Amount],cc_table[Short_Desc],'Short Desc Summary'!$B22,cc_table[Date],'Short Desc Summary'!E$2) +SUMIFS(bb_table[Amount],bb_table[Short_Desc],'Short Desc Summary'!$B22,bb_table[Date],'Short Desc Summary'!E$2)</f>
        <v>0</v>
      </c>
      <c r="F22" s="8">
        <f>SUMIFS(dis_table[Amount],dis_table[Short_Desc],'Short Desc Summary'!$B22,dis_table[Date],'Short Desc Summary'!F$2) +SUMIFS(cc_table[Amount],cc_table[Short_Desc],'Short Desc Summary'!$B22,cc_table[Date],'Short Desc Summary'!F$2) +SUMIFS(bb_table[Amount],bb_table[Short_Desc],'Short Desc Summary'!$B22,bb_table[Date],'Short Desc Summary'!F$2)</f>
        <v>126.2</v>
      </c>
      <c r="G22" s="8">
        <f>SUMIFS(dis_table[Amount],dis_table[Short_Desc],'Short Desc Summary'!$B22,dis_table[Date],'Short Desc Summary'!G$2) +SUMIFS(cc_table[Amount],cc_table[Short_Desc],'Short Desc Summary'!$B22,cc_table[Date],'Short Desc Summary'!G$2) +SUMIFS(bb_table[Amount],bb_table[Short_Desc],'Short Desc Summary'!$B22,bb_table[Date],'Short Desc Summary'!G$2)</f>
        <v>0</v>
      </c>
      <c r="H22" s="8">
        <f>SUMIFS(dis_table[Amount],dis_table[Short_Desc],'Short Desc Summary'!$B22,dis_table[Date],'Short Desc Summary'!H$2) +SUMIFS(cc_table[Amount],cc_table[Short_Desc],'Short Desc Summary'!$B22,cc_table[Date],'Short Desc Summary'!H$2) +SUMIFS(bb_table[Amount],bb_table[Short_Desc],'Short Desc Summary'!$B22,bb_table[Date],'Short Desc Summary'!H$2)</f>
        <v>0</v>
      </c>
      <c r="I22" s="8">
        <f>SUMIFS(dis_table[Amount],dis_table[Short_Desc],'Short Desc Summary'!$B22,dis_table[Date],'Short Desc Summary'!I$2) +SUMIFS(cc_table[Amount],cc_table[Short_Desc],'Short Desc Summary'!$B22,cc_table[Date],'Short Desc Summary'!I$2) +SUMIFS(bb_table[Amount],bb_table[Short_Desc],'Short Desc Summary'!$B22,bb_table[Date],'Short Desc Summary'!I$2)</f>
        <v>0</v>
      </c>
      <c r="J22" s="8">
        <f>SUMIFS(dis_table[Amount],dis_table[Short_Desc],'Short Desc Summary'!$B22,dis_table[Date],'Short Desc Summary'!J$2) +SUMIFS(cc_table[Amount],cc_table[Short_Desc],'Short Desc Summary'!$B22,cc_table[Date],'Short Desc Summary'!J$2) +SUMIFS(bb_table[Amount],bb_table[Short_Desc],'Short Desc Summary'!$B22,bb_table[Date],'Short Desc Summary'!J$2)</f>
        <v>0</v>
      </c>
    </row>
    <row r="23" spans="1:10" x14ac:dyDescent="0.25">
      <c r="A23" t="str">
        <f>VLOOKUP(B23,dis_table[[#All],[Short_Desc]:[Category_2]],4,0)</f>
        <v>People</v>
      </c>
      <c r="B23" t="s">
        <v>485</v>
      </c>
      <c r="C23" t="str">
        <f>VLOOKUP(B23,dis_table[[#All],[Short_Desc]:[Reoccurring_Flag]],3,0)</f>
        <v>No</v>
      </c>
      <c r="D23" s="8">
        <f>SUMIFS(dis_table[Amount],dis_table[Short_Desc],'Short Desc Summary'!$B23,dis_table[Date],'Short Desc Summary'!D$2) +SUMIFS(cc_table[Amount],cc_table[Short_Desc],'Short Desc Summary'!$B23,cc_table[Date],'Short Desc Summary'!D$2) +SUMIFS(bb_table[Amount],bb_table[Short_Desc],'Short Desc Summary'!$B23,bb_table[Date],'Short Desc Summary'!D$2)</f>
        <v>0</v>
      </c>
      <c r="E23" s="8">
        <f>SUMIFS(dis_table[Amount],dis_table[Short_Desc],'Short Desc Summary'!$B23,dis_table[Date],'Short Desc Summary'!E$2) +SUMIFS(cc_table[Amount],cc_table[Short_Desc],'Short Desc Summary'!$B23,cc_table[Date],'Short Desc Summary'!E$2) +SUMIFS(bb_table[Amount],bb_table[Short_Desc],'Short Desc Summary'!$B23,bb_table[Date],'Short Desc Summary'!E$2)</f>
        <v>0</v>
      </c>
      <c r="F23" s="8">
        <f>SUMIFS(dis_table[Amount],dis_table[Short_Desc],'Short Desc Summary'!$B23,dis_table[Date],'Short Desc Summary'!F$2) +SUMIFS(cc_table[Amount],cc_table[Short_Desc],'Short Desc Summary'!$B23,cc_table[Date],'Short Desc Summary'!F$2) +SUMIFS(bb_table[Amount],bb_table[Short_Desc],'Short Desc Summary'!$B23,bb_table[Date],'Short Desc Summary'!F$2)</f>
        <v>0</v>
      </c>
      <c r="G23" s="8">
        <f>SUMIFS(dis_table[Amount],dis_table[Short_Desc],'Short Desc Summary'!$B23,dis_table[Date],'Short Desc Summary'!G$2) +SUMIFS(cc_table[Amount],cc_table[Short_Desc],'Short Desc Summary'!$B23,cc_table[Date],'Short Desc Summary'!G$2) +SUMIFS(bb_table[Amount],bb_table[Short_Desc],'Short Desc Summary'!$B23,bb_table[Date],'Short Desc Summary'!G$2)</f>
        <v>0</v>
      </c>
      <c r="H23" s="8">
        <f>SUMIFS(dis_table[Amount],dis_table[Short_Desc],'Short Desc Summary'!$B23,dis_table[Date],'Short Desc Summary'!H$2) +SUMIFS(cc_table[Amount],cc_table[Short_Desc],'Short Desc Summary'!$B23,cc_table[Date],'Short Desc Summary'!H$2) +SUMIFS(bb_table[Amount],bb_table[Short_Desc],'Short Desc Summary'!$B23,bb_table[Date],'Short Desc Summary'!H$2)</f>
        <v>0</v>
      </c>
      <c r="I23" s="8">
        <f>SUMIFS(dis_table[Amount],dis_table[Short_Desc],'Short Desc Summary'!$B23,dis_table[Date],'Short Desc Summary'!I$2) +SUMIFS(cc_table[Amount],cc_table[Short_Desc],'Short Desc Summary'!$B23,cc_table[Date],'Short Desc Summary'!I$2) +SUMIFS(bb_table[Amount],bb_table[Short_Desc],'Short Desc Summary'!$B23,bb_table[Date],'Short Desc Summary'!I$2)</f>
        <v>0</v>
      </c>
      <c r="J23" s="8">
        <f>SUMIFS(dis_table[Amount],dis_table[Short_Desc],'Short Desc Summary'!$B23,dis_table[Date],'Short Desc Summary'!J$2) +SUMIFS(cc_table[Amount],cc_table[Short_Desc],'Short Desc Summary'!$B23,cc_table[Date],'Short Desc Summary'!J$2) +SUMIFS(bb_table[Amount],bb_table[Short_Desc],'Short Desc Summary'!$B23,bb_table[Date],'Short Desc Summary'!J$2)</f>
        <v>51.5</v>
      </c>
    </row>
    <row r="24" spans="1:10" x14ac:dyDescent="0.25">
      <c r="A24" t="str">
        <f>VLOOKUP(B24,dis_table[[#All],[Short_Desc]:[Category_2]],4,0)</f>
        <v>Personal_Spending</v>
      </c>
      <c r="B24" t="s">
        <v>31</v>
      </c>
      <c r="C24" t="str">
        <f>VLOOKUP(B24,dis_table[[#All],[Short_Desc]:[Reoccurring_Flag]],3,0)</f>
        <v>No</v>
      </c>
      <c r="D24" s="8">
        <f>SUMIFS(dis_table[Amount],dis_table[Short_Desc],'Short Desc Summary'!$B24,dis_table[Date],'Short Desc Summary'!D$2) +SUMIFS(cc_table[Amount],cc_table[Short_Desc],'Short Desc Summary'!$B24,cc_table[Date],'Short Desc Summary'!D$2) +SUMIFS(bb_table[Amount],bb_table[Short_Desc],'Short Desc Summary'!$B24,bb_table[Date],'Short Desc Summary'!D$2)</f>
        <v>210</v>
      </c>
      <c r="E24" s="8">
        <f>SUMIFS(dis_table[Amount],dis_table[Short_Desc],'Short Desc Summary'!$B24,dis_table[Date],'Short Desc Summary'!E$2) +SUMIFS(cc_table[Amount],cc_table[Short_Desc],'Short Desc Summary'!$B24,cc_table[Date],'Short Desc Summary'!E$2) +SUMIFS(bb_table[Amount],bb_table[Short_Desc],'Short Desc Summary'!$B24,bb_table[Date],'Short Desc Summary'!E$2)</f>
        <v>0</v>
      </c>
      <c r="F24" s="8">
        <f>SUMIFS(dis_table[Amount],dis_table[Short_Desc],'Short Desc Summary'!$B24,dis_table[Date],'Short Desc Summary'!F$2) +SUMIFS(cc_table[Amount],cc_table[Short_Desc],'Short Desc Summary'!$B24,cc_table[Date],'Short Desc Summary'!F$2) +SUMIFS(bb_table[Amount],bb_table[Short_Desc],'Short Desc Summary'!$B24,bb_table[Date],'Short Desc Summary'!F$2)</f>
        <v>0</v>
      </c>
      <c r="G24" s="8">
        <f>SUMIFS(dis_table[Amount],dis_table[Short_Desc],'Short Desc Summary'!$B24,dis_table[Date],'Short Desc Summary'!G$2) +SUMIFS(cc_table[Amount],cc_table[Short_Desc],'Short Desc Summary'!$B24,cc_table[Date],'Short Desc Summary'!G$2) +SUMIFS(bb_table[Amount],bb_table[Short_Desc],'Short Desc Summary'!$B24,bb_table[Date],'Short Desc Summary'!G$2)</f>
        <v>0</v>
      </c>
      <c r="H24" s="8">
        <f>SUMIFS(dis_table[Amount],dis_table[Short_Desc],'Short Desc Summary'!$B24,dis_table[Date],'Short Desc Summary'!H$2) +SUMIFS(cc_table[Amount],cc_table[Short_Desc],'Short Desc Summary'!$B24,cc_table[Date],'Short Desc Summary'!H$2) +SUMIFS(bb_table[Amount],bb_table[Short_Desc],'Short Desc Summary'!$B24,bb_table[Date],'Short Desc Summary'!H$2)</f>
        <v>0</v>
      </c>
      <c r="I24" s="8">
        <f>SUMIFS(dis_table[Amount],dis_table[Short_Desc],'Short Desc Summary'!$B24,dis_table[Date],'Short Desc Summary'!I$2) +SUMIFS(cc_table[Amount],cc_table[Short_Desc],'Short Desc Summary'!$B24,cc_table[Date],'Short Desc Summary'!I$2) +SUMIFS(bb_table[Amount],bb_table[Short_Desc],'Short Desc Summary'!$B24,bb_table[Date],'Short Desc Summary'!I$2)</f>
        <v>0</v>
      </c>
      <c r="J24" s="8">
        <f>SUMIFS(dis_table[Amount],dis_table[Short_Desc],'Short Desc Summary'!$B24,dis_table[Date],'Short Desc Summary'!J$2) +SUMIFS(cc_table[Amount],cc_table[Short_Desc],'Short Desc Summary'!$B24,cc_table[Date],'Short Desc Summary'!J$2) +SUMIFS(bb_table[Amount],bb_table[Short_Desc],'Short Desc Summary'!$B24,bb_table[Date],'Short Desc Summary'!J$2)</f>
        <v>15.77</v>
      </c>
    </row>
    <row r="25" spans="1:10" x14ac:dyDescent="0.25">
      <c r="A25" t="str">
        <f>VLOOKUP(B25,dis_table[[#All],[Short_Desc]:[Category_2]],4,0)</f>
        <v>Personal_Spending</v>
      </c>
      <c r="B25" t="s">
        <v>34</v>
      </c>
      <c r="C25" t="str">
        <f>VLOOKUP(B25,dis_table[[#All],[Short_Desc]:[Reoccurring_Flag]],3,0)</f>
        <v>No</v>
      </c>
      <c r="D25" s="8">
        <f>SUMIFS(dis_table[Amount],dis_table[Short_Desc],'Short Desc Summary'!$B25,dis_table[Date],'Short Desc Summary'!D$2) +SUMIFS(cc_table[Amount],cc_table[Short_Desc],'Short Desc Summary'!$B25,cc_table[Date],'Short Desc Summary'!D$2) +SUMIFS(bb_table[Amount],bb_table[Short_Desc],'Short Desc Summary'!$B25,bb_table[Date],'Short Desc Summary'!D$2)</f>
        <v>33.1</v>
      </c>
      <c r="E25" s="8">
        <f>SUMIFS(dis_table[Amount],dis_table[Short_Desc],'Short Desc Summary'!$B25,dis_table[Date],'Short Desc Summary'!E$2) +SUMIFS(cc_table[Amount],cc_table[Short_Desc],'Short Desc Summary'!$B25,cc_table[Date],'Short Desc Summary'!E$2) +SUMIFS(bb_table[Amount],bb_table[Short_Desc],'Short Desc Summary'!$B25,bb_table[Date],'Short Desc Summary'!E$2)</f>
        <v>0</v>
      </c>
      <c r="F25" s="8">
        <f>SUMIFS(dis_table[Amount],dis_table[Short_Desc],'Short Desc Summary'!$B25,dis_table[Date],'Short Desc Summary'!F$2) +SUMIFS(cc_table[Amount],cc_table[Short_Desc],'Short Desc Summary'!$B25,cc_table[Date],'Short Desc Summary'!F$2) +SUMIFS(bb_table[Amount],bb_table[Short_Desc],'Short Desc Summary'!$B25,bb_table[Date],'Short Desc Summary'!F$2)</f>
        <v>64.72999999999999</v>
      </c>
      <c r="G25" s="8">
        <f>SUMIFS(dis_table[Amount],dis_table[Short_Desc],'Short Desc Summary'!$B25,dis_table[Date],'Short Desc Summary'!G$2) +SUMIFS(cc_table[Amount],cc_table[Short_Desc],'Short Desc Summary'!$B25,cc_table[Date],'Short Desc Summary'!G$2) +SUMIFS(bb_table[Amount],bb_table[Short_Desc],'Short Desc Summary'!$B25,bb_table[Date],'Short Desc Summary'!G$2)</f>
        <v>24.020000000000003</v>
      </c>
      <c r="H25" s="8">
        <f>SUMIFS(dis_table[Amount],dis_table[Short_Desc],'Short Desc Summary'!$B25,dis_table[Date],'Short Desc Summary'!H$2) +SUMIFS(cc_table[Amount],cc_table[Short_Desc],'Short Desc Summary'!$B25,cc_table[Date],'Short Desc Summary'!H$2) +SUMIFS(bb_table[Amount],bb_table[Short_Desc],'Short Desc Summary'!$B25,bb_table[Date],'Short Desc Summary'!H$2)</f>
        <v>17.52</v>
      </c>
      <c r="I25" s="8">
        <f>SUMIFS(dis_table[Amount],dis_table[Short_Desc],'Short Desc Summary'!$B25,dis_table[Date],'Short Desc Summary'!I$2) +SUMIFS(cc_table[Amount],cc_table[Short_Desc],'Short Desc Summary'!$B25,cc_table[Date],'Short Desc Summary'!I$2) +SUMIFS(bb_table[Amount],bb_table[Short_Desc],'Short Desc Summary'!$B25,bb_table[Date],'Short Desc Summary'!I$2)</f>
        <v>137.36000000000001</v>
      </c>
      <c r="J25" s="8">
        <f>SUMIFS(dis_table[Amount],dis_table[Short_Desc],'Short Desc Summary'!$B25,dis_table[Date],'Short Desc Summary'!J$2) +SUMIFS(cc_table[Amount],cc_table[Short_Desc],'Short Desc Summary'!$B25,cc_table[Date],'Short Desc Summary'!J$2) +SUMIFS(bb_table[Amount],bb_table[Short_Desc],'Short Desc Summary'!$B25,bb_table[Date],'Short Desc Summary'!J$2)</f>
        <v>55.35</v>
      </c>
    </row>
    <row r="26" spans="1:10" x14ac:dyDescent="0.25">
      <c r="A26" t="str">
        <f>VLOOKUP(B26,dis_table[[#All],[Short_Desc]:[Category_2]],4,0)</f>
        <v>Personal_Spending</v>
      </c>
      <c r="B26" t="s">
        <v>72</v>
      </c>
      <c r="C26" t="str">
        <f>VLOOKUP(B26,dis_table[[#All],[Short_Desc]:[Reoccurring_Flag]],3,0)</f>
        <v>No</v>
      </c>
      <c r="D26" s="8">
        <f>SUMIFS(dis_table[Amount],dis_table[Short_Desc],'Short Desc Summary'!$B26,dis_table[Date],'Short Desc Summary'!D$2) +SUMIFS(cc_table[Amount],cc_table[Short_Desc],'Short Desc Summary'!$B26,cc_table[Date],'Short Desc Summary'!D$2) +SUMIFS(bb_table[Amount],bb_table[Short_Desc],'Short Desc Summary'!$B26,bb_table[Date],'Short Desc Summary'!D$2)</f>
        <v>153.88</v>
      </c>
      <c r="E26" s="8">
        <f>SUMIFS(dis_table[Amount],dis_table[Short_Desc],'Short Desc Summary'!$B26,dis_table[Date],'Short Desc Summary'!E$2) +SUMIFS(cc_table[Amount],cc_table[Short_Desc],'Short Desc Summary'!$B26,cc_table[Date],'Short Desc Summary'!E$2) +SUMIFS(bb_table[Amount],bb_table[Short_Desc],'Short Desc Summary'!$B26,bb_table[Date],'Short Desc Summary'!E$2)</f>
        <v>0</v>
      </c>
      <c r="F26" s="8">
        <f>SUMIFS(dis_table[Amount],dis_table[Short_Desc],'Short Desc Summary'!$B26,dis_table[Date],'Short Desc Summary'!F$2) +SUMIFS(cc_table[Amount],cc_table[Short_Desc],'Short Desc Summary'!$B26,cc_table[Date],'Short Desc Summary'!F$2) +SUMIFS(bb_table[Amount],bb_table[Short_Desc],'Short Desc Summary'!$B26,bb_table[Date],'Short Desc Summary'!F$2)</f>
        <v>0</v>
      </c>
      <c r="G26" s="8">
        <f>SUMIFS(dis_table[Amount],dis_table[Short_Desc],'Short Desc Summary'!$B26,dis_table[Date],'Short Desc Summary'!G$2) +SUMIFS(cc_table[Amount],cc_table[Short_Desc],'Short Desc Summary'!$B26,cc_table[Date],'Short Desc Summary'!G$2) +SUMIFS(bb_table[Amount],bb_table[Short_Desc],'Short Desc Summary'!$B26,bb_table[Date],'Short Desc Summary'!G$2)</f>
        <v>47.34</v>
      </c>
      <c r="H26" s="8">
        <f>SUMIFS(dis_table[Amount],dis_table[Short_Desc],'Short Desc Summary'!$B26,dis_table[Date],'Short Desc Summary'!H$2) +SUMIFS(cc_table[Amount],cc_table[Short_Desc],'Short Desc Summary'!$B26,cc_table[Date],'Short Desc Summary'!H$2) +SUMIFS(bb_table[Amount],bb_table[Short_Desc],'Short Desc Summary'!$B26,bb_table[Date],'Short Desc Summary'!H$2)</f>
        <v>211.57</v>
      </c>
      <c r="I26" s="8">
        <f>SUMIFS(dis_table[Amount],dis_table[Short_Desc],'Short Desc Summary'!$B26,dis_table[Date],'Short Desc Summary'!I$2) +SUMIFS(cc_table[Amount],cc_table[Short_Desc],'Short Desc Summary'!$B26,cc_table[Date],'Short Desc Summary'!I$2) +SUMIFS(bb_table[Amount],bb_table[Short_Desc],'Short Desc Summary'!$B26,bb_table[Date],'Short Desc Summary'!I$2)</f>
        <v>0</v>
      </c>
      <c r="J26" s="8">
        <f>SUMIFS(dis_table[Amount],dis_table[Short_Desc],'Short Desc Summary'!$B26,dis_table[Date],'Short Desc Summary'!J$2) +SUMIFS(cc_table[Amount],cc_table[Short_Desc],'Short Desc Summary'!$B26,cc_table[Date],'Short Desc Summary'!J$2) +SUMIFS(bb_table[Amount],bb_table[Short_Desc],'Short Desc Summary'!$B26,bb_table[Date],'Short Desc Summary'!J$2)</f>
        <v>29.06</v>
      </c>
    </row>
    <row r="27" spans="1:10" x14ac:dyDescent="0.25">
      <c r="A27" t="str">
        <f>VLOOKUP(B27,dis_table[[#All],[Short_Desc]:[Category_2]],4,0)</f>
        <v>Personal_Spending</v>
      </c>
      <c r="B27" t="s">
        <v>90</v>
      </c>
      <c r="C27" t="str">
        <f>VLOOKUP(B27,dis_table[[#All],[Short_Desc]:[Reoccurring_Flag]],3,0)</f>
        <v>Yes</v>
      </c>
      <c r="D27" s="8">
        <f>SUMIFS(dis_table[Amount],dis_table[Short_Desc],'Short Desc Summary'!$B27,dis_table[Date],'Short Desc Summary'!D$2) +SUMIFS(cc_table[Amount],cc_table[Short_Desc],'Short Desc Summary'!$B27,cc_table[Date],'Short Desc Summary'!D$2) +SUMIFS(bb_table[Amount],bb_table[Short_Desc],'Short Desc Summary'!$B27,bb_table[Date],'Short Desc Summary'!D$2)</f>
        <v>79</v>
      </c>
      <c r="E27" s="8">
        <f>SUMIFS(dis_table[Amount],dis_table[Short_Desc],'Short Desc Summary'!$B27,dis_table[Date],'Short Desc Summary'!E$2) +SUMIFS(cc_table[Amount],cc_table[Short_Desc],'Short Desc Summary'!$B27,cc_table[Date],'Short Desc Summary'!E$2) +SUMIFS(bb_table[Amount],bb_table[Short_Desc],'Short Desc Summary'!$B27,bb_table[Date],'Short Desc Summary'!E$2)</f>
        <v>0</v>
      </c>
      <c r="F27" s="8">
        <f>SUMIFS(dis_table[Amount],dis_table[Short_Desc],'Short Desc Summary'!$B27,dis_table[Date],'Short Desc Summary'!F$2) +SUMIFS(cc_table[Amount],cc_table[Short_Desc],'Short Desc Summary'!$B27,cc_table[Date],'Short Desc Summary'!F$2) +SUMIFS(bb_table[Amount],bb_table[Short_Desc],'Short Desc Summary'!$B27,bb_table[Date],'Short Desc Summary'!F$2)</f>
        <v>0</v>
      </c>
      <c r="G27" s="8">
        <f>SUMIFS(dis_table[Amount],dis_table[Short_Desc],'Short Desc Summary'!$B27,dis_table[Date],'Short Desc Summary'!G$2) +SUMIFS(cc_table[Amount],cc_table[Short_Desc],'Short Desc Summary'!$B27,cc_table[Date],'Short Desc Summary'!G$2) +SUMIFS(bb_table[Amount],bb_table[Short_Desc],'Short Desc Summary'!$B27,bb_table[Date],'Short Desc Summary'!G$2)</f>
        <v>0</v>
      </c>
      <c r="H27" s="8">
        <f>SUMIFS(dis_table[Amount],dis_table[Short_Desc],'Short Desc Summary'!$B27,dis_table[Date],'Short Desc Summary'!H$2) +SUMIFS(cc_table[Amount],cc_table[Short_Desc],'Short Desc Summary'!$B27,cc_table[Date],'Short Desc Summary'!H$2) +SUMIFS(bb_table[Amount],bb_table[Short_Desc],'Short Desc Summary'!$B27,bb_table[Date],'Short Desc Summary'!H$2)</f>
        <v>0</v>
      </c>
      <c r="I27" s="8">
        <f>SUMIFS(dis_table[Amount],dis_table[Short_Desc],'Short Desc Summary'!$B27,dis_table[Date],'Short Desc Summary'!I$2) +SUMIFS(cc_table[Amount],cc_table[Short_Desc],'Short Desc Summary'!$B27,cc_table[Date],'Short Desc Summary'!I$2) +SUMIFS(bb_table[Amount],bb_table[Short_Desc],'Short Desc Summary'!$B27,bb_table[Date],'Short Desc Summary'!I$2)</f>
        <v>0</v>
      </c>
      <c r="J27" s="8">
        <f>SUMIFS(dis_table[Amount],dis_table[Short_Desc],'Short Desc Summary'!$B27,dis_table[Date],'Short Desc Summary'!J$2) +SUMIFS(cc_table[Amount],cc_table[Short_Desc],'Short Desc Summary'!$B27,cc_table[Date],'Short Desc Summary'!J$2) +SUMIFS(bb_table[Amount],bb_table[Short_Desc],'Short Desc Summary'!$B27,bb_table[Date],'Short Desc Summary'!J$2)</f>
        <v>0</v>
      </c>
    </row>
    <row r="28" spans="1:10" x14ac:dyDescent="0.25">
      <c r="A28" t="str">
        <f>VLOOKUP(B28,dis_table[[#All],[Short_Desc]:[Category_2]],4,0)</f>
        <v>Personal_Spending</v>
      </c>
      <c r="B28" t="s">
        <v>92</v>
      </c>
      <c r="C28" t="str">
        <f>VLOOKUP(B28,dis_table[[#All],[Short_Desc]:[Reoccurring_Flag]],3,0)</f>
        <v>No</v>
      </c>
      <c r="D28" s="8">
        <f>SUMIFS(dis_table[Amount],dis_table[Short_Desc],'Short Desc Summary'!$B28,dis_table[Date],'Short Desc Summary'!D$2) +SUMIFS(cc_table[Amount],cc_table[Short_Desc],'Short Desc Summary'!$B28,cc_table[Date],'Short Desc Summary'!D$2) +SUMIFS(bb_table[Amount],bb_table[Short_Desc],'Short Desc Summary'!$B28,bb_table[Date],'Short Desc Summary'!D$2)</f>
        <v>20.720000000000002</v>
      </c>
      <c r="E28" s="8">
        <f>SUMIFS(dis_table[Amount],dis_table[Short_Desc],'Short Desc Summary'!$B28,dis_table[Date],'Short Desc Summary'!E$2) +SUMIFS(cc_table[Amount],cc_table[Short_Desc],'Short Desc Summary'!$B28,cc_table[Date],'Short Desc Summary'!E$2) +SUMIFS(bb_table[Amount],bb_table[Short_Desc],'Short Desc Summary'!$B28,bb_table[Date],'Short Desc Summary'!E$2)</f>
        <v>0</v>
      </c>
      <c r="F28" s="8">
        <f>SUMIFS(dis_table[Amount],dis_table[Short_Desc],'Short Desc Summary'!$B28,dis_table[Date],'Short Desc Summary'!F$2) +SUMIFS(cc_table[Amount],cc_table[Short_Desc],'Short Desc Summary'!$B28,cc_table[Date],'Short Desc Summary'!F$2) +SUMIFS(bb_table[Amount],bb_table[Short_Desc],'Short Desc Summary'!$B28,bb_table[Date],'Short Desc Summary'!F$2)</f>
        <v>17.59</v>
      </c>
      <c r="G28" s="8">
        <f>SUMIFS(dis_table[Amount],dis_table[Short_Desc],'Short Desc Summary'!$B28,dis_table[Date],'Short Desc Summary'!G$2) +SUMIFS(cc_table[Amount],cc_table[Short_Desc],'Short Desc Summary'!$B28,cc_table[Date],'Short Desc Summary'!G$2) +SUMIFS(bb_table[Amount],bb_table[Short_Desc],'Short Desc Summary'!$B28,bb_table[Date],'Short Desc Summary'!G$2)</f>
        <v>0</v>
      </c>
      <c r="H28" s="8">
        <f>SUMIFS(dis_table[Amount],dis_table[Short_Desc],'Short Desc Summary'!$B28,dis_table[Date],'Short Desc Summary'!H$2) +SUMIFS(cc_table[Amount],cc_table[Short_Desc],'Short Desc Summary'!$B28,cc_table[Date],'Short Desc Summary'!H$2) +SUMIFS(bb_table[Amount],bb_table[Short_Desc],'Short Desc Summary'!$B28,bb_table[Date],'Short Desc Summary'!H$2)</f>
        <v>0</v>
      </c>
      <c r="I28" s="8">
        <f>SUMIFS(dis_table[Amount],dis_table[Short_Desc],'Short Desc Summary'!$B28,dis_table[Date],'Short Desc Summary'!I$2) +SUMIFS(cc_table[Amount],cc_table[Short_Desc],'Short Desc Summary'!$B28,cc_table[Date],'Short Desc Summary'!I$2) +SUMIFS(bb_table[Amount],bb_table[Short_Desc],'Short Desc Summary'!$B28,bb_table[Date],'Short Desc Summary'!I$2)</f>
        <v>0</v>
      </c>
      <c r="J28" s="8">
        <f>SUMIFS(dis_table[Amount],dis_table[Short_Desc],'Short Desc Summary'!$B28,dis_table[Date],'Short Desc Summary'!J$2) +SUMIFS(cc_table[Amount],cc_table[Short_Desc],'Short Desc Summary'!$B28,cc_table[Date],'Short Desc Summary'!J$2) +SUMIFS(bb_table[Amount],bb_table[Short_Desc],'Short Desc Summary'!$B28,bb_table[Date],'Short Desc Summary'!J$2)</f>
        <v>0</v>
      </c>
    </row>
    <row r="29" spans="1:10" x14ac:dyDescent="0.25">
      <c r="A29" t="str">
        <f>VLOOKUP(B29,dis_table[[#All],[Short_Desc]:[Category_2]],4,0)</f>
        <v>Personal_Spending</v>
      </c>
      <c r="B29" t="s">
        <v>94</v>
      </c>
      <c r="C29" t="str">
        <f>VLOOKUP(B29,dis_table[[#All],[Short_Desc]:[Reoccurring_Flag]],3,0)</f>
        <v>No</v>
      </c>
      <c r="D29" s="8">
        <f>SUMIFS(dis_table[Amount],dis_table[Short_Desc],'Short Desc Summary'!$B29,dis_table[Date],'Short Desc Summary'!D$2) +SUMIFS(cc_table[Amount],cc_table[Short_Desc],'Short Desc Summary'!$B29,cc_table[Date],'Short Desc Summary'!D$2) +SUMIFS(bb_table[Amount],bb_table[Short_Desc],'Short Desc Summary'!$B29,bb_table[Date],'Short Desc Summary'!D$2)</f>
        <v>240</v>
      </c>
      <c r="E29" s="8">
        <f>SUMIFS(dis_table[Amount],dis_table[Short_Desc],'Short Desc Summary'!$B29,dis_table[Date],'Short Desc Summary'!E$2) +SUMIFS(cc_table[Amount],cc_table[Short_Desc],'Short Desc Summary'!$B29,cc_table[Date],'Short Desc Summary'!E$2) +SUMIFS(bb_table[Amount],bb_table[Short_Desc],'Short Desc Summary'!$B29,bb_table[Date],'Short Desc Summary'!E$2)</f>
        <v>0</v>
      </c>
      <c r="F29" s="8">
        <f>SUMIFS(dis_table[Amount],dis_table[Short_Desc],'Short Desc Summary'!$B29,dis_table[Date],'Short Desc Summary'!F$2) +SUMIFS(cc_table[Amount],cc_table[Short_Desc],'Short Desc Summary'!$B29,cc_table[Date],'Short Desc Summary'!F$2) +SUMIFS(bb_table[Amount],bb_table[Short_Desc],'Short Desc Summary'!$B29,bb_table[Date],'Short Desc Summary'!F$2)</f>
        <v>0</v>
      </c>
      <c r="G29" s="8">
        <f>SUMIFS(dis_table[Amount],dis_table[Short_Desc],'Short Desc Summary'!$B29,dis_table[Date],'Short Desc Summary'!G$2) +SUMIFS(cc_table[Amount],cc_table[Short_Desc],'Short Desc Summary'!$B29,cc_table[Date],'Short Desc Summary'!G$2) +SUMIFS(bb_table[Amount],bb_table[Short_Desc],'Short Desc Summary'!$B29,bb_table[Date],'Short Desc Summary'!G$2)</f>
        <v>21.71</v>
      </c>
      <c r="H29" s="8">
        <f>SUMIFS(dis_table[Amount],dis_table[Short_Desc],'Short Desc Summary'!$B29,dis_table[Date],'Short Desc Summary'!H$2) +SUMIFS(cc_table[Amount],cc_table[Short_Desc],'Short Desc Summary'!$B29,cc_table[Date],'Short Desc Summary'!H$2) +SUMIFS(bb_table[Amount],bb_table[Short_Desc],'Short Desc Summary'!$B29,bb_table[Date],'Short Desc Summary'!H$2)</f>
        <v>592.53</v>
      </c>
      <c r="I29" s="8">
        <f>SUMIFS(dis_table[Amount],dis_table[Short_Desc],'Short Desc Summary'!$B29,dis_table[Date],'Short Desc Summary'!I$2) +SUMIFS(cc_table[Amount],cc_table[Short_Desc],'Short Desc Summary'!$B29,cc_table[Date],'Short Desc Summary'!I$2) +SUMIFS(bb_table[Amount],bb_table[Short_Desc],'Short Desc Summary'!$B29,bb_table[Date],'Short Desc Summary'!I$2)</f>
        <v>298</v>
      </c>
      <c r="J29" s="8">
        <f>SUMIFS(dis_table[Amount],dis_table[Short_Desc],'Short Desc Summary'!$B29,dis_table[Date],'Short Desc Summary'!J$2) +SUMIFS(cc_table[Amount],cc_table[Short_Desc],'Short Desc Summary'!$B29,cc_table[Date],'Short Desc Summary'!J$2) +SUMIFS(bb_table[Amount],bb_table[Short_Desc],'Short Desc Summary'!$B29,bb_table[Date],'Short Desc Summary'!J$2)</f>
        <v>109.58</v>
      </c>
    </row>
    <row r="30" spans="1:10" x14ac:dyDescent="0.25">
      <c r="A30" t="str">
        <f>VLOOKUP(B30,dis_table[[#All],[Short_Desc]:[Category_2]],4,0)</f>
        <v>Personal_Spending</v>
      </c>
      <c r="B30" t="s">
        <v>133</v>
      </c>
      <c r="C30" t="str">
        <f>VLOOKUP(B30,dis_table[[#All],[Short_Desc]:[Reoccurring_Flag]],3,0)</f>
        <v>No</v>
      </c>
      <c r="D30" s="8">
        <f>SUMIFS(dis_table[Amount],dis_table[Short_Desc],'Short Desc Summary'!$B30,dis_table[Date],'Short Desc Summary'!D$2) +SUMIFS(cc_table[Amount],cc_table[Short_Desc],'Short Desc Summary'!$B30,cc_table[Date],'Short Desc Summary'!D$2) +SUMIFS(bb_table[Amount],bb_table[Short_Desc],'Short Desc Summary'!$B30,bb_table[Date],'Short Desc Summary'!D$2)</f>
        <v>0</v>
      </c>
      <c r="E30" s="8">
        <f>SUMIFS(dis_table[Amount],dis_table[Short_Desc],'Short Desc Summary'!$B30,dis_table[Date],'Short Desc Summary'!E$2) +SUMIFS(cc_table[Amount],cc_table[Short_Desc],'Short Desc Summary'!$B30,cc_table[Date],'Short Desc Summary'!E$2) +SUMIFS(bb_table[Amount],bb_table[Short_Desc],'Short Desc Summary'!$B30,bb_table[Date],'Short Desc Summary'!E$2)</f>
        <v>126.7</v>
      </c>
      <c r="F30" s="8">
        <f>SUMIFS(dis_table[Amount],dis_table[Short_Desc],'Short Desc Summary'!$B30,dis_table[Date],'Short Desc Summary'!F$2) +SUMIFS(cc_table[Amount],cc_table[Short_Desc],'Short Desc Summary'!$B30,cc_table[Date],'Short Desc Summary'!F$2) +SUMIFS(bb_table[Amount],bb_table[Short_Desc],'Short Desc Summary'!$B30,bb_table[Date],'Short Desc Summary'!F$2)</f>
        <v>0</v>
      </c>
      <c r="G30" s="8">
        <f>SUMIFS(dis_table[Amount],dis_table[Short_Desc],'Short Desc Summary'!$B30,dis_table[Date],'Short Desc Summary'!G$2) +SUMIFS(cc_table[Amount],cc_table[Short_Desc],'Short Desc Summary'!$B30,cc_table[Date],'Short Desc Summary'!G$2) +SUMIFS(bb_table[Amount],bb_table[Short_Desc],'Short Desc Summary'!$B30,bb_table[Date],'Short Desc Summary'!G$2)</f>
        <v>0</v>
      </c>
      <c r="H30" s="8">
        <f>SUMIFS(dis_table[Amount],dis_table[Short_Desc],'Short Desc Summary'!$B30,dis_table[Date],'Short Desc Summary'!H$2) +SUMIFS(cc_table[Amount],cc_table[Short_Desc],'Short Desc Summary'!$B30,cc_table[Date],'Short Desc Summary'!H$2) +SUMIFS(bb_table[Amount],bb_table[Short_Desc],'Short Desc Summary'!$B30,bb_table[Date],'Short Desc Summary'!H$2)</f>
        <v>0</v>
      </c>
      <c r="I30" s="8">
        <f>SUMIFS(dis_table[Amount],dis_table[Short_Desc],'Short Desc Summary'!$B30,dis_table[Date],'Short Desc Summary'!I$2) +SUMIFS(cc_table[Amount],cc_table[Short_Desc],'Short Desc Summary'!$B30,cc_table[Date],'Short Desc Summary'!I$2) +SUMIFS(bb_table[Amount],bb_table[Short_Desc],'Short Desc Summary'!$B30,bb_table[Date],'Short Desc Summary'!I$2)</f>
        <v>0</v>
      </c>
      <c r="J30" s="8">
        <f>SUMIFS(dis_table[Amount],dis_table[Short_Desc],'Short Desc Summary'!$B30,dis_table[Date],'Short Desc Summary'!J$2) +SUMIFS(cc_table[Amount],cc_table[Short_Desc],'Short Desc Summary'!$B30,cc_table[Date],'Short Desc Summary'!J$2) +SUMIFS(bb_table[Amount],bb_table[Short_Desc],'Short Desc Summary'!$B30,bb_table[Date],'Short Desc Summary'!J$2)</f>
        <v>0</v>
      </c>
    </row>
    <row r="31" spans="1:10" x14ac:dyDescent="0.25">
      <c r="A31" t="str">
        <f>VLOOKUP(B31,dis_table[[#All],[Short_Desc]:[Category_2]],4,0)</f>
        <v>Personal_Spending</v>
      </c>
      <c r="B31" t="s">
        <v>197</v>
      </c>
      <c r="C31" t="str">
        <f>VLOOKUP(B31,dis_table[[#All],[Short_Desc]:[Reoccurring_Flag]],3,0)</f>
        <v>No</v>
      </c>
      <c r="D31" s="8">
        <f>SUMIFS(dis_table[Amount],dis_table[Short_Desc],'Short Desc Summary'!$B31,dis_table[Date],'Short Desc Summary'!D$2) +SUMIFS(cc_table[Amount],cc_table[Short_Desc],'Short Desc Summary'!$B31,cc_table[Date],'Short Desc Summary'!D$2) +SUMIFS(bb_table[Amount],bb_table[Short_Desc],'Short Desc Summary'!$B31,bb_table[Date],'Short Desc Summary'!D$2)</f>
        <v>0</v>
      </c>
      <c r="E31" s="8">
        <f>SUMIFS(dis_table[Amount],dis_table[Short_Desc],'Short Desc Summary'!$B31,dis_table[Date],'Short Desc Summary'!E$2) +SUMIFS(cc_table[Amount],cc_table[Short_Desc],'Short Desc Summary'!$B31,cc_table[Date],'Short Desc Summary'!E$2) +SUMIFS(bb_table[Amount],bb_table[Short_Desc],'Short Desc Summary'!$B31,bb_table[Date],'Short Desc Summary'!E$2)</f>
        <v>0</v>
      </c>
      <c r="F31" s="8">
        <f>SUMIFS(dis_table[Amount],dis_table[Short_Desc],'Short Desc Summary'!$B31,dis_table[Date],'Short Desc Summary'!F$2) +SUMIFS(cc_table[Amount],cc_table[Short_Desc],'Short Desc Summary'!$B31,cc_table[Date],'Short Desc Summary'!F$2) +SUMIFS(bb_table[Amount],bb_table[Short_Desc],'Short Desc Summary'!$B31,bb_table[Date],'Short Desc Summary'!F$2)</f>
        <v>239.23</v>
      </c>
      <c r="G31" s="8">
        <f>SUMIFS(dis_table[Amount],dis_table[Short_Desc],'Short Desc Summary'!$B31,dis_table[Date],'Short Desc Summary'!G$2) +SUMIFS(cc_table[Amount],cc_table[Short_Desc],'Short Desc Summary'!$B31,cc_table[Date],'Short Desc Summary'!G$2) +SUMIFS(bb_table[Amount],bb_table[Short_Desc],'Short Desc Summary'!$B31,bb_table[Date],'Short Desc Summary'!G$2)</f>
        <v>0</v>
      </c>
      <c r="H31" s="8">
        <f>SUMIFS(dis_table[Amount],dis_table[Short_Desc],'Short Desc Summary'!$B31,dis_table[Date],'Short Desc Summary'!H$2) +SUMIFS(cc_table[Amount],cc_table[Short_Desc],'Short Desc Summary'!$B31,cc_table[Date],'Short Desc Summary'!H$2) +SUMIFS(bb_table[Amount],bb_table[Short_Desc],'Short Desc Summary'!$B31,bb_table[Date],'Short Desc Summary'!H$2)</f>
        <v>0</v>
      </c>
      <c r="I31" s="8">
        <f>SUMIFS(dis_table[Amount],dis_table[Short_Desc],'Short Desc Summary'!$B31,dis_table[Date],'Short Desc Summary'!I$2) +SUMIFS(cc_table[Amount],cc_table[Short_Desc],'Short Desc Summary'!$B31,cc_table[Date],'Short Desc Summary'!I$2) +SUMIFS(bb_table[Amount],bb_table[Short_Desc],'Short Desc Summary'!$B31,bb_table[Date],'Short Desc Summary'!I$2)</f>
        <v>0</v>
      </c>
      <c r="J31" s="8">
        <f>SUMIFS(dis_table[Amount],dis_table[Short_Desc],'Short Desc Summary'!$B31,dis_table[Date],'Short Desc Summary'!J$2) +SUMIFS(cc_table[Amount],cc_table[Short_Desc],'Short Desc Summary'!$B31,cc_table[Date],'Short Desc Summary'!J$2) +SUMIFS(bb_table[Amount],bb_table[Short_Desc],'Short Desc Summary'!$B31,bb_table[Date],'Short Desc Summary'!J$2)</f>
        <v>0</v>
      </c>
    </row>
    <row r="32" spans="1:10" x14ac:dyDescent="0.25">
      <c r="A32" t="str">
        <f>VLOOKUP(B32,dis_table[[#All],[Short_Desc]:[Category_2]],4,0)</f>
        <v>Personal_Spending</v>
      </c>
      <c r="B32" t="s">
        <v>212</v>
      </c>
      <c r="C32" t="str">
        <f>VLOOKUP(B32,dis_table[[#All],[Short_Desc]:[Reoccurring_Flag]],3,0)</f>
        <v>No</v>
      </c>
      <c r="D32" s="8">
        <f>SUMIFS(dis_table[Amount],dis_table[Short_Desc],'Short Desc Summary'!$B32,dis_table[Date],'Short Desc Summary'!D$2) +SUMIFS(cc_table[Amount],cc_table[Short_Desc],'Short Desc Summary'!$B32,cc_table[Date],'Short Desc Summary'!D$2) +SUMIFS(bb_table[Amount],bb_table[Short_Desc],'Short Desc Summary'!$B32,bb_table[Date],'Short Desc Summary'!D$2)</f>
        <v>0</v>
      </c>
      <c r="E32" s="8">
        <f>SUMIFS(dis_table[Amount],dis_table[Short_Desc],'Short Desc Summary'!$B32,dis_table[Date],'Short Desc Summary'!E$2) +SUMIFS(cc_table[Amount],cc_table[Short_Desc],'Short Desc Summary'!$B32,cc_table[Date],'Short Desc Summary'!E$2) +SUMIFS(bb_table[Amount],bb_table[Short_Desc],'Short Desc Summary'!$B32,bb_table[Date],'Short Desc Summary'!E$2)</f>
        <v>0</v>
      </c>
      <c r="F32" s="8">
        <f>SUMIFS(dis_table[Amount],dis_table[Short_Desc],'Short Desc Summary'!$B32,dis_table[Date],'Short Desc Summary'!F$2) +SUMIFS(cc_table[Amount],cc_table[Short_Desc],'Short Desc Summary'!$B32,cc_table[Date],'Short Desc Summary'!F$2) +SUMIFS(bb_table[Amount],bb_table[Short_Desc],'Short Desc Summary'!$B32,bb_table[Date],'Short Desc Summary'!F$2)</f>
        <v>80.22</v>
      </c>
      <c r="G32" s="8">
        <f>SUMIFS(dis_table[Amount],dis_table[Short_Desc],'Short Desc Summary'!$B32,dis_table[Date],'Short Desc Summary'!G$2) +SUMIFS(cc_table[Amount],cc_table[Short_Desc],'Short Desc Summary'!$B32,cc_table[Date],'Short Desc Summary'!G$2) +SUMIFS(bb_table[Amount],bb_table[Short_Desc],'Short Desc Summary'!$B32,bb_table[Date],'Short Desc Summary'!G$2)</f>
        <v>0</v>
      </c>
      <c r="H32" s="8">
        <f>SUMIFS(dis_table[Amount],dis_table[Short_Desc],'Short Desc Summary'!$B32,dis_table[Date],'Short Desc Summary'!H$2) +SUMIFS(cc_table[Amount],cc_table[Short_Desc],'Short Desc Summary'!$B32,cc_table[Date],'Short Desc Summary'!H$2) +SUMIFS(bb_table[Amount],bb_table[Short_Desc],'Short Desc Summary'!$B32,bb_table[Date],'Short Desc Summary'!H$2)</f>
        <v>80.599999999999994</v>
      </c>
      <c r="I32" s="8">
        <f>SUMIFS(dis_table[Amount],dis_table[Short_Desc],'Short Desc Summary'!$B32,dis_table[Date],'Short Desc Summary'!I$2) +SUMIFS(cc_table[Amount],cc_table[Short_Desc],'Short Desc Summary'!$B32,cc_table[Date],'Short Desc Summary'!I$2) +SUMIFS(bb_table[Amount],bb_table[Short_Desc],'Short Desc Summary'!$B32,bb_table[Date],'Short Desc Summary'!I$2)</f>
        <v>0</v>
      </c>
      <c r="J32" s="8">
        <f>SUMIFS(dis_table[Amount],dis_table[Short_Desc],'Short Desc Summary'!$B32,dis_table[Date],'Short Desc Summary'!J$2) +SUMIFS(cc_table[Amount],cc_table[Short_Desc],'Short Desc Summary'!$B32,cc_table[Date],'Short Desc Summary'!J$2) +SUMIFS(bb_table[Amount],bb_table[Short_Desc],'Short Desc Summary'!$B32,bb_table[Date],'Short Desc Summary'!J$2)</f>
        <v>0</v>
      </c>
    </row>
    <row r="33" spans="1:10" x14ac:dyDescent="0.25">
      <c r="A33" t="str">
        <f>VLOOKUP(B33,dis_table[[#All],[Short_Desc]:[Category_2]],4,0)</f>
        <v>Personal_Spending</v>
      </c>
      <c r="B33" t="s">
        <v>223</v>
      </c>
      <c r="C33" t="str">
        <f>VLOOKUP(B33,dis_table[[#All],[Short_Desc]:[Reoccurring_Flag]],3,0)</f>
        <v>No</v>
      </c>
      <c r="D33" s="8">
        <f>SUMIFS(dis_table[Amount],dis_table[Short_Desc],'Short Desc Summary'!$B33,dis_table[Date],'Short Desc Summary'!D$2) +SUMIFS(cc_table[Amount],cc_table[Short_Desc],'Short Desc Summary'!$B33,cc_table[Date],'Short Desc Summary'!D$2) +SUMIFS(bb_table[Amount],bb_table[Short_Desc],'Short Desc Summary'!$B33,bb_table[Date],'Short Desc Summary'!D$2)</f>
        <v>0</v>
      </c>
      <c r="E33" s="8">
        <f>SUMIFS(dis_table[Amount],dis_table[Short_Desc],'Short Desc Summary'!$B33,dis_table[Date],'Short Desc Summary'!E$2) +SUMIFS(cc_table[Amount],cc_table[Short_Desc],'Short Desc Summary'!$B33,cc_table[Date],'Short Desc Summary'!E$2) +SUMIFS(bb_table[Amount],bb_table[Short_Desc],'Short Desc Summary'!$B33,bb_table[Date],'Short Desc Summary'!E$2)</f>
        <v>0</v>
      </c>
      <c r="F33" s="8">
        <f>SUMIFS(dis_table[Amount],dis_table[Short_Desc],'Short Desc Summary'!$B33,dis_table[Date],'Short Desc Summary'!F$2) +SUMIFS(cc_table[Amount],cc_table[Short_Desc],'Short Desc Summary'!$B33,cc_table[Date],'Short Desc Summary'!F$2) +SUMIFS(bb_table[Amount],bb_table[Short_Desc],'Short Desc Summary'!$B33,bb_table[Date],'Short Desc Summary'!F$2)</f>
        <v>277.61</v>
      </c>
      <c r="G33" s="8">
        <f>SUMIFS(dis_table[Amount],dis_table[Short_Desc],'Short Desc Summary'!$B33,dis_table[Date],'Short Desc Summary'!G$2) +SUMIFS(cc_table[Amount],cc_table[Short_Desc],'Short Desc Summary'!$B33,cc_table[Date],'Short Desc Summary'!G$2) +SUMIFS(bb_table[Amount],bb_table[Short_Desc],'Short Desc Summary'!$B33,bb_table[Date],'Short Desc Summary'!G$2)</f>
        <v>49.48</v>
      </c>
      <c r="H33" s="8">
        <f>SUMIFS(dis_table[Amount],dis_table[Short_Desc],'Short Desc Summary'!$B33,dis_table[Date],'Short Desc Summary'!H$2) +SUMIFS(cc_table[Amount],cc_table[Short_Desc],'Short Desc Summary'!$B33,cc_table[Date],'Short Desc Summary'!H$2) +SUMIFS(bb_table[Amount],bb_table[Short_Desc],'Short Desc Summary'!$B33,bb_table[Date],'Short Desc Summary'!H$2)</f>
        <v>65.180000000000007</v>
      </c>
      <c r="I33" s="8">
        <f>SUMIFS(dis_table[Amount],dis_table[Short_Desc],'Short Desc Summary'!$B33,dis_table[Date],'Short Desc Summary'!I$2) +SUMIFS(cc_table[Amount],cc_table[Short_Desc],'Short Desc Summary'!$B33,cc_table[Date],'Short Desc Summary'!I$2) +SUMIFS(bb_table[Amount],bb_table[Short_Desc],'Short Desc Summary'!$B33,bb_table[Date],'Short Desc Summary'!I$2)</f>
        <v>30.87</v>
      </c>
      <c r="J33" s="8">
        <f>SUMIFS(dis_table[Amount],dis_table[Short_Desc],'Short Desc Summary'!$B33,dis_table[Date],'Short Desc Summary'!J$2) +SUMIFS(cc_table[Amount],cc_table[Short_Desc],'Short Desc Summary'!$B33,cc_table[Date],'Short Desc Summary'!J$2) +SUMIFS(bb_table[Amount],bb_table[Short_Desc],'Short Desc Summary'!$B33,bb_table[Date],'Short Desc Summary'!J$2)</f>
        <v>172.49</v>
      </c>
    </row>
    <row r="34" spans="1:10" x14ac:dyDescent="0.25">
      <c r="A34" t="str">
        <f>VLOOKUP(B34,dis_table[[#All],[Short_Desc]:[Category_2]],4,0)</f>
        <v>Personal_Spending</v>
      </c>
      <c r="B34" t="s">
        <v>225</v>
      </c>
      <c r="C34" t="str">
        <f>VLOOKUP(B34,dis_table[[#All],[Short_Desc]:[Reoccurring_Flag]],3,0)</f>
        <v>No</v>
      </c>
      <c r="D34" s="8">
        <f>SUMIFS(dis_table[Amount],dis_table[Short_Desc],'Short Desc Summary'!$B34,dis_table[Date],'Short Desc Summary'!D$2) +SUMIFS(cc_table[Amount],cc_table[Short_Desc],'Short Desc Summary'!$B34,cc_table[Date],'Short Desc Summary'!D$2) +SUMIFS(bb_table[Amount],bb_table[Short_Desc],'Short Desc Summary'!$B34,bb_table[Date],'Short Desc Summary'!D$2)</f>
        <v>0</v>
      </c>
      <c r="E34" s="8">
        <f>SUMIFS(dis_table[Amount],dis_table[Short_Desc],'Short Desc Summary'!$B34,dis_table[Date],'Short Desc Summary'!E$2) +SUMIFS(cc_table[Amount],cc_table[Short_Desc],'Short Desc Summary'!$B34,cc_table[Date],'Short Desc Summary'!E$2) +SUMIFS(bb_table[Amount],bb_table[Short_Desc],'Short Desc Summary'!$B34,bb_table[Date],'Short Desc Summary'!E$2)</f>
        <v>0</v>
      </c>
      <c r="F34" s="8">
        <f>SUMIFS(dis_table[Amount],dis_table[Short_Desc],'Short Desc Summary'!$B34,dis_table[Date],'Short Desc Summary'!F$2) +SUMIFS(cc_table[Amount],cc_table[Short_Desc],'Short Desc Summary'!$B34,cc_table[Date],'Short Desc Summary'!F$2) +SUMIFS(bb_table[Amount],bb_table[Short_Desc],'Short Desc Summary'!$B34,bb_table[Date],'Short Desc Summary'!F$2)</f>
        <v>47.51</v>
      </c>
      <c r="G34" s="8">
        <f>SUMIFS(dis_table[Amount],dis_table[Short_Desc],'Short Desc Summary'!$B34,dis_table[Date],'Short Desc Summary'!G$2) +SUMIFS(cc_table[Amount],cc_table[Short_Desc],'Short Desc Summary'!$B34,cc_table[Date],'Short Desc Summary'!G$2) +SUMIFS(bb_table[Amount],bb_table[Short_Desc],'Short Desc Summary'!$B34,bb_table[Date],'Short Desc Summary'!G$2)</f>
        <v>0</v>
      </c>
      <c r="H34" s="8">
        <f>SUMIFS(dis_table[Amount],dis_table[Short_Desc],'Short Desc Summary'!$B34,dis_table[Date],'Short Desc Summary'!H$2) +SUMIFS(cc_table[Amount],cc_table[Short_Desc],'Short Desc Summary'!$B34,cc_table[Date],'Short Desc Summary'!H$2) +SUMIFS(bb_table[Amount],bb_table[Short_Desc],'Short Desc Summary'!$B34,bb_table[Date],'Short Desc Summary'!H$2)</f>
        <v>0</v>
      </c>
      <c r="I34" s="8">
        <f>SUMIFS(dis_table[Amount],dis_table[Short_Desc],'Short Desc Summary'!$B34,dis_table[Date],'Short Desc Summary'!I$2) +SUMIFS(cc_table[Amount],cc_table[Short_Desc],'Short Desc Summary'!$B34,cc_table[Date],'Short Desc Summary'!I$2) +SUMIFS(bb_table[Amount],bb_table[Short_Desc],'Short Desc Summary'!$B34,bb_table[Date],'Short Desc Summary'!I$2)</f>
        <v>0</v>
      </c>
      <c r="J34" s="8">
        <f>SUMIFS(dis_table[Amount],dis_table[Short_Desc],'Short Desc Summary'!$B34,dis_table[Date],'Short Desc Summary'!J$2) +SUMIFS(cc_table[Amount],cc_table[Short_Desc],'Short Desc Summary'!$B34,cc_table[Date],'Short Desc Summary'!J$2) +SUMIFS(bb_table[Amount],bb_table[Short_Desc],'Short Desc Summary'!$B34,bb_table[Date],'Short Desc Summary'!J$2)</f>
        <v>0</v>
      </c>
    </row>
    <row r="35" spans="1:10" x14ac:dyDescent="0.25">
      <c r="A35" t="str">
        <f>VLOOKUP(B35,dis_table[[#All],[Short_Desc]:[Category_2]],4,0)</f>
        <v>Personal_Spending</v>
      </c>
      <c r="B35" t="s">
        <v>277</v>
      </c>
      <c r="C35" t="str">
        <f>VLOOKUP(B35,dis_table[[#All],[Short_Desc]:[Reoccurring_Flag]],3,0)</f>
        <v>No</v>
      </c>
      <c r="D35" s="8">
        <f>SUMIFS(dis_table[Amount],dis_table[Short_Desc],'Short Desc Summary'!$B35,dis_table[Date],'Short Desc Summary'!D$2) +SUMIFS(cc_table[Amount],cc_table[Short_Desc],'Short Desc Summary'!$B35,cc_table[Date],'Short Desc Summary'!D$2) +SUMIFS(bb_table[Amount],bb_table[Short_Desc],'Short Desc Summary'!$B35,bb_table[Date],'Short Desc Summary'!D$2)</f>
        <v>0</v>
      </c>
      <c r="E35" s="8">
        <f>SUMIFS(dis_table[Amount],dis_table[Short_Desc],'Short Desc Summary'!$B35,dis_table[Date],'Short Desc Summary'!E$2) +SUMIFS(cc_table[Amount],cc_table[Short_Desc],'Short Desc Summary'!$B35,cc_table[Date],'Short Desc Summary'!E$2) +SUMIFS(bb_table[Amount],bb_table[Short_Desc],'Short Desc Summary'!$B35,bb_table[Date],'Short Desc Summary'!E$2)</f>
        <v>0</v>
      </c>
      <c r="F35" s="8">
        <f>SUMIFS(dis_table[Amount],dis_table[Short_Desc],'Short Desc Summary'!$B35,dis_table[Date],'Short Desc Summary'!F$2) +SUMIFS(cc_table[Amount],cc_table[Short_Desc],'Short Desc Summary'!$B35,cc_table[Date],'Short Desc Summary'!F$2) +SUMIFS(bb_table[Amount],bb_table[Short_Desc],'Short Desc Summary'!$B35,bb_table[Date],'Short Desc Summary'!F$2)</f>
        <v>0</v>
      </c>
      <c r="G35" s="8">
        <f>SUMIFS(dis_table[Amount],dis_table[Short_Desc],'Short Desc Summary'!$B35,dis_table[Date],'Short Desc Summary'!G$2) +SUMIFS(cc_table[Amount],cc_table[Short_Desc],'Short Desc Summary'!$B35,cc_table[Date],'Short Desc Summary'!G$2) +SUMIFS(bb_table[Amount],bb_table[Short_Desc],'Short Desc Summary'!$B35,bb_table[Date],'Short Desc Summary'!G$2)</f>
        <v>43.43</v>
      </c>
      <c r="H35" s="8">
        <f>SUMIFS(dis_table[Amount],dis_table[Short_Desc],'Short Desc Summary'!$B35,dis_table[Date],'Short Desc Summary'!H$2) +SUMIFS(cc_table[Amount],cc_table[Short_Desc],'Short Desc Summary'!$B35,cc_table[Date],'Short Desc Summary'!H$2) +SUMIFS(bb_table[Amount],bb_table[Short_Desc],'Short Desc Summary'!$B35,bb_table[Date],'Short Desc Summary'!H$2)</f>
        <v>43.43</v>
      </c>
      <c r="I35" s="8">
        <f>SUMIFS(dis_table[Amount],dis_table[Short_Desc],'Short Desc Summary'!$B35,dis_table[Date],'Short Desc Summary'!I$2) +SUMIFS(cc_table[Amount],cc_table[Short_Desc],'Short Desc Summary'!$B35,cc_table[Date],'Short Desc Summary'!I$2) +SUMIFS(bb_table[Amount],bb_table[Short_Desc],'Short Desc Summary'!$B35,bb_table[Date],'Short Desc Summary'!I$2)</f>
        <v>0</v>
      </c>
      <c r="J35" s="8">
        <f>SUMIFS(dis_table[Amount],dis_table[Short_Desc],'Short Desc Summary'!$B35,dis_table[Date],'Short Desc Summary'!J$2) +SUMIFS(cc_table[Amount],cc_table[Short_Desc],'Short Desc Summary'!$B35,cc_table[Date],'Short Desc Summary'!J$2) +SUMIFS(bb_table[Amount],bb_table[Short_Desc],'Short Desc Summary'!$B35,bb_table[Date],'Short Desc Summary'!J$2)</f>
        <v>0</v>
      </c>
    </row>
    <row r="36" spans="1:10" x14ac:dyDescent="0.25">
      <c r="A36" t="str">
        <f>VLOOKUP(B36,dis_table[[#All],[Short_Desc]:[Category_2]],4,0)</f>
        <v>Personal_Spending</v>
      </c>
      <c r="B36" t="s">
        <v>385</v>
      </c>
      <c r="C36" t="str">
        <f>VLOOKUP(B36,dis_table[[#All],[Short_Desc]:[Reoccurring_Flag]],3,0)</f>
        <v>No</v>
      </c>
      <c r="D36" s="8">
        <f>SUMIFS(dis_table[Amount],dis_table[Short_Desc],'Short Desc Summary'!$B36,dis_table[Date],'Short Desc Summary'!D$2) +SUMIFS(cc_table[Amount],cc_table[Short_Desc],'Short Desc Summary'!$B36,cc_table[Date],'Short Desc Summary'!D$2) +SUMIFS(bb_table[Amount],bb_table[Short_Desc],'Short Desc Summary'!$B36,bb_table[Date],'Short Desc Summary'!D$2)</f>
        <v>0</v>
      </c>
      <c r="E36" s="8">
        <f>SUMIFS(dis_table[Amount],dis_table[Short_Desc],'Short Desc Summary'!$B36,dis_table[Date],'Short Desc Summary'!E$2) +SUMIFS(cc_table[Amount],cc_table[Short_Desc],'Short Desc Summary'!$B36,cc_table[Date],'Short Desc Summary'!E$2) +SUMIFS(bb_table[Amount],bb_table[Short_Desc],'Short Desc Summary'!$B36,bb_table[Date],'Short Desc Summary'!E$2)</f>
        <v>0</v>
      </c>
      <c r="F36" s="8">
        <f>SUMIFS(dis_table[Amount],dis_table[Short_Desc],'Short Desc Summary'!$B36,dis_table[Date],'Short Desc Summary'!F$2) +SUMIFS(cc_table[Amount],cc_table[Short_Desc],'Short Desc Summary'!$B36,cc_table[Date],'Short Desc Summary'!F$2) +SUMIFS(bb_table[Amount],bb_table[Short_Desc],'Short Desc Summary'!$B36,bb_table[Date],'Short Desc Summary'!F$2)</f>
        <v>0</v>
      </c>
      <c r="G36" s="8">
        <f>SUMIFS(dis_table[Amount],dis_table[Short_Desc],'Short Desc Summary'!$B36,dis_table[Date],'Short Desc Summary'!G$2) +SUMIFS(cc_table[Amount],cc_table[Short_Desc],'Short Desc Summary'!$B36,cc_table[Date],'Short Desc Summary'!G$2) +SUMIFS(bb_table[Amount],bb_table[Short_Desc],'Short Desc Summary'!$B36,bb_table[Date],'Short Desc Summary'!G$2)</f>
        <v>0</v>
      </c>
      <c r="H36" s="8">
        <f>SUMIFS(dis_table[Amount],dis_table[Short_Desc],'Short Desc Summary'!$B36,dis_table[Date],'Short Desc Summary'!H$2) +SUMIFS(cc_table[Amount],cc_table[Short_Desc],'Short Desc Summary'!$B36,cc_table[Date],'Short Desc Summary'!H$2) +SUMIFS(bb_table[Amount],bb_table[Short_Desc],'Short Desc Summary'!$B36,bb_table[Date],'Short Desc Summary'!H$2)</f>
        <v>0</v>
      </c>
      <c r="I36" s="8">
        <f>SUMIFS(dis_table[Amount],dis_table[Short_Desc],'Short Desc Summary'!$B36,dis_table[Date],'Short Desc Summary'!I$2) +SUMIFS(cc_table[Amount],cc_table[Short_Desc],'Short Desc Summary'!$B36,cc_table[Date],'Short Desc Summary'!I$2) +SUMIFS(bb_table[Amount],bb_table[Short_Desc],'Short Desc Summary'!$B36,bb_table[Date],'Short Desc Summary'!I$2)</f>
        <v>132.62</v>
      </c>
      <c r="J36" s="8">
        <f>SUMIFS(dis_table[Amount],dis_table[Short_Desc],'Short Desc Summary'!$B36,dis_table[Date],'Short Desc Summary'!J$2) +SUMIFS(cc_table[Amount],cc_table[Short_Desc],'Short Desc Summary'!$B36,cc_table[Date],'Short Desc Summary'!J$2) +SUMIFS(bb_table[Amount],bb_table[Short_Desc],'Short Desc Summary'!$B36,bb_table[Date],'Short Desc Summary'!J$2)</f>
        <v>0</v>
      </c>
    </row>
    <row r="37" spans="1:10" x14ac:dyDescent="0.25">
      <c r="A37" t="str">
        <f>VLOOKUP(B37,dis_table[[#All],[Short_Desc]:[Category_2]],4,0)</f>
        <v>Personal_Spending</v>
      </c>
      <c r="B37" t="s">
        <v>405</v>
      </c>
      <c r="C37" t="str">
        <f>VLOOKUP(B37,dis_table[[#All],[Short_Desc]:[Reoccurring_Flag]],3,0)</f>
        <v>No</v>
      </c>
      <c r="D37" s="8">
        <f>SUMIFS(dis_table[Amount],dis_table[Short_Desc],'Short Desc Summary'!$B37,dis_table[Date],'Short Desc Summary'!D$2) +SUMIFS(cc_table[Amount],cc_table[Short_Desc],'Short Desc Summary'!$B37,cc_table[Date],'Short Desc Summary'!D$2) +SUMIFS(bb_table[Amount],bb_table[Short_Desc],'Short Desc Summary'!$B37,bb_table[Date],'Short Desc Summary'!D$2)</f>
        <v>0</v>
      </c>
      <c r="E37" s="8">
        <f>SUMIFS(dis_table[Amount],dis_table[Short_Desc],'Short Desc Summary'!$B37,dis_table[Date],'Short Desc Summary'!E$2) +SUMIFS(cc_table[Amount],cc_table[Short_Desc],'Short Desc Summary'!$B37,cc_table[Date],'Short Desc Summary'!E$2) +SUMIFS(bb_table[Amount],bb_table[Short_Desc],'Short Desc Summary'!$B37,bb_table[Date],'Short Desc Summary'!E$2)</f>
        <v>0</v>
      </c>
      <c r="F37" s="8">
        <f>SUMIFS(dis_table[Amount],dis_table[Short_Desc],'Short Desc Summary'!$B37,dis_table[Date],'Short Desc Summary'!F$2) +SUMIFS(cc_table[Amount],cc_table[Short_Desc],'Short Desc Summary'!$B37,cc_table[Date],'Short Desc Summary'!F$2) +SUMIFS(bb_table[Amount],bb_table[Short_Desc],'Short Desc Summary'!$B37,bb_table[Date],'Short Desc Summary'!F$2)</f>
        <v>0</v>
      </c>
      <c r="G37" s="8">
        <f>SUMIFS(dis_table[Amount],dis_table[Short_Desc],'Short Desc Summary'!$B37,dis_table[Date],'Short Desc Summary'!G$2) +SUMIFS(cc_table[Amount],cc_table[Short_Desc],'Short Desc Summary'!$B37,cc_table[Date],'Short Desc Summary'!G$2) +SUMIFS(bb_table[Amount],bb_table[Short_Desc],'Short Desc Summary'!$B37,bb_table[Date],'Short Desc Summary'!G$2)</f>
        <v>0</v>
      </c>
      <c r="H37" s="8">
        <f>SUMIFS(dis_table[Amount],dis_table[Short_Desc],'Short Desc Summary'!$B37,dis_table[Date],'Short Desc Summary'!H$2) +SUMIFS(cc_table[Amount],cc_table[Short_Desc],'Short Desc Summary'!$B37,cc_table[Date],'Short Desc Summary'!H$2) +SUMIFS(bb_table[Amount],bb_table[Short_Desc],'Short Desc Summary'!$B37,bb_table[Date],'Short Desc Summary'!H$2)</f>
        <v>0</v>
      </c>
      <c r="I37" s="8">
        <f>SUMIFS(dis_table[Amount],dis_table[Short_Desc],'Short Desc Summary'!$B37,dis_table[Date],'Short Desc Summary'!I$2) +SUMIFS(cc_table[Amount],cc_table[Short_Desc],'Short Desc Summary'!$B37,cc_table[Date],'Short Desc Summary'!I$2) +SUMIFS(bb_table[Amount],bb_table[Short_Desc],'Short Desc Summary'!$B37,bb_table[Date],'Short Desc Summary'!I$2)</f>
        <v>24.26</v>
      </c>
      <c r="J37" s="8">
        <f>SUMIFS(dis_table[Amount],dis_table[Short_Desc],'Short Desc Summary'!$B37,dis_table[Date],'Short Desc Summary'!J$2) +SUMIFS(cc_table[Amount],cc_table[Short_Desc],'Short Desc Summary'!$B37,cc_table[Date],'Short Desc Summary'!J$2) +SUMIFS(bb_table[Amount],bb_table[Short_Desc],'Short Desc Summary'!$B37,bb_table[Date],'Short Desc Summary'!J$2)</f>
        <v>0</v>
      </c>
    </row>
    <row r="38" spans="1:10" x14ac:dyDescent="0.25">
      <c r="A38" t="str">
        <f>VLOOKUP(B38,dis_table[[#All],[Short_Desc]:[Category_2]],4,0)</f>
        <v>Personal_Spending</v>
      </c>
      <c r="B38" t="s">
        <v>409</v>
      </c>
      <c r="C38" t="str">
        <f>VLOOKUP(B38,dis_table[[#All],[Short_Desc]:[Reoccurring_Flag]],3,0)</f>
        <v>Yes</v>
      </c>
      <c r="D38" s="8">
        <f>SUMIFS(dis_table[Amount],dis_table[Short_Desc],'Short Desc Summary'!$B38,dis_table[Date],'Short Desc Summary'!D$2) +SUMIFS(cc_table[Amount],cc_table[Short_Desc],'Short Desc Summary'!$B38,cc_table[Date],'Short Desc Summary'!D$2) +SUMIFS(bb_table[Amount],bb_table[Short_Desc],'Short Desc Summary'!$B38,bb_table[Date],'Short Desc Summary'!D$2)</f>
        <v>0</v>
      </c>
      <c r="E38" s="8">
        <f>SUMIFS(dis_table[Amount],dis_table[Short_Desc],'Short Desc Summary'!$B38,dis_table[Date],'Short Desc Summary'!E$2) +SUMIFS(cc_table[Amount],cc_table[Short_Desc],'Short Desc Summary'!$B38,cc_table[Date],'Short Desc Summary'!E$2) +SUMIFS(bb_table[Amount],bb_table[Short_Desc],'Short Desc Summary'!$B38,bb_table[Date],'Short Desc Summary'!E$2)</f>
        <v>0</v>
      </c>
      <c r="F38" s="8">
        <f>SUMIFS(dis_table[Amount],dis_table[Short_Desc],'Short Desc Summary'!$B38,dis_table[Date],'Short Desc Summary'!F$2) +SUMIFS(cc_table[Amount],cc_table[Short_Desc],'Short Desc Summary'!$B38,cc_table[Date],'Short Desc Summary'!F$2) +SUMIFS(bb_table[Amount],bb_table[Short_Desc],'Short Desc Summary'!$B38,bb_table[Date],'Short Desc Summary'!F$2)</f>
        <v>0</v>
      </c>
      <c r="G38" s="8">
        <f>SUMIFS(dis_table[Amount],dis_table[Short_Desc],'Short Desc Summary'!$B38,dis_table[Date],'Short Desc Summary'!G$2) +SUMIFS(cc_table[Amount],cc_table[Short_Desc],'Short Desc Summary'!$B38,cc_table[Date],'Short Desc Summary'!G$2) +SUMIFS(bb_table[Amount],bb_table[Short_Desc],'Short Desc Summary'!$B38,bb_table[Date],'Short Desc Summary'!G$2)</f>
        <v>0</v>
      </c>
      <c r="H38" s="8">
        <f>SUMIFS(dis_table[Amount],dis_table[Short_Desc],'Short Desc Summary'!$B38,dis_table[Date],'Short Desc Summary'!H$2) +SUMIFS(cc_table[Amount],cc_table[Short_Desc],'Short Desc Summary'!$B38,cc_table[Date],'Short Desc Summary'!H$2) +SUMIFS(bb_table[Amount],bb_table[Short_Desc],'Short Desc Summary'!$B38,bb_table[Date],'Short Desc Summary'!H$2)</f>
        <v>0</v>
      </c>
      <c r="I38" s="8">
        <f>SUMIFS(dis_table[Amount],dis_table[Short_Desc],'Short Desc Summary'!$B38,dis_table[Date],'Short Desc Summary'!I$2) +SUMIFS(cc_table[Amount],cc_table[Short_Desc],'Short Desc Summary'!$B38,cc_table[Date],'Short Desc Summary'!I$2) +SUMIFS(bb_table[Amount],bb_table[Short_Desc],'Short Desc Summary'!$B38,bb_table[Date],'Short Desc Summary'!I$2)</f>
        <v>25</v>
      </c>
      <c r="J38" s="8">
        <f>SUMIFS(dis_table[Amount],dis_table[Short_Desc],'Short Desc Summary'!$B38,dis_table[Date],'Short Desc Summary'!J$2) +SUMIFS(cc_table[Amount],cc_table[Short_Desc],'Short Desc Summary'!$B38,cc_table[Date],'Short Desc Summary'!J$2) +SUMIFS(bb_table[Amount],bb_table[Short_Desc],'Short Desc Summary'!$B38,bb_table[Date],'Short Desc Summary'!J$2)</f>
        <v>25</v>
      </c>
    </row>
    <row r="39" spans="1:10" x14ac:dyDescent="0.25">
      <c r="A39" t="str">
        <f>VLOOKUP(B39,dis_table[[#All],[Short_Desc]:[Category_2]],4,0)</f>
        <v>Recreation_Entertainment</v>
      </c>
      <c r="B39" t="s">
        <v>21</v>
      </c>
      <c r="C39" t="str">
        <f>VLOOKUP(B39,dis_table[[#All],[Short_Desc]:[Reoccurring_Flag]],3,0)</f>
        <v>Yes</v>
      </c>
      <c r="D39" s="8">
        <f>SUMIFS(dis_table[Amount],dis_table[Short_Desc],'Short Desc Summary'!$B39,dis_table[Date],'Short Desc Summary'!D$2) +SUMIFS(cc_table[Amount],cc_table[Short_Desc],'Short Desc Summary'!$B39,cc_table[Date],'Short Desc Summary'!D$2) +SUMIFS(bb_table[Amount],bb_table[Short_Desc],'Short Desc Summary'!$B39,bb_table[Date],'Short Desc Summary'!D$2)</f>
        <v>14.83</v>
      </c>
      <c r="E39" s="8">
        <f>SUMIFS(dis_table[Amount],dis_table[Short_Desc],'Short Desc Summary'!$B39,dis_table[Date],'Short Desc Summary'!E$2) +SUMIFS(cc_table[Amount],cc_table[Short_Desc],'Short Desc Summary'!$B39,cc_table[Date],'Short Desc Summary'!E$2) +SUMIFS(bb_table[Amount],bb_table[Short_Desc],'Short Desc Summary'!$B39,bb_table[Date],'Short Desc Summary'!E$2)</f>
        <v>14.83</v>
      </c>
      <c r="F39" s="8">
        <f>SUMIFS(dis_table[Amount],dis_table[Short_Desc],'Short Desc Summary'!$B39,dis_table[Date],'Short Desc Summary'!F$2) +SUMIFS(cc_table[Amount],cc_table[Short_Desc],'Short Desc Summary'!$B39,cc_table[Date],'Short Desc Summary'!F$2) +SUMIFS(bb_table[Amount],bb_table[Short_Desc],'Short Desc Summary'!$B39,bb_table[Date],'Short Desc Summary'!F$2)</f>
        <v>16.420000000000002</v>
      </c>
      <c r="G39" s="8">
        <f>SUMIFS(dis_table[Amount],dis_table[Short_Desc],'Short Desc Summary'!$B39,dis_table[Date],'Short Desc Summary'!G$2) +SUMIFS(cc_table[Amount],cc_table[Short_Desc],'Short Desc Summary'!$B39,cc_table[Date],'Short Desc Summary'!G$2) +SUMIFS(bb_table[Amount],bb_table[Short_Desc],'Short Desc Summary'!$B39,bb_table[Date],'Short Desc Summary'!G$2)</f>
        <v>16.420000000000002</v>
      </c>
      <c r="H39" s="8">
        <f>SUMIFS(dis_table[Amount],dis_table[Short_Desc],'Short Desc Summary'!$B39,dis_table[Date],'Short Desc Summary'!H$2) +SUMIFS(cc_table[Amount],cc_table[Short_Desc],'Short Desc Summary'!$B39,cc_table[Date],'Short Desc Summary'!H$2) +SUMIFS(bb_table[Amount],bb_table[Short_Desc],'Short Desc Summary'!$B39,bb_table[Date],'Short Desc Summary'!H$2)</f>
        <v>10.59</v>
      </c>
      <c r="I39" s="8">
        <f>SUMIFS(dis_table[Amount],dis_table[Short_Desc],'Short Desc Summary'!$B39,dis_table[Date],'Short Desc Summary'!I$2) +SUMIFS(cc_table[Amount],cc_table[Short_Desc],'Short Desc Summary'!$B39,cc_table[Date],'Short Desc Summary'!I$2) +SUMIFS(bb_table[Amount],bb_table[Short_Desc],'Short Desc Summary'!$B39,bb_table[Date],'Short Desc Summary'!I$2)</f>
        <v>10.59</v>
      </c>
      <c r="J39" s="8">
        <f>SUMIFS(dis_table[Amount],dis_table[Short_Desc],'Short Desc Summary'!$B39,dis_table[Date],'Short Desc Summary'!J$2) +SUMIFS(cc_table[Amount],cc_table[Short_Desc],'Short Desc Summary'!$B39,cc_table[Date],'Short Desc Summary'!J$2) +SUMIFS(bb_table[Amount],bb_table[Short_Desc],'Short Desc Summary'!$B39,bb_table[Date],'Short Desc Summary'!J$2)</f>
        <v>10.59</v>
      </c>
    </row>
    <row r="40" spans="1:10" x14ac:dyDescent="0.25">
      <c r="A40" t="str">
        <f>VLOOKUP(B40,dis_table[[#All],[Short_Desc]:[Category_2]],4,0)</f>
        <v>Recreation_Entertainment</v>
      </c>
      <c r="B40" t="s">
        <v>25</v>
      </c>
      <c r="C40" t="str">
        <f>VLOOKUP(B40,dis_table[[#All],[Short_Desc]:[Reoccurring_Flag]],3,0)</f>
        <v>Yes</v>
      </c>
      <c r="D40" s="8">
        <f>SUMIFS(dis_table[Amount],dis_table[Short_Desc],'Short Desc Summary'!$B40,dis_table[Date],'Short Desc Summary'!D$2) +SUMIFS(cc_table[Amount],cc_table[Short_Desc],'Short Desc Summary'!$B40,cc_table[Date],'Short Desc Summary'!D$2) +SUMIFS(bb_table[Amount],bb_table[Short_Desc],'Short Desc Summary'!$B40,bb_table[Date],'Short Desc Summary'!D$2)</f>
        <v>9.99</v>
      </c>
      <c r="E40" s="8">
        <f>SUMIFS(dis_table[Amount],dis_table[Short_Desc],'Short Desc Summary'!$B40,dis_table[Date],'Short Desc Summary'!E$2) +SUMIFS(cc_table[Amount],cc_table[Short_Desc],'Short Desc Summary'!$B40,cc_table[Date],'Short Desc Summary'!E$2) +SUMIFS(bb_table[Amount],bb_table[Short_Desc],'Short Desc Summary'!$B40,bb_table[Date],'Short Desc Summary'!E$2)</f>
        <v>9.99</v>
      </c>
      <c r="F40" s="8">
        <f>SUMIFS(dis_table[Amount],dis_table[Short_Desc],'Short Desc Summary'!$B40,dis_table[Date],'Short Desc Summary'!F$2) +SUMIFS(cc_table[Amount],cc_table[Short_Desc],'Short Desc Summary'!$B40,cc_table[Date],'Short Desc Summary'!F$2) +SUMIFS(bb_table[Amount],bb_table[Short_Desc],'Short Desc Summary'!$B40,bb_table[Date],'Short Desc Summary'!F$2)</f>
        <v>9.99</v>
      </c>
      <c r="G40" s="8">
        <f>SUMIFS(dis_table[Amount],dis_table[Short_Desc],'Short Desc Summary'!$B40,dis_table[Date],'Short Desc Summary'!G$2) +SUMIFS(cc_table[Amount],cc_table[Short_Desc],'Short Desc Summary'!$B40,cc_table[Date],'Short Desc Summary'!G$2) +SUMIFS(bb_table[Amount],bb_table[Short_Desc],'Short Desc Summary'!$B40,bb_table[Date],'Short Desc Summary'!G$2)</f>
        <v>9.99</v>
      </c>
      <c r="H40" s="8">
        <f>SUMIFS(dis_table[Amount],dis_table[Short_Desc],'Short Desc Summary'!$B40,dis_table[Date],'Short Desc Summary'!H$2) +SUMIFS(cc_table[Amount],cc_table[Short_Desc],'Short Desc Summary'!$B40,cc_table[Date],'Short Desc Summary'!H$2) +SUMIFS(bb_table[Amount],bb_table[Short_Desc],'Short Desc Summary'!$B40,bb_table[Date],'Short Desc Summary'!H$2)</f>
        <v>9.99</v>
      </c>
      <c r="I40" s="8">
        <f>SUMIFS(dis_table[Amount],dis_table[Short_Desc],'Short Desc Summary'!$B40,dis_table[Date],'Short Desc Summary'!I$2) +SUMIFS(cc_table[Amount],cc_table[Short_Desc],'Short Desc Summary'!$B40,cc_table[Date],'Short Desc Summary'!I$2) +SUMIFS(bb_table[Amount],bb_table[Short_Desc],'Short Desc Summary'!$B40,bb_table[Date],'Short Desc Summary'!I$2)</f>
        <v>9.99</v>
      </c>
      <c r="J40" s="8">
        <f>SUMIFS(dis_table[Amount],dis_table[Short_Desc],'Short Desc Summary'!$B40,dis_table[Date],'Short Desc Summary'!J$2) +SUMIFS(cc_table[Amount],cc_table[Short_Desc],'Short Desc Summary'!$B40,cc_table[Date],'Short Desc Summary'!J$2) +SUMIFS(bb_table[Amount],bb_table[Short_Desc],'Short Desc Summary'!$B40,bb_table[Date],'Short Desc Summary'!J$2)</f>
        <v>9.99</v>
      </c>
    </row>
    <row r="41" spans="1:10" x14ac:dyDescent="0.25">
      <c r="A41" t="str">
        <f>VLOOKUP(B41,dis_table[[#All],[Short_Desc]:[Category_2]],4,0)</f>
        <v>Recreation_Entertainment</v>
      </c>
      <c r="B41" t="s">
        <v>49</v>
      </c>
      <c r="C41" t="str">
        <f>VLOOKUP(B41,dis_table[[#All],[Short_Desc]:[Reoccurring_Flag]],3,0)</f>
        <v>Yes</v>
      </c>
      <c r="D41" s="8">
        <f>SUMIFS(dis_table[Amount],dis_table[Short_Desc],'Short Desc Summary'!$B41,dis_table[Date],'Short Desc Summary'!D$2) +SUMIFS(cc_table[Amount],cc_table[Short_Desc],'Short Desc Summary'!$B41,cc_table[Date],'Short Desc Summary'!D$2) +SUMIFS(bb_table[Amount],bb_table[Short_Desc],'Short Desc Summary'!$B41,bb_table[Date],'Short Desc Summary'!D$2)</f>
        <v>15.89</v>
      </c>
      <c r="E41" s="8">
        <f>SUMIFS(dis_table[Amount],dis_table[Short_Desc],'Short Desc Summary'!$B41,dis_table[Date],'Short Desc Summary'!E$2) +SUMIFS(cc_table[Amount],cc_table[Short_Desc],'Short Desc Summary'!$B41,cc_table[Date],'Short Desc Summary'!E$2) +SUMIFS(bb_table[Amount],bb_table[Short_Desc],'Short Desc Summary'!$B41,bb_table[Date],'Short Desc Summary'!E$2)</f>
        <v>15.89</v>
      </c>
      <c r="F41" s="8">
        <f>SUMIFS(dis_table[Amount],dis_table[Short_Desc],'Short Desc Summary'!$B41,dis_table[Date],'Short Desc Summary'!F$2) +SUMIFS(cc_table[Amount],cc_table[Short_Desc],'Short Desc Summary'!$B41,cc_table[Date],'Short Desc Summary'!F$2) +SUMIFS(bb_table[Amount],bb_table[Short_Desc],'Short Desc Summary'!$B41,bb_table[Date],'Short Desc Summary'!F$2)</f>
        <v>15.89</v>
      </c>
      <c r="G41" s="8">
        <f>SUMIFS(dis_table[Amount],dis_table[Short_Desc],'Short Desc Summary'!$B41,dis_table[Date],'Short Desc Summary'!G$2) +SUMIFS(cc_table[Amount],cc_table[Short_Desc],'Short Desc Summary'!$B41,cc_table[Date],'Short Desc Summary'!G$2) +SUMIFS(bb_table[Amount],bb_table[Short_Desc],'Short Desc Summary'!$B41,bb_table[Date],'Short Desc Summary'!G$2)</f>
        <v>15.89</v>
      </c>
      <c r="H41" s="8">
        <f>SUMIFS(dis_table[Amount],dis_table[Short_Desc],'Short Desc Summary'!$B41,dis_table[Date],'Short Desc Summary'!H$2) +SUMIFS(cc_table[Amount],cc_table[Short_Desc],'Short Desc Summary'!$B41,cc_table[Date],'Short Desc Summary'!H$2) +SUMIFS(bb_table[Amount],bb_table[Short_Desc],'Short Desc Summary'!$B41,bb_table[Date],'Short Desc Summary'!H$2)</f>
        <v>15.89</v>
      </c>
      <c r="I41" s="8">
        <f>SUMIFS(dis_table[Amount],dis_table[Short_Desc],'Short Desc Summary'!$B41,dis_table[Date],'Short Desc Summary'!I$2) +SUMIFS(cc_table[Amount],cc_table[Short_Desc],'Short Desc Summary'!$B41,cc_table[Date],'Short Desc Summary'!I$2) +SUMIFS(bb_table[Amount],bb_table[Short_Desc],'Short Desc Summary'!$B41,bb_table[Date],'Short Desc Summary'!I$2)</f>
        <v>15.89</v>
      </c>
      <c r="J41" s="8">
        <f>SUMIFS(dis_table[Amount],dis_table[Short_Desc],'Short Desc Summary'!$B41,dis_table[Date],'Short Desc Summary'!J$2) +SUMIFS(cc_table[Amount],cc_table[Short_Desc],'Short Desc Summary'!$B41,cc_table[Date],'Short Desc Summary'!J$2) +SUMIFS(bb_table[Amount],bb_table[Short_Desc],'Short Desc Summary'!$B41,bb_table[Date],'Short Desc Summary'!J$2)</f>
        <v>15.89</v>
      </c>
    </row>
    <row r="42" spans="1:10" x14ac:dyDescent="0.25">
      <c r="A42" t="str">
        <f>VLOOKUP(B42,dis_table[[#All],[Short_Desc]:[Category_2]],4,0)</f>
        <v>Recreation_Entertainment</v>
      </c>
      <c r="B42" t="s">
        <v>57</v>
      </c>
      <c r="C42" t="str">
        <f>VLOOKUP(B42,dis_table[[#All],[Short_Desc]:[Reoccurring_Flag]],3,0)</f>
        <v>No</v>
      </c>
      <c r="D42" s="8">
        <f>SUMIFS(dis_table[Amount],dis_table[Short_Desc],'Short Desc Summary'!$B42,dis_table[Date],'Short Desc Summary'!D$2) +SUMIFS(cc_table[Amount],cc_table[Short_Desc],'Short Desc Summary'!$B42,cc_table[Date],'Short Desc Summary'!D$2) +SUMIFS(bb_table[Amount],bb_table[Short_Desc],'Short Desc Summary'!$B42,bb_table[Date],'Short Desc Summary'!D$2)</f>
        <v>62</v>
      </c>
      <c r="E42" s="8">
        <f>SUMIFS(dis_table[Amount],dis_table[Short_Desc],'Short Desc Summary'!$B42,dis_table[Date],'Short Desc Summary'!E$2) +SUMIFS(cc_table[Amount],cc_table[Short_Desc],'Short Desc Summary'!$B42,cc_table[Date],'Short Desc Summary'!E$2) +SUMIFS(bb_table[Amount],bb_table[Short_Desc],'Short Desc Summary'!$B42,bb_table[Date],'Short Desc Summary'!E$2)</f>
        <v>0</v>
      </c>
      <c r="F42" s="8">
        <f>SUMIFS(dis_table[Amount],dis_table[Short_Desc],'Short Desc Summary'!$B42,dis_table[Date],'Short Desc Summary'!F$2) +SUMIFS(cc_table[Amount],cc_table[Short_Desc],'Short Desc Summary'!$B42,cc_table[Date],'Short Desc Summary'!F$2) +SUMIFS(bb_table[Amount],bb_table[Short_Desc],'Short Desc Summary'!$B42,bb_table[Date],'Short Desc Summary'!F$2)</f>
        <v>0</v>
      </c>
      <c r="G42" s="8">
        <f>SUMIFS(dis_table[Amount],dis_table[Short_Desc],'Short Desc Summary'!$B42,dis_table[Date],'Short Desc Summary'!G$2) +SUMIFS(cc_table[Amount],cc_table[Short_Desc],'Short Desc Summary'!$B42,cc_table[Date],'Short Desc Summary'!G$2) +SUMIFS(bb_table[Amount],bb_table[Short_Desc],'Short Desc Summary'!$B42,bb_table[Date],'Short Desc Summary'!G$2)</f>
        <v>0</v>
      </c>
      <c r="H42" s="8">
        <f>SUMIFS(dis_table[Amount],dis_table[Short_Desc],'Short Desc Summary'!$B42,dis_table[Date],'Short Desc Summary'!H$2) +SUMIFS(cc_table[Amount],cc_table[Short_Desc],'Short Desc Summary'!$B42,cc_table[Date],'Short Desc Summary'!H$2) +SUMIFS(bb_table[Amount],bb_table[Short_Desc],'Short Desc Summary'!$B42,bb_table[Date],'Short Desc Summary'!H$2)</f>
        <v>0</v>
      </c>
      <c r="I42" s="8">
        <f>SUMIFS(dis_table[Amount],dis_table[Short_Desc],'Short Desc Summary'!$B42,dis_table[Date],'Short Desc Summary'!I$2) +SUMIFS(cc_table[Amount],cc_table[Short_Desc],'Short Desc Summary'!$B42,cc_table[Date],'Short Desc Summary'!I$2) +SUMIFS(bb_table[Amount],bb_table[Short_Desc],'Short Desc Summary'!$B42,bb_table[Date],'Short Desc Summary'!I$2)</f>
        <v>0</v>
      </c>
      <c r="J42" s="8">
        <f>SUMIFS(dis_table[Amount],dis_table[Short_Desc],'Short Desc Summary'!$B42,dis_table[Date],'Short Desc Summary'!J$2) +SUMIFS(cc_table[Amount],cc_table[Short_Desc],'Short Desc Summary'!$B42,cc_table[Date],'Short Desc Summary'!J$2) +SUMIFS(bb_table[Amount],bb_table[Short_Desc],'Short Desc Summary'!$B42,bb_table[Date],'Short Desc Summary'!J$2)</f>
        <v>0</v>
      </c>
    </row>
    <row r="43" spans="1:10" x14ac:dyDescent="0.25">
      <c r="A43" t="str">
        <f>VLOOKUP(B43,dis_table[[#All],[Short_Desc]:[Category_2]],4,0)</f>
        <v>Recreation_Entertainment</v>
      </c>
      <c r="B43" t="s">
        <v>68</v>
      </c>
      <c r="C43" t="str">
        <f>VLOOKUP(B43,dis_table[[#All],[Short_Desc]:[Reoccurring_Flag]],3,0)</f>
        <v>Yes</v>
      </c>
      <c r="D43" s="8">
        <f>SUMIFS(dis_table[Amount],dis_table[Short_Desc],'Short Desc Summary'!$B43,dis_table[Date],'Short Desc Summary'!D$2) +SUMIFS(cc_table[Amount],cc_table[Short_Desc],'Short Desc Summary'!$B43,cc_table[Date],'Short Desc Summary'!D$2) +SUMIFS(bb_table[Amount],bb_table[Short_Desc],'Short Desc Summary'!$B43,bb_table[Date],'Short Desc Summary'!D$2)</f>
        <v>5.29</v>
      </c>
      <c r="E43" s="8">
        <f>SUMIFS(dis_table[Amount],dis_table[Short_Desc],'Short Desc Summary'!$B43,dis_table[Date],'Short Desc Summary'!E$2) +SUMIFS(cc_table[Amount],cc_table[Short_Desc],'Short Desc Summary'!$B43,cc_table[Date],'Short Desc Summary'!E$2) +SUMIFS(bb_table[Amount],bb_table[Short_Desc],'Short Desc Summary'!$B43,bb_table[Date],'Short Desc Summary'!E$2)</f>
        <v>5.29</v>
      </c>
      <c r="F43" s="8">
        <f>SUMIFS(dis_table[Amount],dis_table[Short_Desc],'Short Desc Summary'!$B43,dis_table[Date],'Short Desc Summary'!F$2) +SUMIFS(cc_table[Amount],cc_table[Short_Desc],'Short Desc Summary'!$B43,cc_table[Date],'Short Desc Summary'!F$2) +SUMIFS(bb_table[Amount],bb_table[Short_Desc],'Short Desc Summary'!$B43,bb_table[Date],'Short Desc Summary'!F$2)</f>
        <v>5.29</v>
      </c>
      <c r="G43" s="8">
        <f>SUMIFS(dis_table[Amount],dis_table[Short_Desc],'Short Desc Summary'!$B43,dis_table[Date],'Short Desc Summary'!G$2) +SUMIFS(cc_table[Amount],cc_table[Short_Desc],'Short Desc Summary'!$B43,cc_table[Date],'Short Desc Summary'!G$2) +SUMIFS(bb_table[Amount],bb_table[Short_Desc],'Short Desc Summary'!$B43,bb_table[Date],'Short Desc Summary'!G$2)</f>
        <v>5.29</v>
      </c>
      <c r="H43" s="8">
        <f>SUMIFS(dis_table[Amount],dis_table[Short_Desc],'Short Desc Summary'!$B43,dis_table[Date],'Short Desc Summary'!H$2) +SUMIFS(cc_table[Amount],cc_table[Short_Desc],'Short Desc Summary'!$B43,cc_table[Date],'Short Desc Summary'!H$2) +SUMIFS(bb_table[Amount],bb_table[Short_Desc],'Short Desc Summary'!$B43,bb_table[Date],'Short Desc Summary'!H$2)</f>
        <v>5.29</v>
      </c>
      <c r="I43" s="8">
        <f>SUMIFS(dis_table[Amount],dis_table[Short_Desc],'Short Desc Summary'!$B43,dis_table[Date],'Short Desc Summary'!I$2) +SUMIFS(cc_table[Amount],cc_table[Short_Desc],'Short Desc Summary'!$B43,cc_table[Date],'Short Desc Summary'!I$2) +SUMIFS(bb_table[Amount],bb_table[Short_Desc],'Short Desc Summary'!$B43,bb_table[Date],'Short Desc Summary'!I$2)</f>
        <v>5.29</v>
      </c>
      <c r="J43" s="8">
        <f>SUMIFS(dis_table[Amount],dis_table[Short_Desc],'Short Desc Summary'!$B43,dis_table[Date],'Short Desc Summary'!J$2) +SUMIFS(cc_table[Amount],cc_table[Short_Desc],'Short Desc Summary'!$B43,cc_table[Date],'Short Desc Summary'!J$2) +SUMIFS(bb_table[Amount],bb_table[Short_Desc],'Short Desc Summary'!$B43,bb_table[Date],'Short Desc Summary'!J$2)</f>
        <v>5.29</v>
      </c>
    </row>
    <row r="44" spans="1:10" x14ac:dyDescent="0.25">
      <c r="A44" t="str">
        <f>VLOOKUP(B44,dis_table[[#All],[Short_Desc]:[Category_2]],4,0)</f>
        <v>Recreation_Entertainment</v>
      </c>
      <c r="B44" t="s">
        <v>78</v>
      </c>
      <c r="C44" t="str">
        <f>VLOOKUP(B44,dis_table[[#All],[Short_Desc]:[Reoccurring_Flag]],3,0)</f>
        <v>Yes</v>
      </c>
      <c r="D44" s="8">
        <f>SUMIFS(dis_table[Amount],dis_table[Short_Desc],'Short Desc Summary'!$B44,dis_table[Date],'Short Desc Summary'!D$2) +SUMIFS(cc_table[Amount],cc_table[Short_Desc],'Short Desc Summary'!$B44,cc_table[Date],'Short Desc Summary'!D$2) +SUMIFS(bb_table[Amount],bb_table[Short_Desc],'Short Desc Summary'!$B44,bb_table[Date],'Short Desc Summary'!D$2)</f>
        <v>10</v>
      </c>
      <c r="E44" s="8">
        <f>SUMIFS(dis_table[Amount],dis_table[Short_Desc],'Short Desc Summary'!$B44,dis_table[Date],'Short Desc Summary'!E$2) +SUMIFS(cc_table[Amount],cc_table[Short_Desc],'Short Desc Summary'!$B44,cc_table[Date],'Short Desc Summary'!E$2) +SUMIFS(bb_table[Amount],bb_table[Short_Desc],'Short Desc Summary'!$B44,bb_table[Date],'Short Desc Summary'!E$2)</f>
        <v>10</v>
      </c>
      <c r="F44" s="8">
        <f>SUMIFS(dis_table[Amount],dis_table[Short_Desc],'Short Desc Summary'!$B44,dis_table[Date],'Short Desc Summary'!F$2) +SUMIFS(cc_table[Amount],cc_table[Short_Desc],'Short Desc Summary'!$B44,cc_table[Date],'Short Desc Summary'!F$2) +SUMIFS(bb_table[Amount],bb_table[Short_Desc],'Short Desc Summary'!$B44,bb_table[Date],'Short Desc Summary'!F$2)</f>
        <v>10</v>
      </c>
      <c r="G44" s="8">
        <f>SUMIFS(dis_table[Amount],dis_table[Short_Desc],'Short Desc Summary'!$B44,dis_table[Date],'Short Desc Summary'!G$2) +SUMIFS(cc_table[Amount],cc_table[Short_Desc],'Short Desc Summary'!$B44,cc_table[Date],'Short Desc Summary'!G$2) +SUMIFS(bb_table[Amount],bb_table[Short_Desc],'Short Desc Summary'!$B44,bb_table[Date],'Short Desc Summary'!G$2)</f>
        <v>10</v>
      </c>
      <c r="H44" s="8">
        <f>SUMIFS(dis_table[Amount],dis_table[Short_Desc],'Short Desc Summary'!$B44,dis_table[Date],'Short Desc Summary'!H$2) +SUMIFS(cc_table[Amount],cc_table[Short_Desc],'Short Desc Summary'!$B44,cc_table[Date],'Short Desc Summary'!H$2) +SUMIFS(bb_table[Amount],bb_table[Short_Desc],'Short Desc Summary'!$B44,bb_table[Date],'Short Desc Summary'!H$2)</f>
        <v>10</v>
      </c>
      <c r="I44" s="8">
        <f>SUMIFS(dis_table[Amount],dis_table[Short_Desc],'Short Desc Summary'!$B44,dis_table[Date],'Short Desc Summary'!I$2) +SUMIFS(cc_table[Amount],cc_table[Short_Desc],'Short Desc Summary'!$B44,cc_table[Date],'Short Desc Summary'!I$2) +SUMIFS(bb_table[Amount],bb_table[Short_Desc],'Short Desc Summary'!$B44,bb_table[Date],'Short Desc Summary'!I$2)</f>
        <v>10</v>
      </c>
      <c r="J44" s="8">
        <f>SUMIFS(dis_table[Amount],dis_table[Short_Desc],'Short Desc Summary'!$B44,dis_table[Date],'Short Desc Summary'!J$2) +SUMIFS(cc_table[Amount],cc_table[Short_Desc],'Short Desc Summary'!$B44,cc_table[Date],'Short Desc Summary'!J$2) +SUMIFS(bb_table[Amount],bb_table[Short_Desc],'Short Desc Summary'!$B44,bb_table[Date],'Short Desc Summary'!J$2)</f>
        <v>10</v>
      </c>
    </row>
    <row r="45" spans="1:10" x14ac:dyDescent="0.25">
      <c r="A45" t="str">
        <f>VLOOKUP(B45,dis_table[[#All],[Short_Desc]:[Category_2]],4,0)</f>
        <v>Recreation_Entertainment</v>
      </c>
      <c r="B45" t="s">
        <v>80</v>
      </c>
      <c r="C45" t="str">
        <f>VLOOKUP(B45,dis_table[[#All],[Short_Desc]:[Reoccurring_Flag]],3,0)</f>
        <v>No</v>
      </c>
      <c r="D45" s="8">
        <f>SUMIFS(dis_table[Amount],dis_table[Short_Desc],'Short Desc Summary'!$B45,dis_table[Date],'Short Desc Summary'!D$2) +SUMIFS(cc_table[Amount],cc_table[Short_Desc],'Short Desc Summary'!$B45,cc_table[Date],'Short Desc Summary'!D$2) +SUMIFS(bb_table[Amount],bb_table[Short_Desc],'Short Desc Summary'!$B45,bb_table[Date],'Short Desc Summary'!D$2)</f>
        <v>28.98</v>
      </c>
      <c r="E45" s="8">
        <f>SUMIFS(dis_table[Amount],dis_table[Short_Desc],'Short Desc Summary'!$B45,dis_table[Date],'Short Desc Summary'!E$2) +SUMIFS(cc_table[Amount],cc_table[Short_Desc],'Short Desc Summary'!$B45,cc_table[Date],'Short Desc Summary'!E$2) +SUMIFS(bb_table[Amount],bb_table[Short_Desc],'Short Desc Summary'!$B45,bb_table[Date],'Short Desc Summary'!E$2)</f>
        <v>23</v>
      </c>
      <c r="F45" s="8">
        <f>SUMIFS(dis_table[Amount],dis_table[Short_Desc],'Short Desc Summary'!$B45,dis_table[Date],'Short Desc Summary'!F$2) +SUMIFS(cc_table[Amount],cc_table[Short_Desc],'Short Desc Summary'!$B45,cc_table[Date],'Short Desc Summary'!F$2) +SUMIFS(bb_table[Amount],bb_table[Short_Desc],'Short Desc Summary'!$B45,bb_table[Date],'Short Desc Summary'!F$2)</f>
        <v>17.990000000000002</v>
      </c>
      <c r="G45" s="8">
        <f>SUMIFS(dis_table[Amount],dis_table[Short_Desc],'Short Desc Summary'!$B45,dis_table[Date],'Short Desc Summary'!G$2) +SUMIFS(cc_table[Amount],cc_table[Short_Desc],'Short Desc Summary'!$B45,cc_table[Date],'Short Desc Summary'!G$2) +SUMIFS(bb_table[Amount],bb_table[Short_Desc],'Short Desc Summary'!$B45,bb_table[Date],'Short Desc Summary'!G$2)</f>
        <v>58.249999999999993</v>
      </c>
      <c r="H45" s="8">
        <f>SUMIFS(dis_table[Amount],dis_table[Short_Desc],'Short Desc Summary'!$B45,dis_table[Date],'Short Desc Summary'!H$2) +SUMIFS(cc_table[Amount],cc_table[Short_Desc],'Short Desc Summary'!$B45,cc_table[Date],'Short Desc Summary'!H$2) +SUMIFS(bb_table[Amount],bb_table[Short_Desc],'Short Desc Summary'!$B45,bb_table[Date],'Short Desc Summary'!H$2)</f>
        <v>37.169999999999995</v>
      </c>
      <c r="I45" s="8">
        <f>SUMIFS(dis_table[Amount],dis_table[Short_Desc],'Short Desc Summary'!$B45,dis_table[Date],'Short Desc Summary'!I$2) +SUMIFS(cc_table[Amount],cc_table[Short_Desc],'Short Desc Summary'!$B45,cc_table[Date],'Short Desc Summary'!I$2) +SUMIFS(bb_table[Amount],bb_table[Short_Desc],'Short Desc Summary'!$B45,bb_table[Date],'Short Desc Summary'!I$2)</f>
        <v>69.05</v>
      </c>
      <c r="J45" s="8">
        <f>SUMIFS(dis_table[Amount],dis_table[Short_Desc],'Short Desc Summary'!$B45,dis_table[Date],'Short Desc Summary'!J$2) +SUMIFS(cc_table[Amount],cc_table[Short_Desc],'Short Desc Summary'!$B45,cc_table[Date],'Short Desc Summary'!J$2) +SUMIFS(bb_table[Amount],bb_table[Short_Desc],'Short Desc Summary'!$B45,bb_table[Date],'Short Desc Summary'!J$2)</f>
        <v>84.18</v>
      </c>
    </row>
    <row r="46" spans="1:10" x14ac:dyDescent="0.25">
      <c r="A46" t="str">
        <f>VLOOKUP(B46,dis_table[[#All],[Short_Desc]:[Category_2]],4,0)</f>
        <v>Recreation_Entertainment</v>
      </c>
      <c r="B46" t="s">
        <v>88</v>
      </c>
      <c r="C46" t="str">
        <f>VLOOKUP(B46,dis_table[[#All],[Short_Desc]:[Reoccurring_Flag]],3,0)</f>
        <v>Yes</v>
      </c>
      <c r="D46" s="8">
        <f>SUMIFS(dis_table[Amount],dis_table[Short_Desc],'Short Desc Summary'!$B46,dis_table[Date],'Short Desc Summary'!D$2) +SUMIFS(cc_table[Amount],cc_table[Short_Desc],'Short Desc Summary'!$B46,cc_table[Date],'Short Desc Summary'!D$2) +SUMIFS(bb_table[Amount],bb_table[Short_Desc],'Short Desc Summary'!$B46,bb_table[Date],'Short Desc Summary'!D$2)</f>
        <v>30</v>
      </c>
      <c r="E46" s="8">
        <f>SUMIFS(dis_table[Amount],dis_table[Short_Desc],'Short Desc Summary'!$B46,dis_table[Date],'Short Desc Summary'!E$2) +SUMIFS(cc_table[Amount],cc_table[Short_Desc],'Short Desc Summary'!$B46,cc_table[Date],'Short Desc Summary'!E$2) +SUMIFS(bb_table[Amount],bb_table[Short_Desc],'Short Desc Summary'!$B46,bb_table[Date],'Short Desc Summary'!E$2)</f>
        <v>30</v>
      </c>
      <c r="F46" s="8">
        <f>SUMIFS(dis_table[Amount],dis_table[Short_Desc],'Short Desc Summary'!$B46,dis_table[Date],'Short Desc Summary'!F$2) +SUMIFS(cc_table[Amount],cc_table[Short_Desc],'Short Desc Summary'!$B46,cc_table[Date],'Short Desc Summary'!F$2) +SUMIFS(bb_table[Amount],bb_table[Short_Desc],'Short Desc Summary'!$B46,bb_table[Date],'Short Desc Summary'!F$2)</f>
        <v>0</v>
      </c>
      <c r="G46" s="8">
        <f>SUMIFS(dis_table[Amount],dis_table[Short_Desc],'Short Desc Summary'!$B46,dis_table[Date],'Short Desc Summary'!G$2) +SUMIFS(cc_table[Amount],cc_table[Short_Desc],'Short Desc Summary'!$B46,cc_table[Date],'Short Desc Summary'!G$2) +SUMIFS(bb_table[Amount],bb_table[Short_Desc],'Short Desc Summary'!$B46,bb_table[Date],'Short Desc Summary'!G$2)</f>
        <v>0</v>
      </c>
      <c r="H46" s="8">
        <f>SUMIFS(dis_table[Amount],dis_table[Short_Desc],'Short Desc Summary'!$B46,dis_table[Date],'Short Desc Summary'!H$2) +SUMIFS(cc_table[Amount],cc_table[Short_Desc],'Short Desc Summary'!$B46,cc_table[Date],'Short Desc Summary'!H$2) +SUMIFS(bb_table[Amount],bb_table[Short_Desc],'Short Desc Summary'!$B46,bb_table[Date],'Short Desc Summary'!H$2)</f>
        <v>0</v>
      </c>
      <c r="I46" s="8">
        <f>SUMIFS(dis_table[Amount],dis_table[Short_Desc],'Short Desc Summary'!$B46,dis_table[Date],'Short Desc Summary'!I$2) +SUMIFS(cc_table[Amount],cc_table[Short_Desc],'Short Desc Summary'!$B46,cc_table[Date],'Short Desc Summary'!I$2) +SUMIFS(bb_table[Amount],bb_table[Short_Desc],'Short Desc Summary'!$B46,bb_table[Date],'Short Desc Summary'!I$2)</f>
        <v>0</v>
      </c>
      <c r="J46" s="8">
        <f>SUMIFS(dis_table[Amount],dis_table[Short_Desc],'Short Desc Summary'!$B46,dis_table[Date],'Short Desc Summary'!J$2) +SUMIFS(cc_table[Amount],cc_table[Short_Desc],'Short Desc Summary'!$B46,cc_table[Date],'Short Desc Summary'!J$2) +SUMIFS(bb_table[Amount],bb_table[Short_Desc],'Short Desc Summary'!$B46,bb_table[Date],'Short Desc Summary'!J$2)</f>
        <v>0</v>
      </c>
    </row>
    <row r="47" spans="1:10" x14ac:dyDescent="0.25">
      <c r="A47" t="str">
        <f>VLOOKUP(B47,dis_table[[#All],[Short_Desc]:[Category_2]],4,0)</f>
        <v>Recreation_Entertainment</v>
      </c>
      <c r="B47" t="s">
        <v>99</v>
      </c>
      <c r="C47" t="str">
        <f>VLOOKUP(B47,dis_table[[#All],[Short_Desc]:[Reoccurring_Flag]],3,0)</f>
        <v>No</v>
      </c>
      <c r="D47" s="8">
        <f>SUMIFS(dis_table[Amount],dis_table[Short_Desc],'Short Desc Summary'!$B47,dis_table[Date],'Short Desc Summary'!D$2) +SUMIFS(cc_table[Amount],cc_table[Short_Desc],'Short Desc Summary'!$B47,cc_table[Date],'Short Desc Summary'!D$2) +SUMIFS(bb_table[Amount],bb_table[Short_Desc],'Short Desc Summary'!$B47,bb_table[Date],'Short Desc Summary'!D$2)</f>
        <v>10.79</v>
      </c>
      <c r="E47" s="8">
        <f>SUMIFS(dis_table[Amount],dis_table[Short_Desc],'Short Desc Summary'!$B47,dis_table[Date],'Short Desc Summary'!E$2) +SUMIFS(cc_table[Amount],cc_table[Short_Desc],'Short Desc Summary'!$B47,cc_table[Date],'Short Desc Summary'!E$2) +SUMIFS(bb_table[Amount],bb_table[Short_Desc],'Short Desc Summary'!$B47,bb_table[Date],'Short Desc Summary'!E$2)</f>
        <v>0</v>
      </c>
      <c r="F47" s="8">
        <f>SUMIFS(dis_table[Amount],dis_table[Short_Desc],'Short Desc Summary'!$B47,dis_table[Date],'Short Desc Summary'!F$2) +SUMIFS(cc_table[Amount],cc_table[Short_Desc],'Short Desc Summary'!$B47,cc_table[Date],'Short Desc Summary'!F$2) +SUMIFS(bb_table[Amount],bb_table[Short_Desc],'Short Desc Summary'!$B47,bb_table[Date],'Short Desc Summary'!F$2)</f>
        <v>0</v>
      </c>
      <c r="G47" s="8">
        <f>SUMIFS(dis_table[Amount],dis_table[Short_Desc],'Short Desc Summary'!$B47,dis_table[Date],'Short Desc Summary'!G$2) +SUMIFS(cc_table[Amount],cc_table[Short_Desc],'Short Desc Summary'!$B47,cc_table[Date],'Short Desc Summary'!G$2) +SUMIFS(bb_table[Amount],bb_table[Short_Desc],'Short Desc Summary'!$B47,bb_table[Date],'Short Desc Summary'!G$2)</f>
        <v>0</v>
      </c>
      <c r="H47" s="8">
        <f>SUMIFS(dis_table[Amount],dis_table[Short_Desc],'Short Desc Summary'!$B47,dis_table[Date],'Short Desc Summary'!H$2) +SUMIFS(cc_table[Amount],cc_table[Short_Desc],'Short Desc Summary'!$B47,cc_table[Date],'Short Desc Summary'!H$2) +SUMIFS(bb_table[Amount],bb_table[Short_Desc],'Short Desc Summary'!$B47,bb_table[Date],'Short Desc Summary'!H$2)</f>
        <v>0</v>
      </c>
      <c r="I47" s="8">
        <f>SUMIFS(dis_table[Amount],dis_table[Short_Desc],'Short Desc Summary'!$B47,dis_table[Date],'Short Desc Summary'!I$2) +SUMIFS(cc_table[Amount],cc_table[Short_Desc],'Short Desc Summary'!$B47,cc_table[Date],'Short Desc Summary'!I$2) +SUMIFS(bb_table[Amount],bb_table[Short_Desc],'Short Desc Summary'!$B47,bb_table[Date],'Short Desc Summary'!I$2)</f>
        <v>0</v>
      </c>
      <c r="J47" s="8">
        <f>SUMIFS(dis_table[Amount],dis_table[Short_Desc],'Short Desc Summary'!$B47,dis_table[Date],'Short Desc Summary'!J$2) +SUMIFS(cc_table[Amount],cc_table[Short_Desc],'Short Desc Summary'!$B47,cc_table[Date],'Short Desc Summary'!J$2) +SUMIFS(bb_table[Amount],bb_table[Short_Desc],'Short Desc Summary'!$B47,bb_table[Date],'Short Desc Summary'!J$2)</f>
        <v>0</v>
      </c>
    </row>
    <row r="48" spans="1:10" x14ac:dyDescent="0.25">
      <c r="A48" t="str">
        <f>VLOOKUP(B48,dis_table[[#All],[Short_Desc]:[Category_2]],4,0)</f>
        <v>Recreation_Entertainment</v>
      </c>
      <c r="B48" t="s">
        <v>101</v>
      </c>
      <c r="C48" t="str">
        <f>VLOOKUP(B48,dis_table[[#All],[Short_Desc]:[Reoccurring_Flag]],3,0)</f>
        <v>Yes</v>
      </c>
      <c r="D48" s="8">
        <f>SUMIFS(dis_table[Amount],dis_table[Short_Desc],'Short Desc Summary'!$B48,dis_table[Date],'Short Desc Summary'!D$2) +SUMIFS(cc_table[Amount],cc_table[Short_Desc],'Short Desc Summary'!$B48,cc_table[Date],'Short Desc Summary'!D$2) +SUMIFS(bb_table[Amount],bb_table[Short_Desc],'Short Desc Summary'!$B48,bb_table[Date],'Short Desc Summary'!D$2)</f>
        <v>12.99</v>
      </c>
      <c r="E48" s="8">
        <f>SUMIFS(dis_table[Amount],dis_table[Short_Desc],'Short Desc Summary'!$B48,dis_table[Date],'Short Desc Summary'!E$2) +SUMIFS(cc_table[Amount],cc_table[Short_Desc],'Short Desc Summary'!$B48,cc_table[Date],'Short Desc Summary'!E$2) +SUMIFS(bb_table[Amount],bb_table[Short_Desc],'Short Desc Summary'!$B48,bb_table[Date],'Short Desc Summary'!E$2)</f>
        <v>12.99</v>
      </c>
      <c r="F48" s="8">
        <f>SUMIFS(dis_table[Amount],dis_table[Short_Desc],'Short Desc Summary'!$B48,dis_table[Date],'Short Desc Summary'!F$2) +SUMIFS(cc_table[Amount],cc_table[Short_Desc],'Short Desc Summary'!$B48,cc_table[Date],'Short Desc Summary'!F$2) +SUMIFS(bb_table[Amount],bb_table[Short_Desc],'Short Desc Summary'!$B48,bb_table[Date],'Short Desc Summary'!F$2)</f>
        <v>12.99</v>
      </c>
      <c r="G48" s="8">
        <f>SUMIFS(dis_table[Amount],dis_table[Short_Desc],'Short Desc Summary'!$B48,dis_table[Date],'Short Desc Summary'!G$2) +SUMIFS(cc_table[Amount],cc_table[Short_Desc],'Short Desc Summary'!$B48,cc_table[Date],'Short Desc Summary'!G$2) +SUMIFS(bb_table[Amount],bb_table[Short_Desc],'Short Desc Summary'!$B48,bb_table[Date],'Short Desc Summary'!G$2)</f>
        <v>12.99</v>
      </c>
      <c r="H48" s="8">
        <f>SUMIFS(dis_table[Amount],dis_table[Short_Desc],'Short Desc Summary'!$B48,dis_table[Date],'Short Desc Summary'!H$2) +SUMIFS(cc_table[Amount],cc_table[Short_Desc],'Short Desc Summary'!$B48,cc_table[Date],'Short Desc Summary'!H$2) +SUMIFS(bb_table[Amount],bb_table[Short_Desc],'Short Desc Summary'!$B48,bb_table[Date],'Short Desc Summary'!H$2)</f>
        <v>0</v>
      </c>
      <c r="I48" s="8">
        <f>SUMIFS(dis_table[Amount],dis_table[Short_Desc],'Short Desc Summary'!$B48,dis_table[Date],'Short Desc Summary'!I$2) +SUMIFS(cc_table[Amount],cc_table[Short_Desc],'Short Desc Summary'!$B48,cc_table[Date],'Short Desc Summary'!I$2) +SUMIFS(bb_table[Amount],bb_table[Short_Desc],'Short Desc Summary'!$B48,bb_table[Date],'Short Desc Summary'!I$2)</f>
        <v>0</v>
      </c>
      <c r="J48" s="8">
        <f>SUMIFS(dis_table[Amount],dis_table[Short_Desc],'Short Desc Summary'!$B48,dis_table[Date],'Short Desc Summary'!J$2) +SUMIFS(cc_table[Amount],cc_table[Short_Desc],'Short Desc Summary'!$B48,cc_table[Date],'Short Desc Summary'!J$2) +SUMIFS(bb_table[Amount],bb_table[Short_Desc],'Short Desc Summary'!$B48,bb_table[Date],'Short Desc Summary'!J$2)</f>
        <v>0</v>
      </c>
    </row>
    <row r="49" spans="1:10" x14ac:dyDescent="0.25">
      <c r="A49" t="str">
        <f>VLOOKUP(B49,dis_table[[#All],[Short_Desc]:[Category_2]],4,0)</f>
        <v>Recreation_Entertainment</v>
      </c>
      <c r="B49" t="s">
        <v>113</v>
      </c>
      <c r="C49" t="str">
        <f>VLOOKUP(B49,dis_table[[#All],[Short_Desc]:[Reoccurring_Flag]],3,0)</f>
        <v>Yes</v>
      </c>
      <c r="D49" s="8">
        <f>SUMIFS(dis_table[Amount],dis_table[Short_Desc],'Short Desc Summary'!$B49,dis_table[Date],'Short Desc Summary'!D$2) +SUMIFS(cc_table[Amount],cc_table[Short_Desc],'Short Desc Summary'!$B49,cc_table[Date],'Short Desc Summary'!D$2) +SUMIFS(bb_table[Amount],bb_table[Short_Desc],'Short Desc Summary'!$B49,bb_table[Date],'Short Desc Summary'!D$2)</f>
        <v>4.99</v>
      </c>
      <c r="E49" s="8">
        <f>SUMIFS(dis_table[Amount],dis_table[Short_Desc],'Short Desc Summary'!$B49,dis_table[Date],'Short Desc Summary'!E$2) +SUMIFS(cc_table[Amount],cc_table[Short_Desc],'Short Desc Summary'!$B49,cc_table[Date],'Short Desc Summary'!E$2) +SUMIFS(bb_table[Amount],bb_table[Short_Desc],'Short Desc Summary'!$B49,bb_table[Date],'Short Desc Summary'!E$2)</f>
        <v>4.99</v>
      </c>
      <c r="F49" s="8">
        <f>SUMIFS(dis_table[Amount],dis_table[Short_Desc],'Short Desc Summary'!$B49,dis_table[Date],'Short Desc Summary'!F$2) +SUMIFS(cc_table[Amount],cc_table[Short_Desc],'Short Desc Summary'!$B49,cc_table[Date],'Short Desc Summary'!F$2) +SUMIFS(bb_table[Amount],bb_table[Short_Desc],'Short Desc Summary'!$B49,bb_table[Date],'Short Desc Summary'!F$2)</f>
        <v>4.99</v>
      </c>
      <c r="G49" s="8">
        <f>SUMIFS(dis_table[Amount],dis_table[Short_Desc],'Short Desc Summary'!$B49,dis_table[Date],'Short Desc Summary'!G$2) +SUMIFS(cc_table[Amount],cc_table[Short_Desc],'Short Desc Summary'!$B49,cc_table[Date],'Short Desc Summary'!G$2) +SUMIFS(bb_table[Amount],bb_table[Short_Desc],'Short Desc Summary'!$B49,bb_table[Date],'Short Desc Summary'!G$2)</f>
        <v>4.99</v>
      </c>
      <c r="H49" s="8">
        <f>SUMIFS(dis_table[Amount],dis_table[Short_Desc],'Short Desc Summary'!$B49,dis_table[Date],'Short Desc Summary'!H$2) +SUMIFS(cc_table[Amount],cc_table[Short_Desc],'Short Desc Summary'!$B49,cc_table[Date],'Short Desc Summary'!H$2) +SUMIFS(bb_table[Amount],bb_table[Short_Desc],'Short Desc Summary'!$B49,bb_table[Date],'Short Desc Summary'!H$2)</f>
        <v>0</v>
      </c>
      <c r="I49" s="8">
        <f>SUMIFS(dis_table[Amount],dis_table[Short_Desc],'Short Desc Summary'!$B49,dis_table[Date],'Short Desc Summary'!I$2) +SUMIFS(cc_table[Amount],cc_table[Short_Desc],'Short Desc Summary'!$B49,cc_table[Date],'Short Desc Summary'!I$2) +SUMIFS(bb_table[Amount],bb_table[Short_Desc],'Short Desc Summary'!$B49,bb_table[Date],'Short Desc Summary'!I$2)</f>
        <v>0</v>
      </c>
      <c r="J49" s="8">
        <f>SUMIFS(dis_table[Amount],dis_table[Short_Desc],'Short Desc Summary'!$B49,dis_table[Date],'Short Desc Summary'!J$2) +SUMIFS(cc_table[Amount],cc_table[Short_Desc],'Short Desc Summary'!$B49,cc_table[Date],'Short Desc Summary'!J$2) +SUMIFS(bb_table[Amount],bb_table[Short_Desc],'Short Desc Summary'!$B49,bb_table[Date],'Short Desc Summary'!J$2)</f>
        <v>0</v>
      </c>
    </row>
    <row r="50" spans="1:10" x14ac:dyDescent="0.25">
      <c r="A50" t="str">
        <f>VLOOKUP(B50,dis_table[[#All],[Short_Desc]:[Category_2]],4,0)</f>
        <v>Recreation_Entertainment</v>
      </c>
      <c r="B50" t="s">
        <v>115</v>
      </c>
      <c r="C50" t="str">
        <f>VLOOKUP(B50,dis_table[[#All],[Short_Desc]:[Reoccurring_Flag]],3,0)</f>
        <v>Yes</v>
      </c>
      <c r="D50" s="8">
        <f>SUMIFS(dis_table[Amount],dis_table[Short_Desc],'Short Desc Summary'!$B50,dis_table[Date],'Short Desc Summary'!D$2) +SUMIFS(cc_table[Amount],cc_table[Short_Desc],'Short Desc Summary'!$B50,cc_table[Date],'Short Desc Summary'!D$2) +SUMIFS(bb_table[Amount],bb_table[Short_Desc],'Short Desc Summary'!$B50,bb_table[Date],'Short Desc Summary'!D$2)</f>
        <v>20</v>
      </c>
      <c r="E50" s="8">
        <f>SUMIFS(dis_table[Amount],dis_table[Short_Desc],'Short Desc Summary'!$B50,dis_table[Date],'Short Desc Summary'!E$2) +SUMIFS(cc_table[Amount],cc_table[Short_Desc],'Short Desc Summary'!$B50,cc_table[Date],'Short Desc Summary'!E$2) +SUMIFS(bb_table[Amount],bb_table[Short_Desc],'Short Desc Summary'!$B50,bb_table[Date],'Short Desc Summary'!E$2)</f>
        <v>29.99</v>
      </c>
      <c r="F50" s="8">
        <f>SUMIFS(dis_table[Amount],dis_table[Short_Desc],'Short Desc Summary'!$B50,dis_table[Date],'Short Desc Summary'!F$2) +SUMIFS(cc_table[Amount],cc_table[Short_Desc],'Short Desc Summary'!$B50,cc_table[Date],'Short Desc Summary'!F$2) +SUMIFS(bb_table[Amount],bb_table[Short_Desc],'Short Desc Summary'!$B50,bb_table[Date],'Short Desc Summary'!F$2)</f>
        <v>0</v>
      </c>
      <c r="G50" s="8">
        <f>SUMIFS(dis_table[Amount],dis_table[Short_Desc],'Short Desc Summary'!$B50,dis_table[Date],'Short Desc Summary'!G$2) +SUMIFS(cc_table[Amount],cc_table[Short_Desc],'Short Desc Summary'!$B50,cc_table[Date],'Short Desc Summary'!G$2) +SUMIFS(bb_table[Amount],bb_table[Short_Desc],'Short Desc Summary'!$B50,bb_table[Date],'Short Desc Summary'!G$2)</f>
        <v>0</v>
      </c>
      <c r="H50" s="8">
        <f>SUMIFS(dis_table[Amount],dis_table[Short_Desc],'Short Desc Summary'!$B50,dis_table[Date],'Short Desc Summary'!H$2) +SUMIFS(cc_table[Amount],cc_table[Short_Desc],'Short Desc Summary'!$B50,cc_table[Date],'Short Desc Summary'!H$2) +SUMIFS(bb_table[Amount],bb_table[Short_Desc],'Short Desc Summary'!$B50,bb_table[Date],'Short Desc Summary'!H$2)</f>
        <v>0</v>
      </c>
      <c r="I50" s="8">
        <f>SUMIFS(dis_table[Amount],dis_table[Short_Desc],'Short Desc Summary'!$B50,dis_table[Date],'Short Desc Summary'!I$2) +SUMIFS(cc_table[Amount],cc_table[Short_Desc],'Short Desc Summary'!$B50,cc_table[Date],'Short Desc Summary'!I$2) +SUMIFS(bb_table[Amount],bb_table[Short_Desc],'Short Desc Summary'!$B50,bb_table[Date],'Short Desc Summary'!I$2)</f>
        <v>0</v>
      </c>
      <c r="J50" s="8">
        <f>SUMIFS(dis_table[Amount],dis_table[Short_Desc],'Short Desc Summary'!$B50,dis_table[Date],'Short Desc Summary'!J$2) +SUMIFS(cc_table[Amount],cc_table[Short_Desc],'Short Desc Summary'!$B50,cc_table[Date],'Short Desc Summary'!J$2) +SUMIFS(bb_table[Amount],bb_table[Short_Desc],'Short Desc Summary'!$B50,bb_table[Date],'Short Desc Summary'!J$2)</f>
        <v>0</v>
      </c>
    </row>
    <row r="51" spans="1:10" x14ac:dyDescent="0.25">
      <c r="A51" t="str">
        <f>VLOOKUP(B51,dis_table[[#All],[Short_Desc]:[Category_2]],4,0)</f>
        <v>Recreation_Entertainment</v>
      </c>
      <c r="B51" t="s">
        <v>124</v>
      </c>
      <c r="C51" t="str">
        <f>VLOOKUP(B51,dis_table[[#All],[Short_Desc]:[Reoccurring_Flag]],3,0)</f>
        <v>Yes</v>
      </c>
      <c r="D51" s="8">
        <f>SUMIFS(dis_table[Amount],dis_table[Short_Desc],'Short Desc Summary'!$B51,dis_table[Date],'Short Desc Summary'!D$2) +SUMIFS(cc_table[Amount],cc_table[Short_Desc],'Short Desc Summary'!$B51,cc_table[Date],'Short Desc Summary'!D$2) +SUMIFS(bb_table[Amount],bb_table[Short_Desc],'Short Desc Summary'!$B51,bb_table[Date],'Short Desc Summary'!D$2)</f>
        <v>0</v>
      </c>
      <c r="E51" s="8">
        <f>SUMIFS(dis_table[Amount],dis_table[Short_Desc],'Short Desc Summary'!$B51,dis_table[Date],'Short Desc Summary'!E$2) +SUMIFS(cc_table[Amount],cc_table[Short_Desc],'Short Desc Summary'!$B51,cc_table[Date],'Short Desc Summary'!E$2) +SUMIFS(bb_table[Amount],bb_table[Short_Desc],'Short Desc Summary'!$B51,bb_table[Date],'Short Desc Summary'!E$2)</f>
        <v>14.99</v>
      </c>
      <c r="F51" s="8">
        <f>SUMIFS(dis_table[Amount],dis_table[Short_Desc],'Short Desc Summary'!$B51,dis_table[Date],'Short Desc Summary'!F$2) +SUMIFS(cc_table[Amount],cc_table[Short_Desc],'Short Desc Summary'!$B51,cc_table[Date],'Short Desc Summary'!F$2) +SUMIFS(bb_table[Amount],bb_table[Short_Desc],'Short Desc Summary'!$B51,bb_table[Date],'Short Desc Summary'!F$2)</f>
        <v>14.99</v>
      </c>
      <c r="G51" s="8">
        <f>SUMIFS(dis_table[Amount],dis_table[Short_Desc],'Short Desc Summary'!$B51,dis_table[Date],'Short Desc Summary'!G$2) +SUMIFS(cc_table[Amount],cc_table[Short_Desc],'Short Desc Summary'!$B51,cc_table[Date],'Short Desc Summary'!G$2) +SUMIFS(bb_table[Amount],bb_table[Short_Desc],'Short Desc Summary'!$B51,bb_table[Date],'Short Desc Summary'!G$2)</f>
        <v>14.99</v>
      </c>
      <c r="H51" s="8">
        <f>SUMIFS(dis_table[Amount],dis_table[Short_Desc],'Short Desc Summary'!$B51,dis_table[Date],'Short Desc Summary'!H$2) +SUMIFS(cc_table[Amount],cc_table[Short_Desc],'Short Desc Summary'!$B51,cc_table[Date],'Short Desc Summary'!H$2) +SUMIFS(bb_table[Amount],bb_table[Short_Desc],'Short Desc Summary'!$B51,bb_table[Date],'Short Desc Summary'!H$2)</f>
        <v>0</v>
      </c>
      <c r="I51" s="8">
        <f>SUMIFS(dis_table[Amount],dis_table[Short_Desc],'Short Desc Summary'!$B51,dis_table[Date],'Short Desc Summary'!I$2) +SUMIFS(cc_table[Amount],cc_table[Short_Desc],'Short Desc Summary'!$B51,cc_table[Date],'Short Desc Summary'!I$2) +SUMIFS(bb_table[Amount],bb_table[Short_Desc],'Short Desc Summary'!$B51,bb_table[Date],'Short Desc Summary'!I$2)</f>
        <v>0</v>
      </c>
      <c r="J51" s="8">
        <f>SUMIFS(dis_table[Amount],dis_table[Short_Desc],'Short Desc Summary'!$B51,dis_table[Date],'Short Desc Summary'!J$2) +SUMIFS(cc_table[Amount],cc_table[Short_Desc],'Short Desc Summary'!$B51,cc_table[Date],'Short Desc Summary'!J$2) +SUMIFS(bb_table[Amount],bb_table[Short_Desc],'Short Desc Summary'!$B51,bb_table[Date],'Short Desc Summary'!J$2)</f>
        <v>0</v>
      </c>
    </row>
    <row r="52" spans="1:10" x14ac:dyDescent="0.25">
      <c r="A52" t="str">
        <f>VLOOKUP(B52,dis_table[[#All],[Short_Desc]:[Category_2]],4,0)</f>
        <v>Recreation_Entertainment</v>
      </c>
      <c r="B52" t="s">
        <v>130</v>
      </c>
      <c r="C52" t="str">
        <f>VLOOKUP(B52,dis_table[[#All],[Short_Desc]:[Reoccurring_Flag]],3,0)</f>
        <v>Yes</v>
      </c>
      <c r="D52" s="8">
        <f>SUMIFS(dis_table[Amount],dis_table[Short_Desc],'Short Desc Summary'!$B52,dis_table[Date],'Short Desc Summary'!D$2) +SUMIFS(cc_table[Amount],cc_table[Short_Desc],'Short Desc Summary'!$B52,cc_table[Date],'Short Desc Summary'!D$2) +SUMIFS(bb_table[Amount],bb_table[Short_Desc],'Short Desc Summary'!$B52,bb_table[Date],'Short Desc Summary'!D$2)</f>
        <v>0</v>
      </c>
      <c r="E52" s="8">
        <f>SUMIFS(dis_table[Amount],dis_table[Short_Desc],'Short Desc Summary'!$B52,dis_table[Date],'Short Desc Summary'!E$2) +SUMIFS(cc_table[Amount],cc_table[Short_Desc],'Short Desc Summary'!$B52,cc_table[Date],'Short Desc Summary'!E$2) +SUMIFS(bb_table[Amount],bb_table[Short_Desc],'Short Desc Summary'!$B52,bb_table[Date],'Short Desc Summary'!E$2)</f>
        <v>70.58</v>
      </c>
      <c r="F52" s="8">
        <f>SUMIFS(dis_table[Amount],dis_table[Short_Desc],'Short Desc Summary'!$B52,dis_table[Date],'Short Desc Summary'!F$2) +SUMIFS(cc_table[Amount],cc_table[Short_Desc],'Short Desc Summary'!$B52,cc_table[Date],'Short Desc Summary'!F$2) +SUMIFS(bb_table[Amount],bb_table[Short_Desc],'Short Desc Summary'!$B52,bb_table[Date],'Short Desc Summary'!F$2)</f>
        <v>54.29</v>
      </c>
      <c r="G52" s="8">
        <f>SUMIFS(dis_table[Amount],dis_table[Short_Desc],'Short Desc Summary'!$B52,dis_table[Date],'Short Desc Summary'!G$2) +SUMIFS(cc_table[Amount],cc_table[Short_Desc],'Short Desc Summary'!$B52,cc_table[Date],'Short Desc Summary'!G$2) +SUMIFS(bb_table[Amount],bb_table[Short_Desc],'Short Desc Summary'!$B52,bb_table[Date],'Short Desc Summary'!G$2)</f>
        <v>86.47</v>
      </c>
      <c r="H52" s="8">
        <f>SUMIFS(dis_table[Amount],dis_table[Short_Desc],'Short Desc Summary'!$B52,dis_table[Date],'Short Desc Summary'!H$2) +SUMIFS(cc_table[Amount],cc_table[Short_Desc],'Short Desc Summary'!$B52,cc_table[Date],'Short Desc Summary'!H$2) +SUMIFS(bb_table[Amount],bb_table[Short_Desc],'Short Desc Summary'!$B52,bb_table[Date],'Short Desc Summary'!H$2)</f>
        <v>70.58</v>
      </c>
      <c r="I52" s="8">
        <f>SUMIFS(dis_table[Amount],dis_table[Short_Desc],'Short Desc Summary'!$B52,dis_table[Date],'Short Desc Summary'!I$2) +SUMIFS(cc_table[Amount],cc_table[Short_Desc],'Short Desc Summary'!$B52,cc_table[Date],'Short Desc Summary'!I$2) +SUMIFS(bb_table[Amount],bb_table[Short_Desc],'Short Desc Summary'!$B52,bb_table[Date],'Short Desc Summary'!I$2)</f>
        <v>0</v>
      </c>
      <c r="J52" s="8">
        <f>SUMIFS(dis_table[Amount],dis_table[Short_Desc],'Short Desc Summary'!$B52,dis_table[Date],'Short Desc Summary'!J$2) +SUMIFS(cc_table[Amount],cc_table[Short_Desc],'Short Desc Summary'!$B52,cc_table[Date],'Short Desc Summary'!J$2) +SUMIFS(bb_table[Amount],bb_table[Short_Desc],'Short Desc Summary'!$B52,bb_table[Date],'Short Desc Summary'!J$2)</f>
        <v>0</v>
      </c>
    </row>
    <row r="53" spans="1:10" x14ac:dyDescent="0.25">
      <c r="A53" t="str">
        <f>VLOOKUP(B53,dis_table[[#All],[Short_Desc]:[Category_2]],4,0)</f>
        <v>Recreation_Entertainment</v>
      </c>
      <c r="B53" t="s">
        <v>135</v>
      </c>
      <c r="C53" t="str">
        <f>VLOOKUP(B53,dis_table[[#All],[Short_Desc]:[Reoccurring_Flag]],3,0)</f>
        <v>No</v>
      </c>
      <c r="D53" s="8">
        <f>SUMIFS(dis_table[Amount],dis_table[Short_Desc],'Short Desc Summary'!$B53,dis_table[Date],'Short Desc Summary'!D$2) +SUMIFS(cc_table[Amount],cc_table[Short_Desc],'Short Desc Summary'!$B53,cc_table[Date],'Short Desc Summary'!D$2) +SUMIFS(bb_table[Amount],bb_table[Short_Desc],'Short Desc Summary'!$B53,bb_table[Date],'Short Desc Summary'!D$2)</f>
        <v>0</v>
      </c>
      <c r="E53" s="8">
        <f>SUMIFS(dis_table[Amount],dis_table[Short_Desc],'Short Desc Summary'!$B53,dis_table[Date],'Short Desc Summary'!E$2) +SUMIFS(cc_table[Amount],cc_table[Short_Desc],'Short Desc Summary'!$B53,cc_table[Date],'Short Desc Summary'!E$2) +SUMIFS(bb_table[Amount],bb_table[Short_Desc],'Short Desc Summary'!$B53,bb_table[Date],'Short Desc Summary'!E$2)</f>
        <v>275.53000000000003</v>
      </c>
      <c r="F53" s="8">
        <f>SUMIFS(dis_table[Amount],dis_table[Short_Desc],'Short Desc Summary'!$B53,dis_table[Date],'Short Desc Summary'!F$2) +SUMIFS(cc_table[Amount],cc_table[Short_Desc],'Short Desc Summary'!$B53,cc_table[Date],'Short Desc Summary'!F$2) +SUMIFS(bb_table[Amount],bb_table[Short_Desc],'Short Desc Summary'!$B53,bb_table[Date],'Short Desc Summary'!F$2)</f>
        <v>0</v>
      </c>
      <c r="G53" s="8">
        <f>SUMIFS(dis_table[Amount],dis_table[Short_Desc],'Short Desc Summary'!$B53,dis_table[Date],'Short Desc Summary'!G$2) +SUMIFS(cc_table[Amount],cc_table[Short_Desc],'Short Desc Summary'!$B53,cc_table[Date],'Short Desc Summary'!G$2) +SUMIFS(bb_table[Amount],bb_table[Short_Desc],'Short Desc Summary'!$B53,bb_table[Date],'Short Desc Summary'!G$2)</f>
        <v>0</v>
      </c>
      <c r="H53" s="8">
        <f>SUMIFS(dis_table[Amount],dis_table[Short_Desc],'Short Desc Summary'!$B53,dis_table[Date],'Short Desc Summary'!H$2) +SUMIFS(cc_table[Amount],cc_table[Short_Desc],'Short Desc Summary'!$B53,cc_table[Date],'Short Desc Summary'!H$2) +SUMIFS(bb_table[Amount],bb_table[Short_Desc],'Short Desc Summary'!$B53,bb_table[Date],'Short Desc Summary'!H$2)</f>
        <v>0</v>
      </c>
      <c r="I53" s="8">
        <f>SUMIFS(dis_table[Amount],dis_table[Short_Desc],'Short Desc Summary'!$B53,dis_table[Date],'Short Desc Summary'!I$2) +SUMIFS(cc_table[Amount],cc_table[Short_Desc],'Short Desc Summary'!$B53,cc_table[Date],'Short Desc Summary'!I$2) +SUMIFS(bb_table[Amount],bb_table[Short_Desc],'Short Desc Summary'!$B53,bb_table[Date],'Short Desc Summary'!I$2)</f>
        <v>433.95</v>
      </c>
      <c r="J53" s="8">
        <f>SUMIFS(dis_table[Amount],dis_table[Short_Desc],'Short Desc Summary'!$B53,dis_table[Date],'Short Desc Summary'!J$2) +SUMIFS(cc_table[Amount],cc_table[Short_Desc],'Short Desc Summary'!$B53,cc_table[Date],'Short Desc Summary'!J$2) +SUMIFS(bb_table[Amount],bb_table[Short_Desc],'Short Desc Summary'!$B53,bb_table[Date],'Short Desc Summary'!J$2)</f>
        <v>0</v>
      </c>
    </row>
    <row r="54" spans="1:10" x14ac:dyDescent="0.25">
      <c r="A54" t="str">
        <f>VLOOKUP(B54,dis_table[[#All],[Short_Desc]:[Category_2]],4,0)</f>
        <v>Recreation_Entertainment</v>
      </c>
      <c r="B54" t="s">
        <v>143</v>
      </c>
      <c r="C54" t="str">
        <f>VLOOKUP(B54,dis_table[[#All],[Short_Desc]:[Reoccurring_Flag]],3,0)</f>
        <v>Yes</v>
      </c>
      <c r="D54" s="8">
        <f>SUMIFS(dis_table[Amount],dis_table[Short_Desc],'Short Desc Summary'!$B54,dis_table[Date],'Short Desc Summary'!D$2) +SUMIFS(cc_table[Amount],cc_table[Short_Desc],'Short Desc Summary'!$B54,cc_table[Date],'Short Desc Summary'!D$2) +SUMIFS(bb_table[Amount],bb_table[Short_Desc],'Short Desc Summary'!$B54,bb_table[Date],'Short Desc Summary'!D$2)</f>
        <v>0</v>
      </c>
      <c r="E54" s="8">
        <f>SUMIFS(dis_table[Amount],dis_table[Short_Desc],'Short Desc Summary'!$B54,dis_table[Date],'Short Desc Summary'!E$2) +SUMIFS(cc_table[Amount],cc_table[Short_Desc],'Short Desc Summary'!$B54,cc_table[Date],'Short Desc Summary'!E$2) +SUMIFS(bb_table[Amount],bb_table[Short_Desc],'Short Desc Summary'!$B54,bb_table[Date],'Short Desc Summary'!E$2)</f>
        <v>10.59</v>
      </c>
      <c r="F54" s="8">
        <f>SUMIFS(dis_table[Amount],dis_table[Short_Desc],'Short Desc Summary'!$B54,dis_table[Date],'Short Desc Summary'!F$2) +SUMIFS(cc_table[Amount],cc_table[Short_Desc],'Short Desc Summary'!$B54,cc_table[Date],'Short Desc Summary'!F$2) +SUMIFS(bb_table[Amount],bb_table[Short_Desc],'Short Desc Summary'!$B54,bb_table[Date],'Short Desc Summary'!F$2)</f>
        <v>10.59</v>
      </c>
      <c r="G54" s="8">
        <f>SUMIFS(dis_table[Amount],dis_table[Short_Desc],'Short Desc Summary'!$B54,dis_table[Date],'Short Desc Summary'!G$2) +SUMIFS(cc_table[Amount],cc_table[Short_Desc],'Short Desc Summary'!$B54,cc_table[Date],'Short Desc Summary'!G$2) +SUMIFS(bb_table[Amount],bb_table[Short_Desc],'Short Desc Summary'!$B54,bb_table[Date],'Short Desc Summary'!G$2)</f>
        <v>10.59</v>
      </c>
      <c r="H54" s="8">
        <f>SUMIFS(dis_table[Amount],dis_table[Short_Desc],'Short Desc Summary'!$B54,dis_table[Date],'Short Desc Summary'!H$2) +SUMIFS(cc_table[Amount],cc_table[Short_Desc],'Short Desc Summary'!$B54,cc_table[Date],'Short Desc Summary'!H$2) +SUMIFS(bb_table[Amount],bb_table[Short_Desc],'Short Desc Summary'!$B54,bb_table[Date],'Short Desc Summary'!H$2)</f>
        <v>0</v>
      </c>
      <c r="I54" s="8">
        <f>SUMIFS(dis_table[Amount],dis_table[Short_Desc],'Short Desc Summary'!$B54,dis_table[Date],'Short Desc Summary'!I$2) +SUMIFS(cc_table[Amount],cc_table[Short_Desc],'Short Desc Summary'!$B54,cc_table[Date],'Short Desc Summary'!I$2) +SUMIFS(bb_table[Amount],bb_table[Short_Desc],'Short Desc Summary'!$B54,bb_table[Date],'Short Desc Summary'!I$2)</f>
        <v>0</v>
      </c>
      <c r="J54" s="8">
        <f>SUMIFS(dis_table[Amount],dis_table[Short_Desc],'Short Desc Summary'!$B54,dis_table[Date],'Short Desc Summary'!J$2) +SUMIFS(cc_table[Amount],cc_table[Short_Desc],'Short Desc Summary'!$B54,cc_table[Date],'Short Desc Summary'!J$2) +SUMIFS(bb_table[Amount],bb_table[Short_Desc],'Short Desc Summary'!$B54,bb_table[Date],'Short Desc Summary'!J$2)</f>
        <v>0</v>
      </c>
    </row>
    <row r="55" spans="1:10" x14ac:dyDescent="0.25">
      <c r="A55" t="str">
        <f>VLOOKUP(B55,dis_table[[#All],[Short_Desc]:[Category_2]],4,0)</f>
        <v>Recreation_Entertainment</v>
      </c>
      <c r="B55" t="s">
        <v>147</v>
      </c>
      <c r="C55" t="str">
        <f>VLOOKUP(B55,dis_table[[#All],[Short_Desc]:[Reoccurring_Flag]],3,0)</f>
        <v>No</v>
      </c>
      <c r="D55" s="8">
        <f>SUMIFS(dis_table[Amount],dis_table[Short_Desc],'Short Desc Summary'!$B55,dis_table[Date],'Short Desc Summary'!D$2) +SUMIFS(cc_table[Amount],cc_table[Short_Desc],'Short Desc Summary'!$B55,cc_table[Date],'Short Desc Summary'!D$2) +SUMIFS(bb_table[Amount],bb_table[Short_Desc],'Short Desc Summary'!$B55,bb_table[Date],'Short Desc Summary'!D$2)</f>
        <v>0</v>
      </c>
      <c r="E55" s="8">
        <f>SUMIFS(dis_table[Amount],dis_table[Short_Desc],'Short Desc Summary'!$B55,dis_table[Date],'Short Desc Summary'!E$2) +SUMIFS(cc_table[Amount],cc_table[Short_Desc],'Short Desc Summary'!$B55,cc_table[Date],'Short Desc Summary'!E$2) +SUMIFS(bb_table[Amount],bb_table[Short_Desc],'Short Desc Summary'!$B55,bb_table[Date],'Short Desc Summary'!E$2)</f>
        <v>0</v>
      </c>
      <c r="F55" s="8">
        <f>SUMIFS(dis_table[Amount],dis_table[Short_Desc],'Short Desc Summary'!$B55,dis_table[Date],'Short Desc Summary'!F$2) +SUMIFS(cc_table[Amount],cc_table[Short_Desc],'Short Desc Summary'!$B55,cc_table[Date],'Short Desc Summary'!F$2) +SUMIFS(bb_table[Amount],bb_table[Short_Desc],'Short Desc Summary'!$B55,bb_table[Date],'Short Desc Summary'!F$2)</f>
        <v>51.510000000000005</v>
      </c>
      <c r="G55" s="8">
        <f>SUMIFS(dis_table[Amount],dis_table[Short_Desc],'Short Desc Summary'!$B55,dis_table[Date],'Short Desc Summary'!G$2) +SUMIFS(cc_table[Amount],cc_table[Short_Desc],'Short Desc Summary'!$B55,cc_table[Date],'Short Desc Summary'!G$2) +SUMIFS(bb_table[Amount],bb_table[Short_Desc],'Short Desc Summary'!$B55,bb_table[Date],'Short Desc Summary'!G$2)</f>
        <v>46.83</v>
      </c>
      <c r="H55" s="8">
        <f>SUMIFS(dis_table[Amount],dis_table[Short_Desc],'Short Desc Summary'!$B55,dis_table[Date],'Short Desc Summary'!H$2) +SUMIFS(cc_table[Amount],cc_table[Short_Desc],'Short Desc Summary'!$B55,cc_table[Date],'Short Desc Summary'!H$2) +SUMIFS(bb_table[Amount],bb_table[Short_Desc],'Short Desc Summary'!$B55,bb_table[Date],'Short Desc Summary'!H$2)</f>
        <v>13.15</v>
      </c>
      <c r="I55" s="8">
        <f>SUMIFS(dis_table[Amount],dis_table[Short_Desc],'Short Desc Summary'!$B55,dis_table[Date],'Short Desc Summary'!I$2) +SUMIFS(cc_table[Amount],cc_table[Short_Desc],'Short Desc Summary'!$B55,cc_table[Date],'Short Desc Summary'!I$2) +SUMIFS(bb_table[Amount],bb_table[Short_Desc],'Short Desc Summary'!$B55,bb_table[Date],'Short Desc Summary'!I$2)</f>
        <v>0</v>
      </c>
      <c r="J55" s="8">
        <f>SUMIFS(dis_table[Amount],dis_table[Short_Desc],'Short Desc Summary'!$B55,dis_table[Date],'Short Desc Summary'!J$2) +SUMIFS(cc_table[Amount],cc_table[Short_Desc],'Short Desc Summary'!$B55,cc_table[Date],'Short Desc Summary'!J$2) +SUMIFS(bb_table[Amount],bb_table[Short_Desc],'Short Desc Summary'!$B55,bb_table[Date],'Short Desc Summary'!J$2)</f>
        <v>14.67</v>
      </c>
    </row>
    <row r="56" spans="1:10" x14ac:dyDescent="0.25">
      <c r="A56" t="str">
        <f>VLOOKUP(B56,dis_table[[#All],[Short_Desc]:[Category_2]],4,0)</f>
        <v>Recreation_Entertainment</v>
      </c>
      <c r="B56" t="s">
        <v>159</v>
      </c>
      <c r="C56" t="str">
        <f>VLOOKUP(B56,dis_table[[#All],[Short_Desc]:[Reoccurring_Flag]],3,0)</f>
        <v>No</v>
      </c>
      <c r="D56" s="8">
        <f>SUMIFS(dis_table[Amount],dis_table[Short_Desc],'Short Desc Summary'!$B56,dis_table[Date],'Short Desc Summary'!D$2) +SUMIFS(cc_table[Amount],cc_table[Short_Desc],'Short Desc Summary'!$B56,cc_table[Date],'Short Desc Summary'!D$2) +SUMIFS(bb_table[Amount],bb_table[Short_Desc],'Short Desc Summary'!$B56,bb_table[Date],'Short Desc Summary'!D$2)</f>
        <v>0</v>
      </c>
      <c r="E56" s="8">
        <f>SUMIFS(dis_table[Amount],dis_table[Short_Desc],'Short Desc Summary'!$B56,dis_table[Date],'Short Desc Summary'!E$2) +SUMIFS(cc_table[Amount],cc_table[Short_Desc],'Short Desc Summary'!$B56,cc_table[Date],'Short Desc Summary'!E$2) +SUMIFS(bb_table[Amount],bb_table[Short_Desc],'Short Desc Summary'!$B56,bb_table[Date],'Short Desc Summary'!E$2)</f>
        <v>0</v>
      </c>
      <c r="F56" s="8">
        <f>SUMIFS(dis_table[Amount],dis_table[Short_Desc],'Short Desc Summary'!$B56,dis_table[Date],'Short Desc Summary'!F$2) +SUMIFS(cc_table[Amount],cc_table[Short_Desc],'Short Desc Summary'!$B56,cc_table[Date],'Short Desc Summary'!F$2) +SUMIFS(bb_table[Amount],bb_table[Short_Desc],'Short Desc Summary'!$B56,bb_table[Date],'Short Desc Summary'!F$2)</f>
        <v>180.4</v>
      </c>
      <c r="G56" s="8">
        <f>SUMIFS(dis_table[Amount],dis_table[Short_Desc],'Short Desc Summary'!$B56,dis_table[Date],'Short Desc Summary'!G$2) +SUMIFS(cc_table[Amount],cc_table[Short_Desc],'Short Desc Summary'!$B56,cc_table[Date],'Short Desc Summary'!G$2) +SUMIFS(bb_table[Amount],bb_table[Short_Desc],'Short Desc Summary'!$B56,bb_table[Date],'Short Desc Summary'!G$2)</f>
        <v>0</v>
      </c>
      <c r="H56" s="8">
        <f>SUMIFS(dis_table[Amount],dis_table[Short_Desc],'Short Desc Summary'!$B56,dis_table[Date],'Short Desc Summary'!H$2) +SUMIFS(cc_table[Amount],cc_table[Short_Desc],'Short Desc Summary'!$B56,cc_table[Date],'Short Desc Summary'!H$2) +SUMIFS(bb_table[Amount],bb_table[Short_Desc],'Short Desc Summary'!$B56,bb_table[Date],'Short Desc Summary'!H$2)</f>
        <v>0</v>
      </c>
      <c r="I56" s="8">
        <f>SUMIFS(dis_table[Amount],dis_table[Short_Desc],'Short Desc Summary'!$B56,dis_table[Date],'Short Desc Summary'!I$2) +SUMIFS(cc_table[Amount],cc_table[Short_Desc],'Short Desc Summary'!$B56,cc_table[Date],'Short Desc Summary'!I$2) +SUMIFS(bb_table[Amount],bb_table[Short_Desc],'Short Desc Summary'!$B56,bb_table[Date],'Short Desc Summary'!I$2)</f>
        <v>391.39</v>
      </c>
      <c r="J56" s="8">
        <f>SUMIFS(dis_table[Amount],dis_table[Short_Desc],'Short Desc Summary'!$B56,dis_table[Date],'Short Desc Summary'!J$2) +SUMIFS(cc_table[Amount],cc_table[Short_Desc],'Short Desc Summary'!$B56,cc_table[Date],'Short Desc Summary'!J$2) +SUMIFS(bb_table[Amount],bb_table[Short_Desc],'Short Desc Summary'!$B56,bb_table[Date],'Short Desc Summary'!J$2)</f>
        <v>0</v>
      </c>
    </row>
    <row r="57" spans="1:10" x14ac:dyDescent="0.25">
      <c r="A57" t="str">
        <f>VLOOKUP(B57,dis_table[[#All],[Short_Desc]:[Category_2]],4,0)</f>
        <v>Recreation_Entertainment</v>
      </c>
      <c r="B57" t="s">
        <v>169</v>
      </c>
      <c r="C57" t="str">
        <f>VLOOKUP(B57,dis_table[[#All],[Short_Desc]:[Reoccurring_Flag]],3,0)</f>
        <v>No</v>
      </c>
      <c r="D57" s="8">
        <f>SUMIFS(dis_table[Amount],dis_table[Short_Desc],'Short Desc Summary'!$B57,dis_table[Date],'Short Desc Summary'!D$2) +SUMIFS(cc_table[Amount],cc_table[Short_Desc],'Short Desc Summary'!$B57,cc_table[Date],'Short Desc Summary'!D$2) +SUMIFS(bb_table[Amount],bb_table[Short_Desc],'Short Desc Summary'!$B57,bb_table[Date],'Short Desc Summary'!D$2)</f>
        <v>0</v>
      </c>
      <c r="E57" s="8">
        <f>SUMIFS(dis_table[Amount],dis_table[Short_Desc],'Short Desc Summary'!$B57,dis_table[Date],'Short Desc Summary'!E$2) +SUMIFS(cc_table[Amount],cc_table[Short_Desc],'Short Desc Summary'!$B57,cc_table[Date],'Short Desc Summary'!E$2) +SUMIFS(bb_table[Amount],bb_table[Short_Desc],'Short Desc Summary'!$B57,bb_table[Date],'Short Desc Summary'!E$2)</f>
        <v>0</v>
      </c>
      <c r="F57" s="8">
        <f>SUMIFS(dis_table[Amount],dis_table[Short_Desc],'Short Desc Summary'!$B57,dis_table[Date],'Short Desc Summary'!F$2) +SUMIFS(cc_table[Amount],cc_table[Short_Desc],'Short Desc Summary'!$B57,cc_table[Date],'Short Desc Summary'!F$2) +SUMIFS(bb_table[Amount],bb_table[Short_Desc],'Short Desc Summary'!$B57,bb_table[Date],'Short Desc Summary'!F$2)</f>
        <v>102.64</v>
      </c>
      <c r="G57" s="8">
        <f>SUMIFS(dis_table[Amount],dis_table[Short_Desc],'Short Desc Summary'!$B57,dis_table[Date],'Short Desc Summary'!G$2) +SUMIFS(cc_table[Amount],cc_table[Short_Desc],'Short Desc Summary'!$B57,cc_table[Date],'Short Desc Summary'!G$2) +SUMIFS(bb_table[Amount],bb_table[Short_Desc],'Short Desc Summary'!$B57,bb_table[Date],'Short Desc Summary'!G$2)</f>
        <v>0</v>
      </c>
      <c r="H57" s="8">
        <f>SUMIFS(dis_table[Amount],dis_table[Short_Desc],'Short Desc Summary'!$B57,dis_table[Date],'Short Desc Summary'!H$2) +SUMIFS(cc_table[Amount],cc_table[Short_Desc],'Short Desc Summary'!$B57,cc_table[Date],'Short Desc Summary'!H$2) +SUMIFS(bb_table[Amount],bb_table[Short_Desc],'Short Desc Summary'!$B57,bb_table[Date],'Short Desc Summary'!H$2)</f>
        <v>20.7</v>
      </c>
      <c r="I57" s="8">
        <f>SUMIFS(dis_table[Amount],dis_table[Short_Desc],'Short Desc Summary'!$B57,dis_table[Date],'Short Desc Summary'!I$2) +SUMIFS(cc_table[Amount],cc_table[Short_Desc],'Short Desc Summary'!$B57,cc_table[Date],'Short Desc Summary'!I$2) +SUMIFS(bb_table[Amount],bb_table[Short_Desc],'Short Desc Summary'!$B57,bb_table[Date],'Short Desc Summary'!I$2)</f>
        <v>151.5</v>
      </c>
      <c r="J57" s="8">
        <f>SUMIFS(dis_table[Amount],dis_table[Short_Desc],'Short Desc Summary'!$B57,dis_table[Date],'Short Desc Summary'!J$2) +SUMIFS(cc_table[Amount],cc_table[Short_Desc],'Short Desc Summary'!$B57,cc_table[Date],'Short Desc Summary'!J$2) +SUMIFS(bb_table[Amount],bb_table[Short_Desc],'Short Desc Summary'!$B57,bb_table[Date],'Short Desc Summary'!J$2)</f>
        <v>245</v>
      </c>
    </row>
    <row r="58" spans="1:10" x14ac:dyDescent="0.25">
      <c r="A58" t="str">
        <f>VLOOKUP(B58,dis_table[[#All],[Short_Desc]:[Category_2]],4,0)</f>
        <v>Recreation_Entertainment</v>
      </c>
      <c r="B58" t="s">
        <v>187</v>
      </c>
      <c r="C58" t="str">
        <f>VLOOKUP(B58,dis_table[[#All],[Short_Desc]:[Reoccurring_Flag]],3,0)</f>
        <v>No</v>
      </c>
      <c r="D58" s="8">
        <f>SUMIFS(dis_table[Amount],dis_table[Short_Desc],'Short Desc Summary'!$B58,dis_table[Date],'Short Desc Summary'!D$2) +SUMIFS(cc_table[Amount],cc_table[Short_Desc],'Short Desc Summary'!$B58,cc_table[Date],'Short Desc Summary'!D$2) +SUMIFS(bb_table[Amount],bb_table[Short_Desc],'Short Desc Summary'!$B58,bb_table[Date],'Short Desc Summary'!D$2)</f>
        <v>0</v>
      </c>
      <c r="E58" s="8">
        <f>SUMIFS(dis_table[Amount],dis_table[Short_Desc],'Short Desc Summary'!$B58,dis_table[Date],'Short Desc Summary'!E$2) +SUMIFS(cc_table[Amount],cc_table[Short_Desc],'Short Desc Summary'!$B58,cc_table[Date],'Short Desc Summary'!E$2) +SUMIFS(bb_table[Amount],bb_table[Short_Desc],'Short Desc Summary'!$B58,bb_table[Date],'Short Desc Summary'!E$2)</f>
        <v>0</v>
      </c>
      <c r="F58" s="8">
        <f>SUMIFS(dis_table[Amount],dis_table[Short_Desc],'Short Desc Summary'!$B58,dis_table[Date],'Short Desc Summary'!F$2) +SUMIFS(cc_table[Amount],cc_table[Short_Desc],'Short Desc Summary'!$B58,cc_table[Date],'Short Desc Summary'!F$2) +SUMIFS(bb_table[Amount],bb_table[Short_Desc],'Short Desc Summary'!$B58,bb_table[Date],'Short Desc Summary'!F$2)</f>
        <v>157.9</v>
      </c>
      <c r="G58" s="8">
        <f>SUMIFS(dis_table[Amount],dis_table[Short_Desc],'Short Desc Summary'!$B58,dis_table[Date],'Short Desc Summary'!G$2) +SUMIFS(cc_table[Amount],cc_table[Short_Desc],'Short Desc Summary'!$B58,cc_table[Date],'Short Desc Summary'!G$2) +SUMIFS(bb_table[Amount],bb_table[Short_Desc],'Short Desc Summary'!$B58,bb_table[Date],'Short Desc Summary'!G$2)</f>
        <v>50.96</v>
      </c>
      <c r="H58" s="8">
        <f>SUMIFS(dis_table[Amount],dis_table[Short_Desc],'Short Desc Summary'!$B58,dis_table[Date],'Short Desc Summary'!H$2) +SUMIFS(cc_table[Amount],cc_table[Short_Desc],'Short Desc Summary'!$B58,cc_table[Date],'Short Desc Summary'!H$2) +SUMIFS(bb_table[Amount],bb_table[Short_Desc],'Short Desc Summary'!$B58,bb_table[Date],'Short Desc Summary'!H$2)</f>
        <v>0</v>
      </c>
      <c r="I58" s="8">
        <f>SUMIFS(dis_table[Amount],dis_table[Short_Desc],'Short Desc Summary'!$B58,dis_table[Date],'Short Desc Summary'!I$2) +SUMIFS(cc_table[Amount],cc_table[Short_Desc],'Short Desc Summary'!$B58,cc_table[Date],'Short Desc Summary'!I$2) +SUMIFS(bb_table[Amount],bb_table[Short_Desc],'Short Desc Summary'!$B58,bb_table[Date],'Short Desc Summary'!I$2)</f>
        <v>0</v>
      </c>
      <c r="J58" s="8">
        <f>SUMIFS(dis_table[Amount],dis_table[Short_Desc],'Short Desc Summary'!$B58,dis_table[Date],'Short Desc Summary'!J$2) +SUMIFS(cc_table[Amount],cc_table[Short_Desc],'Short Desc Summary'!$B58,cc_table[Date],'Short Desc Summary'!J$2) +SUMIFS(bb_table[Amount],bb_table[Short_Desc],'Short Desc Summary'!$B58,bb_table[Date],'Short Desc Summary'!J$2)</f>
        <v>0</v>
      </c>
    </row>
    <row r="59" spans="1:10" x14ac:dyDescent="0.25">
      <c r="A59" t="str">
        <f>VLOOKUP(B59,dis_table[[#All],[Short_Desc]:[Category_2]],4,0)</f>
        <v>Recreation_Entertainment</v>
      </c>
      <c r="B59" t="s">
        <v>216</v>
      </c>
      <c r="C59" t="str">
        <f>VLOOKUP(B59,dis_table[[#All],[Short_Desc]:[Reoccurring_Flag]],3,0)</f>
        <v>Yes</v>
      </c>
      <c r="D59" s="8">
        <f>SUMIFS(dis_table[Amount],dis_table[Short_Desc],'Short Desc Summary'!$B59,dis_table[Date],'Short Desc Summary'!D$2) +SUMIFS(cc_table[Amount],cc_table[Short_Desc],'Short Desc Summary'!$B59,cc_table[Date],'Short Desc Summary'!D$2) +SUMIFS(bb_table[Amount],bb_table[Short_Desc],'Short Desc Summary'!$B59,bb_table[Date],'Short Desc Summary'!D$2)</f>
        <v>0</v>
      </c>
      <c r="E59" s="8">
        <f>SUMIFS(dis_table[Amount],dis_table[Short_Desc],'Short Desc Summary'!$B59,dis_table[Date],'Short Desc Summary'!E$2) +SUMIFS(cc_table[Amount],cc_table[Short_Desc],'Short Desc Summary'!$B59,cc_table[Date],'Short Desc Summary'!E$2) +SUMIFS(bb_table[Amount],bb_table[Short_Desc],'Short Desc Summary'!$B59,bb_table[Date],'Short Desc Summary'!E$2)</f>
        <v>0</v>
      </c>
      <c r="F59" s="8">
        <f>SUMIFS(dis_table[Amount],dis_table[Short_Desc],'Short Desc Summary'!$B59,dis_table[Date],'Short Desc Summary'!F$2) +SUMIFS(cc_table[Amount],cc_table[Short_Desc],'Short Desc Summary'!$B59,cc_table[Date],'Short Desc Summary'!F$2) +SUMIFS(bb_table[Amount],bb_table[Short_Desc],'Short Desc Summary'!$B59,bb_table[Date],'Short Desc Summary'!F$2)</f>
        <v>79.989999999999995</v>
      </c>
      <c r="G59" s="8">
        <f>SUMIFS(dis_table[Amount],dis_table[Short_Desc],'Short Desc Summary'!$B59,dis_table[Date],'Short Desc Summary'!G$2) +SUMIFS(cc_table[Amount],cc_table[Short_Desc],'Short Desc Summary'!$B59,cc_table[Date],'Short Desc Summary'!G$2) +SUMIFS(bb_table[Amount],bb_table[Short_Desc],'Short Desc Summary'!$B59,bb_table[Date],'Short Desc Summary'!G$2)</f>
        <v>0</v>
      </c>
      <c r="H59" s="8">
        <f>SUMIFS(dis_table[Amount],dis_table[Short_Desc],'Short Desc Summary'!$B59,dis_table[Date],'Short Desc Summary'!H$2) +SUMIFS(cc_table[Amount],cc_table[Short_Desc],'Short Desc Summary'!$B59,cc_table[Date],'Short Desc Summary'!H$2) +SUMIFS(bb_table[Amount],bb_table[Short_Desc],'Short Desc Summary'!$B59,bb_table[Date],'Short Desc Summary'!H$2)</f>
        <v>0</v>
      </c>
      <c r="I59" s="8">
        <f>SUMIFS(dis_table[Amount],dis_table[Short_Desc],'Short Desc Summary'!$B59,dis_table[Date],'Short Desc Summary'!I$2) +SUMIFS(cc_table[Amount],cc_table[Short_Desc],'Short Desc Summary'!$B59,cc_table[Date],'Short Desc Summary'!I$2) +SUMIFS(bb_table[Amount],bb_table[Short_Desc],'Short Desc Summary'!$B59,bb_table[Date],'Short Desc Summary'!I$2)</f>
        <v>0</v>
      </c>
      <c r="J59" s="8">
        <f>SUMIFS(dis_table[Amount],dis_table[Short_Desc],'Short Desc Summary'!$B59,dis_table[Date],'Short Desc Summary'!J$2) +SUMIFS(cc_table[Amount],cc_table[Short_Desc],'Short Desc Summary'!$B59,cc_table[Date],'Short Desc Summary'!J$2) +SUMIFS(bb_table[Amount],bb_table[Short_Desc],'Short Desc Summary'!$B59,bb_table[Date],'Short Desc Summary'!J$2)</f>
        <v>0</v>
      </c>
    </row>
    <row r="60" spans="1:10" x14ac:dyDescent="0.25">
      <c r="A60" t="str">
        <f>VLOOKUP(B60,dis_table[[#All],[Short_Desc]:[Category_2]],4,0)</f>
        <v>Recreation_Entertainment</v>
      </c>
      <c r="B60" t="s">
        <v>218</v>
      </c>
      <c r="C60" t="str">
        <f>VLOOKUP(B60,dis_table[[#All],[Short_Desc]:[Reoccurring_Flag]],3,0)</f>
        <v>No</v>
      </c>
      <c r="D60" s="8">
        <f>SUMIFS(dis_table[Amount],dis_table[Short_Desc],'Short Desc Summary'!$B60,dis_table[Date],'Short Desc Summary'!D$2) +SUMIFS(cc_table[Amount],cc_table[Short_Desc],'Short Desc Summary'!$B60,cc_table[Date],'Short Desc Summary'!D$2) +SUMIFS(bb_table[Amount],bb_table[Short_Desc],'Short Desc Summary'!$B60,bb_table[Date],'Short Desc Summary'!D$2)</f>
        <v>0</v>
      </c>
      <c r="E60" s="8">
        <f>SUMIFS(dis_table[Amount],dis_table[Short_Desc],'Short Desc Summary'!$B60,dis_table[Date],'Short Desc Summary'!E$2) +SUMIFS(cc_table[Amount],cc_table[Short_Desc],'Short Desc Summary'!$B60,cc_table[Date],'Short Desc Summary'!E$2) +SUMIFS(bb_table[Amount],bb_table[Short_Desc],'Short Desc Summary'!$B60,bb_table[Date],'Short Desc Summary'!E$2)</f>
        <v>0</v>
      </c>
      <c r="F60" s="8">
        <f>SUMIFS(dis_table[Amount],dis_table[Short_Desc],'Short Desc Summary'!$B60,dis_table[Date],'Short Desc Summary'!F$2) +SUMIFS(cc_table[Amount],cc_table[Short_Desc],'Short Desc Summary'!$B60,cc_table[Date],'Short Desc Summary'!F$2) +SUMIFS(bb_table[Amount],bb_table[Short_Desc],'Short Desc Summary'!$B60,bb_table[Date],'Short Desc Summary'!F$2)</f>
        <v>11.94</v>
      </c>
      <c r="G60" s="8">
        <f>SUMIFS(dis_table[Amount],dis_table[Short_Desc],'Short Desc Summary'!$B60,dis_table[Date],'Short Desc Summary'!G$2) +SUMIFS(cc_table[Amount],cc_table[Short_Desc],'Short Desc Summary'!$B60,cc_table[Date],'Short Desc Summary'!G$2) +SUMIFS(bb_table[Amount],bb_table[Short_Desc],'Short Desc Summary'!$B60,bb_table[Date],'Short Desc Summary'!G$2)</f>
        <v>0</v>
      </c>
      <c r="H60" s="8">
        <f>SUMIFS(dis_table[Amount],dis_table[Short_Desc],'Short Desc Summary'!$B60,dis_table[Date],'Short Desc Summary'!H$2) +SUMIFS(cc_table[Amount],cc_table[Short_Desc],'Short Desc Summary'!$B60,cc_table[Date],'Short Desc Summary'!H$2) +SUMIFS(bb_table[Amount],bb_table[Short_Desc],'Short Desc Summary'!$B60,bb_table[Date],'Short Desc Summary'!H$2)</f>
        <v>0</v>
      </c>
      <c r="I60" s="8">
        <f>SUMIFS(dis_table[Amount],dis_table[Short_Desc],'Short Desc Summary'!$B60,dis_table[Date],'Short Desc Summary'!I$2) +SUMIFS(cc_table[Amount],cc_table[Short_Desc],'Short Desc Summary'!$B60,cc_table[Date],'Short Desc Summary'!I$2) +SUMIFS(bb_table[Amount],bb_table[Short_Desc],'Short Desc Summary'!$B60,bb_table[Date],'Short Desc Summary'!I$2)</f>
        <v>0</v>
      </c>
      <c r="J60" s="8">
        <f>SUMIFS(dis_table[Amount],dis_table[Short_Desc],'Short Desc Summary'!$B60,dis_table[Date],'Short Desc Summary'!J$2) +SUMIFS(cc_table[Amount],cc_table[Short_Desc],'Short Desc Summary'!$B60,cc_table[Date],'Short Desc Summary'!J$2) +SUMIFS(bb_table[Amount],bb_table[Short_Desc],'Short Desc Summary'!$B60,bb_table[Date],'Short Desc Summary'!J$2)</f>
        <v>0</v>
      </c>
    </row>
    <row r="61" spans="1:10" x14ac:dyDescent="0.25">
      <c r="A61" t="str">
        <f>VLOOKUP(B61,dis_table[[#All],[Short_Desc]:[Category_2]],4,0)</f>
        <v>Recreation_Entertainment</v>
      </c>
      <c r="B61" t="s">
        <v>228</v>
      </c>
      <c r="C61" t="str">
        <f>VLOOKUP(B61,dis_table[[#All],[Short_Desc]:[Reoccurring_Flag]],3,0)</f>
        <v>No</v>
      </c>
      <c r="D61" s="8">
        <f>SUMIFS(dis_table[Amount],dis_table[Short_Desc],'Short Desc Summary'!$B61,dis_table[Date],'Short Desc Summary'!D$2) +SUMIFS(cc_table[Amount],cc_table[Short_Desc],'Short Desc Summary'!$B61,cc_table[Date],'Short Desc Summary'!D$2) +SUMIFS(bb_table[Amount],bb_table[Short_Desc],'Short Desc Summary'!$B61,bb_table[Date],'Short Desc Summary'!D$2)</f>
        <v>0</v>
      </c>
      <c r="E61" s="8">
        <f>SUMIFS(dis_table[Amount],dis_table[Short_Desc],'Short Desc Summary'!$B61,dis_table[Date],'Short Desc Summary'!E$2) +SUMIFS(cc_table[Amount],cc_table[Short_Desc],'Short Desc Summary'!$B61,cc_table[Date],'Short Desc Summary'!E$2) +SUMIFS(bb_table[Amount],bb_table[Short_Desc],'Short Desc Summary'!$B61,bb_table[Date],'Short Desc Summary'!E$2)</f>
        <v>0</v>
      </c>
      <c r="F61" s="8">
        <f>SUMIFS(dis_table[Amount],dis_table[Short_Desc],'Short Desc Summary'!$B61,dis_table[Date],'Short Desc Summary'!F$2) +SUMIFS(cc_table[Amount],cc_table[Short_Desc],'Short Desc Summary'!$B61,cc_table[Date],'Short Desc Summary'!F$2) +SUMIFS(bb_table[Amount],bb_table[Short_Desc],'Short Desc Summary'!$B61,bb_table[Date],'Short Desc Summary'!F$2)</f>
        <v>77.66</v>
      </c>
      <c r="G61" s="8">
        <f>SUMIFS(dis_table[Amount],dis_table[Short_Desc],'Short Desc Summary'!$B61,dis_table[Date],'Short Desc Summary'!G$2) +SUMIFS(cc_table[Amount],cc_table[Short_Desc],'Short Desc Summary'!$B61,cc_table[Date],'Short Desc Summary'!G$2) +SUMIFS(bb_table[Amount],bb_table[Short_Desc],'Short Desc Summary'!$B61,bb_table[Date],'Short Desc Summary'!G$2)</f>
        <v>110</v>
      </c>
      <c r="H61" s="8">
        <f>SUMIFS(dis_table[Amount],dis_table[Short_Desc],'Short Desc Summary'!$B61,dis_table[Date],'Short Desc Summary'!H$2) +SUMIFS(cc_table[Amount],cc_table[Short_Desc],'Short Desc Summary'!$B61,cc_table[Date],'Short Desc Summary'!H$2) +SUMIFS(bb_table[Amount],bb_table[Short_Desc],'Short Desc Summary'!$B61,bb_table[Date],'Short Desc Summary'!H$2)</f>
        <v>0</v>
      </c>
      <c r="I61" s="8">
        <f>SUMIFS(dis_table[Amount],dis_table[Short_Desc],'Short Desc Summary'!$B61,dis_table[Date],'Short Desc Summary'!I$2) +SUMIFS(cc_table[Amount],cc_table[Short_Desc],'Short Desc Summary'!$B61,cc_table[Date],'Short Desc Summary'!I$2) +SUMIFS(bb_table[Amount],bb_table[Short_Desc],'Short Desc Summary'!$B61,bb_table[Date],'Short Desc Summary'!I$2)</f>
        <v>0</v>
      </c>
      <c r="J61" s="8">
        <f>SUMIFS(dis_table[Amount],dis_table[Short_Desc],'Short Desc Summary'!$B61,dis_table[Date],'Short Desc Summary'!J$2) +SUMIFS(cc_table[Amount],cc_table[Short_Desc],'Short Desc Summary'!$B61,cc_table[Date],'Short Desc Summary'!J$2) +SUMIFS(bb_table[Amount],bb_table[Short_Desc],'Short Desc Summary'!$B61,bb_table[Date],'Short Desc Summary'!J$2)</f>
        <v>0</v>
      </c>
    </row>
    <row r="62" spans="1:10" x14ac:dyDescent="0.25">
      <c r="A62" t="str">
        <f>VLOOKUP(B62,dis_table[[#All],[Short_Desc]:[Category_2]],4,0)</f>
        <v>Recreation_Entertainment</v>
      </c>
      <c r="B62" t="s">
        <v>251</v>
      </c>
      <c r="C62" t="str">
        <f>VLOOKUP(B62,dis_table[[#All],[Short_Desc]:[Reoccurring_Flag]],3,0)</f>
        <v>Yes</v>
      </c>
      <c r="D62" s="8">
        <f>SUMIFS(dis_table[Amount],dis_table[Short_Desc],'Short Desc Summary'!$B62,dis_table[Date],'Short Desc Summary'!D$2) +SUMIFS(cc_table[Amount],cc_table[Short_Desc],'Short Desc Summary'!$B62,cc_table[Date],'Short Desc Summary'!D$2) +SUMIFS(bb_table[Amount],bb_table[Short_Desc],'Short Desc Summary'!$B62,bb_table[Date],'Short Desc Summary'!D$2)</f>
        <v>0</v>
      </c>
      <c r="E62" s="8">
        <f>SUMIFS(dis_table[Amount],dis_table[Short_Desc],'Short Desc Summary'!$B62,dis_table[Date],'Short Desc Summary'!E$2) +SUMIFS(cc_table[Amount],cc_table[Short_Desc],'Short Desc Summary'!$B62,cc_table[Date],'Short Desc Summary'!E$2) +SUMIFS(bb_table[Amount],bb_table[Short_Desc],'Short Desc Summary'!$B62,bb_table[Date],'Short Desc Summary'!E$2)</f>
        <v>0</v>
      </c>
      <c r="F62" s="8">
        <f>SUMIFS(dis_table[Amount],dis_table[Short_Desc],'Short Desc Summary'!$B62,dis_table[Date],'Short Desc Summary'!F$2) +SUMIFS(cc_table[Amount],cc_table[Short_Desc],'Short Desc Summary'!$B62,cc_table[Date],'Short Desc Summary'!F$2) +SUMIFS(bb_table[Amount],bb_table[Short_Desc],'Short Desc Summary'!$B62,bb_table[Date],'Short Desc Summary'!F$2)</f>
        <v>0</v>
      </c>
      <c r="G62" s="8">
        <f>SUMIFS(dis_table[Amount],dis_table[Short_Desc],'Short Desc Summary'!$B62,dis_table[Date],'Short Desc Summary'!G$2) +SUMIFS(cc_table[Amount],cc_table[Short_Desc],'Short Desc Summary'!$B62,cc_table[Date],'Short Desc Summary'!G$2) +SUMIFS(bb_table[Amount],bb_table[Short_Desc],'Short Desc Summary'!$B62,bb_table[Date],'Short Desc Summary'!G$2)</f>
        <v>31.79</v>
      </c>
      <c r="H62" s="8">
        <f>SUMIFS(dis_table[Amount],dis_table[Short_Desc],'Short Desc Summary'!$B62,dis_table[Date],'Short Desc Summary'!H$2) +SUMIFS(cc_table[Amount],cc_table[Short_Desc],'Short Desc Summary'!$B62,cc_table[Date],'Short Desc Summary'!H$2) +SUMIFS(bb_table[Amount],bb_table[Short_Desc],'Short Desc Summary'!$B62,bb_table[Date],'Short Desc Summary'!H$2)</f>
        <v>0</v>
      </c>
      <c r="I62" s="8">
        <f>SUMIFS(dis_table[Amount],dis_table[Short_Desc],'Short Desc Summary'!$B62,dis_table[Date],'Short Desc Summary'!I$2) +SUMIFS(cc_table[Amount],cc_table[Short_Desc],'Short Desc Summary'!$B62,cc_table[Date],'Short Desc Summary'!I$2) +SUMIFS(bb_table[Amount],bb_table[Short_Desc],'Short Desc Summary'!$B62,bb_table[Date],'Short Desc Summary'!I$2)</f>
        <v>0</v>
      </c>
      <c r="J62" s="8">
        <f>SUMIFS(dis_table[Amount],dis_table[Short_Desc],'Short Desc Summary'!$B62,dis_table[Date],'Short Desc Summary'!J$2) +SUMIFS(cc_table[Amount],cc_table[Short_Desc],'Short Desc Summary'!$B62,cc_table[Date],'Short Desc Summary'!J$2) +SUMIFS(bb_table[Amount],bb_table[Short_Desc],'Short Desc Summary'!$B62,bb_table[Date],'Short Desc Summary'!J$2)</f>
        <v>0</v>
      </c>
    </row>
    <row r="63" spans="1:10" x14ac:dyDescent="0.25">
      <c r="A63" t="str">
        <f>VLOOKUP(B63,dis_table[[#All],[Short_Desc]:[Category_2]],4,0)</f>
        <v>Recreation_Entertainment</v>
      </c>
      <c r="B63" t="s">
        <v>270</v>
      </c>
      <c r="C63" t="str">
        <f>VLOOKUP(B63,dis_table[[#All],[Short_Desc]:[Reoccurring_Flag]],3,0)</f>
        <v>No</v>
      </c>
      <c r="D63" s="8">
        <f>SUMIFS(dis_table[Amount],dis_table[Short_Desc],'Short Desc Summary'!$B63,dis_table[Date],'Short Desc Summary'!D$2) +SUMIFS(cc_table[Amount],cc_table[Short_Desc],'Short Desc Summary'!$B63,cc_table[Date],'Short Desc Summary'!D$2) +SUMIFS(bb_table[Amount],bb_table[Short_Desc],'Short Desc Summary'!$B63,bb_table[Date],'Short Desc Summary'!D$2)</f>
        <v>0</v>
      </c>
      <c r="E63" s="8">
        <f>SUMIFS(dis_table[Amount],dis_table[Short_Desc],'Short Desc Summary'!$B63,dis_table[Date],'Short Desc Summary'!E$2) +SUMIFS(cc_table[Amount],cc_table[Short_Desc],'Short Desc Summary'!$B63,cc_table[Date],'Short Desc Summary'!E$2) +SUMIFS(bb_table[Amount],bb_table[Short_Desc],'Short Desc Summary'!$B63,bb_table[Date],'Short Desc Summary'!E$2)</f>
        <v>0</v>
      </c>
      <c r="F63" s="8">
        <f>SUMIFS(dis_table[Amount],dis_table[Short_Desc],'Short Desc Summary'!$B63,dis_table[Date],'Short Desc Summary'!F$2) +SUMIFS(cc_table[Amount],cc_table[Short_Desc],'Short Desc Summary'!$B63,cc_table[Date],'Short Desc Summary'!F$2) +SUMIFS(bb_table[Amount],bb_table[Short_Desc],'Short Desc Summary'!$B63,bb_table[Date],'Short Desc Summary'!F$2)</f>
        <v>0</v>
      </c>
      <c r="G63" s="8">
        <f>SUMIFS(dis_table[Amount],dis_table[Short_Desc],'Short Desc Summary'!$B63,dis_table[Date],'Short Desc Summary'!G$2) +SUMIFS(cc_table[Amount],cc_table[Short_Desc],'Short Desc Summary'!$B63,cc_table[Date],'Short Desc Summary'!G$2) +SUMIFS(bb_table[Amount],bb_table[Short_Desc],'Short Desc Summary'!$B63,bb_table[Date],'Short Desc Summary'!G$2)</f>
        <v>56.57</v>
      </c>
      <c r="H63" s="8">
        <f>SUMIFS(dis_table[Amount],dis_table[Short_Desc],'Short Desc Summary'!$B63,dis_table[Date],'Short Desc Summary'!H$2) +SUMIFS(cc_table[Amount],cc_table[Short_Desc],'Short Desc Summary'!$B63,cc_table[Date],'Short Desc Summary'!H$2) +SUMIFS(bb_table[Amount],bb_table[Short_Desc],'Short Desc Summary'!$B63,bb_table[Date],'Short Desc Summary'!H$2)</f>
        <v>0</v>
      </c>
      <c r="I63" s="8">
        <f>SUMIFS(dis_table[Amount],dis_table[Short_Desc],'Short Desc Summary'!$B63,dis_table[Date],'Short Desc Summary'!I$2) +SUMIFS(cc_table[Amount],cc_table[Short_Desc],'Short Desc Summary'!$B63,cc_table[Date],'Short Desc Summary'!I$2) +SUMIFS(bb_table[Amount],bb_table[Short_Desc],'Short Desc Summary'!$B63,bb_table[Date],'Short Desc Summary'!I$2)</f>
        <v>0</v>
      </c>
      <c r="J63" s="8">
        <f>SUMIFS(dis_table[Amount],dis_table[Short_Desc],'Short Desc Summary'!$B63,dis_table[Date],'Short Desc Summary'!J$2) +SUMIFS(cc_table[Amount],cc_table[Short_Desc],'Short Desc Summary'!$B63,cc_table[Date],'Short Desc Summary'!J$2) +SUMIFS(bb_table[Amount],bb_table[Short_Desc],'Short Desc Summary'!$B63,bb_table[Date],'Short Desc Summary'!J$2)</f>
        <v>87</v>
      </c>
    </row>
    <row r="64" spans="1:10" x14ac:dyDescent="0.25">
      <c r="A64" t="str">
        <f>VLOOKUP(B64,dis_table[[#All],[Short_Desc]:[Category_2]],4,0)</f>
        <v>Recreation_Entertainment</v>
      </c>
      <c r="B64" t="s">
        <v>281</v>
      </c>
      <c r="C64" t="str">
        <f>VLOOKUP(B64,dis_table[[#All],[Short_Desc]:[Reoccurring_Flag]],3,0)</f>
        <v>No</v>
      </c>
      <c r="D64" s="8">
        <f>SUMIFS(dis_table[Amount],dis_table[Short_Desc],'Short Desc Summary'!$B64,dis_table[Date],'Short Desc Summary'!D$2) +SUMIFS(cc_table[Amount],cc_table[Short_Desc],'Short Desc Summary'!$B64,cc_table[Date],'Short Desc Summary'!D$2) +SUMIFS(bb_table[Amount],bb_table[Short_Desc],'Short Desc Summary'!$B64,bb_table[Date],'Short Desc Summary'!D$2)</f>
        <v>0</v>
      </c>
      <c r="E64" s="8">
        <f>SUMIFS(dis_table[Amount],dis_table[Short_Desc],'Short Desc Summary'!$B64,dis_table[Date],'Short Desc Summary'!E$2) +SUMIFS(cc_table[Amount],cc_table[Short_Desc],'Short Desc Summary'!$B64,cc_table[Date],'Short Desc Summary'!E$2) +SUMIFS(bb_table[Amount],bb_table[Short_Desc],'Short Desc Summary'!$B64,bb_table[Date],'Short Desc Summary'!E$2)</f>
        <v>0</v>
      </c>
      <c r="F64" s="8">
        <f>SUMIFS(dis_table[Amount],dis_table[Short_Desc],'Short Desc Summary'!$B64,dis_table[Date],'Short Desc Summary'!F$2) +SUMIFS(cc_table[Amount],cc_table[Short_Desc],'Short Desc Summary'!$B64,cc_table[Date],'Short Desc Summary'!F$2) +SUMIFS(bb_table[Amount],bb_table[Short_Desc],'Short Desc Summary'!$B64,bb_table[Date],'Short Desc Summary'!F$2)</f>
        <v>0</v>
      </c>
      <c r="G64" s="8">
        <f>SUMIFS(dis_table[Amount],dis_table[Short_Desc],'Short Desc Summary'!$B64,dis_table[Date],'Short Desc Summary'!G$2) +SUMIFS(cc_table[Amount],cc_table[Short_Desc],'Short Desc Summary'!$B64,cc_table[Date],'Short Desc Summary'!G$2) +SUMIFS(bb_table[Amount],bb_table[Short_Desc],'Short Desc Summary'!$B64,bb_table[Date],'Short Desc Summary'!G$2)</f>
        <v>44</v>
      </c>
      <c r="H64" s="8">
        <f>SUMIFS(dis_table[Amount],dis_table[Short_Desc],'Short Desc Summary'!$B64,dis_table[Date],'Short Desc Summary'!H$2) +SUMIFS(cc_table[Amount],cc_table[Short_Desc],'Short Desc Summary'!$B64,cc_table[Date],'Short Desc Summary'!H$2) +SUMIFS(bb_table[Amount],bb_table[Short_Desc],'Short Desc Summary'!$B64,bb_table[Date],'Short Desc Summary'!H$2)</f>
        <v>0</v>
      </c>
      <c r="I64" s="8">
        <f>SUMIFS(dis_table[Amount],dis_table[Short_Desc],'Short Desc Summary'!$B64,dis_table[Date],'Short Desc Summary'!I$2) +SUMIFS(cc_table[Amount],cc_table[Short_Desc],'Short Desc Summary'!$B64,cc_table[Date],'Short Desc Summary'!I$2) +SUMIFS(bb_table[Amount],bb_table[Short_Desc],'Short Desc Summary'!$B64,bb_table[Date],'Short Desc Summary'!I$2)</f>
        <v>0</v>
      </c>
      <c r="J64" s="8">
        <f>SUMIFS(dis_table[Amount],dis_table[Short_Desc],'Short Desc Summary'!$B64,dis_table[Date],'Short Desc Summary'!J$2) +SUMIFS(cc_table[Amount],cc_table[Short_Desc],'Short Desc Summary'!$B64,cc_table[Date],'Short Desc Summary'!J$2) +SUMIFS(bb_table[Amount],bb_table[Short_Desc],'Short Desc Summary'!$B64,bb_table[Date],'Short Desc Summary'!J$2)</f>
        <v>20</v>
      </c>
    </row>
    <row r="65" spans="1:10" x14ac:dyDescent="0.25">
      <c r="A65" t="str">
        <f>VLOOKUP(B65,dis_table[[#All],[Short_Desc]:[Category_2]],4,0)</f>
        <v>Recreation_Entertainment</v>
      </c>
      <c r="B65" t="s">
        <v>284</v>
      </c>
      <c r="C65" t="str">
        <f>VLOOKUP(B65,dis_table[[#All],[Short_Desc]:[Reoccurring_Flag]],3,0)</f>
        <v>Yes</v>
      </c>
      <c r="D65" s="8">
        <f>SUMIFS(dis_table[Amount],dis_table[Short_Desc],'Short Desc Summary'!$B65,dis_table[Date],'Short Desc Summary'!D$2) +SUMIFS(cc_table[Amount],cc_table[Short_Desc],'Short Desc Summary'!$B65,cc_table[Date],'Short Desc Summary'!D$2) +SUMIFS(bb_table[Amount],bb_table[Short_Desc],'Short Desc Summary'!$B65,bb_table[Date],'Short Desc Summary'!D$2)</f>
        <v>0</v>
      </c>
      <c r="E65" s="8">
        <f>SUMIFS(dis_table[Amount],dis_table[Short_Desc],'Short Desc Summary'!$B65,dis_table[Date],'Short Desc Summary'!E$2) +SUMIFS(cc_table[Amount],cc_table[Short_Desc],'Short Desc Summary'!$B65,cc_table[Date],'Short Desc Summary'!E$2) +SUMIFS(bb_table[Amount],bb_table[Short_Desc],'Short Desc Summary'!$B65,bb_table[Date],'Short Desc Summary'!E$2)</f>
        <v>0</v>
      </c>
      <c r="F65" s="8">
        <f>SUMIFS(dis_table[Amount],dis_table[Short_Desc],'Short Desc Summary'!$B65,dis_table[Date],'Short Desc Summary'!F$2) +SUMIFS(cc_table[Amount],cc_table[Short_Desc],'Short Desc Summary'!$B65,cc_table[Date],'Short Desc Summary'!F$2) +SUMIFS(bb_table[Amount],bb_table[Short_Desc],'Short Desc Summary'!$B65,bb_table[Date],'Short Desc Summary'!F$2)</f>
        <v>0</v>
      </c>
      <c r="G65" s="8">
        <f>SUMIFS(dis_table[Amount],dis_table[Short_Desc],'Short Desc Summary'!$B65,dis_table[Date],'Short Desc Summary'!G$2) +SUMIFS(cc_table[Amount],cc_table[Short_Desc],'Short Desc Summary'!$B65,cc_table[Date],'Short Desc Summary'!G$2) +SUMIFS(bb_table[Amount],bb_table[Short_Desc],'Short Desc Summary'!$B65,bb_table[Date],'Short Desc Summary'!G$2)</f>
        <v>50</v>
      </c>
      <c r="H65" s="8">
        <f>SUMIFS(dis_table[Amount],dis_table[Short_Desc],'Short Desc Summary'!$B65,dis_table[Date],'Short Desc Summary'!H$2) +SUMIFS(cc_table[Amount],cc_table[Short_Desc],'Short Desc Summary'!$B65,cc_table[Date],'Short Desc Summary'!H$2) +SUMIFS(bb_table[Amount],bb_table[Short_Desc],'Short Desc Summary'!$B65,bb_table[Date],'Short Desc Summary'!H$2)</f>
        <v>0</v>
      </c>
      <c r="I65" s="8">
        <f>SUMIFS(dis_table[Amount],dis_table[Short_Desc],'Short Desc Summary'!$B65,dis_table[Date],'Short Desc Summary'!I$2) +SUMIFS(cc_table[Amount],cc_table[Short_Desc],'Short Desc Summary'!$B65,cc_table[Date],'Short Desc Summary'!I$2) +SUMIFS(bb_table[Amount],bb_table[Short_Desc],'Short Desc Summary'!$B65,bb_table[Date],'Short Desc Summary'!I$2)</f>
        <v>0</v>
      </c>
      <c r="J65" s="8">
        <f>SUMIFS(dis_table[Amount],dis_table[Short_Desc],'Short Desc Summary'!$B65,dis_table[Date],'Short Desc Summary'!J$2) +SUMIFS(cc_table[Amount],cc_table[Short_Desc],'Short Desc Summary'!$B65,cc_table[Date],'Short Desc Summary'!J$2) +SUMIFS(bb_table[Amount],bb_table[Short_Desc],'Short Desc Summary'!$B65,bb_table[Date],'Short Desc Summary'!J$2)</f>
        <v>0</v>
      </c>
    </row>
    <row r="66" spans="1:10" x14ac:dyDescent="0.25">
      <c r="A66" t="str">
        <f>VLOOKUP(B66,dis_table[[#All],[Short_Desc]:[Category_2]],4,0)</f>
        <v>Recreation_Entertainment</v>
      </c>
      <c r="B66" t="s">
        <v>289</v>
      </c>
      <c r="C66" t="str">
        <f>VLOOKUP(B66,dis_table[[#All],[Short_Desc]:[Reoccurring_Flag]],3,0)</f>
        <v>No</v>
      </c>
      <c r="D66" s="8">
        <f>SUMIFS(dis_table[Amount],dis_table[Short_Desc],'Short Desc Summary'!$B66,dis_table[Date],'Short Desc Summary'!D$2) +SUMIFS(cc_table[Amount],cc_table[Short_Desc],'Short Desc Summary'!$B66,cc_table[Date],'Short Desc Summary'!D$2) +SUMIFS(bb_table[Amount],bb_table[Short_Desc],'Short Desc Summary'!$B66,bb_table[Date],'Short Desc Summary'!D$2)</f>
        <v>0</v>
      </c>
      <c r="E66" s="8">
        <f>SUMIFS(dis_table[Amount],dis_table[Short_Desc],'Short Desc Summary'!$B66,dis_table[Date],'Short Desc Summary'!E$2) +SUMIFS(cc_table[Amount],cc_table[Short_Desc],'Short Desc Summary'!$B66,cc_table[Date],'Short Desc Summary'!E$2) +SUMIFS(bb_table[Amount],bb_table[Short_Desc],'Short Desc Summary'!$B66,bb_table[Date],'Short Desc Summary'!E$2)</f>
        <v>0</v>
      </c>
      <c r="F66" s="8">
        <f>SUMIFS(dis_table[Amount],dis_table[Short_Desc],'Short Desc Summary'!$B66,dis_table[Date],'Short Desc Summary'!F$2) +SUMIFS(cc_table[Amount],cc_table[Short_Desc],'Short Desc Summary'!$B66,cc_table[Date],'Short Desc Summary'!F$2) +SUMIFS(bb_table[Amount],bb_table[Short_Desc],'Short Desc Summary'!$B66,bb_table[Date],'Short Desc Summary'!F$2)</f>
        <v>0</v>
      </c>
      <c r="G66" s="8">
        <f>SUMIFS(dis_table[Amount],dis_table[Short_Desc],'Short Desc Summary'!$B66,dis_table[Date],'Short Desc Summary'!G$2) +SUMIFS(cc_table[Amount],cc_table[Short_Desc],'Short Desc Summary'!$B66,cc_table[Date],'Short Desc Summary'!G$2) +SUMIFS(bb_table[Amount],bb_table[Short_Desc],'Short Desc Summary'!$B66,bb_table[Date],'Short Desc Summary'!G$2)</f>
        <v>0</v>
      </c>
      <c r="H66" s="8">
        <f>SUMIFS(dis_table[Amount],dis_table[Short_Desc],'Short Desc Summary'!$B66,dis_table[Date],'Short Desc Summary'!H$2) +SUMIFS(cc_table[Amount],cc_table[Short_Desc],'Short Desc Summary'!$B66,cc_table[Date],'Short Desc Summary'!H$2) +SUMIFS(bb_table[Amount],bb_table[Short_Desc],'Short Desc Summary'!$B66,bb_table[Date],'Short Desc Summary'!H$2)</f>
        <v>45.67</v>
      </c>
      <c r="I66" s="8">
        <f>SUMIFS(dis_table[Amount],dis_table[Short_Desc],'Short Desc Summary'!$B66,dis_table[Date],'Short Desc Summary'!I$2) +SUMIFS(cc_table[Amount],cc_table[Short_Desc],'Short Desc Summary'!$B66,cc_table[Date],'Short Desc Summary'!I$2) +SUMIFS(bb_table[Amount],bb_table[Short_Desc],'Short Desc Summary'!$B66,bb_table[Date],'Short Desc Summary'!I$2)</f>
        <v>0</v>
      </c>
      <c r="J66" s="8">
        <f>SUMIFS(dis_table[Amount],dis_table[Short_Desc],'Short Desc Summary'!$B66,dis_table[Date],'Short Desc Summary'!J$2) +SUMIFS(cc_table[Amount],cc_table[Short_Desc],'Short Desc Summary'!$B66,cc_table[Date],'Short Desc Summary'!J$2) +SUMIFS(bb_table[Amount],bb_table[Short_Desc],'Short Desc Summary'!$B66,bb_table[Date],'Short Desc Summary'!J$2)</f>
        <v>0</v>
      </c>
    </row>
    <row r="67" spans="1:10" x14ac:dyDescent="0.25">
      <c r="A67" t="str">
        <f>VLOOKUP(B67,dis_table[[#All],[Short_Desc]:[Category_2]],4,0)</f>
        <v>Recreation_Entertainment</v>
      </c>
      <c r="B67" t="s">
        <v>294</v>
      </c>
      <c r="C67" t="str">
        <f>VLOOKUP(B67,dis_table[[#All],[Short_Desc]:[Reoccurring_Flag]],3,0)</f>
        <v>No</v>
      </c>
      <c r="D67" s="8">
        <f>SUMIFS(dis_table[Amount],dis_table[Short_Desc],'Short Desc Summary'!$B67,dis_table[Date],'Short Desc Summary'!D$2) +SUMIFS(cc_table[Amount],cc_table[Short_Desc],'Short Desc Summary'!$B67,cc_table[Date],'Short Desc Summary'!D$2) +SUMIFS(bb_table[Amount],bb_table[Short_Desc],'Short Desc Summary'!$B67,bb_table[Date],'Short Desc Summary'!D$2)</f>
        <v>0</v>
      </c>
      <c r="E67" s="8">
        <f>SUMIFS(dis_table[Amount],dis_table[Short_Desc],'Short Desc Summary'!$B67,dis_table[Date],'Short Desc Summary'!E$2) +SUMIFS(cc_table[Amount],cc_table[Short_Desc],'Short Desc Summary'!$B67,cc_table[Date],'Short Desc Summary'!E$2) +SUMIFS(bb_table[Amount],bb_table[Short_Desc],'Short Desc Summary'!$B67,bb_table[Date],'Short Desc Summary'!E$2)</f>
        <v>0</v>
      </c>
      <c r="F67" s="8">
        <f>SUMIFS(dis_table[Amount],dis_table[Short_Desc],'Short Desc Summary'!$B67,dis_table[Date],'Short Desc Summary'!F$2) +SUMIFS(cc_table[Amount],cc_table[Short_Desc],'Short Desc Summary'!$B67,cc_table[Date],'Short Desc Summary'!F$2) +SUMIFS(bb_table[Amount],bb_table[Short_Desc],'Short Desc Summary'!$B67,bb_table[Date],'Short Desc Summary'!F$2)</f>
        <v>0</v>
      </c>
      <c r="G67" s="8">
        <f>SUMIFS(dis_table[Amount],dis_table[Short_Desc],'Short Desc Summary'!$B67,dis_table[Date],'Short Desc Summary'!G$2) +SUMIFS(cc_table[Amount],cc_table[Short_Desc],'Short Desc Summary'!$B67,cc_table[Date],'Short Desc Summary'!G$2) +SUMIFS(bb_table[Amount],bb_table[Short_Desc],'Short Desc Summary'!$B67,bb_table[Date],'Short Desc Summary'!G$2)</f>
        <v>0</v>
      </c>
      <c r="H67" s="8">
        <f>SUMIFS(dis_table[Amount],dis_table[Short_Desc],'Short Desc Summary'!$B67,dis_table[Date],'Short Desc Summary'!H$2) +SUMIFS(cc_table[Amount],cc_table[Short_Desc],'Short Desc Summary'!$B67,cc_table[Date],'Short Desc Summary'!H$2) +SUMIFS(bb_table[Amount],bb_table[Short_Desc],'Short Desc Summary'!$B67,bb_table[Date],'Short Desc Summary'!H$2)</f>
        <v>847.09</v>
      </c>
      <c r="I67" s="8">
        <f>SUMIFS(dis_table[Amount],dis_table[Short_Desc],'Short Desc Summary'!$B67,dis_table[Date],'Short Desc Summary'!I$2) +SUMIFS(cc_table[Amount],cc_table[Short_Desc],'Short Desc Summary'!$B67,cc_table[Date],'Short Desc Summary'!I$2) +SUMIFS(bb_table[Amount],bb_table[Short_Desc],'Short Desc Summary'!$B67,bb_table[Date],'Short Desc Summary'!I$2)</f>
        <v>0</v>
      </c>
      <c r="J67" s="8">
        <f>SUMIFS(dis_table[Amount],dis_table[Short_Desc],'Short Desc Summary'!$B67,dis_table[Date],'Short Desc Summary'!J$2) +SUMIFS(cc_table[Amount],cc_table[Short_Desc],'Short Desc Summary'!$B67,cc_table[Date],'Short Desc Summary'!J$2) +SUMIFS(bb_table[Amount],bb_table[Short_Desc],'Short Desc Summary'!$B67,bb_table[Date],'Short Desc Summary'!J$2)</f>
        <v>139.25</v>
      </c>
    </row>
    <row r="68" spans="1:10" x14ac:dyDescent="0.25">
      <c r="A68" t="str">
        <f>VLOOKUP(B68,dis_table[[#All],[Short_Desc]:[Category_2]],4,0)</f>
        <v>Recreation_Entertainment</v>
      </c>
      <c r="B68" t="s">
        <v>305</v>
      </c>
      <c r="C68" t="str">
        <f>VLOOKUP(B68,dis_table[[#All],[Short_Desc]:[Reoccurring_Flag]],3,0)</f>
        <v>Yes</v>
      </c>
      <c r="D68" s="8">
        <f>SUMIFS(dis_table[Amount],dis_table[Short_Desc],'Short Desc Summary'!$B68,dis_table[Date],'Short Desc Summary'!D$2) +SUMIFS(cc_table[Amount],cc_table[Short_Desc],'Short Desc Summary'!$B68,cc_table[Date],'Short Desc Summary'!D$2) +SUMIFS(bb_table[Amount],bb_table[Short_Desc],'Short Desc Summary'!$B68,bb_table[Date],'Short Desc Summary'!D$2)</f>
        <v>0</v>
      </c>
      <c r="E68" s="8">
        <f>SUMIFS(dis_table[Amount],dis_table[Short_Desc],'Short Desc Summary'!$B68,dis_table[Date],'Short Desc Summary'!E$2) +SUMIFS(cc_table[Amount],cc_table[Short_Desc],'Short Desc Summary'!$B68,cc_table[Date],'Short Desc Summary'!E$2) +SUMIFS(bb_table[Amount],bb_table[Short_Desc],'Short Desc Summary'!$B68,bb_table[Date],'Short Desc Summary'!E$2)</f>
        <v>0</v>
      </c>
      <c r="F68" s="8">
        <f>SUMIFS(dis_table[Amount],dis_table[Short_Desc],'Short Desc Summary'!$B68,dis_table[Date],'Short Desc Summary'!F$2) +SUMIFS(cc_table[Amount],cc_table[Short_Desc],'Short Desc Summary'!$B68,cc_table[Date],'Short Desc Summary'!F$2) +SUMIFS(bb_table[Amount],bb_table[Short_Desc],'Short Desc Summary'!$B68,bb_table[Date],'Short Desc Summary'!F$2)</f>
        <v>0</v>
      </c>
      <c r="G68" s="8">
        <f>SUMIFS(dis_table[Amount],dis_table[Short_Desc],'Short Desc Summary'!$B68,dis_table[Date],'Short Desc Summary'!G$2) +SUMIFS(cc_table[Amount],cc_table[Short_Desc],'Short Desc Summary'!$B68,cc_table[Date],'Short Desc Summary'!G$2) +SUMIFS(bb_table[Amount],bb_table[Short_Desc],'Short Desc Summary'!$B68,bb_table[Date],'Short Desc Summary'!G$2)</f>
        <v>0</v>
      </c>
      <c r="H68" s="8">
        <f>SUMIFS(dis_table[Amount],dis_table[Short_Desc],'Short Desc Summary'!$B68,dis_table[Date],'Short Desc Summary'!H$2) +SUMIFS(cc_table[Amount],cc_table[Short_Desc],'Short Desc Summary'!$B68,cc_table[Date],'Short Desc Summary'!H$2) +SUMIFS(bb_table[Amount],bb_table[Short_Desc],'Short Desc Summary'!$B68,bb_table[Date],'Short Desc Summary'!H$2)</f>
        <v>10.85</v>
      </c>
      <c r="I68" s="8">
        <f>SUMIFS(dis_table[Amount],dis_table[Short_Desc],'Short Desc Summary'!$B68,dis_table[Date],'Short Desc Summary'!I$2) +SUMIFS(cc_table[Amount],cc_table[Short_Desc],'Short Desc Summary'!$B68,cc_table[Date],'Short Desc Summary'!I$2) +SUMIFS(bb_table[Amount],bb_table[Short_Desc],'Short Desc Summary'!$B68,bb_table[Date],'Short Desc Summary'!I$2)</f>
        <v>10.85</v>
      </c>
      <c r="J68" s="8">
        <f>SUMIFS(dis_table[Amount],dis_table[Short_Desc],'Short Desc Summary'!$B68,dis_table[Date],'Short Desc Summary'!J$2) +SUMIFS(cc_table[Amount],cc_table[Short_Desc],'Short Desc Summary'!$B68,cc_table[Date],'Short Desc Summary'!J$2) +SUMIFS(bb_table[Amount],bb_table[Short_Desc],'Short Desc Summary'!$B68,bb_table[Date],'Short Desc Summary'!J$2)</f>
        <v>10.85</v>
      </c>
    </row>
    <row r="69" spans="1:10" x14ac:dyDescent="0.25">
      <c r="A69" t="str">
        <f>VLOOKUP(B69,dis_table[[#All],[Short_Desc]:[Category_2]],4,0)</f>
        <v>Recreation_Entertainment</v>
      </c>
      <c r="B69" t="s">
        <v>316</v>
      </c>
      <c r="C69" t="str">
        <f>VLOOKUP(B69,dis_table[[#All],[Short_Desc]:[Reoccurring_Flag]],3,0)</f>
        <v>No</v>
      </c>
      <c r="D69" s="8">
        <f>SUMIFS(dis_table[Amount],dis_table[Short_Desc],'Short Desc Summary'!$B69,dis_table[Date],'Short Desc Summary'!D$2) +SUMIFS(cc_table[Amount],cc_table[Short_Desc],'Short Desc Summary'!$B69,cc_table[Date],'Short Desc Summary'!D$2) +SUMIFS(bb_table[Amount],bb_table[Short_Desc],'Short Desc Summary'!$B69,bb_table[Date],'Short Desc Summary'!D$2)</f>
        <v>0</v>
      </c>
      <c r="E69" s="8">
        <f>SUMIFS(dis_table[Amount],dis_table[Short_Desc],'Short Desc Summary'!$B69,dis_table[Date],'Short Desc Summary'!E$2) +SUMIFS(cc_table[Amount],cc_table[Short_Desc],'Short Desc Summary'!$B69,cc_table[Date],'Short Desc Summary'!E$2) +SUMIFS(bb_table[Amount],bb_table[Short_Desc],'Short Desc Summary'!$B69,bb_table[Date],'Short Desc Summary'!E$2)</f>
        <v>0</v>
      </c>
      <c r="F69" s="8">
        <f>SUMIFS(dis_table[Amount],dis_table[Short_Desc],'Short Desc Summary'!$B69,dis_table[Date],'Short Desc Summary'!F$2) +SUMIFS(cc_table[Amount],cc_table[Short_Desc],'Short Desc Summary'!$B69,cc_table[Date],'Short Desc Summary'!F$2) +SUMIFS(bb_table[Amount],bb_table[Short_Desc],'Short Desc Summary'!$B69,bb_table[Date],'Short Desc Summary'!F$2)</f>
        <v>0</v>
      </c>
      <c r="G69" s="8">
        <f>SUMIFS(dis_table[Amount],dis_table[Short_Desc],'Short Desc Summary'!$B69,dis_table[Date],'Short Desc Summary'!G$2) +SUMIFS(cc_table[Amount],cc_table[Short_Desc],'Short Desc Summary'!$B69,cc_table[Date],'Short Desc Summary'!G$2) +SUMIFS(bb_table[Amount],bb_table[Short_Desc],'Short Desc Summary'!$B69,bb_table[Date],'Short Desc Summary'!G$2)</f>
        <v>0</v>
      </c>
      <c r="H69" s="8">
        <f>SUMIFS(dis_table[Amount],dis_table[Short_Desc],'Short Desc Summary'!$B69,dis_table[Date],'Short Desc Summary'!H$2) +SUMIFS(cc_table[Amount],cc_table[Short_Desc],'Short Desc Summary'!$B69,cc_table[Date],'Short Desc Summary'!H$2) +SUMIFS(bb_table[Amount],bb_table[Short_Desc],'Short Desc Summary'!$B69,bb_table[Date],'Short Desc Summary'!H$2)</f>
        <v>322.19999999999993</v>
      </c>
      <c r="I69" s="8">
        <f>SUMIFS(dis_table[Amount],dis_table[Short_Desc],'Short Desc Summary'!$B69,dis_table[Date],'Short Desc Summary'!I$2) +SUMIFS(cc_table[Amount],cc_table[Short_Desc],'Short Desc Summary'!$B69,cc_table[Date],'Short Desc Summary'!I$2) +SUMIFS(bb_table[Amount],bb_table[Short_Desc],'Short Desc Summary'!$B69,bb_table[Date],'Short Desc Summary'!I$2)</f>
        <v>104.19</v>
      </c>
      <c r="J69" s="8">
        <f>SUMIFS(dis_table[Amount],dis_table[Short_Desc],'Short Desc Summary'!$B69,dis_table[Date],'Short Desc Summary'!J$2) +SUMIFS(cc_table[Amount],cc_table[Short_Desc],'Short Desc Summary'!$B69,cc_table[Date],'Short Desc Summary'!J$2) +SUMIFS(bb_table[Amount],bb_table[Short_Desc],'Short Desc Summary'!$B69,bb_table[Date],'Short Desc Summary'!J$2)</f>
        <v>0</v>
      </c>
    </row>
    <row r="70" spans="1:10" x14ac:dyDescent="0.25">
      <c r="A70" t="str">
        <f>VLOOKUP(B70,dis_table[[#All],[Short_Desc]:[Category_2]],4,0)</f>
        <v>Recreation_Entertainment</v>
      </c>
      <c r="B70" t="s">
        <v>337</v>
      </c>
      <c r="C70" t="str">
        <f>VLOOKUP(B70,dis_table[[#All],[Short_Desc]:[Reoccurring_Flag]],3,0)</f>
        <v>Yes</v>
      </c>
      <c r="D70" s="8">
        <f>SUMIFS(dis_table[Amount],dis_table[Short_Desc],'Short Desc Summary'!$B70,dis_table[Date],'Short Desc Summary'!D$2) +SUMIFS(cc_table[Amount],cc_table[Short_Desc],'Short Desc Summary'!$B70,cc_table[Date],'Short Desc Summary'!D$2) +SUMIFS(bb_table[Amount],bb_table[Short_Desc],'Short Desc Summary'!$B70,bb_table[Date],'Short Desc Summary'!D$2)</f>
        <v>0</v>
      </c>
      <c r="E70" s="8">
        <f>SUMIFS(dis_table[Amount],dis_table[Short_Desc],'Short Desc Summary'!$B70,dis_table[Date],'Short Desc Summary'!E$2) +SUMIFS(cc_table[Amount],cc_table[Short_Desc],'Short Desc Summary'!$B70,cc_table[Date],'Short Desc Summary'!E$2) +SUMIFS(bb_table[Amount],bb_table[Short_Desc],'Short Desc Summary'!$B70,bb_table[Date],'Short Desc Summary'!E$2)</f>
        <v>0</v>
      </c>
      <c r="F70" s="8">
        <f>SUMIFS(dis_table[Amount],dis_table[Short_Desc],'Short Desc Summary'!$B70,dis_table[Date],'Short Desc Summary'!F$2) +SUMIFS(cc_table[Amount],cc_table[Short_Desc],'Short Desc Summary'!$B70,cc_table[Date],'Short Desc Summary'!F$2) +SUMIFS(bb_table[Amount],bb_table[Short_Desc],'Short Desc Summary'!$B70,bb_table[Date],'Short Desc Summary'!F$2)</f>
        <v>0</v>
      </c>
      <c r="G70" s="8">
        <f>SUMIFS(dis_table[Amount],dis_table[Short_Desc],'Short Desc Summary'!$B70,dis_table[Date],'Short Desc Summary'!G$2) +SUMIFS(cc_table[Amount],cc_table[Short_Desc],'Short Desc Summary'!$B70,cc_table[Date],'Short Desc Summary'!G$2) +SUMIFS(bb_table[Amount],bb_table[Short_Desc],'Short Desc Summary'!$B70,bb_table[Date],'Short Desc Summary'!G$2)</f>
        <v>0</v>
      </c>
      <c r="H70" s="8">
        <f>SUMIFS(dis_table[Amount],dis_table[Short_Desc],'Short Desc Summary'!$B70,dis_table[Date],'Short Desc Summary'!H$2) +SUMIFS(cc_table[Amount],cc_table[Short_Desc],'Short Desc Summary'!$B70,cc_table[Date],'Short Desc Summary'!H$2) +SUMIFS(bb_table[Amount],bb_table[Short_Desc],'Short Desc Summary'!$B70,bb_table[Date],'Short Desc Summary'!H$2)</f>
        <v>3.17</v>
      </c>
      <c r="I70" s="8">
        <f>SUMIFS(dis_table[Amount],dis_table[Short_Desc],'Short Desc Summary'!$B70,dis_table[Date],'Short Desc Summary'!I$2) +SUMIFS(cc_table[Amount],cc_table[Short_Desc],'Short Desc Summary'!$B70,cc_table[Date],'Short Desc Summary'!I$2) +SUMIFS(bb_table[Amount],bb_table[Short_Desc],'Short Desc Summary'!$B70,bb_table[Date],'Short Desc Summary'!I$2)</f>
        <v>3.17</v>
      </c>
      <c r="J70" s="8">
        <f>SUMIFS(dis_table[Amount],dis_table[Short_Desc],'Short Desc Summary'!$B70,dis_table[Date],'Short Desc Summary'!J$2) +SUMIFS(cc_table[Amount],cc_table[Short_Desc],'Short Desc Summary'!$B70,cc_table[Date],'Short Desc Summary'!J$2) +SUMIFS(bb_table[Amount],bb_table[Short_Desc],'Short Desc Summary'!$B70,bb_table[Date],'Short Desc Summary'!J$2)</f>
        <v>0</v>
      </c>
    </row>
    <row r="71" spans="1:10" x14ac:dyDescent="0.25">
      <c r="A71" t="str">
        <f>VLOOKUP(B71,dis_table[[#All],[Short_Desc]:[Category_2]],4,0)</f>
        <v>Recreation_Entertainment</v>
      </c>
      <c r="B71" t="s">
        <v>362</v>
      </c>
      <c r="C71" t="str">
        <f>VLOOKUP(B71,dis_table[[#All],[Short_Desc]:[Reoccurring_Flag]],3,0)</f>
        <v>No</v>
      </c>
      <c r="D71" s="8">
        <f>SUMIFS(dis_table[Amount],dis_table[Short_Desc],'Short Desc Summary'!$B71,dis_table[Date],'Short Desc Summary'!D$2) +SUMIFS(cc_table[Amount],cc_table[Short_Desc],'Short Desc Summary'!$B71,cc_table[Date],'Short Desc Summary'!D$2) +SUMIFS(bb_table[Amount],bb_table[Short_Desc],'Short Desc Summary'!$B71,bb_table[Date],'Short Desc Summary'!D$2)</f>
        <v>0</v>
      </c>
      <c r="E71" s="8">
        <f>SUMIFS(dis_table[Amount],dis_table[Short_Desc],'Short Desc Summary'!$B71,dis_table[Date],'Short Desc Summary'!E$2) +SUMIFS(cc_table[Amount],cc_table[Short_Desc],'Short Desc Summary'!$B71,cc_table[Date],'Short Desc Summary'!E$2) +SUMIFS(bb_table[Amount],bb_table[Short_Desc],'Short Desc Summary'!$B71,bb_table[Date],'Short Desc Summary'!E$2)</f>
        <v>0</v>
      </c>
      <c r="F71" s="8">
        <f>SUMIFS(dis_table[Amount],dis_table[Short_Desc],'Short Desc Summary'!$B71,dis_table[Date],'Short Desc Summary'!F$2) +SUMIFS(cc_table[Amount],cc_table[Short_Desc],'Short Desc Summary'!$B71,cc_table[Date],'Short Desc Summary'!F$2) +SUMIFS(bb_table[Amount],bb_table[Short_Desc],'Short Desc Summary'!$B71,bb_table[Date],'Short Desc Summary'!F$2)</f>
        <v>0</v>
      </c>
      <c r="G71" s="8">
        <f>SUMIFS(dis_table[Amount],dis_table[Short_Desc],'Short Desc Summary'!$B71,dis_table[Date],'Short Desc Summary'!G$2) +SUMIFS(cc_table[Amount],cc_table[Short_Desc],'Short Desc Summary'!$B71,cc_table[Date],'Short Desc Summary'!G$2) +SUMIFS(bb_table[Amount],bb_table[Short_Desc],'Short Desc Summary'!$B71,bb_table[Date],'Short Desc Summary'!G$2)</f>
        <v>0</v>
      </c>
      <c r="H71" s="8">
        <f>SUMIFS(dis_table[Amount],dis_table[Short_Desc],'Short Desc Summary'!$B71,dis_table[Date],'Short Desc Summary'!H$2) +SUMIFS(cc_table[Amount],cc_table[Short_Desc],'Short Desc Summary'!$B71,cc_table[Date],'Short Desc Summary'!H$2) +SUMIFS(bb_table[Amount],bb_table[Short_Desc],'Short Desc Summary'!$B71,bb_table[Date],'Short Desc Summary'!H$2)</f>
        <v>64.73</v>
      </c>
      <c r="I71" s="8">
        <f>SUMIFS(dis_table[Amount],dis_table[Short_Desc],'Short Desc Summary'!$B71,dis_table[Date],'Short Desc Summary'!I$2) +SUMIFS(cc_table[Amount],cc_table[Short_Desc],'Short Desc Summary'!$B71,cc_table[Date],'Short Desc Summary'!I$2) +SUMIFS(bb_table[Amount],bb_table[Short_Desc],'Short Desc Summary'!$B71,bb_table[Date],'Short Desc Summary'!I$2)</f>
        <v>0</v>
      </c>
      <c r="J71" s="8">
        <f>SUMIFS(dis_table[Amount],dis_table[Short_Desc],'Short Desc Summary'!$B71,dis_table[Date],'Short Desc Summary'!J$2) +SUMIFS(cc_table[Amount],cc_table[Short_Desc],'Short Desc Summary'!$B71,cc_table[Date],'Short Desc Summary'!J$2) +SUMIFS(bb_table[Amount],bb_table[Short_Desc],'Short Desc Summary'!$B71,bb_table[Date],'Short Desc Summary'!J$2)</f>
        <v>0</v>
      </c>
    </row>
    <row r="72" spans="1:10" x14ac:dyDescent="0.25">
      <c r="A72" t="str">
        <f>VLOOKUP(B72,dis_table[[#All],[Short_Desc]:[Category_2]],4,0)</f>
        <v>Recreation_Entertainment</v>
      </c>
      <c r="B72" t="s">
        <v>446</v>
      </c>
      <c r="C72" t="str">
        <f>VLOOKUP(B72,dis_table[[#All],[Short_Desc]:[Reoccurring_Flag]],3,0)</f>
        <v>No</v>
      </c>
      <c r="D72" s="8">
        <f>SUMIFS(dis_table[Amount],dis_table[Short_Desc],'Short Desc Summary'!$B72,dis_table[Date],'Short Desc Summary'!D$2) +SUMIFS(cc_table[Amount],cc_table[Short_Desc],'Short Desc Summary'!$B72,cc_table[Date],'Short Desc Summary'!D$2) +SUMIFS(bb_table[Amount],bb_table[Short_Desc],'Short Desc Summary'!$B72,bb_table[Date],'Short Desc Summary'!D$2)</f>
        <v>0</v>
      </c>
      <c r="E72" s="8">
        <f>SUMIFS(dis_table[Amount],dis_table[Short_Desc],'Short Desc Summary'!$B72,dis_table[Date],'Short Desc Summary'!E$2) +SUMIFS(cc_table[Amount],cc_table[Short_Desc],'Short Desc Summary'!$B72,cc_table[Date],'Short Desc Summary'!E$2) +SUMIFS(bb_table[Amount],bb_table[Short_Desc],'Short Desc Summary'!$B72,bb_table[Date],'Short Desc Summary'!E$2)</f>
        <v>0</v>
      </c>
      <c r="F72" s="8">
        <f>SUMIFS(dis_table[Amount],dis_table[Short_Desc],'Short Desc Summary'!$B72,dis_table[Date],'Short Desc Summary'!F$2) +SUMIFS(cc_table[Amount],cc_table[Short_Desc],'Short Desc Summary'!$B72,cc_table[Date],'Short Desc Summary'!F$2) +SUMIFS(bb_table[Amount],bb_table[Short_Desc],'Short Desc Summary'!$B72,bb_table[Date],'Short Desc Summary'!F$2)</f>
        <v>0</v>
      </c>
      <c r="G72" s="8">
        <f>SUMIFS(dis_table[Amount],dis_table[Short_Desc],'Short Desc Summary'!$B72,dis_table[Date],'Short Desc Summary'!G$2) +SUMIFS(cc_table[Amount],cc_table[Short_Desc],'Short Desc Summary'!$B72,cc_table[Date],'Short Desc Summary'!G$2) +SUMIFS(bb_table[Amount],bb_table[Short_Desc],'Short Desc Summary'!$B72,bb_table[Date],'Short Desc Summary'!G$2)</f>
        <v>0</v>
      </c>
      <c r="H72" s="8">
        <f>SUMIFS(dis_table[Amount],dis_table[Short_Desc],'Short Desc Summary'!$B72,dis_table[Date],'Short Desc Summary'!H$2) +SUMIFS(cc_table[Amount],cc_table[Short_Desc],'Short Desc Summary'!$B72,cc_table[Date],'Short Desc Summary'!H$2) +SUMIFS(bb_table[Amount],bb_table[Short_Desc],'Short Desc Summary'!$B72,bb_table[Date],'Short Desc Summary'!H$2)</f>
        <v>0</v>
      </c>
      <c r="I72" s="8">
        <f>SUMIFS(dis_table[Amount],dis_table[Short_Desc],'Short Desc Summary'!$B72,dis_table[Date],'Short Desc Summary'!I$2) +SUMIFS(cc_table[Amount],cc_table[Short_Desc],'Short Desc Summary'!$B72,cc_table[Date],'Short Desc Summary'!I$2) +SUMIFS(bb_table[Amount],bb_table[Short_Desc],'Short Desc Summary'!$B72,bb_table[Date],'Short Desc Summary'!I$2)</f>
        <v>0</v>
      </c>
      <c r="J72" s="8">
        <f>SUMIFS(dis_table[Amount],dis_table[Short_Desc],'Short Desc Summary'!$B72,dis_table[Date],'Short Desc Summary'!J$2) +SUMIFS(cc_table[Amount],cc_table[Short_Desc],'Short Desc Summary'!$B72,cc_table[Date],'Short Desc Summary'!J$2) +SUMIFS(bb_table[Amount],bb_table[Short_Desc],'Short Desc Summary'!$B72,bb_table[Date],'Short Desc Summary'!J$2)</f>
        <v>61.22</v>
      </c>
    </row>
    <row r="73" spans="1:10" x14ac:dyDescent="0.25">
      <c r="A73" t="str">
        <f>VLOOKUP(B73,dis_table[[#All],[Short_Desc]:[Category_2]],4,0)</f>
        <v>Recreation_Entertainment</v>
      </c>
      <c r="B73" t="s">
        <v>481</v>
      </c>
      <c r="C73" t="str">
        <f>VLOOKUP(B73,dis_table[[#All],[Short_Desc]:[Reoccurring_Flag]],3,0)</f>
        <v>Yes</v>
      </c>
      <c r="D73" s="8">
        <f>SUMIFS(dis_table[Amount],dis_table[Short_Desc],'Short Desc Summary'!$B73,dis_table[Date],'Short Desc Summary'!D$2) +SUMIFS(cc_table[Amount],cc_table[Short_Desc],'Short Desc Summary'!$B73,cc_table[Date],'Short Desc Summary'!D$2) +SUMIFS(bb_table[Amount],bb_table[Short_Desc],'Short Desc Summary'!$B73,bb_table[Date],'Short Desc Summary'!D$2)</f>
        <v>0</v>
      </c>
      <c r="E73" s="8">
        <f>SUMIFS(dis_table[Amount],dis_table[Short_Desc],'Short Desc Summary'!$B73,dis_table[Date],'Short Desc Summary'!E$2) +SUMIFS(cc_table[Amount],cc_table[Short_Desc],'Short Desc Summary'!$B73,cc_table[Date],'Short Desc Summary'!E$2) +SUMIFS(bb_table[Amount],bb_table[Short_Desc],'Short Desc Summary'!$B73,bb_table[Date],'Short Desc Summary'!E$2)</f>
        <v>0</v>
      </c>
      <c r="F73" s="8">
        <f>SUMIFS(dis_table[Amount],dis_table[Short_Desc],'Short Desc Summary'!$B73,dis_table[Date],'Short Desc Summary'!F$2) +SUMIFS(cc_table[Amount],cc_table[Short_Desc],'Short Desc Summary'!$B73,cc_table[Date],'Short Desc Summary'!F$2) +SUMIFS(bb_table[Amount],bb_table[Short_Desc],'Short Desc Summary'!$B73,bb_table[Date],'Short Desc Summary'!F$2)</f>
        <v>0</v>
      </c>
      <c r="G73" s="8">
        <f>SUMIFS(dis_table[Amount],dis_table[Short_Desc],'Short Desc Summary'!$B73,dis_table[Date],'Short Desc Summary'!G$2) +SUMIFS(cc_table[Amount],cc_table[Short_Desc],'Short Desc Summary'!$B73,cc_table[Date],'Short Desc Summary'!G$2) +SUMIFS(bb_table[Amount],bb_table[Short_Desc],'Short Desc Summary'!$B73,bb_table[Date],'Short Desc Summary'!G$2)</f>
        <v>0</v>
      </c>
      <c r="H73" s="8">
        <f>SUMIFS(dis_table[Amount],dis_table[Short_Desc],'Short Desc Summary'!$B73,dis_table[Date],'Short Desc Summary'!H$2) +SUMIFS(cc_table[Amount],cc_table[Short_Desc],'Short Desc Summary'!$B73,cc_table[Date],'Short Desc Summary'!H$2) +SUMIFS(bb_table[Amount],bb_table[Short_Desc],'Short Desc Summary'!$B73,bb_table[Date],'Short Desc Summary'!H$2)</f>
        <v>0</v>
      </c>
      <c r="I73" s="8">
        <f>SUMIFS(dis_table[Amount],dis_table[Short_Desc],'Short Desc Summary'!$B73,dis_table[Date],'Short Desc Summary'!I$2) +SUMIFS(cc_table[Amount],cc_table[Short_Desc],'Short Desc Summary'!$B73,cc_table[Date],'Short Desc Summary'!I$2) +SUMIFS(bb_table[Amount],bb_table[Short_Desc],'Short Desc Summary'!$B73,bb_table[Date],'Short Desc Summary'!I$2)</f>
        <v>0</v>
      </c>
      <c r="J73" s="8">
        <f>SUMIFS(dis_table[Amount],dis_table[Short_Desc],'Short Desc Summary'!$B73,dis_table[Date],'Short Desc Summary'!J$2) +SUMIFS(cc_table[Amount],cc_table[Short_Desc],'Short Desc Summary'!$B73,cc_table[Date],'Short Desc Summary'!J$2) +SUMIFS(bb_table[Amount],bb_table[Short_Desc],'Short Desc Summary'!$B73,bb_table[Date],'Short Desc Summary'!J$2)</f>
        <v>0</v>
      </c>
    </row>
    <row r="74" spans="1:10" x14ac:dyDescent="0.25">
      <c r="A74" t="str">
        <f>VLOOKUP(B74,dis_table[[#All],[Short_Desc]:[Category_2]],4,0)</f>
        <v>Transportation</v>
      </c>
      <c r="B74" t="s">
        <v>41</v>
      </c>
      <c r="C74" t="str">
        <f>VLOOKUP(B74,dis_table[[#All],[Short_Desc]:[Reoccurring_Flag]],3,0)</f>
        <v>No</v>
      </c>
      <c r="D74" s="8">
        <f>SUMIFS(dis_table[Amount],dis_table[Short_Desc],'Short Desc Summary'!$B74,dis_table[Date],'Short Desc Summary'!D$2) +SUMIFS(cc_table[Amount],cc_table[Short_Desc],'Short Desc Summary'!$B74,cc_table[Date],'Short Desc Summary'!D$2) +SUMIFS(bb_table[Amount],bb_table[Short_Desc],'Short Desc Summary'!$B74,bb_table[Date],'Short Desc Summary'!D$2)</f>
        <v>89.42</v>
      </c>
      <c r="E74" s="8">
        <f>SUMIFS(dis_table[Amount],dis_table[Short_Desc],'Short Desc Summary'!$B74,dis_table[Date],'Short Desc Summary'!E$2) +SUMIFS(cc_table[Amount],cc_table[Short_Desc],'Short Desc Summary'!$B74,cc_table[Date],'Short Desc Summary'!E$2) +SUMIFS(bb_table[Amount],bb_table[Short_Desc],'Short Desc Summary'!$B74,bb_table[Date],'Short Desc Summary'!E$2)</f>
        <v>0</v>
      </c>
      <c r="F74" s="8">
        <f>SUMIFS(dis_table[Amount],dis_table[Short_Desc],'Short Desc Summary'!$B74,dis_table[Date],'Short Desc Summary'!F$2) +SUMIFS(cc_table[Amount],cc_table[Short_Desc],'Short Desc Summary'!$B74,cc_table[Date],'Short Desc Summary'!F$2) +SUMIFS(bb_table[Amount],bb_table[Short_Desc],'Short Desc Summary'!$B74,bb_table[Date],'Short Desc Summary'!F$2)</f>
        <v>293.96000000000004</v>
      </c>
      <c r="G74" s="8">
        <f>SUMIFS(dis_table[Amount],dis_table[Short_Desc],'Short Desc Summary'!$B74,dis_table[Date],'Short Desc Summary'!G$2) +SUMIFS(cc_table[Amount],cc_table[Short_Desc],'Short Desc Summary'!$B74,cc_table[Date],'Short Desc Summary'!G$2) +SUMIFS(bb_table[Amount],bb_table[Short_Desc],'Short Desc Summary'!$B74,bb_table[Date],'Short Desc Summary'!G$2)</f>
        <v>3.59</v>
      </c>
      <c r="H74" s="8">
        <f>SUMIFS(dis_table[Amount],dis_table[Short_Desc],'Short Desc Summary'!$B74,dis_table[Date],'Short Desc Summary'!H$2) +SUMIFS(cc_table[Amount],cc_table[Short_Desc],'Short Desc Summary'!$B74,cc_table[Date],'Short Desc Summary'!H$2) +SUMIFS(bb_table[Amount],bb_table[Short_Desc],'Short Desc Summary'!$B74,bb_table[Date],'Short Desc Summary'!H$2)</f>
        <v>77.290000000000006</v>
      </c>
      <c r="I74" s="8">
        <f>SUMIFS(dis_table[Amount],dis_table[Short_Desc],'Short Desc Summary'!$B74,dis_table[Date],'Short Desc Summary'!I$2) +SUMIFS(cc_table[Amount],cc_table[Short_Desc],'Short Desc Summary'!$B74,cc_table[Date],'Short Desc Summary'!I$2) +SUMIFS(bb_table[Amount],bb_table[Short_Desc],'Short Desc Summary'!$B74,bb_table[Date],'Short Desc Summary'!I$2)</f>
        <v>0</v>
      </c>
      <c r="J74" s="8">
        <f>SUMIFS(dis_table[Amount],dis_table[Short_Desc],'Short Desc Summary'!$B74,dis_table[Date],'Short Desc Summary'!J$2) +SUMIFS(cc_table[Amount],cc_table[Short_Desc],'Short Desc Summary'!$B74,cc_table[Date],'Short Desc Summary'!J$2) +SUMIFS(bb_table[Amount],bb_table[Short_Desc],'Short Desc Summary'!$B74,bb_table[Date],'Short Desc Summary'!J$2)</f>
        <v>198.64</v>
      </c>
    </row>
    <row r="75" spans="1:10" x14ac:dyDescent="0.25">
      <c r="A75" t="str">
        <f>VLOOKUP(B75,dis_table[[#All],[Short_Desc]:[Category_2]],4,0)</f>
        <v>Transportation</v>
      </c>
      <c r="B75" t="s">
        <v>76</v>
      </c>
      <c r="C75" t="str">
        <f>VLOOKUP(B75,dis_table[[#All],[Short_Desc]:[Reoccurring_Flag]],3,0)</f>
        <v>No</v>
      </c>
      <c r="D75" s="8">
        <f>SUMIFS(dis_table[Amount],dis_table[Short_Desc],'Short Desc Summary'!$B75,dis_table[Date],'Short Desc Summary'!D$2) +SUMIFS(cc_table[Amount],cc_table[Short_Desc],'Short Desc Summary'!$B75,cc_table[Date],'Short Desc Summary'!D$2) +SUMIFS(bb_table[Amount],bb_table[Short_Desc],'Short Desc Summary'!$B75,bb_table[Date],'Short Desc Summary'!D$2)</f>
        <v>56.15</v>
      </c>
      <c r="E75" s="8">
        <f>SUMIFS(dis_table[Amount],dis_table[Short_Desc],'Short Desc Summary'!$B75,dis_table[Date],'Short Desc Summary'!E$2) +SUMIFS(cc_table[Amount],cc_table[Short_Desc],'Short Desc Summary'!$B75,cc_table[Date],'Short Desc Summary'!E$2) +SUMIFS(bb_table[Amount],bb_table[Short_Desc],'Short Desc Summary'!$B75,bb_table[Date],'Short Desc Summary'!E$2)</f>
        <v>0</v>
      </c>
      <c r="F75" s="8">
        <f>SUMIFS(dis_table[Amount],dis_table[Short_Desc],'Short Desc Summary'!$B75,dis_table[Date],'Short Desc Summary'!F$2) +SUMIFS(cc_table[Amount],cc_table[Short_Desc],'Short Desc Summary'!$B75,cc_table[Date],'Short Desc Summary'!F$2) +SUMIFS(bb_table[Amount],bb_table[Short_Desc],'Short Desc Summary'!$B75,bb_table[Date],'Short Desc Summary'!F$2)</f>
        <v>0</v>
      </c>
      <c r="G75" s="8">
        <f>SUMIFS(dis_table[Amount],dis_table[Short_Desc],'Short Desc Summary'!$B75,dis_table[Date],'Short Desc Summary'!G$2) +SUMIFS(cc_table[Amount],cc_table[Short_Desc],'Short Desc Summary'!$B75,cc_table[Date],'Short Desc Summary'!G$2) +SUMIFS(bb_table[Amount],bb_table[Short_Desc],'Short Desc Summary'!$B75,bb_table[Date],'Short Desc Summary'!G$2)</f>
        <v>312.47999999999996</v>
      </c>
      <c r="H75" s="8">
        <f>SUMIFS(dis_table[Amount],dis_table[Short_Desc],'Short Desc Summary'!$B75,dis_table[Date],'Short Desc Summary'!H$2) +SUMIFS(cc_table[Amount],cc_table[Short_Desc],'Short Desc Summary'!$B75,cc_table[Date],'Short Desc Summary'!H$2) +SUMIFS(bb_table[Amount],bb_table[Short_Desc],'Short Desc Summary'!$B75,bb_table[Date],'Short Desc Summary'!H$2)</f>
        <v>456.62</v>
      </c>
      <c r="I75" s="8">
        <f>SUMIFS(dis_table[Amount],dis_table[Short_Desc],'Short Desc Summary'!$B75,dis_table[Date],'Short Desc Summary'!I$2) +SUMIFS(cc_table[Amount],cc_table[Short_Desc],'Short Desc Summary'!$B75,cc_table[Date],'Short Desc Summary'!I$2) +SUMIFS(bb_table[Amount],bb_table[Short_Desc],'Short Desc Summary'!$B75,bb_table[Date],'Short Desc Summary'!I$2)</f>
        <v>365.51999999999992</v>
      </c>
      <c r="J75" s="8">
        <f>SUMIFS(dis_table[Amount],dis_table[Short_Desc],'Short Desc Summary'!$B75,dis_table[Date],'Short Desc Summary'!J$2) +SUMIFS(cc_table[Amount],cc_table[Short_Desc],'Short Desc Summary'!$B75,cc_table[Date],'Short Desc Summary'!J$2) +SUMIFS(bb_table[Amount],bb_table[Short_Desc],'Short Desc Summary'!$B75,bb_table[Date],'Short Desc Summary'!J$2)</f>
        <v>47.249999999999993</v>
      </c>
    </row>
    <row r="76" spans="1:10" x14ac:dyDescent="0.25">
      <c r="A76" t="str">
        <f>VLOOKUP(B76,dis_table[[#All],[Short_Desc]:[Category_2]],4,0)</f>
        <v>Transportation</v>
      </c>
      <c r="B76" t="s">
        <v>142</v>
      </c>
      <c r="C76" t="str">
        <f>VLOOKUP(B76,dis_table[[#All],[Short_Desc]:[Reoccurring_Flag]],3,0)</f>
        <v>No</v>
      </c>
      <c r="D76" s="8">
        <f>SUMIFS(dis_table[Amount],dis_table[Short_Desc],'Short Desc Summary'!$B76,dis_table[Date],'Short Desc Summary'!D$2) +SUMIFS(cc_table[Amount],cc_table[Short_Desc],'Short Desc Summary'!$B76,cc_table[Date],'Short Desc Summary'!D$2) +SUMIFS(bb_table[Amount],bb_table[Short_Desc],'Short Desc Summary'!$B76,bb_table[Date],'Short Desc Summary'!D$2)</f>
        <v>0</v>
      </c>
      <c r="E76" s="8">
        <f>SUMIFS(dis_table[Amount],dis_table[Short_Desc],'Short Desc Summary'!$B76,dis_table[Date],'Short Desc Summary'!E$2) +SUMIFS(cc_table[Amount],cc_table[Short_Desc],'Short Desc Summary'!$B76,cc_table[Date],'Short Desc Summary'!E$2) +SUMIFS(bb_table[Amount],bb_table[Short_Desc],'Short Desc Summary'!$B76,bb_table[Date],'Short Desc Summary'!E$2)</f>
        <v>333.19</v>
      </c>
      <c r="F76" s="8">
        <f>SUMIFS(dis_table[Amount],dis_table[Short_Desc],'Short Desc Summary'!$B76,dis_table[Date],'Short Desc Summary'!F$2) +SUMIFS(cc_table[Amount],cc_table[Short_Desc],'Short Desc Summary'!$B76,cc_table[Date],'Short Desc Summary'!F$2) +SUMIFS(bb_table[Amount],bb_table[Short_Desc],'Short Desc Summary'!$B76,bb_table[Date],'Short Desc Summary'!F$2)</f>
        <v>0</v>
      </c>
      <c r="G76" s="8">
        <f>SUMIFS(dis_table[Amount],dis_table[Short_Desc],'Short Desc Summary'!$B76,dis_table[Date],'Short Desc Summary'!G$2) +SUMIFS(cc_table[Amount],cc_table[Short_Desc],'Short Desc Summary'!$B76,cc_table[Date],'Short Desc Summary'!G$2) +SUMIFS(bb_table[Amount],bb_table[Short_Desc],'Short Desc Summary'!$B76,bb_table[Date],'Short Desc Summary'!G$2)</f>
        <v>0</v>
      </c>
      <c r="H76" s="8">
        <f>SUMIFS(dis_table[Amount],dis_table[Short_Desc],'Short Desc Summary'!$B76,dis_table[Date],'Short Desc Summary'!H$2) +SUMIFS(cc_table[Amount],cc_table[Short_Desc],'Short Desc Summary'!$B76,cc_table[Date],'Short Desc Summary'!H$2) +SUMIFS(bb_table[Amount],bb_table[Short_Desc],'Short Desc Summary'!$B76,bb_table[Date],'Short Desc Summary'!H$2)</f>
        <v>149</v>
      </c>
      <c r="I76" s="8">
        <f>SUMIFS(dis_table[Amount],dis_table[Short_Desc],'Short Desc Summary'!$B76,dis_table[Date],'Short Desc Summary'!I$2) +SUMIFS(cc_table[Amount],cc_table[Short_Desc],'Short Desc Summary'!$B76,cc_table[Date],'Short Desc Summary'!I$2) +SUMIFS(bb_table[Amount],bb_table[Short_Desc],'Short Desc Summary'!$B76,bb_table[Date],'Short Desc Summary'!I$2)</f>
        <v>8</v>
      </c>
      <c r="J76" s="8">
        <f>SUMIFS(dis_table[Amount],dis_table[Short_Desc],'Short Desc Summary'!$B76,dis_table[Date],'Short Desc Summary'!J$2) +SUMIFS(cc_table[Amount],cc_table[Short_Desc],'Short Desc Summary'!$B76,cc_table[Date],'Short Desc Summary'!J$2) +SUMIFS(bb_table[Amount],bb_table[Short_Desc],'Short Desc Summary'!$B76,bb_table[Date],'Short Desc Summary'!J$2)</f>
        <v>30</v>
      </c>
    </row>
    <row r="77" spans="1:10" x14ac:dyDescent="0.25">
      <c r="A77" t="str">
        <f>VLOOKUP(B77,dis_table[[#All],[Short_Desc]:[Category_2]],4,0)</f>
        <v>Transportation</v>
      </c>
      <c r="B77" t="s">
        <v>203</v>
      </c>
      <c r="C77" t="str">
        <f>VLOOKUP(B77,dis_table[[#All],[Short_Desc]:[Reoccurring_Flag]],3,0)</f>
        <v>No</v>
      </c>
      <c r="D77" s="8">
        <f>SUMIFS(dis_table[Amount],dis_table[Short_Desc],'Short Desc Summary'!$B77,dis_table[Date],'Short Desc Summary'!D$2) +SUMIFS(cc_table[Amount],cc_table[Short_Desc],'Short Desc Summary'!$B77,cc_table[Date],'Short Desc Summary'!D$2) +SUMIFS(bb_table[Amount],bb_table[Short_Desc],'Short Desc Summary'!$B77,bb_table[Date],'Short Desc Summary'!D$2)</f>
        <v>0</v>
      </c>
      <c r="E77" s="8">
        <f>SUMIFS(dis_table[Amount],dis_table[Short_Desc],'Short Desc Summary'!$B77,dis_table[Date],'Short Desc Summary'!E$2) +SUMIFS(cc_table[Amount],cc_table[Short_Desc],'Short Desc Summary'!$B77,cc_table[Date],'Short Desc Summary'!E$2) +SUMIFS(bb_table[Amount],bb_table[Short_Desc],'Short Desc Summary'!$B77,bb_table[Date],'Short Desc Summary'!E$2)</f>
        <v>0</v>
      </c>
      <c r="F77" s="8">
        <f>SUMIFS(dis_table[Amount],dis_table[Short_Desc],'Short Desc Summary'!$B77,dis_table[Date],'Short Desc Summary'!F$2) +SUMIFS(cc_table[Amount],cc_table[Short_Desc],'Short Desc Summary'!$B77,cc_table[Date],'Short Desc Summary'!F$2) +SUMIFS(bb_table[Amount],bb_table[Short_Desc],'Short Desc Summary'!$B77,bb_table[Date],'Short Desc Summary'!F$2)</f>
        <v>14</v>
      </c>
      <c r="G77" s="8">
        <f>SUMIFS(dis_table[Amount],dis_table[Short_Desc],'Short Desc Summary'!$B77,dis_table[Date],'Short Desc Summary'!G$2) +SUMIFS(cc_table[Amount],cc_table[Short_Desc],'Short Desc Summary'!$B77,cc_table[Date],'Short Desc Summary'!G$2) +SUMIFS(bb_table[Amount],bb_table[Short_Desc],'Short Desc Summary'!$B77,bb_table[Date],'Short Desc Summary'!G$2)</f>
        <v>0</v>
      </c>
      <c r="H77" s="8">
        <f>SUMIFS(dis_table[Amount],dis_table[Short_Desc],'Short Desc Summary'!$B77,dis_table[Date],'Short Desc Summary'!H$2) +SUMIFS(cc_table[Amount],cc_table[Short_Desc],'Short Desc Summary'!$B77,cc_table[Date],'Short Desc Summary'!H$2) +SUMIFS(bb_table[Amount],bb_table[Short_Desc],'Short Desc Summary'!$B77,bb_table[Date],'Short Desc Summary'!H$2)</f>
        <v>0</v>
      </c>
      <c r="I77" s="8">
        <f>SUMIFS(dis_table[Amount],dis_table[Short_Desc],'Short Desc Summary'!$B77,dis_table[Date],'Short Desc Summary'!I$2) +SUMIFS(cc_table[Amount],cc_table[Short_Desc],'Short Desc Summary'!$B77,cc_table[Date],'Short Desc Summary'!I$2) +SUMIFS(bb_table[Amount],bb_table[Short_Desc],'Short Desc Summary'!$B77,bb_table[Date],'Short Desc Summary'!I$2)</f>
        <v>0</v>
      </c>
      <c r="J77" s="8">
        <f>SUMIFS(dis_table[Amount],dis_table[Short_Desc],'Short Desc Summary'!$B77,dis_table[Date],'Short Desc Summary'!J$2) +SUMIFS(cc_table[Amount],cc_table[Short_Desc],'Short Desc Summary'!$B77,cc_table[Date],'Short Desc Summary'!J$2) +SUMIFS(bb_table[Amount],bb_table[Short_Desc],'Short Desc Summary'!$B77,bb_table[Date],'Short Desc Summary'!J$2)</f>
        <v>436.35</v>
      </c>
    </row>
    <row r="78" spans="1:10" x14ac:dyDescent="0.25">
      <c r="A78" t="str">
        <f>VLOOKUP(B78,dis_table[[#All],[Short_Desc]:[Category_2]],4,0)</f>
        <v>Transportation</v>
      </c>
      <c r="B78" t="s">
        <v>382</v>
      </c>
      <c r="C78" t="str">
        <f>VLOOKUP(B78,dis_table[[#All],[Short_Desc]:[Reoccurring_Flag]],3,0)</f>
        <v>No</v>
      </c>
      <c r="D78" s="8">
        <f>SUMIFS(dis_table[Amount],dis_table[Short_Desc],'Short Desc Summary'!$B78,dis_table[Date],'Short Desc Summary'!D$2) +SUMIFS(cc_table[Amount],cc_table[Short_Desc],'Short Desc Summary'!$B78,cc_table[Date],'Short Desc Summary'!D$2) +SUMIFS(bb_table[Amount],bb_table[Short_Desc],'Short Desc Summary'!$B78,bb_table[Date],'Short Desc Summary'!D$2)</f>
        <v>0</v>
      </c>
      <c r="E78" s="8">
        <f>SUMIFS(dis_table[Amount],dis_table[Short_Desc],'Short Desc Summary'!$B78,dis_table[Date],'Short Desc Summary'!E$2) +SUMIFS(cc_table[Amount],cc_table[Short_Desc],'Short Desc Summary'!$B78,cc_table[Date],'Short Desc Summary'!E$2) +SUMIFS(bb_table[Amount],bb_table[Short_Desc],'Short Desc Summary'!$B78,bb_table[Date],'Short Desc Summary'!E$2)</f>
        <v>0</v>
      </c>
      <c r="F78" s="8">
        <f>SUMIFS(dis_table[Amount],dis_table[Short_Desc],'Short Desc Summary'!$B78,dis_table[Date],'Short Desc Summary'!F$2) +SUMIFS(cc_table[Amount],cc_table[Short_Desc],'Short Desc Summary'!$B78,cc_table[Date],'Short Desc Summary'!F$2) +SUMIFS(bb_table[Amount],bb_table[Short_Desc],'Short Desc Summary'!$B78,bb_table[Date],'Short Desc Summary'!F$2)</f>
        <v>0</v>
      </c>
      <c r="G78" s="8">
        <f>SUMIFS(dis_table[Amount],dis_table[Short_Desc],'Short Desc Summary'!$B78,dis_table[Date],'Short Desc Summary'!G$2) +SUMIFS(cc_table[Amount],cc_table[Short_Desc],'Short Desc Summary'!$B78,cc_table[Date],'Short Desc Summary'!G$2) +SUMIFS(bb_table[Amount],bb_table[Short_Desc],'Short Desc Summary'!$B78,bb_table[Date],'Short Desc Summary'!G$2)</f>
        <v>0</v>
      </c>
      <c r="H78" s="8">
        <f>SUMIFS(dis_table[Amount],dis_table[Short_Desc],'Short Desc Summary'!$B78,dis_table[Date],'Short Desc Summary'!H$2) +SUMIFS(cc_table[Amount],cc_table[Short_Desc],'Short Desc Summary'!$B78,cc_table[Date],'Short Desc Summary'!H$2) +SUMIFS(bb_table[Amount],bb_table[Short_Desc],'Short Desc Summary'!$B78,bb_table[Date],'Short Desc Summary'!H$2)</f>
        <v>0</v>
      </c>
      <c r="I78" s="8">
        <f>SUMIFS(dis_table[Amount],dis_table[Short_Desc],'Short Desc Summary'!$B78,dis_table[Date],'Short Desc Summary'!I$2) +SUMIFS(cc_table[Amount],cc_table[Short_Desc],'Short Desc Summary'!$B78,cc_table[Date],'Short Desc Summary'!I$2) +SUMIFS(bb_table[Amount],bb_table[Short_Desc],'Short Desc Summary'!$B78,bb_table[Date],'Short Desc Summary'!I$2)</f>
        <v>59.32</v>
      </c>
      <c r="J78" s="8">
        <f>SUMIFS(dis_table[Amount],dis_table[Short_Desc],'Short Desc Summary'!$B78,dis_table[Date],'Short Desc Summary'!J$2) +SUMIFS(cc_table[Amount],cc_table[Short_Desc],'Short Desc Summary'!$B78,cc_table[Date],'Short Desc Summary'!J$2) +SUMIFS(bb_table[Amount],bb_table[Short_Desc],'Short Desc Summary'!$B78,bb_table[Date],'Short Desc Summary'!J$2)</f>
        <v>13.959999999999999</v>
      </c>
    </row>
    <row r="79" spans="1:10" x14ac:dyDescent="0.25">
      <c r="A79" t="str">
        <f>VLOOKUP(B79,dis_table[[#All],[Short_Desc]:[Category_2]],4,0)</f>
        <v>Transportation</v>
      </c>
      <c r="B79" t="s">
        <v>394</v>
      </c>
      <c r="C79" t="str">
        <f>VLOOKUP(B79,dis_table[[#All],[Short_Desc]:[Reoccurring_Flag]],3,0)</f>
        <v>No</v>
      </c>
      <c r="D79" s="8">
        <f>SUMIFS(dis_table[Amount],dis_table[Short_Desc],'Short Desc Summary'!$B79,dis_table[Date],'Short Desc Summary'!D$2) +SUMIFS(cc_table[Amount],cc_table[Short_Desc],'Short Desc Summary'!$B79,cc_table[Date],'Short Desc Summary'!D$2) +SUMIFS(bb_table[Amount],bb_table[Short_Desc],'Short Desc Summary'!$B79,bb_table[Date],'Short Desc Summary'!D$2)</f>
        <v>0</v>
      </c>
      <c r="E79" s="8">
        <f>SUMIFS(dis_table[Amount],dis_table[Short_Desc],'Short Desc Summary'!$B79,dis_table[Date],'Short Desc Summary'!E$2) +SUMIFS(cc_table[Amount],cc_table[Short_Desc],'Short Desc Summary'!$B79,cc_table[Date],'Short Desc Summary'!E$2) +SUMIFS(bb_table[Amount],bb_table[Short_Desc],'Short Desc Summary'!$B79,bb_table[Date],'Short Desc Summary'!E$2)</f>
        <v>0</v>
      </c>
      <c r="F79" s="8">
        <f>SUMIFS(dis_table[Amount],dis_table[Short_Desc],'Short Desc Summary'!$B79,dis_table[Date],'Short Desc Summary'!F$2) +SUMIFS(cc_table[Amount],cc_table[Short_Desc],'Short Desc Summary'!$B79,cc_table[Date],'Short Desc Summary'!F$2) +SUMIFS(bb_table[Amount],bb_table[Short_Desc],'Short Desc Summary'!$B79,bb_table[Date],'Short Desc Summary'!F$2)</f>
        <v>0</v>
      </c>
      <c r="G79" s="8">
        <f>SUMIFS(dis_table[Amount],dis_table[Short_Desc],'Short Desc Summary'!$B79,dis_table[Date],'Short Desc Summary'!G$2) +SUMIFS(cc_table[Amount],cc_table[Short_Desc],'Short Desc Summary'!$B79,cc_table[Date],'Short Desc Summary'!G$2) +SUMIFS(bb_table[Amount],bb_table[Short_Desc],'Short Desc Summary'!$B79,bb_table[Date],'Short Desc Summary'!G$2)</f>
        <v>0</v>
      </c>
      <c r="H79" s="8">
        <f>SUMIFS(dis_table[Amount],dis_table[Short_Desc],'Short Desc Summary'!$B79,dis_table[Date],'Short Desc Summary'!H$2) +SUMIFS(cc_table[Amount],cc_table[Short_Desc],'Short Desc Summary'!$B79,cc_table[Date],'Short Desc Summary'!H$2) +SUMIFS(bb_table[Amount],bb_table[Short_Desc],'Short Desc Summary'!$B79,bb_table[Date],'Short Desc Summary'!H$2)</f>
        <v>0</v>
      </c>
      <c r="I79" s="8">
        <f>SUMIFS(dis_table[Amount],dis_table[Short_Desc],'Short Desc Summary'!$B79,dis_table[Date],'Short Desc Summary'!I$2) +SUMIFS(cc_table[Amount],cc_table[Short_Desc],'Short Desc Summary'!$B79,cc_table[Date],'Short Desc Summary'!I$2) +SUMIFS(bb_table[Amount],bb_table[Short_Desc],'Short Desc Summary'!$B79,bb_table[Date],'Short Desc Summary'!I$2)</f>
        <v>23</v>
      </c>
      <c r="J79" s="8">
        <f>SUMIFS(dis_table[Amount],dis_table[Short_Desc],'Short Desc Summary'!$B79,dis_table[Date],'Short Desc Summary'!J$2) +SUMIFS(cc_table[Amount],cc_table[Short_Desc],'Short Desc Summary'!$B79,cc_table[Date],'Short Desc Summary'!J$2) +SUMIFS(bb_table[Amount],bb_table[Short_Desc],'Short Desc Summary'!$B79,bb_table[Date],'Short Desc Summary'!J$2)</f>
        <v>0</v>
      </c>
    </row>
    <row r="80" spans="1:10" x14ac:dyDescent="0.25">
      <c r="A80" t="str">
        <f>VLOOKUP(B80,dis_table[[#All],[Short_Desc]:[Category_2]],4,0)</f>
        <v>Utilities</v>
      </c>
      <c r="B80" t="s">
        <v>65</v>
      </c>
      <c r="C80" t="str">
        <f>VLOOKUP(B80,dis_table[[#All],[Short_Desc]:[Reoccurring_Flag]],3,0)</f>
        <v>Yes</v>
      </c>
      <c r="D80" s="8">
        <f>SUMIFS(dis_table[Amount],dis_table[Short_Desc],'Short Desc Summary'!$B80,dis_table[Date],'Short Desc Summary'!D$2) +SUMIFS(cc_table[Amount],cc_table[Short_Desc],'Short Desc Summary'!$B80,cc_table[Date],'Short Desc Summary'!D$2) +SUMIFS(bb_table[Amount],bb_table[Short_Desc],'Short Desc Summary'!$B80,bb_table[Date],'Short Desc Summary'!D$2)</f>
        <v>70</v>
      </c>
      <c r="E80" s="8">
        <f>SUMIFS(dis_table[Amount],dis_table[Short_Desc],'Short Desc Summary'!$B80,dis_table[Date],'Short Desc Summary'!E$2) +SUMIFS(cc_table[Amount],cc_table[Short_Desc],'Short Desc Summary'!$B80,cc_table[Date],'Short Desc Summary'!E$2) +SUMIFS(bb_table[Amount],bb_table[Short_Desc],'Short Desc Summary'!$B80,bb_table[Date],'Short Desc Summary'!E$2)</f>
        <v>70</v>
      </c>
      <c r="F80" s="8">
        <f>SUMIFS(dis_table[Amount],dis_table[Short_Desc],'Short Desc Summary'!$B80,dis_table[Date],'Short Desc Summary'!F$2) +SUMIFS(cc_table[Amount],cc_table[Short_Desc],'Short Desc Summary'!$B80,cc_table[Date],'Short Desc Summary'!F$2) +SUMIFS(bb_table[Amount],bb_table[Short_Desc],'Short Desc Summary'!$B80,bb_table[Date],'Short Desc Summary'!F$2)</f>
        <v>70</v>
      </c>
      <c r="G80" s="8">
        <f>SUMIFS(dis_table[Amount],dis_table[Short_Desc],'Short Desc Summary'!$B80,dis_table[Date],'Short Desc Summary'!G$2) +SUMIFS(cc_table[Amount],cc_table[Short_Desc],'Short Desc Summary'!$B80,cc_table[Date],'Short Desc Summary'!G$2) +SUMIFS(bb_table[Amount],bb_table[Short_Desc],'Short Desc Summary'!$B80,bb_table[Date],'Short Desc Summary'!G$2)</f>
        <v>70</v>
      </c>
      <c r="H80" s="8">
        <f>SUMIFS(dis_table[Amount],dis_table[Short_Desc],'Short Desc Summary'!$B80,dis_table[Date],'Short Desc Summary'!H$2) +SUMIFS(cc_table[Amount],cc_table[Short_Desc],'Short Desc Summary'!$B80,cc_table[Date],'Short Desc Summary'!H$2) +SUMIFS(bb_table[Amount],bb_table[Short_Desc],'Short Desc Summary'!$B80,bb_table[Date],'Short Desc Summary'!H$2)</f>
        <v>70</v>
      </c>
      <c r="I80" s="8">
        <f>SUMIFS(dis_table[Amount],dis_table[Short_Desc],'Short Desc Summary'!$B80,dis_table[Date],'Short Desc Summary'!I$2) +SUMIFS(cc_table[Amount],cc_table[Short_Desc],'Short Desc Summary'!$B80,cc_table[Date],'Short Desc Summary'!I$2) +SUMIFS(bb_table[Amount],bb_table[Short_Desc],'Short Desc Summary'!$B80,bb_table[Date],'Short Desc Summary'!I$2)</f>
        <v>70</v>
      </c>
      <c r="J80" s="8">
        <f>SUMIFS(dis_table[Amount],dis_table[Short_Desc],'Short Desc Summary'!$B80,dis_table[Date],'Short Desc Summary'!J$2) +SUMIFS(cc_table[Amount],cc_table[Short_Desc],'Short Desc Summary'!$B80,cc_table[Date],'Short Desc Summary'!J$2) +SUMIFS(bb_table[Amount],bb_table[Short_Desc],'Short Desc Summary'!$B80,bb_table[Date],'Short Desc Summary'!J$2)</f>
        <v>70</v>
      </c>
    </row>
    <row r="81" spans="1:10" x14ac:dyDescent="0.25">
      <c r="A81" t="str">
        <f>VLOOKUP(B81,dis_table[[#All],[Short_Desc]:[Category_2]],4,0)</f>
        <v>Utilities</v>
      </c>
      <c r="B81" t="s">
        <v>70</v>
      </c>
      <c r="C81" t="str">
        <f>VLOOKUP(B81,dis_table[[#All],[Short_Desc]:[Reoccurring_Flag]],3,0)</f>
        <v>No</v>
      </c>
      <c r="D81" s="8">
        <f>SUMIFS(dis_table[Amount],dis_table[Short_Desc],'Short Desc Summary'!$B81,dis_table[Date],'Short Desc Summary'!D$2) +SUMIFS(cc_table[Amount],cc_table[Short_Desc],'Short Desc Summary'!$B81,cc_table[Date],'Short Desc Summary'!D$2) +SUMIFS(bb_table[Amount],bb_table[Short_Desc],'Short Desc Summary'!$B81,bb_table[Date],'Short Desc Summary'!D$2)</f>
        <v>182.45</v>
      </c>
      <c r="E81" s="8">
        <f>SUMIFS(dis_table[Amount],dis_table[Short_Desc],'Short Desc Summary'!$B81,dis_table[Date],'Short Desc Summary'!E$2) +SUMIFS(cc_table[Amount],cc_table[Short_Desc],'Short Desc Summary'!$B81,cc_table[Date],'Short Desc Summary'!E$2) +SUMIFS(bb_table[Amount],bb_table[Short_Desc],'Short Desc Summary'!$B81,bb_table[Date],'Short Desc Summary'!E$2)</f>
        <v>0</v>
      </c>
      <c r="F81" s="8">
        <f>SUMIFS(dis_table[Amount],dis_table[Short_Desc],'Short Desc Summary'!$B81,dis_table[Date],'Short Desc Summary'!F$2) +SUMIFS(cc_table[Amount],cc_table[Short_Desc],'Short Desc Summary'!$B81,cc_table[Date],'Short Desc Summary'!F$2) +SUMIFS(bb_table[Amount],bb_table[Short_Desc],'Short Desc Summary'!$B81,bb_table[Date],'Short Desc Summary'!F$2)</f>
        <v>0</v>
      </c>
      <c r="G81" s="8">
        <f>SUMIFS(dis_table[Amount],dis_table[Short_Desc],'Short Desc Summary'!$B81,dis_table[Date],'Short Desc Summary'!G$2) +SUMIFS(cc_table[Amount],cc_table[Short_Desc],'Short Desc Summary'!$B81,cc_table[Date],'Short Desc Summary'!G$2) +SUMIFS(bb_table[Amount],bb_table[Short_Desc],'Short Desc Summary'!$B81,bb_table[Date],'Short Desc Summary'!G$2)</f>
        <v>0</v>
      </c>
      <c r="H81" s="8">
        <f>SUMIFS(dis_table[Amount],dis_table[Short_Desc],'Short Desc Summary'!$B81,dis_table[Date],'Short Desc Summary'!H$2) +SUMIFS(cc_table[Amount],cc_table[Short_Desc],'Short Desc Summary'!$B81,cc_table[Date],'Short Desc Summary'!H$2) +SUMIFS(bb_table[Amount],bb_table[Short_Desc],'Short Desc Summary'!$B81,bb_table[Date],'Short Desc Summary'!H$2)</f>
        <v>0</v>
      </c>
      <c r="I81" s="8">
        <f>SUMIFS(dis_table[Amount],dis_table[Short_Desc],'Short Desc Summary'!$B81,dis_table[Date],'Short Desc Summary'!I$2) +SUMIFS(cc_table[Amount],cc_table[Short_Desc],'Short Desc Summary'!$B81,cc_table[Date],'Short Desc Summary'!I$2) +SUMIFS(bb_table[Amount],bb_table[Short_Desc],'Short Desc Summary'!$B81,bb_table[Date],'Short Desc Summary'!I$2)</f>
        <v>0</v>
      </c>
      <c r="J81" s="8">
        <f>SUMIFS(dis_table[Amount],dis_table[Short_Desc],'Short Desc Summary'!$B81,dis_table[Date],'Short Desc Summary'!J$2) +SUMIFS(cc_table[Amount],cc_table[Short_Desc],'Short Desc Summary'!$B81,cc_table[Date],'Short Desc Summary'!J$2) +SUMIFS(bb_table[Amount],bb_table[Short_Desc],'Short Desc Summary'!$B81,bb_table[Date],'Short Desc Summary'!J$2)</f>
        <v>0</v>
      </c>
    </row>
    <row r="82" spans="1:10" x14ac:dyDescent="0.25">
      <c r="A82" t="str">
        <f>VLOOKUP(B82,dis_table[[#All],[Short_Desc]:[Category_2]],4,0)</f>
        <v>Utilities</v>
      </c>
      <c r="B82" t="s">
        <v>107</v>
      </c>
      <c r="C82" t="str">
        <f>VLOOKUP(B82,dis_table[[#All],[Short_Desc]:[Reoccurring_Flag]],3,0)</f>
        <v>No</v>
      </c>
      <c r="D82" s="8">
        <f>SUMIFS(dis_table[Amount],dis_table[Short_Desc],'Short Desc Summary'!$B82,dis_table[Date],'Short Desc Summary'!D$2) +SUMIFS(cc_table[Amount],cc_table[Short_Desc],'Short Desc Summary'!$B82,cc_table[Date],'Short Desc Summary'!D$2) +SUMIFS(bb_table[Amount],bb_table[Short_Desc],'Short Desc Summary'!$B82,bb_table[Date],'Short Desc Summary'!D$2)</f>
        <v>42.34</v>
      </c>
      <c r="E82" s="8">
        <f>SUMIFS(dis_table[Amount],dis_table[Short_Desc],'Short Desc Summary'!$B82,dis_table[Date],'Short Desc Summary'!E$2) +SUMIFS(cc_table[Amount],cc_table[Short_Desc],'Short Desc Summary'!$B82,cc_table[Date],'Short Desc Summary'!E$2) +SUMIFS(bb_table[Amount],bb_table[Short_Desc],'Short Desc Summary'!$B82,bb_table[Date],'Short Desc Summary'!E$2)</f>
        <v>0</v>
      </c>
      <c r="F82" s="8">
        <f>SUMIFS(dis_table[Amount],dis_table[Short_Desc],'Short Desc Summary'!$B82,dis_table[Date],'Short Desc Summary'!F$2) +SUMIFS(cc_table[Amount],cc_table[Short_Desc],'Short Desc Summary'!$B82,cc_table[Date],'Short Desc Summary'!F$2) +SUMIFS(bb_table[Amount],bb_table[Short_Desc],'Short Desc Summary'!$B82,bb_table[Date],'Short Desc Summary'!F$2)</f>
        <v>0</v>
      </c>
      <c r="G82" s="8">
        <f>SUMIFS(dis_table[Amount],dis_table[Short_Desc],'Short Desc Summary'!$B82,dis_table[Date],'Short Desc Summary'!G$2) +SUMIFS(cc_table[Amount],cc_table[Short_Desc],'Short Desc Summary'!$B82,cc_table[Date],'Short Desc Summary'!G$2) +SUMIFS(bb_table[Amount],bb_table[Short_Desc],'Short Desc Summary'!$B82,bb_table[Date],'Short Desc Summary'!G$2)</f>
        <v>0</v>
      </c>
      <c r="H82" s="8">
        <f>SUMIFS(dis_table[Amount],dis_table[Short_Desc],'Short Desc Summary'!$B82,dis_table[Date],'Short Desc Summary'!H$2) +SUMIFS(cc_table[Amount],cc_table[Short_Desc],'Short Desc Summary'!$B82,cc_table[Date],'Short Desc Summary'!H$2) +SUMIFS(bb_table[Amount],bb_table[Short_Desc],'Short Desc Summary'!$B82,bb_table[Date],'Short Desc Summary'!H$2)</f>
        <v>0</v>
      </c>
      <c r="I82" s="8">
        <f>SUMIFS(dis_table[Amount],dis_table[Short_Desc],'Short Desc Summary'!$B82,dis_table[Date],'Short Desc Summary'!I$2) +SUMIFS(cc_table[Amount],cc_table[Short_Desc],'Short Desc Summary'!$B82,cc_table[Date],'Short Desc Summary'!I$2) +SUMIFS(bb_table[Amount],bb_table[Short_Desc],'Short Desc Summary'!$B82,bb_table[Date],'Short Desc Summary'!I$2)</f>
        <v>0</v>
      </c>
      <c r="J82" s="8">
        <f>SUMIFS(dis_table[Amount],dis_table[Short_Desc],'Short Desc Summary'!$B82,dis_table[Date],'Short Desc Summary'!J$2) +SUMIFS(cc_table[Amount],cc_table[Short_Desc],'Short Desc Summary'!$B82,cc_table[Date],'Short Desc Summary'!J$2) +SUMIFS(bb_table[Amount],bb_table[Short_Desc],'Short Desc Summary'!$B82,bb_table[Date],'Short Desc Summary'!J$2)</f>
        <v>0</v>
      </c>
    </row>
  </sheetData>
  <autoFilter ref="A2:C80" xr:uid="{673BF89A-0C38-4640-8F42-3B4BE950EA41}">
    <sortState xmlns:xlrd2="http://schemas.microsoft.com/office/spreadsheetml/2017/richdata2" ref="A3:C82">
      <sortCondition ref="A2:A80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F732-046E-4CB7-805C-B45FA1F6B27F}">
  <sheetPr>
    <tabColor theme="4"/>
  </sheetPr>
  <dimension ref="A2:J26"/>
  <sheetViews>
    <sheetView workbookViewId="0">
      <selection activeCell="F20" sqref="F20"/>
    </sheetView>
  </sheetViews>
  <sheetFormatPr defaultRowHeight="15" x14ac:dyDescent="0.25"/>
  <cols>
    <col min="1" max="1" width="24.85546875" bestFit="1" customWidth="1"/>
    <col min="2" max="2" width="16.28515625" bestFit="1" customWidth="1"/>
    <col min="3" max="3" width="15.5703125" bestFit="1" customWidth="1"/>
    <col min="4" max="10" width="7.85546875" bestFit="1" customWidth="1"/>
  </cols>
  <sheetData>
    <row r="2" spans="1:10" x14ac:dyDescent="0.25">
      <c r="A2" t="s">
        <v>4</v>
      </c>
      <c r="B2" t="s">
        <v>487</v>
      </c>
      <c r="C2" t="s">
        <v>488</v>
      </c>
      <c r="D2" t="s">
        <v>14</v>
      </c>
      <c r="E2" t="s">
        <v>117</v>
      </c>
      <c r="F2" t="s">
        <v>145</v>
      </c>
      <c r="G2" t="s">
        <v>233</v>
      </c>
      <c r="H2" t="s">
        <v>290</v>
      </c>
      <c r="I2" t="s">
        <v>364</v>
      </c>
      <c r="J2" t="s">
        <v>420</v>
      </c>
    </row>
    <row r="3" spans="1:10" x14ac:dyDescent="0.25">
      <c r="A3" t="s">
        <v>23</v>
      </c>
      <c r="B3" t="s">
        <v>21</v>
      </c>
      <c r="C3" t="s">
        <v>22</v>
      </c>
      <c r="D3" s="8">
        <f>SUMIFS(dis_table[Amount],dis_table[Short_Desc],$B3,dis_table[Date],D$2) +SUMIFS(cc_table[Amount],cc_table[Short_Desc],$B3,cc_table[Date],D$2) +SUMIFS(bb_table[Amount],bb_table[Short_Desc],$B3,bb_table[Date],D$2)</f>
        <v>14.83</v>
      </c>
      <c r="E3" s="8">
        <f>SUMIFS(dis_table[Amount],dis_table[Short_Desc],$B3,dis_table[Date],E$2) +SUMIFS(cc_table[Amount],cc_table[Short_Desc],$B3,cc_table[Date],E$2) +SUMIFS(bb_table[Amount],bb_table[Short_Desc],$B3,bb_table[Date],E$2)</f>
        <v>14.83</v>
      </c>
      <c r="F3" s="8">
        <f>SUMIFS(dis_table[Amount],dis_table[Short_Desc],$B3,dis_table[Date],F$2) +SUMIFS(cc_table[Amount],cc_table[Short_Desc],$B3,cc_table[Date],F$2) +SUMIFS(bb_table[Amount],bb_table[Short_Desc],$B3,bb_table[Date],F$2)</f>
        <v>16.420000000000002</v>
      </c>
      <c r="G3" s="8">
        <f>SUMIFS(dis_table[Amount],dis_table[Short_Desc],$B3,dis_table[Date],G$2) +SUMIFS(cc_table[Amount],cc_table[Short_Desc],$B3,cc_table[Date],G$2) +SUMIFS(bb_table[Amount],bb_table[Short_Desc],$B3,bb_table[Date],G$2)</f>
        <v>16.420000000000002</v>
      </c>
      <c r="H3" s="8">
        <f>SUMIFS(dis_table[Amount],dis_table[Short_Desc],$B3,dis_table[Date],H$2) +SUMIFS(cc_table[Amount],cc_table[Short_Desc],$B3,cc_table[Date],H$2) +SUMIFS(bb_table[Amount],bb_table[Short_Desc],$B3,bb_table[Date],H$2)</f>
        <v>10.59</v>
      </c>
      <c r="I3" s="8">
        <f>SUMIFS(dis_table[Amount],dis_table[Short_Desc],$B3,dis_table[Date],I$2) +SUMIFS(cc_table[Amount],cc_table[Short_Desc],$B3,cc_table[Date],I$2) +SUMIFS(bb_table[Amount],bb_table[Short_Desc],$B3,bb_table[Date],I$2)</f>
        <v>10.59</v>
      </c>
      <c r="J3" s="8">
        <f>SUMIFS(dis_table[Amount],dis_table[Short_Desc],$B3,dis_table[Date],J$2) +SUMIFS(cc_table[Amount],cc_table[Short_Desc],$B3,cc_table[Date],J$2) +SUMIFS(bb_table[Amount],bb_table[Short_Desc],$B3,bb_table[Date],J$2)</f>
        <v>10.59</v>
      </c>
    </row>
    <row r="4" spans="1:10" x14ac:dyDescent="0.25">
      <c r="A4" t="s">
        <v>23</v>
      </c>
      <c r="B4" t="s">
        <v>25</v>
      </c>
      <c r="C4" t="s">
        <v>22</v>
      </c>
      <c r="D4" s="8">
        <f>SUMIFS(dis_table[Amount],dis_table[Short_Desc],$B4,dis_table[Date],D$2) +SUMIFS(cc_table[Amount],cc_table[Short_Desc],$B4,cc_table[Date],D$2) +SUMIFS(bb_table[Amount],bb_table[Short_Desc],$B4,bb_table[Date],D$2)</f>
        <v>9.99</v>
      </c>
      <c r="E4" s="8">
        <f>SUMIFS(dis_table[Amount],dis_table[Short_Desc],$B4,dis_table[Date],E$2) +SUMIFS(cc_table[Amount],cc_table[Short_Desc],$B4,cc_table[Date],E$2) +SUMIFS(bb_table[Amount],bb_table[Short_Desc],$B4,bb_table[Date],E$2)</f>
        <v>9.99</v>
      </c>
      <c r="F4" s="8">
        <f>SUMIFS(dis_table[Amount],dis_table[Short_Desc],$B4,dis_table[Date],F$2) +SUMIFS(cc_table[Amount],cc_table[Short_Desc],$B4,cc_table[Date],F$2) +SUMIFS(bb_table[Amount],bb_table[Short_Desc],$B4,bb_table[Date],F$2)</f>
        <v>9.99</v>
      </c>
      <c r="G4" s="8">
        <f>SUMIFS(dis_table[Amount],dis_table[Short_Desc],$B4,dis_table[Date],G$2) +SUMIFS(cc_table[Amount],cc_table[Short_Desc],$B4,cc_table[Date],G$2) +SUMIFS(bb_table[Amount],bb_table[Short_Desc],$B4,bb_table[Date],G$2)</f>
        <v>9.99</v>
      </c>
      <c r="H4" s="8">
        <f>SUMIFS(dis_table[Amount],dis_table[Short_Desc],$B4,dis_table[Date],H$2) +SUMIFS(cc_table[Amount],cc_table[Short_Desc],$B4,cc_table[Date],H$2) +SUMIFS(bb_table[Amount],bb_table[Short_Desc],$B4,bb_table[Date],H$2)</f>
        <v>9.99</v>
      </c>
      <c r="I4" s="8">
        <f>SUMIFS(dis_table[Amount],dis_table[Short_Desc],$B4,dis_table[Date],I$2) +SUMIFS(cc_table[Amount],cc_table[Short_Desc],$B4,cc_table[Date],I$2) +SUMIFS(bb_table[Amount],bb_table[Short_Desc],$B4,bb_table[Date],I$2)</f>
        <v>9.99</v>
      </c>
      <c r="J4" s="8">
        <f>SUMIFS(dis_table[Amount],dis_table[Short_Desc],$B4,dis_table[Date],J$2) +SUMIFS(cc_table[Amount],cc_table[Short_Desc],$B4,cc_table[Date],J$2) +SUMIFS(bb_table[Amount],bb_table[Short_Desc],$B4,bb_table[Date],J$2)</f>
        <v>9.99</v>
      </c>
    </row>
    <row r="5" spans="1:10" x14ac:dyDescent="0.25">
      <c r="A5" t="s">
        <v>23</v>
      </c>
      <c r="B5" t="s">
        <v>49</v>
      </c>
      <c r="C5" t="s">
        <v>22</v>
      </c>
      <c r="D5" s="8">
        <f>SUMIFS(dis_table[Amount],dis_table[Short_Desc],$B5,dis_table[Date],D$2) +SUMIFS(cc_table[Amount],cc_table[Short_Desc],$B5,cc_table[Date],D$2) +SUMIFS(bb_table[Amount],bb_table[Short_Desc],$B5,bb_table[Date],D$2)</f>
        <v>15.89</v>
      </c>
      <c r="E5" s="8">
        <f>SUMIFS(dis_table[Amount],dis_table[Short_Desc],$B5,dis_table[Date],E$2) +SUMIFS(cc_table[Amount],cc_table[Short_Desc],$B5,cc_table[Date],E$2) +SUMIFS(bb_table[Amount],bb_table[Short_Desc],$B5,bb_table[Date],E$2)</f>
        <v>15.89</v>
      </c>
      <c r="F5" s="8">
        <f>SUMIFS(dis_table[Amount],dis_table[Short_Desc],$B5,dis_table[Date],F$2) +SUMIFS(cc_table[Amount],cc_table[Short_Desc],$B5,cc_table[Date],F$2) +SUMIFS(bb_table[Amount],bb_table[Short_Desc],$B5,bb_table[Date],F$2)</f>
        <v>15.89</v>
      </c>
      <c r="G5" s="8">
        <f>SUMIFS(dis_table[Amount],dis_table[Short_Desc],$B5,dis_table[Date],G$2) +SUMIFS(cc_table[Amount],cc_table[Short_Desc],$B5,cc_table[Date],G$2) +SUMIFS(bb_table[Amount],bb_table[Short_Desc],$B5,bb_table[Date],G$2)</f>
        <v>15.89</v>
      </c>
      <c r="H5" s="8">
        <f>SUMIFS(dis_table[Amount],dis_table[Short_Desc],$B5,dis_table[Date],H$2) +SUMIFS(cc_table[Amount],cc_table[Short_Desc],$B5,cc_table[Date],H$2) +SUMIFS(bb_table[Amount],bb_table[Short_Desc],$B5,bb_table[Date],H$2)</f>
        <v>15.89</v>
      </c>
      <c r="I5" s="8">
        <f>SUMIFS(dis_table[Amount],dis_table[Short_Desc],$B5,dis_table[Date],I$2) +SUMIFS(cc_table[Amount],cc_table[Short_Desc],$B5,cc_table[Date],I$2) +SUMIFS(bb_table[Amount],bb_table[Short_Desc],$B5,bb_table[Date],I$2)</f>
        <v>15.89</v>
      </c>
      <c r="J5" s="8">
        <f>SUMIFS(dis_table[Amount],dis_table[Short_Desc],$B5,dis_table[Date],J$2) +SUMIFS(cc_table[Amount],cc_table[Short_Desc],$B5,cc_table[Date],J$2) +SUMIFS(bb_table[Amount],bb_table[Short_Desc],$B5,bb_table[Date],J$2)</f>
        <v>15.89</v>
      </c>
    </row>
    <row r="6" spans="1:10" x14ac:dyDescent="0.25">
      <c r="A6" t="s">
        <v>23</v>
      </c>
      <c r="B6" t="s">
        <v>68</v>
      </c>
      <c r="C6" t="s">
        <v>22</v>
      </c>
      <c r="D6" s="8">
        <f>SUMIFS(dis_table[Amount],dis_table[Short_Desc],$B6,dis_table[Date],D$2) +SUMIFS(cc_table[Amount],cc_table[Short_Desc],$B6,cc_table[Date],D$2) +SUMIFS(bb_table[Amount],bb_table[Short_Desc],$B6,bb_table[Date],D$2)</f>
        <v>5.29</v>
      </c>
      <c r="E6" s="8">
        <f>SUMIFS(dis_table[Amount],dis_table[Short_Desc],$B6,dis_table[Date],E$2) +SUMIFS(cc_table[Amount],cc_table[Short_Desc],$B6,cc_table[Date],E$2) +SUMIFS(bb_table[Amount],bb_table[Short_Desc],$B6,bb_table[Date],E$2)</f>
        <v>5.29</v>
      </c>
      <c r="F6" s="8">
        <f>SUMIFS(dis_table[Amount],dis_table[Short_Desc],$B6,dis_table[Date],F$2) +SUMIFS(cc_table[Amount],cc_table[Short_Desc],$B6,cc_table[Date],F$2) +SUMIFS(bb_table[Amount],bb_table[Short_Desc],$B6,bb_table[Date],F$2)</f>
        <v>5.29</v>
      </c>
      <c r="G6" s="8">
        <f>SUMIFS(dis_table[Amount],dis_table[Short_Desc],$B6,dis_table[Date],G$2) +SUMIFS(cc_table[Amount],cc_table[Short_Desc],$B6,cc_table[Date],G$2) +SUMIFS(bb_table[Amount],bb_table[Short_Desc],$B6,bb_table[Date],G$2)</f>
        <v>5.29</v>
      </c>
      <c r="H6" s="8">
        <f>SUMIFS(dis_table[Amount],dis_table[Short_Desc],$B6,dis_table[Date],H$2) +SUMIFS(cc_table[Amount],cc_table[Short_Desc],$B6,cc_table[Date],H$2) +SUMIFS(bb_table[Amount],bb_table[Short_Desc],$B6,bb_table[Date],H$2)</f>
        <v>5.29</v>
      </c>
      <c r="I6" s="8">
        <f>SUMIFS(dis_table[Amount],dis_table[Short_Desc],$B6,dis_table[Date],I$2) +SUMIFS(cc_table[Amount],cc_table[Short_Desc],$B6,cc_table[Date],I$2) +SUMIFS(bb_table[Amount],bb_table[Short_Desc],$B6,bb_table[Date],I$2)</f>
        <v>5.29</v>
      </c>
      <c r="J6" s="8">
        <f>SUMIFS(dis_table[Amount],dis_table[Short_Desc],$B6,dis_table[Date],J$2) +SUMIFS(cc_table[Amount],cc_table[Short_Desc],$B6,cc_table[Date],J$2) +SUMIFS(bb_table[Amount],bb_table[Short_Desc],$B6,bb_table[Date],J$2)</f>
        <v>5.29</v>
      </c>
    </row>
    <row r="7" spans="1:10" x14ac:dyDescent="0.25">
      <c r="A7" t="s">
        <v>23</v>
      </c>
      <c r="B7" t="s">
        <v>78</v>
      </c>
      <c r="C7" t="s">
        <v>22</v>
      </c>
      <c r="D7" s="8">
        <f>SUMIFS(dis_table[Amount],dis_table[Short_Desc],$B7,dis_table[Date],D$2) +SUMIFS(cc_table[Amount],cc_table[Short_Desc],$B7,cc_table[Date],D$2) +SUMIFS(bb_table[Amount],bb_table[Short_Desc],$B7,bb_table[Date],D$2)</f>
        <v>10</v>
      </c>
      <c r="E7" s="8">
        <f>SUMIFS(dis_table[Amount],dis_table[Short_Desc],$B7,dis_table[Date],E$2) +SUMIFS(cc_table[Amount],cc_table[Short_Desc],$B7,cc_table[Date],E$2) +SUMIFS(bb_table[Amount],bb_table[Short_Desc],$B7,bb_table[Date],E$2)</f>
        <v>10</v>
      </c>
      <c r="F7" s="8">
        <f>SUMIFS(dis_table[Amount],dis_table[Short_Desc],$B7,dis_table[Date],F$2) +SUMIFS(cc_table[Amount],cc_table[Short_Desc],$B7,cc_table[Date],F$2) +SUMIFS(bb_table[Amount],bb_table[Short_Desc],$B7,bb_table[Date],F$2)</f>
        <v>10</v>
      </c>
      <c r="G7" s="8">
        <f>SUMIFS(dis_table[Amount],dis_table[Short_Desc],$B7,dis_table[Date],G$2) +SUMIFS(cc_table[Amount],cc_table[Short_Desc],$B7,cc_table[Date],G$2) +SUMIFS(bb_table[Amount],bb_table[Short_Desc],$B7,bb_table[Date],G$2)</f>
        <v>10</v>
      </c>
      <c r="H7" s="8">
        <f>SUMIFS(dis_table[Amount],dis_table[Short_Desc],$B7,dis_table[Date],H$2) +SUMIFS(cc_table[Amount],cc_table[Short_Desc],$B7,cc_table[Date],H$2) +SUMIFS(bb_table[Amount],bb_table[Short_Desc],$B7,bb_table[Date],H$2)</f>
        <v>10</v>
      </c>
      <c r="I7" s="8">
        <f>SUMIFS(dis_table[Amount],dis_table[Short_Desc],$B7,dis_table[Date],I$2) +SUMIFS(cc_table[Amount],cc_table[Short_Desc],$B7,cc_table[Date],I$2) +SUMIFS(bb_table[Amount],bb_table[Short_Desc],$B7,bb_table[Date],I$2)</f>
        <v>10</v>
      </c>
      <c r="J7" s="8">
        <f>SUMIFS(dis_table[Amount],dis_table[Short_Desc],$B7,dis_table[Date],J$2) +SUMIFS(cc_table[Amount],cc_table[Short_Desc],$B7,cc_table[Date],J$2) +SUMIFS(bb_table[Amount],bb_table[Short_Desc],$B7,bb_table[Date],J$2)</f>
        <v>10</v>
      </c>
    </row>
    <row r="8" spans="1:10" x14ac:dyDescent="0.25">
      <c r="A8" t="s">
        <v>23</v>
      </c>
      <c r="B8" t="s">
        <v>88</v>
      </c>
      <c r="C8" t="s">
        <v>22</v>
      </c>
      <c r="D8" s="8">
        <f>SUMIFS(dis_table[Amount],dis_table[Short_Desc],$B8,dis_table[Date],D$2) +SUMIFS(cc_table[Amount],cc_table[Short_Desc],$B8,cc_table[Date],D$2) +SUMIFS(bb_table[Amount],bb_table[Short_Desc],$B8,bb_table[Date],D$2)</f>
        <v>30</v>
      </c>
      <c r="E8" s="8">
        <f>SUMIFS(dis_table[Amount],dis_table[Short_Desc],$B8,dis_table[Date],E$2) +SUMIFS(cc_table[Amount],cc_table[Short_Desc],$B8,cc_table[Date],E$2) +SUMIFS(bb_table[Amount],bb_table[Short_Desc],$B8,bb_table[Date],E$2)</f>
        <v>30</v>
      </c>
      <c r="F8" s="8">
        <f>SUMIFS(dis_table[Amount],dis_table[Short_Desc],$B8,dis_table[Date],F$2) +SUMIFS(cc_table[Amount],cc_table[Short_Desc],$B8,cc_table[Date],F$2) +SUMIFS(bb_table[Amount],bb_table[Short_Desc],$B8,bb_table[Date],F$2)</f>
        <v>0</v>
      </c>
      <c r="G8" s="8">
        <f>SUMIFS(dis_table[Amount],dis_table[Short_Desc],$B8,dis_table[Date],G$2) +SUMIFS(cc_table[Amount],cc_table[Short_Desc],$B8,cc_table[Date],G$2) +SUMIFS(bb_table[Amount],bb_table[Short_Desc],$B8,bb_table[Date],G$2)</f>
        <v>0</v>
      </c>
      <c r="H8" s="8">
        <f>SUMIFS(dis_table[Amount],dis_table[Short_Desc],$B8,dis_table[Date],H$2) +SUMIFS(cc_table[Amount],cc_table[Short_Desc],$B8,cc_table[Date],H$2) +SUMIFS(bb_table[Amount],bb_table[Short_Desc],$B8,bb_table[Date],H$2)</f>
        <v>0</v>
      </c>
      <c r="I8" s="8">
        <f>SUMIFS(dis_table[Amount],dis_table[Short_Desc],$B8,dis_table[Date],I$2) +SUMIFS(cc_table[Amount],cc_table[Short_Desc],$B8,cc_table[Date],I$2) +SUMIFS(bb_table[Amount],bb_table[Short_Desc],$B8,bb_table[Date],I$2)</f>
        <v>0</v>
      </c>
      <c r="J8" s="8">
        <f>SUMIFS(dis_table[Amount],dis_table[Short_Desc],$B8,dis_table[Date],J$2) +SUMIFS(cc_table[Amount],cc_table[Short_Desc],$B8,cc_table[Date],J$2) +SUMIFS(bb_table[Amount],bb_table[Short_Desc],$B8,bb_table[Date],J$2)</f>
        <v>0</v>
      </c>
    </row>
    <row r="9" spans="1:10" x14ac:dyDescent="0.25">
      <c r="A9" t="s">
        <v>23</v>
      </c>
      <c r="B9" t="s">
        <v>101</v>
      </c>
      <c r="C9" t="s">
        <v>22</v>
      </c>
      <c r="D9" s="8">
        <f>SUMIFS(dis_table[Amount],dis_table[Short_Desc],$B9,dis_table[Date],D$2) +SUMIFS(cc_table[Amount],cc_table[Short_Desc],$B9,cc_table[Date],D$2) +SUMIFS(bb_table[Amount],bb_table[Short_Desc],$B9,bb_table[Date],D$2)</f>
        <v>12.99</v>
      </c>
      <c r="E9" s="8">
        <f>SUMIFS(dis_table[Amount],dis_table[Short_Desc],$B9,dis_table[Date],E$2) +SUMIFS(cc_table[Amount],cc_table[Short_Desc],$B9,cc_table[Date],E$2) +SUMIFS(bb_table[Amount],bb_table[Short_Desc],$B9,bb_table[Date],E$2)</f>
        <v>12.99</v>
      </c>
      <c r="F9" s="8">
        <f>SUMIFS(dis_table[Amount],dis_table[Short_Desc],$B9,dis_table[Date],F$2) +SUMIFS(cc_table[Amount],cc_table[Short_Desc],$B9,cc_table[Date],F$2) +SUMIFS(bb_table[Amount],bb_table[Short_Desc],$B9,bb_table[Date],F$2)</f>
        <v>12.99</v>
      </c>
      <c r="G9" s="8">
        <f>SUMIFS(dis_table[Amount],dis_table[Short_Desc],$B9,dis_table[Date],G$2) +SUMIFS(cc_table[Amount],cc_table[Short_Desc],$B9,cc_table[Date],G$2) +SUMIFS(bb_table[Amount],bb_table[Short_Desc],$B9,bb_table[Date],G$2)</f>
        <v>12.99</v>
      </c>
      <c r="H9" s="8">
        <f>SUMIFS(dis_table[Amount],dis_table[Short_Desc],$B9,dis_table[Date],H$2) +SUMIFS(cc_table[Amount],cc_table[Short_Desc],$B9,cc_table[Date],H$2) +SUMIFS(bb_table[Amount],bb_table[Short_Desc],$B9,bb_table[Date],H$2)</f>
        <v>0</v>
      </c>
      <c r="I9" s="8">
        <f>SUMIFS(dis_table[Amount],dis_table[Short_Desc],$B9,dis_table[Date],I$2) +SUMIFS(cc_table[Amount],cc_table[Short_Desc],$B9,cc_table[Date],I$2) +SUMIFS(bb_table[Amount],bb_table[Short_Desc],$B9,bb_table[Date],I$2)</f>
        <v>0</v>
      </c>
      <c r="J9" s="8">
        <f>SUMIFS(dis_table[Amount],dis_table[Short_Desc],$B9,dis_table[Date],J$2) +SUMIFS(cc_table[Amount],cc_table[Short_Desc],$B9,cc_table[Date],J$2) +SUMIFS(bb_table[Amount],bb_table[Short_Desc],$B9,bb_table[Date],J$2)</f>
        <v>0</v>
      </c>
    </row>
    <row r="10" spans="1:10" x14ac:dyDescent="0.25">
      <c r="A10" t="s">
        <v>23</v>
      </c>
      <c r="B10" t="s">
        <v>113</v>
      </c>
      <c r="C10" t="s">
        <v>22</v>
      </c>
      <c r="D10" s="8">
        <f>SUMIFS(dis_table[Amount],dis_table[Short_Desc],$B10,dis_table[Date],D$2) +SUMIFS(cc_table[Amount],cc_table[Short_Desc],$B10,cc_table[Date],D$2) +SUMIFS(bb_table[Amount],bb_table[Short_Desc],$B10,bb_table[Date],D$2)</f>
        <v>4.99</v>
      </c>
      <c r="E10" s="8">
        <f>SUMIFS(dis_table[Amount],dis_table[Short_Desc],$B10,dis_table[Date],E$2) +SUMIFS(cc_table[Amount],cc_table[Short_Desc],$B10,cc_table[Date],E$2) +SUMIFS(bb_table[Amount],bb_table[Short_Desc],$B10,bb_table[Date],E$2)</f>
        <v>4.99</v>
      </c>
      <c r="F10" s="8">
        <f>SUMIFS(dis_table[Amount],dis_table[Short_Desc],$B10,dis_table[Date],F$2) +SUMIFS(cc_table[Amount],cc_table[Short_Desc],$B10,cc_table[Date],F$2) +SUMIFS(bb_table[Amount],bb_table[Short_Desc],$B10,bb_table[Date],F$2)</f>
        <v>4.99</v>
      </c>
      <c r="G10" s="8">
        <f>SUMIFS(dis_table[Amount],dis_table[Short_Desc],$B10,dis_table[Date],G$2) +SUMIFS(cc_table[Amount],cc_table[Short_Desc],$B10,cc_table[Date],G$2) +SUMIFS(bb_table[Amount],bb_table[Short_Desc],$B10,bb_table[Date],G$2)</f>
        <v>4.99</v>
      </c>
      <c r="H10" s="8">
        <f>SUMIFS(dis_table[Amount],dis_table[Short_Desc],$B10,dis_table[Date],H$2) +SUMIFS(cc_table[Amount],cc_table[Short_Desc],$B10,cc_table[Date],H$2) +SUMIFS(bb_table[Amount],bb_table[Short_Desc],$B10,bb_table[Date],H$2)</f>
        <v>0</v>
      </c>
      <c r="I10" s="8">
        <f>SUMIFS(dis_table[Amount],dis_table[Short_Desc],$B10,dis_table[Date],I$2) +SUMIFS(cc_table[Amount],cc_table[Short_Desc],$B10,cc_table[Date],I$2) +SUMIFS(bb_table[Amount],bb_table[Short_Desc],$B10,bb_table[Date],I$2)</f>
        <v>0</v>
      </c>
      <c r="J10" s="8">
        <f>SUMIFS(dis_table[Amount],dis_table[Short_Desc],$B10,dis_table[Date],J$2) +SUMIFS(cc_table[Amount],cc_table[Short_Desc],$B10,cc_table[Date],J$2) +SUMIFS(bb_table[Amount],bb_table[Short_Desc],$B10,bb_table[Date],J$2)</f>
        <v>0</v>
      </c>
    </row>
    <row r="11" spans="1:10" x14ac:dyDescent="0.25">
      <c r="A11" t="s">
        <v>23</v>
      </c>
      <c r="B11" t="s">
        <v>115</v>
      </c>
      <c r="C11" t="s">
        <v>22</v>
      </c>
      <c r="D11" s="8">
        <f>SUMIFS(dis_table[Amount],dis_table[Short_Desc],$B11,dis_table[Date],D$2) +SUMIFS(cc_table[Amount],cc_table[Short_Desc],$B11,cc_table[Date],D$2) +SUMIFS(bb_table[Amount],bb_table[Short_Desc],$B11,bb_table[Date],D$2)</f>
        <v>20</v>
      </c>
      <c r="E11" s="8">
        <f>SUMIFS(dis_table[Amount],dis_table[Short_Desc],$B11,dis_table[Date],E$2) +SUMIFS(cc_table[Amount],cc_table[Short_Desc],$B11,cc_table[Date],E$2) +SUMIFS(bb_table[Amount],bb_table[Short_Desc],$B11,bb_table[Date],E$2)</f>
        <v>29.99</v>
      </c>
      <c r="F11" s="8">
        <f>SUMIFS(dis_table[Amount],dis_table[Short_Desc],$B11,dis_table[Date],F$2) +SUMIFS(cc_table[Amount],cc_table[Short_Desc],$B11,cc_table[Date],F$2) +SUMIFS(bb_table[Amount],bb_table[Short_Desc],$B11,bb_table[Date],F$2)</f>
        <v>0</v>
      </c>
      <c r="G11" s="8">
        <f>SUMIFS(dis_table[Amount],dis_table[Short_Desc],$B11,dis_table[Date],G$2) +SUMIFS(cc_table[Amount],cc_table[Short_Desc],$B11,cc_table[Date],G$2) +SUMIFS(bb_table[Amount],bb_table[Short_Desc],$B11,bb_table[Date],G$2)</f>
        <v>0</v>
      </c>
      <c r="H11" s="8">
        <f>SUMIFS(dis_table[Amount],dis_table[Short_Desc],$B11,dis_table[Date],H$2) +SUMIFS(cc_table[Amount],cc_table[Short_Desc],$B11,cc_table[Date],H$2) +SUMIFS(bb_table[Amount],bb_table[Short_Desc],$B11,bb_table[Date],H$2)</f>
        <v>0</v>
      </c>
      <c r="I11" s="8">
        <f>SUMIFS(dis_table[Amount],dis_table[Short_Desc],$B11,dis_table[Date],I$2) +SUMIFS(cc_table[Amount],cc_table[Short_Desc],$B11,cc_table[Date],I$2) +SUMIFS(bb_table[Amount],bb_table[Short_Desc],$B11,bb_table[Date],I$2)</f>
        <v>0</v>
      </c>
      <c r="J11" s="8">
        <f>SUMIFS(dis_table[Amount],dis_table[Short_Desc],$B11,dis_table[Date],J$2) +SUMIFS(cc_table[Amount],cc_table[Short_Desc],$B11,cc_table[Date],J$2) +SUMIFS(bb_table[Amount],bb_table[Short_Desc],$B11,bb_table[Date],J$2)</f>
        <v>0</v>
      </c>
    </row>
    <row r="12" spans="1:10" x14ac:dyDescent="0.25">
      <c r="A12" t="s">
        <v>23</v>
      </c>
      <c r="B12" t="s">
        <v>124</v>
      </c>
      <c r="C12" t="s">
        <v>22</v>
      </c>
      <c r="D12" s="8">
        <f>SUMIFS(dis_table[Amount],dis_table[Short_Desc],$B12,dis_table[Date],D$2) +SUMIFS(cc_table[Amount],cc_table[Short_Desc],$B12,cc_table[Date],D$2) +SUMIFS(bb_table[Amount],bb_table[Short_Desc],$B12,bb_table[Date],D$2)</f>
        <v>0</v>
      </c>
      <c r="E12" s="8">
        <f>SUMIFS(dis_table[Amount],dis_table[Short_Desc],$B12,dis_table[Date],E$2) +SUMIFS(cc_table[Amount],cc_table[Short_Desc],$B12,cc_table[Date],E$2) +SUMIFS(bb_table[Amount],bb_table[Short_Desc],$B12,bb_table[Date],E$2)</f>
        <v>14.99</v>
      </c>
      <c r="F12" s="8">
        <f>SUMIFS(dis_table[Amount],dis_table[Short_Desc],$B12,dis_table[Date],F$2) +SUMIFS(cc_table[Amount],cc_table[Short_Desc],$B12,cc_table[Date],F$2) +SUMIFS(bb_table[Amount],bb_table[Short_Desc],$B12,bb_table[Date],F$2)</f>
        <v>14.99</v>
      </c>
      <c r="G12" s="8">
        <f>SUMIFS(dis_table[Amount],dis_table[Short_Desc],$B12,dis_table[Date],G$2) +SUMIFS(cc_table[Amount],cc_table[Short_Desc],$B12,cc_table[Date],G$2) +SUMIFS(bb_table[Amount],bb_table[Short_Desc],$B12,bb_table[Date],G$2)</f>
        <v>14.99</v>
      </c>
      <c r="H12" s="8">
        <f>SUMIFS(dis_table[Amount],dis_table[Short_Desc],$B12,dis_table[Date],H$2) +SUMIFS(cc_table[Amount],cc_table[Short_Desc],$B12,cc_table[Date],H$2) +SUMIFS(bb_table[Amount],bb_table[Short_Desc],$B12,bb_table[Date],H$2)</f>
        <v>0</v>
      </c>
      <c r="I12" s="8">
        <f>SUMIFS(dis_table[Amount],dis_table[Short_Desc],$B12,dis_table[Date],I$2) +SUMIFS(cc_table[Amount],cc_table[Short_Desc],$B12,cc_table[Date],I$2) +SUMIFS(bb_table[Amount],bb_table[Short_Desc],$B12,bb_table[Date],I$2)</f>
        <v>0</v>
      </c>
      <c r="J12" s="8">
        <f>SUMIFS(dis_table[Amount],dis_table[Short_Desc],$B12,dis_table[Date],J$2) +SUMIFS(cc_table[Amount],cc_table[Short_Desc],$B12,cc_table[Date],J$2) +SUMIFS(bb_table[Amount],bb_table[Short_Desc],$B12,bb_table[Date],J$2)</f>
        <v>0</v>
      </c>
    </row>
    <row r="13" spans="1:10" x14ac:dyDescent="0.25">
      <c r="A13" t="s">
        <v>23</v>
      </c>
      <c r="B13" t="s">
        <v>130</v>
      </c>
      <c r="C13" t="s">
        <v>22</v>
      </c>
      <c r="D13" s="8">
        <f>SUMIFS(dis_table[Amount],dis_table[Short_Desc],$B13,dis_table[Date],D$2) +SUMIFS(cc_table[Amount],cc_table[Short_Desc],$B13,cc_table[Date],D$2) +SUMIFS(bb_table[Amount],bb_table[Short_Desc],$B13,bb_table[Date],D$2)</f>
        <v>0</v>
      </c>
      <c r="E13" s="8">
        <f>SUMIFS(dis_table[Amount],dis_table[Short_Desc],$B13,dis_table[Date],E$2) +SUMIFS(cc_table[Amount],cc_table[Short_Desc],$B13,cc_table[Date],E$2) +SUMIFS(bb_table[Amount],bb_table[Short_Desc],$B13,bb_table[Date],E$2)</f>
        <v>70.58</v>
      </c>
      <c r="F13" s="8">
        <f>SUMIFS(dis_table[Amount],dis_table[Short_Desc],$B13,dis_table[Date],F$2) +SUMIFS(cc_table[Amount],cc_table[Short_Desc],$B13,cc_table[Date],F$2) +SUMIFS(bb_table[Amount],bb_table[Short_Desc],$B13,bb_table[Date],F$2)</f>
        <v>54.29</v>
      </c>
      <c r="G13" s="8">
        <f>SUMIFS(dis_table[Amount],dis_table[Short_Desc],$B13,dis_table[Date],G$2) +SUMIFS(cc_table[Amount],cc_table[Short_Desc],$B13,cc_table[Date],G$2) +SUMIFS(bb_table[Amount],bb_table[Short_Desc],$B13,bb_table[Date],G$2)</f>
        <v>86.47</v>
      </c>
      <c r="H13" s="8">
        <f>SUMIFS(dis_table[Amount],dis_table[Short_Desc],$B13,dis_table[Date],H$2) +SUMIFS(cc_table[Amount],cc_table[Short_Desc],$B13,cc_table[Date],H$2) +SUMIFS(bb_table[Amount],bb_table[Short_Desc],$B13,bb_table[Date],H$2)</f>
        <v>70.58</v>
      </c>
      <c r="I13" s="8">
        <f>SUMIFS(dis_table[Amount],dis_table[Short_Desc],$B13,dis_table[Date],I$2) +SUMIFS(cc_table[Amount],cc_table[Short_Desc],$B13,cc_table[Date],I$2) +SUMIFS(bb_table[Amount],bb_table[Short_Desc],$B13,bb_table[Date],I$2)</f>
        <v>0</v>
      </c>
      <c r="J13" s="8">
        <f>SUMIFS(dis_table[Amount],dis_table[Short_Desc],$B13,dis_table[Date],J$2) +SUMIFS(cc_table[Amount],cc_table[Short_Desc],$B13,cc_table[Date],J$2) +SUMIFS(bb_table[Amount],bb_table[Short_Desc],$B13,bb_table[Date],J$2)</f>
        <v>0</v>
      </c>
    </row>
    <row r="14" spans="1:10" x14ac:dyDescent="0.25">
      <c r="A14" t="s">
        <v>23</v>
      </c>
      <c r="B14" t="s">
        <v>143</v>
      </c>
      <c r="C14" t="s">
        <v>22</v>
      </c>
      <c r="D14" s="8">
        <f>SUMIFS(dis_table[Amount],dis_table[Short_Desc],$B14,dis_table[Date],D$2) +SUMIFS(cc_table[Amount],cc_table[Short_Desc],$B14,cc_table[Date],D$2) +SUMIFS(bb_table[Amount],bb_table[Short_Desc],$B14,bb_table[Date],D$2)</f>
        <v>0</v>
      </c>
      <c r="E14" s="8">
        <f>SUMIFS(dis_table[Amount],dis_table[Short_Desc],$B14,dis_table[Date],E$2) +SUMIFS(cc_table[Amount],cc_table[Short_Desc],$B14,cc_table[Date],E$2) +SUMIFS(bb_table[Amount],bb_table[Short_Desc],$B14,bb_table[Date],E$2)</f>
        <v>10.59</v>
      </c>
      <c r="F14" s="8">
        <f>SUMIFS(dis_table[Amount],dis_table[Short_Desc],$B14,dis_table[Date],F$2) +SUMIFS(cc_table[Amount],cc_table[Short_Desc],$B14,cc_table[Date],F$2) +SUMIFS(bb_table[Amount],bb_table[Short_Desc],$B14,bb_table[Date],F$2)</f>
        <v>10.59</v>
      </c>
      <c r="G14" s="8">
        <f>SUMIFS(dis_table[Amount],dis_table[Short_Desc],$B14,dis_table[Date],G$2) +SUMIFS(cc_table[Amount],cc_table[Short_Desc],$B14,cc_table[Date],G$2) +SUMIFS(bb_table[Amount],bb_table[Short_Desc],$B14,bb_table[Date],G$2)</f>
        <v>10.59</v>
      </c>
      <c r="H14" s="8">
        <f>SUMIFS(dis_table[Amount],dis_table[Short_Desc],$B14,dis_table[Date],H$2) +SUMIFS(cc_table[Amount],cc_table[Short_Desc],$B14,cc_table[Date],H$2) +SUMIFS(bb_table[Amount],bb_table[Short_Desc],$B14,bb_table[Date],H$2)</f>
        <v>0</v>
      </c>
      <c r="I14" s="8">
        <f>SUMIFS(dis_table[Amount],dis_table[Short_Desc],$B14,dis_table[Date],I$2) +SUMIFS(cc_table[Amount],cc_table[Short_Desc],$B14,cc_table[Date],I$2) +SUMIFS(bb_table[Amount],bb_table[Short_Desc],$B14,bb_table[Date],I$2)</f>
        <v>0</v>
      </c>
      <c r="J14" s="8">
        <f>SUMIFS(dis_table[Amount],dis_table[Short_Desc],$B14,dis_table[Date],J$2) +SUMIFS(cc_table[Amount],cc_table[Short_Desc],$B14,cc_table[Date],J$2) +SUMIFS(bb_table[Amount],bb_table[Short_Desc],$B14,bb_table[Date],J$2)</f>
        <v>0</v>
      </c>
    </row>
    <row r="15" spans="1:10" x14ac:dyDescent="0.25">
      <c r="A15" t="s">
        <v>23</v>
      </c>
      <c r="B15" t="s">
        <v>216</v>
      </c>
      <c r="C15" t="s">
        <v>22</v>
      </c>
      <c r="D15" s="8">
        <f>SUMIFS(dis_table[Amount],dis_table[Short_Desc],$B15,dis_table[Date],D$2) +SUMIFS(cc_table[Amount],cc_table[Short_Desc],$B15,cc_table[Date],D$2) +SUMIFS(bb_table[Amount],bb_table[Short_Desc],$B15,bb_table[Date],D$2)</f>
        <v>0</v>
      </c>
      <c r="E15" s="8">
        <f>SUMIFS(dis_table[Amount],dis_table[Short_Desc],$B15,dis_table[Date],E$2) +SUMIFS(cc_table[Amount],cc_table[Short_Desc],$B15,cc_table[Date],E$2) +SUMIFS(bb_table[Amount],bb_table[Short_Desc],$B15,bb_table[Date],E$2)</f>
        <v>0</v>
      </c>
      <c r="F15" s="8">
        <f>SUMIFS(dis_table[Amount],dis_table[Short_Desc],$B15,dis_table[Date],F$2) +SUMIFS(cc_table[Amount],cc_table[Short_Desc],$B15,cc_table[Date],F$2) +SUMIFS(bb_table[Amount],bb_table[Short_Desc],$B15,bb_table[Date],F$2)</f>
        <v>79.989999999999995</v>
      </c>
      <c r="G15" s="8">
        <f>SUMIFS(dis_table[Amount],dis_table[Short_Desc],$B15,dis_table[Date],G$2) +SUMIFS(cc_table[Amount],cc_table[Short_Desc],$B15,cc_table[Date],G$2) +SUMIFS(bb_table[Amount],bb_table[Short_Desc],$B15,bb_table[Date],G$2)</f>
        <v>0</v>
      </c>
      <c r="H15" s="8">
        <f>SUMIFS(dis_table[Amount],dis_table[Short_Desc],$B15,dis_table[Date],H$2) +SUMIFS(cc_table[Amount],cc_table[Short_Desc],$B15,cc_table[Date],H$2) +SUMIFS(bb_table[Amount],bb_table[Short_Desc],$B15,bb_table[Date],H$2)</f>
        <v>0</v>
      </c>
      <c r="I15" s="8">
        <f>SUMIFS(dis_table[Amount],dis_table[Short_Desc],$B15,dis_table[Date],I$2) +SUMIFS(cc_table[Amount],cc_table[Short_Desc],$B15,cc_table[Date],I$2) +SUMIFS(bb_table[Amount],bb_table[Short_Desc],$B15,bb_table[Date],I$2)</f>
        <v>0</v>
      </c>
      <c r="J15" s="8">
        <f>SUMIFS(dis_table[Amount],dis_table[Short_Desc],$B15,dis_table[Date],J$2) +SUMIFS(cc_table[Amount],cc_table[Short_Desc],$B15,cc_table[Date],J$2) +SUMIFS(bb_table[Amount],bb_table[Short_Desc],$B15,bb_table[Date],J$2)</f>
        <v>0</v>
      </c>
    </row>
    <row r="16" spans="1:10" x14ac:dyDescent="0.25">
      <c r="A16" t="s">
        <v>23</v>
      </c>
      <c r="B16" t="s">
        <v>251</v>
      </c>
      <c r="C16" t="s">
        <v>22</v>
      </c>
      <c r="D16" s="8">
        <f>SUMIFS(dis_table[Amount],dis_table[Short_Desc],$B16,dis_table[Date],D$2) +SUMIFS(cc_table[Amount],cc_table[Short_Desc],$B16,cc_table[Date],D$2) +SUMIFS(bb_table[Amount],bb_table[Short_Desc],$B16,bb_table[Date],D$2)</f>
        <v>0</v>
      </c>
      <c r="E16" s="8">
        <f>SUMIFS(dis_table[Amount],dis_table[Short_Desc],$B16,dis_table[Date],E$2) +SUMIFS(cc_table[Amount],cc_table[Short_Desc],$B16,cc_table[Date],E$2) +SUMIFS(bb_table[Amount],bb_table[Short_Desc],$B16,bb_table[Date],E$2)</f>
        <v>0</v>
      </c>
      <c r="F16" s="8">
        <f>SUMIFS(dis_table[Amount],dis_table[Short_Desc],$B16,dis_table[Date],F$2) +SUMIFS(cc_table[Amount],cc_table[Short_Desc],$B16,cc_table[Date],F$2) +SUMIFS(bb_table[Amount],bb_table[Short_Desc],$B16,bb_table[Date],F$2)</f>
        <v>0</v>
      </c>
      <c r="G16" s="8">
        <f>SUMIFS(dis_table[Amount],dis_table[Short_Desc],$B16,dis_table[Date],G$2) +SUMIFS(cc_table[Amount],cc_table[Short_Desc],$B16,cc_table[Date],G$2) +SUMIFS(bb_table[Amount],bb_table[Short_Desc],$B16,bb_table[Date],G$2)</f>
        <v>31.79</v>
      </c>
      <c r="H16" s="8">
        <f>SUMIFS(dis_table[Amount],dis_table[Short_Desc],$B16,dis_table[Date],H$2) +SUMIFS(cc_table[Amount],cc_table[Short_Desc],$B16,cc_table[Date],H$2) +SUMIFS(bb_table[Amount],bb_table[Short_Desc],$B16,bb_table[Date],H$2)</f>
        <v>0</v>
      </c>
      <c r="I16" s="8">
        <f>SUMIFS(dis_table[Amount],dis_table[Short_Desc],$B16,dis_table[Date],I$2) +SUMIFS(cc_table[Amount],cc_table[Short_Desc],$B16,cc_table[Date],I$2) +SUMIFS(bb_table[Amount],bb_table[Short_Desc],$B16,bb_table[Date],I$2)</f>
        <v>0</v>
      </c>
      <c r="J16" s="8">
        <f>SUMIFS(dis_table[Amount],dis_table[Short_Desc],$B16,dis_table[Date],J$2) +SUMIFS(cc_table[Amount],cc_table[Short_Desc],$B16,cc_table[Date],J$2) +SUMIFS(bb_table[Amount],bb_table[Short_Desc],$B16,bb_table[Date],J$2)</f>
        <v>0</v>
      </c>
    </row>
    <row r="17" spans="1:10" x14ac:dyDescent="0.25">
      <c r="A17" t="s">
        <v>23</v>
      </c>
      <c r="B17" t="s">
        <v>284</v>
      </c>
      <c r="C17" t="s">
        <v>22</v>
      </c>
      <c r="D17" s="8">
        <f>SUMIFS(dis_table[Amount],dis_table[Short_Desc],$B17,dis_table[Date],D$2) +SUMIFS(cc_table[Amount],cc_table[Short_Desc],$B17,cc_table[Date],D$2) +SUMIFS(bb_table[Amount],bb_table[Short_Desc],$B17,bb_table[Date],D$2)</f>
        <v>0</v>
      </c>
      <c r="E17" s="8">
        <f>SUMIFS(dis_table[Amount],dis_table[Short_Desc],$B17,dis_table[Date],E$2) +SUMIFS(cc_table[Amount],cc_table[Short_Desc],$B17,cc_table[Date],E$2) +SUMIFS(bb_table[Amount],bb_table[Short_Desc],$B17,bb_table[Date],E$2)</f>
        <v>0</v>
      </c>
      <c r="F17" s="8">
        <f>SUMIFS(dis_table[Amount],dis_table[Short_Desc],$B17,dis_table[Date],F$2) +SUMIFS(cc_table[Amount],cc_table[Short_Desc],$B17,cc_table[Date],F$2) +SUMIFS(bb_table[Amount],bb_table[Short_Desc],$B17,bb_table[Date],F$2)</f>
        <v>0</v>
      </c>
      <c r="G17" s="8">
        <f>SUMIFS(dis_table[Amount],dis_table[Short_Desc],$B17,dis_table[Date],G$2) +SUMIFS(cc_table[Amount],cc_table[Short_Desc],$B17,cc_table[Date],G$2) +SUMIFS(bb_table[Amount],bb_table[Short_Desc],$B17,bb_table[Date],G$2)</f>
        <v>50</v>
      </c>
      <c r="H17" s="8">
        <f>SUMIFS(dis_table[Amount],dis_table[Short_Desc],$B17,dis_table[Date],H$2) +SUMIFS(cc_table[Amount],cc_table[Short_Desc],$B17,cc_table[Date],H$2) +SUMIFS(bb_table[Amount],bb_table[Short_Desc],$B17,bb_table[Date],H$2)</f>
        <v>0</v>
      </c>
      <c r="I17" s="8">
        <f>SUMIFS(dis_table[Amount],dis_table[Short_Desc],$B17,dis_table[Date],I$2) +SUMIFS(cc_table[Amount],cc_table[Short_Desc],$B17,cc_table[Date],I$2) +SUMIFS(bb_table[Amount],bb_table[Short_Desc],$B17,bb_table[Date],I$2)</f>
        <v>0</v>
      </c>
      <c r="J17" s="8">
        <f>SUMIFS(dis_table[Amount],dis_table[Short_Desc],$B17,dis_table[Date],J$2) +SUMIFS(cc_table[Amount],cc_table[Short_Desc],$B17,cc_table[Date],J$2) +SUMIFS(bb_table[Amount],bb_table[Short_Desc],$B17,bb_table[Date],J$2)</f>
        <v>0</v>
      </c>
    </row>
    <row r="18" spans="1:10" x14ac:dyDescent="0.25">
      <c r="A18" t="s">
        <v>23</v>
      </c>
      <c r="B18" t="s">
        <v>305</v>
      </c>
      <c r="C18" t="s">
        <v>22</v>
      </c>
      <c r="D18" s="8">
        <f>SUMIFS(dis_table[Amount],dis_table[Short_Desc],$B18,dis_table[Date],D$2) +SUMIFS(cc_table[Amount],cc_table[Short_Desc],$B18,cc_table[Date],D$2) +SUMIFS(bb_table[Amount],bb_table[Short_Desc],$B18,bb_table[Date],D$2)</f>
        <v>0</v>
      </c>
      <c r="E18" s="8">
        <f>SUMIFS(dis_table[Amount],dis_table[Short_Desc],$B18,dis_table[Date],E$2) +SUMIFS(cc_table[Amount],cc_table[Short_Desc],$B18,cc_table[Date],E$2) +SUMIFS(bb_table[Amount],bb_table[Short_Desc],$B18,bb_table[Date],E$2)</f>
        <v>0</v>
      </c>
      <c r="F18" s="8">
        <f>SUMIFS(dis_table[Amount],dis_table[Short_Desc],$B18,dis_table[Date],F$2) +SUMIFS(cc_table[Amount],cc_table[Short_Desc],$B18,cc_table[Date],F$2) +SUMIFS(bb_table[Amount],bb_table[Short_Desc],$B18,bb_table[Date],F$2)</f>
        <v>0</v>
      </c>
      <c r="G18" s="8">
        <f>SUMIFS(dis_table[Amount],dis_table[Short_Desc],$B18,dis_table[Date],G$2) +SUMIFS(cc_table[Amount],cc_table[Short_Desc],$B18,cc_table[Date],G$2) +SUMIFS(bb_table[Amount],bb_table[Short_Desc],$B18,bb_table[Date],G$2)</f>
        <v>0</v>
      </c>
      <c r="H18" s="8">
        <f>SUMIFS(dis_table[Amount],dis_table[Short_Desc],$B18,dis_table[Date],H$2) +SUMIFS(cc_table[Amount],cc_table[Short_Desc],$B18,cc_table[Date],H$2) +SUMIFS(bb_table[Amount],bb_table[Short_Desc],$B18,bb_table[Date],H$2)</f>
        <v>10.85</v>
      </c>
      <c r="I18" s="8">
        <f>SUMIFS(dis_table[Amount],dis_table[Short_Desc],$B18,dis_table[Date],I$2) +SUMIFS(cc_table[Amount],cc_table[Short_Desc],$B18,cc_table[Date],I$2) +SUMIFS(bb_table[Amount],bb_table[Short_Desc],$B18,bb_table[Date],I$2)</f>
        <v>10.85</v>
      </c>
      <c r="J18" s="8">
        <f>SUMIFS(dis_table[Amount],dis_table[Short_Desc],$B18,dis_table[Date],J$2) +SUMIFS(cc_table[Amount],cc_table[Short_Desc],$B18,cc_table[Date],J$2) +SUMIFS(bb_table[Amount],bb_table[Short_Desc],$B18,bb_table[Date],J$2)</f>
        <v>10.85</v>
      </c>
    </row>
    <row r="19" spans="1:10" x14ac:dyDescent="0.25">
      <c r="A19" t="s">
        <v>23</v>
      </c>
      <c r="B19" t="s">
        <v>337</v>
      </c>
      <c r="C19" t="s">
        <v>22</v>
      </c>
      <c r="D19" s="8">
        <f>SUMIFS(dis_table[Amount],dis_table[Short_Desc],$B19,dis_table[Date],D$2) +SUMIFS(cc_table[Amount],cc_table[Short_Desc],$B19,cc_table[Date],D$2) +SUMIFS(bb_table[Amount],bb_table[Short_Desc],$B19,bb_table[Date],D$2)</f>
        <v>0</v>
      </c>
      <c r="E19" s="8">
        <f>SUMIFS(dis_table[Amount],dis_table[Short_Desc],$B19,dis_table[Date],E$2) +SUMIFS(cc_table[Amount],cc_table[Short_Desc],$B19,cc_table[Date],E$2) +SUMIFS(bb_table[Amount],bb_table[Short_Desc],$B19,bb_table[Date],E$2)</f>
        <v>0</v>
      </c>
      <c r="F19" s="8">
        <f>SUMIFS(dis_table[Amount],dis_table[Short_Desc],$B19,dis_table[Date],F$2) +SUMIFS(cc_table[Amount],cc_table[Short_Desc],$B19,cc_table[Date],F$2) +SUMIFS(bb_table[Amount],bb_table[Short_Desc],$B19,bb_table[Date],F$2)</f>
        <v>0</v>
      </c>
      <c r="G19" s="8">
        <f>SUMIFS(dis_table[Amount],dis_table[Short_Desc],$B19,dis_table[Date],G$2) +SUMIFS(cc_table[Amount],cc_table[Short_Desc],$B19,cc_table[Date],G$2) +SUMIFS(bb_table[Amount],bb_table[Short_Desc],$B19,bb_table[Date],G$2)</f>
        <v>0</v>
      </c>
      <c r="H19" s="8">
        <f>SUMIFS(dis_table[Amount],dis_table[Short_Desc],$B19,dis_table[Date],H$2) +SUMIFS(cc_table[Amount],cc_table[Short_Desc],$B19,cc_table[Date],H$2) +SUMIFS(bb_table[Amount],bb_table[Short_Desc],$B19,bb_table[Date],H$2)</f>
        <v>3.17</v>
      </c>
      <c r="I19" s="8">
        <f>SUMIFS(dis_table[Amount],dis_table[Short_Desc],$B19,dis_table[Date],I$2) +SUMIFS(cc_table[Amount],cc_table[Short_Desc],$B19,cc_table[Date],I$2) +SUMIFS(bb_table[Amount],bb_table[Short_Desc],$B19,bb_table[Date],I$2)</f>
        <v>3.17</v>
      </c>
      <c r="J19" s="8">
        <f>SUMIFS(dis_table[Amount],dis_table[Short_Desc],$B19,dis_table[Date],J$2) +SUMIFS(cc_table[Amount],cc_table[Short_Desc],$B19,cc_table[Date],J$2) +SUMIFS(bb_table[Amount],bb_table[Short_Desc],$B19,bb_table[Date],J$2)</f>
        <v>0</v>
      </c>
    </row>
    <row r="20" spans="1:10" x14ac:dyDescent="0.25">
      <c r="A20" t="s">
        <v>23</v>
      </c>
      <c r="B20" t="s">
        <v>481</v>
      </c>
      <c r="C20" t="s">
        <v>22</v>
      </c>
      <c r="D20" s="8">
        <f>SUMIFS(dis_table[Amount],dis_table[Short_Desc],$B20,dis_table[Date],D$2) +SUMIFS(cc_table[Amount],cc_table[Short_Desc],$B20,cc_table[Date],D$2) +SUMIFS(bb_table[Amount],bb_table[Short_Desc],$B20,bb_table[Date],D$2)</f>
        <v>0</v>
      </c>
      <c r="E20" s="8">
        <f>SUMIFS(dis_table[Amount],dis_table[Short_Desc],$B20,dis_table[Date],E$2) +SUMIFS(cc_table[Amount],cc_table[Short_Desc],$B20,cc_table[Date],E$2) +SUMIFS(bb_table[Amount],bb_table[Short_Desc],$B20,bb_table[Date],E$2)</f>
        <v>0</v>
      </c>
      <c r="F20" s="8">
        <f>SUMIFS(dis_table[Amount],dis_table[Short_Desc],$B20,dis_table[Date],F$2) +SUMIFS(cc_table[Amount],cc_table[Short_Desc],$B20,cc_table[Date],F$2) +SUMIFS(bb_table[Amount],bb_table[Short_Desc],$B20,bb_table[Date],F$2)</f>
        <v>0</v>
      </c>
      <c r="G20" s="8">
        <f>SUMIFS(dis_table[Amount],dis_table[Short_Desc],$B20,dis_table[Date],G$2) +SUMIFS(cc_table[Amount],cc_table[Short_Desc],$B20,cc_table[Date],G$2) +SUMIFS(bb_table[Amount],bb_table[Short_Desc],$B20,bb_table[Date],G$2)</f>
        <v>0</v>
      </c>
      <c r="H20" s="8">
        <f>SUMIFS(dis_table[Amount],dis_table[Short_Desc],$B20,dis_table[Date],H$2) +SUMIFS(cc_table[Amount],cc_table[Short_Desc],$B20,cc_table[Date],H$2) +SUMIFS(bb_table[Amount],bb_table[Short_Desc],$B20,bb_table[Date],H$2)</f>
        <v>0</v>
      </c>
      <c r="I20" s="8">
        <f>SUMIFS(dis_table[Amount],dis_table[Short_Desc],$B20,dis_table[Date],I$2) +SUMIFS(cc_table[Amount],cc_table[Short_Desc],$B20,cc_table[Date],I$2) +SUMIFS(bb_table[Amount],bb_table[Short_Desc],$B20,bb_table[Date],I$2)</f>
        <v>0</v>
      </c>
      <c r="J20" s="8">
        <f>SUMIFS(dis_table[Amount],dis_table[Short_Desc],$B20,dis_table[Date],J$2) +SUMIFS(cc_table[Amount],cc_table[Short_Desc],$B20,cc_table[Date],J$2) +SUMIFS(bb_table[Amount],bb_table[Short_Desc],$B20,bb_table[Date],J$2)</f>
        <v>0</v>
      </c>
    </row>
    <row r="21" spans="1:10" x14ac:dyDescent="0.25">
      <c r="A21" t="s">
        <v>32</v>
      </c>
      <c r="B21" t="s">
        <v>409</v>
      </c>
      <c r="C21" t="s">
        <v>22</v>
      </c>
      <c r="D21" s="8">
        <f>SUMIFS(dis_table[Amount],dis_table[Short_Desc],$B21,dis_table[Date],D$2) +SUMIFS(cc_table[Amount],cc_table[Short_Desc],$B21,cc_table[Date],D$2) +SUMIFS(bb_table[Amount],bb_table[Short_Desc],$B21,bb_table[Date],D$2)</f>
        <v>0</v>
      </c>
      <c r="E21" s="8">
        <f>SUMIFS(dis_table[Amount],dis_table[Short_Desc],$B21,dis_table[Date],E$2) +SUMIFS(cc_table[Amount],cc_table[Short_Desc],$B21,cc_table[Date],E$2) +SUMIFS(bb_table[Amount],bb_table[Short_Desc],$B21,bb_table[Date],E$2)</f>
        <v>0</v>
      </c>
      <c r="F21" s="8">
        <f>SUMIFS(dis_table[Amount],dis_table[Short_Desc],$B21,dis_table[Date],F$2) +SUMIFS(cc_table[Amount],cc_table[Short_Desc],$B21,cc_table[Date],F$2) +SUMIFS(bb_table[Amount],bb_table[Short_Desc],$B21,bb_table[Date],F$2)</f>
        <v>0</v>
      </c>
      <c r="G21" s="8">
        <f>SUMIFS(dis_table[Amount],dis_table[Short_Desc],$B21,dis_table[Date],G$2) +SUMIFS(cc_table[Amount],cc_table[Short_Desc],$B21,cc_table[Date],G$2) +SUMIFS(bb_table[Amount],bb_table[Short_Desc],$B21,bb_table[Date],G$2)</f>
        <v>0</v>
      </c>
      <c r="H21" s="8">
        <f>SUMIFS(dis_table[Amount],dis_table[Short_Desc],$B21,dis_table[Date],H$2) +SUMIFS(cc_table[Amount],cc_table[Short_Desc],$B21,cc_table[Date],H$2) +SUMIFS(bb_table[Amount],bb_table[Short_Desc],$B21,bb_table[Date],H$2)</f>
        <v>0</v>
      </c>
      <c r="I21" s="8">
        <f>SUMIFS(dis_table[Amount],dis_table[Short_Desc],$B21,dis_table[Date],I$2) +SUMIFS(cc_table[Amount],cc_table[Short_Desc],$B21,cc_table[Date],I$2) +SUMIFS(bb_table[Amount],bb_table[Short_Desc],$B21,bb_table[Date],I$2)</f>
        <v>25</v>
      </c>
      <c r="J21" s="8">
        <f>SUMIFS(dis_table[Amount],dis_table[Short_Desc],$B21,dis_table[Date],J$2) +SUMIFS(cc_table[Amount],cc_table[Short_Desc],$B21,cc_table[Date],J$2) +SUMIFS(bb_table[Amount],bb_table[Short_Desc],$B21,bb_table[Date],J$2)</f>
        <v>25</v>
      </c>
    </row>
    <row r="22" spans="1:10" x14ac:dyDescent="0.25">
      <c r="B22" t="s">
        <v>109</v>
      </c>
      <c r="C22" t="s">
        <v>22</v>
      </c>
      <c r="D22" s="8">
        <f>SUMIFS(dis_table[Amount],dis_table[Short_Desc],$B22,dis_table[Date],D$2) +SUMIFS(cc_table[Amount],cc_table[Short_Desc],$B22,cc_table[Date],D$2) +SUMIFS(bb_table[Amount],bb_table[Short_Desc],$B22,bb_table[Date],D$2)</f>
        <v>79.38</v>
      </c>
      <c r="E22" s="8">
        <f>SUMIFS(dis_table[Amount],dis_table[Short_Desc],$B22,dis_table[Date],E$2) +SUMIFS(cc_table[Amount],cc_table[Short_Desc],$B22,cc_table[Date],E$2) +SUMIFS(bb_table[Amount],bb_table[Short_Desc],$B22,bb_table[Date],E$2)</f>
        <v>79.38</v>
      </c>
      <c r="F22" s="8">
        <f>SUMIFS(dis_table[Amount],dis_table[Short_Desc],$B22,dis_table[Date],F$2) +SUMIFS(cc_table[Amount],cc_table[Short_Desc],$B22,cc_table[Date],F$2) +SUMIFS(bb_table[Amount],bb_table[Short_Desc],$B22,bb_table[Date],F$2)</f>
        <v>79.38</v>
      </c>
      <c r="G22" s="8">
        <f>SUMIFS(dis_table[Amount],dis_table[Short_Desc],$B22,dis_table[Date],G$2) +SUMIFS(cc_table[Amount],cc_table[Short_Desc],$B22,cc_table[Date],G$2) +SUMIFS(bb_table[Amount],bb_table[Short_Desc],$B22,bb_table[Date],G$2)</f>
        <v>79.38</v>
      </c>
      <c r="H22" s="8">
        <f>SUMIFS(dis_table[Amount],dis_table[Short_Desc],$B22,dis_table[Date],H$2) +SUMIFS(cc_table[Amount],cc_table[Short_Desc],$B22,cc_table[Date],H$2) +SUMIFS(bb_table[Amount],bb_table[Short_Desc],$B22,bb_table[Date],H$2)</f>
        <v>79.38</v>
      </c>
      <c r="I22" s="8">
        <f>SUMIFS(dis_table[Amount],dis_table[Short_Desc],$B22,dis_table[Date],I$2) +SUMIFS(cc_table[Amount],cc_table[Short_Desc],$B22,cc_table[Date],I$2) +SUMIFS(bb_table[Amount],bb_table[Short_Desc],$B22,bb_table[Date],I$2)</f>
        <v>79.38</v>
      </c>
      <c r="J22" s="8">
        <f>SUMIFS(dis_table[Amount],dis_table[Short_Desc],$B22,dis_table[Date],J$2) +SUMIFS(cc_table[Amount],cc_table[Short_Desc],$B22,cc_table[Date],J$2) +SUMIFS(bb_table[Amount],bb_table[Short_Desc],$B22,bb_table[Date],J$2)</f>
        <v>79.66</v>
      </c>
    </row>
    <row r="23" spans="1:10" x14ac:dyDescent="0.25">
      <c r="B23" t="s">
        <v>65</v>
      </c>
      <c r="C23" t="s">
        <v>22</v>
      </c>
      <c r="D23" s="8">
        <f>SUMIFS(dis_table[Amount],dis_table[Short_Desc],$B23,dis_table[Date],D$2) +SUMIFS(cc_table[Amount],cc_table[Short_Desc],$B23,cc_table[Date],D$2) +SUMIFS(bb_table[Amount],bb_table[Short_Desc],$B23,bb_table[Date],D$2)</f>
        <v>70</v>
      </c>
      <c r="E23" s="8">
        <f>SUMIFS(dis_table[Amount],dis_table[Short_Desc],$B23,dis_table[Date],E$2) +SUMIFS(cc_table[Amount],cc_table[Short_Desc],$B23,cc_table[Date],E$2) +SUMIFS(bb_table[Amount],bb_table[Short_Desc],$B23,bb_table[Date],E$2)</f>
        <v>70</v>
      </c>
      <c r="F23" s="8">
        <f>SUMIFS(dis_table[Amount],dis_table[Short_Desc],$B23,dis_table[Date],F$2) +SUMIFS(cc_table[Amount],cc_table[Short_Desc],$B23,cc_table[Date],F$2) +SUMIFS(bb_table[Amount],bb_table[Short_Desc],$B23,bb_table[Date],F$2)</f>
        <v>70</v>
      </c>
      <c r="G23" s="8">
        <f>SUMIFS(dis_table[Amount],dis_table[Short_Desc],$B23,dis_table[Date],G$2) +SUMIFS(cc_table[Amount],cc_table[Short_Desc],$B23,cc_table[Date],G$2) +SUMIFS(bb_table[Amount],bb_table[Short_Desc],$B23,bb_table[Date],G$2)</f>
        <v>70</v>
      </c>
      <c r="H23" s="8">
        <f>SUMIFS(dis_table[Amount],dis_table[Short_Desc],$B23,dis_table[Date],H$2) +SUMIFS(cc_table[Amount],cc_table[Short_Desc],$B23,cc_table[Date],H$2) +SUMIFS(bb_table[Amount],bb_table[Short_Desc],$B23,bb_table[Date],H$2)</f>
        <v>70</v>
      </c>
      <c r="I23" s="8">
        <f>SUMIFS(dis_table[Amount],dis_table[Short_Desc],$B23,dis_table[Date],I$2) +SUMIFS(cc_table[Amount],cc_table[Short_Desc],$B23,cc_table[Date],I$2) +SUMIFS(bb_table[Amount],bb_table[Short_Desc],$B23,bb_table[Date],I$2)</f>
        <v>70</v>
      </c>
      <c r="J23" s="8">
        <f>SUMIFS(dis_table[Amount],dis_table[Short_Desc],$B23,dis_table[Date],J$2) +SUMIFS(cc_table[Amount],cc_table[Short_Desc],$B23,cc_table[Date],J$2) +SUMIFS(bb_table[Amount],bb_table[Short_Desc],$B23,bb_table[Date],J$2)</f>
        <v>70</v>
      </c>
    </row>
    <row r="24" spans="1:10" x14ac:dyDescent="0.25">
      <c r="B24" t="s">
        <v>31</v>
      </c>
      <c r="C24" t="s">
        <v>22</v>
      </c>
      <c r="D24" s="8">
        <f>SUMIFS(dis_table[Amount],dis_table[Short_Desc],$B24,dis_table[Date],D$2) +SUMIFS(cc_table[Amount],cc_table[Short_Desc],$B24,cc_table[Date],D$2) +SUMIFS(bb_table[Amount],bb_table[Short_Desc],$B24,bb_table[Date],D$2)</f>
        <v>210</v>
      </c>
      <c r="E24" s="8">
        <f>SUMIFS(dis_table[Amount],dis_table[Short_Desc],$B24,dis_table[Date],E$2) +SUMIFS(cc_table[Amount],cc_table[Short_Desc],$B24,cc_table[Date],E$2) +SUMIFS(bb_table[Amount],bb_table[Short_Desc],$B24,bb_table[Date],E$2)</f>
        <v>0</v>
      </c>
      <c r="F24" s="8">
        <f>SUMIFS(dis_table[Amount],dis_table[Short_Desc],$B24,dis_table[Date],F$2) +SUMIFS(cc_table[Amount],cc_table[Short_Desc],$B24,cc_table[Date],F$2) +SUMIFS(bb_table[Amount],bb_table[Short_Desc],$B24,bb_table[Date],F$2)</f>
        <v>0</v>
      </c>
      <c r="G24" s="8">
        <f>SUMIFS(dis_table[Amount],dis_table[Short_Desc],$B24,dis_table[Date],G$2) +SUMIFS(cc_table[Amount],cc_table[Short_Desc],$B24,cc_table[Date],G$2) +SUMIFS(bb_table[Amount],bb_table[Short_Desc],$B24,bb_table[Date],G$2)</f>
        <v>0</v>
      </c>
      <c r="H24" s="8">
        <f>SUMIFS(dis_table[Amount],dis_table[Short_Desc],$B24,dis_table[Date],H$2) +SUMIFS(cc_table[Amount],cc_table[Short_Desc],$B24,cc_table[Date],H$2) +SUMIFS(bb_table[Amount],bb_table[Short_Desc],$B24,bb_table[Date],H$2)</f>
        <v>0</v>
      </c>
      <c r="I24" s="8">
        <f>SUMIFS(dis_table[Amount],dis_table[Short_Desc],$B24,dis_table[Date],I$2) +SUMIFS(cc_table[Amount],cc_table[Short_Desc],$B24,cc_table[Date],I$2) +SUMIFS(bb_table[Amount],bb_table[Short_Desc],$B24,bb_table[Date],I$2)</f>
        <v>0</v>
      </c>
      <c r="J24" s="8">
        <f>SUMIFS(dis_table[Amount],dis_table[Short_Desc],$B24,dis_table[Date],J$2) +SUMIFS(cc_table[Amount],cc_table[Short_Desc],$B24,cc_table[Date],J$2) +SUMIFS(bb_table[Amount],bb_table[Short_Desc],$B24,bb_table[Date],J$2)</f>
        <v>15.77</v>
      </c>
    </row>
    <row r="25" spans="1:10" x14ac:dyDescent="0.25">
      <c r="B25" t="s">
        <v>90</v>
      </c>
      <c r="C25" t="s">
        <v>22</v>
      </c>
      <c r="D25" s="8">
        <f>SUMIFS(dis_table[Amount],dis_table[Short_Desc],$B25,dis_table[Date],D$2) +SUMIFS(cc_table[Amount],cc_table[Short_Desc],$B25,cc_table[Date],D$2) +SUMIFS(bb_table[Amount],bb_table[Short_Desc],$B25,bb_table[Date],D$2)</f>
        <v>79</v>
      </c>
      <c r="E25" s="8">
        <f>SUMIFS(dis_table[Amount],dis_table[Short_Desc],$B25,dis_table[Date],E$2) +SUMIFS(cc_table[Amount],cc_table[Short_Desc],$B25,cc_table[Date],E$2) +SUMIFS(bb_table[Amount],bb_table[Short_Desc],$B25,bb_table[Date],E$2)</f>
        <v>0</v>
      </c>
      <c r="F25" s="8">
        <f>SUMIFS(dis_table[Amount],dis_table[Short_Desc],$B25,dis_table[Date],F$2) +SUMIFS(cc_table[Amount],cc_table[Short_Desc],$B25,cc_table[Date],F$2) +SUMIFS(bb_table[Amount],bb_table[Short_Desc],$B25,bb_table[Date],F$2)</f>
        <v>0</v>
      </c>
      <c r="G25" s="8">
        <f>SUMIFS(dis_table[Amount],dis_table[Short_Desc],$B25,dis_table[Date],G$2) +SUMIFS(cc_table[Amount],cc_table[Short_Desc],$B25,cc_table[Date],G$2) +SUMIFS(bb_table[Amount],bb_table[Short_Desc],$B25,bb_table[Date],G$2)</f>
        <v>0</v>
      </c>
      <c r="H25" s="8">
        <f>SUMIFS(dis_table[Amount],dis_table[Short_Desc],$B25,dis_table[Date],H$2) +SUMIFS(cc_table[Amount],cc_table[Short_Desc],$B25,cc_table[Date],H$2) +SUMIFS(bb_table[Amount],bb_table[Short_Desc],$B25,bb_table[Date],H$2)</f>
        <v>0</v>
      </c>
      <c r="I25" s="8">
        <f>SUMIFS(dis_table[Amount],dis_table[Short_Desc],$B25,dis_table[Date],I$2) +SUMIFS(cc_table[Amount],cc_table[Short_Desc],$B25,cc_table[Date],I$2) +SUMIFS(bb_table[Amount],bb_table[Short_Desc],$B25,bb_table[Date],I$2)</f>
        <v>0</v>
      </c>
      <c r="J25" s="8">
        <f>SUMIFS(dis_table[Amount],dis_table[Short_Desc],$B25,dis_table[Date],J$2) +SUMIFS(cc_table[Amount],cc_table[Short_Desc],$B25,cc_table[Date],J$2) +SUMIFS(bb_table[Amount],bb_table[Short_Desc],$B25,bb_table[Date],J$2)</f>
        <v>0</v>
      </c>
    </row>
    <row r="26" spans="1:10" x14ac:dyDescent="0.25">
      <c r="D26" s="9">
        <f t="shared" ref="D26:J26" si="0">SUM(D3:D24)</f>
        <v>483.36</v>
      </c>
      <c r="E26" s="9">
        <f t="shared" si="0"/>
        <v>379.51</v>
      </c>
      <c r="F26" s="9">
        <f t="shared" si="0"/>
        <v>384.81</v>
      </c>
      <c r="G26" s="9">
        <f t="shared" si="0"/>
        <v>418.78999999999996</v>
      </c>
      <c r="H26" s="9">
        <f t="shared" si="0"/>
        <v>285.74</v>
      </c>
      <c r="I26" s="9">
        <f t="shared" si="0"/>
        <v>240.16</v>
      </c>
      <c r="J26" s="9">
        <f t="shared" si="0"/>
        <v>253.04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89A8-2085-4BC4-9BE7-ABE2449A9F6D}">
  <dimension ref="A1:Q41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5" x14ac:dyDescent="0.25"/>
  <cols>
    <col min="1" max="1" width="13.7109375" customWidth="1"/>
    <col min="2" max="10" width="13.7109375" style="6" customWidth="1"/>
    <col min="11" max="13" width="13.7109375" customWidth="1"/>
    <col min="14" max="17" width="17" customWidth="1"/>
    <col min="18" max="18" width="13.7109375" customWidth="1"/>
  </cols>
  <sheetData>
    <row r="1" spans="1:17" x14ac:dyDescent="0.25">
      <c r="B1" s="63" t="s">
        <v>858</v>
      </c>
      <c r="C1" s="63" t="s">
        <v>879</v>
      </c>
      <c r="D1" s="63" t="s">
        <v>880</v>
      </c>
      <c r="E1" s="63" t="s">
        <v>881</v>
      </c>
      <c r="F1" s="63" t="s">
        <v>889</v>
      </c>
      <c r="G1" s="63" t="s">
        <v>885</v>
      </c>
      <c r="H1" s="63" t="s">
        <v>884</v>
      </c>
      <c r="I1" s="63" t="s">
        <v>883</v>
      </c>
      <c r="J1" s="63" t="s">
        <v>876</v>
      </c>
      <c r="K1" s="63" t="s">
        <v>890</v>
      </c>
      <c r="L1" s="63" t="s">
        <v>893</v>
      </c>
      <c r="M1" s="63" t="s">
        <v>892</v>
      </c>
      <c r="N1" s="63" t="s">
        <v>886</v>
      </c>
      <c r="O1" s="63" t="s">
        <v>891</v>
      </c>
      <c r="P1" s="63" t="s">
        <v>888</v>
      </c>
      <c r="Q1" s="63" t="s">
        <v>887</v>
      </c>
    </row>
    <row r="2" spans="1:17" x14ac:dyDescent="0.25">
      <c r="A2" s="62" t="s">
        <v>882</v>
      </c>
      <c r="B2" s="6">
        <v>5340.1</v>
      </c>
      <c r="C2" s="6">
        <v>3749.93</v>
      </c>
      <c r="L2" s="66"/>
      <c r="M2" s="66"/>
      <c r="N2" s="64"/>
      <c r="O2" s="64"/>
      <c r="P2" s="64"/>
      <c r="Q2" s="64"/>
    </row>
    <row r="3" spans="1:17" x14ac:dyDescent="0.25">
      <c r="A3" s="10">
        <v>44774</v>
      </c>
      <c r="B3" s="6">
        <v>0</v>
      </c>
      <c r="C3" s="6">
        <f>C2+B2-81.42</f>
        <v>9008.61</v>
      </c>
      <c r="D3" s="6">
        <v>500</v>
      </c>
      <c r="L3" s="69">
        <v>159.81</v>
      </c>
      <c r="M3" s="69">
        <v>711.33</v>
      </c>
      <c r="N3" s="64"/>
      <c r="O3" s="64"/>
      <c r="P3" s="64"/>
      <c r="Q3" s="64"/>
    </row>
    <row r="4" spans="1:17" x14ac:dyDescent="0.25">
      <c r="A4" s="10">
        <v>44785</v>
      </c>
      <c r="B4" s="6">
        <f t="shared" ref="B4:B14" si="0">B3+D3-H4</f>
        <v>0</v>
      </c>
      <c r="C4" s="6">
        <f t="shared" ref="C4:C11" si="1">C3-I4</f>
        <v>7508.6100000000006</v>
      </c>
      <c r="D4" s="6">
        <v>500</v>
      </c>
      <c r="H4" s="6">
        <v>500</v>
      </c>
      <c r="I4" s="6">
        <v>1500</v>
      </c>
      <c r="J4" s="6">
        <v>2000</v>
      </c>
      <c r="K4" s="25">
        <f>J4-I4-H4-G4-F4-E4</f>
        <v>0</v>
      </c>
      <c r="L4" s="67">
        <v>962.04</v>
      </c>
      <c r="M4" s="67">
        <v>2936.29</v>
      </c>
      <c r="N4" s="64">
        <v>962.04</v>
      </c>
      <c r="O4" s="70">
        <f>M4-N4</f>
        <v>1974.25</v>
      </c>
      <c r="P4" s="68">
        <v>961.3</v>
      </c>
      <c r="Q4" s="64"/>
    </row>
    <row r="5" spans="1:17" x14ac:dyDescent="0.25">
      <c r="A5" s="10">
        <f>A4+14</f>
        <v>44799</v>
      </c>
      <c r="B5" s="6">
        <f t="shared" si="0"/>
        <v>0</v>
      </c>
      <c r="C5" s="6">
        <f t="shared" si="1"/>
        <v>7508.6100000000006</v>
      </c>
      <c r="D5" s="6">
        <v>1200</v>
      </c>
      <c r="G5" s="6">
        <v>1073.3399999999999</v>
      </c>
      <c r="H5" s="6">
        <v>500</v>
      </c>
      <c r="I5" s="6">
        <v>0</v>
      </c>
      <c r="J5" s="6">
        <f>J4</f>
        <v>2000</v>
      </c>
      <c r="K5" s="25">
        <f>J5-I5-H5-G5-F5-E5+K4</f>
        <v>426.66000000000008</v>
      </c>
      <c r="L5" s="67"/>
      <c r="M5" s="67"/>
      <c r="N5" s="64"/>
      <c r="O5" s="64"/>
      <c r="P5" s="64"/>
      <c r="Q5" s="64"/>
    </row>
    <row r="6" spans="1:17" x14ac:dyDescent="0.25">
      <c r="A6" s="10">
        <f t="shared" ref="A6:A40" si="2">A5+14</f>
        <v>44813</v>
      </c>
      <c r="B6" s="6">
        <f t="shared" si="0"/>
        <v>500</v>
      </c>
      <c r="C6" s="6">
        <f t="shared" si="1"/>
        <v>6208.6100000000006</v>
      </c>
      <c r="D6" s="6">
        <v>500</v>
      </c>
      <c r="H6" s="6">
        <v>700</v>
      </c>
      <c r="I6" s="6">
        <v>1300</v>
      </c>
      <c r="J6" s="6">
        <f t="shared" ref="J6:J40" si="3">J5</f>
        <v>2000</v>
      </c>
      <c r="K6" s="25">
        <f t="shared" ref="K6:K40" si="4">J6-I6-H6-G6-F6-E6+K5</f>
        <v>426.66000000000008</v>
      </c>
      <c r="L6" s="67"/>
      <c r="M6" s="67"/>
      <c r="N6" s="64"/>
      <c r="O6" s="64"/>
      <c r="P6" s="64"/>
      <c r="Q6" s="64"/>
    </row>
    <row r="7" spans="1:17" x14ac:dyDescent="0.25">
      <c r="A7" s="10">
        <f t="shared" si="2"/>
        <v>44827</v>
      </c>
      <c r="B7" s="6">
        <f t="shared" si="0"/>
        <v>0</v>
      </c>
      <c r="C7" s="6">
        <f t="shared" si="1"/>
        <v>5958.6100000000006</v>
      </c>
      <c r="D7" s="6">
        <v>500</v>
      </c>
      <c r="G7" s="6">
        <v>750</v>
      </c>
      <c r="H7" s="6">
        <v>1000</v>
      </c>
      <c r="I7" s="6">
        <v>250</v>
      </c>
      <c r="J7" s="6">
        <f t="shared" si="3"/>
        <v>2000</v>
      </c>
      <c r="K7" s="25">
        <f t="shared" si="4"/>
        <v>426.66000000000008</v>
      </c>
      <c r="L7" s="67"/>
      <c r="M7" s="67"/>
      <c r="N7" s="64"/>
      <c r="O7" s="64"/>
      <c r="P7" s="64"/>
      <c r="Q7" s="64"/>
    </row>
    <row r="8" spans="1:17" x14ac:dyDescent="0.25">
      <c r="A8" s="10">
        <f t="shared" si="2"/>
        <v>44841</v>
      </c>
      <c r="B8" s="6">
        <f t="shared" si="0"/>
        <v>0</v>
      </c>
      <c r="C8" s="6">
        <f t="shared" si="1"/>
        <v>4458.6100000000006</v>
      </c>
      <c r="D8" s="6">
        <v>500</v>
      </c>
      <c r="H8" s="6">
        <v>500</v>
      </c>
      <c r="I8" s="6">
        <v>1500</v>
      </c>
      <c r="J8" s="6">
        <f t="shared" si="3"/>
        <v>2000</v>
      </c>
      <c r="K8" s="25">
        <f t="shared" si="4"/>
        <v>426.66000000000008</v>
      </c>
      <c r="L8" s="67"/>
      <c r="M8" s="67"/>
      <c r="N8" s="64"/>
      <c r="O8" s="64"/>
      <c r="P8" s="64"/>
      <c r="Q8" s="64"/>
    </row>
    <row r="9" spans="1:17" x14ac:dyDescent="0.25">
      <c r="A9" s="10">
        <f t="shared" si="2"/>
        <v>44855</v>
      </c>
      <c r="B9" s="6">
        <f t="shared" si="0"/>
        <v>350</v>
      </c>
      <c r="C9" s="6">
        <f t="shared" si="1"/>
        <v>3708.6100000000006</v>
      </c>
      <c r="D9" s="6">
        <v>150</v>
      </c>
      <c r="F9" s="6">
        <v>348</v>
      </c>
      <c r="G9" s="6">
        <v>750</v>
      </c>
      <c r="H9" s="6">
        <v>150</v>
      </c>
      <c r="I9" s="6">
        <v>750</v>
      </c>
      <c r="J9" s="6">
        <f t="shared" si="3"/>
        <v>2000</v>
      </c>
      <c r="K9" s="25">
        <f t="shared" si="4"/>
        <v>428.66000000000008</v>
      </c>
      <c r="L9" s="67"/>
      <c r="M9" s="67"/>
      <c r="N9" s="64"/>
      <c r="O9" s="64"/>
      <c r="P9" s="64"/>
      <c r="Q9" s="64"/>
    </row>
    <row r="10" spans="1:17" x14ac:dyDescent="0.25">
      <c r="A10" s="10">
        <f t="shared" si="2"/>
        <v>44869</v>
      </c>
      <c r="B10" s="6">
        <f t="shared" si="0"/>
        <v>0</v>
      </c>
      <c r="C10" s="6">
        <f t="shared" si="1"/>
        <v>2208.6100000000006</v>
      </c>
      <c r="D10" s="6">
        <v>500</v>
      </c>
      <c r="H10" s="6">
        <v>500</v>
      </c>
      <c r="I10" s="6">
        <v>1500</v>
      </c>
      <c r="J10" s="6">
        <f t="shared" si="3"/>
        <v>2000</v>
      </c>
      <c r="K10" s="25">
        <f t="shared" si="4"/>
        <v>428.66000000000008</v>
      </c>
      <c r="L10" s="67"/>
      <c r="M10" s="67"/>
      <c r="N10" s="64"/>
      <c r="O10" s="64"/>
      <c r="P10" s="64"/>
      <c r="Q10" s="64"/>
    </row>
    <row r="11" spans="1:17" x14ac:dyDescent="0.25">
      <c r="A11" s="10">
        <f t="shared" si="2"/>
        <v>44883</v>
      </c>
      <c r="B11" s="6">
        <f t="shared" si="0"/>
        <v>350</v>
      </c>
      <c r="C11" s="6">
        <f t="shared" si="1"/>
        <v>1458.6100000000006</v>
      </c>
      <c r="D11" s="6">
        <v>150</v>
      </c>
      <c r="F11" s="6">
        <v>348</v>
      </c>
      <c r="G11" s="6">
        <v>750</v>
      </c>
      <c r="H11" s="6">
        <v>150</v>
      </c>
      <c r="I11" s="6">
        <v>750</v>
      </c>
      <c r="J11" s="6">
        <f t="shared" si="3"/>
        <v>2000</v>
      </c>
      <c r="K11" s="25">
        <f t="shared" si="4"/>
        <v>430.66000000000008</v>
      </c>
      <c r="L11" s="67"/>
      <c r="M11" s="67"/>
      <c r="N11" s="64"/>
      <c r="O11" s="64"/>
      <c r="P11" s="64"/>
      <c r="Q11" s="64"/>
    </row>
    <row r="12" spans="1:17" x14ac:dyDescent="0.25">
      <c r="A12" s="10">
        <f t="shared" si="2"/>
        <v>44897</v>
      </c>
      <c r="B12" s="6">
        <f t="shared" si="0"/>
        <v>0</v>
      </c>
      <c r="C12" s="6">
        <f t="shared" ref="C12:C40" si="5">C11-I12</f>
        <v>0</v>
      </c>
      <c r="D12" s="6">
        <v>500</v>
      </c>
      <c r="H12" s="6">
        <v>500</v>
      </c>
      <c r="I12" s="6">
        <f>1500-41.39</f>
        <v>1458.61</v>
      </c>
      <c r="J12" s="6">
        <f t="shared" si="3"/>
        <v>2000</v>
      </c>
      <c r="K12" s="25">
        <f t="shared" si="4"/>
        <v>472.05000000000018</v>
      </c>
      <c r="L12" s="67"/>
      <c r="M12" s="67"/>
      <c r="N12" s="64"/>
      <c r="O12" s="64"/>
      <c r="P12" s="64"/>
      <c r="Q12" s="64"/>
    </row>
    <row r="13" spans="1:17" x14ac:dyDescent="0.25">
      <c r="A13" s="10">
        <f t="shared" si="2"/>
        <v>44911</v>
      </c>
      <c r="B13" s="6">
        <f t="shared" si="0"/>
        <v>350</v>
      </c>
      <c r="C13" s="6">
        <f t="shared" si="5"/>
        <v>0</v>
      </c>
      <c r="D13" s="6">
        <v>150</v>
      </c>
      <c r="F13" s="6">
        <v>348</v>
      </c>
      <c r="H13" s="6">
        <v>150</v>
      </c>
      <c r="I13" s="6">
        <v>0</v>
      </c>
      <c r="J13" s="6">
        <f t="shared" si="3"/>
        <v>2000</v>
      </c>
      <c r="K13" s="25">
        <f t="shared" si="4"/>
        <v>1974.0500000000002</v>
      </c>
      <c r="L13" s="67"/>
      <c r="M13" s="67"/>
      <c r="N13" s="64"/>
      <c r="O13" s="64"/>
      <c r="P13" s="64"/>
      <c r="Q13" s="64"/>
    </row>
    <row r="14" spans="1:17" x14ac:dyDescent="0.25">
      <c r="A14" s="10">
        <f t="shared" si="2"/>
        <v>44925</v>
      </c>
      <c r="B14" s="6">
        <f t="shared" si="0"/>
        <v>0</v>
      </c>
      <c r="C14" s="6">
        <f t="shared" si="5"/>
        <v>0</v>
      </c>
      <c r="D14" s="6">
        <v>500</v>
      </c>
      <c r="G14" s="6">
        <v>750</v>
      </c>
      <c r="H14" s="6">
        <v>500</v>
      </c>
      <c r="I14" s="6">
        <v>0</v>
      </c>
      <c r="J14" s="6">
        <f t="shared" si="3"/>
        <v>2000</v>
      </c>
      <c r="K14" s="25">
        <f t="shared" si="4"/>
        <v>2724.05</v>
      </c>
      <c r="L14" s="67"/>
      <c r="M14" s="67"/>
      <c r="N14" s="64"/>
      <c r="O14" s="64"/>
      <c r="P14" s="64"/>
      <c r="Q14" s="64"/>
    </row>
    <row r="15" spans="1:17" x14ac:dyDescent="0.25">
      <c r="A15" s="10">
        <f t="shared" si="2"/>
        <v>44939</v>
      </c>
      <c r="B15" s="6">
        <f t="shared" ref="B15:B40" si="6">B14+D14-H15</f>
        <v>0</v>
      </c>
      <c r="C15" s="65">
        <v>9462</v>
      </c>
      <c r="D15" s="6">
        <v>500</v>
      </c>
      <c r="F15" s="6">
        <v>348</v>
      </c>
      <c r="H15" s="6">
        <v>500</v>
      </c>
      <c r="I15" s="6">
        <v>0</v>
      </c>
      <c r="J15" s="6">
        <f t="shared" si="3"/>
        <v>2000</v>
      </c>
      <c r="K15" s="25">
        <f t="shared" si="4"/>
        <v>3876.05</v>
      </c>
      <c r="L15" s="67"/>
      <c r="M15" s="67"/>
      <c r="N15" s="64"/>
      <c r="O15" s="64"/>
      <c r="P15" s="64"/>
      <c r="Q15" s="64"/>
    </row>
    <row r="16" spans="1:17" x14ac:dyDescent="0.25">
      <c r="A16" s="10">
        <f t="shared" si="2"/>
        <v>44953</v>
      </c>
      <c r="B16" s="6">
        <f t="shared" si="6"/>
        <v>0</v>
      </c>
      <c r="C16" s="6">
        <f t="shared" si="5"/>
        <v>7962</v>
      </c>
      <c r="D16" s="6">
        <v>500</v>
      </c>
      <c r="G16" s="6">
        <v>750</v>
      </c>
      <c r="H16" s="6">
        <v>500</v>
      </c>
      <c r="I16" s="6">
        <v>1500</v>
      </c>
      <c r="J16" s="6">
        <f t="shared" si="3"/>
        <v>2000</v>
      </c>
      <c r="K16" s="25">
        <f t="shared" si="4"/>
        <v>3126.05</v>
      </c>
      <c r="L16" s="67"/>
      <c r="M16" s="67"/>
      <c r="N16" s="64"/>
      <c r="O16" s="64"/>
      <c r="P16" s="64"/>
      <c r="Q16" s="64"/>
    </row>
    <row r="17" spans="1:17" x14ac:dyDescent="0.25">
      <c r="A17" s="10">
        <f t="shared" si="2"/>
        <v>44967</v>
      </c>
      <c r="B17" s="6">
        <f t="shared" si="6"/>
        <v>0</v>
      </c>
      <c r="C17" s="6">
        <f t="shared" si="5"/>
        <v>6462</v>
      </c>
      <c r="D17" s="6">
        <v>500</v>
      </c>
      <c r="F17" s="6">
        <v>348</v>
      </c>
      <c r="H17" s="6">
        <v>500</v>
      </c>
      <c r="I17" s="6">
        <v>1500</v>
      </c>
      <c r="J17" s="6">
        <f t="shared" si="3"/>
        <v>2000</v>
      </c>
      <c r="K17" s="25">
        <f t="shared" si="4"/>
        <v>2778.05</v>
      </c>
      <c r="L17" s="67"/>
      <c r="M17" s="67"/>
      <c r="N17" s="64"/>
      <c r="O17" s="64"/>
      <c r="P17" s="64"/>
      <c r="Q17" s="64"/>
    </row>
    <row r="18" spans="1:17" x14ac:dyDescent="0.25">
      <c r="A18" s="10">
        <f t="shared" si="2"/>
        <v>44981</v>
      </c>
      <c r="B18" s="6">
        <f t="shared" si="6"/>
        <v>0</v>
      </c>
      <c r="C18" s="6">
        <f t="shared" si="5"/>
        <v>4962</v>
      </c>
      <c r="D18" s="6">
        <v>500</v>
      </c>
      <c r="G18" s="6">
        <v>750</v>
      </c>
      <c r="H18" s="6">
        <v>500</v>
      </c>
      <c r="I18" s="6">
        <v>1500</v>
      </c>
      <c r="J18" s="6">
        <f t="shared" si="3"/>
        <v>2000</v>
      </c>
      <c r="K18" s="25">
        <f t="shared" si="4"/>
        <v>2028.0500000000002</v>
      </c>
      <c r="L18" s="67"/>
      <c r="M18" s="67"/>
      <c r="N18" s="64"/>
      <c r="O18" s="64"/>
      <c r="P18" s="64"/>
      <c r="Q18" s="64"/>
    </row>
    <row r="19" spans="1:17" x14ac:dyDescent="0.25">
      <c r="A19" s="10">
        <f t="shared" si="2"/>
        <v>44995</v>
      </c>
      <c r="B19" s="6">
        <f t="shared" si="6"/>
        <v>0</v>
      </c>
      <c r="C19" s="6">
        <f t="shared" si="5"/>
        <v>3462</v>
      </c>
      <c r="D19" s="6">
        <v>500</v>
      </c>
      <c r="F19" s="6">
        <v>348</v>
      </c>
      <c r="H19" s="6">
        <v>500</v>
      </c>
      <c r="I19" s="6">
        <v>1500</v>
      </c>
      <c r="J19" s="6">
        <f t="shared" si="3"/>
        <v>2000</v>
      </c>
      <c r="K19" s="25">
        <f t="shared" si="4"/>
        <v>1680.0500000000002</v>
      </c>
      <c r="L19" s="67"/>
      <c r="M19" s="67"/>
      <c r="N19" s="64"/>
      <c r="O19" s="64"/>
      <c r="P19" s="64"/>
      <c r="Q19" s="64"/>
    </row>
    <row r="20" spans="1:17" x14ac:dyDescent="0.25">
      <c r="A20" s="10">
        <f t="shared" si="2"/>
        <v>45009</v>
      </c>
      <c r="B20" s="6">
        <f t="shared" si="6"/>
        <v>0</v>
      </c>
      <c r="C20" s="6">
        <f t="shared" si="5"/>
        <v>1962</v>
      </c>
      <c r="D20" s="6">
        <v>500</v>
      </c>
      <c r="G20" s="6">
        <v>750</v>
      </c>
      <c r="H20" s="6">
        <v>500</v>
      </c>
      <c r="I20" s="6">
        <v>1500</v>
      </c>
      <c r="J20" s="6">
        <f t="shared" si="3"/>
        <v>2000</v>
      </c>
      <c r="K20" s="25">
        <f t="shared" si="4"/>
        <v>930.05000000000018</v>
      </c>
      <c r="L20" s="67"/>
      <c r="M20" s="67"/>
      <c r="N20" s="64"/>
      <c r="O20" s="64"/>
      <c r="P20" s="64"/>
      <c r="Q20" s="64"/>
    </row>
    <row r="21" spans="1:17" x14ac:dyDescent="0.25">
      <c r="A21" s="10">
        <f t="shared" si="2"/>
        <v>45023</v>
      </c>
      <c r="B21" s="6">
        <f t="shared" si="6"/>
        <v>0</v>
      </c>
      <c r="C21" s="6">
        <f t="shared" si="5"/>
        <v>462</v>
      </c>
      <c r="D21" s="6">
        <v>500</v>
      </c>
      <c r="F21" s="6">
        <v>348</v>
      </c>
      <c r="H21" s="6">
        <v>500</v>
      </c>
      <c r="I21" s="6">
        <v>1500</v>
      </c>
      <c r="J21" s="6">
        <f t="shared" si="3"/>
        <v>2000</v>
      </c>
      <c r="K21" s="25">
        <f t="shared" si="4"/>
        <v>582.05000000000018</v>
      </c>
      <c r="L21" s="67"/>
      <c r="M21" s="67"/>
      <c r="N21" s="64"/>
      <c r="O21" s="64"/>
      <c r="P21" s="64"/>
      <c r="Q21" s="64"/>
    </row>
    <row r="22" spans="1:17" x14ac:dyDescent="0.25">
      <c r="A22" s="10">
        <f t="shared" si="2"/>
        <v>45037</v>
      </c>
      <c r="B22" s="6">
        <f t="shared" si="6"/>
        <v>0</v>
      </c>
      <c r="C22" s="6">
        <f t="shared" si="5"/>
        <v>0</v>
      </c>
      <c r="D22" s="6">
        <v>500</v>
      </c>
      <c r="G22" s="6">
        <v>750</v>
      </c>
      <c r="H22" s="6">
        <v>500</v>
      </c>
      <c r="I22" s="6">
        <v>462</v>
      </c>
      <c r="J22" s="6">
        <f t="shared" si="3"/>
        <v>2000</v>
      </c>
      <c r="K22" s="25">
        <f t="shared" si="4"/>
        <v>870.05000000000018</v>
      </c>
      <c r="L22" s="67"/>
      <c r="M22" s="67"/>
      <c r="N22" s="64"/>
      <c r="O22" s="64"/>
      <c r="P22" s="64"/>
      <c r="Q22" s="64"/>
    </row>
    <row r="23" spans="1:17" x14ac:dyDescent="0.25">
      <c r="A23" s="10">
        <f t="shared" si="2"/>
        <v>45051</v>
      </c>
      <c r="B23" s="6">
        <f t="shared" si="6"/>
        <v>0</v>
      </c>
      <c r="C23" s="6">
        <f t="shared" si="5"/>
        <v>0</v>
      </c>
      <c r="D23" s="6">
        <v>500</v>
      </c>
      <c r="E23" s="6">
        <v>1500</v>
      </c>
      <c r="F23" s="6">
        <v>348</v>
      </c>
      <c r="H23" s="6">
        <v>500</v>
      </c>
      <c r="I23" s="6">
        <v>0</v>
      </c>
      <c r="J23" s="6">
        <f t="shared" si="3"/>
        <v>2000</v>
      </c>
      <c r="K23" s="25">
        <f t="shared" si="4"/>
        <v>522.05000000000018</v>
      </c>
      <c r="L23" s="67"/>
      <c r="M23" s="67"/>
      <c r="N23" s="64"/>
      <c r="O23" s="64"/>
      <c r="P23" s="64"/>
      <c r="Q23" s="64"/>
    </row>
    <row r="24" spans="1:17" x14ac:dyDescent="0.25">
      <c r="A24" s="10">
        <f t="shared" si="2"/>
        <v>45065</v>
      </c>
      <c r="B24" s="6">
        <f t="shared" si="6"/>
        <v>0</v>
      </c>
      <c r="C24" s="6">
        <f t="shared" si="5"/>
        <v>0</v>
      </c>
      <c r="D24" s="6">
        <v>500</v>
      </c>
      <c r="G24" s="6">
        <v>750</v>
      </c>
      <c r="H24" s="6">
        <v>500</v>
      </c>
      <c r="I24" s="6">
        <v>0</v>
      </c>
      <c r="J24" s="6">
        <f t="shared" si="3"/>
        <v>2000</v>
      </c>
      <c r="K24" s="25">
        <f t="shared" si="4"/>
        <v>1272.0500000000002</v>
      </c>
      <c r="L24" s="67"/>
      <c r="M24" s="67"/>
      <c r="N24" s="64"/>
      <c r="O24" s="64"/>
      <c r="P24" s="64"/>
      <c r="Q24" s="64"/>
    </row>
    <row r="25" spans="1:17" x14ac:dyDescent="0.25">
      <c r="A25" s="10">
        <f t="shared" si="2"/>
        <v>45079</v>
      </c>
      <c r="B25" s="6">
        <f t="shared" si="6"/>
        <v>0</v>
      </c>
      <c r="C25" s="6">
        <f t="shared" si="5"/>
        <v>0</v>
      </c>
      <c r="D25" s="6">
        <v>500</v>
      </c>
      <c r="E25" s="6">
        <v>1500</v>
      </c>
      <c r="H25" s="6">
        <v>500</v>
      </c>
      <c r="I25" s="6">
        <v>0</v>
      </c>
      <c r="J25" s="6">
        <f t="shared" si="3"/>
        <v>2000</v>
      </c>
      <c r="K25" s="25">
        <f t="shared" si="4"/>
        <v>1272.0500000000002</v>
      </c>
      <c r="L25" s="67"/>
      <c r="M25" s="67"/>
      <c r="N25" s="64"/>
      <c r="O25" s="64"/>
      <c r="P25" s="64"/>
      <c r="Q25" s="64"/>
    </row>
    <row r="26" spans="1:17" x14ac:dyDescent="0.25">
      <c r="A26" s="10">
        <f t="shared" si="2"/>
        <v>45093</v>
      </c>
      <c r="B26" s="6">
        <f t="shared" si="6"/>
        <v>0</v>
      </c>
      <c r="C26" s="6">
        <f t="shared" si="5"/>
        <v>0</v>
      </c>
      <c r="D26" s="6">
        <v>500</v>
      </c>
      <c r="F26" s="6">
        <v>348</v>
      </c>
      <c r="H26" s="6">
        <v>500</v>
      </c>
      <c r="I26" s="6">
        <v>0</v>
      </c>
      <c r="J26" s="6">
        <f t="shared" si="3"/>
        <v>2000</v>
      </c>
      <c r="K26" s="25">
        <f t="shared" si="4"/>
        <v>2424.0500000000002</v>
      </c>
      <c r="L26" s="67"/>
      <c r="M26" s="67"/>
      <c r="N26" s="64"/>
      <c r="O26" s="64"/>
      <c r="P26" s="64"/>
      <c r="Q26" s="64"/>
    </row>
    <row r="27" spans="1:17" x14ac:dyDescent="0.25">
      <c r="A27" s="10">
        <f t="shared" si="2"/>
        <v>45107</v>
      </c>
      <c r="B27" s="6">
        <f t="shared" si="6"/>
        <v>0</v>
      </c>
      <c r="C27" s="6">
        <f t="shared" si="5"/>
        <v>0</v>
      </c>
      <c r="D27" s="6">
        <v>500</v>
      </c>
      <c r="E27" s="6">
        <v>1500</v>
      </c>
      <c r="G27" s="6">
        <v>750</v>
      </c>
      <c r="H27" s="6">
        <v>500</v>
      </c>
      <c r="I27" s="6">
        <v>0</v>
      </c>
      <c r="J27" s="6">
        <f t="shared" si="3"/>
        <v>2000</v>
      </c>
      <c r="K27" s="25">
        <f t="shared" si="4"/>
        <v>1674.0500000000002</v>
      </c>
      <c r="L27" s="67"/>
      <c r="M27" s="67"/>
      <c r="N27" s="64"/>
      <c r="O27" s="64"/>
      <c r="P27" s="64"/>
      <c r="Q27" s="64"/>
    </row>
    <row r="28" spans="1:17" x14ac:dyDescent="0.25">
      <c r="A28" s="10">
        <f t="shared" si="2"/>
        <v>45121</v>
      </c>
      <c r="B28" s="6">
        <f t="shared" si="6"/>
        <v>0</v>
      </c>
      <c r="C28" s="6">
        <f t="shared" si="5"/>
        <v>0</v>
      </c>
      <c r="D28" s="6">
        <v>500</v>
      </c>
      <c r="F28" s="6">
        <v>348</v>
      </c>
      <c r="H28" s="6">
        <v>500</v>
      </c>
      <c r="I28" s="6">
        <v>0</v>
      </c>
      <c r="J28" s="6">
        <f t="shared" si="3"/>
        <v>2000</v>
      </c>
      <c r="K28" s="25">
        <f t="shared" si="4"/>
        <v>2826.05</v>
      </c>
      <c r="L28" s="67"/>
      <c r="M28" s="67"/>
      <c r="N28" s="64"/>
      <c r="O28" s="64"/>
      <c r="P28" s="64"/>
      <c r="Q28" s="64"/>
    </row>
    <row r="29" spans="1:17" x14ac:dyDescent="0.25">
      <c r="A29" s="10">
        <f t="shared" si="2"/>
        <v>45135</v>
      </c>
      <c r="B29" s="6">
        <f t="shared" si="6"/>
        <v>0</v>
      </c>
      <c r="C29" s="6">
        <f t="shared" si="5"/>
        <v>0</v>
      </c>
      <c r="D29" s="6">
        <v>500</v>
      </c>
      <c r="E29" s="6">
        <v>1500</v>
      </c>
      <c r="G29" s="6">
        <v>750</v>
      </c>
      <c r="H29" s="6">
        <v>500</v>
      </c>
      <c r="I29" s="6">
        <v>0</v>
      </c>
      <c r="J29" s="6">
        <f t="shared" si="3"/>
        <v>2000</v>
      </c>
      <c r="K29" s="25">
        <f t="shared" si="4"/>
        <v>2076.0500000000002</v>
      </c>
      <c r="L29" s="67"/>
      <c r="M29" s="67"/>
      <c r="N29" s="64"/>
      <c r="O29" s="64"/>
      <c r="P29" s="64"/>
      <c r="Q29" s="64"/>
    </row>
    <row r="30" spans="1:17" x14ac:dyDescent="0.25">
      <c r="A30" s="10">
        <f t="shared" si="2"/>
        <v>45149</v>
      </c>
      <c r="B30" s="6">
        <f t="shared" si="6"/>
        <v>0</v>
      </c>
      <c r="C30" s="6">
        <f t="shared" si="5"/>
        <v>0</v>
      </c>
      <c r="D30" s="6">
        <v>500</v>
      </c>
      <c r="F30" s="6">
        <v>348</v>
      </c>
      <c r="H30" s="6">
        <v>500</v>
      </c>
      <c r="I30" s="6">
        <v>0</v>
      </c>
      <c r="J30" s="6">
        <f t="shared" si="3"/>
        <v>2000</v>
      </c>
      <c r="K30" s="25">
        <f t="shared" si="4"/>
        <v>3228.05</v>
      </c>
      <c r="L30" s="67"/>
      <c r="M30" s="67"/>
      <c r="N30" s="64"/>
      <c r="O30" s="64"/>
      <c r="P30" s="64"/>
      <c r="Q30" s="64"/>
    </row>
    <row r="31" spans="1:17" x14ac:dyDescent="0.25">
      <c r="A31" s="10">
        <f t="shared" si="2"/>
        <v>45163</v>
      </c>
      <c r="B31" s="6">
        <f t="shared" si="6"/>
        <v>0</v>
      </c>
      <c r="C31" s="6">
        <f t="shared" si="5"/>
        <v>0</v>
      </c>
      <c r="D31" s="6">
        <v>500</v>
      </c>
      <c r="E31" s="6">
        <v>1500</v>
      </c>
      <c r="G31" s="6">
        <v>750</v>
      </c>
      <c r="H31" s="6">
        <v>500</v>
      </c>
      <c r="I31" s="6">
        <v>0</v>
      </c>
      <c r="J31" s="6">
        <f t="shared" si="3"/>
        <v>2000</v>
      </c>
      <c r="K31" s="25">
        <f t="shared" si="4"/>
        <v>2478.0500000000002</v>
      </c>
      <c r="L31" s="67"/>
      <c r="M31" s="67"/>
      <c r="N31" s="64"/>
      <c r="O31" s="64"/>
      <c r="P31" s="64"/>
      <c r="Q31" s="64"/>
    </row>
    <row r="32" spans="1:17" x14ac:dyDescent="0.25">
      <c r="A32" s="10">
        <f t="shared" si="2"/>
        <v>45177</v>
      </c>
      <c r="B32" s="6">
        <f t="shared" si="6"/>
        <v>0</v>
      </c>
      <c r="C32" s="6">
        <f t="shared" si="5"/>
        <v>0</v>
      </c>
      <c r="D32" s="6">
        <v>500</v>
      </c>
      <c r="F32" s="6">
        <v>348</v>
      </c>
      <c r="H32" s="6">
        <v>500</v>
      </c>
      <c r="I32" s="6">
        <v>0</v>
      </c>
      <c r="J32" s="6">
        <f t="shared" si="3"/>
        <v>2000</v>
      </c>
      <c r="K32" s="25">
        <f t="shared" si="4"/>
        <v>3630.05</v>
      </c>
      <c r="L32" s="67"/>
      <c r="M32" s="67"/>
      <c r="N32" s="64"/>
      <c r="O32" s="64"/>
      <c r="P32" s="64"/>
      <c r="Q32" s="64"/>
    </row>
    <row r="33" spans="1:17" x14ac:dyDescent="0.25">
      <c r="A33" s="10">
        <f t="shared" si="2"/>
        <v>45191</v>
      </c>
      <c r="B33" s="6">
        <f t="shared" si="6"/>
        <v>0</v>
      </c>
      <c r="C33" s="6">
        <f t="shared" si="5"/>
        <v>0</v>
      </c>
      <c r="D33" s="6">
        <v>500</v>
      </c>
      <c r="E33" s="6">
        <v>1500</v>
      </c>
      <c r="G33" s="6">
        <v>750</v>
      </c>
      <c r="H33" s="6">
        <v>500</v>
      </c>
      <c r="I33" s="6">
        <v>0</v>
      </c>
      <c r="J33" s="6">
        <f t="shared" si="3"/>
        <v>2000</v>
      </c>
      <c r="K33" s="25">
        <f t="shared" si="4"/>
        <v>2880.05</v>
      </c>
      <c r="L33" s="67"/>
      <c r="M33" s="67"/>
      <c r="N33" s="64"/>
      <c r="O33" s="64"/>
      <c r="P33" s="64"/>
      <c r="Q33" s="64"/>
    </row>
    <row r="34" spans="1:17" x14ac:dyDescent="0.25">
      <c r="A34" s="10">
        <f t="shared" si="2"/>
        <v>45205</v>
      </c>
      <c r="B34" s="6">
        <f t="shared" si="6"/>
        <v>0</v>
      </c>
      <c r="C34" s="6">
        <f t="shared" si="5"/>
        <v>0</v>
      </c>
      <c r="D34" s="6">
        <v>500</v>
      </c>
      <c r="F34" s="6">
        <v>348</v>
      </c>
      <c r="H34" s="6">
        <v>500</v>
      </c>
      <c r="I34" s="6">
        <v>0</v>
      </c>
      <c r="J34" s="6">
        <f t="shared" si="3"/>
        <v>2000</v>
      </c>
      <c r="K34" s="25">
        <f t="shared" si="4"/>
        <v>4032.05</v>
      </c>
      <c r="L34" s="67"/>
      <c r="M34" s="67"/>
      <c r="N34" s="64"/>
      <c r="O34" s="64"/>
      <c r="P34" s="64"/>
      <c r="Q34" s="64"/>
    </row>
    <row r="35" spans="1:17" x14ac:dyDescent="0.25">
      <c r="A35" s="10">
        <f t="shared" si="2"/>
        <v>45219</v>
      </c>
      <c r="B35" s="6">
        <f t="shared" si="6"/>
        <v>0</v>
      </c>
      <c r="C35" s="6">
        <f t="shared" si="5"/>
        <v>0</v>
      </c>
      <c r="D35" s="6">
        <v>500</v>
      </c>
      <c r="E35" s="6">
        <v>1500</v>
      </c>
      <c r="G35" s="6">
        <v>750</v>
      </c>
      <c r="H35" s="6">
        <v>500</v>
      </c>
      <c r="I35" s="6">
        <v>0</v>
      </c>
      <c r="J35" s="6">
        <f t="shared" si="3"/>
        <v>2000</v>
      </c>
      <c r="K35" s="25">
        <f t="shared" si="4"/>
        <v>3282.05</v>
      </c>
      <c r="L35" s="67"/>
      <c r="M35" s="67"/>
      <c r="N35" s="64"/>
      <c r="O35" s="64"/>
      <c r="P35" s="64"/>
      <c r="Q35" s="64"/>
    </row>
    <row r="36" spans="1:17" x14ac:dyDescent="0.25">
      <c r="A36" s="10">
        <f t="shared" si="2"/>
        <v>45233</v>
      </c>
      <c r="B36" s="6">
        <f t="shared" si="6"/>
        <v>0</v>
      </c>
      <c r="C36" s="6">
        <f t="shared" si="5"/>
        <v>0</v>
      </c>
      <c r="D36" s="6">
        <v>500</v>
      </c>
      <c r="F36" s="6">
        <v>348</v>
      </c>
      <c r="H36" s="6">
        <v>500</v>
      </c>
      <c r="I36" s="6">
        <v>0</v>
      </c>
      <c r="J36" s="6">
        <f t="shared" si="3"/>
        <v>2000</v>
      </c>
      <c r="K36" s="25">
        <f t="shared" si="4"/>
        <v>4434.05</v>
      </c>
      <c r="L36" s="67"/>
      <c r="M36" s="67"/>
      <c r="N36" s="64"/>
      <c r="O36" s="64"/>
      <c r="P36" s="64"/>
      <c r="Q36" s="64"/>
    </row>
    <row r="37" spans="1:17" x14ac:dyDescent="0.25">
      <c r="A37" s="10">
        <f t="shared" si="2"/>
        <v>45247</v>
      </c>
      <c r="B37" s="6">
        <f t="shared" si="6"/>
        <v>0</v>
      </c>
      <c r="C37" s="6">
        <f t="shared" si="5"/>
        <v>0</v>
      </c>
      <c r="D37" s="6">
        <v>500</v>
      </c>
      <c r="E37" s="6">
        <v>1500</v>
      </c>
      <c r="G37" s="6">
        <v>750</v>
      </c>
      <c r="H37" s="6">
        <v>500</v>
      </c>
      <c r="I37" s="6">
        <v>0</v>
      </c>
      <c r="J37" s="6">
        <f t="shared" si="3"/>
        <v>2000</v>
      </c>
      <c r="K37" s="25">
        <f t="shared" si="4"/>
        <v>3684.05</v>
      </c>
      <c r="L37" s="67"/>
      <c r="M37" s="67"/>
      <c r="N37" s="64"/>
      <c r="O37" s="64"/>
      <c r="P37" s="64"/>
      <c r="Q37" s="64"/>
    </row>
    <row r="38" spans="1:17" x14ac:dyDescent="0.25">
      <c r="A38" s="10">
        <f t="shared" si="2"/>
        <v>45261</v>
      </c>
      <c r="B38" s="6">
        <f t="shared" si="6"/>
        <v>0</v>
      </c>
      <c r="C38" s="6">
        <f t="shared" si="5"/>
        <v>0</v>
      </c>
      <c r="D38" s="6">
        <v>500</v>
      </c>
      <c r="H38" s="6">
        <v>500</v>
      </c>
      <c r="I38" s="6">
        <v>0</v>
      </c>
      <c r="J38" s="6">
        <f t="shared" si="3"/>
        <v>2000</v>
      </c>
      <c r="K38" s="25">
        <f t="shared" si="4"/>
        <v>5184.05</v>
      </c>
      <c r="L38" s="67"/>
      <c r="M38" s="67"/>
      <c r="N38" s="64"/>
      <c r="O38" s="64"/>
      <c r="P38" s="64"/>
      <c r="Q38" s="64"/>
    </row>
    <row r="39" spans="1:17" x14ac:dyDescent="0.25">
      <c r="A39" s="10">
        <f t="shared" si="2"/>
        <v>45275</v>
      </c>
      <c r="B39" s="6">
        <f t="shared" si="6"/>
        <v>0</v>
      </c>
      <c r="C39" s="6">
        <f t="shared" si="5"/>
        <v>0</v>
      </c>
      <c r="D39" s="6">
        <v>500</v>
      </c>
      <c r="E39" s="6">
        <v>1500</v>
      </c>
      <c r="F39" s="6">
        <v>348</v>
      </c>
      <c r="H39" s="6">
        <v>500</v>
      </c>
      <c r="I39" s="6">
        <v>0</v>
      </c>
      <c r="J39" s="6">
        <f t="shared" si="3"/>
        <v>2000</v>
      </c>
      <c r="K39" s="25">
        <f t="shared" si="4"/>
        <v>4836.05</v>
      </c>
      <c r="L39" s="67"/>
      <c r="M39" s="67"/>
      <c r="N39" s="64"/>
      <c r="O39" s="64"/>
      <c r="P39" s="64"/>
      <c r="Q39" s="64"/>
    </row>
    <row r="40" spans="1:17" x14ac:dyDescent="0.25">
      <c r="A40" s="10">
        <f t="shared" si="2"/>
        <v>45289</v>
      </c>
      <c r="B40" s="6">
        <f t="shared" si="6"/>
        <v>0</v>
      </c>
      <c r="C40" s="6">
        <f t="shared" si="5"/>
        <v>0</v>
      </c>
      <c r="D40" s="6">
        <v>500</v>
      </c>
      <c r="G40" s="6">
        <v>750</v>
      </c>
      <c r="H40" s="6">
        <v>500</v>
      </c>
      <c r="I40" s="6">
        <v>0</v>
      </c>
      <c r="J40" s="6">
        <f t="shared" si="3"/>
        <v>2000</v>
      </c>
      <c r="K40" s="25">
        <f t="shared" si="4"/>
        <v>5586.05</v>
      </c>
      <c r="L40" s="67"/>
      <c r="M40" s="67"/>
      <c r="N40" s="64"/>
      <c r="O40" s="64"/>
      <c r="P40" s="64"/>
      <c r="Q40" s="64"/>
    </row>
    <row r="41" spans="1:17" x14ac:dyDescent="0.25">
      <c r="E41" s="6">
        <f>SUM(E2:E40)</f>
        <v>13500</v>
      </c>
      <c r="F41" s="6">
        <f t="shared" ref="F41:I41" si="7">SUM(F2:F40)</f>
        <v>5220</v>
      </c>
      <c r="G41" s="6">
        <f t="shared" si="7"/>
        <v>13073.34</v>
      </c>
      <c r="H41" s="6">
        <f t="shared" si="7"/>
        <v>18150</v>
      </c>
      <c r="I41" s="6">
        <f t="shared" si="7"/>
        <v>18470.61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Discover Data</vt:lpstr>
      <vt:lpstr>Discover Account</vt:lpstr>
      <vt:lpstr>Care Credit</vt:lpstr>
      <vt:lpstr>Best Buy</vt:lpstr>
      <vt:lpstr>Wells Fargo</vt:lpstr>
      <vt:lpstr>AMEX</vt:lpstr>
      <vt:lpstr>June Trips</vt:lpstr>
      <vt:lpstr>Accounts</vt:lpstr>
      <vt:lpstr>Category Summary</vt:lpstr>
      <vt:lpstr>People Summary</vt:lpstr>
      <vt:lpstr>Short Desc Summary</vt:lpstr>
      <vt:lpstr>Reoccuring Summary</vt:lpstr>
      <vt:lpstr>The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Lewis</cp:lastModifiedBy>
  <dcterms:created xsi:type="dcterms:W3CDTF">2022-07-23T17:47:02Z</dcterms:created>
  <dcterms:modified xsi:type="dcterms:W3CDTF">2022-08-18T01:32:40Z</dcterms:modified>
</cp:coreProperties>
</file>