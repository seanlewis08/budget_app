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6"/>
  <workbookPr filterPrivacy="1" defaultThemeVersion="166925"/>
  <xr:revisionPtr revIDLastSave="0" documentId="13_ncr:1_{D317E7E1-74F2-483D-A42C-AE6F2962C1F7}" xr6:coauthVersionLast="46" xr6:coauthVersionMax="46" xr10:uidLastSave="{00000000-0000-0000-0000-000000000000}"/>
  <bookViews>
    <workbookView xWindow="-120" yWindow="-120" windowWidth="29040" windowHeight="15990" activeTab="6" xr2:uid="{7DB8FD3D-0037-45C3-AFB0-EEA7B912FC3B}"/>
  </bookViews>
  <sheets>
    <sheet name="Snapshot" sheetId="13" r:id="rId1"/>
    <sheet name="Merchants" sheetId="37" state="hidden" r:id="rId2"/>
    <sheet name="Archived Categories Sheet" sheetId="12" state="hidden" r:id="rId3"/>
    <sheet name="Categories" sheetId="30" r:id="rId4"/>
    <sheet name="HiddenCategories" sheetId="31" state="hidden" r:id="rId5"/>
    <sheet name="Institutions" sheetId="32" state="hidden" r:id="rId6"/>
    <sheet name="Transactions" sheetId="4" r:id="rId7"/>
    <sheet name="RecurringExpenses" sheetId="33" r:id="rId8"/>
    <sheet name="Budget" sheetId="38" r:id="rId9"/>
    <sheet name="BudgetsHidden" sheetId="39" state="hidden" r:id="rId10"/>
    <sheet name="NetWorth" sheetId="40" r:id="rId11"/>
  </sheets>
  <definedNames>
    <definedName name="BudgetsAvailableDates">_xlfn.ANCHORARRAY(BudgetsHidden!$C$2)</definedName>
    <definedName name="BudgetsAvailableDateValues">BudgetsHidden!$C$2:$C$26</definedName>
    <definedName name="BudgetsCurrentDate" localSheetId="9">BudgetsHidden!$A$2</definedName>
    <definedName name="BudgetsDate" localSheetId="8">Budget!$O$3</definedName>
    <definedName name="BudgetsDates" localSheetId="9">BudgetsHidden!$C$2</definedName>
    <definedName name="BudgetsFavoriteCategory1" localSheetId="8">Budget!$J$25</definedName>
    <definedName name="BudgetsFavoriteCategory1">#REF!</definedName>
    <definedName name="BudgetsFavoriteCategory1Budget" comment="The amount budgeted for category 1" localSheetId="8">_xlfn.XLOOKUP(Budget!BudgetsFavoriteCategory1,Budget!BudgetTableCategoryColumn,Budget!BudgetTableBudgetColumn)</definedName>
    <definedName name="BudgetsFavoriteCategory1BudgetPercentage" localSheetId="8">Budget!$K$27</definedName>
    <definedName name="BudgetsFavoriteCategory1Difference" comment="The amount difference for category 1" localSheetId="8">_xlfn.XLOOKUP(Budget!BudgetsFavoriteCategory1,Budget!BudgetTableCategoryColumn,Budget!BudgetTableRemainingColumn)</definedName>
    <definedName name="BudgetsFavoriteCategory1Percentages" localSheetId="8">Budget!$J$27:$L$27</definedName>
    <definedName name="BudgetsFavoriteCategory1RemainingPercentage" localSheetId="8">Budget!$L$27</definedName>
    <definedName name="BudgetsFavoriteCategory1Spent" comment="The amount spent for category 1" localSheetId="8">_xlfn.XLOOKUP(Budget!BudgetsFavoriteCategory1,Budget!BudgetTableCategoryColumn,Budget!BudgetTableSpentColumn)</definedName>
    <definedName name="BudgetsFavoriteCategory1SpentPercentage" localSheetId="8">Budget!$J$27</definedName>
    <definedName name="BudgetsFavoriteCategory2" localSheetId="8">Budget!$O$25</definedName>
    <definedName name="BudgetsFavoriteCategory2">#REF!</definedName>
    <definedName name="BudgetsFavoriteCategory2Budget" comment="The amount budgeted for category 2" localSheetId="8">_xlfn.XLOOKUP(Budget!BudgetsFavoriteCategory2,Budget!BudgetTableCategoryColumn,Budget!BudgetTableBudgetColumn)</definedName>
    <definedName name="BudgetsFavoriteCategory2BudgetPercentage" localSheetId="8">Budget!$P$27</definedName>
    <definedName name="BudgetsFavoriteCategory2Difference" comment="The amount difference for category 2" localSheetId="8">_xlfn.XLOOKUP(Budget!BudgetsFavoriteCategory2,Budget!BudgetTableCategoryColumn,Budget!BudgetTableRemainingColumn)</definedName>
    <definedName name="BudgetsFavoriteCategory2Percentages" localSheetId="8">Budget!$O$27:$Q$27</definedName>
    <definedName name="BudgetsFavoriteCategory2RemainingPercentage" localSheetId="8">Budget!$Q$27</definedName>
    <definedName name="BudgetsFavoriteCategory2Spent" comment="The amount spent for category 2" localSheetId="8">_xlfn.XLOOKUP(Budget!BudgetsFavoriteCategory2,Budget!BudgetTableCategoryColumn,Budget!BudgetTableSpentColumn)</definedName>
    <definedName name="BudgetsFavoriteCategory2SpentPercentage" localSheetId="8">Budget!$O$27</definedName>
    <definedName name="BudgetsSpendingOverTime" localSheetId="8">Budget!$K$12:$K$17</definedName>
    <definedName name="BudgetsTextDates" localSheetId="9">BudgetsHidden!$B$2:$B$1000</definedName>
    <definedName name="BudgetsTitle" localSheetId="8">Budget!$B$2</definedName>
    <definedName name="BudgetsTotalBudget" localSheetId="8">Budget!$J$33</definedName>
    <definedName name="BudgetsTotalBudgetPercentage" localSheetId="8">Budget!$D$27</definedName>
    <definedName name="BudgetsTotalExpenses" localSheetId="8">Budget!$F$16</definedName>
    <definedName name="BudgetsTotalIncome" localSheetId="8">Budget!$F$13</definedName>
    <definedName name="BudgetsTotalPercentages" localSheetId="8">Budget!$C$27:$E$27</definedName>
    <definedName name="BudgetsTotalRemaining" localSheetId="8">Budget!$L$33</definedName>
    <definedName name="BudgetsTotalRemainingPercentage" localSheetId="8">Budget!$E$27</definedName>
    <definedName name="BudgetsTotalSpent" localSheetId="8">Budget!$F$33</definedName>
    <definedName name="BudgetsTotalSpentPercentage" localSheetId="8">Budget!$C$27</definedName>
    <definedName name="BudgetsTransactionDates" localSheetId="9">BudgetsHidden!$A$3</definedName>
    <definedName name="BudgetsUnusedCategories" localSheetId="9">BudgetsHidden!$G$2:$G$1000</definedName>
    <definedName name="BudgetsUnusedCategoryNames">_xlfn.ANCHORARRAY(BudgetsHidden!$H$2)</definedName>
    <definedName name="BudgetsUnusedFilteredCategories" localSheetId="9">BudgetsHidden!$H$2</definedName>
    <definedName name="BudgetsUsedCategories" localSheetId="9">BudgetsHidden!$F$2</definedName>
    <definedName name="BudgetsUsedCategoryNames">_xlfn.ANCHORARRAY(BudgetsHidden!$F$2)</definedName>
    <definedName name="BudgetsValidCategories" localSheetId="9">BudgetsHidden!$D$2</definedName>
    <definedName name="BudgetsValidPersistedCategories" localSheetId="9">BudgetsHidden!$E$2:$E$1000</definedName>
    <definedName name="BudgetTableBudgetColumn" localSheetId="8">Budget!$J$36:$J$237</definedName>
    <definedName name="BudgetTableCategoryColumn" localSheetId="8">Budget!$C$36:$C$237</definedName>
    <definedName name="BudgetTableCategoryIdColumn" localSheetId="8">Budget!$W$36:$W$237</definedName>
    <definedName name="BudgetTableRemainingColumn" localSheetId="8">Budget!$L$36:$L$237</definedName>
    <definedName name="BudgetTableSpentColumn" localSheetId="8">Budget!$F$36:$F$237</definedName>
    <definedName name="Categories">OFFSET('Archived Categories Sheet'!$J$7,0,0,COUNTIF('Archived Categories Sheet'!$J$7:$J$44,"&lt;&gt;"&amp;"--"),1)</definedName>
    <definedName name="CategoryIdentifiers">Categories!$B$8:$B$193</definedName>
    <definedName name="CategoryNames">Categories!$C$8:$C$193</definedName>
    <definedName name="FrequencyKey" localSheetId="7">RecurringExpenses!$W$8:$W$11</definedName>
    <definedName name="FrequencyValue" localSheetId="7">RecurringExpenses!$X$8:$X$11</definedName>
    <definedName name="HiddenCategoriesCategoryNames">_xlfn.ANCHORARRAY(HiddenCategories!$B$2)</definedName>
    <definedName name="HiddenCategoriesSubcategoryNames">HiddenCategories!$C$2:$C$100</definedName>
    <definedName name="HiddenCategoriesSubcategoryNamesRows">HiddenCategories!$C$2:$CX$100</definedName>
    <definedName name="Months">OFFSET(Snapshot!$V$7,0,0,COUNTIF(Snapshot!$V$7:$V$200,"&lt;&gt;"&amp;"--"),1)</definedName>
    <definedName name="snapshot_month">Snapshot!$Q$4</definedName>
    <definedName name="SubcategoryNames">Categories!$I$8:$I$100</definedName>
    <definedName name="user_custom_categories">'Archived Categories Sheet'!$C$25:$E$44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4" l="1" a="1"/>
  <c r="E7" i="4" s="1"/>
  <c r="E8" i="4" a="1"/>
  <c r="E8" i="4" s="1"/>
  <c r="E9" i="4" a="1"/>
  <c r="E9" i="4" s="1"/>
  <c r="E10" i="4" a="1"/>
  <c r="E10" i="4" s="1"/>
  <c r="E11" i="4" a="1"/>
  <c r="E11" i="4" s="1"/>
  <c r="E12" i="4" a="1"/>
  <c r="E12" i="4" s="1"/>
  <c r="F178" i="38"/>
  <c r="J178" i="38"/>
  <c r="L178" i="38"/>
  <c r="S178" i="38"/>
  <c r="T178" i="38"/>
  <c r="U178" i="38"/>
  <c r="V178" i="38"/>
  <c r="F179" i="38"/>
  <c r="J179" i="38"/>
  <c r="L179" i="38"/>
  <c r="S179" i="38"/>
  <c r="T179" i="38"/>
  <c r="U179" i="38"/>
  <c r="V179" i="38"/>
  <c r="F180" i="38"/>
  <c r="J180" i="38"/>
  <c r="L180" i="38"/>
  <c r="S180" i="38"/>
  <c r="T180" i="38"/>
  <c r="U180" i="38"/>
  <c r="V180" i="38"/>
  <c r="F181" i="38"/>
  <c r="J181" i="38"/>
  <c r="L181" i="38"/>
  <c r="S181" i="38"/>
  <c r="T181" i="38"/>
  <c r="U181" i="38"/>
  <c r="V181" i="38"/>
  <c r="F182" i="38"/>
  <c r="J182" i="38"/>
  <c r="L182" i="38"/>
  <c r="S182" i="38"/>
  <c r="T182" i="38"/>
  <c r="U182" i="38"/>
  <c r="V182" i="38"/>
  <c r="F183" i="38"/>
  <c r="J183" i="38"/>
  <c r="L183" i="38"/>
  <c r="S183" i="38"/>
  <c r="T183" i="38"/>
  <c r="U183" i="38"/>
  <c r="V183" i="38"/>
  <c r="F184" i="38"/>
  <c r="J184" i="38"/>
  <c r="L184" i="38"/>
  <c r="S184" i="38"/>
  <c r="T184" i="38"/>
  <c r="U184" i="38"/>
  <c r="V184" i="38"/>
  <c r="F185" i="38"/>
  <c r="J185" i="38"/>
  <c r="L185" i="38"/>
  <c r="S185" i="38"/>
  <c r="T185" i="38"/>
  <c r="U185" i="38"/>
  <c r="V185" i="38"/>
  <c r="F186" i="38"/>
  <c r="J186" i="38"/>
  <c r="L186" i="38"/>
  <c r="S186" i="38"/>
  <c r="T186" i="38"/>
  <c r="U186" i="38"/>
  <c r="V186" i="38"/>
  <c r="F187" i="38"/>
  <c r="J187" i="38"/>
  <c r="L187" i="38"/>
  <c r="S187" i="38"/>
  <c r="T187" i="38"/>
  <c r="U187" i="38"/>
  <c r="V187" i="38"/>
  <c r="F188" i="38"/>
  <c r="J188" i="38"/>
  <c r="L188" i="38"/>
  <c r="S188" i="38"/>
  <c r="T188" i="38"/>
  <c r="U188" i="38"/>
  <c r="V188" i="38"/>
  <c r="F189" i="38"/>
  <c r="J189" i="38"/>
  <c r="L189" i="38"/>
  <c r="S189" i="38"/>
  <c r="T189" i="38"/>
  <c r="U189" i="38"/>
  <c r="V189" i="38"/>
  <c r="F190" i="38"/>
  <c r="J190" i="38"/>
  <c r="L190" i="38"/>
  <c r="S190" i="38"/>
  <c r="T190" i="38"/>
  <c r="U190" i="38"/>
  <c r="V190" i="38"/>
  <c r="F191" i="38"/>
  <c r="J191" i="38"/>
  <c r="L191" i="38"/>
  <c r="S191" i="38"/>
  <c r="T191" i="38"/>
  <c r="U191" i="38"/>
  <c r="V191" i="38"/>
  <c r="F192" i="38"/>
  <c r="J192" i="38"/>
  <c r="L192" i="38"/>
  <c r="S192" i="38"/>
  <c r="T192" i="38"/>
  <c r="U192" i="38"/>
  <c r="V192" i="38"/>
  <c r="F193" i="38"/>
  <c r="J193" i="38"/>
  <c r="L193" i="38"/>
  <c r="S193" i="38"/>
  <c r="T193" i="38"/>
  <c r="U193" i="38"/>
  <c r="V193" i="38"/>
  <c r="F194" i="38"/>
  <c r="J194" i="38"/>
  <c r="L194" i="38"/>
  <c r="S194" i="38"/>
  <c r="T194" i="38"/>
  <c r="U194" i="38"/>
  <c r="V194" i="38"/>
  <c r="F195" i="38"/>
  <c r="J195" i="38"/>
  <c r="L195" i="38"/>
  <c r="S195" i="38"/>
  <c r="T195" i="38"/>
  <c r="U195" i="38"/>
  <c r="V195" i="38"/>
  <c r="F196" i="38"/>
  <c r="J196" i="38"/>
  <c r="L196" i="38"/>
  <c r="S196" i="38"/>
  <c r="T196" i="38"/>
  <c r="U196" i="38"/>
  <c r="V196" i="38"/>
  <c r="F197" i="38"/>
  <c r="J197" i="38"/>
  <c r="L197" i="38"/>
  <c r="S197" i="38"/>
  <c r="T197" i="38"/>
  <c r="U197" i="38"/>
  <c r="V197" i="38"/>
  <c r="F198" i="38"/>
  <c r="J198" i="38"/>
  <c r="L198" i="38"/>
  <c r="S198" i="38"/>
  <c r="T198" i="38"/>
  <c r="U198" i="38"/>
  <c r="V198" i="38"/>
  <c r="F199" i="38"/>
  <c r="J199" i="38"/>
  <c r="L199" i="38"/>
  <c r="S199" i="38"/>
  <c r="T199" i="38"/>
  <c r="U199" i="38"/>
  <c r="V199" i="38"/>
  <c r="F200" i="38"/>
  <c r="J200" i="38"/>
  <c r="L200" i="38"/>
  <c r="S200" i="38"/>
  <c r="T200" i="38"/>
  <c r="U200" i="38"/>
  <c r="V200" i="38"/>
  <c r="F201" i="38"/>
  <c r="J201" i="38"/>
  <c r="L201" i="38"/>
  <c r="S201" i="38"/>
  <c r="T201" i="38"/>
  <c r="U201" i="38"/>
  <c r="V201" i="38"/>
  <c r="F202" i="38"/>
  <c r="J202" i="38"/>
  <c r="L202" i="38"/>
  <c r="S202" i="38"/>
  <c r="T202" i="38"/>
  <c r="U202" i="38"/>
  <c r="V202" i="38"/>
  <c r="F203" i="38"/>
  <c r="J203" i="38"/>
  <c r="L203" i="38"/>
  <c r="S203" i="38"/>
  <c r="T203" i="38"/>
  <c r="U203" i="38"/>
  <c r="V203" i="38"/>
  <c r="F204" i="38"/>
  <c r="J204" i="38"/>
  <c r="L204" i="38"/>
  <c r="S204" i="38"/>
  <c r="T204" i="38"/>
  <c r="U204" i="38"/>
  <c r="V204" i="38"/>
  <c r="F205" i="38"/>
  <c r="J205" i="38"/>
  <c r="L205" i="38"/>
  <c r="S205" i="38"/>
  <c r="T205" i="38"/>
  <c r="U205" i="38"/>
  <c r="V205" i="38"/>
  <c r="F206" i="38"/>
  <c r="J206" i="38"/>
  <c r="L206" i="38"/>
  <c r="S206" i="38"/>
  <c r="T206" i="38"/>
  <c r="U206" i="38"/>
  <c r="V206" i="38"/>
  <c r="F207" i="38"/>
  <c r="J207" i="38"/>
  <c r="L207" i="38"/>
  <c r="S207" i="38"/>
  <c r="T207" i="38"/>
  <c r="U207" i="38"/>
  <c r="V207" i="38"/>
  <c r="F208" i="38"/>
  <c r="J208" i="38"/>
  <c r="L208" i="38"/>
  <c r="S208" i="38"/>
  <c r="T208" i="38"/>
  <c r="U208" i="38"/>
  <c r="V208" i="38"/>
  <c r="F209" i="38"/>
  <c r="J209" i="38"/>
  <c r="L209" i="38"/>
  <c r="S209" i="38"/>
  <c r="T209" i="38"/>
  <c r="U209" i="38"/>
  <c r="V209" i="38"/>
  <c r="F210" i="38"/>
  <c r="J210" i="38"/>
  <c r="L210" i="38"/>
  <c r="S210" i="38"/>
  <c r="T210" i="38"/>
  <c r="U210" i="38"/>
  <c r="V210" i="38"/>
  <c r="F211" i="38"/>
  <c r="J211" i="38"/>
  <c r="L211" i="38"/>
  <c r="S211" i="38"/>
  <c r="T211" i="38"/>
  <c r="U211" i="38"/>
  <c r="V211" i="38"/>
  <c r="F212" i="38"/>
  <c r="J212" i="38"/>
  <c r="L212" i="38"/>
  <c r="S212" i="38"/>
  <c r="T212" i="38"/>
  <c r="U212" i="38"/>
  <c r="V212" i="38"/>
  <c r="F213" i="38"/>
  <c r="J213" i="38"/>
  <c r="L213" i="38"/>
  <c r="S213" i="38"/>
  <c r="T213" i="38"/>
  <c r="U213" i="38"/>
  <c r="V213" i="38"/>
  <c r="F214" i="38"/>
  <c r="J214" i="38"/>
  <c r="L214" i="38"/>
  <c r="S214" i="38"/>
  <c r="T214" i="38"/>
  <c r="U214" i="38"/>
  <c r="V214" i="38"/>
  <c r="F215" i="38"/>
  <c r="J215" i="38"/>
  <c r="L215" i="38"/>
  <c r="S215" i="38"/>
  <c r="T215" i="38"/>
  <c r="U215" i="38"/>
  <c r="V215" i="38"/>
  <c r="F216" i="38"/>
  <c r="J216" i="38"/>
  <c r="L216" i="38"/>
  <c r="S216" i="38"/>
  <c r="T216" i="38"/>
  <c r="U216" i="38"/>
  <c r="V216" i="38"/>
  <c r="F217" i="38"/>
  <c r="J217" i="38"/>
  <c r="L217" i="38"/>
  <c r="S217" i="38"/>
  <c r="T217" i="38"/>
  <c r="U217" i="38"/>
  <c r="V217" i="38"/>
  <c r="F218" i="38"/>
  <c r="J218" i="38"/>
  <c r="L218" i="38"/>
  <c r="S218" i="38"/>
  <c r="T218" i="38"/>
  <c r="U218" i="38"/>
  <c r="V218" i="38"/>
  <c r="F219" i="38"/>
  <c r="J219" i="38"/>
  <c r="L219" i="38"/>
  <c r="S219" i="38"/>
  <c r="T219" i="38"/>
  <c r="U219" i="38"/>
  <c r="V219" i="38"/>
  <c r="F220" i="38"/>
  <c r="J220" i="38"/>
  <c r="L220" i="38"/>
  <c r="S220" i="38"/>
  <c r="T220" i="38"/>
  <c r="U220" i="38"/>
  <c r="V220" i="38"/>
  <c r="F221" i="38"/>
  <c r="J221" i="38"/>
  <c r="L221" i="38"/>
  <c r="S221" i="38"/>
  <c r="T221" i="38"/>
  <c r="U221" i="38"/>
  <c r="V221" i="38"/>
  <c r="F222" i="38"/>
  <c r="J222" i="38"/>
  <c r="L222" i="38"/>
  <c r="S222" i="38"/>
  <c r="T222" i="38"/>
  <c r="U222" i="38"/>
  <c r="V222" i="38"/>
  <c r="F223" i="38"/>
  <c r="J223" i="38"/>
  <c r="L223" i="38"/>
  <c r="S223" i="38"/>
  <c r="T223" i="38"/>
  <c r="U223" i="38"/>
  <c r="V223" i="38"/>
  <c r="F224" i="38"/>
  <c r="J224" i="38"/>
  <c r="L224" i="38"/>
  <c r="S224" i="38"/>
  <c r="T224" i="38"/>
  <c r="U224" i="38"/>
  <c r="V224" i="38"/>
  <c r="F225" i="38"/>
  <c r="J225" i="38"/>
  <c r="L225" i="38"/>
  <c r="S225" i="38"/>
  <c r="T225" i="38"/>
  <c r="U225" i="38"/>
  <c r="V225" i="38"/>
  <c r="F226" i="38"/>
  <c r="J226" i="38"/>
  <c r="L226" i="38"/>
  <c r="S226" i="38"/>
  <c r="T226" i="38"/>
  <c r="U226" i="38"/>
  <c r="V226" i="38"/>
  <c r="F227" i="38"/>
  <c r="J227" i="38"/>
  <c r="L227" i="38"/>
  <c r="S227" i="38"/>
  <c r="T227" i="38"/>
  <c r="U227" i="38"/>
  <c r="V227" i="38"/>
  <c r="F228" i="38"/>
  <c r="J228" i="38"/>
  <c r="L228" i="38"/>
  <c r="S228" i="38"/>
  <c r="T228" i="38"/>
  <c r="U228" i="38"/>
  <c r="V228" i="38"/>
  <c r="F229" i="38"/>
  <c r="J229" i="38"/>
  <c r="L229" i="38"/>
  <c r="S229" i="38"/>
  <c r="T229" i="38"/>
  <c r="U229" i="38"/>
  <c r="V229" i="38"/>
  <c r="F230" i="38"/>
  <c r="J230" i="38"/>
  <c r="L230" i="38"/>
  <c r="S230" i="38"/>
  <c r="T230" i="38"/>
  <c r="U230" i="38"/>
  <c r="V230" i="38"/>
  <c r="F231" i="38"/>
  <c r="J231" i="38"/>
  <c r="L231" i="38"/>
  <c r="S231" i="38"/>
  <c r="T231" i="38"/>
  <c r="U231" i="38"/>
  <c r="V231" i="38"/>
  <c r="F232" i="38"/>
  <c r="J232" i="38"/>
  <c r="L232" i="38"/>
  <c r="S232" i="38"/>
  <c r="T232" i="38"/>
  <c r="U232" i="38"/>
  <c r="V232" i="38"/>
  <c r="F233" i="38"/>
  <c r="J233" i="38"/>
  <c r="L233" i="38"/>
  <c r="S233" i="38"/>
  <c r="T233" i="38"/>
  <c r="U233" i="38"/>
  <c r="V233" i="38"/>
  <c r="F234" i="38"/>
  <c r="J234" i="38"/>
  <c r="L234" i="38"/>
  <c r="S234" i="38"/>
  <c r="T234" i="38"/>
  <c r="U234" i="38"/>
  <c r="V234" i="38"/>
  <c r="F235" i="38"/>
  <c r="J235" i="38"/>
  <c r="L235" i="38"/>
  <c r="S235" i="38"/>
  <c r="T235" i="38"/>
  <c r="U235" i="38"/>
  <c r="V235" i="38"/>
  <c r="F236" i="38"/>
  <c r="J236" i="38"/>
  <c r="L236" i="38"/>
  <c r="S236" i="38"/>
  <c r="T236" i="38"/>
  <c r="U236" i="38"/>
  <c r="V236" i="38"/>
  <c r="F237" i="38"/>
  <c r="J237" i="38"/>
  <c r="L237" i="38"/>
  <c r="S237" i="38"/>
  <c r="T237" i="38"/>
  <c r="U237" i="38"/>
  <c r="V237" i="38"/>
  <c r="F107" i="38"/>
  <c r="J107" i="38"/>
  <c r="L107" i="38"/>
  <c r="S107" i="38"/>
  <c r="T107" i="38"/>
  <c r="U107" i="38"/>
  <c r="V107" i="38"/>
  <c r="F108" i="38"/>
  <c r="J108" i="38"/>
  <c r="L108" i="38"/>
  <c r="S108" i="38"/>
  <c r="T108" i="38"/>
  <c r="U108" i="38"/>
  <c r="V108" i="38"/>
  <c r="F109" i="38"/>
  <c r="J109" i="38"/>
  <c r="L109" i="38"/>
  <c r="S109" i="38"/>
  <c r="T109" i="38"/>
  <c r="U109" i="38"/>
  <c r="V109" i="38"/>
  <c r="F110" i="38"/>
  <c r="J110" i="38"/>
  <c r="L110" i="38"/>
  <c r="S110" i="38"/>
  <c r="T110" i="38"/>
  <c r="U110" i="38"/>
  <c r="V110" i="38"/>
  <c r="F111" i="38"/>
  <c r="J111" i="38"/>
  <c r="L111" i="38"/>
  <c r="S111" i="38"/>
  <c r="T111" i="38"/>
  <c r="U111" i="38"/>
  <c r="V111" i="38"/>
  <c r="F112" i="38"/>
  <c r="J112" i="38"/>
  <c r="L112" i="38"/>
  <c r="S112" i="38"/>
  <c r="T112" i="38"/>
  <c r="U112" i="38"/>
  <c r="V112" i="38"/>
  <c r="F113" i="38"/>
  <c r="J113" i="38"/>
  <c r="L113" i="38"/>
  <c r="S113" i="38"/>
  <c r="T113" i="38"/>
  <c r="U113" i="38"/>
  <c r="V113" i="38"/>
  <c r="F114" i="38"/>
  <c r="J114" i="38"/>
  <c r="L114" i="38"/>
  <c r="S114" i="38"/>
  <c r="T114" i="38"/>
  <c r="U114" i="38"/>
  <c r="V114" i="38"/>
  <c r="F115" i="38"/>
  <c r="J115" i="38"/>
  <c r="L115" i="38"/>
  <c r="S115" i="38"/>
  <c r="T115" i="38"/>
  <c r="U115" i="38"/>
  <c r="V115" i="38"/>
  <c r="F116" i="38"/>
  <c r="J116" i="38"/>
  <c r="L116" i="38"/>
  <c r="S116" i="38"/>
  <c r="T116" i="38"/>
  <c r="U116" i="38"/>
  <c r="V116" i="38"/>
  <c r="F117" i="38"/>
  <c r="J117" i="38"/>
  <c r="L117" i="38"/>
  <c r="S117" i="38"/>
  <c r="T117" i="38"/>
  <c r="U117" i="38"/>
  <c r="V117" i="38"/>
  <c r="F118" i="38"/>
  <c r="J118" i="38"/>
  <c r="L118" i="38"/>
  <c r="S118" i="38"/>
  <c r="T118" i="38"/>
  <c r="U118" i="38"/>
  <c r="V118" i="38"/>
  <c r="F119" i="38"/>
  <c r="J119" i="38"/>
  <c r="L119" i="38"/>
  <c r="S119" i="38"/>
  <c r="T119" i="38"/>
  <c r="U119" i="38"/>
  <c r="V119" i="38"/>
  <c r="F120" i="38"/>
  <c r="J120" i="38"/>
  <c r="L120" i="38"/>
  <c r="S120" i="38"/>
  <c r="T120" i="38"/>
  <c r="U120" i="38"/>
  <c r="V120" i="38"/>
  <c r="F121" i="38"/>
  <c r="J121" i="38"/>
  <c r="L121" i="38"/>
  <c r="S121" i="38"/>
  <c r="T121" i="38"/>
  <c r="U121" i="38"/>
  <c r="V121" i="38"/>
  <c r="F122" i="38"/>
  <c r="J122" i="38"/>
  <c r="L122" i="38"/>
  <c r="S122" i="38"/>
  <c r="T122" i="38"/>
  <c r="U122" i="38"/>
  <c r="V122" i="38"/>
  <c r="F123" i="38"/>
  <c r="J123" i="38"/>
  <c r="L123" i="38"/>
  <c r="S123" i="38"/>
  <c r="T123" i="38"/>
  <c r="U123" i="38"/>
  <c r="V123" i="38"/>
  <c r="F124" i="38"/>
  <c r="J124" i="38"/>
  <c r="L124" i="38"/>
  <c r="S124" i="38"/>
  <c r="T124" i="38"/>
  <c r="U124" i="38"/>
  <c r="V124" i="38"/>
  <c r="F125" i="38"/>
  <c r="J125" i="38"/>
  <c r="L125" i="38"/>
  <c r="S125" i="38"/>
  <c r="T125" i="38"/>
  <c r="U125" i="38"/>
  <c r="V125" i="38"/>
  <c r="F126" i="38"/>
  <c r="J126" i="38"/>
  <c r="L126" i="38"/>
  <c r="S126" i="38"/>
  <c r="T126" i="38"/>
  <c r="U126" i="38"/>
  <c r="V126" i="38"/>
  <c r="F127" i="38"/>
  <c r="J127" i="38"/>
  <c r="L127" i="38"/>
  <c r="S127" i="38"/>
  <c r="T127" i="38"/>
  <c r="U127" i="38"/>
  <c r="V127" i="38"/>
  <c r="F128" i="38"/>
  <c r="J128" i="38"/>
  <c r="L128" i="38"/>
  <c r="S128" i="38"/>
  <c r="T128" i="38"/>
  <c r="U128" i="38"/>
  <c r="V128" i="38"/>
  <c r="F129" i="38"/>
  <c r="J129" i="38"/>
  <c r="L129" i="38"/>
  <c r="S129" i="38"/>
  <c r="T129" i="38"/>
  <c r="U129" i="38"/>
  <c r="V129" i="38"/>
  <c r="F130" i="38"/>
  <c r="J130" i="38"/>
  <c r="L130" i="38"/>
  <c r="S130" i="38"/>
  <c r="T130" i="38"/>
  <c r="U130" i="38"/>
  <c r="V130" i="38"/>
  <c r="F131" i="38"/>
  <c r="J131" i="38"/>
  <c r="L131" i="38"/>
  <c r="S131" i="38"/>
  <c r="T131" i="38"/>
  <c r="U131" i="38"/>
  <c r="V131" i="38"/>
  <c r="F132" i="38"/>
  <c r="J132" i="38"/>
  <c r="L132" i="38"/>
  <c r="S132" i="38"/>
  <c r="T132" i="38"/>
  <c r="U132" i="38"/>
  <c r="V132" i="38"/>
  <c r="F133" i="38"/>
  <c r="J133" i="38"/>
  <c r="L133" i="38"/>
  <c r="S133" i="38"/>
  <c r="T133" i="38"/>
  <c r="U133" i="38"/>
  <c r="V133" i="38"/>
  <c r="F134" i="38"/>
  <c r="J134" i="38"/>
  <c r="L134" i="38"/>
  <c r="S134" i="38"/>
  <c r="T134" i="38"/>
  <c r="U134" i="38"/>
  <c r="V134" i="38"/>
  <c r="F135" i="38"/>
  <c r="J135" i="38"/>
  <c r="L135" i="38"/>
  <c r="S135" i="38"/>
  <c r="T135" i="38"/>
  <c r="U135" i="38"/>
  <c r="V135" i="38"/>
  <c r="F136" i="38"/>
  <c r="J136" i="38"/>
  <c r="L136" i="38"/>
  <c r="S136" i="38"/>
  <c r="T136" i="38"/>
  <c r="U136" i="38"/>
  <c r="V136" i="38"/>
  <c r="F137" i="38"/>
  <c r="J137" i="38"/>
  <c r="L137" i="38"/>
  <c r="S137" i="38"/>
  <c r="T137" i="38"/>
  <c r="U137" i="38"/>
  <c r="V137" i="38"/>
  <c r="F138" i="38"/>
  <c r="J138" i="38"/>
  <c r="L138" i="38"/>
  <c r="S138" i="38"/>
  <c r="T138" i="38"/>
  <c r="U138" i="38"/>
  <c r="V138" i="38"/>
  <c r="F139" i="38"/>
  <c r="J139" i="38"/>
  <c r="L139" i="38"/>
  <c r="S139" i="38"/>
  <c r="T139" i="38"/>
  <c r="U139" i="38"/>
  <c r="V139" i="38"/>
  <c r="F140" i="38"/>
  <c r="J140" i="38"/>
  <c r="L140" i="38"/>
  <c r="S140" i="38"/>
  <c r="T140" i="38"/>
  <c r="U140" i="38"/>
  <c r="V140" i="38"/>
  <c r="F141" i="38"/>
  <c r="J141" i="38"/>
  <c r="L141" i="38"/>
  <c r="S141" i="38"/>
  <c r="T141" i="38"/>
  <c r="U141" i="38"/>
  <c r="V141" i="38"/>
  <c r="F142" i="38"/>
  <c r="J142" i="38"/>
  <c r="L142" i="38"/>
  <c r="S142" i="38"/>
  <c r="T142" i="38"/>
  <c r="U142" i="38"/>
  <c r="V142" i="38"/>
  <c r="F143" i="38"/>
  <c r="J143" i="38"/>
  <c r="L143" i="38"/>
  <c r="S143" i="38"/>
  <c r="T143" i="38"/>
  <c r="U143" i="38"/>
  <c r="V143" i="38"/>
  <c r="F144" i="38"/>
  <c r="J144" i="38"/>
  <c r="L144" i="38"/>
  <c r="S144" i="38"/>
  <c r="T144" i="38"/>
  <c r="U144" i="38"/>
  <c r="V144" i="38"/>
  <c r="F145" i="38"/>
  <c r="J145" i="38"/>
  <c r="L145" i="38"/>
  <c r="S145" i="38"/>
  <c r="T145" i="38"/>
  <c r="U145" i="38"/>
  <c r="V145" i="38"/>
  <c r="F146" i="38"/>
  <c r="J146" i="38"/>
  <c r="L146" i="38"/>
  <c r="S146" i="38"/>
  <c r="T146" i="38"/>
  <c r="U146" i="38"/>
  <c r="V146" i="38"/>
  <c r="F147" i="38"/>
  <c r="J147" i="38"/>
  <c r="L147" i="38"/>
  <c r="S147" i="38"/>
  <c r="T147" i="38"/>
  <c r="U147" i="38"/>
  <c r="V147" i="38"/>
  <c r="F148" i="38"/>
  <c r="J148" i="38"/>
  <c r="L148" i="38"/>
  <c r="S148" i="38"/>
  <c r="T148" i="38"/>
  <c r="U148" i="38"/>
  <c r="V148" i="38"/>
  <c r="F149" i="38"/>
  <c r="J149" i="38"/>
  <c r="L149" i="38"/>
  <c r="S149" i="38"/>
  <c r="T149" i="38"/>
  <c r="U149" i="38"/>
  <c r="V149" i="38"/>
  <c r="F150" i="38"/>
  <c r="J150" i="38"/>
  <c r="L150" i="38"/>
  <c r="S150" i="38"/>
  <c r="T150" i="38"/>
  <c r="U150" i="38"/>
  <c r="V150" i="38"/>
  <c r="F151" i="38"/>
  <c r="J151" i="38"/>
  <c r="L151" i="38"/>
  <c r="S151" i="38"/>
  <c r="T151" i="38"/>
  <c r="U151" i="38"/>
  <c r="V151" i="38"/>
  <c r="F152" i="38"/>
  <c r="J152" i="38"/>
  <c r="L152" i="38"/>
  <c r="S152" i="38"/>
  <c r="T152" i="38"/>
  <c r="U152" i="38"/>
  <c r="V152" i="38"/>
  <c r="F153" i="38"/>
  <c r="J153" i="38"/>
  <c r="L153" i="38"/>
  <c r="S153" i="38"/>
  <c r="T153" i="38"/>
  <c r="U153" i="38"/>
  <c r="V153" i="38"/>
  <c r="F154" i="38"/>
  <c r="J154" i="38"/>
  <c r="L154" i="38"/>
  <c r="S154" i="38"/>
  <c r="T154" i="38"/>
  <c r="U154" i="38"/>
  <c r="V154" i="38"/>
  <c r="F155" i="38"/>
  <c r="J155" i="38"/>
  <c r="L155" i="38"/>
  <c r="S155" i="38"/>
  <c r="T155" i="38"/>
  <c r="U155" i="38"/>
  <c r="V155" i="38"/>
  <c r="F156" i="38"/>
  <c r="J156" i="38"/>
  <c r="L156" i="38"/>
  <c r="S156" i="38"/>
  <c r="T156" i="38"/>
  <c r="U156" i="38"/>
  <c r="V156" i="38"/>
  <c r="F157" i="38"/>
  <c r="J157" i="38"/>
  <c r="L157" i="38"/>
  <c r="S157" i="38"/>
  <c r="T157" i="38"/>
  <c r="U157" i="38"/>
  <c r="V157" i="38"/>
  <c r="F158" i="38"/>
  <c r="J158" i="38"/>
  <c r="L158" i="38"/>
  <c r="S158" i="38"/>
  <c r="T158" i="38"/>
  <c r="U158" i="38"/>
  <c r="V158" i="38"/>
  <c r="F159" i="38"/>
  <c r="J159" i="38"/>
  <c r="L159" i="38"/>
  <c r="S159" i="38"/>
  <c r="T159" i="38"/>
  <c r="U159" i="38"/>
  <c r="V159" i="38"/>
  <c r="F160" i="38"/>
  <c r="J160" i="38"/>
  <c r="L160" i="38"/>
  <c r="S160" i="38"/>
  <c r="T160" i="38"/>
  <c r="U160" i="38"/>
  <c r="V160" i="38"/>
  <c r="F161" i="38"/>
  <c r="J161" i="38"/>
  <c r="L161" i="38"/>
  <c r="S161" i="38"/>
  <c r="T161" i="38"/>
  <c r="U161" i="38"/>
  <c r="V161" i="38"/>
  <c r="F162" i="38"/>
  <c r="J162" i="38"/>
  <c r="L162" i="38"/>
  <c r="S162" i="38"/>
  <c r="T162" i="38"/>
  <c r="U162" i="38"/>
  <c r="V162" i="38"/>
  <c r="F163" i="38"/>
  <c r="J163" i="38"/>
  <c r="L163" i="38"/>
  <c r="S163" i="38"/>
  <c r="T163" i="38"/>
  <c r="U163" i="38"/>
  <c r="V163" i="38"/>
  <c r="F164" i="38"/>
  <c r="J164" i="38"/>
  <c r="L164" i="38"/>
  <c r="S164" i="38"/>
  <c r="T164" i="38"/>
  <c r="U164" i="38"/>
  <c r="V164" i="38"/>
  <c r="F165" i="38"/>
  <c r="J165" i="38"/>
  <c r="L165" i="38"/>
  <c r="S165" i="38"/>
  <c r="T165" i="38"/>
  <c r="U165" i="38"/>
  <c r="V165" i="38"/>
  <c r="F166" i="38"/>
  <c r="J166" i="38"/>
  <c r="L166" i="38"/>
  <c r="S166" i="38"/>
  <c r="T166" i="38"/>
  <c r="U166" i="38"/>
  <c r="V166" i="38"/>
  <c r="F167" i="38"/>
  <c r="J167" i="38"/>
  <c r="L167" i="38"/>
  <c r="S167" i="38"/>
  <c r="T167" i="38"/>
  <c r="U167" i="38"/>
  <c r="V167" i="38"/>
  <c r="F168" i="38"/>
  <c r="J168" i="38"/>
  <c r="L168" i="38"/>
  <c r="S168" i="38"/>
  <c r="T168" i="38"/>
  <c r="U168" i="38"/>
  <c r="V168" i="38"/>
  <c r="F169" i="38"/>
  <c r="J169" i="38"/>
  <c r="L169" i="38"/>
  <c r="S169" i="38"/>
  <c r="T169" i="38"/>
  <c r="U169" i="38"/>
  <c r="V169" i="38"/>
  <c r="F170" i="38"/>
  <c r="J170" i="38"/>
  <c r="L170" i="38"/>
  <c r="S170" i="38"/>
  <c r="T170" i="38"/>
  <c r="U170" i="38"/>
  <c r="V170" i="38"/>
  <c r="F171" i="38"/>
  <c r="J171" i="38"/>
  <c r="L171" i="38"/>
  <c r="S171" i="38"/>
  <c r="T171" i="38"/>
  <c r="U171" i="38"/>
  <c r="V171" i="38"/>
  <c r="F172" i="38"/>
  <c r="J172" i="38"/>
  <c r="L172" i="38"/>
  <c r="S172" i="38"/>
  <c r="T172" i="38"/>
  <c r="U172" i="38"/>
  <c r="V172" i="38"/>
  <c r="F173" i="38"/>
  <c r="J173" i="38"/>
  <c r="L173" i="38"/>
  <c r="S173" i="38"/>
  <c r="T173" i="38"/>
  <c r="U173" i="38"/>
  <c r="V173" i="38"/>
  <c r="F174" i="38"/>
  <c r="J174" i="38"/>
  <c r="L174" i="38"/>
  <c r="S174" i="38"/>
  <c r="T174" i="38"/>
  <c r="U174" i="38"/>
  <c r="V174" i="38"/>
  <c r="F175" i="38"/>
  <c r="J175" i="38"/>
  <c r="L175" i="38"/>
  <c r="S175" i="38"/>
  <c r="T175" i="38"/>
  <c r="U175" i="38"/>
  <c r="V175" i="38"/>
  <c r="F176" i="38"/>
  <c r="J176" i="38"/>
  <c r="L176" i="38"/>
  <c r="S176" i="38"/>
  <c r="T176" i="38"/>
  <c r="U176" i="38"/>
  <c r="V176" i="38"/>
  <c r="F177" i="38"/>
  <c r="J177" i="38"/>
  <c r="L177" i="38"/>
  <c r="S177" i="38"/>
  <c r="T177" i="38"/>
  <c r="U177" i="38"/>
  <c r="V177" i="38"/>
  <c r="F51" i="38"/>
  <c r="J51" i="38"/>
  <c r="L51" i="38"/>
  <c r="S51" i="38"/>
  <c r="T51" i="38"/>
  <c r="U51" i="38"/>
  <c r="V51" i="38"/>
  <c r="F52" i="38"/>
  <c r="J52" i="38"/>
  <c r="L52" i="38"/>
  <c r="S52" i="38"/>
  <c r="T52" i="38"/>
  <c r="U52" i="38"/>
  <c r="V52" i="38"/>
  <c r="F53" i="38"/>
  <c r="J53" i="38"/>
  <c r="L53" i="38"/>
  <c r="S53" i="38"/>
  <c r="T53" i="38"/>
  <c r="U53" i="38"/>
  <c r="V53" i="38"/>
  <c r="F54" i="38"/>
  <c r="J54" i="38"/>
  <c r="L54" i="38"/>
  <c r="S54" i="38"/>
  <c r="T54" i="38"/>
  <c r="U54" i="38"/>
  <c r="V54" i="38"/>
  <c r="F55" i="38"/>
  <c r="J55" i="38"/>
  <c r="L55" i="38"/>
  <c r="S55" i="38"/>
  <c r="T55" i="38"/>
  <c r="U55" i="38"/>
  <c r="V55" i="38"/>
  <c r="F56" i="38"/>
  <c r="J56" i="38"/>
  <c r="L56" i="38"/>
  <c r="S56" i="38"/>
  <c r="T56" i="38"/>
  <c r="U56" i="38"/>
  <c r="V56" i="38"/>
  <c r="F57" i="38"/>
  <c r="J57" i="38"/>
  <c r="L57" i="38"/>
  <c r="S57" i="38"/>
  <c r="T57" i="38"/>
  <c r="U57" i="38"/>
  <c r="V57" i="38"/>
  <c r="F58" i="38"/>
  <c r="J58" i="38"/>
  <c r="L58" i="38"/>
  <c r="S58" i="38"/>
  <c r="T58" i="38"/>
  <c r="U58" i="38"/>
  <c r="V58" i="38"/>
  <c r="F59" i="38"/>
  <c r="J59" i="38"/>
  <c r="L59" i="38"/>
  <c r="S59" i="38"/>
  <c r="T59" i="38"/>
  <c r="U59" i="38"/>
  <c r="V59" i="38"/>
  <c r="F60" i="38"/>
  <c r="J60" i="38"/>
  <c r="L60" i="38"/>
  <c r="S60" i="38"/>
  <c r="T60" i="38"/>
  <c r="U60" i="38"/>
  <c r="V60" i="38"/>
  <c r="F61" i="38"/>
  <c r="J61" i="38"/>
  <c r="L61" i="38"/>
  <c r="S61" i="38"/>
  <c r="T61" i="38"/>
  <c r="U61" i="38"/>
  <c r="V61" i="38"/>
  <c r="F62" i="38"/>
  <c r="J62" i="38"/>
  <c r="L62" i="38"/>
  <c r="S62" i="38"/>
  <c r="T62" i="38"/>
  <c r="U62" i="38"/>
  <c r="V62" i="38"/>
  <c r="F63" i="38"/>
  <c r="J63" i="38"/>
  <c r="L63" i="38"/>
  <c r="S63" i="38"/>
  <c r="T63" i="38"/>
  <c r="U63" i="38"/>
  <c r="V63" i="38"/>
  <c r="F64" i="38"/>
  <c r="J64" i="38"/>
  <c r="L64" i="38"/>
  <c r="S64" i="38"/>
  <c r="T64" i="38"/>
  <c r="U64" i="38"/>
  <c r="V64" i="38"/>
  <c r="F65" i="38"/>
  <c r="J65" i="38"/>
  <c r="L65" i="38"/>
  <c r="S65" i="38"/>
  <c r="T65" i="38"/>
  <c r="U65" i="38"/>
  <c r="V65" i="38"/>
  <c r="F66" i="38"/>
  <c r="J66" i="38"/>
  <c r="L66" i="38"/>
  <c r="S66" i="38"/>
  <c r="T66" i="38"/>
  <c r="U66" i="38"/>
  <c r="V66" i="38"/>
  <c r="F67" i="38"/>
  <c r="J67" i="38"/>
  <c r="L67" i="38"/>
  <c r="S67" i="38"/>
  <c r="T67" i="38"/>
  <c r="U67" i="38"/>
  <c r="V67" i="38"/>
  <c r="F68" i="38"/>
  <c r="J68" i="38"/>
  <c r="L68" i="38"/>
  <c r="S68" i="38"/>
  <c r="T68" i="38"/>
  <c r="U68" i="38"/>
  <c r="V68" i="38"/>
  <c r="F69" i="38"/>
  <c r="J69" i="38"/>
  <c r="L69" i="38"/>
  <c r="S69" i="38"/>
  <c r="T69" i="38"/>
  <c r="U69" i="38"/>
  <c r="V69" i="38"/>
  <c r="F70" i="38"/>
  <c r="J70" i="38"/>
  <c r="L70" i="38"/>
  <c r="S70" i="38"/>
  <c r="T70" i="38"/>
  <c r="U70" i="38"/>
  <c r="V70" i="38"/>
  <c r="F71" i="38"/>
  <c r="J71" i="38"/>
  <c r="L71" i="38"/>
  <c r="S71" i="38"/>
  <c r="T71" i="38"/>
  <c r="U71" i="38"/>
  <c r="V71" i="38"/>
  <c r="F72" i="38"/>
  <c r="J72" i="38"/>
  <c r="L72" i="38"/>
  <c r="S72" i="38"/>
  <c r="T72" i="38"/>
  <c r="U72" i="38"/>
  <c r="V72" i="38"/>
  <c r="F73" i="38"/>
  <c r="J73" i="38"/>
  <c r="L73" i="38"/>
  <c r="S73" i="38"/>
  <c r="T73" i="38"/>
  <c r="U73" i="38"/>
  <c r="V73" i="38"/>
  <c r="F74" i="38"/>
  <c r="J74" i="38"/>
  <c r="L74" i="38"/>
  <c r="S74" i="38"/>
  <c r="T74" i="38"/>
  <c r="U74" i="38"/>
  <c r="V74" i="38"/>
  <c r="F75" i="38"/>
  <c r="J75" i="38"/>
  <c r="L75" i="38"/>
  <c r="S75" i="38"/>
  <c r="T75" i="38"/>
  <c r="U75" i="38"/>
  <c r="V75" i="38"/>
  <c r="F76" i="38"/>
  <c r="J76" i="38"/>
  <c r="L76" i="38"/>
  <c r="S76" i="38"/>
  <c r="T76" i="38"/>
  <c r="U76" i="38"/>
  <c r="V76" i="38"/>
  <c r="F77" i="38"/>
  <c r="J77" i="38"/>
  <c r="L77" i="38"/>
  <c r="S77" i="38"/>
  <c r="T77" i="38"/>
  <c r="U77" i="38"/>
  <c r="V77" i="38"/>
  <c r="F78" i="38"/>
  <c r="J78" i="38"/>
  <c r="L78" i="38"/>
  <c r="S78" i="38"/>
  <c r="T78" i="38"/>
  <c r="U78" i="38"/>
  <c r="V78" i="38"/>
  <c r="F79" i="38"/>
  <c r="J79" i="38"/>
  <c r="L79" i="38"/>
  <c r="S79" i="38"/>
  <c r="T79" i="38"/>
  <c r="U79" i="38"/>
  <c r="V79" i="38"/>
  <c r="F80" i="38"/>
  <c r="J80" i="38"/>
  <c r="L80" i="38"/>
  <c r="S80" i="38"/>
  <c r="T80" i="38"/>
  <c r="U80" i="38"/>
  <c r="V80" i="38"/>
  <c r="F81" i="38"/>
  <c r="J81" i="38"/>
  <c r="L81" i="38"/>
  <c r="S81" i="38"/>
  <c r="T81" i="38"/>
  <c r="U81" i="38"/>
  <c r="V81" i="38"/>
  <c r="F82" i="38"/>
  <c r="J82" i="38"/>
  <c r="L82" i="38"/>
  <c r="S82" i="38"/>
  <c r="T82" i="38"/>
  <c r="U82" i="38"/>
  <c r="V82" i="38"/>
  <c r="F83" i="38"/>
  <c r="J83" i="38"/>
  <c r="L83" i="38"/>
  <c r="S83" i="38"/>
  <c r="T83" i="38"/>
  <c r="U83" i="38"/>
  <c r="V83" i="38"/>
  <c r="F84" i="38"/>
  <c r="J84" i="38"/>
  <c r="L84" i="38"/>
  <c r="S84" i="38"/>
  <c r="T84" i="38"/>
  <c r="U84" i="38"/>
  <c r="V84" i="38"/>
  <c r="F85" i="38"/>
  <c r="J85" i="38"/>
  <c r="L85" i="38"/>
  <c r="S85" i="38"/>
  <c r="T85" i="38"/>
  <c r="U85" i="38"/>
  <c r="V85" i="38"/>
  <c r="F86" i="38"/>
  <c r="J86" i="38"/>
  <c r="L86" i="38"/>
  <c r="S86" i="38"/>
  <c r="T86" i="38"/>
  <c r="U86" i="38"/>
  <c r="V86" i="38"/>
  <c r="F87" i="38"/>
  <c r="J87" i="38"/>
  <c r="L87" i="38"/>
  <c r="S87" i="38"/>
  <c r="T87" i="38"/>
  <c r="U87" i="38"/>
  <c r="V87" i="38"/>
  <c r="F88" i="38"/>
  <c r="J88" i="38"/>
  <c r="L88" i="38"/>
  <c r="S88" i="38"/>
  <c r="T88" i="38"/>
  <c r="U88" i="38"/>
  <c r="V88" i="38"/>
  <c r="F89" i="38"/>
  <c r="J89" i="38"/>
  <c r="L89" i="38"/>
  <c r="S89" i="38"/>
  <c r="T89" i="38"/>
  <c r="U89" i="38"/>
  <c r="V89" i="38"/>
  <c r="F90" i="38"/>
  <c r="J90" i="38"/>
  <c r="L90" i="38"/>
  <c r="S90" i="38"/>
  <c r="T90" i="38"/>
  <c r="U90" i="38"/>
  <c r="V90" i="38"/>
  <c r="F91" i="38"/>
  <c r="J91" i="38"/>
  <c r="L91" i="38"/>
  <c r="S91" i="38"/>
  <c r="T91" i="38"/>
  <c r="U91" i="38"/>
  <c r="V91" i="38"/>
  <c r="F92" i="38"/>
  <c r="J92" i="38"/>
  <c r="L92" i="38"/>
  <c r="S92" i="38"/>
  <c r="T92" i="38"/>
  <c r="U92" i="38"/>
  <c r="V92" i="38"/>
  <c r="F93" i="38"/>
  <c r="J93" i="38"/>
  <c r="L93" i="38"/>
  <c r="S93" i="38"/>
  <c r="T93" i="38"/>
  <c r="U93" i="38"/>
  <c r="V93" i="38"/>
  <c r="F94" i="38"/>
  <c r="J94" i="38"/>
  <c r="L94" i="38"/>
  <c r="S94" i="38"/>
  <c r="T94" i="38"/>
  <c r="U94" i="38"/>
  <c r="V94" i="38"/>
  <c r="F95" i="38"/>
  <c r="J95" i="38"/>
  <c r="L95" i="38"/>
  <c r="S95" i="38"/>
  <c r="T95" i="38"/>
  <c r="U95" i="38"/>
  <c r="V95" i="38"/>
  <c r="F96" i="38"/>
  <c r="J96" i="38"/>
  <c r="L96" i="38"/>
  <c r="S96" i="38"/>
  <c r="T96" i="38"/>
  <c r="U96" i="38"/>
  <c r="V96" i="38"/>
  <c r="F97" i="38"/>
  <c r="J97" i="38"/>
  <c r="L97" i="38"/>
  <c r="S97" i="38"/>
  <c r="T97" i="38"/>
  <c r="U97" i="38"/>
  <c r="V97" i="38"/>
  <c r="F98" i="38"/>
  <c r="J98" i="38"/>
  <c r="L98" i="38"/>
  <c r="S98" i="38"/>
  <c r="T98" i="38"/>
  <c r="U98" i="38"/>
  <c r="V98" i="38"/>
  <c r="F99" i="38"/>
  <c r="J99" i="38"/>
  <c r="L99" i="38"/>
  <c r="S99" i="38"/>
  <c r="T99" i="38"/>
  <c r="U99" i="38"/>
  <c r="V99" i="38"/>
  <c r="F100" i="38"/>
  <c r="J100" i="38"/>
  <c r="L100" i="38"/>
  <c r="S100" i="38"/>
  <c r="T100" i="38"/>
  <c r="U100" i="38"/>
  <c r="V100" i="38"/>
  <c r="F101" i="38"/>
  <c r="J101" i="38"/>
  <c r="L101" i="38"/>
  <c r="S101" i="38"/>
  <c r="T101" i="38"/>
  <c r="U101" i="38"/>
  <c r="V101" i="38"/>
  <c r="F102" i="38"/>
  <c r="J102" i="38"/>
  <c r="L102" i="38"/>
  <c r="S102" i="38"/>
  <c r="T102" i="38"/>
  <c r="U102" i="38"/>
  <c r="V102" i="38"/>
  <c r="F103" i="38"/>
  <c r="J103" i="38"/>
  <c r="L103" i="38"/>
  <c r="S103" i="38"/>
  <c r="T103" i="38"/>
  <c r="U103" i="38"/>
  <c r="V103" i="38"/>
  <c r="F104" i="38"/>
  <c r="J104" i="38"/>
  <c r="L104" i="38"/>
  <c r="S104" i="38"/>
  <c r="T104" i="38"/>
  <c r="U104" i="38"/>
  <c r="V104" i="38"/>
  <c r="F105" i="38"/>
  <c r="J105" i="38"/>
  <c r="L105" i="38"/>
  <c r="S105" i="38"/>
  <c r="T105" i="38"/>
  <c r="U105" i="38"/>
  <c r="V105" i="38"/>
  <c r="F106" i="38"/>
  <c r="J106" i="38"/>
  <c r="L106" i="38"/>
  <c r="S106" i="38"/>
  <c r="T106" i="38"/>
  <c r="U106" i="38"/>
  <c r="V106" i="38"/>
  <c r="O14" i="33"/>
  <c r="K14" i="33" s="1"/>
  <c r="O13" i="33"/>
  <c r="K13" i="33" s="1"/>
  <c r="O12" i="33"/>
  <c r="K12" i="33" s="1"/>
  <c r="O11" i="33"/>
  <c r="K11" i="33" s="1"/>
  <c r="O10" i="33"/>
  <c r="K10" i="33" s="1"/>
  <c r="O9" i="33"/>
  <c r="K9" i="33" s="1"/>
  <c r="P14" i="33"/>
  <c r="P13" i="33"/>
  <c r="P12" i="33"/>
  <c r="P11" i="33"/>
  <c r="P10" i="33"/>
  <c r="Q10" i="33" s="1"/>
  <c r="P9" i="33"/>
  <c r="I10" i="40"/>
  <c r="I12" i="40"/>
  <c r="I14" i="40"/>
  <c r="I13" i="40"/>
  <c r="I11" i="40"/>
  <c r="I9" i="40"/>
  <c r="J10" i="40"/>
  <c r="J12" i="40"/>
  <c r="J14" i="40"/>
  <c r="J13" i="40"/>
  <c r="J11" i="40"/>
  <c r="J9" i="40"/>
  <c r="G7" i="4"/>
  <c r="G8" i="4"/>
  <c r="G10" i="4"/>
  <c r="G11" i="4"/>
  <c r="G12" i="4"/>
  <c r="H7" i="4"/>
  <c r="H8" i="4"/>
  <c r="H10" i="4"/>
  <c r="H11" i="4"/>
  <c r="H12" i="4"/>
  <c r="I7" i="4"/>
  <c r="I8" i="4"/>
  <c r="I10" i="4"/>
  <c r="I11" i="4"/>
  <c r="I12" i="4"/>
  <c r="M7" i="4" a="1"/>
  <c r="M7" i="4" s="1"/>
  <c r="M8" i="4" a="1"/>
  <c r="M8" i="4" s="1"/>
  <c r="M10" i="4" a="1"/>
  <c r="M10" i="4" s="1"/>
  <c r="M11" i="4" a="1"/>
  <c r="M11" i="4" s="1"/>
  <c r="M12" i="4" a="1"/>
  <c r="M12" i="4" s="1"/>
  <c r="N7" i="4" a="1"/>
  <c r="N7" i="4" s="1"/>
  <c r="N8" i="4" a="1"/>
  <c r="N8" i="4" s="1"/>
  <c r="N10" i="4" a="1"/>
  <c r="N10" i="4" s="1"/>
  <c r="N11" i="4" a="1"/>
  <c r="N11" i="4" s="1"/>
  <c r="N12" i="4" a="1"/>
  <c r="N12" i="4" s="1"/>
  <c r="P7" i="4"/>
  <c r="S7" i="4" s="1"/>
  <c r="P8" i="4"/>
  <c r="S8" i="4" s="1"/>
  <c r="P10" i="4"/>
  <c r="P11" i="4"/>
  <c r="S11" i="4" s="1"/>
  <c r="P12" i="4"/>
  <c r="S12" i="4" s="1"/>
  <c r="R7" i="4"/>
  <c r="R8" i="4"/>
  <c r="R10" i="4"/>
  <c r="R11" i="4"/>
  <c r="R12" i="4"/>
  <c r="E1619" i="4" a="1"/>
  <c r="E1619" i="4" s="1"/>
  <c r="E1618" i="4" a="1"/>
  <c r="E1618" i="4" s="1"/>
  <c r="E1613" i="4" a="1"/>
  <c r="E1613" i="4" s="1"/>
  <c r="E1612" i="4" a="1"/>
  <c r="E1612" i="4" s="1"/>
  <c r="E1611" i="4" a="1"/>
  <c r="E1611" i="4" s="1"/>
  <c r="E1610" i="4" a="1"/>
  <c r="E1610" i="4" s="1"/>
  <c r="E1608" i="4" a="1"/>
  <c r="E1608" i="4" s="1"/>
  <c r="E1607" i="4" a="1"/>
  <c r="E1607" i="4" s="1"/>
  <c r="E1606" i="4" a="1"/>
  <c r="E1606" i="4" s="1"/>
  <c r="E1605" i="4" a="1"/>
  <c r="E1605" i="4" s="1"/>
  <c r="E1604" i="4" a="1"/>
  <c r="E1604" i="4" s="1"/>
  <c r="E1603" i="4" a="1"/>
  <c r="E1603" i="4" s="1"/>
  <c r="E1602" i="4" a="1"/>
  <c r="E1602" i="4" s="1"/>
  <c r="E1601" i="4" a="1"/>
  <c r="E1601" i="4" s="1"/>
  <c r="E1600" i="4" a="1"/>
  <c r="E1600" i="4" s="1"/>
  <c r="E1599" i="4" a="1"/>
  <c r="E1599" i="4" s="1"/>
  <c r="E1598" i="4" a="1"/>
  <c r="E1598" i="4" s="1"/>
  <c r="E1597" i="4" a="1"/>
  <c r="E1597" i="4" s="1"/>
  <c r="E1596" i="4" a="1"/>
  <c r="E1596" i="4" s="1"/>
  <c r="E1595" i="4" a="1"/>
  <c r="E1595" i="4" s="1"/>
  <c r="E1594" i="4" a="1"/>
  <c r="E1594" i="4" s="1"/>
  <c r="E1593" i="4" a="1"/>
  <c r="E1593" i="4" s="1"/>
  <c r="E1591" i="4" a="1"/>
  <c r="E1591" i="4" s="1"/>
  <c r="E1589" i="4" a="1"/>
  <c r="E1589" i="4" s="1"/>
  <c r="E1584" i="4" a="1"/>
  <c r="E1584" i="4" s="1"/>
  <c r="E1581" i="4" a="1"/>
  <c r="E1581" i="4" s="1"/>
  <c r="E1580" i="4" a="1"/>
  <c r="E1580" i="4" s="1"/>
  <c r="E1579" i="4" a="1"/>
  <c r="E1579" i="4" s="1"/>
  <c r="E1578" i="4" a="1"/>
  <c r="E1578" i="4" s="1"/>
  <c r="E1575" i="4" a="1"/>
  <c r="E1575" i="4" s="1"/>
  <c r="E1574" i="4" a="1"/>
  <c r="E1574" i="4" s="1"/>
  <c r="E1573" i="4" a="1"/>
  <c r="E1573" i="4" s="1"/>
  <c r="E1570" i="4" a="1"/>
  <c r="E1570" i="4" s="1"/>
  <c r="E1569" i="4" a="1"/>
  <c r="E1569" i="4" s="1"/>
  <c r="E1568" i="4" a="1"/>
  <c r="E1568" i="4" s="1"/>
  <c r="E1567" i="4" a="1"/>
  <c r="E1567" i="4" s="1"/>
  <c r="E1566" i="4" a="1"/>
  <c r="E1566" i="4" s="1"/>
  <c r="E1565" i="4" a="1"/>
  <c r="E1565" i="4" s="1"/>
  <c r="E1564" i="4" a="1"/>
  <c r="E1564" i="4" s="1"/>
  <c r="E1563" i="4" a="1"/>
  <c r="E1563" i="4" s="1"/>
  <c r="E1562" i="4" a="1"/>
  <c r="E1562" i="4" s="1"/>
  <c r="E1561" i="4" a="1"/>
  <c r="E1561" i="4" s="1"/>
  <c r="E1560" i="4" a="1"/>
  <c r="E1560" i="4" s="1"/>
  <c r="E1556" i="4" a="1"/>
  <c r="E1556" i="4" s="1"/>
  <c r="E1555" i="4" a="1"/>
  <c r="E1555" i="4" s="1"/>
  <c r="E1554" i="4" a="1"/>
  <c r="E1554" i="4" s="1"/>
  <c r="E1553" i="4" a="1"/>
  <c r="E1553" i="4" s="1"/>
  <c r="E1552" i="4" a="1"/>
  <c r="E1552" i="4" s="1"/>
  <c r="E1551" i="4" a="1"/>
  <c r="E1551" i="4" s="1"/>
  <c r="E1550" i="4" a="1"/>
  <c r="E1550" i="4" s="1"/>
  <c r="E1549" i="4" a="1"/>
  <c r="E1549" i="4" s="1"/>
  <c r="E1548" i="4" a="1"/>
  <c r="E1548" i="4" s="1"/>
  <c r="E1547" i="4" a="1"/>
  <c r="E1547" i="4" s="1"/>
  <c r="E1546" i="4" a="1"/>
  <c r="E1546" i="4" s="1"/>
  <c r="E1545" i="4" a="1"/>
  <c r="E1545" i="4" s="1"/>
  <c r="E1544" i="4" a="1"/>
  <c r="E1544" i="4" s="1"/>
  <c r="E1543" i="4" a="1"/>
  <c r="E1543" i="4" s="1"/>
  <c r="E1542" i="4" a="1"/>
  <c r="E1542" i="4" s="1"/>
  <c r="E1541" i="4" a="1"/>
  <c r="E1541" i="4" s="1"/>
  <c r="E1540" i="4" a="1"/>
  <c r="E1540" i="4" s="1"/>
  <c r="E1539" i="4" a="1"/>
  <c r="E1539" i="4" s="1"/>
  <c r="E1538" i="4" a="1"/>
  <c r="E1538" i="4" s="1"/>
  <c r="E1537" i="4" a="1"/>
  <c r="E1537" i="4" s="1"/>
  <c r="E1536" i="4" a="1"/>
  <c r="E1536" i="4" s="1"/>
  <c r="E1535" i="4" a="1"/>
  <c r="E1535" i="4" s="1"/>
  <c r="E1534" i="4" a="1"/>
  <c r="E1534" i="4" s="1"/>
  <c r="E1533" i="4" a="1"/>
  <c r="E1533" i="4" s="1"/>
  <c r="E1532" i="4" a="1"/>
  <c r="E1532" i="4" s="1"/>
  <c r="E1531" i="4" a="1"/>
  <c r="E1531" i="4" s="1"/>
  <c r="E1530" i="4" a="1"/>
  <c r="E1530" i="4" s="1"/>
  <c r="E1529" i="4" a="1"/>
  <c r="E1529" i="4" s="1"/>
  <c r="E1528" i="4" a="1"/>
  <c r="E1528" i="4" s="1"/>
  <c r="E1527" i="4" a="1"/>
  <c r="E1527" i="4" s="1"/>
  <c r="E1526" i="4" a="1"/>
  <c r="E1526" i="4" s="1"/>
  <c r="E1525" i="4" a="1"/>
  <c r="E1525" i="4" s="1"/>
  <c r="E1524" i="4" a="1"/>
  <c r="E1524" i="4" s="1"/>
  <c r="E1523" i="4" a="1"/>
  <c r="E1523" i="4" s="1"/>
  <c r="E1522" i="4" a="1"/>
  <c r="E1522" i="4" s="1"/>
  <c r="E1521" i="4" a="1"/>
  <c r="E1521" i="4" s="1"/>
  <c r="E1519" i="4" a="1"/>
  <c r="E1519" i="4" s="1"/>
  <c r="E1518" i="4" a="1"/>
  <c r="E1518" i="4" s="1"/>
  <c r="E1517" i="4" a="1"/>
  <c r="E1517" i="4" s="1"/>
  <c r="E1516" i="4" a="1"/>
  <c r="E1516" i="4" s="1"/>
  <c r="E1515" i="4" a="1"/>
  <c r="E1515" i="4" s="1"/>
  <c r="E1514" i="4" a="1"/>
  <c r="E1514" i="4" s="1"/>
  <c r="E1513" i="4" a="1"/>
  <c r="E1513" i="4" s="1"/>
  <c r="E1512" i="4" a="1"/>
  <c r="E1512" i="4" s="1"/>
  <c r="E1511" i="4" a="1"/>
  <c r="E1511" i="4" s="1"/>
  <c r="E1510" i="4" a="1"/>
  <c r="E1510" i="4" s="1"/>
  <c r="E1509" i="4" a="1"/>
  <c r="E1509" i="4" s="1"/>
  <c r="E1508" i="4" a="1"/>
  <c r="E1508" i="4" s="1"/>
  <c r="E1507" i="4" a="1"/>
  <c r="E1507" i="4" s="1"/>
  <c r="E1506" i="4" a="1"/>
  <c r="E1506" i="4" s="1"/>
  <c r="E1505" i="4" a="1"/>
  <c r="E1505" i="4" s="1"/>
  <c r="E1504" i="4" a="1"/>
  <c r="E1504" i="4" s="1"/>
  <c r="E1503" i="4" a="1"/>
  <c r="E1503" i="4" s="1"/>
  <c r="E1502" i="4" a="1"/>
  <c r="E1502" i="4" s="1"/>
  <c r="E1501" i="4" a="1"/>
  <c r="E1501" i="4" s="1"/>
  <c r="E1500" i="4" a="1"/>
  <c r="E1500" i="4" s="1"/>
  <c r="E1499" i="4" a="1"/>
  <c r="E1499" i="4" s="1"/>
  <c r="E1498" i="4" a="1"/>
  <c r="E1498" i="4" s="1"/>
  <c r="E1497" i="4" a="1"/>
  <c r="E1497" i="4" s="1"/>
  <c r="E1496" i="4" a="1"/>
  <c r="E1496" i="4" s="1"/>
  <c r="E1495" i="4" a="1"/>
  <c r="E1495" i="4" s="1"/>
  <c r="E1493" i="4" a="1"/>
  <c r="E1493" i="4" s="1"/>
  <c r="E1492" i="4" a="1"/>
  <c r="E1492" i="4" s="1"/>
  <c r="E1491" i="4" a="1"/>
  <c r="E1491" i="4" s="1"/>
  <c r="E1490" i="4" a="1"/>
  <c r="E1490" i="4" s="1"/>
  <c r="E1489" i="4" a="1"/>
  <c r="E1489" i="4" s="1"/>
  <c r="E1488" i="4" a="1"/>
  <c r="E1488" i="4" s="1"/>
  <c r="E1487" i="4" a="1"/>
  <c r="E1487" i="4" s="1"/>
  <c r="E1486" i="4" a="1"/>
  <c r="E1486" i="4" s="1"/>
  <c r="E1485" i="4" a="1"/>
  <c r="E1485" i="4" s="1"/>
  <c r="E1484" i="4" a="1"/>
  <c r="E1484" i="4" s="1"/>
  <c r="E1483" i="4" a="1"/>
  <c r="E1483" i="4" s="1"/>
  <c r="E1482" i="4" a="1"/>
  <c r="E1482" i="4" s="1"/>
  <c r="E1481" i="4" a="1"/>
  <c r="E1481" i="4" s="1"/>
  <c r="E1480" i="4" a="1"/>
  <c r="E1480" i="4" s="1"/>
  <c r="E1479" i="4" a="1"/>
  <c r="E1479" i="4" s="1"/>
  <c r="E1478" i="4" a="1"/>
  <c r="E1478" i="4" s="1"/>
  <c r="E1477" i="4" a="1"/>
  <c r="E1477" i="4" s="1"/>
  <c r="E1476" i="4" a="1"/>
  <c r="E1476" i="4" s="1"/>
  <c r="E1475" i="4" a="1"/>
  <c r="E1475" i="4" s="1"/>
  <c r="E1474" i="4" a="1"/>
  <c r="E1474" i="4" s="1"/>
  <c r="E1473" i="4" a="1"/>
  <c r="E1473" i="4" s="1"/>
  <c r="E1472" i="4" a="1"/>
  <c r="E1472" i="4" s="1"/>
  <c r="E1471" i="4" a="1"/>
  <c r="E1471" i="4" s="1"/>
  <c r="E1470" i="4" a="1"/>
  <c r="E1470" i="4" s="1"/>
  <c r="E1469" i="4" a="1"/>
  <c r="E1469" i="4" s="1"/>
  <c r="E1468" i="4" a="1"/>
  <c r="E1468" i="4" s="1"/>
  <c r="E1467" i="4" a="1"/>
  <c r="E1467" i="4" s="1"/>
  <c r="E1466" i="4" a="1"/>
  <c r="E1466" i="4" s="1"/>
  <c r="E1465" i="4" a="1"/>
  <c r="E1465" i="4" s="1"/>
  <c r="E1464" i="4" a="1"/>
  <c r="E1464" i="4" s="1"/>
  <c r="E1463" i="4" a="1"/>
  <c r="E1463" i="4" s="1"/>
  <c r="E1462" i="4" a="1"/>
  <c r="E1462" i="4" s="1"/>
  <c r="E1461" i="4" a="1"/>
  <c r="E1461" i="4" s="1"/>
  <c r="E1460" i="4" a="1"/>
  <c r="E1460" i="4" s="1"/>
  <c r="E1459" i="4" a="1"/>
  <c r="E1459" i="4" s="1"/>
  <c r="E1458" i="4" a="1"/>
  <c r="E1458" i="4" s="1"/>
  <c r="E1457" i="4" a="1"/>
  <c r="E1457" i="4" s="1"/>
  <c r="E1456" i="4" a="1"/>
  <c r="E1456" i="4" s="1"/>
  <c r="E1455" i="4" a="1"/>
  <c r="E1455" i="4" s="1"/>
  <c r="E1454" i="4" a="1"/>
  <c r="E1454" i="4" s="1"/>
  <c r="E1453" i="4" a="1"/>
  <c r="E1453" i="4" s="1"/>
  <c r="E1452" i="4" a="1"/>
  <c r="E1452" i="4" s="1"/>
  <c r="E1451" i="4" a="1"/>
  <c r="E1451" i="4" s="1"/>
  <c r="E1450" i="4" a="1"/>
  <c r="E1450" i="4" s="1"/>
  <c r="E1449" i="4" a="1"/>
  <c r="E1449" i="4" s="1"/>
  <c r="E1448" i="4" a="1"/>
  <c r="E1448" i="4" s="1"/>
  <c r="E1447" i="4" a="1"/>
  <c r="E1447" i="4" s="1"/>
  <c r="E1446" i="4" a="1"/>
  <c r="E1446" i="4" s="1"/>
  <c r="E1445" i="4" a="1"/>
  <c r="E1445" i="4" s="1"/>
  <c r="E1444" i="4" a="1"/>
  <c r="E1444" i="4" s="1"/>
  <c r="E1443" i="4" a="1"/>
  <c r="E1443" i="4" s="1"/>
  <c r="E1442" i="4" a="1"/>
  <c r="E1442" i="4" s="1"/>
  <c r="E1441" i="4" a="1"/>
  <c r="E1441" i="4" s="1"/>
  <c r="E1440" i="4" a="1"/>
  <c r="E1440" i="4" s="1"/>
  <c r="E1439" i="4" a="1"/>
  <c r="E1439" i="4" s="1"/>
  <c r="E1438" i="4" a="1"/>
  <c r="E1438" i="4" s="1"/>
  <c r="E1437" i="4" a="1"/>
  <c r="E1437" i="4" s="1"/>
  <c r="E1436" i="4" a="1"/>
  <c r="E1436" i="4" s="1"/>
  <c r="E1435" i="4" a="1"/>
  <c r="E1435" i="4" s="1"/>
  <c r="E1434" i="4" a="1"/>
  <c r="E1434" i="4" s="1"/>
  <c r="E1433" i="4" a="1"/>
  <c r="E1433" i="4" s="1"/>
  <c r="E1432" i="4" a="1"/>
  <c r="E1432" i="4" s="1"/>
  <c r="E1431" i="4" a="1"/>
  <c r="E1431" i="4" s="1"/>
  <c r="E1430" i="4" a="1"/>
  <c r="E1430" i="4" s="1"/>
  <c r="E1429" i="4" a="1"/>
  <c r="E1429" i="4" s="1"/>
  <c r="E1428" i="4" a="1"/>
  <c r="E1428" i="4" s="1"/>
  <c r="E1427" i="4" a="1"/>
  <c r="E1427" i="4" s="1"/>
  <c r="E1426" i="4" a="1"/>
  <c r="E1426" i="4" s="1"/>
  <c r="E1425" i="4" a="1"/>
  <c r="E1425" i="4" s="1"/>
  <c r="E1424" i="4" a="1"/>
  <c r="E1424" i="4" s="1"/>
  <c r="E1423" i="4" a="1"/>
  <c r="E1423" i="4" s="1"/>
  <c r="E1422" i="4" a="1"/>
  <c r="E1422" i="4" s="1"/>
  <c r="E1421" i="4" a="1"/>
  <c r="E1421" i="4" s="1"/>
  <c r="E1420" i="4" a="1"/>
  <c r="E1420" i="4" s="1"/>
  <c r="E1419" i="4" a="1"/>
  <c r="E1419" i="4" s="1"/>
  <c r="E1417" i="4" a="1"/>
  <c r="E1417" i="4" s="1"/>
  <c r="E1416" i="4" a="1"/>
  <c r="E1416" i="4" s="1"/>
  <c r="E1415" i="4" a="1"/>
  <c r="E1415" i="4" s="1"/>
  <c r="E1414" i="4" a="1"/>
  <c r="E1414" i="4" s="1"/>
  <c r="E1413" i="4" a="1"/>
  <c r="E1413" i="4" s="1"/>
  <c r="E1412" i="4" a="1"/>
  <c r="E1412" i="4" s="1"/>
  <c r="E1411" i="4" a="1"/>
  <c r="E1411" i="4" s="1"/>
  <c r="E1410" i="4" a="1"/>
  <c r="E1410" i="4" s="1"/>
  <c r="E1409" i="4" a="1"/>
  <c r="E1409" i="4" s="1"/>
  <c r="E1407" i="4" a="1"/>
  <c r="E1407" i="4" s="1"/>
  <c r="E1406" i="4" a="1"/>
  <c r="E1406" i="4" s="1"/>
  <c r="E1405" i="4" a="1"/>
  <c r="E1405" i="4" s="1"/>
  <c r="E1404" i="4" a="1"/>
  <c r="E1404" i="4" s="1"/>
  <c r="E1403" i="4" a="1"/>
  <c r="E1403" i="4" s="1"/>
  <c r="E1402" i="4" a="1"/>
  <c r="E1402" i="4" s="1"/>
  <c r="E1401" i="4" a="1"/>
  <c r="E1401" i="4" s="1"/>
  <c r="E1400" i="4" a="1"/>
  <c r="E1400" i="4" s="1"/>
  <c r="E1399" i="4" a="1"/>
  <c r="E1399" i="4" s="1"/>
  <c r="E1398" i="4" a="1"/>
  <c r="E1398" i="4" s="1"/>
  <c r="E1397" i="4" a="1"/>
  <c r="E1397" i="4" s="1"/>
  <c r="E1396" i="4" a="1"/>
  <c r="E1396" i="4" s="1"/>
  <c r="E1395" i="4" a="1"/>
  <c r="E1395" i="4" s="1"/>
  <c r="E1394" i="4" a="1"/>
  <c r="E1394" i="4" s="1"/>
  <c r="E1393" i="4" a="1"/>
  <c r="E1393" i="4" s="1"/>
  <c r="E1392" i="4" a="1"/>
  <c r="E1392" i="4" s="1"/>
  <c r="E1391" i="4" a="1"/>
  <c r="E1391" i="4" s="1"/>
  <c r="E1390" i="4" a="1"/>
  <c r="E1390" i="4" s="1"/>
  <c r="E1389" i="4" a="1"/>
  <c r="E1389" i="4" s="1"/>
  <c r="E1388" i="4" a="1"/>
  <c r="E1388" i="4" s="1"/>
  <c r="E1387" i="4" a="1"/>
  <c r="E1387" i="4" s="1"/>
  <c r="E1386" i="4" a="1"/>
  <c r="E1386" i="4" s="1"/>
  <c r="E1384" i="4" a="1"/>
  <c r="E1384" i="4" s="1"/>
  <c r="E1383" i="4" a="1"/>
  <c r="E1383" i="4" s="1"/>
  <c r="E1382" i="4" a="1"/>
  <c r="E1382" i="4" s="1"/>
  <c r="E1381" i="4" a="1"/>
  <c r="E1381" i="4" s="1"/>
  <c r="E1380" i="4" a="1"/>
  <c r="E1380" i="4" s="1"/>
  <c r="E1379" i="4" a="1"/>
  <c r="E1379" i="4" s="1"/>
  <c r="E1378" i="4" a="1"/>
  <c r="E1378" i="4" s="1"/>
  <c r="E1377" i="4" a="1"/>
  <c r="E1377" i="4" s="1"/>
  <c r="E1376" i="4" a="1"/>
  <c r="E1376" i="4" s="1"/>
  <c r="E1375" i="4" a="1"/>
  <c r="E1375" i="4" s="1"/>
  <c r="E1374" i="4" a="1"/>
  <c r="E1374" i="4" s="1"/>
  <c r="E1373" i="4" a="1"/>
  <c r="E1373" i="4" s="1"/>
  <c r="E1372" i="4" a="1"/>
  <c r="E1372" i="4" s="1"/>
  <c r="E1371" i="4" a="1"/>
  <c r="E1371" i="4" s="1"/>
  <c r="E1370" i="4" a="1"/>
  <c r="E1370" i="4" s="1"/>
  <c r="E1369" i="4" a="1"/>
  <c r="E1369" i="4" s="1"/>
  <c r="E1368" i="4" a="1"/>
  <c r="E1368" i="4" s="1"/>
  <c r="E1367" i="4" a="1"/>
  <c r="E1367" i="4" s="1"/>
  <c r="E1366" i="4" a="1"/>
  <c r="E1366" i="4" s="1"/>
  <c r="E1365" i="4" a="1"/>
  <c r="E1365" i="4" s="1"/>
  <c r="E1364" i="4" a="1"/>
  <c r="E1364" i="4" s="1"/>
  <c r="E1363" i="4" a="1"/>
  <c r="E1363" i="4" s="1"/>
  <c r="E1362" i="4" a="1"/>
  <c r="E1362" i="4" s="1"/>
  <c r="E1361" i="4" a="1"/>
  <c r="E1361" i="4" s="1"/>
  <c r="E1360" i="4" a="1"/>
  <c r="E1360" i="4" s="1"/>
  <c r="E1359" i="4" a="1"/>
  <c r="E1359" i="4" s="1"/>
  <c r="E1358" i="4" a="1"/>
  <c r="E1358" i="4" s="1"/>
  <c r="E1357" i="4" a="1"/>
  <c r="E1357" i="4" s="1"/>
  <c r="E1356" i="4" a="1"/>
  <c r="E1356" i="4" s="1"/>
  <c r="E1353" i="4" a="1"/>
  <c r="E1353" i="4" s="1"/>
  <c r="E1352" i="4" a="1"/>
  <c r="E1352" i="4" s="1"/>
  <c r="E1351" i="4" a="1"/>
  <c r="E1351" i="4" s="1"/>
  <c r="E1350" i="4" a="1"/>
  <c r="E1350" i="4" s="1"/>
  <c r="E1349" i="4" a="1"/>
  <c r="E1349" i="4" s="1"/>
  <c r="E1347" i="4" a="1"/>
  <c r="E1347" i="4" s="1"/>
  <c r="E1346" i="4" a="1"/>
  <c r="E1346" i="4" s="1"/>
  <c r="E1345" i="4" a="1"/>
  <c r="E1345" i="4" s="1"/>
  <c r="E1344" i="4" a="1"/>
  <c r="E1344" i="4" s="1"/>
  <c r="E1343" i="4" a="1"/>
  <c r="E1343" i="4" s="1"/>
  <c r="E1342" i="4" a="1"/>
  <c r="E1342" i="4" s="1"/>
  <c r="E1341" i="4" a="1"/>
  <c r="E1341" i="4" s="1"/>
  <c r="E1340" i="4" a="1"/>
  <c r="E1340" i="4" s="1"/>
  <c r="E1339" i="4" a="1"/>
  <c r="E1339" i="4" s="1"/>
  <c r="E1338" i="4" a="1"/>
  <c r="E1338" i="4" s="1"/>
  <c r="E1337" i="4" a="1"/>
  <c r="E1337" i="4" s="1"/>
  <c r="E1336" i="4" a="1"/>
  <c r="E1336" i="4" s="1"/>
  <c r="E1335" i="4" a="1"/>
  <c r="E1335" i="4" s="1"/>
  <c r="E1334" i="4" a="1"/>
  <c r="E1334" i="4" s="1"/>
  <c r="E1333" i="4" a="1"/>
  <c r="E1333" i="4" s="1"/>
  <c r="E1332" i="4" a="1"/>
  <c r="E1332" i="4" s="1"/>
  <c r="E1331" i="4" a="1"/>
  <c r="E1331" i="4" s="1"/>
  <c r="E1330" i="4" a="1"/>
  <c r="E1330" i="4" s="1"/>
  <c r="E1329" i="4" a="1"/>
  <c r="E1329" i="4" s="1"/>
  <c r="E1328" i="4" a="1"/>
  <c r="E1328" i="4" s="1"/>
  <c r="E1327" i="4" a="1"/>
  <c r="E1327" i="4" s="1"/>
  <c r="E1326" i="4" a="1"/>
  <c r="E1326" i="4" s="1"/>
  <c r="E1325" i="4" a="1"/>
  <c r="E1325" i="4" s="1"/>
  <c r="E1324" i="4" a="1"/>
  <c r="E1324" i="4" s="1"/>
  <c r="E1323" i="4" a="1"/>
  <c r="E1323" i="4" s="1"/>
  <c r="E1322" i="4" a="1"/>
  <c r="E1322" i="4" s="1"/>
  <c r="E1321" i="4" a="1"/>
  <c r="E1321" i="4" s="1"/>
  <c r="E1320" i="4" a="1"/>
  <c r="E1320" i="4" s="1"/>
  <c r="E1319" i="4" a="1"/>
  <c r="E1319" i="4" s="1"/>
  <c r="E1318" i="4" a="1"/>
  <c r="E1318" i="4" s="1"/>
  <c r="E1317" i="4" a="1"/>
  <c r="E1317" i="4" s="1"/>
  <c r="E1316" i="4" a="1"/>
  <c r="E1316" i="4" s="1"/>
  <c r="E1315" i="4" a="1"/>
  <c r="E1315" i="4" s="1"/>
  <c r="E1314" i="4" a="1"/>
  <c r="E1314" i="4" s="1"/>
  <c r="E1313" i="4" a="1"/>
  <c r="E1313" i="4" s="1"/>
  <c r="E1312" i="4" a="1"/>
  <c r="E1312" i="4" s="1"/>
  <c r="E1311" i="4" a="1"/>
  <c r="E1311" i="4" s="1"/>
  <c r="E1310" i="4" a="1"/>
  <c r="E1310" i="4" s="1"/>
  <c r="E1309" i="4" a="1"/>
  <c r="E1309" i="4" s="1"/>
  <c r="E1308" i="4" a="1"/>
  <c r="E1308" i="4" s="1"/>
  <c r="E1304" i="4" a="1"/>
  <c r="E1304" i="4" s="1"/>
  <c r="E1303" i="4" a="1"/>
  <c r="E1303" i="4" s="1"/>
  <c r="E1302" i="4" a="1"/>
  <c r="E1302" i="4" s="1"/>
  <c r="E1301" i="4" a="1"/>
  <c r="E1301" i="4" s="1"/>
  <c r="E1300" i="4" a="1"/>
  <c r="E1300" i="4" s="1"/>
  <c r="E1292" i="4" a="1"/>
  <c r="E1292" i="4" s="1"/>
  <c r="E1291" i="4" a="1"/>
  <c r="E1291" i="4" s="1"/>
  <c r="E1290" i="4" a="1"/>
  <c r="E1290" i="4" s="1"/>
  <c r="E1287" i="4" a="1"/>
  <c r="E1287" i="4" s="1"/>
  <c r="E1286" i="4" a="1"/>
  <c r="E1286" i="4" s="1"/>
  <c r="E1285" i="4" a="1"/>
  <c r="E1285" i="4" s="1"/>
  <c r="E1284" i="4" a="1"/>
  <c r="E1284" i="4" s="1"/>
  <c r="E1283" i="4" a="1"/>
  <c r="E1283" i="4" s="1"/>
  <c r="E1282" i="4" a="1"/>
  <c r="E1282" i="4" s="1"/>
  <c r="E1281" i="4" a="1"/>
  <c r="E1281" i="4" s="1"/>
  <c r="E1279" i="4" a="1"/>
  <c r="E1279" i="4" s="1"/>
  <c r="E1278" i="4" a="1"/>
  <c r="E1278" i="4" s="1"/>
  <c r="E1277" i="4" a="1"/>
  <c r="E1277" i="4" s="1"/>
  <c r="E1276" i="4" a="1"/>
  <c r="E1276" i="4" s="1"/>
  <c r="E1275" i="4" a="1"/>
  <c r="E1275" i="4" s="1"/>
  <c r="E1274" i="4" a="1"/>
  <c r="E1274" i="4" s="1"/>
  <c r="E1273" i="4" a="1"/>
  <c r="E1273" i="4" s="1"/>
  <c r="E1272" i="4" a="1"/>
  <c r="E1272" i="4" s="1"/>
  <c r="E1271" i="4" a="1"/>
  <c r="E1271" i="4" s="1"/>
  <c r="E1270" i="4" a="1"/>
  <c r="E1270" i="4" s="1"/>
  <c r="E1269" i="4" a="1"/>
  <c r="E1269" i="4" s="1"/>
  <c r="E1266" i="4" a="1"/>
  <c r="E1266" i="4" s="1"/>
  <c r="E1265" i="4" a="1"/>
  <c r="E1265" i="4" s="1"/>
  <c r="E1264" i="4" a="1"/>
  <c r="E1264" i="4" s="1"/>
  <c r="E1263" i="4" a="1"/>
  <c r="E1263" i="4" s="1"/>
  <c r="E1262" i="4" a="1"/>
  <c r="E1262" i="4" s="1"/>
  <c r="E1261" i="4" a="1"/>
  <c r="E1261" i="4" s="1"/>
  <c r="E1260" i="4" a="1"/>
  <c r="E1260" i="4" s="1"/>
  <c r="E1259" i="4" a="1"/>
  <c r="E1259" i="4" s="1"/>
  <c r="E1256" i="4" a="1"/>
  <c r="E1256" i="4" s="1"/>
  <c r="E1255" i="4" a="1"/>
  <c r="E1255" i="4" s="1"/>
  <c r="E1254" i="4" a="1"/>
  <c r="E1254" i="4" s="1"/>
  <c r="E1253" i="4" a="1"/>
  <c r="E1253" i="4" s="1"/>
  <c r="E1249" i="4" a="1"/>
  <c r="E1249" i="4" s="1"/>
  <c r="E1248" i="4" a="1"/>
  <c r="E1248" i="4" s="1"/>
  <c r="E1247" i="4" a="1"/>
  <c r="E1247" i="4" s="1"/>
  <c r="E1246" i="4" a="1"/>
  <c r="E1246" i="4" s="1"/>
  <c r="E1243" i="4" a="1"/>
  <c r="E1243" i="4" s="1"/>
  <c r="E1236" i="4" a="1"/>
  <c r="E1236" i="4" s="1"/>
  <c r="E1235" i="4" a="1"/>
  <c r="E1235" i="4" s="1"/>
  <c r="E1234" i="4" a="1"/>
  <c r="E1234" i="4" s="1"/>
  <c r="E1233" i="4" a="1"/>
  <c r="E1233" i="4" s="1"/>
  <c r="E1232" i="4" a="1"/>
  <c r="E1232" i="4" s="1"/>
  <c r="E1231" i="4" a="1"/>
  <c r="E1231" i="4" s="1"/>
  <c r="E1230" i="4" a="1"/>
  <c r="E1230" i="4" s="1"/>
  <c r="E1229" i="4" a="1"/>
  <c r="E1229" i="4" s="1"/>
  <c r="E1228" i="4" a="1"/>
  <c r="E1228" i="4" s="1"/>
  <c r="E1226" i="4" a="1"/>
  <c r="E1226" i="4" s="1"/>
  <c r="E1225" i="4" a="1"/>
  <c r="E1225" i="4" s="1"/>
  <c r="E1224" i="4" a="1"/>
  <c r="E1224" i="4" s="1"/>
  <c r="E1223" i="4" a="1"/>
  <c r="E1223" i="4" s="1"/>
  <c r="E1220" i="4" a="1"/>
  <c r="E1220" i="4" s="1"/>
  <c r="E1219" i="4" a="1"/>
  <c r="E1219" i="4" s="1"/>
  <c r="E1218" i="4" a="1"/>
  <c r="E1218" i="4" s="1"/>
  <c r="E1217" i="4" a="1"/>
  <c r="E1217" i="4" s="1"/>
  <c r="E1216" i="4" a="1"/>
  <c r="E1216" i="4" s="1"/>
  <c r="E1215" i="4" a="1"/>
  <c r="E1215" i="4" s="1"/>
  <c r="E1214" i="4" a="1"/>
  <c r="E1214" i="4" s="1"/>
  <c r="E1212" i="4" a="1"/>
  <c r="E1212" i="4" s="1"/>
  <c r="E1211" i="4" a="1"/>
  <c r="E1211" i="4" s="1"/>
  <c r="E1210" i="4" a="1"/>
  <c r="E1210" i="4" s="1"/>
  <c r="E1209" i="4" a="1"/>
  <c r="E1209" i="4" s="1"/>
  <c r="E1207" i="4" a="1"/>
  <c r="E1207" i="4" s="1"/>
  <c r="E1206" i="4" a="1"/>
  <c r="E1206" i="4" s="1"/>
  <c r="E1205" i="4" a="1"/>
  <c r="E1205" i="4" s="1"/>
  <c r="E1204" i="4" a="1"/>
  <c r="E1204" i="4" s="1"/>
  <c r="E1203" i="4" a="1"/>
  <c r="E1203" i="4" s="1"/>
  <c r="E1202" i="4" a="1"/>
  <c r="E1202" i="4" s="1"/>
  <c r="E1201" i="4" a="1"/>
  <c r="E1201" i="4" s="1"/>
  <c r="E1200" i="4" a="1"/>
  <c r="E1200" i="4" s="1"/>
  <c r="E1199" i="4" a="1"/>
  <c r="E1199" i="4" s="1"/>
  <c r="E1198" i="4" a="1"/>
  <c r="E1198" i="4" s="1"/>
  <c r="E1197" i="4" a="1"/>
  <c r="E1197" i="4" s="1"/>
  <c r="E1196" i="4" a="1"/>
  <c r="E1196" i="4" s="1"/>
  <c r="E1195" i="4" a="1"/>
  <c r="E1195" i="4" s="1"/>
  <c r="E1194" i="4" a="1"/>
  <c r="E1194" i="4" s="1"/>
  <c r="E1193" i="4" a="1"/>
  <c r="E1193" i="4" s="1"/>
  <c r="E1192" i="4" a="1"/>
  <c r="E1192" i="4" s="1"/>
  <c r="E1191" i="4" a="1"/>
  <c r="E1191" i="4" s="1"/>
  <c r="E1190" i="4" a="1"/>
  <c r="E1190" i="4" s="1"/>
  <c r="E1189" i="4" a="1"/>
  <c r="E1189" i="4" s="1"/>
  <c r="E1188" i="4" a="1"/>
  <c r="E1188" i="4" s="1"/>
  <c r="E1187" i="4" a="1"/>
  <c r="E1187" i="4" s="1"/>
  <c r="E1186" i="4" a="1"/>
  <c r="E1186" i="4" s="1"/>
  <c r="E1185" i="4" a="1"/>
  <c r="E1185" i="4" s="1"/>
  <c r="E1184" i="4" a="1"/>
  <c r="E1184" i="4" s="1"/>
  <c r="E1183" i="4" a="1"/>
  <c r="E1183" i="4" s="1"/>
  <c r="E1182" i="4" a="1"/>
  <c r="E1182" i="4" s="1"/>
  <c r="E1181" i="4" a="1"/>
  <c r="E1181" i="4" s="1"/>
  <c r="E1180" i="4" a="1"/>
  <c r="E1180" i="4" s="1"/>
  <c r="E1179" i="4" a="1"/>
  <c r="E1179" i="4" s="1"/>
  <c r="E1178" i="4" a="1"/>
  <c r="E1178" i="4" s="1"/>
  <c r="E1177" i="4" a="1"/>
  <c r="E1177" i="4" s="1"/>
  <c r="E1176" i="4" a="1"/>
  <c r="E1176" i="4" s="1"/>
  <c r="E1175" i="4" a="1"/>
  <c r="E1175" i="4" s="1"/>
  <c r="E1174" i="4" a="1"/>
  <c r="E1174" i="4" s="1"/>
  <c r="E1173" i="4" a="1"/>
  <c r="E1173" i="4" s="1"/>
  <c r="E1172" i="4" a="1"/>
  <c r="E1172" i="4" s="1"/>
  <c r="E1171" i="4" a="1"/>
  <c r="E1171" i="4" s="1"/>
  <c r="E1169" i="4" a="1"/>
  <c r="E1169" i="4" s="1"/>
  <c r="E1168" i="4" a="1"/>
  <c r="E1168" i="4" s="1"/>
  <c r="E1167" i="4" a="1"/>
  <c r="E1167" i="4" s="1"/>
  <c r="E1166" i="4" a="1"/>
  <c r="E1166" i="4" s="1"/>
  <c r="E1165" i="4" a="1"/>
  <c r="E1165" i="4" s="1"/>
  <c r="E1164" i="4" a="1"/>
  <c r="E1164" i="4" s="1"/>
  <c r="E1163" i="4" a="1"/>
  <c r="E1163" i="4" s="1"/>
  <c r="E1162" i="4" a="1"/>
  <c r="E1162" i="4" s="1"/>
  <c r="E1161" i="4" a="1"/>
  <c r="E1161" i="4" s="1"/>
  <c r="E1160" i="4" a="1"/>
  <c r="E1160" i="4" s="1"/>
  <c r="E1159" i="4" a="1"/>
  <c r="E1159" i="4" s="1"/>
  <c r="E1158" i="4" a="1"/>
  <c r="E1158" i="4" s="1"/>
  <c r="E1156" i="4" a="1"/>
  <c r="E1156" i="4" s="1"/>
  <c r="E1154" i="4" a="1"/>
  <c r="E1154" i="4" s="1"/>
  <c r="E1153" i="4" a="1"/>
  <c r="E1153" i="4" s="1"/>
  <c r="E1152" i="4" a="1"/>
  <c r="E1152" i="4" s="1"/>
  <c r="E1151" i="4" a="1"/>
  <c r="E1151" i="4" s="1"/>
  <c r="E1150" i="4" a="1"/>
  <c r="E1150" i="4" s="1"/>
  <c r="E1149" i="4" a="1"/>
  <c r="E1149" i="4" s="1"/>
  <c r="E1148" i="4" a="1"/>
  <c r="E1148" i="4" s="1"/>
  <c r="E1147" i="4" a="1"/>
  <c r="E1147" i="4" s="1"/>
  <c r="E1146" i="4" a="1"/>
  <c r="E1146" i="4" s="1"/>
  <c r="E1144" i="4" a="1"/>
  <c r="E1144" i="4" s="1"/>
  <c r="E1139" i="4" a="1"/>
  <c r="E1139" i="4" s="1"/>
  <c r="E1138" i="4" a="1"/>
  <c r="E1138" i="4" s="1"/>
  <c r="E1137" i="4" a="1"/>
  <c r="E1137" i="4" s="1"/>
  <c r="E1134" i="4" a="1"/>
  <c r="E1134" i="4" s="1"/>
  <c r="E1133" i="4" a="1"/>
  <c r="E1133" i="4" s="1"/>
  <c r="E1130" i="4" a="1"/>
  <c r="E1130" i="4" s="1"/>
  <c r="E1124" i="4" a="1"/>
  <c r="E1124" i="4" s="1"/>
  <c r="E1121" i="4" a="1"/>
  <c r="E1121" i="4" s="1"/>
  <c r="E1120" i="4" a="1"/>
  <c r="E1120" i="4" s="1"/>
  <c r="E1119" i="4" a="1"/>
  <c r="E1119" i="4" s="1"/>
  <c r="E1118" i="4" a="1"/>
  <c r="E1118" i="4" s="1"/>
  <c r="E1114" i="4" a="1"/>
  <c r="E1114" i="4" s="1"/>
  <c r="E1113" i="4" a="1"/>
  <c r="E1113" i="4" s="1"/>
  <c r="E1112" i="4" a="1"/>
  <c r="E1112" i="4" s="1"/>
  <c r="E1111" i="4" a="1"/>
  <c r="E1111" i="4" s="1"/>
  <c r="E1110" i="4" a="1"/>
  <c r="E1110" i="4" s="1"/>
  <c r="E1109" i="4" a="1"/>
  <c r="E1109" i="4" s="1"/>
  <c r="E1108" i="4" a="1"/>
  <c r="E1108" i="4" s="1"/>
  <c r="E1107" i="4" a="1"/>
  <c r="E1107" i="4" s="1"/>
  <c r="E1106" i="4" a="1"/>
  <c r="E1106" i="4" s="1"/>
  <c r="E1105" i="4" a="1"/>
  <c r="E1105" i="4" s="1"/>
  <c r="E1104" i="4" a="1"/>
  <c r="E1104" i="4" s="1"/>
  <c r="E1103" i="4" a="1"/>
  <c r="E1103" i="4" s="1"/>
  <c r="E1102" i="4" a="1"/>
  <c r="E1102" i="4" s="1"/>
  <c r="E1101" i="4" a="1"/>
  <c r="E1101" i="4" s="1"/>
  <c r="E1100" i="4" a="1"/>
  <c r="E1100" i="4" s="1"/>
  <c r="E1099" i="4" a="1"/>
  <c r="E1099" i="4" s="1"/>
  <c r="E1098" i="4" a="1"/>
  <c r="E1098" i="4" s="1"/>
  <c r="E1097" i="4" a="1"/>
  <c r="E1097" i="4" s="1"/>
  <c r="E1096" i="4" a="1"/>
  <c r="E1096" i="4" s="1"/>
  <c r="E1095" i="4" a="1"/>
  <c r="E1095" i="4" s="1"/>
  <c r="E1093" i="4" a="1"/>
  <c r="E1093" i="4" s="1"/>
  <c r="E1091" i="4" a="1"/>
  <c r="E1091" i="4" s="1"/>
  <c r="E1089" i="4" a="1"/>
  <c r="E1089" i="4" s="1"/>
  <c r="E1088" i="4" a="1"/>
  <c r="E1088" i="4" s="1"/>
  <c r="E1087" i="4" a="1"/>
  <c r="E1087" i="4" s="1"/>
  <c r="E1086" i="4" a="1"/>
  <c r="E1086" i="4" s="1"/>
  <c r="E1085" i="4" a="1"/>
  <c r="E1085" i="4" s="1"/>
  <c r="E1083" i="4" a="1"/>
  <c r="E1083" i="4" s="1"/>
  <c r="E1082" i="4" a="1"/>
  <c r="E1082" i="4" s="1"/>
  <c r="E1081" i="4" a="1"/>
  <c r="E1081" i="4" s="1"/>
  <c r="E1080" i="4" a="1"/>
  <c r="E1080" i="4" s="1"/>
  <c r="E1079" i="4" a="1"/>
  <c r="E1079" i="4" s="1"/>
  <c r="E1078" i="4" a="1"/>
  <c r="E1078" i="4" s="1"/>
  <c r="E1077" i="4" a="1"/>
  <c r="E1077" i="4" s="1"/>
  <c r="E1076" i="4" a="1"/>
  <c r="E1076" i="4" s="1"/>
  <c r="E1075" i="4" a="1"/>
  <c r="E1075" i="4" s="1"/>
  <c r="E1074" i="4" a="1"/>
  <c r="E1074" i="4" s="1"/>
  <c r="E1073" i="4" a="1"/>
  <c r="E1073" i="4" s="1"/>
  <c r="E1071" i="4" a="1"/>
  <c r="E1071" i="4" s="1"/>
  <c r="E1068" i="4" a="1"/>
  <c r="E1068" i="4" s="1"/>
  <c r="E1067" i="4" a="1"/>
  <c r="E1067" i="4" s="1"/>
  <c r="E1066" i="4" a="1"/>
  <c r="E1066" i="4" s="1"/>
  <c r="E1065" i="4" a="1"/>
  <c r="E1065" i="4" s="1"/>
  <c r="E1064" i="4" a="1"/>
  <c r="E1064" i="4" s="1"/>
  <c r="E1063" i="4" a="1"/>
  <c r="E1063" i="4" s="1"/>
  <c r="E1062" i="4" a="1"/>
  <c r="E1062" i="4" s="1"/>
  <c r="E1061" i="4" a="1"/>
  <c r="E1061" i="4" s="1"/>
  <c r="E1060" i="4" a="1"/>
  <c r="E1060" i="4" s="1"/>
  <c r="E1059" i="4" a="1"/>
  <c r="E1059" i="4" s="1"/>
  <c r="E1058" i="4" a="1"/>
  <c r="E1058" i="4" s="1"/>
  <c r="E1057" i="4" a="1"/>
  <c r="E1057" i="4" s="1"/>
  <c r="E1056" i="4" a="1"/>
  <c r="E1056" i="4" s="1"/>
  <c r="E1054" i="4" a="1"/>
  <c r="E1054" i="4" s="1"/>
  <c r="E1053" i="4" a="1"/>
  <c r="E1053" i="4" s="1"/>
  <c r="E1052" i="4" a="1"/>
  <c r="E1052" i="4" s="1"/>
  <c r="E1051" i="4" a="1"/>
  <c r="E1051" i="4" s="1"/>
  <c r="E1050" i="4" a="1"/>
  <c r="E1050" i="4" s="1"/>
  <c r="E1049" i="4" a="1"/>
  <c r="E1049" i="4" s="1"/>
  <c r="E1048" i="4" a="1"/>
  <c r="E1048" i="4" s="1"/>
  <c r="E1047" i="4" a="1"/>
  <c r="E1047" i="4" s="1"/>
  <c r="E1046" i="4" a="1"/>
  <c r="E1046" i="4" s="1"/>
  <c r="E1045" i="4" a="1"/>
  <c r="E1045" i="4" s="1"/>
  <c r="E1042" i="4" a="1"/>
  <c r="E1042" i="4" s="1"/>
  <c r="E1041" i="4" a="1"/>
  <c r="E1041" i="4" s="1"/>
  <c r="E1040" i="4" a="1"/>
  <c r="E1040" i="4" s="1"/>
  <c r="E1039" i="4" a="1"/>
  <c r="E1039" i="4" s="1"/>
  <c r="E1038" i="4" a="1"/>
  <c r="E1038" i="4" s="1"/>
  <c r="E1037" i="4" a="1"/>
  <c r="E1037" i="4" s="1"/>
  <c r="E1034" i="4" a="1"/>
  <c r="E1034" i="4" s="1"/>
  <c r="E1033" i="4" a="1"/>
  <c r="E1033" i="4" s="1"/>
  <c r="E1032" i="4" a="1"/>
  <c r="E1032" i="4" s="1"/>
  <c r="E1031" i="4" a="1"/>
  <c r="E1031" i="4" s="1"/>
  <c r="E1030" i="4" a="1"/>
  <c r="E1030" i="4" s="1"/>
  <c r="E1029" i="4" a="1"/>
  <c r="E1029" i="4" s="1"/>
  <c r="E1028" i="4" a="1"/>
  <c r="E1028" i="4" s="1"/>
  <c r="E1027" i="4" a="1"/>
  <c r="E1027" i="4" s="1"/>
  <c r="E1026" i="4" a="1"/>
  <c r="E1026" i="4" s="1"/>
  <c r="E1025" i="4" a="1"/>
  <c r="E1025" i="4" s="1"/>
  <c r="E1024" i="4" a="1"/>
  <c r="E1024" i="4" s="1"/>
  <c r="E1023" i="4" a="1"/>
  <c r="E1023" i="4" s="1"/>
  <c r="E1022" i="4" a="1"/>
  <c r="E1022" i="4" s="1"/>
  <c r="E1021" i="4" a="1"/>
  <c r="E1021" i="4" s="1"/>
  <c r="E1020" i="4" a="1"/>
  <c r="E1020" i="4" s="1"/>
  <c r="E1019" i="4" a="1"/>
  <c r="E1019" i="4" s="1"/>
  <c r="E1018" i="4" a="1"/>
  <c r="E1018" i="4" s="1"/>
  <c r="E1017" i="4" a="1"/>
  <c r="E1017" i="4" s="1"/>
  <c r="E1016" i="4" a="1"/>
  <c r="E1016" i="4" s="1"/>
  <c r="E1015" i="4" a="1"/>
  <c r="E1015" i="4" s="1"/>
  <c r="E1014" i="4" a="1"/>
  <c r="E1014" i="4" s="1"/>
  <c r="E1013" i="4" a="1"/>
  <c r="E1013" i="4" s="1"/>
  <c r="E1012" i="4" a="1"/>
  <c r="E1012" i="4" s="1"/>
  <c r="E1011" i="4" a="1"/>
  <c r="E1011" i="4" s="1"/>
  <c r="E1010" i="4" a="1"/>
  <c r="E1010" i="4" s="1"/>
  <c r="E1009" i="4" a="1"/>
  <c r="E1009" i="4" s="1"/>
  <c r="E1008" i="4" a="1"/>
  <c r="E1008" i="4" s="1"/>
  <c r="E1007" i="4" a="1"/>
  <c r="E1007" i="4" s="1"/>
  <c r="E1006" i="4" a="1"/>
  <c r="E1006" i="4" s="1"/>
  <c r="E1004" i="4" a="1"/>
  <c r="E1004" i="4" s="1"/>
  <c r="E1003" i="4" a="1"/>
  <c r="E1003" i="4" s="1"/>
  <c r="E1002" i="4" a="1"/>
  <c r="E1002" i="4" s="1"/>
  <c r="E1001" i="4" a="1"/>
  <c r="E1001" i="4" s="1"/>
  <c r="E1000" i="4" a="1"/>
  <c r="E1000" i="4" s="1"/>
  <c r="E999" i="4" a="1"/>
  <c r="E999" i="4" s="1"/>
  <c r="E998" i="4" a="1"/>
  <c r="E998" i="4" s="1"/>
  <c r="E997" i="4" a="1"/>
  <c r="E997" i="4" s="1"/>
  <c r="E995" i="4" a="1"/>
  <c r="E995" i="4" s="1"/>
  <c r="E994" i="4" a="1"/>
  <c r="E994" i="4" s="1"/>
  <c r="E993" i="4" a="1"/>
  <c r="E993" i="4" s="1"/>
  <c r="E991" i="4" a="1"/>
  <c r="E991" i="4" s="1"/>
  <c r="E990" i="4" a="1"/>
  <c r="E990" i="4" s="1"/>
  <c r="E989" i="4" a="1"/>
  <c r="E989" i="4" s="1"/>
  <c r="E988" i="4" a="1"/>
  <c r="E988" i="4" s="1"/>
  <c r="E987" i="4" a="1"/>
  <c r="E987" i="4" s="1"/>
  <c r="E986" i="4" a="1"/>
  <c r="E986" i="4" s="1"/>
  <c r="E985" i="4" a="1"/>
  <c r="E985" i="4" s="1"/>
  <c r="E984" i="4" a="1"/>
  <c r="E984" i="4" s="1"/>
  <c r="E980" i="4" a="1"/>
  <c r="E980" i="4" s="1"/>
  <c r="E979" i="4" a="1"/>
  <c r="E979" i="4" s="1"/>
  <c r="E977" i="4" a="1"/>
  <c r="E977" i="4" s="1"/>
  <c r="E976" i="4" a="1"/>
  <c r="E976" i="4" s="1"/>
  <c r="E969" i="4" a="1"/>
  <c r="E969" i="4" s="1"/>
  <c r="E968" i="4" a="1"/>
  <c r="E968" i="4" s="1"/>
  <c r="E967" i="4" a="1"/>
  <c r="E967" i="4" s="1"/>
  <c r="E966" i="4" a="1"/>
  <c r="E966" i="4" s="1"/>
  <c r="E965" i="4" a="1"/>
  <c r="E965" i="4" s="1"/>
  <c r="E964" i="4" a="1"/>
  <c r="E964" i="4" s="1"/>
  <c r="E963" i="4" a="1"/>
  <c r="E963" i="4" s="1"/>
  <c r="E962" i="4" a="1"/>
  <c r="E962" i="4" s="1"/>
  <c r="E961" i="4" a="1"/>
  <c r="E961" i="4" s="1"/>
  <c r="E958" i="4" a="1"/>
  <c r="E958" i="4" s="1"/>
  <c r="E957" i="4" a="1"/>
  <c r="E957" i="4" s="1"/>
  <c r="E956" i="4" a="1"/>
  <c r="E956" i="4" s="1"/>
  <c r="E955" i="4" a="1"/>
  <c r="E955" i="4" s="1"/>
  <c r="E954" i="4" a="1"/>
  <c r="E954" i="4" s="1"/>
  <c r="E952" i="4" a="1"/>
  <c r="E952" i="4" s="1"/>
  <c r="E951" i="4" a="1"/>
  <c r="E951" i="4" s="1"/>
  <c r="E950" i="4" a="1"/>
  <c r="E950" i="4" s="1"/>
  <c r="E949" i="4" a="1"/>
  <c r="E949" i="4" s="1"/>
  <c r="E948" i="4" a="1"/>
  <c r="E948" i="4" s="1"/>
  <c r="E947" i="4" a="1"/>
  <c r="E947" i="4" s="1"/>
  <c r="E946" i="4" a="1"/>
  <c r="E946" i="4" s="1"/>
  <c r="E943" i="4" a="1"/>
  <c r="E943" i="4" s="1"/>
  <c r="E937" i="4" a="1"/>
  <c r="E937" i="4" s="1"/>
  <c r="E931" i="4" a="1"/>
  <c r="E931" i="4" s="1"/>
  <c r="E930" i="4" a="1"/>
  <c r="E930" i="4" s="1"/>
  <c r="E928" i="4" a="1"/>
  <c r="E928" i="4" s="1"/>
  <c r="E927" i="4" a="1"/>
  <c r="E927" i="4" s="1"/>
  <c r="E922" i="4" a="1"/>
  <c r="E922" i="4" s="1"/>
  <c r="E921" i="4" a="1"/>
  <c r="E921" i="4" s="1"/>
  <c r="E920" i="4" a="1"/>
  <c r="E920" i="4" s="1"/>
  <c r="E916" i="4" a="1"/>
  <c r="E916" i="4" s="1"/>
  <c r="E915" i="4" a="1"/>
  <c r="E915" i="4" s="1"/>
  <c r="E914" i="4" a="1"/>
  <c r="E914" i="4" s="1"/>
  <c r="E913" i="4" a="1"/>
  <c r="E913" i="4" s="1"/>
  <c r="E906" i="4" a="1"/>
  <c r="E906" i="4" s="1"/>
  <c r="E905" i="4" a="1"/>
  <c r="E905" i="4" s="1"/>
  <c r="E903" i="4" a="1"/>
  <c r="E903" i="4" s="1"/>
  <c r="E902" i="4" a="1"/>
  <c r="E902" i="4" s="1"/>
  <c r="E901" i="4" a="1"/>
  <c r="E901" i="4" s="1"/>
  <c r="E897" i="4" a="1"/>
  <c r="E897" i="4" s="1"/>
  <c r="E892" i="4" a="1"/>
  <c r="E892" i="4" s="1"/>
  <c r="E891" i="4" a="1"/>
  <c r="E891" i="4" s="1"/>
  <c r="E890" i="4" a="1"/>
  <c r="E890" i="4" s="1"/>
  <c r="E889" i="4" a="1"/>
  <c r="E889" i="4" s="1"/>
  <c r="E888" i="4" a="1"/>
  <c r="E888" i="4" s="1"/>
  <c r="E887" i="4" a="1"/>
  <c r="E887" i="4" s="1"/>
  <c r="E885" i="4" a="1"/>
  <c r="E885" i="4" s="1"/>
  <c r="E881" i="4" a="1"/>
  <c r="E881" i="4" s="1"/>
  <c r="E875" i="4" a="1"/>
  <c r="E875" i="4" s="1"/>
  <c r="E874" i="4" a="1"/>
  <c r="E874" i="4" s="1"/>
  <c r="E865" i="4" a="1"/>
  <c r="E865" i="4" s="1"/>
  <c r="E863" i="4" a="1"/>
  <c r="E863" i="4" s="1"/>
  <c r="E862" i="4" a="1"/>
  <c r="E862" i="4" s="1"/>
  <c r="E861" i="4" a="1"/>
  <c r="E861" i="4" s="1"/>
  <c r="E860" i="4" a="1"/>
  <c r="E860" i="4" s="1"/>
  <c r="E850" i="4" a="1"/>
  <c r="E850" i="4" s="1"/>
  <c r="E845" i="4" a="1"/>
  <c r="E845" i="4" s="1"/>
  <c r="E844" i="4" a="1"/>
  <c r="E844" i="4" s="1"/>
  <c r="E843" i="4" a="1"/>
  <c r="E843" i="4" s="1"/>
  <c r="E840" i="4" a="1"/>
  <c r="E840" i="4" s="1"/>
  <c r="E834" i="4" a="1"/>
  <c r="E834" i="4" s="1"/>
  <c r="E833" i="4" a="1"/>
  <c r="E833" i="4" s="1"/>
  <c r="E832" i="4" a="1"/>
  <c r="E832" i="4" s="1"/>
  <c r="E831" i="4" a="1"/>
  <c r="E831" i="4" s="1"/>
  <c r="E824" i="4" a="1"/>
  <c r="E824" i="4" s="1"/>
  <c r="E822" i="4" a="1"/>
  <c r="E822" i="4" s="1"/>
  <c r="E817" i="4" a="1"/>
  <c r="E817" i="4" s="1"/>
  <c r="E816" i="4" a="1"/>
  <c r="E816" i="4" s="1"/>
  <c r="E810" i="4" a="1"/>
  <c r="E810" i="4" s="1"/>
  <c r="E806" i="4" a="1"/>
  <c r="E806" i="4" s="1"/>
  <c r="E805" i="4" a="1"/>
  <c r="E805" i="4" s="1"/>
  <c r="E804" i="4" a="1"/>
  <c r="E804" i="4" s="1"/>
  <c r="E802" i="4" a="1"/>
  <c r="E802" i="4" s="1"/>
  <c r="E801" i="4" a="1"/>
  <c r="E801" i="4" s="1"/>
  <c r="E800" i="4" a="1"/>
  <c r="E800" i="4" s="1"/>
  <c r="E793" i="4" a="1"/>
  <c r="E793" i="4" s="1"/>
  <c r="E792" i="4" a="1"/>
  <c r="E792" i="4" s="1"/>
  <c r="E791" i="4" a="1"/>
  <c r="E791" i="4" s="1"/>
  <c r="E788" i="4" a="1"/>
  <c r="E788" i="4" s="1"/>
  <c r="E787" i="4" a="1"/>
  <c r="E787" i="4" s="1"/>
  <c r="E785" i="4" a="1"/>
  <c r="E785" i="4" s="1"/>
  <c r="E784" i="4" a="1"/>
  <c r="E784" i="4" s="1"/>
  <c r="E783" i="4" a="1"/>
  <c r="E783" i="4" s="1"/>
  <c r="E780" i="4" a="1"/>
  <c r="E780" i="4" s="1"/>
  <c r="E778" i="4" a="1"/>
  <c r="E778" i="4" s="1"/>
  <c r="E777" i="4" a="1"/>
  <c r="E777" i="4" s="1"/>
  <c r="E776" i="4" a="1"/>
  <c r="E776" i="4" s="1"/>
  <c r="E772" i="4" a="1"/>
  <c r="E772" i="4" s="1"/>
  <c r="E770" i="4" a="1"/>
  <c r="E770" i="4" s="1"/>
  <c r="E767" i="4" a="1"/>
  <c r="E767" i="4" s="1"/>
  <c r="E765" i="4" a="1"/>
  <c r="E765" i="4" s="1"/>
  <c r="E755" i="4" a="1"/>
  <c r="E755" i="4" s="1"/>
  <c r="E740" i="4" a="1"/>
  <c r="E740" i="4" s="1"/>
  <c r="E739" i="4" a="1"/>
  <c r="E739" i="4" s="1"/>
  <c r="E738" i="4" a="1"/>
  <c r="E738" i="4" s="1"/>
  <c r="E737" i="4" a="1"/>
  <c r="E737" i="4" s="1"/>
  <c r="E736" i="4" a="1"/>
  <c r="E736" i="4" s="1"/>
  <c r="E733" i="4" a="1"/>
  <c r="E733" i="4" s="1"/>
  <c r="E732" i="4" a="1"/>
  <c r="E732" i="4" s="1"/>
  <c r="E728" i="4" a="1"/>
  <c r="E728" i="4" s="1"/>
  <c r="E727" i="4" a="1"/>
  <c r="E727" i="4" s="1"/>
  <c r="E726" i="4" a="1"/>
  <c r="E726" i="4" s="1"/>
  <c r="E724" i="4" a="1"/>
  <c r="E724" i="4" s="1"/>
  <c r="E723" i="4" a="1"/>
  <c r="E723" i="4" s="1"/>
  <c r="E722" i="4" a="1"/>
  <c r="E722" i="4" s="1"/>
  <c r="E713" i="4" a="1"/>
  <c r="E713" i="4" s="1"/>
  <c r="E684" i="4" a="1"/>
  <c r="E684" i="4" s="1"/>
  <c r="E678" i="4" a="1"/>
  <c r="E678" i="4" s="1"/>
  <c r="E677" i="4" a="1"/>
  <c r="E677" i="4" s="1"/>
  <c r="E662" i="4" a="1"/>
  <c r="E662" i="4" s="1"/>
  <c r="E661" i="4" a="1"/>
  <c r="E661" i="4" s="1"/>
  <c r="E660" i="4" a="1"/>
  <c r="E660" i="4" s="1"/>
  <c r="E659" i="4" a="1"/>
  <c r="E659" i="4" s="1"/>
  <c r="E658" i="4" a="1"/>
  <c r="E658" i="4" s="1"/>
  <c r="E653" i="4" a="1"/>
  <c r="E653" i="4" s="1"/>
  <c r="E652" i="4" a="1"/>
  <c r="E652" i="4" s="1"/>
  <c r="E651" i="4" a="1"/>
  <c r="E651" i="4" s="1"/>
  <c r="E646" i="4" a="1"/>
  <c r="E646" i="4" s="1"/>
  <c r="E645" i="4" a="1"/>
  <c r="E645" i="4" s="1"/>
  <c r="E642" i="4" a="1"/>
  <c r="E642" i="4" s="1"/>
  <c r="E619" i="4" a="1"/>
  <c r="E619" i="4" s="1"/>
  <c r="E609" i="4" a="1"/>
  <c r="E609" i="4" s="1"/>
  <c r="E608" i="4" a="1"/>
  <c r="E608" i="4" s="1"/>
  <c r="E594" i="4" a="1"/>
  <c r="E594" i="4" s="1"/>
  <c r="E587" i="4" a="1"/>
  <c r="E587" i="4" s="1"/>
  <c r="E586" i="4" a="1"/>
  <c r="E586" i="4" s="1"/>
  <c r="E572" i="4" a="1"/>
  <c r="E572" i="4" s="1"/>
  <c r="E570" i="4" a="1"/>
  <c r="E570" i="4" s="1"/>
  <c r="E564" i="4" a="1"/>
  <c r="E564" i="4" s="1"/>
  <c r="E563" i="4" a="1"/>
  <c r="E563" i="4" s="1"/>
  <c r="E562" i="4" a="1"/>
  <c r="E562" i="4" s="1"/>
  <c r="E561" i="4" a="1"/>
  <c r="E561" i="4" s="1"/>
  <c r="E560" i="4" a="1"/>
  <c r="E560" i="4" s="1"/>
  <c r="E559" i="4" a="1"/>
  <c r="E559" i="4" s="1"/>
  <c r="E553" i="4" a="1"/>
  <c r="E553" i="4" s="1"/>
  <c r="E552" i="4" a="1"/>
  <c r="E552" i="4" s="1"/>
  <c r="E551" i="4" a="1"/>
  <c r="E551" i="4" s="1"/>
  <c r="E540" i="4" a="1"/>
  <c r="E540" i="4" s="1"/>
  <c r="E539" i="4" a="1"/>
  <c r="E539" i="4" s="1"/>
  <c r="E533" i="4" a="1"/>
  <c r="E533" i="4" s="1"/>
  <c r="E527" i="4" a="1"/>
  <c r="E527" i="4" s="1"/>
  <c r="E526" i="4" a="1"/>
  <c r="E526" i="4" s="1"/>
  <c r="E525" i="4" a="1"/>
  <c r="E525" i="4" s="1"/>
  <c r="E524" i="4" a="1"/>
  <c r="E524" i="4" s="1"/>
  <c r="E520" i="4" a="1"/>
  <c r="E520" i="4" s="1"/>
  <c r="E515" i="4" a="1"/>
  <c r="E515" i="4" s="1"/>
  <c r="E505" i="4" a="1"/>
  <c r="E505" i="4" s="1"/>
  <c r="E504" i="4" a="1"/>
  <c r="E504" i="4" s="1"/>
  <c r="E503" i="4" a="1"/>
  <c r="E503" i="4" s="1"/>
  <c r="E496" i="4" a="1"/>
  <c r="E496" i="4" s="1"/>
  <c r="E490" i="4" a="1"/>
  <c r="E490" i="4" s="1"/>
  <c r="E483" i="4" a="1"/>
  <c r="E483" i="4" s="1"/>
  <c r="E471" i="4" a="1"/>
  <c r="E471" i="4" s="1"/>
  <c r="E470" i="4" a="1"/>
  <c r="E470" i="4" s="1"/>
  <c r="E469" i="4" a="1"/>
  <c r="E469" i="4" s="1"/>
  <c r="E461" i="4" a="1"/>
  <c r="E461" i="4" s="1"/>
  <c r="E456" i="4" a="1"/>
  <c r="E456" i="4" s="1"/>
  <c r="E455" i="4" a="1"/>
  <c r="E455" i="4" s="1"/>
  <c r="E454" i="4" a="1"/>
  <c r="E454" i="4" s="1"/>
  <c r="E449" i="4" a="1"/>
  <c r="E449" i="4" s="1"/>
  <c r="E446" i="4" a="1"/>
  <c r="E446" i="4" s="1"/>
  <c r="E445" i="4" a="1"/>
  <c r="E445" i="4" s="1"/>
  <c r="E438" i="4" a="1"/>
  <c r="E438" i="4" s="1"/>
  <c r="E422" i="4" a="1"/>
  <c r="E422" i="4" s="1"/>
  <c r="E421" i="4" a="1"/>
  <c r="E421" i="4" s="1"/>
  <c r="E419" i="4" a="1"/>
  <c r="E419" i="4" s="1"/>
  <c r="E418" i="4" a="1"/>
  <c r="E418" i="4" s="1"/>
  <c r="E417" i="4" a="1"/>
  <c r="E417" i="4" s="1"/>
  <c r="E416" i="4" a="1"/>
  <c r="E416" i="4" s="1"/>
  <c r="E415" i="4" a="1"/>
  <c r="E415" i="4" s="1"/>
  <c r="E414" i="4" a="1"/>
  <c r="E414" i="4" s="1"/>
  <c r="E413" i="4" a="1"/>
  <c r="E413" i="4" s="1"/>
  <c r="E412" i="4" a="1"/>
  <c r="E412" i="4" s="1"/>
  <c r="E411" i="4" a="1"/>
  <c r="E411" i="4" s="1"/>
  <c r="E405" i="4" a="1"/>
  <c r="E405" i="4" s="1"/>
  <c r="E401" i="4" a="1"/>
  <c r="E401" i="4" s="1"/>
  <c r="E400" i="4" a="1"/>
  <c r="E400" i="4" s="1"/>
  <c r="E399" i="4" a="1"/>
  <c r="E399" i="4" s="1"/>
  <c r="E396" i="4" a="1"/>
  <c r="E396" i="4" s="1"/>
  <c r="E386" i="4" a="1"/>
  <c r="E386" i="4" s="1"/>
  <c r="E379" i="4" a="1"/>
  <c r="E379" i="4" s="1"/>
  <c r="E378" i="4" a="1"/>
  <c r="E378" i="4" s="1"/>
  <c r="E377" i="4" a="1"/>
  <c r="E377" i="4" s="1"/>
  <c r="E376" i="4" a="1"/>
  <c r="E376" i="4" s="1"/>
  <c r="E375" i="4" a="1"/>
  <c r="E375" i="4" s="1"/>
  <c r="E362" i="4" a="1"/>
  <c r="E362" i="4" s="1"/>
  <c r="E361" i="4" a="1"/>
  <c r="E361" i="4" s="1"/>
  <c r="E360" i="4" a="1"/>
  <c r="E360" i="4" s="1"/>
  <c r="E353" i="4" a="1"/>
  <c r="E353" i="4" s="1"/>
  <c r="E352" i="4" a="1"/>
  <c r="E352" i="4" s="1"/>
  <c r="E351" i="4" a="1"/>
  <c r="E351" i="4" s="1"/>
  <c r="E337" i="4" a="1"/>
  <c r="E337" i="4" s="1"/>
  <c r="E307" i="4" a="1"/>
  <c r="E307" i="4" s="1"/>
  <c r="E306" i="4" a="1"/>
  <c r="E306" i="4" s="1"/>
  <c r="E297" i="4" a="1"/>
  <c r="E297" i="4" s="1"/>
  <c r="E296" i="4" a="1"/>
  <c r="E296" i="4" s="1"/>
  <c r="E292" i="4" a="1"/>
  <c r="E292" i="4" s="1"/>
  <c r="E291" i="4" a="1"/>
  <c r="E291" i="4" s="1"/>
  <c r="E287" i="4" a="1"/>
  <c r="E287" i="4" s="1"/>
  <c r="E278" i="4" a="1"/>
  <c r="E278" i="4" s="1"/>
  <c r="E270" i="4" a="1"/>
  <c r="E270" i="4" s="1"/>
  <c r="E266" i="4" a="1"/>
  <c r="E266" i="4" s="1"/>
  <c r="E265" i="4" a="1"/>
  <c r="E265" i="4" s="1"/>
  <c r="E263" i="4" a="1"/>
  <c r="E263" i="4" s="1"/>
  <c r="E262" i="4" a="1"/>
  <c r="E262" i="4" s="1"/>
  <c r="E258" i="4" a="1"/>
  <c r="E258" i="4" s="1"/>
  <c r="E248" i="4" a="1"/>
  <c r="E248" i="4" s="1"/>
  <c r="E247" i="4" a="1"/>
  <c r="E247" i="4" s="1"/>
  <c r="E246" i="4" a="1"/>
  <c r="E246" i="4" s="1"/>
  <c r="E233" i="4" a="1"/>
  <c r="E233" i="4" s="1"/>
  <c r="E232" i="4" a="1"/>
  <c r="E232" i="4" s="1"/>
  <c r="E228" i="4" a="1"/>
  <c r="E228" i="4" s="1"/>
  <c r="E227" i="4" a="1"/>
  <c r="E227" i="4" s="1"/>
  <c r="E226" i="4" a="1"/>
  <c r="E226" i="4" s="1"/>
  <c r="E225" i="4" a="1"/>
  <c r="E225" i="4" s="1"/>
  <c r="E220" i="4" a="1"/>
  <c r="E220" i="4" s="1"/>
  <c r="E219" i="4" a="1"/>
  <c r="E219" i="4" s="1"/>
  <c r="E190" i="4" a="1"/>
  <c r="E190" i="4" s="1"/>
  <c r="E189" i="4" a="1"/>
  <c r="E189" i="4" s="1"/>
  <c r="E184" i="4" a="1"/>
  <c r="E184" i="4" s="1"/>
  <c r="E183" i="4" a="1"/>
  <c r="E183" i="4" s="1"/>
  <c r="E182" i="4" a="1"/>
  <c r="E182" i="4" s="1"/>
  <c r="E180" i="4" a="1"/>
  <c r="E180" i="4" s="1"/>
  <c r="E177" i="4" a="1"/>
  <c r="E177" i="4" s="1"/>
  <c r="E168" i="4" a="1"/>
  <c r="E168" i="4" s="1"/>
  <c r="E161" i="4" a="1"/>
  <c r="E161" i="4" s="1"/>
  <c r="E160" i="4" a="1"/>
  <c r="E160" i="4" s="1"/>
  <c r="E159" i="4" a="1"/>
  <c r="E159" i="4" s="1"/>
  <c r="E158" i="4" a="1"/>
  <c r="E158" i="4" s="1"/>
  <c r="E157" i="4" a="1"/>
  <c r="E157" i="4" s="1"/>
  <c r="E156" i="4" a="1"/>
  <c r="E156" i="4" s="1"/>
  <c r="E147" i="4" a="1"/>
  <c r="E147" i="4" s="1"/>
  <c r="E146" i="4" a="1"/>
  <c r="E146" i="4" s="1"/>
  <c r="E145" i="4" a="1"/>
  <c r="E145" i="4" s="1"/>
  <c r="E144" i="4" a="1"/>
  <c r="E144" i="4" s="1"/>
  <c r="E140" i="4" a="1"/>
  <c r="E140" i="4" s="1"/>
  <c r="E139" i="4" a="1"/>
  <c r="E139" i="4" s="1"/>
  <c r="E133" i="4" a="1"/>
  <c r="E133" i="4" s="1"/>
  <c r="E132" i="4" a="1"/>
  <c r="E132" i="4" s="1"/>
  <c r="E131" i="4" a="1"/>
  <c r="E131" i="4" s="1"/>
  <c r="E120" i="4" a="1"/>
  <c r="E120" i="4" s="1"/>
  <c r="E119" i="4" a="1"/>
  <c r="E119" i="4" s="1"/>
  <c r="E118" i="4" a="1"/>
  <c r="E118" i="4" s="1"/>
  <c r="E117" i="4" a="1"/>
  <c r="E117" i="4" s="1"/>
  <c r="E110" i="4" a="1"/>
  <c r="E110" i="4" s="1"/>
  <c r="E109" i="4" a="1"/>
  <c r="E109" i="4" s="1"/>
  <c r="E108" i="4" a="1"/>
  <c r="E108" i="4" s="1"/>
  <c r="E107" i="4" a="1"/>
  <c r="E107" i="4" s="1"/>
  <c r="E105" i="4" a="1"/>
  <c r="E105" i="4" s="1"/>
  <c r="E104" i="4" a="1"/>
  <c r="E104" i="4" s="1"/>
  <c r="E103" i="4" a="1"/>
  <c r="E103" i="4" s="1"/>
  <c r="E102" i="4" a="1"/>
  <c r="E102" i="4" s="1"/>
  <c r="E99" i="4" a="1"/>
  <c r="E99" i="4" s="1"/>
  <c r="E98" i="4" a="1"/>
  <c r="E98" i="4" s="1"/>
  <c r="E86" i="4" a="1"/>
  <c r="E86" i="4" s="1"/>
  <c r="E84" i="4" a="1"/>
  <c r="E84" i="4" s="1"/>
  <c r="E83" i="4" a="1"/>
  <c r="E83" i="4" s="1"/>
  <c r="E76" i="4" a="1"/>
  <c r="E76" i="4" s="1"/>
  <c r="E75" i="4" a="1"/>
  <c r="E75" i="4" s="1"/>
  <c r="E74" i="4" a="1"/>
  <c r="E74" i="4" s="1"/>
  <c r="E73" i="4" a="1"/>
  <c r="E73" i="4" s="1"/>
  <c r="E67" i="4" a="1"/>
  <c r="E67" i="4" s="1"/>
  <c r="E59" i="4" a="1"/>
  <c r="E59" i="4" s="1"/>
  <c r="E58" i="4" a="1"/>
  <c r="E58" i="4" s="1"/>
  <c r="E54" i="4" a="1"/>
  <c r="E54" i="4" s="1"/>
  <c r="E53" i="4" a="1"/>
  <c r="E53" i="4" s="1"/>
  <c r="E51" i="4" a="1"/>
  <c r="E51" i="4" s="1"/>
  <c r="E39" i="4" a="1"/>
  <c r="E39" i="4" s="1"/>
  <c r="E38" i="4" a="1"/>
  <c r="E38" i="4" s="1"/>
  <c r="E29" i="4" a="1"/>
  <c r="E29" i="4" s="1"/>
  <c r="E28" i="4" a="1"/>
  <c r="E28" i="4" s="1"/>
  <c r="E25" i="4" a="1"/>
  <c r="E25" i="4" s="1"/>
  <c r="E24" i="4" a="1"/>
  <c r="E24" i="4" s="1"/>
  <c r="E13" i="4" a="1"/>
  <c r="E13" i="4" s="1"/>
  <c r="E14" i="4" a="1"/>
  <c r="E14" i="4" s="1"/>
  <c r="I15" i="40"/>
  <c r="J15" i="40"/>
  <c r="E25" i="40"/>
  <c r="E24" i="40"/>
  <c r="E21" i="40"/>
  <c r="E20" i="40"/>
  <c r="F2" i="39" a="1"/>
  <c r="F2" i="39" s="1"/>
  <c r="D2" i="39" a="1"/>
  <c r="D2" i="39" s="1"/>
  <c r="A3" i="39" a="1"/>
  <c r="A3" i="39" s="1"/>
  <c r="A2" i="39"/>
  <c r="J12" i="38"/>
  <c r="B2" i="38" a="1"/>
  <c r="B2" i="38" s="1"/>
  <c r="E1669" i="4" a="1"/>
  <c r="E1669" i="4" s="1"/>
  <c r="E1668" i="4" a="1"/>
  <c r="E1668" i="4" s="1"/>
  <c r="E1667" i="4" a="1"/>
  <c r="E1667" i="4" s="1"/>
  <c r="E1666" i="4" a="1"/>
  <c r="E1666" i="4" s="1"/>
  <c r="E1665" i="4" a="1"/>
  <c r="E1665" i="4" s="1"/>
  <c r="E1664" i="4" a="1"/>
  <c r="E1664" i="4" s="1"/>
  <c r="E1663" i="4" a="1"/>
  <c r="E1663" i="4" s="1"/>
  <c r="E1662" i="4" a="1"/>
  <c r="E1662" i="4" s="1"/>
  <c r="E1661" i="4" a="1"/>
  <c r="E1661" i="4" s="1"/>
  <c r="E1660" i="4" a="1"/>
  <c r="E1660" i="4" s="1"/>
  <c r="E1659" i="4" a="1"/>
  <c r="E1659" i="4" s="1"/>
  <c r="E1658" i="4" a="1"/>
  <c r="E1658" i="4" s="1"/>
  <c r="E1657" i="4" a="1"/>
  <c r="E1657" i="4" s="1"/>
  <c r="E1656" i="4" a="1"/>
  <c r="E1656" i="4" s="1"/>
  <c r="E1655" i="4" a="1"/>
  <c r="E1655" i="4" s="1"/>
  <c r="E1654" i="4" a="1"/>
  <c r="E1654" i="4" s="1"/>
  <c r="E1653" i="4" a="1"/>
  <c r="E1653" i="4" s="1"/>
  <c r="E1652" i="4" a="1"/>
  <c r="E1652" i="4" s="1"/>
  <c r="E1651" i="4" a="1"/>
  <c r="E1651" i="4" s="1"/>
  <c r="E1650" i="4" a="1"/>
  <c r="E1650" i="4" s="1"/>
  <c r="E1649" i="4" a="1"/>
  <c r="E1649" i="4" s="1"/>
  <c r="E1648" i="4" a="1"/>
  <c r="E1648" i="4" s="1"/>
  <c r="E1647" i="4" a="1"/>
  <c r="E1647" i="4" s="1"/>
  <c r="E1646" i="4" a="1"/>
  <c r="E1646" i="4" s="1"/>
  <c r="E1645" i="4" a="1"/>
  <c r="E1645" i="4" s="1"/>
  <c r="E1644" i="4" a="1"/>
  <c r="E1644" i="4" s="1"/>
  <c r="E1643" i="4" a="1"/>
  <c r="E1643" i="4" s="1"/>
  <c r="E1642" i="4" a="1"/>
  <c r="E1642" i="4" s="1"/>
  <c r="E1641" i="4" a="1"/>
  <c r="E1641" i="4" s="1"/>
  <c r="E1640" i="4" a="1"/>
  <c r="E1640" i="4" s="1"/>
  <c r="E1639" i="4" a="1"/>
  <c r="E1639" i="4" s="1"/>
  <c r="E1638" i="4" a="1"/>
  <c r="E1638" i="4" s="1"/>
  <c r="E1637" i="4" a="1"/>
  <c r="E1637" i="4" s="1"/>
  <c r="E1636" i="4" a="1"/>
  <c r="E1636" i="4" s="1"/>
  <c r="E1635" i="4" a="1"/>
  <c r="E1635" i="4" s="1"/>
  <c r="E1634" i="4" a="1"/>
  <c r="E1634" i="4" s="1"/>
  <c r="E1633" i="4" a="1"/>
  <c r="E1633" i="4" s="1"/>
  <c r="E1632" i="4" a="1"/>
  <c r="E1632" i="4" s="1"/>
  <c r="E1631" i="4" a="1"/>
  <c r="E1631" i="4" s="1"/>
  <c r="E1630" i="4" a="1"/>
  <c r="E1630" i="4" s="1"/>
  <c r="E1629" i="4" a="1"/>
  <c r="E1629" i="4" s="1"/>
  <c r="E1628" i="4" a="1"/>
  <c r="E1628" i="4" s="1"/>
  <c r="E1627" i="4" a="1"/>
  <c r="E1627" i="4" s="1"/>
  <c r="E1626" i="4" a="1"/>
  <c r="E1626" i="4" s="1"/>
  <c r="E1625" i="4" a="1"/>
  <c r="E1625" i="4" s="1"/>
  <c r="E1624" i="4" a="1"/>
  <c r="E1624" i="4" s="1"/>
  <c r="E1623" i="4" a="1"/>
  <c r="E1623" i="4" s="1"/>
  <c r="E1622" i="4" a="1"/>
  <c r="E1622" i="4" s="1"/>
  <c r="E1621" i="4" a="1"/>
  <c r="E1621" i="4" s="1"/>
  <c r="E1620" i="4" a="1"/>
  <c r="E1620" i="4" s="1"/>
  <c r="E1617" i="4" a="1"/>
  <c r="E1617" i="4" s="1"/>
  <c r="E1616" i="4" a="1"/>
  <c r="E1616" i="4" s="1"/>
  <c r="E1615" i="4" a="1"/>
  <c r="E1615" i="4" s="1"/>
  <c r="E1614" i="4" a="1"/>
  <c r="E1614" i="4" s="1"/>
  <c r="E1609" i="4" a="1"/>
  <c r="E1609" i="4" s="1"/>
  <c r="E1592" i="4" a="1"/>
  <c r="E1592" i="4" s="1"/>
  <c r="E1590" i="4" a="1"/>
  <c r="E1590" i="4" s="1"/>
  <c r="E1588" i="4" a="1"/>
  <c r="E1588" i="4" s="1"/>
  <c r="E1587" i="4" a="1"/>
  <c r="E1587" i="4" s="1"/>
  <c r="E1586" i="4" a="1"/>
  <c r="E1586" i="4" s="1"/>
  <c r="E1585" i="4" a="1"/>
  <c r="E1585" i="4" s="1"/>
  <c r="E1583" i="4" a="1"/>
  <c r="E1583" i="4" s="1"/>
  <c r="E1582" i="4" a="1"/>
  <c r="E1582" i="4" s="1"/>
  <c r="E1577" i="4" a="1"/>
  <c r="E1577" i="4" s="1"/>
  <c r="E1576" i="4" a="1"/>
  <c r="E1576" i="4" s="1"/>
  <c r="E1572" i="4" a="1"/>
  <c r="E1572" i="4" s="1"/>
  <c r="E1571" i="4" a="1"/>
  <c r="E1571" i="4" s="1"/>
  <c r="E1559" i="4" a="1"/>
  <c r="E1559" i="4" s="1"/>
  <c r="E1558" i="4" a="1"/>
  <c r="E1558" i="4" s="1"/>
  <c r="E1557" i="4" a="1"/>
  <c r="E1557" i="4" s="1"/>
  <c r="E1520" i="4" a="1"/>
  <c r="E1520" i="4" s="1"/>
  <c r="E1494" i="4" a="1"/>
  <c r="E1494" i="4" s="1"/>
  <c r="E1418" i="4" a="1"/>
  <c r="E1418" i="4" s="1"/>
  <c r="E1408" i="4" a="1"/>
  <c r="E1408" i="4" s="1"/>
  <c r="E1385" i="4" a="1"/>
  <c r="E1385" i="4" s="1"/>
  <c r="E1355" i="4" a="1"/>
  <c r="E1355" i="4" s="1"/>
  <c r="E1354" i="4" a="1"/>
  <c r="E1354" i="4" s="1"/>
  <c r="E1348" i="4" a="1"/>
  <c r="E1348" i="4" s="1"/>
  <c r="E1307" i="4" a="1"/>
  <c r="E1307" i="4" s="1"/>
  <c r="E1306" i="4" a="1"/>
  <c r="E1306" i="4" s="1"/>
  <c r="E1305" i="4" a="1"/>
  <c r="E1305" i="4" s="1"/>
  <c r="E1299" i="4" a="1"/>
  <c r="E1299" i="4" s="1"/>
  <c r="E1298" i="4" a="1"/>
  <c r="E1298" i="4" s="1"/>
  <c r="E1297" i="4" a="1"/>
  <c r="E1297" i="4" s="1"/>
  <c r="E1296" i="4" a="1"/>
  <c r="E1296" i="4" s="1"/>
  <c r="E1295" i="4" a="1"/>
  <c r="E1295" i="4" s="1"/>
  <c r="E1294" i="4" a="1"/>
  <c r="E1294" i="4" s="1"/>
  <c r="E1293" i="4" a="1"/>
  <c r="E1293" i="4" s="1"/>
  <c r="E1289" i="4" a="1"/>
  <c r="E1289" i="4" s="1"/>
  <c r="E1288" i="4" a="1"/>
  <c r="E1288" i="4" s="1"/>
  <c r="E1280" i="4" a="1"/>
  <c r="E1280" i="4" s="1"/>
  <c r="E1268" i="4" a="1"/>
  <c r="E1268" i="4" s="1"/>
  <c r="E1267" i="4" a="1"/>
  <c r="E1267" i="4" s="1"/>
  <c r="E1258" i="4" a="1"/>
  <c r="E1258" i="4" s="1"/>
  <c r="E1257" i="4" a="1"/>
  <c r="E1257" i="4" s="1"/>
  <c r="E1252" i="4" a="1"/>
  <c r="E1252" i="4" s="1"/>
  <c r="E1251" i="4" a="1"/>
  <c r="E1251" i="4" s="1"/>
  <c r="E1250" i="4" a="1"/>
  <c r="E1250" i="4" s="1"/>
  <c r="E1245" i="4" a="1"/>
  <c r="E1245" i="4" s="1"/>
  <c r="E1244" i="4" a="1"/>
  <c r="E1244" i="4" s="1"/>
  <c r="E1242" i="4" a="1"/>
  <c r="E1242" i="4" s="1"/>
  <c r="E1241" i="4" a="1"/>
  <c r="E1241" i="4" s="1"/>
  <c r="E1240" i="4" a="1"/>
  <c r="E1240" i="4" s="1"/>
  <c r="E1239" i="4" a="1"/>
  <c r="E1239" i="4" s="1"/>
  <c r="E1238" i="4" a="1"/>
  <c r="E1238" i="4" s="1"/>
  <c r="E1237" i="4" a="1"/>
  <c r="E1237" i="4" s="1"/>
  <c r="E1227" i="4" a="1"/>
  <c r="E1227" i="4" s="1"/>
  <c r="E1222" i="4" a="1"/>
  <c r="E1222" i="4" s="1"/>
  <c r="E1221" i="4" a="1"/>
  <c r="E1221" i="4" s="1"/>
  <c r="E1213" i="4" a="1"/>
  <c r="E1213" i="4" s="1"/>
  <c r="E1208" i="4" a="1"/>
  <c r="E1208" i="4" s="1"/>
  <c r="E1170" i="4" a="1"/>
  <c r="E1170" i="4" s="1"/>
  <c r="E1157" i="4" a="1"/>
  <c r="E1157" i="4" s="1"/>
  <c r="E1155" i="4" a="1"/>
  <c r="E1155" i="4" s="1"/>
  <c r="E1145" i="4" a="1"/>
  <c r="E1145" i="4" s="1"/>
  <c r="E1143" i="4" a="1"/>
  <c r="E1143" i="4" s="1"/>
  <c r="E1142" i="4" a="1"/>
  <c r="E1142" i="4" s="1"/>
  <c r="E1141" i="4" a="1"/>
  <c r="E1141" i="4" s="1"/>
  <c r="E1140" i="4" a="1"/>
  <c r="E1140" i="4" s="1"/>
  <c r="E1136" i="4" a="1"/>
  <c r="E1136" i="4" s="1"/>
  <c r="E1135" i="4" a="1"/>
  <c r="E1135" i="4" s="1"/>
  <c r="E1132" i="4" a="1"/>
  <c r="E1132" i="4" s="1"/>
  <c r="E1131" i="4" a="1"/>
  <c r="E1131" i="4" s="1"/>
  <c r="E1129" i="4" a="1"/>
  <c r="E1129" i="4" s="1"/>
  <c r="E1128" i="4" a="1"/>
  <c r="E1128" i="4" s="1"/>
  <c r="E1127" i="4" a="1"/>
  <c r="E1127" i="4" s="1"/>
  <c r="E1126" i="4" a="1"/>
  <c r="E1126" i="4" s="1"/>
  <c r="E1125" i="4" a="1"/>
  <c r="E1125" i="4" s="1"/>
  <c r="E1123" i="4" a="1"/>
  <c r="E1123" i="4" s="1"/>
  <c r="E1122" i="4" a="1"/>
  <c r="E1122" i="4" s="1"/>
  <c r="E1117" i="4" a="1"/>
  <c r="E1117" i="4" s="1"/>
  <c r="E1116" i="4" a="1"/>
  <c r="E1116" i="4" s="1"/>
  <c r="E1115" i="4" a="1"/>
  <c r="E1115" i="4" s="1"/>
  <c r="E1094" i="4" a="1"/>
  <c r="E1094" i="4" s="1"/>
  <c r="E1092" i="4" a="1"/>
  <c r="E1092" i="4" s="1"/>
  <c r="E1090" i="4" a="1"/>
  <c r="E1090" i="4" s="1"/>
  <c r="E1084" i="4" a="1"/>
  <c r="E1084" i="4" s="1"/>
  <c r="E1072" i="4" a="1"/>
  <c r="E1072" i="4" s="1"/>
  <c r="E1070" i="4" a="1"/>
  <c r="E1070" i="4" s="1"/>
  <c r="E1069" i="4" a="1"/>
  <c r="E1069" i="4" s="1"/>
  <c r="E1055" i="4" a="1"/>
  <c r="E1055" i="4" s="1"/>
  <c r="E1044" i="4" a="1"/>
  <c r="E1044" i="4" s="1"/>
  <c r="E1043" i="4" a="1"/>
  <c r="E1043" i="4" s="1"/>
  <c r="E1036" i="4" a="1"/>
  <c r="E1036" i="4" s="1"/>
  <c r="E1035" i="4" a="1"/>
  <c r="E1035" i="4" s="1"/>
  <c r="E1005" i="4" a="1"/>
  <c r="E1005" i="4" s="1"/>
  <c r="E992" i="4" a="1"/>
  <c r="E992" i="4" s="1"/>
  <c r="E983" i="4" a="1"/>
  <c r="E983" i="4" s="1"/>
  <c r="E982" i="4" a="1"/>
  <c r="E982" i="4" s="1"/>
  <c r="E981" i="4" a="1"/>
  <c r="E981" i="4" s="1"/>
  <c r="E978" i="4" a="1"/>
  <c r="E978" i="4" s="1"/>
  <c r="E975" i="4" a="1"/>
  <c r="E975" i="4" s="1"/>
  <c r="E974" i="4" a="1"/>
  <c r="E974" i="4" s="1"/>
  <c r="E973" i="4" a="1"/>
  <c r="E973" i="4" s="1"/>
  <c r="E972" i="4" a="1"/>
  <c r="E972" i="4" s="1"/>
  <c r="E971" i="4" a="1"/>
  <c r="E971" i="4" s="1"/>
  <c r="E970" i="4" a="1"/>
  <c r="E970" i="4" s="1"/>
  <c r="E960" i="4" a="1"/>
  <c r="E960" i="4" s="1"/>
  <c r="E959" i="4" a="1"/>
  <c r="E959" i="4" s="1"/>
  <c r="E953" i="4" a="1"/>
  <c r="E953" i="4" s="1"/>
  <c r="E945" i="4" a="1"/>
  <c r="E945" i="4" s="1"/>
  <c r="E944" i="4" a="1"/>
  <c r="E944" i="4" s="1"/>
  <c r="E942" i="4" a="1"/>
  <c r="E942" i="4" s="1"/>
  <c r="E941" i="4" a="1"/>
  <c r="E941" i="4" s="1"/>
  <c r="E940" i="4" a="1"/>
  <c r="E940" i="4" s="1"/>
  <c r="E939" i="4" a="1"/>
  <c r="E939" i="4" s="1"/>
  <c r="E938" i="4" a="1"/>
  <c r="E938" i="4" s="1"/>
  <c r="E936" i="4" a="1"/>
  <c r="E936" i="4" s="1"/>
  <c r="E935" i="4" a="1"/>
  <c r="E935" i="4" s="1"/>
  <c r="E934" i="4" a="1"/>
  <c r="E934" i="4" s="1"/>
  <c r="E933" i="4" a="1"/>
  <c r="E933" i="4" s="1"/>
  <c r="E932" i="4" a="1"/>
  <c r="E932" i="4" s="1"/>
  <c r="E929" i="4" a="1"/>
  <c r="E929" i="4" s="1"/>
  <c r="E926" i="4" a="1"/>
  <c r="E926" i="4" s="1"/>
  <c r="E925" i="4" a="1"/>
  <c r="E925" i="4" s="1"/>
  <c r="E924" i="4" a="1"/>
  <c r="E924" i="4" s="1"/>
  <c r="E923" i="4" a="1"/>
  <c r="E923" i="4" s="1"/>
  <c r="E919" i="4" a="1"/>
  <c r="E919" i="4" s="1"/>
  <c r="E918" i="4" a="1"/>
  <c r="E918" i="4" s="1"/>
  <c r="E917" i="4" a="1"/>
  <c r="E917" i="4" s="1"/>
  <c r="E912" i="4" a="1"/>
  <c r="E912" i="4" s="1"/>
  <c r="E909" i="4" a="1"/>
  <c r="E909" i="4" s="1"/>
  <c r="E900" i="4" a="1"/>
  <c r="E900" i="4" s="1"/>
  <c r="E899" i="4" a="1"/>
  <c r="E899" i="4" s="1"/>
  <c r="E898" i="4" a="1"/>
  <c r="E898" i="4" s="1"/>
  <c r="E896" i="4" a="1"/>
  <c r="E896" i="4" s="1"/>
  <c r="E895" i="4" a="1"/>
  <c r="E895" i="4" s="1"/>
  <c r="E894" i="4" a="1"/>
  <c r="E894" i="4" s="1"/>
  <c r="E893" i="4" a="1"/>
  <c r="E893" i="4" s="1"/>
  <c r="E886" i="4" a="1"/>
  <c r="E886" i="4" s="1"/>
  <c r="E884" i="4" a="1"/>
  <c r="E884" i="4" s="1"/>
  <c r="E883" i="4" a="1"/>
  <c r="E883" i="4" s="1"/>
  <c r="E882" i="4" a="1"/>
  <c r="E882" i="4" s="1"/>
  <c r="E880" i="4" a="1"/>
  <c r="E880" i="4" s="1"/>
  <c r="E879" i="4" a="1"/>
  <c r="E879" i="4" s="1"/>
  <c r="E878" i="4" a="1"/>
  <c r="E878" i="4" s="1"/>
  <c r="E877" i="4" a="1"/>
  <c r="E877" i="4" s="1"/>
  <c r="E876" i="4" a="1"/>
  <c r="E876" i="4" s="1"/>
  <c r="E873" i="4" a="1"/>
  <c r="E873" i="4" s="1"/>
  <c r="E872" i="4" a="1"/>
  <c r="E872" i="4" s="1"/>
  <c r="E871" i="4" a="1"/>
  <c r="E871" i="4" s="1"/>
  <c r="E870" i="4" a="1"/>
  <c r="E870" i="4" s="1"/>
  <c r="E869" i="4" a="1"/>
  <c r="E869" i="4" s="1"/>
  <c r="E868" i="4" a="1"/>
  <c r="E868" i="4" s="1"/>
  <c r="E867" i="4" a="1"/>
  <c r="E867" i="4" s="1"/>
  <c r="E866" i="4" a="1"/>
  <c r="E866" i="4" s="1"/>
  <c r="E864" i="4" a="1"/>
  <c r="E864" i="4" s="1"/>
  <c r="E859" i="4" a="1"/>
  <c r="E859" i="4" s="1"/>
  <c r="E858" i="4" a="1"/>
  <c r="E858" i="4" s="1"/>
  <c r="E857" i="4" a="1"/>
  <c r="E857" i="4" s="1"/>
  <c r="E856" i="4" a="1"/>
  <c r="E856" i="4" s="1"/>
  <c r="E855" i="4" a="1"/>
  <c r="E855" i="4" s="1"/>
  <c r="E854" i="4" a="1"/>
  <c r="E854" i="4" s="1"/>
  <c r="E853" i="4" a="1"/>
  <c r="E853" i="4" s="1"/>
  <c r="E852" i="4" a="1"/>
  <c r="E852" i="4" s="1"/>
  <c r="E851" i="4" a="1"/>
  <c r="E851" i="4" s="1"/>
  <c r="E849" i="4" a="1"/>
  <c r="E849" i="4" s="1"/>
  <c r="E848" i="4" a="1"/>
  <c r="E848" i="4" s="1"/>
  <c r="E847" i="4" a="1"/>
  <c r="E847" i="4" s="1"/>
  <c r="E846" i="4" a="1"/>
  <c r="E846" i="4" s="1"/>
  <c r="E842" i="4" a="1"/>
  <c r="E842" i="4" s="1"/>
  <c r="E839" i="4" a="1"/>
  <c r="E839" i="4" s="1"/>
  <c r="E838" i="4" a="1"/>
  <c r="E838" i="4" s="1"/>
  <c r="E837" i="4" a="1"/>
  <c r="E837" i="4" s="1"/>
  <c r="E836" i="4" a="1"/>
  <c r="E836" i="4" s="1"/>
  <c r="E835" i="4" a="1"/>
  <c r="E835" i="4" s="1"/>
  <c r="E830" i="4" a="1"/>
  <c r="E830" i="4" s="1"/>
  <c r="E829" i="4" a="1"/>
  <c r="E829" i="4" s="1"/>
  <c r="E828" i="4" a="1"/>
  <c r="E828" i="4" s="1"/>
  <c r="E827" i="4" a="1"/>
  <c r="E827" i="4" s="1"/>
  <c r="E826" i="4" a="1"/>
  <c r="E826" i="4" s="1"/>
  <c r="E821" i="4" a="1"/>
  <c r="E821" i="4" s="1"/>
  <c r="E820" i="4" a="1"/>
  <c r="E820" i="4" s="1"/>
  <c r="E819" i="4" a="1"/>
  <c r="E819" i="4" s="1"/>
  <c r="E818" i="4" a="1"/>
  <c r="E818" i="4" s="1"/>
  <c r="E815" i="4" a="1"/>
  <c r="E815" i="4" s="1"/>
  <c r="E813" i="4" a="1"/>
  <c r="E813" i="4" s="1"/>
  <c r="E812" i="4" a="1"/>
  <c r="E812" i="4" s="1"/>
  <c r="E811" i="4" a="1"/>
  <c r="E811" i="4" s="1"/>
  <c r="E809" i="4" a="1"/>
  <c r="E809" i="4" s="1"/>
  <c r="E808" i="4" a="1"/>
  <c r="E808" i="4" s="1"/>
  <c r="E807" i="4" a="1"/>
  <c r="E807" i="4" s="1"/>
  <c r="E803" i="4" a="1"/>
  <c r="E803" i="4" s="1"/>
  <c r="E799" i="4" a="1"/>
  <c r="E799" i="4" s="1"/>
  <c r="E798" i="4" a="1"/>
  <c r="E798" i="4" s="1"/>
  <c r="E797" i="4" a="1"/>
  <c r="E797" i="4" s="1"/>
  <c r="E796" i="4" a="1"/>
  <c r="E796" i="4" s="1"/>
  <c r="E795" i="4" a="1"/>
  <c r="E795" i="4" s="1"/>
  <c r="E794" i="4" a="1"/>
  <c r="E794" i="4" s="1"/>
  <c r="E790" i="4" a="1"/>
  <c r="E790" i="4" s="1"/>
  <c r="E789" i="4" a="1"/>
  <c r="E789" i="4" s="1"/>
  <c r="E786" i="4" a="1"/>
  <c r="E786" i="4" s="1"/>
  <c r="E782" i="4" a="1"/>
  <c r="E782" i="4" s="1"/>
  <c r="E781" i="4" a="1"/>
  <c r="E781" i="4" s="1"/>
  <c r="E779" i="4" a="1"/>
  <c r="E779" i="4" s="1"/>
  <c r="E775" i="4" a="1"/>
  <c r="E775" i="4" s="1"/>
  <c r="E774" i="4" a="1"/>
  <c r="E774" i="4" s="1"/>
  <c r="E773" i="4" a="1"/>
  <c r="E773" i="4" s="1"/>
  <c r="E771" i="4" a="1"/>
  <c r="E771" i="4" s="1"/>
  <c r="E769" i="4" a="1"/>
  <c r="E769" i="4" s="1"/>
  <c r="E768" i="4" a="1"/>
  <c r="E768" i="4" s="1"/>
  <c r="E764" i="4" a="1"/>
  <c r="E764" i="4" s="1"/>
  <c r="E763" i="4" a="1"/>
  <c r="E763" i="4" s="1"/>
  <c r="E762" i="4" a="1"/>
  <c r="E762" i="4" s="1"/>
  <c r="E761" i="4" a="1"/>
  <c r="E761" i="4" s="1"/>
  <c r="E760" i="4" a="1"/>
  <c r="E760" i="4" s="1"/>
  <c r="E759" i="4" a="1"/>
  <c r="E759" i="4" s="1"/>
  <c r="E758" i="4" a="1"/>
  <c r="E758" i="4" s="1"/>
  <c r="E757" i="4" a="1"/>
  <c r="E757" i="4" s="1"/>
  <c r="E756" i="4" a="1"/>
  <c r="E756" i="4" s="1"/>
  <c r="E754" i="4" a="1"/>
  <c r="E754" i="4" s="1"/>
  <c r="E753" i="4" a="1"/>
  <c r="E753" i="4" s="1"/>
  <c r="E752" i="4" a="1"/>
  <c r="E752" i="4" s="1"/>
  <c r="E751" i="4" a="1"/>
  <c r="E751" i="4" s="1"/>
  <c r="E750" i="4" a="1"/>
  <c r="E750" i="4" s="1"/>
  <c r="E749" i="4" a="1"/>
  <c r="E749" i="4" s="1"/>
  <c r="E748" i="4" a="1"/>
  <c r="E748" i="4" s="1"/>
  <c r="E747" i="4" a="1"/>
  <c r="E747" i="4" s="1"/>
  <c r="E746" i="4" a="1"/>
  <c r="E746" i="4" s="1"/>
  <c r="E745" i="4" a="1"/>
  <c r="E745" i="4" s="1"/>
  <c r="E744" i="4" a="1"/>
  <c r="E744" i="4" s="1"/>
  <c r="E743" i="4" a="1"/>
  <c r="E743" i="4" s="1"/>
  <c r="E742" i="4" a="1"/>
  <c r="E742" i="4" s="1"/>
  <c r="E741" i="4" a="1"/>
  <c r="E741" i="4" s="1"/>
  <c r="E735" i="4" a="1"/>
  <c r="E735" i="4" s="1"/>
  <c r="E734" i="4" a="1"/>
  <c r="E734" i="4" s="1"/>
  <c r="E731" i="4" a="1"/>
  <c r="E731" i="4" s="1"/>
  <c r="E730" i="4" a="1"/>
  <c r="E730" i="4" s="1"/>
  <c r="E725" i="4" a="1"/>
  <c r="E725" i="4" s="1"/>
  <c r="E721" i="4" a="1"/>
  <c r="E721" i="4" s="1"/>
  <c r="E720" i="4" a="1"/>
  <c r="E720" i="4" s="1"/>
  <c r="E719" i="4" a="1"/>
  <c r="E719" i="4" s="1"/>
  <c r="E718" i="4" a="1"/>
  <c r="E718" i="4" s="1"/>
  <c r="E717" i="4" a="1"/>
  <c r="E717" i="4" s="1"/>
  <c r="E716" i="4" a="1"/>
  <c r="E716" i="4" s="1"/>
  <c r="E715" i="4" a="1"/>
  <c r="E715" i="4" s="1"/>
  <c r="E714" i="4" a="1"/>
  <c r="E714" i="4" s="1"/>
  <c r="E712" i="4" a="1"/>
  <c r="E712" i="4" s="1"/>
  <c r="E711" i="4" a="1"/>
  <c r="E711" i="4" s="1"/>
  <c r="E710" i="4" a="1"/>
  <c r="E710" i="4" s="1"/>
  <c r="E708" i="4" a="1"/>
  <c r="E708" i="4" s="1"/>
  <c r="E707" i="4" a="1"/>
  <c r="E707" i="4" s="1"/>
  <c r="E706" i="4" a="1"/>
  <c r="E706" i="4" s="1"/>
  <c r="E705" i="4" a="1"/>
  <c r="E705" i="4" s="1"/>
  <c r="E704" i="4" a="1"/>
  <c r="E704" i="4" s="1"/>
  <c r="E703" i="4" a="1"/>
  <c r="E703" i="4" s="1"/>
  <c r="E702" i="4" a="1"/>
  <c r="E702" i="4" s="1"/>
  <c r="E701" i="4" a="1"/>
  <c r="E701" i="4" s="1"/>
  <c r="E700" i="4" a="1"/>
  <c r="E700" i="4" s="1"/>
  <c r="E699" i="4" a="1"/>
  <c r="E699" i="4" s="1"/>
  <c r="E698" i="4" a="1"/>
  <c r="E698" i="4" s="1"/>
  <c r="E697" i="4" a="1"/>
  <c r="E697" i="4" s="1"/>
  <c r="E696" i="4" a="1"/>
  <c r="E696" i="4" s="1"/>
  <c r="E695" i="4" a="1"/>
  <c r="E695" i="4" s="1"/>
  <c r="E694" i="4" a="1"/>
  <c r="E694" i="4" s="1"/>
  <c r="E693" i="4" a="1"/>
  <c r="E693" i="4" s="1"/>
  <c r="E692" i="4" a="1"/>
  <c r="E692" i="4" s="1"/>
  <c r="E691" i="4" a="1"/>
  <c r="E691" i="4" s="1"/>
  <c r="E690" i="4" a="1"/>
  <c r="E690" i="4" s="1"/>
  <c r="E689" i="4" a="1"/>
  <c r="E689" i="4" s="1"/>
  <c r="E688" i="4" a="1"/>
  <c r="E688" i="4" s="1"/>
  <c r="E687" i="4" a="1"/>
  <c r="E687" i="4" s="1"/>
  <c r="E686" i="4" a="1"/>
  <c r="E686" i="4" s="1"/>
  <c r="E685" i="4" a="1"/>
  <c r="E685" i="4" s="1"/>
  <c r="E683" i="4" a="1"/>
  <c r="E683" i="4" s="1"/>
  <c r="E682" i="4" a="1"/>
  <c r="E682" i="4" s="1"/>
  <c r="E681" i="4" a="1"/>
  <c r="E681" i="4" s="1"/>
  <c r="E680" i="4" a="1"/>
  <c r="E680" i="4" s="1"/>
  <c r="E679" i="4" a="1"/>
  <c r="E679" i="4" s="1"/>
  <c r="E676" i="4" a="1"/>
  <c r="E676" i="4" s="1"/>
  <c r="E675" i="4" a="1"/>
  <c r="E675" i="4" s="1"/>
  <c r="E674" i="4" a="1"/>
  <c r="E674" i="4" s="1"/>
  <c r="E673" i="4" a="1"/>
  <c r="E673" i="4" s="1"/>
  <c r="E672" i="4" a="1"/>
  <c r="E672" i="4" s="1"/>
  <c r="E670" i="4" a="1"/>
  <c r="E670" i="4" s="1"/>
  <c r="E669" i="4" a="1"/>
  <c r="E669" i="4" s="1"/>
  <c r="E668" i="4" a="1"/>
  <c r="E668" i="4" s="1"/>
  <c r="E667" i="4" a="1"/>
  <c r="E667" i="4" s="1"/>
  <c r="E666" i="4" a="1"/>
  <c r="E666" i="4" s="1"/>
  <c r="E665" i="4" a="1"/>
  <c r="E665" i="4" s="1"/>
  <c r="E664" i="4" a="1"/>
  <c r="E664" i="4" s="1"/>
  <c r="E657" i="4" a="1"/>
  <c r="E657" i="4" s="1"/>
  <c r="E656" i="4" a="1"/>
  <c r="E656" i="4" s="1"/>
  <c r="E655" i="4" a="1"/>
  <c r="E655" i="4" s="1"/>
  <c r="E650" i="4" a="1"/>
  <c r="E650" i="4" s="1"/>
  <c r="E649" i="4" a="1"/>
  <c r="E649" i="4" s="1"/>
  <c r="E648" i="4" a="1"/>
  <c r="E648" i="4" s="1"/>
  <c r="E647" i="4" a="1"/>
  <c r="E647" i="4" s="1"/>
  <c r="E644" i="4" a="1"/>
  <c r="E644" i="4" s="1"/>
  <c r="E643" i="4" a="1"/>
  <c r="E643" i="4" s="1"/>
  <c r="E641" i="4" a="1"/>
  <c r="E641" i="4" s="1"/>
  <c r="E640" i="4" a="1"/>
  <c r="E640" i="4" s="1"/>
  <c r="E639" i="4" a="1"/>
  <c r="E639" i="4" s="1"/>
  <c r="E638" i="4" a="1"/>
  <c r="E638" i="4" s="1"/>
  <c r="E637" i="4" a="1"/>
  <c r="E637" i="4" s="1"/>
  <c r="E636" i="4" a="1"/>
  <c r="E636" i="4" s="1"/>
  <c r="E635" i="4" a="1"/>
  <c r="E635" i="4" s="1"/>
  <c r="E634" i="4" a="1"/>
  <c r="E634" i="4" s="1"/>
  <c r="E633" i="4" a="1"/>
  <c r="E633" i="4" s="1"/>
  <c r="E632" i="4" a="1"/>
  <c r="E632" i="4" s="1"/>
  <c r="E631" i="4" a="1"/>
  <c r="E631" i="4" s="1"/>
  <c r="E630" i="4" a="1"/>
  <c r="E630" i="4" s="1"/>
  <c r="E629" i="4" a="1"/>
  <c r="E629" i="4" s="1"/>
  <c r="E628" i="4" a="1"/>
  <c r="E628" i="4" s="1"/>
  <c r="E627" i="4" a="1"/>
  <c r="E627" i="4" s="1"/>
  <c r="E626" i="4" a="1"/>
  <c r="E626" i="4" s="1"/>
  <c r="E625" i="4" a="1"/>
  <c r="E625" i="4" s="1"/>
  <c r="E624" i="4" a="1"/>
  <c r="E624" i="4" s="1"/>
  <c r="E623" i="4" a="1"/>
  <c r="E623" i="4" s="1"/>
  <c r="E622" i="4" a="1"/>
  <c r="E622" i="4" s="1"/>
  <c r="E618" i="4" a="1"/>
  <c r="E618" i="4" s="1"/>
  <c r="E617" i="4" a="1"/>
  <c r="E617" i="4" s="1"/>
  <c r="E616" i="4" a="1"/>
  <c r="E616" i="4" s="1"/>
  <c r="E615" i="4" a="1"/>
  <c r="E615" i="4" s="1"/>
  <c r="E614" i="4" a="1"/>
  <c r="E614" i="4" s="1"/>
  <c r="E613" i="4" a="1"/>
  <c r="E613" i="4" s="1"/>
  <c r="E612" i="4" a="1"/>
  <c r="E612" i="4" s="1"/>
  <c r="E611" i="4" a="1"/>
  <c r="E611" i="4" s="1"/>
  <c r="E610" i="4" a="1"/>
  <c r="E610" i="4" s="1"/>
  <c r="E607" i="4" a="1"/>
  <c r="E607" i="4" s="1"/>
  <c r="E606" i="4" a="1"/>
  <c r="E606" i="4" s="1"/>
  <c r="E605" i="4" a="1"/>
  <c r="E605" i="4" s="1"/>
  <c r="E604" i="4" a="1"/>
  <c r="E604" i="4" s="1"/>
  <c r="E603" i="4" a="1"/>
  <c r="E603" i="4" s="1"/>
  <c r="E602" i="4" a="1"/>
  <c r="E602" i="4" s="1"/>
  <c r="E599" i="4" a="1"/>
  <c r="E599" i="4" s="1"/>
  <c r="E598" i="4" a="1"/>
  <c r="E598" i="4" s="1"/>
  <c r="E597" i="4" a="1"/>
  <c r="E597" i="4" s="1"/>
  <c r="E596" i="4" a="1"/>
  <c r="E596" i="4" s="1"/>
  <c r="E593" i="4" a="1"/>
  <c r="E593" i="4" s="1"/>
  <c r="E592" i="4" a="1"/>
  <c r="E592" i="4" s="1"/>
  <c r="E591" i="4" a="1"/>
  <c r="E591" i="4" s="1"/>
  <c r="E590" i="4" a="1"/>
  <c r="E590" i="4" s="1"/>
  <c r="E589" i="4" a="1"/>
  <c r="E589" i="4" s="1"/>
  <c r="E588" i="4" a="1"/>
  <c r="E588" i="4" s="1"/>
  <c r="E585" i="4" a="1"/>
  <c r="E585" i="4" s="1"/>
  <c r="E584" i="4" a="1"/>
  <c r="E584" i="4" s="1"/>
  <c r="E583" i="4" a="1"/>
  <c r="E583" i="4" s="1"/>
  <c r="E582" i="4" a="1"/>
  <c r="E582" i="4" s="1"/>
  <c r="E581" i="4" a="1"/>
  <c r="E581" i="4" s="1"/>
  <c r="E580" i="4" a="1"/>
  <c r="E580" i="4" s="1"/>
  <c r="E579" i="4" a="1"/>
  <c r="E579" i="4" s="1"/>
  <c r="E578" i="4" a="1"/>
  <c r="E578" i="4" s="1"/>
  <c r="E577" i="4" a="1"/>
  <c r="E577" i="4" s="1"/>
  <c r="E576" i="4" a="1"/>
  <c r="E576" i="4" s="1"/>
  <c r="E575" i="4" a="1"/>
  <c r="E575" i="4" s="1"/>
  <c r="E574" i="4" a="1"/>
  <c r="E574" i="4" s="1"/>
  <c r="E573" i="4" a="1"/>
  <c r="E573" i="4" s="1"/>
  <c r="E571" i="4" a="1"/>
  <c r="E571" i="4" s="1"/>
  <c r="E569" i="4" a="1"/>
  <c r="E569" i="4" s="1"/>
  <c r="E568" i="4" a="1"/>
  <c r="E568" i="4" s="1"/>
  <c r="E567" i="4" a="1"/>
  <c r="E567" i="4" s="1"/>
  <c r="E566" i="4" a="1"/>
  <c r="E566" i="4" s="1"/>
  <c r="E565" i="4" a="1"/>
  <c r="E565" i="4" s="1"/>
  <c r="E558" i="4" a="1"/>
  <c r="E558" i="4" s="1"/>
  <c r="E557" i="4" a="1"/>
  <c r="E557" i="4" s="1"/>
  <c r="E556" i="4" a="1"/>
  <c r="E556" i="4" s="1"/>
  <c r="E555" i="4" a="1"/>
  <c r="E555" i="4" s="1"/>
  <c r="E554" i="4" a="1"/>
  <c r="E554" i="4" s="1"/>
  <c r="E550" i="4" a="1"/>
  <c r="E550" i="4" s="1"/>
  <c r="E549" i="4" a="1"/>
  <c r="E549" i="4" s="1"/>
  <c r="E548" i="4" a="1"/>
  <c r="E548" i="4" s="1"/>
  <c r="E547" i="4" a="1"/>
  <c r="E547" i="4" s="1"/>
  <c r="E546" i="4" a="1"/>
  <c r="E546" i="4" s="1"/>
  <c r="E545" i="4" a="1"/>
  <c r="E545" i="4" s="1"/>
  <c r="E544" i="4" a="1"/>
  <c r="E544" i="4" s="1"/>
  <c r="E543" i="4" a="1"/>
  <c r="E543" i="4" s="1"/>
  <c r="E542" i="4" a="1"/>
  <c r="E542" i="4" s="1"/>
  <c r="E541" i="4" a="1"/>
  <c r="E541" i="4" s="1"/>
  <c r="E538" i="4" a="1"/>
  <c r="E538" i="4" s="1"/>
  <c r="E537" i="4" a="1"/>
  <c r="E537" i="4" s="1"/>
  <c r="E536" i="4" a="1"/>
  <c r="E536" i="4" s="1"/>
  <c r="E535" i="4" a="1"/>
  <c r="E535" i="4" s="1"/>
  <c r="E534" i="4" a="1"/>
  <c r="E534" i="4" s="1"/>
  <c r="E532" i="4" a="1"/>
  <c r="E532" i="4" s="1"/>
  <c r="E531" i="4" a="1"/>
  <c r="E531" i="4" s="1"/>
  <c r="E530" i="4" a="1"/>
  <c r="E530" i="4" s="1"/>
  <c r="E529" i="4" a="1"/>
  <c r="E529" i="4" s="1"/>
  <c r="E523" i="4" a="1"/>
  <c r="E523" i="4" s="1"/>
  <c r="E522" i="4" a="1"/>
  <c r="E522" i="4" s="1"/>
  <c r="E521" i="4" a="1"/>
  <c r="E521" i="4" s="1"/>
  <c r="E519" i="4" a="1"/>
  <c r="E519" i="4" s="1"/>
  <c r="E518" i="4" a="1"/>
  <c r="E518" i="4" s="1"/>
  <c r="E517" i="4" a="1"/>
  <c r="E517" i="4" s="1"/>
  <c r="E516" i="4" a="1"/>
  <c r="E516" i="4" s="1"/>
  <c r="E514" i="4" a="1"/>
  <c r="E514" i="4" s="1"/>
  <c r="E513" i="4" a="1"/>
  <c r="E513" i="4" s="1"/>
  <c r="E512" i="4" a="1"/>
  <c r="E512" i="4" s="1"/>
  <c r="E511" i="4" a="1"/>
  <c r="E511" i="4" s="1"/>
  <c r="E510" i="4" a="1"/>
  <c r="E510" i="4" s="1"/>
  <c r="E509" i="4" a="1"/>
  <c r="E509" i="4" s="1"/>
  <c r="E508" i="4" a="1"/>
  <c r="E508" i="4" s="1"/>
  <c r="E507" i="4" a="1"/>
  <c r="E507" i="4" s="1"/>
  <c r="E506" i="4" a="1"/>
  <c r="E506" i="4" s="1"/>
  <c r="E502" i="4" a="1"/>
  <c r="E502" i="4" s="1"/>
  <c r="E501" i="4" a="1"/>
  <c r="E501" i="4" s="1"/>
  <c r="E500" i="4" a="1"/>
  <c r="E500" i="4" s="1"/>
  <c r="E499" i="4" a="1"/>
  <c r="E499" i="4" s="1"/>
  <c r="E498" i="4" a="1"/>
  <c r="E498" i="4" s="1"/>
  <c r="E497" i="4" a="1"/>
  <c r="E497" i="4" s="1"/>
  <c r="E495" i="4" a="1"/>
  <c r="E495" i="4" s="1"/>
  <c r="E494" i="4" a="1"/>
  <c r="E494" i="4" s="1"/>
  <c r="E493" i="4" a="1"/>
  <c r="E493" i="4" s="1"/>
  <c r="E492" i="4" a="1"/>
  <c r="E492" i="4" s="1"/>
  <c r="E491" i="4" a="1"/>
  <c r="E491" i="4" s="1"/>
  <c r="E489" i="4" a="1"/>
  <c r="E489" i="4" s="1"/>
  <c r="E488" i="4" a="1"/>
  <c r="E488" i="4" s="1"/>
  <c r="E487" i="4" a="1"/>
  <c r="E487" i="4" s="1"/>
  <c r="E486" i="4" a="1"/>
  <c r="E486" i="4" s="1"/>
  <c r="E485" i="4" a="1"/>
  <c r="E485" i="4" s="1"/>
  <c r="E484" i="4" a="1"/>
  <c r="E484" i="4" s="1"/>
  <c r="E482" i="4" a="1"/>
  <c r="E482" i="4" s="1"/>
  <c r="E481" i="4" a="1"/>
  <c r="E481" i="4" s="1"/>
  <c r="E480" i="4" a="1"/>
  <c r="E480" i="4" s="1"/>
  <c r="E479" i="4" a="1"/>
  <c r="E479" i="4" s="1"/>
  <c r="E478" i="4" a="1"/>
  <c r="E478" i="4" s="1"/>
  <c r="E477" i="4" a="1"/>
  <c r="E477" i="4" s="1"/>
  <c r="E476" i="4" a="1"/>
  <c r="E476" i="4" s="1"/>
  <c r="E475" i="4" a="1"/>
  <c r="E475" i="4" s="1"/>
  <c r="E474" i="4" a="1"/>
  <c r="E474" i="4" s="1"/>
  <c r="E473" i="4" a="1"/>
  <c r="E473" i="4" s="1"/>
  <c r="E472" i="4" a="1"/>
  <c r="E472" i="4" s="1"/>
  <c r="E468" i="4" a="1"/>
  <c r="E468" i="4" s="1"/>
  <c r="E467" i="4" a="1"/>
  <c r="E467" i="4" s="1"/>
  <c r="E466" i="4" a="1"/>
  <c r="E466" i="4" s="1"/>
  <c r="E465" i="4" a="1"/>
  <c r="E465" i="4" s="1"/>
  <c r="E464" i="4" a="1"/>
  <c r="E464" i="4" s="1"/>
  <c r="E463" i="4" a="1"/>
  <c r="E463" i="4" s="1"/>
  <c r="E462" i="4" a="1"/>
  <c r="E462" i="4" s="1"/>
  <c r="E460" i="4" a="1"/>
  <c r="E460" i="4" s="1"/>
  <c r="E459" i="4" a="1"/>
  <c r="E459" i="4" s="1"/>
  <c r="E458" i="4" a="1"/>
  <c r="E458" i="4" s="1"/>
  <c r="E457" i="4" a="1"/>
  <c r="E457" i="4" s="1"/>
  <c r="E453" i="4" a="1"/>
  <c r="E453" i="4" s="1"/>
  <c r="E452" i="4" a="1"/>
  <c r="E452" i="4" s="1"/>
  <c r="E451" i="4" a="1"/>
  <c r="E451" i="4" s="1"/>
  <c r="E450" i="4" a="1"/>
  <c r="E450" i="4" s="1"/>
  <c r="E448" i="4" a="1"/>
  <c r="E448" i="4" s="1"/>
  <c r="E447" i="4" a="1"/>
  <c r="E447" i="4" s="1"/>
  <c r="E444" i="4" a="1"/>
  <c r="E444" i="4" s="1"/>
  <c r="E443" i="4" a="1"/>
  <c r="E443" i="4" s="1"/>
  <c r="E442" i="4" a="1"/>
  <c r="E442" i="4" s="1"/>
  <c r="E441" i="4" a="1"/>
  <c r="E441" i="4" s="1"/>
  <c r="E440" i="4" a="1"/>
  <c r="E440" i="4" s="1"/>
  <c r="E439" i="4" a="1"/>
  <c r="E439" i="4" s="1"/>
  <c r="E437" i="4" a="1"/>
  <c r="E437" i="4" s="1"/>
  <c r="E436" i="4" a="1"/>
  <c r="E436" i="4" s="1"/>
  <c r="E435" i="4" a="1"/>
  <c r="E435" i="4" s="1"/>
  <c r="E434" i="4" a="1"/>
  <c r="E434" i="4" s="1"/>
  <c r="E433" i="4" a="1"/>
  <c r="E433" i="4" s="1"/>
  <c r="E432" i="4" a="1"/>
  <c r="E432" i="4" s="1"/>
  <c r="E431" i="4" a="1"/>
  <c r="E431" i="4" s="1"/>
  <c r="E430" i="4" a="1"/>
  <c r="E430" i="4" s="1"/>
  <c r="E429" i="4" a="1"/>
  <c r="E429" i="4" s="1"/>
  <c r="E428" i="4" a="1"/>
  <c r="E428" i="4" s="1"/>
  <c r="E427" i="4" a="1"/>
  <c r="E427" i="4" s="1"/>
  <c r="E426" i="4" a="1"/>
  <c r="E426" i="4" s="1"/>
  <c r="E425" i="4" a="1"/>
  <c r="E425" i="4" s="1"/>
  <c r="E424" i="4" a="1"/>
  <c r="E424" i="4" s="1"/>
  <c r="E423" i="4" a="1"/>
  <c r="E423" i="4" s="1"/>
  <c r="E420" i="4" a="1"/>
  <c r="E420" i="4" s="1"/>
  <c r="E410" i="4" a="1"/>
  <c r="E410" i="4" s="1"/>
  <c r="E409" i="4" a="1"/>
  <c r="E409" i="4" s="1"/>
  <c r="E408" i="4" a="1"/>
  <c r="E408" i="4" s="1"/>
  <c r="E406" i="4" a="1"/>
  <c r="E406" i="4" s="1"/>
  <c r="E404" i="4" a="1"/>
  <c r="E404" i="4" s="1"/>
  <c r="E403" i="4" a="1"/>
  <c r="E403" i="4" s="1"/>
  <c r="E402" i="4" a="1"/>
  <c r="E402" i="4" s="1"/>
  <c r="E398" i="4" a="1"/>
  <c r="E398" i="4" s="1"/>
  <c r="E397" i="4" a="1"/>
  <c r="E397" i="4" s="1"/>
  <c r="E395" i="4" a="1"/>
  <c r="E395" i="4" s="1"/>
  <c r="E394" i="4" a="1"/>
  <c r="E394" i="4" s="1"/>
  <c r="E393" i="4" a="1"/>
  <c r="E393" i="4" s="1"/>
  <c r="E392" i="4" a="1"/>
  <c r="E392" i="4" s="1"/>
  <c r="E391" i="4" a="1"/>
  <c r="E391" i="4" s="1"/>
  <c r="E390" i="4" a="1"/>
  <c r="E390" i="4" s="1"/>
  <c r="E389" i="4" a="1"/>
  <c r="E389" i="4" s="1"/>
  <c r="E388" i="4" a="1"/>
  <c r="E388" i="4" s="1"/>
  <c r="E387" i="4" a="1"/>
  <c r="E387" i="4" s="1"/>
  <c r="E385" i="4" a="1"/>
  <c r="E385" i="4" s="1"/>
  <c r="E384" i="4" a="1"/>
  <c r="E384" i="4" s="1"/>
  <c r="E383" i="4" a="1"/>
  <c r="E383" i="4" s="1"/>
  <c r="E382" i="4" a="1"/>
  <c r="E382" i="4" s="1"/>
  <c r="E381" i="4" a="1"/>
  <c r="E381" i="4" s="1"/>
  <c r="E380" i="4" a="1"/>
  <c r="E380" i="4" s="1"/>
  <c r="E374" i="4" a="1"/>
  <c r="E374" i="4" s="1"/>
  <c r="E373" i="4" a="1"/>
  <c r="E373" i="4" s="1"/>
  <c r="E372" i="4" a="1"/>
  <c r="E372" i="4" s="1"/>
  <c r="E371" i="4" a="1"/>
  <c r="E371" i="4" s="1"/>
  <c r="E370" i="4" a="1"/>
  <c r="E370" i="4" s="1"/>
  <c r="E369" i="4" a="1"/>
  <c r="E369" i="4" s="1"/>
  <c r="E368" i="4" a="1"/>
  <c r="E368" i="4" s="1"/>
  <c r="E367" i="4" a="1"/>
  <c r="E367" i="4" s="1"/>
  <c r="E366" i="4" a="1"/>
  <c r="E366" i="4" s="1"/>
  <c r="E365" i="4" a="1"/>
  <c r="E365" i="4" s="1"/>
  <c r="E364" i="4" a="1"/>
  <c r="E364" i="4" s="1"/>
  <c r="E363" i="4" a="1"/>
  <c r="E363" i="4" s="1"/>
  <c r="E359" i="4" a="1"/>
  <c r="E359" i="4" s="1"/>
  <c r="E358" i="4" a="1"/>
  <c r="E358" i="4" s="1"/>
  <c r="E357" i="4" a="1"/>
  <c r="E357" i="4" s="1"/>
  <c r="E356" i="4" a="1"/>
  <c r="E356" i="4" s="1"/>
  <c r="E355" i="4" a="1"/>
  <c r="E355" i="4" s="1"/>
  <c r="E354" i="4" a="1"/>
  <c r="E354" i="4" s="1"/>
  <c r="E350" i="4" a="1"/>
  <c r="E350" i="4" s="1"/>
  <c r="E349" i="4" a="1"/>
  <c r="E349" i="4" s="1"/>
  <c r="E348" i="4" a="1"/>
  <c r="E348" i="4" s="1"/>
  <c r="E347" i="4" a="1"/>
  <c r="E347" i="4" s="1"/>
  <c r="E346" i="4" a="1"/>
  <c r="E346" i="4" s="1"/>
  <c r="E345" i="4" a="1"/>
  <c r="E345" i="4" s="1"/>
  <c r="E344" i="4" a="1"/>
  <c r="E344" i="4" s="1"/>
  <c r="E343" i="4" a="1"/>
  <c r="E343" i="4" s="1"/>
  <c r="E342" i="4" a="1"/>
  <c r="E342" i="4" s="1"/>
  <c r="E341" i="4" a="1"/>
  <c r="E341" i="4" s="1"/>
  <c r="E340" i="4" a="1"/>
  <c r="E340" i="4" s="1"/>
  <c r="E339" i="4" a="1"/>
  <c r="E339" i="4" s="1"/>
  <c r="E338" i="4" a="1"/>
  <c r="E338" i="4" s="1"/>
  <c r="E336" i="4" a="1"/>
  <c r="E336" i="4" s="1"/>
  <c r="E335" i="4" a="1"/>
  <c r="E335" i="4" s="1"/>
  <c r="E334" i="4" a="1"/>
  <c r="E334" i="4" s="1"/>
  <c r="E333" i="4" a="1"/>
  <c r="E333" i="4" s="1"/>
  <c r="E332" i="4" a="1"/>
  <c r="E332" i="4" s="1"/>
  <c r="E330" i="4" a="1"/>
  <c r="E330" i="4" s="1"/>
  <c r="E329" i="4" a="1"/>
  <c r="E329" i="4" s="1"/>
  <c r="E328" i="4" a="1"/>
  <c r="E328" i="4" s="1"/>
  <c r="E327" i="4" a="1"/>
  <c r="E327" i="4" s="1"/>
  <c r="E326" i="4" a="1"/>
  <c r="E326" i="4" s="1"/>
  <c r="E325" i="4" a="1"/>
  <c r="E325" i="4" s="1"/>
  <c r="E324" i="4" a="1"/>
  <c r="E324" i="4" s="1"/>
  <c r="E323" i="4" a="1"/>
  <c r="E323" i="4" s="1"/>
  <c r="E322" i="4" a="1"/>
  <c r="E322" i="4" s="1"/>
  <c r="E321" i="4" a="1"/>
  <c r="E321" i="4" s="1"/>
  <c r="E320" i="4" a="1"/>
  <c r="E320" i="4" s="1"/>
  <c r="E319" i="4" a="1"/>
  <c r="E319" i="4" s="1"/>
  <c r="E318" i="4" a="1"/>
  <c r="E318" i="4" s="1"/>
  <c r="E317" i="4" a="1"/>
  <c r="E317" i="4" s="1"/>
  <c r="E316" i="4" a="1"/>
  <c r="E316" i="4" s="1"/>
  <c r="E315" i="4" a="1"/>
  <c r="E315" i="4" s="1"/>
  <c r="E314" i="4" a="1"/>
  <c r="E314" i="4" s="1"/>
  <c r="E313" i="4" a="1"/>
  <c r="E313" i="4" s="1"/>
  <c r="E312" i="4" a="1"/>
  <c r="E312" i="4" s="1"/>
  <c r="E311" i="4" a="1"/>
  <c r="E311" i="4" s="1"/>
  <c r="E310" i="4" a="1"/>
  <c r="E310" i="4" s="1"/>
  <c r="E309" i="4" a="1"/>
  <c r="E309" i="4" s="1"/>
  <c r="E308" i="4" a="1"/>
  <c r="E308" i="4" s="1"/>
  <c r="E305" i="4" a="1"/>
  <c r="E305" i="4" s="1"/>
  <c r="E304" i="4" a="1"/>
  <c r="E304" i="4" s="1"/>
  <c r="E303" i="4" a="1"/>
  <c r="E303" i="4" s="1"/>
  <c r="E302" i="4" a="1"/>
  <c r="E302" i="4" s="1"/>
  <c r="E301" i="4" a="1"/>
  <c r="E301" i="4" s="1"/>
  <c r="E300" i="4" a="1"/>
  <c r="E300" i="4" s="1"/>
  <c r="E299" i="4" a="1"/>
  <c r="E299" i="4" s="1"/>
  <c r="E298" i="4" a="1"/>
  <c r="E298" i="4" s="1"/>
  <c r="E295" i="4" a="1"/>
  <c r="E295" i="4" s="1"/>
  <c r="E294" i="4" a="1"/>
  <c r="E294" i="4" s="1"/>
  <c r="E293" i="4" a="1"/>
  <c r="E293" i="4" s="1"/>
  <c r="E290" i="4" a="1"/>
  <c r="E290" i="4" s="1"/>
  <c r="E289" i="4" a="1"/>
  <c r="E289" i="4" s="1"/>
  <c r="E288" i="4" a="1"/>
  <c r="E288" i="4" s="1"/>
  <c r="E286" i="4" a="1"/>
  <c r="E286" i="4" s="1"/>
  <c r="E285" i="4" a="1"/>
  <c r="E285" i="4" s="1"/>
  <c r="E284" i="4" a="1"/>
  <c r="E284" i="4" s="1"/>
  <c r="E283" i="4" a="1"/>
  <c r="E283" i="4" s="1"/>
  <c r="E282" i="4" a="1"/>
  <c r="E282" i="4" s="1"/>
  <c r="E281" i="4" a="1"/>
  <c r="E281" i="4" s="1"/>
  <c r="E279" i="4" a="1"/>
  <c r="E279" i="4" s="1"/>
  <c r="E277" i="4" a="1"/>
  <c r="E277" i="4" s="1"/>
  <c r="E276" i="4" a="1"/>
  <c r="E276" i="4" s="1"/>
  <c r="E275" i="4" a="1"/>
  <c r="E275" i="4" s="1"/>
  <c r="E274" i="4" a="1"/>
  <c r="E274" i="4" s="1"/>
  <c r="E273" i="4" a="1"/>
  <c r="E273" i="4" s="1"/>
  <c r="E272" i="4" a="1"/>
  <c r="E272" i="4" s="1"/>
  <c r="E271" i="4" a="1"/>
  <c r="E271" i="4" s="1"/>
  <c r="E269" i="4" a="1"/>
  <c r="E269" i="4" s="1"/>
  <c r="E268" i="4" a="1"/>
  <c r="E268" i="4" s="1"/>
  <c r="E267" i="4" a="1"/>
  <c r="E267" i="4" s="1"/>
  <c r="E264" i="4" a="1"/>
  <c r="E264" i="4" s="1"/>
  <c r="E261" i="4" a="1"/>
  <c r="E261" i="4" s="1"/>
  <c r="E260" i="4" a="1"/>
  <c r="E260" i="4" s="1"/>
  <c r="E259" i="4" a="1"/>
  <c r="E259" i="4" s="1"/>
  <c r="E257" i="4" a="1"/>
  <c r="E257" i="4" s="1"/>
  <c r="E256" i="4" a="1"/>
  <c r="E256" i="4" s="1"/>
  <c r="E255" i="4" a="1"/>
  <c r="E255" i="4" s="1"/>
  <c r="E254" i="4" a="1"/>
  <c r="E254" i="4" s="1"/>
  <c r="E253" i="4" a="1"/>
  <c r="E253" i="4" s="1"/>
  <c r="E252" i="4" a="1"/>
  <c r="E252" i="4" s="1"/>
  <c r="E251" i="4" a="1"/>
  <c r="E251" i="4" s="1"/>
  <c r="E250" i="4" a="1"/>
  <c r="E250" i="4" s="1"/>
  <c r="E249" i="4" a="1"/>
  <c r="E249" i="4" s="1"/>
  <c r="E245" i="4" a="1"/>
  <c r="E245" i="4" s="1"/>
  <c r="E244" i="4" a="1"/>
  <c r="E244" i="4" s="1"/>
  <c r="E243" i="4" a="1"/>
  <c r="E243" i="4" s="1"/>
  <c r="E242" i="4" a="1"/>
  <c r="E242" i="4" s="1"/>
  <c r="E241" i="4" a="1"/>
  <c r="E241" i="4" s="1"/>
  <c r="E240" i="4" a="1"/>
  <c r="E240" i="4" s="1"/>
  <c r="E239" i="4" a="1"/>
  <c r="E239" i="4" s="1"/>
  <c r="E238" i="4" a="1"/>
  <c r="E238" i="4" s="1"/>
  <c r="E237" i="4" a="1"/>
  <c r="E237" i="4" s="1"/>
  <c r="E236" i="4" a="1"/>
  <c r="E236" i="4" s="1"/>
  <c r="E235" i="4" a="1"/>
  <c r="E235" i="4" s="1"/>
  <c r="E234" i="4" a="1"/>
  <c r="E234" i="4" s="1"/>
  <c r="E231" i="4" a="1"/>
  <c r="E231" i="4" s="1"/>
  <c r="E230" i="4" a="1"/>
  <c r="E230" i="4" s="1"/>
  <c r="E229" i="4" a="1"/>
  <c r="E229" i="4" s="1"/>
  <c r="E224" i="4" a="1"/>
  <c r="E224" i="4" s="1"/>
  <c r="E223" i="4" a="1"/>
  <c r="E223" i="4" s="1"/>
  <c r="E222" i="4" a="1"/>
  <c r="E222" i="4" s="1"/>
  <c r="E221" i="4" a="1"/>
  <c r="E221" i="4" s="1"/>
  <c r="E218" i="4" a="1"/>
  <c r="E218" i="4" s="1"/>
  <c r="E217" i="4" a="1"/>
  <c r="E217" i="4" s="1"/>
  <c r="E216" i="4" a="1"/>
  <c r="E216" i="4" s="1"/>
  <c r="E215" i="4" a="1"/>
  <c r="E215" i="4" s="1"/>
  <c r="E214" i="4" a="1"/>
  <c r="E214" i="4" s="1"/>
  <c r="E213" i="4" a="1"/>
  <c r="E213" i="4" s="1"/>
  <c r="E212" i="4" a="1"/>
  <c r="E212" i="4" s="1"/>
  <c r="E211" i="4" a="1"/>
  <c r="E211" i="4" s="1"/>
  <c r="E210" i="4" a="1"/>
  <c r="E210" i="4" s="1"/>
  <c r="E209" i="4" a="1"/>
  <c r="E209" i="4" s="1"/>
  <c r="E208" i="4" a="1"/>
  <c r="E208" i="4" s="1"/>
  <c r="E207" i="4" a="1"/>
  <c r="E207" i="4" s="1"/>
  <c r="E206" i="4" a="1"/>
  <c r="E206" i="4" s="1"/>
  <c r="E205" i="4" a="1"/>
  <c r="E205" i="4" s="1"/>
  <c r="E204" i="4" a="1"/>
  <c r="E204" i="4" s="1"/>
  <c r="E203" i="4" a="1"/>
  <c r="E203" i="4" s="1"/>
  <c r="E202" i="4" a="1"/>
  <c r="E202" i="4" s="1"/>
  <c r="E201" i="4" a="1"/>
  <c r="E201" i="4" s="1"/>
  <c r="E200" i="4" a="1"/>
  <c r="E200" i="4" s="1"/>
  <c r="E199" i="4" a="1"/>
  <c r="E199" i="4" s="1"/>
  <c r="E198" i="4" a="1"/>
  <c r="E198" i="4" s="1"/>
  <c r="E197" i="4" a="1"/>
  <c r="E197" i="4" s="1"/>
  <c r="E196" i="4" a="1"/>
  <c r="E196" i="4" s="1"/>
  <c r="E195" i="4" a="1"/>
  <c r="E195" i="4" s="1"/>
  <c r="E194" i="4" a="1"/>
  <c r="E194" i="4" s="1"/>
  <c r="E193" i="4" a="1"/>
  <c r="E193" i="4" s="1"/>
  <c r="E192" i="4" a="1"/>
  <c r="E192" i="4" s="1"/>
  <c r="E191" i="4" a="1"/>
  <c r="E191" i="4" s="1"/>
  <c r="E188" i="4" a="1"/>
  <c r="E188" i="4" s="1"/>
  <c r="E187" i="4" a="1"/>
  <c r="E187" i="4" s="1"/>
  <c r="E186" i="4" a="1"/>
  <c r="E186" i="4" s="1"/>
  <c r="E185" i="4" a="1"/>
  <c r="E185" i="4" s="1"/>
  <c r="E181" i="4" a="1"/>
  <c r="E181" i="4" s="1"/>
  <c r="E179" i="4" a="1"/>
  <c r="E179" i="4" s="1"/>
  <c r="E178" i="4" a="1"/>
  <c r="E178" i="4" s="1"/>
  <c r="E176" i="4" a="1"/>
  <c r="E176" i="4" s="1"/>
  <c r="E175" i="4" a="1"/>
  <c r="E175" i="4" s="1"/>
  <c r="E174" i="4" a="1"/>
  <c r="E174" i="4" s="1"/>
  <c r="E173" i="4" a="1"/>
  <c r="E173" i="4" s="1"/>
  <c r="E172" i="4" a="1"/>
  <c r="E172" i="4" s="1"/>
  <c r="E171" i="4" a="1"/>
  <c r="E171" i="4" s="1"/>
  <c r="E170" i="4" a="1"/>
  <c r="E170" i="4" s="1"/>
  <c r="E169" i="4" a="1"/>
  <c r="E169" i="4" s="1"/>
  <c r="E167" i="4" a="1"/>
  <c r="E167" i="4" s="1"/>
  <c r="E166" i="4" a="1"/>
  <c r="E166" i="4" s="1"/>
  <c r="E165" i="4" a="1"/>
  <c r="E165" i="4" s="1"/>
  <c r="E162" i="4" a="1"/>
  <c r="E162" i="4" s="1"/>
  <c r="E155" i="4" a="1"/>
  <c r="E155" i="4" s="1"/>
  <c r="E154" i="4" a="1"/>
  <c r="E154" i="4" s="1"/>
  <c r="E153" i="4" a="1"/>
  <c r="E153" i="4" s="1"/>
  <c r="E152" i="4" a="1"/>
  <c r="E152" i="4" s="1"/>
  <c r="E151" i="4" a="1"/>
  <c r="E151" i="4" s="1"/>
  <c r="E150" i="4" a="1"/>
  <c r="E150" i="4" s="1"/>
  <c r="E149" i="4" a="1"/>
  <c r="E149" i="4" s="1"/>
  <c r="E148" i="4" a="1"/>
  <c r="E148" i="4" s="1"/>
  <c r="E143" i="4" a="1"/>
  <c r="E143" i="4" s="1"/>
  <c r="E142" i="4" a="1"/>
  <c r="E142" i="4" s="1"/>
  <c r="E138" i="4" a="1"/>
  <c r="E138" i="4" s="1"/>
  <c r="E137" i="4" a="1"/>
  <c r="E137" i="4" s="1"/>
  <c r="E134" i="4" a="1"/>
  <c r="E134" i="4" s="1"/>
  <c r="E130" i="4" a="1"/>
  <c r="E130" i="4" s="1"/>
  <c r="E129" i="4" a="1"/>
  <c r="E129" i="4" s="1"/>
  <c r="E128" i="4" a="1"/>
  <c r="E128" i="4" s="1"/>
  <c r="E127" i="4" a="1"/>
  <c r="E127" i="4" s="1"/>
  <c r="E126" i="4" a="1"/>
  <c r="E126" i="4" s="1"/>
  <c r="E124" i="4" a="1"/>
  <c r="E124" i="4" s="1"/>
  <c r="E123" i="4" a="1"/>
  <c r="E123" i="4" s="1"/>
  <c r="E122" i="4" a="1"/>
  <c r="E122" i="4" s="1"/>
  <c r="E116" i="4" a="1"/>
  <c r="E116" i="4" s="1"/>
  <c r="E115" i="4" a="1"/>
  <c r="E115" i="4" s="1"/>
  <c r="E114" i="4" a="1"/>
  <c r="E114" i="4" s="1"/>
  <c r="E106" i="4" a="1"/>
  <c r="E106" i="4" s="1"/>
  <c r="E100" i="4" a="1"/>
  <c r="E100" i="4" s="1"/>
  <c r="E97" i="4" a="1"/>
  <c r="E97" i="4" s="1"/>
  <c r="E96" i="4" a="1"/>
  <c r="E96" i="4" s="1"/>
  <c r="E95" i="4" a="1"/>
  <c r="E95" i="4" s="1"/>
  <c r="E94" i="4" a="1"/>
  <c r="E94" i="4" s="1"/>
  <c r="E93" i="4" a="1"/>
  <c r="E93" i="4" s="1"/>
  <c r="E92" i="4" a="1"/>
  <c r="E92" i="4" s="1"/>
  <c r="E91" i="4" a="1"/>
  <c r="E91" i="4" s="1"/>
  <c r="E90" i="4" a="1"/>
  <c r="E90" i="4" s="1"/>
  <c r="E89" i="4" a="1"/>
  <c r="E89" i="4" s="1"/>
  <c r="E88" i="4" a="1"/>
  <c r="E88" i="4" s="1"/>
  <c r="E87" i="4" a="1"/>
  <c r="E87" i="4" s="1"/>
  <c r="E85" i="4" a="1"/>
  <c r="E85" i="4" s="1"/>
  <c r="E82" i="4" a="1"/>
  <c r="E82" i="4" s="1"/>
  <c r="E81" i="4" a="1"/>
  <c r="E81" i="4" s="1"/>
  <c r="E80" i="4" a="1"/>
  <c r="E80" i="4" s="1"/>
  <c r="E79" i="4" a="1"/>
  <c r="E79" i="4" s="1"/>
  <c r="E72" i="4" a="1"/>
  <c r="E72" i="4" s="1"/>
  <c r="E71" i="4" a="1"/>
  <c r="E71" i="4" s="1"/>
  <c r="E70" i="4" a="1"/>
  <c r="E70" i="4" s="1"/>
  <c r="E69" i="4" a="1"/>
  <c r="E69" i="4" s="1"/>
  <c r="E68" i="4" a="1"/>
  <c r="E68" i="4" s="1"/>
  <c r="E66" i="4" a="1"/>
  <c r="E66" i="4" s="1"/>
  <c r="E65" i="4" a="1"/>
  <c r="E65" i="4" s="1"/>
  <c r="E64" i="4" a="1"/>
  <c r="E64" i="4" s="1"/>
  <c r="E63" i="4" a="1"/>
  <c r="E63" i="4" s="1"/>
  <c r="E62" i="4" a="1"/>
  <c r="E62" i="4" s="1"/>
  <c r="E61" i="4" a="1"/>
  <c r="E61" i="4" s="1"/>
  <c r="E60" i="4" a="1"/>
  <c r="E60" i="4" s="1"/>
  <c r="E55" i="4" a="1"/>
  <c r="E55" i="4" s="1"/>
  <c r="E52" i="4" a="1"/>
  <c r="E52" i="4" s="1"/>
  <c r="E50" i="4" a="1"/>
  <c r="E50" i="4" s="1"/>
  <c r="E49" i="4" a="1"/>
  <c r="E49" i="4" s="1"/>
  <c r="E48" i="4" a="1"/>
  <c r="E48" i="4" s="1"/>
  <c r="E47" i="4" a="1"/>
  <c r="E47" i="4" s="1"/>
  <c r="E46" i="4" a="1"/>
  <c r="E46" i="4" s="1"/>
  <c r="E45" i="4" a="1"/>
  <c r="E45" i="4" s="1"/>
  <c r="E44" i="4" a="1"/>
  <c r="E44" i="4" s="1"/>
  <c r="E43" i="4" a="1"/>
  <c r="E43" i="4" s="1"/>
  <c r="E42" i="4" a="1"/>
  <c r="E42" i="4" s="1"/>
  <c r="E41" i="4" a="1"/>
  <c r="E41" i="4" s="1"/>
  <c r="E40" i="4" a="1"/>
  <c r="E40" i="4" s="1"/>
  <c r="E36" i="4" a="1"/>
  <c r="E36" i="4" s="1"/>
  <c r="E35" i="4" a="1"/>
  <c r="E35" i="4" s="1"/>
  <c r="E34" i="4" a="1"/>
  <c r="E34" i="4" s="1"/>
  <c r="E33" i="4" a="1"/>
  <c r="E33" i="4" s="1"/>
  <c r="E32" i="4" a="1"/>
  <c r="E32" i="4" s="1"/>
  <c r="E31" i="4" a="1"/>
  <c r="E31" i="4" s="1"/>
  <c r="E30" i="4" a="1"/>
  <c r="E30" i="4" s="1"/>
  <c r="E27" i="4" a="1"/>
  <c r="E27" i="4" s="1"/>
  <c r="E26" i="4" a="1"/>
  <c r="E26" i="4" s="1"/>
  <c r="E23" i="4" a="1"/>
  <c r="E23" i="4" s="1"/>
  <c r="E22" i="4" a="1"/>
  <c r="E22" i="4" s="1"/>
  <c r="E21" i="4" a="1"/>
  <c r="E21" i="4" s="1"/>
  <c r="E20" i="4" a="1"/>
  <c r="E20" i="4" s="1"/>
  <c r="E19" i="4" a="1"/>
  <c r="E19" i="4" s="1"/>
  <c r="E16" i="4" a="1"/>
  <c r="E16" i="4" s="1"/>
  <c r="E17" i="4" a="1"/>
  <c r="E17" i="4" s="1"/>
  <c r="E18" i="4" a="1"/>
  <c r="E18" i="4" s="1"/>
  <c r="E15" i="4" a="1"/>
  <c r="E15" i="4" s="1"/>
  <c r="N9" i="4" a="1"/>
  <c r="N9" i="4" s="1"/>
  <c r="N13" i="4" a="1"/>
  <c r="N13" i="4" s="1"/>
  <c r="N14" i="4" a="1"/>
  <c r="N14" i="4" s="1"/>
  <c r="N15" i="4" a="1"/>
  <c r="N15" i="4" s="1"/>
  <c r="N16" i="4" a="1"/>
  <c r="N16" i="4" s="1"/>
  <c r="N17" i="4" a="1"/>
  <c r="N17" i="4" s="1"/>
  <c r="N18" i="4" a="1"/>
  <c r="N18" i="4" s="1"/>
  <c r="N19" i="4" a="1"/>
  <c r="N19" i="4" s="1"/>
  <c r="N20" i="4" a="1"/>
  <c r="N20" i="4" s="1"/>
  <c r="N21" i="4" a="1"/>
  <c r="N21" i="4" s="1"/>
  <c r="N22" i="4" a="1"/>
  <c r="N22" i="4" s="1"/>
  <c r="N23" i="4" a="1"/>
  <c r="N23" i="4" s="1"/>
  <c r="N24" i="4" a="1"/>
  <c r="N24" i="4" s="1"/>
  <c r="N25" i="4" a="1"/>
  <c r="N25" i="4" s="1"/>
  <c r="N26" i="4" a="1"/>
  <c r="N26" i="4" s="1"/>
  <c r="N27" i="4" a="1"/>
  <c r="N27" i="4" s="1"/>
  <c r="N28" i="4" a="1"/>
  <c r="N28" i="4" s="1"/>
  <c r="N29" i="4" a="1"/>
  <c r="N29" i="4" s="1"/>
  <c r="N30" i="4" a="1"/>
  <c r="N30" i="4" s="1"/>
  <c r="N31" i="4" a="1"/>
  <c r="N31" i="4" s="1"/>
  <c r="N32" i="4" a="1"/>
  <c r="N32" i="4" s="1"/>
  <c r="N33" i="4" a="1"/>
  <c r="N33" i="4" s="1"/>
  <c r="N34" i="4" a="1"/>
  <c r="N34" i="4" s="1"/>
  <c r="N35" i="4" a="1"/>
  <c r="N35" i="4" s="1"/>
  <c r="N36" i="4" a="1"/>
  <c r="N36" i="4" s="1"/>
  <c r="N37" i="4" a="1"/>
  <c r="N37" i="4" s="1"/>
  <c r="N38" i="4" a="1"/>
  <c r="N38" i="4" s="1"/>
  <c r="N39" i="4" a="1"/>
  <c r="N39" i="4" s="1"/>
  <c r="N40" i="4" a="1"/>
  <c r="N40" i="4" s="1"/>
  <c r="N41" i="4" a="1"/>
  <c r="N41" i="4" s="1"/>
  <c r="N42" i="4" a="1"/>
  <c r="N42" i="4" s="1"/>
  <c r="N43" i="4" a="1"/>
  <c r="N43" i="4" s="1"/>
  <c r="N44" i="4" a="1"/>
  <c r="N44" i="4" s="1"/>
  <c r="N45" i="4" a="1"/>
  <c r="N45" i="4" s="1"/>
  <c r="N46" i="4" a="1"/>
  <c r="N46" i="4" s="1"/>
  <c r="N47" i="4" a="1"/>
  <c r="N47" i="4" s="1"/>
  <c r="N48" i="4" a="1"/>
  <c r="N48" i="4" s="1"/>
  <c r="N49" i="4" a="1"/>
  <c r="N49" i="4" s="1"/>
  <c r="N50" i="4" a="1"/>
  <c r="N50" i="4" s="1"/>
  <c r="N51" i="4" a="1"/>
  <c r="N51" i="4" s="1"/>
  <c r="N52" i="4" a="1"/>
  <c r="N52" i="4" s="1"/>
  <c r="N53" i="4" a="1"/>
  <c r="N53" i="4" s="1"/>
  <c r="N54" i="4" a="1"/>
  <c r="N54" i="4" s="1"/>
  <c r="N55" i="4" a="1"/>
  <c r="N55" i="4" s="1"/>
  <c r="N56" i="4" a="1"/>
  <c r="N56" i="4" s="1"/>
  <c r="N57" i="4" a="1"/>
  <c r="N57" i="4" s="1"/>
  <c r="N58" i="4" a="1"/>
  <c r="N58" i="4" s="1"/>
  <c r="N59" i="4" a="1"/>
  <c r="N59" i="4" s="1"/>
  <c r="N60" i="4" a="1"/>
  <c r="N60" i="4" s="1"/>
  <c r="N61" i="4" a="1"/>
  <c r="N61" i="4" s="1"/>
  <c r="N62" i="4" a="1"/>
  <c r="N62" i="4" s="1"/>
  <c r="N63" i="4" a="1"/>
  <c r="N63" i="4" s="1"/>
  <c r="N64" i="4" a="1"/>
  <c r="N64" i="4" s="1"/>
  <c r="N65" i="4" a="1"/>
  <c r="N65" i="4" s="1"/>
  <c r="N66" i="4" a="1"/>
  <c r="N66" i="4" s="1"/>
  <c r="N67" i="4" a="1"/>
  <c r="N67" i="4" s="1"/>
  <c r="N68" i="4" a="1"/>
  <c r="N68" i="4" s="1"/>
  <c r="N69" i="4" a="1"/>
  <c r="N69" i="4" s="1"/>
  <c r="N70" i="4" a="1"/>
  <c r="N70" i="4" s="1"/>
  <c r="N71" i="4" a="1"/>
  <c r="N71" i="4" s="1"/>
  <c r="N72" i="4" a="1"/>
  <c r="N72" i="4" s="1"/>
  <c r="N73" i="4" a="1"/>
  <c r="N73" i="4" s="1"/>
  <c r="N74" i="4" a="1"/>
  <c r="N74" i="4" s="1"/>
  <c r="N75" i="4" a="1"/>
  <c r="N75" i="4" s="1"/>
  <c r="N76" i="4" a="1"/>
  <c r="N76" i="4" s="1"/>
  <c r="N77" i="4" a="1"/>
  <c r="N77" i="4" s="1"/>
  <c r="N78" i="4" a="1"/>
  <c r="N78" i="4" s="1"/>
  <c r="N79" i="4" a="1"/>
  <c r="N79" i="4" s="1"/>
  <c r="N80" i="4" a="1"/>
  <c r="N80" i="4" s="1"/>
  <c r="N81" i="4" a="1"/>
  <c r="N81" i="4" s="1"/>
  <c r="N82" i="4" a="1"/>
  <c r="N82" i="4" s="1"/>
  <c r="N83" i="4" a="1"/>
  <c r="N83" i="4" s="1"/>
  <c r="N84" i="4" a="1"/>
  <c r="N84" i="4" s="1"/>
  <c r="N85" i="4" a="1"/>
  <c r="N85" i="4" s="1"/>
  <c r="N86" i="4" a="1"/>
  <c r="N86" i="4" s="1"/>
  <c r="N87" i="4" a="1"/>
  <c r="N87" i="4" s="1"/>
  <c r="N88" i="4" a="1"/>
  <c r="N88" i="4" s="1"/>
  <c r="N89" i="4" a="1"/>
  <c r="N89" i="4" s="1"/>
  <c r="N90" i="4" a="1"/>
  <c r="N90" i="4" s="1"/>
  <c r="N91" i="4" a="1"/>
  <c r="N91" i="4" s="1"/>
  <c r="N92" i="4" a="1"/>
  <c r="N92" i="4" s="1"/>
  <c r="N93" i="4" a="1"/>
  <c r="N93" i="4" s="1"/>
  <c r="N94" i="4" a="1"/>
  <c r="N94" i="4" s="1"/>
  <c r="N95" i="4" a="1"/>
  <c r="N95" i="4" s="1"/>
  <c r="N96" i="4" a="1"/>
  <c r="N96" i="4" s="1"/>
  <c r="N97" i="4" a="1"/>
  <c r="N97" i="4" s="1"/>
  <c r="N98" i="4" a="1"/>
  <c r="N98" i="4" s="1"/>
  <c r="N99" i="4" a="1"/>
  <c r="N99" i="4" s="1"/>
  <c r="N100" i="4" a="1"/>
  <c r="N100" i="4" s="1"/>
  <c r="N101" i="4" a="1"/>
  <c r="N101" i="4" s="1"/>
  <c r="N102" i="4" a="1"/>
  <c r="N102" i="4" s="1"/>
  <c r="N103" i="4" a="1"/>
  <c r="N103" i="4" s="1"/>
  <c r="N104" i="4" a="1"/>
  <c r="N104" i="4" s="1"/>
  <c r="N105" i="4" a="1"/>
  <c r="N105" i="4" s="1"/>
  <c r="N106" i="4" a="1"/>
  <c r="N106" i="4" s="1"/>
  <c r="N107" i="4" a="1"/>
  <c r="N107" i="4" s="1"/>
  <c r="N108" i="4" a="1"/>
  <c r="N108" i="4" s="1"/>
  <c r="N109" i="4" a="1"/>
  <c r="N109" i="4" s="1"/>
  <c r="N110" i="4" a="1"/>
  <c r="N110" i="4" s="1"/>
  <c r="N111" i="4" a="1"/>
  <c r="N111" i="4" s="1"/>
  <c r="N112" i="4" a="1"/>
  <c r="N112" i="4" s="1"/>
  <c r="N113" i="4" a="1"/>
  <c r="N113" i="4" s="1"/>
  <c r="N114" i="4" a="1"/>
  <c r="N114" i="4" s="1"/>
  <c r="N115" i="4" a="1"/>
  <c r="N115" i="4" s="1"/>
  <c r="N116" i="4" a="1"/>
  <c r="N116" i="4" s="1"/>
  <c r="N117" i="4" a="1"/>
  <c r="N117" i="4" s="1"/>
  <c r="N118" i="4" a="1"/>
  <c r="N118" i="4" s="1"/>
  <c r="N119" i="4" a="1"/>
  <c r="N119" i="4" s="1"/>
  <c r="N120" i="4" a="1"/>
  <c r="N120" i="4" s="1"/>
  <c r="N121" i="4" a="1"/>
  <c r="N121" i="4" s="1"/>
  <c r="N122" i="4" a="1"/>
  <c r="N122" i="4" s="1"/>
  <c r="N123" i="4" a="1"/>
  <c r="N123" i="4" s="1"/>
  <c r="N124" i="4" a="1"/>
  <c r="N124" i="4" s="1"/>
  <c r="N125" i="4" a="1"/>
  <c r="N125" i="4" s="1"/>
  <c r="N126" i="4" a="1"/>
  <c r="N126" i="4" s="1"/>
  <c r="N127" i="4" a="1"/>
  <c r="N127" i="4" s="1"/>
  <c r="N128" i="4" a="1"/>
  <c r="N128" i="4" s="1"/>
  <c r="N129" i="4" a="1"/>
  <c r="N129" i="4" s="1"/>
  <c r="N130" i="4" a="1"/>
  <c r="N130" i="4" s="1"/>
  <c r="N131" i="4" a="1"/>
  <c r="N131" i="4" s="1"/>
  <c r="N132" i="4" a="1"/>
  <c r="N132" i="4" s="1"/>
  <c r="N133" i="4" a="1"/>
  <c r="N133" i="4" s="1"/>
  <c r="N134" i="4" a="1"/>
  <c r="N134" i="4" s="1"/>
  <c r="N135" i="4" a="1"/>
  <c r="N135" i="4" s="1"/>
  <c r="N136" i="4" a="1"/>
  <c r="N136" i="4" s="1"/>
  <c r="N137" i="4" a="1"/>
  <c r="N137" i="4" s="1"/>
  <c r="N138" i="4" a="1"/>
  <c r="N138" i="4" s="1"/>
  <c r="N139" i="4" a="1"/>
  <c r="N139" i="4" s="1"/>
  <c r="N140" i="4" a="1"/>
  <c r="N140" i="4" s="1"/>
  <c r="N141" i="4" a="1"/>
  <c r="N141" i="4" s="1"/>
  <c r="N142" i="4" a="1"/>
  <c r="N142" i="4" s="1"/>
  <c r="N143" i="4" a="1"/>
  <c r="N143" i="4" s="1"/>
  <c r="N144" i="4" a="1"/>
  <c r="N144" i="4" s="1"/>
  <c r="N145" i="4" a="1"/>
  <c r="N145" i="4" s="1"/>
  <c r="N146" i="4" a="1"/>
  <c r="N146" i="4" s="1"/>
  <c r="N147" i="4" a="1"/>
  <c r="N147" i="4" s="1"/>
  <c r="N148" i="4" a="1"/>
  <c r="N148" i="4" s="1"/>
  <c r="N149" i="4" a="1"/>
  <c r="N149" i="4" s="1"/>
  <c r="N150" i="4" a="1"/>
  <c r="N150" i="4" s="1"/>
  <c r="N151" i="4" a="1"/>
  <c r="N151" i="4" s="1"/>
  <c r="N152" i="4" a="1"/>
  <c r="N152" i="4" s="1"/>
  <c r="N153" i="4" a="1"/>
  <c r="N153" i="4" s="1"/>
  <c r="N154" i="4" a="1"/>
  <c r="N154" i="4" s="1"/>
  <c r="N155" i="4" a="1"/>
  <c r="N155" i="4" s="1"/>
  <c r="N156" i="4" a="1"/>
  <c r="N156" i="4" s="1"/>
  <c r="N157" i="4" a="1"/>
  <c r="N157" i="4" s="1"/>
  <c r="N158" i="4" a="1"/>
  <c r="N158" i="4" s="1"/>
  <c r="N159" i="4" a="1"/>
  <c r="N159" i="4" s="1"/>
  <c r="N160" i="4" a="1"/>
  <c r="N160" i="4" s="1"/>
  <c r="N161" i="4" a="1"/>
  <c r="N161" i="4" s="1"/>
  <c r="N162" i="4" a="1"/>
  <c r="N162" i="4" s="1"/>
  <c r="N163" i="4" a="1"/>
  <c r="N163" i="4" s="1"/>
  <c r="N164" i="4" a="1"/>
  <c r="N164" i="4" s="1"/>
  <c r="N165" i="4" a="1"/>
  <c r="N165" i="4" s="1"/>
  <c r="N166" i="4" a="1"/>
  <c r="N166" i="4" s="1"/>
  <c r="N167" i="4" a="1"/>
  <c r="N167" i="4" s="1"/>
  <c r="N168" i="4" a="1"/>
  <c r="N168" i="4" s="1"/>
  <c r="N169" i="4" a="1"/>
  <c r="N169" i="4" s="1"/>
  <c r="N170" i="4" a="1"/>
  <c r="N170" i="4" s="1"/>
  <c r="N171" i="4" a="1"/>
  <c r="N171" i="4" s="1"/>
  <c r="N172" i="4" a="1"/>
  <c r="N172" i="4" s="1"/>
  <c r="N173" i="4" a="1"/>
  <c r="N173" i="4" s="1"/>
  <c r="N174" i="4" a="1"/>
  <c r="N174" i="4" s="1"/>
  <c r="N175" i="4" a="1"/>
  <c r="N175" i="4" s="1"/>
  <c r="N176" i="4" a="1"/>
  <c r="N176" i="4" s="1"/>
  <c r="N177" i="4" a="1"/>
  <c r="N177" i="4" s="1"/>
  <c r="N178" i="4" a="1"/>
  <c r="N178" i="4" s="1"/>
  <c r="N179" i="4" a="1"/>
  <c r="N179" i="4" s="1"/>
  <c r="N180" i="4" a="1"/>
  <c r="N180" i="4" s="1"/>
  <c r="N181" i="4" a="1"/>
  <c r="N181" i="4" s="1"/>
  <c r="N182" i="4" a="1"/>
  <c r="N182" i="4" s="1"/>
  <c r="N183" i="4" a="1"/>
  <c r="N183" i="4" s="1"/>
  <c r="N184" i="4" a="1"/>
  <c r="N184" i="4" s="1"/>
  <c r="N185" i="4" a="1"/>
  <c r="N185" i="4" s="1"/>
  <c r="N186" i="4" a="1"/>
  <c r="N186" i="4" s="1"/>
  <c r="N187" i="4" a="1"/>
  <c r="N187" i="4" s="1"/>
  <c r="N188" i="4" a="1"/>
  <c r="N188" i="4" s="1"/>
  <c r="N189" i="4" a="1"/>
  <c r="N189" i="4" s="1"/>
  <c r="N190" i="4" a="1"/>
  <c r="N190" i="4" s="1"/>
  <c r="N191" i="4" a="1"/>
  <c r="N191" i="4" s="1"/>
  <c r="N192" i="4" a="1"/>
  <c r="N192" i="4" s="1"/>
  <c r="N193" i="4" a="1"/>
  <c r="N193" i="4" s="1"/>
  <c r="N194" i="4" a="1"/>
  <c r="N194" i="4" s="1"/>
  <c r="N195" i="4" a="1"/>
  <c r="N195" i="4" s="1"/>
  <c r="N196" i="4" a="1"/>
  <c r="N196" i="4" s="1"/>
  <c r="N197" i="4" a="1"/>
  <c r="N197" i="4" s="1"/>
  <c r="N198" i="4" a="1"/>
  <c r="N198" i="4" s="1"/>
  <c r="N199" i="4" a="1"/>
  <c r="N199" i="4" s="1"/>
  <c r="N200" i="4" a="1"/>
  <c r="N200" i="4" s="1"/>
  <c r="N201" i="4" a="1"/>
  <c r="N201" i="4" s="1"/>
  <c r="N202" i="4" a="1"/>
  <c r="N202" i="4" s="1"/>
  <c r="N203" i="4" a="1"/>
  <c r="N203" i="4" s="1"/>
  <c r="N204" i="4" a="1"/>
  <c r="N204" i="4" s="1"/>
  <c r="N205" i="4" a="1"/>
  <c r="N205" i="4" s="1"/>
  <c r="N206" i="4" a="1"/>
  <c r="N206" i="4" s="1"/>
  <c r="N207" i="4" a="1"/>
  <c r="N207" i="4" s="1"/>
  <c r="N208" i="4" a="1"/>
  <c r="N208" i="4" s="1"/>
  <c r="N209" i="4" a="1"/>
  <c r="N209" i="4" s="1"/>
  <c r="N210" i="4" a="1"/>
  <c r="N210" i="4" s="1"/>
  <c r="N211" i="4" a="1"/>
  <c r="N211" i="4" s="1"/>
  <c r="N212" i="4" a="1"/>
  <c r="N212" i="4" s="1"/>
  <c r="N213" i="4" a="1"/>
  <c r="N213" i="4" s="1"/>
  <c r="N214" i="4" a="1"/>
  <c r="N214" i="4" s="1"/>
  <c r="N215" i="4" a="1"/>
  <c r="N215" i="4" s="1"/>
  <c r="N216" i="4" a="1"/>
  <c r="N216" i="4" s="1"/>
  <c r="N217" i="4" a="1"/>
  <c r="N217" i="4" s="1"/>
  <c r="N218" i="4" a="1"/>
  <c r="N218" i="4" s="1"/>
  <c r="N219" i="4" a="1"/>
  <c r="N219" i="4" s="1"/>
  <c r="N220" i="4" a="1"/>
  <c r="N220" i="4" s="1"/>
  <c r="N221" i="4" a="1"/>
  <c r="N221" i="4" s="1"/>
  <c r="N222" i="4" a="1"/>
  <c r="N222" i="4" s="1"/>
  <c r="N223" i="4" a="1"/>
  <c r="N223" i="4" s="1"/>
  <c r="N224" i="4" a="1"/>
  <c r="N224" i="4" s="1"/>
  <c r="N225" i="4" a="1"/>
  <c r="N225" i="4" s="1"/>
  <c r="N226" i="4" a="1"/>
  <c r="N226" i="4" s="1"/>
  <c r="N227" i="4" a="1"/>
  <c r="N227" i="4" s="1"/>
  <c r="N228" i="4" a="1"/>
  <c r="N228" i="4" s="1"/>
  <c r="N229" i="4" a="1"/>
  <c r="N229" i="4" s="1"/>
  <c r="N230" i="4" a="1"/>
  <c r="N230" i="4" s="1"/>
  <c r="N231" i="4" a="1"/>
  <c r="N231" i="4" s="1"/>
  <c r="N232" i="4" a="1"/>
  <c r="N232" i="4" s="1"/>
  <c r="N233" i="4" a="1"/>
  <c r="N233" i="4" s="1"/>
  <c r="N234" i="4" a="1"/>
  <c r="N234" i="4" s="1"/>
  <c r="N235" i="4" a="1"/>
  <c r="N235" i="4" s="1"/>
  <c r="N236" i="4" a="1"/>
  <c r="N236" i="4" s="1"/>
  <c r="N237" i="4" a="1"/>
  <c r="N237" i="4" s="1"/>
  <c r="N238" i="4" a="1"/>
  <c r="N238" i="4" s="1"/>
  <c r="N239" i="4" a="1"/>
  <c r="N239" i="4" s="1"/>
  <c r="N240" i="4" a="1"/>
  <c r="N240" i="4" s="1"/>
  <c r="N241" i="4" a="1"/>
  <c r="N241" i="4" s="1"/>
  <c r="N242" i="4" a="1"/>
  <c r="N242" i="4" s="1"/>
  <c r="N243" i="4" a="1"/>
  <c r="N243" i="4" s="1"/>
  <c r="N244" i="4" a="1"/>
  <c r="N244" i="4" s="1"/>
  <c r="N245" i="4" a="1"/>
  <c r="N245" i="4" s="1"/>
  <c r="N246" i="4" a="1"/>
  <c r="N246" i="4" s="1"/>
  <c r="N247" i="4" a="1"/>
  <c r="N247" i="4" s="1"/>
  <c r="N248" i="4" a="1"/>
  <c r="N248" i="4" s="1"/>
  <c r="N249" i="4" a="1"/>
  <c r="N249" i="4" s="1"/>
  <c r="N250" i="4" a="1"/>
  <c r="N250" i="4" s="1"/>
  <c r="N251" i="4" a="1"/>
  <c r="N251" i="4" s="1"/>
  <c r="N252" i="4" a="1"/>
  <c r="N252" i="4" s="1"/>
  <c r="N253" i="4" a="1"/>
  <c r="N253" i="4" s="1"/>
  <c r="N254" i="4" a="1"/>
  <c r="N254" i="4" s="1"/>
  <c r="N255" i="4" a="1"/>
  <c r="N255" i="4" s="1"/>
  <c r="N256" i="4" a="1"/>
  <c r="N256" i="4" s="1"/>
  <c r="N257" i="4" a="1"/>
  <c r="N257" i="4" s="1"/>
  <c r="N258" i="4" a="1"/>
  <c r="N258" i="4" s="1"/>
  <c r="N259" i="4" a="1"/>
  <c r="N259" i="4" s="1"/>
  <c r="N260" i="4" a="1"/>
  <c r="N260" i="4" s="1"/>
  <c r="N261" i="4" a="1"/>
  <c r="N261" i="4" s="1"/>
  <c r="N262" i="4" a="1"/>
  <c r="N262" i="4" s="1"/>
  <c r="N263" i="4" a="1"/>
  <c r="N263" i="4" s="1"/>
  <c r="N264" i="4" a="1"/>
  <c r="N264" i="4" s="1"/>
  <c r="N265" i="4" a="1"/>
  <c r="N265" i="4" s="1"/>
  <c r="N266" i="4" a="1"/>
  <c r="N266" i="4" s="1"/>
  <c r="N267" i="4" a="1"/>
  <c r="N267" i="4" s="1"/>
  <c r="N268" i="4" a="1"/>
  <c r="N268" i="4" s="1"/>
  <c r="N269" i="4" a="1"/>
  <c r="N269" i="4" s="1"/>
  <c r="N270" i="4" a="1"/>
  <c r="N270" i="4" s="1"/>
  <c r="N271" i="4" a="1"/>
  <c r="N271" i="4" s="1"/>
  <c r="N272" i="4" a="1"/>
  <c r="N272" i="4" s="1"/>
  <c r="N273" i="4" a="1"/>
  <c r="N273" i="4" s="1"/>
  <c r="N274" i="4" a="1"/>
  <c r="N274" i="4" s="1"/>
  <c r="N275" i="4" a="1"/>
  <c r="N275" i="4" s="1"/>
  <c r="N276" i="4" a="1"/>
  <c r="N276" i="4" s="1"/>
  <c r="N277" i="4" a="1"/>
  <c r="N277" i="4" s="1"/>
  <c r="N278" i="4" a="1"/>
  <c r="N278" i="4" s="1"/>
  <c r="N279" i="4" a="1"/>
  <c r="N279" i="4" s="1"/>
  <c r="N280" i="4" a="1"/>
  <c r="N280" i="4" s="1"/>
  <c r="N281" i="4" a="1"/>
  <c r="N281" i="4" s="1"/>
  <c r="N282" i="4" a="1"/>
  <c r="N282" i="4" s="1"/>
  <c r="N283" i="4" a="1"/>
  <c r="N283" i="4" s="1"/>
  <c r="N284" i="4" a="1"/>
  <c r="N284" i="4" s="1"/>
  <c r="N285" i="4" a="1"/>
  <c r="N285" i="4" s="1"/>
  <c r="N286" i="4" a="1"/>
  <c r="N286" i="4" s="1"/>
  <c r="N287" i="4" a="1"/>
  <c r="N287" i="4" s="1"/>
  <c r="N288" i="4" a="1"/>
  <c r="N288" i="4" s="1"/>
  <c r="N289" i="4" a="1"/>
  <c r="N289" i="4" s="1"/>
  <c r="N290" i="4" a="1"/>
  <c r="N290" i="4" s="1"/>
  <c r="N291" i="4" a="1"/>
  <c r="N291" i="4" s="1"/>
  <c r="N292" i="4" a="1"/>
  <c r="N292" i="4" s="1"/>
  <c r="N293" i="4" a="1"/>
  <c r="N293" i="4" s="1"/>
  <c r="N294" i="4" a="1"/>
  <c r="N294" i="4" s="1"/>
  <c r="N295" i="4" a="1"/>
  <c r="N295" i="4" s="1"/>
  <c r="N296" i="4" a="1"/>
  <c r="N296" i="4" s="1"/>
  <c r="N297" i="4" a="1"/>
  <c r="N297" i="4" s="1"/>
  <c r="N298" i="4" a="1"/>
  <c r="N298" i="4" s="1"/>
  <c r="N299" i="4" a="1"/>
  <c r="N299" i="4" s="1"/>
  <c r="N300" i="4" a="1"/>
  <c r="N300" i="4" s="1"/>
  <c r="N301" i="4" a="1"/>
  <c r="N301" i="4" s="1"/>
  <c r="N302" i="4" a="1"/>
  <c r="N302" i="4" s="1"/>
  <c r="N303" i="4" a="1"/>
  <c r="N303" i="4" s="1"/>
  <c r="N304" i="4" a="1"/>
  <c r="N304" i="4" s="1"/>
  <c r="N305" i="4" a="1"/>
  <c r="N305" i="4" s="1"/>
  <c r="N306" i="4" a="1"/>
  <c r="N306" i="4" s="1"/>
  <c r="N307" i="4" a="1"/>
  <c r="N307" i="4" s="1"/>
  <c r="N308" i="4" a="1"/>
  <c r="N308" i="4" s="1"/>
  <c r="N309" i="4" a="1"/>
  <c r="N309" i="4" s="1"/>
  <c r="N310" i="4" a="1"/>
  <c r="N310" i="4" s="1"/>
  <c r="N311" i="4" a="1"/>
  <c r="N311" i="4" s="1"/>
  <c r="N312" i="4" a="1"/>
  <c r="N312" i="4" s="1"/>
  <c r="N313" i="4" a="1"/>
  <c r="N313" i="4" s="1"/>
  <c r="N314" i="4" a="1"/>
  <c r="N314" i="4" s="1"/>
  <c r="N315" i="4" a="1"/>
  <c r="N315" i="4" s="1"/>
  <c r="N316" i="4" a="1"/>
  <c r="N316" i="4" s="1"/>
  <c r="N317" i="4" a="1"/>
  <c r="N317" i="4" s="1"/>
  <c r="N318" i="4" a="1"/>
  <c r="N318" i="4" s="1"/>
  <c r="N319" i="4" a="1"/>
  <c r="N319" i="4" s="1"/>
  <c r="N320" i="4" a="1"/>
  <c r="N320" i="4" s="1"/>
  <c r="N321" i="4" a="1"/>
  <c r="N321" i="4" s="1"/>
  <c r="N322" i="4" a="1"/>
  <c r="N322" i="4" s="1"/>
  <c r="N323" i="4" a="1"/>
  <c r="N323" i="4" s="1"/>
  <c r="N324" i="4" a="1"/>
  <c r="N324" i="4" s="1"/>
  <c r="N325" i="4" a="1"/>
  <c r="N325" i="4" s="1"/>
  <c r="N326" i="4" a="1"/>
  <c r="N326" i="4" s="1"/>
  <c r="N327" i="4" a="1"/>
  <c r="N327" i="4" s="1"/>
  <c r="N328" i="4" a="1"/>
  <c r="N328" i="4" s="1"/>
  <c r="N329" i="4" a="1"/>
  <c r="N329" i="4" s="1"/>
  <c r="N330" i="4" a="1"/>
  <c r="N330" i="4" s="1"/>
  <c r="N331" i="4" a="1"/>
  <c r="N331" i="4" s="1"/>
  <c r="N332" i="4" a="1"/>
  <c r="N332" i="4" s="1"/>
  <c r="N333" i="4" a="1"/>
  <c r="N333" i="4" s="1"/>
  <c r="N334" i="4" a="1"/>
  <c r="N334" i="4" s="1"/>
  <c r="N335" i="4" a="1"/>
  <c r="N335" i="4" s="1"/>
  <c r="N336" i="4" a="1"/>
  <c r="N336" i="4" s="1"/>
  <c r="N337" i="4" a="1"/>
  <c r="N337" i="4" s="1"/>
  <c r="N338" i="4" a="1"/>
  <c r="N338" i="4" s="1"/>
  <c r="N339" i="4" a="1"/>
  <c r="N339" i="4" s="1"/>
  <c r="N340" i="4" a="1"/>
  <c r="N340" i="4" s="1"/>
  <c r="N341" i="4" a="1"/>
  <c r="N341" i="4" s="1"/>
  <c r="N342" i="4" a="1"/>
  <c r="N342" i="4" s="1"/>
  <c r="N343" i="4" a="1"/>
  <c r="N343" i="4" s="1"/>
  <c r="N344" i="4" a="1"/>
  <c r="N344" i="4" s="1"/>
  <c r="N345" i="4" a="1"/>
  <c r="N345" i="4" s="1"/>
  <c r="N346" i="4" a="1"/>
  <c r="N346" i="4" s="1"/>
  <c r="N347" i="4" a="1"/>
  <c r="N347" i="4" s="1"/>
  <c r="N348" i="4" a="1"/>
  <c r="N348" i="4" s="1"/>
  <c r="N349" i="4" a="1"/>
  <c r="N349" i="4" s="1"/>
  <c r="N350" i="4" a="1"/>
  <c r="N350" i="4" s="1"/>
  <c r="N351" i="4" a="1"/>
  <c r="N351" i="4" s="1"/>
  <c r="N352" i="4" a="1"/>
  <c r="N352" i="4" s="1"/>
  <c r="N353" i="4" a="1"/>
  <c r="N353" i="4" s="1"/>
  <c r="N354" i="4" a="1"/>
  <c r="N354" i="4" s="1"/>
  <c r="N355" i="4" a="1"/>
  <c r="N355" i="4" s="1"/>
  <c r="N356" i="4" a="1"/>
  <c r="N356" i="4" s="1"/>
  <c r="N357" i="4" a="1"/>
  <c r="N357" i="4" s="1"/>
  <c r="N358" i="4" a="1"/>
  <c r="N358" i="4" s="1"/>
  <c r="N359" i="4" a="1"/>
  <c r="N359" i="4" s="1"/>
  <c r="N360" i="4" a="1"/>
  <c r="N360" i="4" s="1"/>
  <c r="N361" i="4" a="1"/>
  <c r="N361" i="4" s="1"/>
  <c r="N362" i="4" a="1"/>
  <c r="N362" i="4" s="1"/>
  <c r="N363" i="4" a="1"/>
  <c r="N363" i="4" s="1"/>
  <c r="N364" i="4" a="1"/>
  <c r="N364" i="4" s="1"/>
  <c r="N365" i="4" a="1"/>
  <c r="N365" i="4" s="1"/>
  <c r="N366" i="4" a="1"/>
  <c r="N366" i="4" s="1"/>
  <c r="N367" i="4" a="1"/>
  <c r="N367" i="4" s="1"/>
  <c r="N368" i="4" a="1"/>
  <c r="N368" i="4" s="1"/>
  <c r="N369" i="4" a="1"/>
  <c r="N369" i="4" s="1"/>
  <c r="N370" i="4" a="1"/>
  <c r="N370" i="4" s="1"/>
  <c r="N371" i="4" a="1"/>
  <c r="N371" i="4" s="1"/>
  <c r="N372" i="4" a="1"/>
  <c r="N372" i="4" s="1"/>
  <c r="N373" i="4" a="1"/>
  <c r="N373" i="4" s="1"/>
  <c r="N374" i="4" a="1"/>
  <c r="N374" i="4" s="1"/>
  <c r="N375" i="4" a="1"/>
  <c r="N375" i="4" s="1"/>
  <c r="N376" i="4" a="1"/>
  <c r="N376" i="4" s="1"/>
  <c r="N377" i="4" a="1"/>
  <c r="N377" i="4" s="1"/>
  <c r="N378" i="4" a="1"/>
  <c r="N378" i="4" s="1"/>
  <c r="N379" i="4" a="1"/>
  <c r="N379" i="4" s="1"/>
  <c r="N380" i="4" a="1"/>
  <c r="N380" i="4" s="1"/>
  <c r="N381" i="4" a="1"/>
  <c r="N381" i="4" s="1"/>
  <c r="N382" i="4" a="1"/>
  <c r="N382" i="4" s="1"/>
  <c r="N383" i="4" a="1"/>
  <c r="N383" i="4" s="1"/>
  <c r="N384" i="4" a="1"/>
  <c r="N384" i="4" s="1"/>
  <c r="N385" i="4" a="1"/>
  <c r="N385" i="4" s="1"/>
  <c r="N386" i="4" a="1"/>
  <c r="N386" i="4" s="1"/>
  <c r="N387" i="4" a="1"/>
  <c r="N387" i="4" s="1"/>
  <c r="N388" i="4" a="1"/>
  <c r="N388" i="4" s="1"/>
  <c r="N389" i="4" a="1"/>
  <c r="N389" i="4" s="1"/>
  <c r="N390" i="4" a="1"/>
  <c r="N390" i="4" s="1"/>
  <c r="N391" i="4" a="1"/>
  <c r="N391" i="4" s="1"/>
  <c r="N392" i="4" a="1"/>
  <c r="N392" i="4" s="1"/>
  <c r="N393" i="4" a="1"/>
  <c r="N393" i="4" s="1"/>
  <c r="N394" i="4" a="1"/>
  <c r="N394" i="4" s="1"/>
  <c r="N395" i="4" a="1"/>
  <c r="N395" i="4" s="1"/>
  <c r="N396" i="4" a="1"/>
  <c r="N396" i="4" s="1"/>
  <c r="N397" i="4" a="1"/>
  <c r="N397" i="4" s="1"/>
  <c r="N398" i="4" a="1"/>
  <c r="N398" i="4" s="1"/>
  <c r="N399" i="4" a="1"/>
  <c r="N399" i="4" s="1"/>
  <c r="N400" i="4" a="1"/>
  <c r="N400" i="4" s="1"/>
  <c r="N401" i="4" a="1"/>
  <c r="N401" i="4" s="1"/>
  <c r="N402" i="4" a="1"/>
  <c r="N402" i="4" s="1"/>
  <c r="N403" i="4" a="1"/>
  <c r="N403" i="4" s="1"/>
  <c r="N404" i="4" a="1"/>
  <c r="N404" i="4" s="1"/>
  <c r="N405" i="4" a="1"/>
  <c r="N405" i="4" s="1"/>
  <c r="N406" i="4" a="1"/>
  <c r="N406" i="4" s="1"/>
  <c r="N407" i="4" a="1"/>
  <c r="N407" i="4" s="1"/>
  <c r="N408" i="4" a="1"/>
  <c r="N408" i="4" s="1"/>
  <c r="N409" i="4" a="1"/>
  <c r="N409" i="4" s="1"/>
  <c r="N410" i="4" a="1"/>
  <c r="N410" i="4" s="1"/>
  <c r="N411" i="4" a="1"/>
  <c r="N411" i="4" s="1"/>
  <c r="N412" i="4" a="1"/>
  <c r="N412" i="4" s="1"/>
  <c r="N413" i="4" a="1"/>
  <c r="N413" i="4" s="1"/>
  <c r="N414" i="4" a="1"/>
  <c r="N414" i="4" s="1"/>
  <c r="N415" i="4" a="1"/>
  <c r="N415" i="4" s="1"/>
  <c r="N416" i="4" a="1"/>
  <c r="N416" i="4" s="1"/>
  <c r="N417" i="4" a="1"/>
  <c r="N417" i="4" s="1"/>
  <c r="N418" i="4" a="1"/>
  <c r="N418" i="4" s="1"/>
  <c r="N419" i="4" a="1"/>
  <c r="N419" i="4" s="1"/>
  <c r="N420" i="4" a="1"/>
  <c r="N420" i="4" s="1"/>
  <c r="N421" i="4" a="1"/>
  <c r="N421" i="4" s="1"/>
  <c r="N422" i="4" a="1"/>
  <c r="N422" i="4" s="1"/>
  <c r="N423" i="4" a="1"/>
  <c r="N423" i="4" s="1"/>
  <c r="N424" i="4" a="1"/>
  <c r="N424" i="4" s="1"/>
  <c r="N425" i="4" a="1"/>
  <c r="N425" i="4" s="1"/>
  <c r="N426" i="4" a="1"/>
  <c r="N426" i="4" s="1"/>
  <c r="N427" i="4" a="1"/>
  <c r="N427" i="4" s="1"/>
  <c r="N428" i="4" a="1"/>
  <c r="N428" i="4" s="1"/>
  <c r="N429" i="4" a="1"/>
  <c r="N429" i="4" s="1"/>
  <c r="N430" i="4" a="1"/>
  <c r="N430" i="4" s="1"/>
  <c r="N431" i="4" a="1"/>
  <c r="N431" i="4" s="1"/>
  <c r="N432" i="4" a="1"/>
  <c r="N432" i="4" s="1"/>
  <c r="N433" i="4" a="1"/>
  <c r="N433" i="4" s="1"/>
  <c r="N434" i="4" a="1"/>
  <c r="N434" i="4" s="1"/>
  <c r="N435" i="4" a="1"/>
  <c r="N435" i="4" s="1"/>
  <c r="N436" i="4" a="1"/>
  <c r="N436" i="4" s="1"/>
  <c r="N437" i="4" a="1"/>
  <c r="N437" i="4" s="1"/>
  <c r="N438" i="4" a="1"/>
  <c r="N438" i="4" s="1"/>
  <c r="N439" i="4" a="1"/>
  <c r="N439" i="4" s="1"/>
  <c r="N440" i="4" a="1"/>
  <c r="N440" i="4" s="1"/>
  <c r="N441" i="4" a="1"/>
  <c r="N441" i="4" s="1"/>
  <c r="N442" i="4" a="1"/>
  <c r="N442" i="4" s="1"/>
  <c r="N443" i="4" a="1"/>
  <c r="N443" i="4" s="1"/>
  <c r="N444" i="4" a="1"/>
  <c r="N444" i="4" s="1"/>
  <c r="N445" i="4" a="1"/>
  <c r="N445" i="4" s="1"/>
  <c r="N446" i="4" a="1"/>
  <c r="N446" i="4" s="1"/>
  <c r="N447" i="4" a="1"/>
  <c r="N447" i="4" s="1"/>
  <c r="N448" i="4" a="1"/>
  <c r="N448" i="4" s="1"/>
  <c r="N449" i="4" a="1"/>
  <c r="N449" i="4" s="1"/>
  <c r="N450" i="4" a="1"/>
  <c r="N450" i="4" s="1"/>
  <c r="N451" i="4" a="1"/>
  <c r="N451" i="4" s="1"/>
  <c r="N452" i="4" a="1"/>
  <c r="N452" i="4" s="1"/>
  <c r="N453" i="4" a="1"/>
  <c r="N453" i="4" s="1"/>
  <c r="N454" i="4" a="1"/>
  <c r="N454" i="4" s="1"/>
  <c r="N455" i="4" a="1"/>
  <c r="N455" i="4" s="1"/>
  <c r="N456" i="4" a="1"/>
  <c r="N456" i="4" s="1"/>
  <c r="N457" i="4" a="1"/>
  <c r="N457" i="4" s="1"/>
  <c r="N458" i="4" a="1"/>
  <c r="N458" i="4" s="1"/>
  <c r="N459" i="4" a="1"/>
  <c r="N459" i="4" s="1"/>
  <c r="N460" i="4" a="1"/>
  <c r="N460" i="4" s="1"/>
  <c r="N461" i="4" a="1"/>
  <c r="N461" i="4" s="1"/>
  <c r="N462" i="4" a="1"/>
  <c r="N462" i="4" s="1"/>
  <c r="N463" i="4" a="1"/>
  <c r="N463" i="4" s="1"/>
  <c r="N464" i="4" a="1"/>
  <c r="N464" i="4" s="1"/>
  <c r="N465" i="4" a="1"/>
  <c r="N465" i="4" s="1"/>
  <c r="N466" i="4" a="1"/>
  <c r="N466" i="4" s="1"/>
  <c r="N467" i="4" a="1"/>
  <c r="N467" i="4" s="1"/>
  <c r="N468" i="4" a="1"/>
  <c r="N468" i="4" s="1"/>
  <c r="N469" i="4" a="1"/>
  <c r="N469" i="4" s="1"/>
  <c r="N470" i="4" a="1"/>
  <c r="N470" i="4" s="1"/>
  <c r="N471" i="4" a="1"/>
  <c r="N471" i="4" s="1"/>
  <c r="N472" i="4" a="1"/>
  <c r="N472" i="4" s="1"/>
  <c r="N473" i="4" a="1"/>
  <c r="N473" i="4" s="1"/>
  <c r="N474" i="4" a="1"/>
  <c r="N474" i="4" s="1"/>
  <c r="N475" i="4" a="1"/>
  <c r="N475" i="4" s="1"/>
  <c r="N476" i="4" a="1"/>
  <c r="N476" i="4" s="1"/>
  <c r="N477" i="4" a="1"/>
  <c r="N477" i="4" s="1"/>
  <c r="N478" i="4" a="1"/>
  <c r="N478" i="4" s="1"/>
  <c r="N479" i="4" a="1"/>
  <c r="N479" i="4" s="1"/>
  <c r="N480" i="4" a="1"/>
  <c r="N480" i="4" s="1"/>
  <c r="N481" i="4" a="1"/>
  <c r="N481" i="4" s="1"/>
  <c r="N482" i="4" a="1"/>
  <c r="N482" i="4" s="1"/>
  <c r="N483" i="4" a="1"/>
  <c r="N483" i="4" s="1"/>
  <c r="N484" i="4" a="1"/>
  <c r="N484" i="4" s="1"/>
  <c r="N485" i="4" a="1"/>
  <c r="N485" i="4" s="1"/>
  <c r="N486" i="4" a="1"/>
  <c r="N486" i="4" s="1"/>
  <c r="N487" i="4" a="1"/>
  <c r="N487" i="4" s="1"/>
  <c r="N488" i="4" a="1"/>
  <c r="N488" i="4" s="1"/>
  <c r="N489" i="4" a="1"/>
  <c r="N489" i="4" s="1"/>
  <c r="N490" i="4" a="1"/>
  <c r="N490" i="4" s="1"/>
  <c r="N491" i="4" a="1"/>
  <c r="N491" i="4" s="1"/>
  <c r="N492" i="4" a="1"/>
  <c r="N492" i="4" s="1"/>
  <c r="N493" i="4" a="1"/>
  <c r="N493" i="4" s="1"/>
  <c r="N494" i="4" a="1"/>
  <c r="N494" i="4" s="1"/>
  <c r="N495" i="4" a="1"/>
  <c r="N495" i="4" s="1"/>
  <c r="N496" i="4" a="1"/>
  <c r="N496" i="4" s="1"/>
  <c r="N497" i="4" a="1"/>
  <c r="N497" i="4" s="1"/>
  <c r="N498" i="4" a="1"/>
  <c r="N498" i="4" s="1"/>
  <c r="N499" i="4" a="1"/>
  <c r="N499" i="4" s="1"/>
  <c r="N500" i="4" a="1"/>
  <c r="N500" i="4" s="1"/>
  <c r="N501" i="4" a="1"/>
  <c r="N501" i="4" s="1"/>
  <c r="N502" i="4" a="1"/>
  <c r="N502" i="4" s="1"/>
  <c r="N503" i="4" a="1"/>
  <c r="N503" i="4" s="1"/>
  <c r="N504" i="4" a="1"/>
  <c r="N504" i="4" s="1"/>
  <c r="N505" i="4" a="1"/>
  <c r="N505" i="4" s="1"/>
  <c r="N506" i="4" a="1"/>
  <c r="N506" i="4" s="1"/>
  <c r="N507" i="4" a="1"/>
  <c r="N507" i="4" s="1"/>
  <c r="N508" i="4" a="1"/>
  <c r="N508" i="4" s="1"/>
  <c r="N509" i="4" a="1"/>
  <c r="N509" i="4" s="1"/>
  <c r="N510" i="4" a="1"/>
  <c r="N510" i="4" s="1"/>
  <c r="N511" i="4" a="1"/>
  <c r="N511" i="4" s="1"/>
  <c r="N512" i="4" a="1"/>
  <c r="N512" i="4" s="1"/>
  <c r="N513" i="4" a="1"/>
  <c r="N513" i="4" s="1"/>
  <c r="N514" i="4" a="1"/>
  <c r="N514" i="4" s="1"/>
  <c r="N515" i="4" a="1"/>
  <c r="N515" i="4" s="1"/>
  <c r="N516" i="4" a="1"/>
  <c r="N516" i="4" s="1"/>
  <c r="N517" i="4" a="1"/>
  <c r="N517" i="4" s="1"/>
  <c r="N518" i="4" a="1"/>
  <c r="N518" i="4" s="1"/>
  <c r="N519" i="4" a="1"/>
  <c r="N519" i="4" s="1"/>
  <c r="N520" i="4" a="1"/>
  <c r="N520" i="4" s="1"/>
  <c r="N521" i="4" a="1"/>
  <c r="N521" i="4" s="1"/>
  <c r="N522" i="4" a="1"/>
  <c r="N522" i="4" s="1"/>
  <c r="N523" i="4" a="1"/>
  <c r="N523" i="4" s="1"/>
  <c r="N524" i="4" a="1"/>
  <c r="N524" i="4" s="1"/>
  <c r="N525" i="4" a="1"/>
  <c r="N525" i="4" s="1"/>
  <c r="N526" i="4" a="1"/>
  <c r="N526" i="4" s="1"/>
  <c r="N527" i="4" a="1"/>
  <c r="N527" i="4" s="1"/>
  <c r="N528" i="4" a="1"/>
  <c r="N528" i="4" s="1"/>
  <c r="N529" i="4" a="1"/>
  <c r="N529" i="4" s="1"/>
  <c r="N530" i="4" a="1"/>
  <c r="N530" i="4" s="1"/>
  <c r="N531" i="4" a="1"/>
  <c r="N531" i="4" s="1"/>
  <c r="N532" i="4" a="1"/>
  <c r="N532" i="4" s="1"/>
  <c r="N533" i="4" a="1"/>
  <c r="N533" i="4" s="1"/>
  <c r="N534" i="4" a="1"/>
  <c r="N534" i="4" s="1"/>
  <c r="N535" i="4" a="1"/>
  <c r="N535" i="4" s="1"/>
  <c r="N536" i="4" a="1"/>
  <c r="N536" i="4" s="1"/>
  <c r="N537" i="4" a="1"/>
  <c r="N537" i="4" s="1"/>
  <c r="N538" i="4" a="1"/>
  <c r="N538" i="4" s="1"/>
  <c r="N539" i="4" a="1"/>
  <c r="N539" i="4" s="1"/>
  <c r="N540" i="4" a="1"/>
  <c r="N540" i="4" s="1"/>
  <c r="N541" i="4" a="1"/>
  <c r="N541" i="4" s="1"/>
  <c r="N542" i="4" a="1"/>
  <c r="N542" i="4" s="1"/>
  <c r="N543" i="4" a="1"/>
  <c r="N543" i="4" s="1"/>
  <c r="N544" i="4" a="1"/>
  <c r="N544" i="4" s="1"/>
  <c r="N545" i="4" a="1"/>
  <c r="N545" i="4" s="1"/>
  <c r="N546" i="4" a="1"/>
  <c r="N546" i="4" s="1"/>
  <c r="N547" i="4" a="1"/>
  <c r="N547" i="4" s="1"/>
  <c r="N548" i="4" a="1"/>
  <c r="N548" i="4" s="1"/>
  <c r="N549" i="4" a="1"/>
  <c r="N549" i="4" s="1"/>
  <c r="N550" i="4" a="1"/>
  <c r="N550" i="4" s="1"/>
  <c r="N551" i="4" a="1"/>
  <c r="N551" i="4" s="1"/>
  <c r="N552" i="4" a="1"/>
  <c r="N552" i="4" s="1"/>
  <c r="N553" i="4" a="1"/>
  <c r="N553" i="4" s="1"/>
  <c r="N554" i="4" a="1"/>
  <c r="N554" i="4" s="1"/>
  <c r="N555" i="4" a="1"/>
  <c r="N555" i="4" s="1"/>
  <c r="N556" i="4" a="1"/>
  <c r="N556" i="4" s="1"/>
  <c r="N557" i="4" a="1"/>
  <c r="N557" i="4" s="1"/>
  <c r="N558" i="4" a="1"/>
  <c r="N558" i="4" s="1"/>
  <c r="N559" i="4" a="1"/>
  <c r="N559" i="4" s="1"/>
  <c r="N560" i="4" a="1"/>
  <c r="N560" i="4" s="1"/>
  <c r="N561" i="4" a="1"/>
  <c r="N561" i="4" s="1"/>
  <c r="N562" i="4" a="1"/>
  <c r="N562" i="4" s="1"/>
  <c r="N563" i="4" a="1"/>
  <c r="N563" i="4" s="1"/>
  <c r="N564" i="4" a="1"/>
  <c r="N564" i="4" s="1"/>
  <c r="N565" i="4" a="1"/>
  <c r="N565" i="4" s="1"/>
  <c r="N566" i="4" a="1"/>
  <c r="N566" i="4" s="1"/>
  <c r="N567" i="4" a="1"/>
  <c r="N567" i="4" s="1"/>
  <c r="N568" i="4" a="1"/>
  <c r="N568" i="4" s="1"/>
  <c r="N569" i="4" a="1"/>
  <c r="N569" i="4" s="1"/>
  <c r="N570" i="4" a="1"/>
  <c r="N570" i="4" s="1"/>
  <c r="N571" i="4" a="1"/>
  <c r="N571" i="4" s="1"/>
  <c r="N572" i="4" a="1"/>
  <c r="N572" i="4" s="1"/>
  <c r="N573" i="4" a="1"/>
  <c r="N573" i="4" s="1"/>
  <c r="N574" i="4" a="1"/>
  <c r="N574" i="4" s="1"/>
  <c r="N575" i="4" a="1"/>
  <c r="N575" i="4" s="1"/>
  <c r="N576" i="4" a="1"/>
  <c r="N576" i="4" s="1"/>
  <c r="N577" i="4" a="1"/>
  <c r="N577" i="4" s="1"/>
  <c r="N578" i="4" a="1"/>
  <c r="N578" i="4" s="1"/>
  <c r="N579" i="4" a="1"/>
  <c r="N579" i="4" s="1"/>
  <c r="N580" i="4" a="1"/>
  <c r="N580" i="4" s="1"/>
  <c r="N581" i="4" a="1"/>
  <c r="N581" i="4" s="1"/>
  <c r="N582" i="4" a="1"/>
  <c r="N582" i="4" s="1"/>
  <c r="N583" i="4" a="1"/>
  <c r="N583" i="4" s="1"/>
  <c r="N584" i="4" a="1"/>
  <c r="N584" i="4" s="1"/>
  <c r="N585" i="4" a="1"/>
  <c r="N585" i="4" s="1"/>
  <c r="N586" i="4" a="1"/>
  <c r="N586" i="4" s="1"/>
  <c r="N587" i="4" a="1"/>
  <c r="N587" i="4" s="1"/>
  <c r="N588" i="4" a="1"/>
  <c r="N588" i="4" s="1"/>
  <c r="N589" i="4" a="1"/>
  <c r="N589" i="4" s="1"/>
  <c r="N590" i="4" a="1"/>
  <c r="N590" i="4" s="1"/>
  <c r="N591" i="4" a="1"/>
  <c r="N591" i="4" s="1"/>
  <c r="N592" i="4" a="1"/>
  <c r="N592" i="4" s="1"/>
  <c r="N593" i="4" a="1"/>
  <c r="N593" i="4" s="1"/>
  <c r="N594" i="4" a="1"/>
  <c r="N594" i="4" s="1"/>
  <c r="N595" i="4" a="1"/>
  <c r="N595" i="4" s="1"/>
  <c r="N596" i="4" a="1"/>
  <c r="N596" i="4" s="1"/>
  <c r="N597" i="4" a="1"/>
  <c r="N597" i="4" s="1"/>
  <c r="N598" i="4" a="1"/>
  <c r="N598" i="4" s="1"/>
  <c r="N599" i="4" a="1"/>
  <c r="N599" i="4" s="1"/>
  <c r="N600" i="4" a="1"/>
  <c r="N600" i="4" s="1"/>
  <c r="N601" i="4" a="1"/>
  <c r="N601" i="4" s="1"/>
  <c r="N602" i="4" a="1"/>
  <c r="N602" i="4" s="1"/>
  <c r="N603" i="4" a="1"/>
  <c r="N603" i="4" s="1"/>
  <c r="N604" i="4" a="1"/>
  <c r="N604" i="4" s="1"/>
  <c r="N605" i="4" a="1"/>
  <c r="N605" i="4" s="1"/>
  <c r="N606" i="4" a="1"/>
  <c r="N606" i="4" s="1"/>
  <c r="N607" i="4" a="1"/>
  <c r="N607" i="4" s="1"/>
  <c r="N608" i="4" a="1"/>
  <c r="N608" i="4" s="1"/>
  <c r="N609" i="4" a="1"/>
  <c r="N609" i="4" s="1"/>
  <c r="N610" i="4" a="1"/>
  <c r="N610" i="4" s="1"/>
  <c r="N611" i="4" a="1"/>
  <c r="N611" i="4" s="1"/>
  <c r="N612" i="4" a="1"/>
  <c r="N612" i="4" s="1"/>
  <c r="N613" i="4" a="1"/>
  <c r="N613" i="4" s="1"/>
  <c r="N614" i="4" a="1"/>
  <c r="N614" i="4" s="1"/>
  <c r="N615" i="4" a="1"/>
  <c r="N615" i="4" s="1"/>
  <c r="N616" i="4" a="1"/>
  <c r="N616" i="4" s="1"/>
  <c r="N617" i="4" a="1"/>
  <c r="N617" i="4" s="1"/>
  <c r="N618" i="4" a="1"/>
  <c r="N618" i="4" s="1"/>
  <c r="N619" i="4" a="1"/>
  <c r="N619" i="4" s="1"/>
  <c r="N620" i="4" a="1"/>
  <c r="N620" i="4" s="1"/>
  <c r="N621" i="4" a="1"/>
  <c r="N621" i="4" s="1"/>
  <c r="N622" i="4" a="1"/>
  <c r="N622" i="4" s="1"/>
  <c r="N623" i="4" a="1"/>
  <c r="N623" i="4" s="1"/>
  <c r="N624" i="4" a="1"/>
  <c r="N624" i="4" s="1"/>
  <c r="N625" i="4" a="1"/>
  <c r="N625" i="4" s="1"/>
  <c r="N626" i="4" a="1"/>
  <c r="N626" i="4" s="1"/>
  <c r="N627" i="4" a="1"/>
  <c r="N627" i="4" s="1"/>
  <c r="N628" i="4" a="1"/>
  <c r="N628" i="4" s="1"/>
  <c r="N629" i="4" a="1"/>
  <c r="N629" i="4" s="1"/>
  <c r="N630" i="4" a="1"/>
  <c r="N630" i="4" s="1"/>
  <c r="N631" i="4" a="1"/>
  <c r="N631" i="4" s="1"/>
  <c r="N632" i="4" a="1"/>
  <c r="N632" i="4" s="1"/>
  <c r="N633" i="4" a="1"/>
  <c r="N633" i="4" s="1"/>
  <c r="N634" i="4" a="1"/>
  <c r="N634" i="4" s="1"/>
  <c r="N635" i="4" a="1"/>
  <c r="N635" i="4" s="1"/>
  <c r="N636" i="4" a="1"/>
  <c r="N636" i="4" s="1"/>
  <c r="N637" i="4" a="1"/>
  <c r="N637" i="4" s="1"/>
  <c r="N638" i="4" a="1"/>
  <c r="N638" i="4" s="1"/>
  <c r="N639" i="4" a="1"/>
  <c r="N639" i="4" s="1"/>
  <c r="N640" i="4" a="1"/>
  <c r="N640" i="4" s="1"/>
  <c r="N641" i="4" a="1"/>
  <c r="N641" i="4" s="1"/>
  <c r="N642" i="4" a="1"/>
  <c r="N642" i="4" s="1"/>
  <c r="N643" i="4" a="1"/>
  <c r="N643" i="4" s="1"/>
  <c r="N644" i="4" a="1"/>
  <c r="N644" i="4" s="1"/>
  <c r="N645" i="4" a="1"/>
  <c r="N645" i="4" s="1"/>
  <c r="N646" i="4" a="1"/>
  <c r="N646" i="4" s="1"/>
  <c r="N647" i="4" a="1"/>
  <c r="N647" i="4" s="1"/>
  <c r="N648" i="4" a="1"/>
  <c r="N648" i="4" s="1"/>
  <c r="N649" i="4" a="1"/>
  <c r="N649" i="4" s="1"/>
  <c r="N650" i="4" a="1"/>
  <c r="N650" i="4" s="1"/>
  <c r="N651" i="4" a="1"/>
  <c r="N651" i="4" s="1"/>
  <c r="N652" i="4" a="1"/>
  <c r="N652" i="4" s="1"/>
  <c r="N653" i="4" a="1"/>
  <c r="N653" i="4" s="1"/>
  <c r="N654" i="4" a="1"/>
  <c r="N654" i="4" s="1"/>
  <c r="N655" i="4" a="1"/>
  <c r="N655" i="4" s="1"/>
  <c r="N656" i="4" a="1"/>
  <c r="N656" i="4" s="1"/>
  <c r="N657" i="4" a="1"/>
  <c r="N657" i="4" s="1"/>
  <c r="N658" i="4" a="1"/>
  <c r="N658" i="4" s="1"/>
  <c r="N659" i="4" a="1"/>
  <c r="N659" i="4" s="1"/>
  <c r="N660" i="4" a="1"/>
  <c r="N660" i="4" s="1"/>
  <c r="N661" i="4" a="1"/>
  <c r="N661" i="4" s="1"/>
  <c r="N662" i="4" a="1"/>
  <c r="N662" i="4" s="1"/>
  <c r="N663" i="4" a="1"/>
  <c r="N663" i="4" s="1"/>
  <c r="N664" i="4" a="1"/>
  <c r="N664" i="4" s="1"/>
  <c r="N665" i="4" a="1"/>
  <c r="N665" i="4" s="1"/>
  <c r="N666" i="4" a="1"/>
  <c r="N666" i="4" s="1"/>
  <c r="N667" i="4" a="1"/>
  <c r="N667" i="4" s="1"/>
  <c r="N668" i="4" a="1"/>
  <c r="N668" i="4" s="1"/>
  <c r="N669" i="4" a="1"/>
  <c r="N669" i="4" s="1"/>
  <c r="N670" i="4" a="1"/>
  <c r="N670" i="4" s="1"/>
  <c r="N671" i="4" a="1"/>
  <c r="N671" i="4" s="1"/>
  <c r="N672" i="4" a="1"/>
  <c r="N672" i="4" s="1"/>
  <c r="N673" i="4" a="1"/>
  <c r="N673" i="4" s="1"/>
  <c r="N674" i="4" a="1"/>
  <c r="N674" i="4" s="1"/>
  <c r="N675" i="4" a="1"/>
  <c r="N675" i="4" s="1"/>
  <c r="N676" i="4" a="1"/>
  <c r="N676" i="4" s="1"/>
  <c r="N677" i="4" a="1"/>
  <c r="N677" i="4" s="1"/>
  <c r="N678" i="4" a="1"/>
  <c r="N678" i="4" s="1"/>
  <c r="N679" i="4" a="1"/>
  <c r="N679" i="4" s="1"/>
  <c r="N680" i="4" a="1"/>
  <c r="N680" i="4" s="1"/>
  <c r="N681" i="4" a="1"/>
  <c r="N681" i="4" s="1"/>
  <c r="N682" i="4" a="1"/>
  <c r="N682" i="4" s="1"/>
  <c r="N683" i="4" a="1"/>
  <c r="N683" i="4" s="1"/>
  <c r="N684" i="4" a="1"/>
  <c r="N684" i="4" s="1"/>
  <c r="N685" i="4" a="1"/>
  <c r="N685" i="4" s="1"/>
  <c r="N686" i="4" a="1"/>
  <c r="N686" i="4" s="1"/>
  <c r="N687" i="4" a="1"/>
  <c r="N687" i="4" s="1"/>
  <c r="N688" i="4" a="1"/>
  <c r="N688" i="4" s="1"/>
  <c r="N689" i="4" a="1"/>
  <c r="N689" i="4" s="1"/>
  <c r="N690" i="4" a="1"/>
  <c r="N690" i="4" s="1"/>
  <c r="N691" i="4" a="1"/>
  <c r="N691" i="4" s="1"/>
  <c r="N692" i="4" a="1"/>
  <c r="N692" i="4" s="1"/>
  <c r="N693" i="4" a="1"/>
  <c r="N693" i="4" s="1"/>
  <c r="N694" i="4" a="1"/>
  <c r="N694" i="4" s="1"/>
  <c r="N695" i="4" a="1"/>
  <c r="N695" i="4" s="1"/>
  <c r="N696" i="4" a="1"/>
  <c r="N696" i="4" s="1"/>
  <c r="N697" i="4" a="1"/>
  <c r="N697" i="4" s="1"/>
  <c r="N698" i="4" a="1"/>
  <c r="N698" i="4" s="1"/>
  <c r="N699" i="4" a="1"/>
  <c r="N699" i="4" s="1"/>
  <c r="N700" i="4" a="1"/>
  <c r="N700" i="4" s="1"/>
  <c r="N701" i="4" a="1"/>
  <c r="N701" i="4" s="1"/>
  <c r="N702" i="4" a="1"/>
  <c r="N702" i="4" s="1"/>
  <c r="N703" i="4" a="1"/>
  <c r="N703" i="4" s="1"/>
  <c r="N704" i="4" a="1"/>
  <c r="N704" i="4" s="1"/>
  <c r="N705" i="4" a="1"/>
  <c r="N705" i="4" s="1"/>
  <c r="N706" i="4" a="1"/>
  <c r="N706" i="4" s="1"/>
  <c r="N707" i="4" a="1"/>
  <c r="N707" i="4" s="1"/>
  <c r="N708" i="4" a="1"/>
  <c r="N708" i="4" s="1"/>
  <c r="N709" i="4" a="1"/>
  <c r="N709" i="4" s="1"/>
  <c r="N710" i="4" a="1"/>
  <c r="N710" i="4" s="1"/>
  <c r="N711" i="4" a="1"/>
  <c r="N711" i="4" s="1"/>
  <c r="N712" i="4" a="1"/>
  <c r="N712" i="4" s="1"/>
  <c r="N713" i="4" a="1"/>
  <c r="N713" i="4" s="1"/>
  <c r="N714" i="4" a="1"/>
  <c r="N714" i="4" s="1"/>
  <c r="N715" i="4" a="1"/>
  <c r="N715" i="4" s="1"/>
  <c r="N716" i="4" a="1"/>
  <c r="N716" i="4" s="1"/>
  <c r="N717" i="4" a="1"/>
  <c r="N717" i="4" s="1"/>
  <c r="N718" i="4" a="1"/>
  <c r="N718" i="4" s="1"/>
  <c r="N719" i="4" a="1"/>
  <c r="N719" i="4" s="1"/>
  <c r="N720" i="4" a="1"/>
  <c r="N720" i="4" s="1"/>
  <c r="N721" i="4" a="1"/>
  <c r="N721" i="4" s="1"/>
  <c r="N722" i="4" a="1"/>
  <c r="N722" i="4" s="1"/>
  <c r="N723" i="4" a="1"/>
  <c r="N723" i="4" s="1"/>
  <c r="N724" i="4" a="1"/>
  <c r="N724" i="4" s="1"/>
  <c r="N725" i="4" a="1"/>
  <c r="N725" i="4" s="1"/>
  <c r="N726" i="4" a="1"/>
  <c r="N726" i="4" s="1"/>
  <c r="N727" i="4" a="1"/>
  <c r="N727" i="4" s="1"/>
  <c r="N728" i="4" a="1"/>
  <c r="N728" i="4" s="1"/>
  <c r="N729" i="4" a="1"/>
  <c r="N729" i="4" s="1"/>
  <c r="N730" i="4" a="1"/>
  <c r="N730" i="4" s="1"/>
  <c r="N731" i="4" a="1"/>
  <c r="N731" i="4" s="1"/>
  <c r="N732" i="4" a="1"/>
  <c r="N732" i="4" s="1"/>
  <c r="N733" i="4" a="1"/>
  <c r="N733" i="4" s="1"/>
  <c r="N734" i="4" a="1"/>
  <c r="N734" i="4" s="1"/>
  <c r="N735" i="4" a="1"/>
  <c r="N735" i="4" s="1"/>
  <c r="N736" i="4" a="1"/>
  <c r="N736" i="4" s="1"/>
  <c r="N737" i="4" a="1"/>
  <c r="N737" i="4" s="1"/>
  <c r="N738" i="4" a="1"/>
  <c r="N738" i="4" s="1"/>
  <c r="N739" i="4" a="1"/>
  <c r="N739" i="4" s="1"/>
  <c r="N740" i="4" a="1"/>
  <c r="N740" i="4" s="1"/>
  <c r="N741" i="4" a="1"/>
  <c r="N741" i="4" s="1"/>
  <c r="N742" i="4" a="1"/>
  <c r="N742" i="4" s="1"/>
  <c r="N743" i="4" a="1"/>
  <c r="N743" i="4" s="1"/>
  <c r="N744" i="4" a="1"/>
  <c r="N744" i="4" s="1"/>
  <c r="N745" i="4" a="1"/>
  <c r="N745" i="4" s="1"/>
  <c r="N746" i="4" a="1"/>
  <c r="N746" i="4" s="1"/>
  <c r="N747" i="4" a="1"/>
  <c r="N747" i="4" s="1"/>
  <c r="N748" i="4" a="1"/>
  <c r="N748" i="4" s="1"/>
  <c r="N749" i="4" a="1"/>
  <c r="N749" i="4" s="1"/>
  <c r="N750" i="4" a="1"/>
  <c r="N750" i="4" s="1"/>
  <c r="N751" i="4" a="1"/>
  <c r="N751" i="4" s="1"/>
  <c r="N752" i="4" a="1"/>
  <c r="N752" i="4" s="1"/>
  <c r="N753" i="4" a="1"/>
  <c r="N753" i="4" s="1"/>
  <c r="N754" i="4" a="1"/>
  <c r="N754" i="4" s="1"/>
  <c r="N755" i="4" a="1"/>
  <c r="N755" i="4" s="1"/>
  <c r="N756" i="4" a="1"/>
  <c r="N756" i="4" s="1"/>
  <c r="N757" i="4" a="1"/>
  <c r="N757" i="4" s="1"/>
  <c r="N758" i="4" a="1"/>
  <c r="N758" i="4" s="1"/>
  <c r="N759" i="4" a="1"/>
  <c r="N759" i="4" s="1"/>
  <c r="N760" i="4" a="1"/>
  <c r="N760" i="4" s="1"/>
  <c r="N761" i="4" a="1"/>
  <c r="N761" i="4" s="1"/>
  <c r="N762" i="4" a="1"/>
  <c r="N762" i="4" s="1"/>
  <c r="N763" i="4" a="1"/>
  <c r="N763" i="4" s="1"/>
  <c r="N764" i="4" a="1"/>
  <c r="N764" i="4" s="1"/>
  <c r="N765" i="4" a="1"/>
  <c r="N765" i="4" s="1"/>
  <c r="N766" i="4" a="1"/>
  <c r="N766" i="4" s="1"/>
  <c r="N767" i="4" a="1"/>
  <c r="N767" i="4" s="1"/>
  <c r="N768" i="4" a="1"/>
  <c r="N768" i="4" s="1"/>
  <c r="N769" i="4" a="1"/>
  <c r="N769" i="4" s="1"/>
  <c r="N770" i="4" a="1"/>
  <c r="N770" i="4" s="1"/>
  <c r="N771" i="4" a="1"/>
  <c r="N771" i="4" s="1"/>
  <c r="N772" i="4" a="1"/>
  <c r="N772" i="4" s="1"/>
  <c r="N773" i="4" a="1"/>
  <c r="N773" i="4" s="1"/>
  <c r="N774" i="4" a="1"/>
  <c r="N774" i="4" s="1"/>
  <c r="N775" i="4" a="1"/>
  <c r="N775" i="4" s="1"/>
  <c r="N776" i="4" a="1"/>
  <c r="N776" i="4" s="1"/>
  <c r="N777" i="4" a="1"/>
  <c r="N777" i="4" s="1"/>
  <c r="N778" i="4" a="1"/>
  <c r="N778" i="4" s="1"/>
  <c r="N779" i="4" a="1"/>
  <c r="N779" i="4" s="1"/>
  <c r="N780" i="4" a="1"/>
  <c r="N780" i="4" s="1"/>
  <c r="N781" i="4" a="1"/>
  <c r="N781" i="4" s="1"/>
  <c r="N782" i="4" a="1"/>
  <c r="N782" i="4" s="1"/>
  <c r="N783" i="4" a="1"/>
  <c r="N783" i="4" s="1"/>
  <c r="N784" i="4" a="1"/>
  <c r="N784" i="4" s="1"/>
  <c r="N785" i="4" a="1"/>
  <c r="N785" i="4" s="1"/>
  <c r="N786" i="4" a="1"/>
  <c r="N786" i="4" s="1"/>
  <c r="N787" i="4" a="1"/>
  <c r="N787" i="4" s="1"/>
  <c r="N788" i="4" a="1"/>
  <c r="N788" i="4" s="1"/>
  <c r="N789" i="4" a="1"/>
  <c r="N789" i="4" s="1"/>
  <c r="N790" i="4" a="1"/>
  <c r="N790" i="4" s="1"/>
  <c r="N791" i="4" a="1"/>
  <c r="N791" i="4" s="1"/>
  <c r="N792" i="4" a="1"/>
  <c r="N792" i="4" s="1"/>
  <c r="N793" i="4" a="1"/>
  <c r="N793" i="4" s="1"/>
  <c r="N794" i="4" a="1"/>
  <c r="N794" i="4" s="1"/>
  <c r="N795" i="4" a="1"/>
  <c r="N795" i="4" s="1"/>
  <c r="N796" i="4" a="1"/>
  <c r="N796" i="4" s="1"/>
  <c r="N797" i="4" a="1"/>
  <c r="N797" i="4" s="1"/>
  <c r="N798" i="4" a="1"/>
  <c r="N798" i="4" s="1"/>
  <c r="N799" i="4" a="1"/>
  <c r="N799" i="4" s="1"/>
  <c r="N800" i="4" a="1"/>
  <c r="N800" i="4" s="1"/>
  <c r="N801" i="4" a="1"/>
  <c r="N801" i="4" s="1"/>
  <c r="N802" i="4" a="1"/>
  <c r="N802" i="4" s="1"/>
  <c r="N803" i="4" a="1"/>
  <c r="N803" i="4" s="1"/>
  <c r="N804" i="4" a="1"/>
  <c r="N804" i="4" s="1"/>
  <c r="N805" i="4" a="1"/>
  <c r="N805" i="4" s="1"/>
  <c r="N806" i="4" a="1"/>
  <c r="N806" i="4" s="1"/>
  <c r="N807" i="4" a="1"/>
  <c r="N807" i="4" s="1"/>
  <c r="N808" i="4" a="1"/>
  <c r="N808" i="4" s="1"/>
  <c r="N809" i="4" a="1"/>
  <c r="N809" i="4" s="1"/>
  <c r="N810" i="4" a="1"/>
  <c r="N810" i="4" s="1"/>
  <c r="N811" i="4" a="1"/>
  <c r="N811" i="4" s="1"/>
  <c r="N812" i="4" a="1"/>
  <c r="N812" i="4" s="1"/>
  <c r="N813" i="4" a="1"/>
  <c r="N813" i="4" s="1"/>
  <c r="N814" i="4" a="1"/>
  <c r="N814" i="4" s="1"/>
  <c r="N815" i="4" a="1"/>
  <c r="N815" i="4" s="1"/>
  <c r="N816" i="4" a="1"/>
  <c r="N816" i="4" s="1"/>
  <c r="N817" i="4" a="1"/>
  <c r="N817" i="4" s="1"/>
  <c r="N818" i="4" a="1"/>
  <c r="N818" i="4" s="1"/>
  <c r="N819" i="4" a="1"/>
  <c r="N819" i="4" s="1"/>
  <c r="N820" i="4" a="1"/>
  <c r="N820" i="4" s="1"/>
  <c r="N821" i="4" a="1"/>
  <c r="N821" i="4" s="1"/>
  <c r="N822" i="4" a="1"/>
  <c r="N822" i="4" s="1"/>
  <c r="N823" i="4" a="1"/>
  <c r="N823" i="4" s="1"/>
  <c r="N824" i="4" a="1"/>
  <c r="N824" i="4" s="1"/>
  <c r="N825" i="4" a="1"/>
  <c r="N825" i="4" s="1"/>
  <c r="N826" i="4" a="1"/>
  <c r="N826" i="4" s="1"/>
  <c r="N827" i="4" a="1"/>
  <c r="N827" i="4" s="1"/>
  <c r="N828" i="4" a="1"/>
  <c r="N828" i="4" s="1"/>
  <c r="N829" i="4" a="1"/>
  <c r="N829" i="4" s="1"/>
  <c r="N830" i="4" a="1"/>
  <c r="N830" i="4" s="1"/>
  <c r="N831" i="4" a="1"/>
  <c r="N831" i="4" s="1"/>
  <c r="N832" i="4" a="1"/>
  <c r="N832" i="4" s="1"/>
  <c r="N833" i="4" a="1"/>
  <c r="N833" i="4" s="1"/>
  <c r="N834" i="4" a="1"/>
  <c r="N834" i="4" s="1"/>
  <c r="N835" i="4" a="1"/>
  <c r="N835" i="4" s="1"/>
  <c r="N836" i="4" a="1"/>
  <c r="N836" i="4" s="1"/>
  <c r="N837" i="4" a="1"/>
  <c r="N837" i="4" s="1"/>
  <c r="N838" i="4" a="1"/>
  <c r="N838" i="4" s="1"/>
  <c r="N839" i="4" a="1"/>
  <c r="N839" i="4" s="1"/>
  <c r="N840" i="4" a="1"/>
  <c r="N840" i="4" s="1"/>
  <c r="N841" i="4" a="1"/>
  <c r="N841" i="4" s="1"/>
  <c r="N842" i="4" a="1"/>
  <c r="N842" i="4" s="1"/>
  <c r="N843" i="4" a="1"/>
  <c r="N843" i="4" s="1"/>
  <c r="N844" i="4" a="1"/>
  <c r="N844" i="4" s="1"/>
  <c r="N845" i="4" a="1"/>
  <c r="N845" i="4" s="1"/>
  <c r="N846" i="4" a="1"/>
  <c r="N846" i="4" s="1"/>
  <c r="N847" i="4" a="1"/>
  <c r="N847" i="4" s="1"/>
  <c r="N848" i="4" a="1"/>
  <c r="N848" i="4" s="1"/>
  <c r="N849" i="4" a="1"/>
  <c r="N849" i="4" s="1"/>
  <c r="N850" i="4" a="1"/>
  <c r="N850" i="4" s="1"/>
  <c r="N851" i="4" a="1"/>
  <c r="N851" i="4" s="1"/>
  <c r="N852" i="4" a="1"/>
  <c r="N852" i="4" s="1"/>
  <c r="N853" i="4" a="1"/>
  <c r="N853" i="4" s="1"/>
  <c r="N854" i="4" a="1"/>
  <c r="N854" i="4" s="1"/>
  <c r="N855" i="4" a="1"/>
  <c r="N855" i="4" s="1"/>
  <c r="N856" i="4" a="1"/>
  <c r="N856" i="4" s="1"/>
  <c r="N857" i="4" a="1"/>
  <c r="N857" i="4" s="1"/>
  <c r="N858" i="4" a="1"/>
  <c r="N858" i="4" s="1"/>
  <c r="N859" i="4" a="1"/>
  <c r="N859" i="4" s="1"/>
  <c r="N860" i="4" a="1"/>
  <c r="N860" i="4" s="1"/>
  <c r="N861" i="4" a="1"/>
  <c r="N861" i="4" s="1"/>
  <c r="N862" i="4" a="1"/>
  <c r="N862" i="4" s="1"/>
  <c r="N863" i="4" a="1"/>
  <c r="N863" i="4" s="1"/>
  <c r="N864" i="4" a="1"/>
  <c r="N864" i="4" s="1"/>
  <c r="N865" i="4" a="1"/>
  <c r="N865" i="4" s="1"/>
  <c r="N866" i="4" a="1"/>
  <c r="N866" i="4" s="1"/>
  <c r="N867" i="4" a="1"/>
  <c r="N867" i="4" s="1"/>
  <c r="N868" i="4" a="1"/>
  <c r="N868" i="4" s="1"/>
  <c r="N869" i="4" a="1"/>
  <c r="N869" i="4" s="1"/>
  <c r="N870" i="4" a="1"/>
  <c r="N870" i="4" s="1"/>
  <c r="N871" i="4" a="1"/>
  <c r="N871" i="4" s="1"/>
  <c r="N872" i="4" a="1"/>
  <c r="N872" i="4" s="1"/>
  <c r="N873" i="4" a="1"/>
  <c r="N873" i="4" s="1"/>
  <c r="N874" i="4" a="1"/>
  <c r="N874" i="4" s="1"/>
  <c r="N875" i="4" a="1"/>
  <c r="N875" i="4" s="1"/>
  <c r="N876" i="4" a="1"/>
  <c r="N876" i="4" s="1"/>
  <c r="N877" i="4" a="1"/>
  <c r="N877" i="4" s="1"/>
  <c r="N878" i="4" a="1"/>
  <c r="N878" i="4" s="1"/>
  <c r="N879" i="4" a="1"/>
  <c r="N879" i="4" s="1"/>
  <c r="N880" i="4" a="1"/>
  <c r="N880" i="4" s="1"/>
  <c r="N881" i="4" a="1"/>
  <c r="N881" i="4" s="1"/>
  <c r="N882" i="4" a="1"/>
  <c r="N882" i="4" s="1"/>
  <c r="N883" i="4" a="1"/>
  <c r="N883" i="4" s="1"/>
  <c r="N884" i="4" a="1"/>
  <c r="N884" i="4" s="1"/>
  <c r="N885" i="4" a="1"/>
  <c r="N885" i="4" s="1"/>
  <c r="N886" i="4" a="1"/>
  <c r="N886" i="4" s="1"/>
  <c r="N887" i="4" a="1"/>
  <c r="N887" i="4" s="1"/>
  <c r="N888" i="4" a="1"/>
  <c r="N888" i="4" s="1"/>
  <c r="N889" i="4" a="1"/>
  <c r="N889" i="4" s="1"/>
  <c r="N890" i="4" a="1"/>
  <c r="N890" i="4" s="1"/>
  <c r="N891" i="4" a="1"/>
  <c r="N891" i="4" s="1"/>
  <c r="N892" i="4" a="1"/>
  <c r="N892" i="4" s="1"/>
  <c r="N893" i="4" a="1"/>
  <c r="N893" i="4" s="1"/>
  <c r="N894" i="4" a="1"/>
  <c r="N894" i="4" s="1"/>
  <c r="N895" i="4" a="1"/>
  <c r="N895" i="4" s="1"/>
  <c r="N896" i="4" a="1"/>
  <c r="N896" i="4" s="1"/>
  <c r="N897" i="4" a="1"/>
  <c r="N897" i="4" s="1"/>
  <c r="N898" i="4" a="1"/>
  <c r="N898" i="4" s="1"/>
  <c r="N899" i="4" a="1"/>
  <c r="N899" i="4" s="1"/>
  <c r="N900" i="4" a="1"/>
  <c r="N900" i="4" s="1"/>
  <c r="N901" i="4" a="1"/>
  <c r="N901" i="4" s="1"/>
  <c r="N902" i="4" a="1"/>
  <c r="N902" i="4" s="1"/>
  <c r="N903" i="4" a="1"/>
  <c r="N903" i="4" s="1"/>
  <c r="N904" i="4" a="1"/>
  <c r="N904" i="4" s="1"/>
  <c r="N905" i="4" a="1"/>
  <c r="N905" i="4" s="1"/>
  <c r="N906" i="4" a="1"/>
  <c r="N906" i="4" s="1"/>
  <c r="N907" i="4" a="1"/>
  <c r="N907" i="4" s="1"/>
  <c r="N908" i="4" a="1"/>
  <c r="N908" i="4" s="1"/>
  <c r="N909" i="4" a="1"/>
  <c r="N909" i="4" s="1"/>
  <c r="N910" i="4" a="1"/>
  <c r="N910" i="4" s="1"/>
  <c r="N911" i="4" a="1"/>
  <c r="N911" i="4" s="1"/>
  <c r="N912" i="4" a="1"/>
  <c r="N912" i="4" s="1"/>
  <c r="N913" i="4" a="1"/>
  <c r="N913" i="4" s="1"/>
  <c r="N914" i="4" a="1"/>
  <c r="N914" i="4" s="1"/>
  <c r="N915" i="4" a="1"/>
  <c r="N915" i="4" s="1"/>
  <c r="N916" i="4" a="1"/>
  <c r="N916" i="4" s="1"/>
  <c r="N917" i="4" a="1"/>
  <c r="N917" i="4" s="1"/>
  <c r="N918" i="4" a="1"/>
  <c r="N918" i="4" s="1"/>
  <c r="N919" i="4" a="1"/>
  <c r="N919" i="4" s="1"/>
  <c r="N920" i="4" a="1"/>
  <c r="N920" i="4" s="1"/>
  <c r="N921" i="4" a="1"/>
  <c r="N921" i="4" s="1"/>
  <c r="N922" i="4" a="1"/>
  <c r="N922" i="4" s="1"/>
  <c r="N923" i="4" a="1"/>
  <c r="N923" i="4" s="1"/>
  <c r="N924" i="4" a="1"/>
  <c r="N924" i="4" s="1"/>
  <c r="N925" i="4" a="1"/>
  <c r="N925" i="4" s="1"/>
  <c r="N926" i="4" a="1"/>
  <c r="N926" i="4" s="1"/>
  <c r="N927" i="4" a="1"/>
  <c r="N927" i="4" s="1"/>
  <c r="N928" i="4" a="1"/>
  <c r="N928" i="4" s="1"/>
  <c r="N929" i="4" a="1"/>
  <c r="N929" i="4" s="1"/>
  <c r="N930" i="4" a="1"/>
  <c r="N930" i="4" s="1"/>
  <c r="N931" i="4" a="1"/>
  <c r="N931" i="4" s="1"/>
  <c r="N932" i="4" a="1"/>
  <c r="N932" i="4" s="1"/>
  <c r="N933" i="4" a="1"/>
  <c r="N933" i="4" s="1"/>
  <c r="N934" i="4" a="1"/>
  <c r="N934" i="4" s="1"/>
  <c r="N935" i="4" a="1"/>
  <c r="N935" i="4" s="1"/>
  <c r="N936" i="4" a="1"/>
  <c r="N936" i="4" s="1"/>
  <c r="N937" i="4" a="1"/>
  <c r="N937" i="4" s="1"/>
  <c r="N938" i="4" a="1"/>
  <c r="N938" i="4" s="1"/>
  <c r="N939" i="4" a="1"/>
  <c r="N939" i="4" s="1"/>
  <c r="N940" i="4" a="1"/>
  <c r="N940" i="4" s="1"/>
  <c r="N941" i="4" a="1"/>
  <c r="N941" i="4" s="1"/>
  <c r="N942" i="4" a="1"/>
  <c r="N942" i="4" s="1"/>
  <c r="N943" i="4" a="1"/>
  <c r="N943" i="4" s="1"/>
  <c r="N944" i="4" a="1"/>
  <c r="N944" i="4" s="1"/>
  <c r="N945" i="4" a="1"/>
  <c r="N945" i="4" s="1"/>
  <c r="N946" i="4" a="1"/>
  <c r="N946" i="4" s="1"/>
  <c r="N947" i="4" a="1"/>
  <c r="N947" i="4" s="1"/>
  <c r="N948" i="4" a="1"/>
  <c r="N948" i="4" s="1"/>
  <c r="N949" i="4" a="1"/>
  <c r="N949" i="4" s="1"/>
  <c r="N950" i="4" a="1"/>
  <c r="N950" i="4" s="1"/>
  <c r="N951" i="4" a="1"/>
  <c r="N951" i="4" s="1"/>
  <c r="N952" i="4" a="1"/>
  <c r="N952" i="4" s="1"/>
  <c r="N953" i="4" a="1"/>
  <c r="N953" i="4" s="1"/>
  <c r="N954" i="4" a="1"/>
  <c r="N954" i="4" s="1"/>
  <c r="N955" i="4" a="1"/>
  <c r="N955" i="4" s="1"/>
  <c r="N956" i="4" a="1"/>
  <c r="N956" i="4" s="1"/>
  <c r="N957" i="4" a="1"/>
  <c r="N957" i="4" s="1"/>
  <c r="N958" i="4" a="1"/>
  <c r="N958" i="4" s="1"/>
  <c r="N959" i="4" a="1"/>
  <c r="N959" i="4" s="1"/>
  <c r="N960" i="4" a="1"/>
  <c r="N960" i="4" s="1"/>
  <c r="N961" i="4" a="1"/>
  <c r="N961" i="4" s="1"/>
  <c r="N962" i="4" a="1"/>
  <c r="N962" i="4" s="1"/>
  <c r="N963" i="4" a="1"/>
  <c r="N963" i="4" s="1"/>
  <c r="N964" i="4" a="1"/>
  <c r="N964" i="4" s="1"/>
  <c r="N965" i="4" a="1"/>
  <c r="N965" i="4" s="1"/>
  <c r="N966" i="4" a="1"/>
  <c r="N966" i="4" s="1"/>
  <c r="N967" i="4" a="1"/>
  <c r="N967" i="4" s="1"/>
  <c r="N968" i="4" a="1"/>
  <c r="N968" i="4" s="1"/>
  <c r="N969" i="4" a="1"/>
  <c r="N969" i="4" s="1"/>
  <c r="N970" i="4" a="1"/>
  <c r="N970" i="4" s="1"/>
  <c r="N971" i="4" a="1"/>
  <c r="N971" i="4" s="1"/>
  <c r="N972" i="4" a="1"/>
  <c r="N972" i="4" s="1"/>
  <c r="N973" i="4" a="1"/>
  <c r="N973" i="4" s="1"/>
  <c r="N974" i="4" a="1"/>
  <c r="N974" i="4" s="1"/>
  <c r="N975" i="4" a="1"/>
  <c r="N975" i="4" s="1"/>
  <c r="N976" i="4" a="1"/>
  <c r="N976" i="4" s="1"/>
  <c r="N977" i="4" a="1"/>
  <c r="N977" i="4" s="1"/>
  <c r="N978" i="4" a="1"/>
  <c r="N978" i="4" s="1"/>
  <c r="N979" i="4" a="1"/>
  <c r="N979" i="4" s="1"/>
  <c r="N980" i="4" a="1"/>
  <c r="N980" i="4" s="1"/>
  <c r="N981" i="4" a="1"/>
  <c r="N981" i="4" s="1"/>
  <c r="N982" i="4" a="1"/>
  <c r="N982" i="4" s="1"/>
  <c r="N983" i="4" a="1"/>
  <c r="N983" i="4" s="1"/>
  <c r="N984" i="4" a="1"/>
  <c r="N984" i="4" s="1"/>
  <c r="N985" i="4" a="1"/>
  <c r="N985" i="4" s="1"/>
  <c r="N986" i="4" a="1"/>
  <c r="N986" i="4" s="1"/>
  <c r="N987" i="4" a="1"/>
  <c r="N987" i="4" s="1"/>
  <c r="N988" i="4" a="1"/>
  <c r="N988" i="4" s="1"/>
  <c r="N989" i="4" a="1"/>
  <c r="N989" i="4" s="1"/>
  <c r="N990" i="4" a="1"/>
  <c r="N990" i="4" s="1"/>
  <c r="N991" i="4" a="1"/>
  <c r="N991" i="4" s="1"/>
  <c r="N992" i="4" a="1"/>
  <c r="N992" i="4" s="1"/>
  <c r="N993" i="4" a="1"/>
  <c r="N993" i="4" s="1"/>
  <c r="N994" i="4" a="1"/>
  <c r="N994" i="4" s="1"/>
  <c r="N995" i="4" a="1"/>
  <c r="N995" i="4" s="1"/>
  <c r="N996" i="4" a="1"/>
  <c r="N996" i="4" s="1"/>
  <c r="N997" i="4" a="1"/>
  <c r="N997" i="4" s="1"/>
  <c r="N998" i="4" a="1"/>
  <c r="N998" i="4" s="1"/>
  <c r="N999" i="4" a="1"/>
  <c r="N999" i="4" s="1"/>
  <c r="N1000" i="4" a="1"/>
  <c r="N1000" i="4" s="1"/>
  <c r="N1001" i="4" a="1"/>
  <c r="N1001" i="4" s="1"/>
  <c r="N1002" i="4" a="1"/>
  <c r="N1002" i="4" s="1"/>
  <c r="N1003" i="4" a="1"/>
  <c r="N1003" i="4" s="1"/>
  <c r="N1004" i="4" a="1"/>
  <c r="N1004" i="4" s="1"/>
  <c r="N1005" i="4" a="1"/>
  <c r="N1005" i="4" s="1"/>
  <c r="N1006" i="4" a="1"/>
  <c r="N1006" i="4" s="1"/>
  <c r="N1007" i="4" a="1"/>
  <c r="N1007" i="4" s="1"/>
  <c r="N1008" i="4" a="1"/>
  <c r="N1008" i="4" s="1"/>
  <c r="N1009" i="4" a="1"/>
  <c r="N1009" i="4" s="1"/>
  <c r="N1010" i="4" a="1"/>
  <c r="N1010" i="4" s="1"/>
  <c r="N1011" i="4" a="1"/>
  <c r="N1011" i="4" s="1"/>
  <c r="N1012" i="4" a="1"/>
  <c r="N1012" i="4" s="1"/>
  <c r="N1013" i="4" a="1"/>
  <c r="N1013" i="4" s="1"/>
  <c r="N1014" i="4" a="1"/>
  <c r="N1014" i="4" s="1"/>
  <c r="N1015" i="4" a="1"/>
  <c r="N1015" i="4" s="1"/>
  <c r="N1016" i="4" a="1"/>
  <c r="N1016" i="4" s="1"/>
  <c r="N1017" i="4" a="1"/>
  <c r="N1017" i="4" s="1"/>
  <c r="N1018" i="4" a="1"/>
  <c r="N1018" i="4" s="1"/>
  <c r="N1019" i="4" a="1"/>
  <c r="N1019" i="4" s="1"/>
  <c r="N1020" i="4" a="1"/>
  <c r="N1020" i="4" s="1"/>
  <c r="N1021" i="4" a="1"/>
  <c r="N1021" i="4" s="1"/>
  <c r="N1022" i="4" a="1"/>
  <c r="N1022" i="4" s="1"/>
  <c r="N1023" i="4" a="1"/>
  <c r="N1023" i="4" s="1"/>
  <c r="N1024" i="4" a="1"/>
  <c r="N1024" i="4" s="1"/>
  <c r="N1025" i="4" a="1"/>
  <c r="N1025" i="4" s="1"/>
  <c r="N1026" i="4" a="1"/>
  <c r="N1026" i="4" s="1"/>
  <c r="N1027" i="4" a="1"/>
  <c r="N1027" i="4" s="1"/>
  <c r="N1028" i="4" a="1"/>
  <c r="N1028" i="4" s="1"/>
  <c r="N1029" i="4" a="1"/>
  <c r="N1029" i="4" s="1"/>
  <c r="N1030" i="4" a="1"/>
  <c r="N1030" i="4" s="1"/>
  <c r="N1031" i="4" a="1"/>
  <c r="N1031" i="4" s="1"/>
  <c r="N1032" i="4" a="1"/>
  <c r="N1032" i="4" s="1"/>
  <c r="N1033" i="4" a="1"/>
  <c r="N1033" i="4" s="1"/>
  <c r="N1034" i="4" a="1"/>
  <c r="N1034" i="4" s="1"/>
  <c r="N1035" i="4" a="1"/>
  <c r="N1035" i="4" s="1"/>
  <c r="N1036" i="4" a="1"/>
  <c r="N1036" i="4" s="1"/>
  <c r="N1037" i="4" a="1"/>
  <c r="N1037" i="4" s="1"/>
  <c r="N1038" i="4" a="1"/>
  <c r="N1038" i="4" s="1"/>
  <c r="N1039" i="4" a="1"/>
  <c r="N1039" i="4" s="1"/>
  <c r="N1040" i="4" a="1"/>
  <c r="N1040" i="4" s="1"/>
  <c r="N1041" i="4" a="1"/>
  <c r="N1041" i="4" s="1"/>
  <c r="N1042" i="4" a="1"/>
  <c r="N1042" i="4" s="1"/>
  <c r="N1043" i="4" a="1"/>
  <c r="N1043" i="4" s="1"/>
  <c r="N1044" i="4" a="1"/>
  <c r="N1044" i="4" s="1"/>
  <c r="N1045" i="4" a="1"/>
  <c r="N1045" i="4" s="1"/>
  <c r="N1046" i="4" a="1"/>
  <c r="N1046" i="4" s="1"/>
  <c r="N1047" i="4" a="1"/>
  <c r="N1047" i="4" s="1"/>
  <c r="N1048" i="4" a="1"/>
  <c r="N1048" i="4" s="1"/>
  <c r="N1049" i="4" a="1"/>
  <c r="N1049" i="4" s="1"/>
  <c r="N1050" i="4" a="1"/>
  <c r="N1050" i="4" s="1"/>
  <c r="N1051" i="4" a="1"/>
  <c r="N1051" i="4" s="1"/>
  <c r="N1052" i="4" a="1"/>
  <c r="N1052" i="4" s="1"/>
  <c r="N1053" i="4" a="1"/>
  <c r="N1053" i="4" s="1"/>
  <c r="N1054" i="4" a="1"/>
  <c r="N1054" i="4" s="1"/>
  <c r="N1055" i="4" a="1"/>
  <c r="N1055" i="4" s="1"/>
  <c r="N1056" i="4" a="1"/>
  <c r="N1056" i="4" s="1"/>
  <c r="N1057" i="4" a="1"/>
  <c r="N1057" i="4" s="1"/>
  <c r="N1058" i="4" a="1"/>
  <c r="N1058" i="4" s="1"/>
  <c r="N1059" i="4" a="1"/>
  <c r="N1059" i="4" s="1"/>
  <c r="N1060" i="4" a="1"/>
  <c r="N1060" i="4" s="1"/>
  <c r="N1061" i="4" a="1"/>
  <c r="N1061" i="4" s="1"/>
  <c r="N1062" i="4" a="1"/>
  <c r="N1062" i="4" s="1"/>
  <c r="N1063" i="4" a="1"/>
  <c r="N1063" i="4" s="1"/>
  <c r="N1064" i="4" a="1"/>
  <c r="N1064" i="4" s="1"/>
  <c r="N1065" i="4" a="1"/>
  <c r="N1065" i="4" s="1"/>
  <c r="N1066" i="4" a="1"/>
  <c r="N1066" i="4" s="1"/>
  <c r="N1067" i="4" a="1"/>
  <c r="N1067" i="4" s="1"/>
  <c r="N1068" i="4" a="1"/>
  <c r="N1068" i="4" s="1"/>
  <c r="N1069" i="4" a="1"/>
  <c r="N1069" i="4" s="1"/>
  <c r="N1070" i="4" a="1"/>
  <c r="N1070" i="4" s="1"/>
  <c r="N1071" i="4" a="1"/>
  <c r="N1071" i="4" s="1"/>
  <c r="N1072" i="4" a="1"/>
  <c r="N1072" i="4" s="1"/>
  <c r="N1073" i="4" a="1"/>
  <c r="N1073" i="4" s="1"/>
  <c r="N1074" i="4" a="1"/>
  <c r="N1074" i="4" s="1"/>
  <c r="N1075" i="4" a="1"/>
  <c r="N1075" i="4" s="1"/>
  <c r="N1076" i="4" a="1"/>
  <c r="N1076" i="4" s="1"/>
  <c r="N1077" i="4" a="1"/>
  <c r="N1077" i="4" s="1"/>
  <c r="N1078" i="4" a="1"/>
  <c r="N1078" i="4" s="1"/>
  <c r="N1079" i="4" a="1"/>
  <c r="N1079" i="4" s="1"/>
  <c r="N1080" i="4" a="1"/>
  <c r="N1080" i="4" s="1"/>
  <c r="N1081" i="4" a="1"/>
  <c r="N1081" i="4" s="1"/>
  <c r="N1082" i="4" a="1"/>
  <c r="N1082" i="4" s="1"/>
  <c r="N1083" i="4" a="1"/>
  <c r="N1083" i="4" s="1"/>
  <c r="N1084" i="4" a="1"/>
  <c r="N1084" i="4" s="1"/>
  <c r="N1085" i="4" a="1"/>
  <c r="N1085" i="4" s="1"/>
  <c r="N1086" i="4" a="1"/>
  <c r="N1086" i="4" s="1"/>
  <c r="N1087" i="4" a="1"/>
  <c r="N1087" i="4" s="1"/>
  <c r="N1088" i="4" a="1"/>
  <c r="N1088" i="4" s="1"/>
  <c r="N1089" i="4" a="1"/>
  <c r="N1089" i="4" s="1"/>
  <c r="N1090" i="4" a="1"/>
  <c r="N1090" i="4" s="1"/>
  <c r="N1091" i="4" a="1"/>
  <c r="N1091" i="4" s="1"/>
  <c r="N1092" i="4" a="1"/>
  <c r="N1092" i="4" s="1"/>
  <c r="N1093" i="4" a="1"/>
  <c r="N1093" i="4" s="1"/>
  <c r="N1094" i="4" a="1"/>
  <c r="N1094" i="4" s="1"/>
  <c r="N1095" i="4" a="1"/>
  <c r="N1095" i="4" s="1"/>
  <c r="N1096" i="4" a="1"/>
  <c r="N1096" i="4" s="1"/>
  <c r="N1097" i="4" a="1"/>
  <c r="N1097" i="4" s="1"/>
  <c r="N1098" i="4" a="1"/>
  <c r="N1098" i="4" s="1"/>
  <c r="N1099" i="4" a="1"/>
  <c r="N1099" i="4" s="1"/>
  <c r="N1100" i="4" a="1"/>
  <c r="N1100" i="4" s="1"/>
  <c r="N1101" i="4" a="1"/>
  <c r="N1101" i="4" s="1"/>
  <c r="N1102" i="4" a="1"/>
  <c r="N1102" i="4" s="1"/>
  <c r="N1103" i="4" a="1"/>
  <c r="N1103" i="4" s="1"/>
  <c r="N1104" i="4" a="1"/>
  <c r="N1104" i="4" s="1"/>
  <c r="N1105" i="4" a="1"/>
  <c r="N1105" i="4" s="1"/>
  <c r="N1106" i="4" a="1"/>
  <c r="N1106" i="4" s="1"/>
  <c r="N1107" i="4" a="1"/>
  <c r="N1107" i="4" s="1"/>
  <c r="N1108" i="4" a="1"/>
  <c r="N1108" i="4" s="1"/>
  <c r="N1109" i="4" a="1"/>
  <c r="N1109" i="4" s="1"/>
  <c r="N1110" i="4" a="1"/>
  <c r="N1110" i="4" s="1"/>
  <c r="N1111" i="4" a="1"/>
  <c r="N1111" i="4" s="1"/>
  <c r="N1112" i="4" a="1"/>
  <c r="N1112" i="4" s="1"/>
  <c r="N1113" i="4" a="1"/>
  <c r="N1113" i="4" s="1"/>
  <c r="N1114" i="4" a="1"/>
  <c r="N1114" i="4" s="1"/>
  <c r="N1115" i="4" a="1"/>
  <c r="N1115" i="4" s="1"/>
  <c r="N1116" i="4" a="1"/>
  <c r="N1116" i="4" s="1"/>
  <c r="N1117" i="4" a="1"/>
  <c r="N1117" i="4" s="1"/>
  <c r="N1118" i="4" a="1"/>
  <c r="N1118" i="4" s="1"/>
  <c r="N1119" i="4" a="1"/>
  <c r="N1119" i="4" s="1"/>
  <c r="N1120" i="4" a="1"/>
  <c r="N1120" i="4" s="1"/>
  <c r="N1121" i="4" a="1"/>
  <c r="N1121" i="4" s="1"/>
  <c r="N1122" i="4" a="1"/>
  <c r="N1122" i="4" s="1"/>
  <c r="N1123" i="4" a="1"/>
  <c r="N1123" i="4" s="1"/>
  <c r="N1124" i="4" a="1"/>
  <c r="N1124" i="4" s="1"/>
  <c r="N1125" i="4" a="1"/>
  <c r="N1125" i="4" s="1"/>
  <c r="N1126" i="4" a="1"/>
  <c r="N1126" i="4" s="1"/>
  <c r="N1127" i="4" a="1"/>
  <c r="N1127" i="4" s="1"/>
  <c r="N1128" i="4" a="1"/>
  <c r="N1128" i="4" s="1"/>
  <c r="N1129" i="4" a="1"/>
  <c r="N1129" i="4" s="1"/>
  <c r="N1130" i="4" a="1"/>
  <c r="N1130" i="4" s="1"/>
  <c r="N1131" i="4" a="1"/>
  <c r="N1131" i="4" s="1"/>
  <c r="N1132" i="4" a="1"/>
  <c r="N1132" i="4" s="1"/>
  <c r="N1133" i="4" a="1"/>
  <c r="N1133" i="4" s="1"/>
  <c r="N1134" i="4" a="1"/>
  <c r="N1134" i="4" s="1"/>
  <c r="N1135" i="4" a="1"/>
  <c r="N1135" i="4" s="1"/>
  <c r="N1136" i="4" a="1"/>
  <c r="N1136" i="4" s="1"/>
  <c r="N1137" i="4" a="1"/>
  <c r="N1137" i="4" s="1"/>
  <c r="N1138" i="4" a="1"/>
  <c r="N1138" i="4" s="1"/>
  <c r="N1139" i="4" a="1"/>
  <c r="N1139" i="4" s="1"/>
  <c r="N1140" i="4" a="1"/>
  <c r="N1140" i="4" s="1"/>
  <c r="N1141" i="4" a="1"/>
  <c r="N1141" i="4" s="1"/>
  <c r="N1142" i="4" a="1"/>
  <c r="N1142" i="4" s="1"/>
  <c r="N1143" i="4" a="1"/>
  <c r="N1143" i="4" s="1"/>
  <c r="N1144" i="4" a="1"/>
  <c r="N1144" i="4" s="1"/>
  <c r="N1145" i="4" a="1"/>
  <c r="N1145" i="4" s="1"/>
  <c r="N1146" i="4" a="1"/>
  <c r="N1146" i="4" s="1"/>
  <c r="N1147" i="4" a="1"/>
  <c r="N1147" i="4" s="1"/>
  <c r="N1148" i="4" a="1"/>
  <c r="N1148" i="4" s="1"/>
  <c r="N1149" i="4" a="1"/>
  <c r="N1149" i="4" s="1"/>
  <c r="N1150" i="4" a="1"/>
  <c r="N1150" i="4" s="1"/>
  <c r="N1151" i="4" a="1"/>
  <c r="N1151" i="4" s="1"/>
  <c r="N1152" i="4" a="1"/>
  <c r="N1152" i="4" s="1"/>
  <c r="N1153" i="4" a="1"/>
  <c r="N1153" i="4" s="1"/>
  <c r="N1154" i="4" a="1"/>
  <c r="N1154" i="4" s="1"/>
  <c r="N1155" i="4" a="1"/>
  <c r="N1155" i="4" s="1"/>
  <c r="N1156" i="4" a="1"/>
  <c r="N1156" i="4" s="1"/>
  <c r="N1157" i="4" a="1"/>
  <c r="N1157" i="4" s="1"/>
  <c r="N1158" i="4" a="1"/>
  <c r="N1158" i="4" s="1"/>
  <c r="N1159" i="4" a="1"/>
  <c r="N1159" i="4" s="1"/>
  <c r="N1160" i="4" a="1"/>
  <c r="N1160" i="4" s="1"/>
  <c r="N1161" i="4" a="1"/>
  <c r="N1161" i="4" s="1"/>
  <c r="N1162" i="4" a="1"/>
  <c r="N1162" i="4" s="1"/>
  <c r="N1163" i="4" a="1"/>
  <c r="N1163" i="4" s="1"/>
  <c r="N1164" i="4" a="1"/>
  <c r="N1164" i="4" s="1"/>
  <c r="N1165" i="4" a="1"/>
  <c r="N1165" i="4" s="1"/>
  <c r="N1166" i="4" a="1"/>
  <c r="N1166" i="4" s="1"/>
  <c r="N1167" i="4" a="1"/>
  <c r="N1167" i="4" s="1"/>
  <c r="N1168" i="4" a="1"/>
  <c r="N1168" i="4" s="1"/>
  <c r="N1169" i="4" a="1"/>
  <c r="N1169" i="4" s="1"/>
  <c r="N1170" i="4" a="1"/>
  <c r="N1170" i="4" s="1"/>
  <c r="N1171" i="4" a="1"/>
  <c r="N1171" i="4" s="1"/>
  <c r="N1172" i="4" a="1"/>
  <c r="N1172" i="4" s="1"/>
  <c r="N1173" i="4" a="1"/>
  <c r="N1173" i="4" s="1"/>
  <c r="N1174" i="4" a="1"/>
  <c r="N1174" i="4" s="1"/>
  <c r="N1175" i="4" a="1"/>
  <c r="N1175" i="4" s="1"/>
  <c r="N1176" i="4" a="1"/>
  <c r="N1176" i="4" s="1"/>
  <c r="N1177" i="4" a="1"/>
  <c r="N1177" i="4" s="1"/>
  <c r="N1178" i="4" a="1"/>
  <c r="N1178" i="4" s="1"/>
  <c r="N1179" i="4" a="1"/>
  <c r="N1179" i="4" s="1"/>
  <c r="N1180" i="4" a="1"/>
  <c r="N1180" i="4" s="1"/>
  <c r="N1181" i="4" a="1"/>
  <c r="N1181" i="4" s="1"/>
  <c r="N1182" i="4" a="1"/>
  <c r="N1182" i="4" s="1"/>
  <c r="N1183" i="4" a="1"/>
  <c r="N1183" i="4" s="1"/>
  <c r="N1184" i="4" a="1"/>
  <c r="N1184" i="4" s="1"/>
  <c r="N1185" i="4" a="1"/>
  <c r="N1185" i="4" s="1"/>
  <c r="N1186" i="4" a="1"/>
  <c r="N1186" i="4" s="1"/>
  <c r="N1187" i="4" a="1"/>
  <c r="N1187" i="4" s="1"/>
  <c r="N1188" i="4" a="1"/>
  <c r="N1188" i="4" s="1"/>
  <c r="N1189" i="4" a="1"/>
  <c r="N1189" i="4" s="1"/>
  <c r="N1190" i="4" a="1"/>
  <c r="N1190" i="4" s="1"/>
  <c r="N1191" i="4" a="1"/>
  <c r="N1191" i="4" s="1"/>
  <c r="N1192" i="4" a="1"/>
  <c r="N1192" i="4" s="1"/>
  <c r="N1193" i="4" a="1"/>
  <c r="N1193" i="4" s="1"/>
  <c r="N1194" i="4" a="1"/>
  <c r="N1194" i="4" s="1"/>
  <c r="N1195" i="4" a="1"/>
  <c r="N1195" i="4" s="1"/>
  <c r="N1196" i="4" a="1"/>
  <c r="N1196" i="4" s="1"/>
  <c r="N1197" i="4" a="1"/>
  <c r="N1197" i="4" s="1"/>
  <c r="N1198" i="4" a="1"/>
  <c r="N1198" i="4" s="1"/>
  <c r="N1199" i="4" a="1"/>
  <c r="N1199" i="4" s="1"/>
  <c r="N1200" i="4" a="1"/>
  <c r="N1200" i="4" s="1"/>
  <c r="N1201" i="4" a="1"/>
  <c r="N1201" i="4" s="1"/>
  <c r="N1202" i="4" a="1"/>
  <c r="N1202" i="4" s="1"/>
  <c r="N1203" i="4" a="1"/>
  <c r="N1203" i="4" s="1"/>
  <c r="N1204" i="4" a="1"/>
  <c r="N1204" i="4" s="1"/>
  <c r="N1205" i="4" a="1"/>
  <c r="N1205" i="4" s="1"/>
  <c r="N1206" i="4" a="1"/>
  <c r="N1206" i="4" s="1"/>
  <c r="N1207" i="4" a="1"/>
  <c r="N1207" i="4" s="1"/>
  <c r="N1208" i="4" a="1"/>
  <c r="N1208" i="4" s="1"/>
  <c r="N1209" i="4" a="1"/>
  <c r="N1209" i="4" s="1"/>
  <c r="N1210" i="4" a="1"/>
  <c r="N1210" i="4" s="1"/>
  <c r="N1211" i="4" a="1"/>
  <c r="N1211" i="4" s="1"/>
  <c r="N1212" i="4" a="1"/>
  <c r="N1212" i="4" s="1"/>
  <c r="N1213" i="4" a="1"/>
  <c r="N1213" i="4" s="1"/>
  <c r="N1214" i="4" a="1"/>
  <c r="N1214" i="4" s="1"/>
  <c r="N1215" i="4" a="1"/>
  <c r="N1215" i="4" s="1"/>
  <c r="N1216" i="4" a="1"/>
  <c r="N1216" i="4" s="1"/>
  <c r="N1217" i="4" a="1"/>
  <c r="N1217" i="4" s="1"/>
  <c r="N1218" i="4" a="1"/>
  <c r="N1218" i="4" s="1"/>
  <c r="N1219" i="4" a="1"/>
  <c r="N1219" i="4" s="1"/>
  <c r="N1220" i="4" a="1"/>
  <c r="N1220" i="4" s="1"/>
  <c r="N1221" i="4" a="1"/>
  <c r="N1221" i="4" s="1"/>
  <c r="N1222" i="4" a="1"/>
  <c r="N1222" i="4" s="1"/>
  <c r="N1223" i="4" a="1"/>
  <c r="N1223" i="4" s="1"/>
  <c r="N1224" i="4" a="1"/>
  <c r="N1224" i="4" s="1"/>
  <c r="N1225" i="4" a="1"/>
  <c r="N1225" i="4" s="1"/>
  <c r="N1226" i="4" a="1"/>
  <c r="N1226" i="4" s="1"/>
  <c r="N1227" i="4" a="1"/>
  <c r="N1227" i="4" s="1"/>
  <c r="N1228" i="4" a="1"/>
  <c r="N1228" i="4" s="1"/>
  <c r="N1229" i="4" a="1"/>
  <c r="N1229" i="4" s="1"/>
  <c r="N1230" i="4" a="1"/>
  <c r="N1230" i="4" s="1"/>
  <c r="N1231" i="4" a="1"/>
  <c r="N1231" i="4" s="1"/>
  <c r="N1232" i="4" a="1"/>
  <c r="N1232" i="4" s="1"/>
  <c r="N1233" i="4" a="1"/>
  <c r="N1233" i="4" s="1"/>
  <c r="N1234" i="4" a="1"/>
  <c r="N1234" i="4" s="1"/>
  <c r="N1235" i="4" a="1"/>
  <c r="N1235" i="4" s="1"/>
  <c r="N1236" i="4" a="1"/>
  <c r="N1236" i="4" s="1"/>
  <c r="N1237" i="4" a="1"/>
  <c r="N1237" i="4" s="1"/>
  <c r="N1238" i="4" a="1"/>
  <c r="N1238" i="4" s="1"/>
  <c r="N1239" i="4" a="1"/>
  <c r="N1239" i="4" s="1"/>
  <c r="N1240" i="4" a="1"/>
  <c r="N1240" i="4" s="1"/>
  <c r="N1241" i="4" a="1"/>
  <c r="N1241" i="4" s="1"/>
  <c r="N1242" i="4" a="1"/>
  <c r="N1242" i="4" s="1"/>
  <c r="N1243" i="4" a="1"/>
  <c r="N1243" i="4" s="1"/>
  <c r="N1244" i="4" a="1"/>
  <c r="N1244" i="4" s="1"/>
  <c r="N1245" i="4" a="1"/>
  <c r="N1245" i="4" s="1"/>
  <c r="N1246" i="4" a="1"/>
  <c r="N1246" i="4" s="1"/>
  <c r="N1247" i="4" a="1"/>
  <c r="N1247" i="4" s="1"/>
  <c r="N1248" i="4" a="1"/>
  <c r="N1248" i="4" s="1"/>
  <c r="N1249" i="4" a="1"/>
  <c r="N1249" i="4" s="1"/>
  <c r="N1250" i="4" a="1"/>
  <c r="N1250" i="4" s="1"/>
  <c r="N1251" i="4" a="1"/>
  <c r="N1251" i="4" s="1"/>
  <c r="N1252" i="4" a="1"/>
  <c r="N1252" i="4" s="1"/>
  <c r="N1253" i="4" a="1"/>
  <c r="N1253" i="4" s="1"/>
  <c r="N1254" i="4" a="1"/>
  <c r="N1254" i="4" s="1"/>
  <c r="N1255" i="4" a="1"/>
  <c r="N1255" i="4" s="1"/>
  <c r="N1256" i="4" a="1"/>
  <c r="N1256" i="4" s="1"/>
  <c r="N1257" i="4" a="1"/>
  <c r="N1257" i="4" s="1"/>
  <c r="N1258" i="4" a="1"/>
  <c r="N1258" i="4" s="1"/>
  <c r="N1259" i="4" a="1"/>
  <c r="N1259" i="4" s="1"/>
  <c r="N1260" i="4" a="1"/>
  <c r="N1260" i="4" s="1"/>
  <c r="N1261" i="4" a="1"/>
  <c r="N1261" i="4" s="1"/>
  <c r="N1262" i="4" a="1"/>
  <c r="N1262" i="4" s="1"/>
  <c r="N1263" i="4" a="1"/>
  <c r="N1263" i="4" s="1"/>
  <c r="N1264" i="4" a="1"/>
  <c r="N1264" i="4" s="1"/>
  <c r="N1265" i="4" a="1"/>
  <c r="N1265" i="4" s="1"/>
  <c r="N1266" i="4" a="1"/>
  <c r="N1266" i="4" s="1"/>
  <c r="N1267" i="4" a="1"/>
  <c r="N1267" i="4" s="1"/>
  <c r="N1268" i="4" a="1"/>
  <c r="N1268" i="4" s="1"/>
  <c r="N1269" i="4" a="1"/>
  <c r="N1269" i="4" s="1"/>
  <c r="N1270" i="4" a="1"/>
  <c r="N1270" i="4" s="1"/>
  <c r="N1271" i="4" a="1"/>
  <c r="N1271" i="4" s="1"/>
  <c r="N1272" i="4" a="1"/>
  <c r="N1272" i="4" s="1"/>
  <c r="N1273" i="4" a="1"/>
  <c r="N1273" i="4" s="1"/>
  <c r="N1274" i="4" a="1"/>
  <c r="N1274" i="4" s="1"/>
  <c r="N1275" i="4" a="1"/>
  <c r="N1275" i="4" s="1"/>
  <c r="N1276" i="4" a="1"/>
  <c r="N1276" i="4" s="1"/>
  <c r="N1277" i="4" a="1"/>
  <c r="N1277" i="4" s="1"/>
  <c r="N1278" i="4" a="1"/>
  <c r="N1278" i="4" s="1"/>
  <c r="N1279" i="4" a="1"/>
  <c r="N1279" i="4" s="1"/>
  <c r="N1280" i="4" a="1"/>
  <c r="N1280" i="4" s="1"/>
  <c r="N1281" i="4" a="1"/>
  <c r="N1281" i="4" s="1"/>
  <c r="N1282" i="4" a="1"/>
  <c r="N1282" i="4" s="1"/>
  <c r="N1283" i="4" a="1"/>
  <c r="N1283" i="4" s="1"/>
  <c r="N1284" i="4" a="1"/>
  <c r="N1284" i="4" s="1"/>
  <c r="N1285" i="4" a="1"/>
  <c r="N1285" i="4" s="1"/>
  <c r="N1286" i="4" a="1"/>
  <c r="N1286" i="4" s="1"/>
  <c r="N1287" i="4" a="1"/>
  <c r="N1287" i="4" s="1"/>
  <c r="N1288" i="4" a="1"/>
  <c r="N1288" i="4" s="1"/>
  <c r="N1289" i="4" a="1"/>
  <c r="N1289" i="4" s="1"/>
  <c r="N1290" i="4" a="1"/>
  <c r="N1290" i="4" s="1"/>
  <c r="N1291" i="4" a="1"/>
  <c r="N1291" i="4" s="1"/>
  <c r="N1292" i="4" a="1"/>
  <c r="N1292" i="4" s="1"/>
  <c r="N1293" i="4" a="1"/>
  <c r="N1293" i="4" s="1"/>
  <c r="N1294" i="4" a="1"/>
  <c r="N1294" i="4" s="1"/>
  <c r="N1295" i="4" a="1"/>
  <c r="N1295" i="4" s="1"/>
  <c r="N1296" i="4" a="1"/>
  <c r="N1296" i="4" s="1"/>
  <c r="N1297" i="4" a="1"/>
  <c r="N1297" i="4" s="1"/>
  <c r="N1298" i="4" a="1"/>
  <c r="N1298" i="4" s="1"/>
  <c r="N1299" i="4" a="1"/>
  <c r="N1299" i="4" s="1"/>
  <c r="N1300" i="4" a="1"/>
  <c r="N1300" i="4" s="1"/>
  <c r="N1301" i="4" a="1"/>
  <c r="N1301" i="4" s="1"/>
  <c r="N1302" i="4" a="1"/>
  <c r="N1302" i="4" s="1"/>
  <c r="N1303" i="4" a="1"/>
  <c r="N1303" i="4" s="1"/>
  <c r="N1304" i="4" a="1"/>
  <c r="N1304" i="4" s="1"/>
  <c r="N1305" i="4" a="1"/>
  <c r="N1305" i="4" s="1"/>
  <c r="N1306" i="4" a="1"/>
  <c r="N1306" i="4" s="1"/>
  <c r="N1307" i="4" a="1"/>
  <c r="N1307" i="4" s="1"/>
  <c r="N1308" i="4" a="1"/>
  <c r="N1308" i="4" s="1"/>
  <c r="N1309" i="4" a="1"/>
  <c r="N1309" i="4" s="1"/>
  <c r="N1310" i="4" a="1"/>
  <c r="N1310" i="4" s="1"/>
  <c r="N1311" i="4" a="1"/>
  <c r="N1311" i="4" s="1"/>
  <c r="N1312" i="4" a="1"/>
  <c r="N1312" i="4" s="1"/>
  <c r="N1313" i="4" a="1"/>
  <c r="N1313" i="4" s="1"/>
  <c r="N1314" i="4" a="1"/>
  <c r="N1314" i="4" s="1"/>
  <c r="N1315" i="4" a="1"/>
  <c r="N1315" i="4" s="1"/>
  <c r="N1316" i="4" a="1"/>
  <c r="N1316" i="4" s="1"/>
  <c r="N1317" i="4" a="1"/>
  <c r="N1317" i="4" s="1"/>
  <c r="N1318" i="4" a="1"/>
  <c r="N1318" i="4" s="1"/>
  <c r="N1319" i="4" a="1"/>
  <c r="N1319" i="4" s="1"/>
  <c r="N1320" i="4" a="1"/>
  <c r="N1320" i="4" s="1"/>
  <c r="N1321" i="4" a="1"/>
  <c r="N1321" i="4" s="1"/>
  <c r="N1322" i="4" a="1"/>
  <c r="N1322" i="4" s="1"/>
  <c r="N1323" i="4" a="1"/>
  <c r="N1323" i="4" s="1"/>
  <c r="N1324" i="4" a="1"/>
  <c r="N1324" i="4" s="1"/>
  <c r="N1325" i="4" a="1"/>
  <c r="N1325" i="4" s="1"/>
  <c r="N1326" i="4" a="1"/>
  <c r="N1326" i="4" s="1"/>
  <c r="N1327" i="4" a="1"/>
  <c r="N1327" i="4" s="1"/>
  <c r="N1328" i="4" a="1"/>
  <c r="N1328" i="4" s="1"/>
  <c r="N1329" i="4" a="1"/>
  <c r="N1329" i="4" s="1"/>
  <c r="N1330" i="4" a="1"/>
  <c r="N1330" i="4" s="1"/>
  <c r="N1331" i="4" a="1"/>
  <c r="N1331" i="4" s="1"/>
  <c r="N1332" i="4" a="1"/>
  <c r="N1332" i="4" s="1"/>
  <c r="N1333" i="4" a="1"/>
  <c r="N1333" i="4" s="1"/>
  <c r="N1334" i="4" a="1"/>
  <c r="N1334" i="4" s="1"/>
  <c r="N1335" i="4" a="1"/>
  <c r="N1335" i="4" s="1"/>
  <c r="N1336" i="4" a="1"/>
  <c r="N1336" i="4" s="1"/>
  <c r="N1337" i="4" a="1"/>
  <c r="N1337" i="4" s="1"/>
  <c r="N1338" i="4" a="1"/>
  <c r="N1338" i="4" s="1"/>
  <c r="N1339" i="4" a="1"/>
  <c r="N1339" i="4" s="1"/>
  <c r="N1340" i="4" a="1"/>
  <c r="N1340" i="4" s="1"/>
  <c r="N1341" i="4" a="1"/>
  <c r="N1341" i="4" s="1"/>
  <c r="N1342" i="4" a="1"/>
  <c r="N1342" i="4" s="1"/>
  <c r="N1343" i="4" a="1"/>
  <c r="N1343" i="4" s="1"/>
  <c r="N1344" i="4" a="1"/>
  <c r="N1344" i="4" s="1"/>
  <c r="N1345" i="4" a="1"/>
  <c r="N1345" i="4" s="1"/>
  <c r="N1346" i="4" a="1"/>
  <c r="N1346" i="4" s="1"/>
  <c r="N1347" i="4" a="1"/>
  <c r="N1347" i="4" s="1"/>
  <c r="N1348" i="4" a="1"/>
  <c r="N1348" i="4" s="1"/>
  <c r="N1349" i="4" a="1"/>
  <c r="N1349" i="4" s="1"/>
  <c r="N1350" i="4" a="1"/>
  <c r="N1350" i="4" s="1"/>
  <c r="N1351" i="4" a="1"/>
  <c r="N1351" i="4" s="1"/>
  <c r="N1352" i="4" a="1"/>
  <c r="N1352" i="4" s="1"/>
  <c r="N1353" i="4" a="1"/>
  <c r="N1353" i="4" s="1"/>
  <c r="N1354" i="4" a="1"/>
  <c r="N1354" i="4" s="1"/>
  <c r="N1355" i="4" a="1"/>
  <c r="N1355" i="4" s="1"/>
  <c r="N1356" i="4" a="1"/>
  <c r="N1356" i="4" s="1"/>
  <c r="N1357" i="4" a="1"/>
  <c r="N1357" i="4" s="1"/>
  <c r="N1358" i="4" a="1"/>
  <c r="N1358" i="4" s="1"/>
  <c r="N1359" i="4" a="1"/>
  <c r="N1359" i="4" s="1"/>
  <c r="N1360" i="4" a="1"/>
  <c r="N1360" i="4" s="1"/>
  <c r="N1361" i="4" a="1"/>
  <c r="N1361" i="4" s="1"/>
  <c r="N1362" i="4" a="1"/>
  <c r="N1362" i="4" s="1"/>
  <c r="N1363" i="4" a="1"/>
  <c r="N1363" i="4" s="1"/>
  <c r="N1364" i="4" a="1"/>
  <c r="N1364" i="4" s="1"/>
  <c r="N1365" i="4" a="1"/>
  <c r="N1365" i="4" s="1"/>
  <c r="N1366" i="4" a="1"/>
  <c r="N1366" i="4" s="1"/>
  <c r="N1367" i="4" a="1"/>
  <c r="N1367" i="4" s="1"/>
  <c r="N1368" i="4" a="1"/>
  <c r="N1368" i="4" s="1"/>
  <c r="N1369" i="4" a="1"/>
  <c r="N1369" i="4" s="1"/>
  <c r="N1370" i="4" a="1"/>
  <c r="N1370" i="4" s="1"/>
  <c r="N1371" i="4" a="1"/>
  <c r="N1371" i="4" s="1"/>
  <c r="N1372" i="4" a="1"/>
  <c r="N1372" i="4" s="1"/>
  <c r="N1373" i="4" a="1"/>
  <c r="N1373" i="4" s="1"/>
  <c r="N1374" i="4" a="1"/>
  <c r="N1374" i="4" s="1"/>
  <c r="N1375" i="4" a="1"/>
  <c r="N1375" i="4" s="1"/>
  <c r="N1376" i="4" a="1"/>
  <c r="N1376" i="4" s="1"/>
  <c r="N1377" i="4" a="1"/>
  <c r="N1377" i="4" s="1"/>
  <c r="N1378" i="4" a="1"/>
  <c r="N1378" i="4" s="1"/>
  <c r="N1379" i="4" a="1"/>
  <c r="N1379" i="4" s="1"/>
  <c r="N1380" i="4" a="1"/>
  <c r="N1380" i="4" s="1"/>
  <c r="N1381" i="4" a="1"/>
  <c r="N1381" i="4" s="1"/>
  <c r="N1382" i="4" a="1"/>
  <c r="N1382" i="4" s="1"/>
  <c r="N1383" i="4" a="1"/>
  <c r="N1383" i="4" s="1"/>
  <c r="N1384" i="4" a="1"/>
  <c r="N1384" i="4" s="1"/>
  <c r="N1385" i="4" a="1"/>
  <c r="N1385" i="4" s="1"/>
  <c r="N1386" i="4" a="1"/>
  <c r="N1386" i="4" s="1"/>
  <c r="N1387" i="4" a="1"/>
  <c r="N1387" i="4" s="1"/>
  <c r="N1388" i="4" a="1"/>
  <c r="N1388" i="4" s="1"/>
  <c r="N1389" i="4" a="1"/>
  <c r="N1389" i="4" s="1"/>
  <c r="N1390" i="4" a="1"/>
  <c r="N1390" i="4" s="1"/>
  <c r="N1391" i="4" a="1"/>
  <c r="N1391" i="4" s="1"/>
  <c r="N1392" i="4" a="1"/>
  <c r="N1392" i="4" s="1"/>
  <c r="N1393" i="4" a="1"/>
  <c r="N1393" i="4" s="1"/>
  <c r="N1394" i="4" a="1"/>
  <c r="N1394" i="4" s="1"/>
  <c r="N1395" i="4" a="1"/>
  <c r="N1395" i="4" s="1"/>
  <c r="N1396" i="4" a="1"/>
  <c r="N1396" i="4" s="1"/>
  <c r="N1397" i="4" a="1"/>
  <c r="N1397" i="4" s="1"/>
  <c r="N1398" i="4" a="1"/>
  <c r="N1398" i="4" s="1"/>
  <c r="N1399" i="4" a="1"/>
  <c r="N1399" i="4" s="1"/>
  <c r="N1400" i="4" a="1"/>
  <c r="N1400" i="4" s="1"/>
  <c r="N1401" i="4" a="1"/>
  <c r="N1401" i="4" s="1"/>
  <c r="N1402" i="4" a="1"/>
  <c r="N1402" i="4" s="1"/>
  <c r="N1403" i="4" a="1"/>
  <c r="N1403" i="4" s="1"/>
  <c r="N1404" i="4" a="1"/>
  <c r="N1404" i="4" s="1"/>
  <c r="N1405" i="4" a="1"/>
  <c r="N1405" i="4" s="1"/>
  <c r="N1406" i="4" a="1"/>
  <c r="N1406" i="4" s="1"/>
  <c r="N1407" i="4" a="1"/>
  <c r="N1407" i="4" s="1"/>
  <c r="N1408" i="4" a="1"/>
  <c r="N1408" i="4" s="1"/>
  <c r="N1409" i="4" a="1"/>
  <c r="N1409" i="4" s="1"/>
  <c r="N1410" i="4" a="1"/>
  <c r="N1410" i="4" s="1"/>
  <c r="N1411" i="4" a="1"/>
  <c r="N1411" i="4" s="1"/>
  <c r="N1412" i="4" a="1"/>
  <c r="N1412" i="4" s="1"/>
  <c r="N1413" i="4" a="1"/>
  <c r="N1413" i="4" s="1"/>
  <c r="N1414" i="4" a="1"/>
  <c r="N1414" i="4" s="1"/>
  <c r="N1415" i="4" a="1"/>
  <c r="N1415" i="4" s="1"/>
  <c r="N1416" i="4" a="1"/>
  <c r="N1416" i="4" s="1"/>
  <c r="N1417" i="4" a="1"/>
  <c r="N1417" i="4" s="1"/>
  <c r="N1418" i="4" a="1"/>
  <c r="N1418" i="4" s="1"/>
  <c r="N1419" i="4" a="1"/>
  <c r="N1419" i="4" s="1"/>
  <c r="N1420" i="4" a="1"/>
  <c r="N1420" i="4" s="1"/>
  <c r="N1421" i="4" a="1"/>
  <c r="N1421" i="4" s="1"/>
  <c r="N1422" i="4" a="1"/>
  <c r="N1422" i="4" s="1"/>
  <c r="N1423" i="4" a="1"/>
  <c r="N1423" i="4" s="1"/>
  <c r="N1424" i="4" a="1"/>
  <c r="N1424" i="4" s="1"/>
  <c r="N1425" i="4" a="1"/>
  <c r="N1425" i="4" s="1"/>
  <c r="N1426" i="4" a="1"/>
  <c r="N1426" i="4" s="1"/>
  <c r="N1427" i="4" a="1"/>
  <c r="N1427" i="4" s="1"/>
  <c r="N1428" i="4" a="1"/>
  <c r="N1428" i="4" s="1"/>
  <c r="N1429" i="4" a="1"/>
  <c r="N1429" i="4" s="1"/>
  <c r="N1430" i="4" a="1"/>
  <c r="N1430" i="4" s="1"/>
  <c r="N1431" i="4" a="1"/>
  <c r="N1431" i="4" s="1"/>
  <c r="N1432" i="4" a="1"/>
  <c r="N1432" i="4" s="1"/>
  <c r="N1433" i="4" a="1"/>
  <c r="N1433" i="4" s="1"/>
  <c r="N1434" i="4" a="1"/>
  <c r="N1434" i="4" s="1"/>
  <c r="N1435" i="4" a="1"/>
  <c r="N1435" i="4" s="1"/>
  <c r="N1436" i="4" a="1"/>
  <c r="N1436" i="4" s="1"/>
  <c r="N1437" i="4" a="1"/>
  <c r="N1437" i="4" s="1"/>
  <c r="N1438" i="4" a="1"/>
  <c r="N1438" i="4" s="1"/>
  <c r="N1439" i="4" a="1"/>
  <c r="N1439" i="4" s="1"/>
  <c r="N1440" i="4" a="1"/>
  <c r="N1440" i="4" s="1"/>
  <c r="N1441" i="4" a="1"/>
  <c r="N1441" i="4" s="1"/>
  <c r="N1442" i="4" a="1"/>
  <c r="N1442" i="4" s="1"/>
  <c r="N1443" i="4" a="1"/>
  <c r="N1443" i="4" s="1"/>
  <c r="N1444" i="4" a="1"/>
  <c r="N1444" i="4" s="1"/>
  <c r="N1445" i="4" a="1"/>
  <c r="N1445" i="4" s="1"/>
  <c r="N1446" i="4" a="1"/>
  <c r="N1446" i="4" s="1"/>
  <c r="N1447" i="4" a="1"/>
  <c r="N1447" i="4" s="1"/>
  <c r="N1448" i="4" a="1"/>
  <c r="N1448" i="4" s="1"/>
  <c r="N1449" i="4" a="1"/>
  <c r="N1449" i="4" s="1"/>
  <c r="N1450" i="4" a="1"/>
  <c r="N1450" i="4" s="1"/>
  <c r="N1451" i="4" a="1"/>
  <c r="N1451" i="4" s="1"/>
  <c r="N1452" i="4" a="1"/>
  <c r="N1452" i="4" s="1"/>
  <c r="N1453" i="4" a="1"/>
  <c r="N1453" i="4" s="1"/>
  <c r="N1454" i="4" a="1"/>
  <c r="N1454" i="4" s="1"/>
  <c r="N1455" i="4" a="1"/>
  <c r="N1455" i="4" s="1"/>
  <c r="N1456" i="4" a="1"/>
  <c r="N1456" i="4" s="1"/>
  <c r="N1457" i="4" a="1"/>
  <c r="N1457" i="4" s="1"/>
  <c r="N1458" i="4" a="1"/>
  <c r="N1458" i="4" s="1"/>
  <c r="N1459" i="4" a="1"/>
  <c r="N1459" i="4" s="1"/>
  <c r="N1460" i="4" a="1"/>
  <c r="N1460" i="4" s="1"/>
  <c r="N1461" i="4" a="1"/>
  <c r="N1461" i="4" s="1"/>
  <c r="N1462" i="4" a="1"/>
  <c r="N1462" i="4" s="1"/>
  <c r="N1463" i="4" a="1"/>
  <c r="N1463" i="4" s="1"/>
  <c r="N1464" i="4" a="1"/>
  <c r="N1464" i="4" s="1"/>
  <c r="N1465" i="4" a="1"/>
  <c r="N1465" i="4" s="1"/>
  <c r="N1466" i="4" a="1"/>
  <c r="N1466" i="4" s="1"/>
  <c r="N1467" i="4" a="1"/>
  <c r="N1467" i="4" s="1"/>
  <c r="N1468" i="4" a="1"/>
  <c r="N1468" i="4" s="1"/>
  <c r="N1469" i="4" a="1"/>
  <c r="N1469" i="4" s="1"/>
  <c r="N1470" i="4" a="1"/>
  <c r="N1470" i="4" s="1"/>
  <c r="N1471" i="4" a="1"/>
  <c r="N1471" i="4" s="1"/>
  <c r="N1472" i="4" a="1"/>
  <c r="N1472" i="4" s="1"/>
  <c r="N1473" i="4" a="1"/>
  <c r="N1473" i="4" s="1"/>
  <c r="N1474" i="4" a="1"/>
  <c r="N1474" i="4" s="1"/>
  <c r="N1475" i="4" a="1"/>
  <c r="N1475" i="4" s="1"/>
  <c r="N1476" i="4" a="1"/>
  <c r="N1476" i="4" s="1"/>
  <c r="N1477" i="4" a="1"/>
  <c r="N1477" i="4" s="1"/>
  <c r="N1478" i="4" a="1"/>
  <c r="N1478" i="4" s="1"/>
  <c r="N1479" i="4" a="1"/>
  <c r="N1479" i="4" s="1"/>
  <c r="N1480" i="4" a="1"/>
  <c r="N1480" i="4" s="1"/>
  <c r="N1481" i="4" a="1"/>
  <c r="N1481" i="4" s="1"/>
  <c r="N1482" i="4" a="1"/>
  <c r="N1482" i="4" s="1"/>
  <c r="N1483" i="4" a="1"/>
  <c r="N1483" i="4" s="1"/>
  <c r="N1484" i="4" a="1"/>
  <c r="N1484" i="4" s="1"/>
  <c r="N1485" i="4" a="1"/>
  <c r="N1485" i="4" s="1"/>
  <c r="N1486" i="4" a="1"/>
  <c r="N1486" i="4" s="1"/>
  <c r="N1487" i="4" a="1"/>
  <c r="N1487" i="4" s="1"/>
  <c r="N1488" i="4" a="1"/>
  <c r="N1488" i="4" s="1"/>
  <c r="N1489" i="4" a="1"/>
  <c r="N1489" i="4" s="1"/>
  <c r="N1490" i="4" a="1"/>
  <c r="N1490" i="4" s="1"/>
  <c r="N1491" i="4" a="1"/>
  <c r="N1491" i="4" s="1"/>
  <c r="N1492" i="4" a="1"/>
  <c r="N1492" i="4" s="1"/>
  <c r="N1493" i="4" a="1"/>
  <c r="N1493" i="4" s="1"/>
  <c r="N1494" i="4" a="1"/>
  <c r="N1494" i="4" s="1"/>
  <c r="N1495" i="4" a="1"/>
  <c r="N1495" i="4" s="1"/>
  <c r="N1496" i="4" a="1"/>
  <c r="N1496" i="4" s="1"/>
  <c r="N1497" i="4" a="1"/>
  <c r="N1497" i="4" s="1"/>
  <c r="N1498" i="4" a="1"/>
  <c r="N1498" i="4" s="1"/>
  <c r="N1499" i="4" a="1"/>
  <c r="N1499" i="4" s="1"/>
  <c r="N1500" i="4" a="1"/>
  <c r="N1500" i="4" s="1"/>
  <c r="N1501" i="4" a="1"/>
  <c r="N1501" i="4" s="1"/>
  <c r="N1502" i="4" a="1"/>
  <c r="N1502" i="4" s="1"/>
  <c r="N1503" i="4" a="1"/>
  <c r="N1503" i="4" s="1"/>
  <c r="N1504" i="4" a="1"/>
  <c r="N1504" i="4" s="1"/>
  <c r="N1505" i="4" a="1"/>
  <c r="N1505" i="4" s="1"/>
  <c r="N1506" i="4" a="1"/>
  <c r="N1506" i="4" s="1"/>
  <c r="N1507" i="4" a="1"/>
  <c r="N1507" i="4" s="1"/>
  <c r="N1508" i="4" a="1"/>
  <c r="N1508" i="4" s="1"/>
  <c r="N1509" i="4" a="1"/>
  <c r="N1509" i="4" s="1"/>
  <c r="N1510" i="4" a="1"/>
  <c r="N1510" i="4" s="1"/>
  <c r="N1511" i="4" a="1"/>
  <c r="N1511" i="4" s="1"/>
  <c r="N1512" i="4" a="1"/>
  <c r="N1512" i="4" s="1"/>
  <c r="N1513" i="4" a="1"/>
  <c r="N1513" i="4" s="1"/>
  <c r="N1514" i="4" a="1"/>
  <c r="N1514" i="4" s="1"/>
  <c r="N1515" i="4" a="1"/>
  <c r="N1515" i="4" s="1"/>
  <c r="N1516" i="4" a="1"/>
  <c r="N1516" i="4" s="1"/>
  <c r="N1517" i="4" a="1"/>
  <c r="N1517" i="4" s="1"/>
  <c r="N1518" i="4" a="1"/>
  <c r="N1518" i="4" s="1"/>
  <c r="N1519" i="4" a="1"/>
  <c r="N1519" i="4" s="1"/>
  <c r="N1520" i="4" a="1"/>
  <c r="N1520" i="4" s="1"/>
  <c r="N1521" i="4" a="1"/>
  <c r="N1521" i="4" s="1"/>
  <c r="N1522" i="4" a="1"/>
  <c r="N1522" i="4" s="1"/>
  <c r="N1523" i="4" a="1"/>
  <c r="N1523" i="4" s="1"/>
  <c r="N1524" i="4" a="1"/>
  <c r="N1524" i="4" s="1"/>
  <c r="N1525" i="4" a="1"/>
  <c r="N1525" i="4" s="1"/>
  <c r="N1526" i="4" a="1"/>
  <c r="N1526" i="4" s="1"/>
  <c r="N1527" i="4" a="1"/>
  <c r="N1527" i="4" s="1"/>
  <c r="N1528" i="4" a="1"/>
  <c r="N1528" i="4" s="1"/>
  <c r="N1529" i="4" a="1"/>
  <c r="N1529" i="4" s="1"/>
  <c r="N1530" i="4" a="1"/>
  <c r="N1530" i="4" s="1"/>
  <c r="N1531" i="4" a="1"/>
  <c r="N1531" i="4" s="1"/>
  <c r="N1532" i="4" a="1"/>
  <c r="N1532" i="4" s="1"/>
  <c r="N1533" i="4" a="1"/>
  <c r="N1533" i="4" s="1"/>
  <c r="N1534" i="4" a="1"/>
  <c r="N1534" i="4" s="1"/>
  <c r="N1535" i="4" a="1"/>
  <c r="N1535" i="4" s="1"/>
  <c r="N1536" i="4" a="1"/>
  <c r="N1536" i="4" s="1"/>
  <c r="N1537" i="4" a="1"/>
  <c r="N1537" i="4" s="1"/>
  <c r="N1538" i="4" a="1"/>
  <c r="N1538" i="4" s="1"/>
  <c r="N1539" i="4" a="1"/>
  <c r="N1539" i="4" s="1"/>
  <c r="N1540" i="4" a="1"/>
  <c r="N1540" i="4" s="1"/>
  <c r="N1541" i="4" a="1"/>
  <c r="N1541" i="4" s="1"/>
  <c r="N1542" i="4" a="1"/>
  <c r="N1542" i="4" s="1"/>
  <c r="N1543" i="4" a="1"/>
  <c r="N1543" i="4" s="1"/>
  <c r="N1544" i="4" a="1"/>
  <c r="N1544" i="4" s="1"/>
  <c r="N1545" i="4" a="1"/>
  <c r="N1545" i="4" s="1"/>
  <c r="N1546" i="4" a="1"/>
  <c r="N1546" i="4" s="1"/>
  <c r="N1547" i="4" a="1"/>
  <c r="N1547" i="4" s="1"/>
  <c r="N1548" i="4" a="1"/>
  <c r="N1548" i="4" s="1"/>
  <c r="N1549" i="4" a="1"/>
  <c r="N1549" i="4" s="1"/>
  <c r="N1550" i="4" a="1"/>
  <c r="N1550" i="4" s="1"/>
  <c r="N1551" i="4" a="1"/>
  <c r="N1551" i="4" s="1"/>
  <c r="N1552" i="4" a="1"/>
  <c r="N1552" i="4" s="1"/>
  <c r="N1553" i="4" a="1"/>
  <c r="N1553" i="4" s="1"/>
  <c r="N1554" i="4" a="1"/>
  <c r="N1554" i="4" s="1"/>
  <c r="N1555" i="4" a="1"/>
  <c r="N1555" i="4" s="1"/>
  <c r="N1556" i="4" a="1"/>
  <c r="N1556" i="4" s="1"/>
  <c r="N1557" i="4" a="1"/>
  <c r="N1557" i="4" s="1"/>
  <c r="N1558" i="4" a="1"/>
  <c r="N1558" i="4" s="1"/>
  <c r="N1559" i="4" a="1"/>
  <c r="N1559" i="4" s="1"/>
  <c r="N1560" i="4" a="1"/>
  <c r="N1560" i="4" s="1"/>
  <c r="N1561" i="4" a="1"/>
  <c r="N1561" i="4" s="1"/>
  <c r="N1562" i="4" a="1"/>
  <c r="N1562" i="4" s="1"/>
  <c r="N1563" i="4" a="1"/>
  <c r="N1563" i="4" s="1"/>
  <c r="N1564" i="4" a="1"/>
  <c r="N1564" i="4" s="1"/>
  <c r="N1565" i="4" a="1"/>
  <c r="N1565" i="4" s="1"/>
  <c r="N1566" i="4" a="1"/>
  <c r="N1566" i="4" s="1"/>
  <c r="N1567" i="4" a="1"/>
  <c r="N1567" i="4" s="1"/>
  <c r="N1568" i="4" a="1"/>
  <c r="N1568" i="4" s="1"/>
  <c r="N1569" i="4" a="1"/>
  <c r="N1569" i="4" s="1"/>
  <c r="N1570" i="4" a="1"/>
  <c r="N1570" i="4" s="1"/>
  <c r="N1571" i="4" a="1"/>
  <c r="N1571" i="4" s="1"/>
  <c r="N1572" i="4" a="1"/>
  <c r="N1572" i="4" s="1"/>
  <c r="N1573" i="4" a="1"/>
  <c r="N1573" i="4" s="1"/>
  <c r="N1574" i="4" a="1"/>
  <c r="N1574" i="4" s="1"/>
  <c r="N1575" i="4" a="1"/>
  <c r="N1575" i="4" s="1"/>
  <c r="N1576" i="4" a="1"/>
  <c r="N1576" i="4" s="1"/>
  <c r="N1577" i="4" a="1"/>
  <c r="N1577" i="4" s="1"/>
  <c r="N1578" i="4" a="1"/>
  <c r="N1578" i="4" s="1"/>
  <c r="N1579" i="4" a="1"/>
  <c r="N1579" i="4" s="1"/>
  <c r="N1580" i="4" a="1"/>
  <c r="N1580" i="4" s="1"/>
  <c r="N1581" i="4" a="1"/>
  <c r="N1581" i="4" s="1"/>
  <c r="N1582" i="4" a="1"/>
  <c r="N1582" i="4" s="1"/>
  <c r="N1583" i="4" a="1"/>
  <c r="N1583" i="4" s="1"/>
  <c r="N1584" i="4" a="1"/>
  <c r="N1584" i="4" s="1"/>
  <c r="N1585" i="4" a="1"/>
  <c r="N1585" i="4" s="1"/>
  <c r="N1586" i="4" a="1"/>
  <c r="N1586" i="4" s="1"/>
  <c r="N1587" i="4" a="1"/>
  <c r="N1587" i="4" s="1"/>
  <c r="N1588" i="4" a="1"/>
  <c r="N1588" i="4" s="1"/>
  <c r="N1589" i="4" a="1"/>
  <c r="N1589" i="4" s="1"/>
  <c r="N1590" i="4" a="1"/>
  <c r="N1590" i="4" s="1"/>
  <c r="N1591" i="4" a="1"/>
  <c r="N1591" i="4" s="1"/>
  <c r="N1592" i="4" a="1"/>
  <c r="N1592" i="4" s="1"/>
  <c r="N1593" i="4" a="1"/>
  <c r="N1593" i="4" s="1"/>
  <c r="N1594" i="4" a="1"/>
  <c r="N1594" i="4" s="1"/>
  <c r="N1595" i="4" a="1"/>
  <c r="N1595" i="4" s="1"/>
  <c r="N1596" i="4" a="1"/>
  <c r="N1596" i="4" s="1"/>
  <c r="N1597" i="4" a="1"/>
  <c r="N1597" i="4" s="1"/>
  <c r="N1598" i="4" a="1"/>
  <c r="N1598" i="4" s="1"/>
  <c r="N1599" i="4" a="1"/>
  <c r="N1599" i="4" s="1"/>
  <c r="N1600" i="4" a="1"/>
  <c r="N1600" i="4" s="1"/>
  <c r="N1601" i="4" a="1"/>
  <c r="N1601" i="4" s="1"/>
  <c r="N1602" i="4" a="1"/>
  <c r="N1602" i="4" s="1"/>
  <c r="N1603" i="4" a="1"/>
  <c r="N1603" i="4" s="1"/>
  <c r="N1604" i="4" a="1"/>
  <c r="N1604" i="4" s="1"/>
  <c r="N1605" i="4" a="1"/>
  <c r="N1605" i="4" s="1"/>
  <c r="N1606" i="4" a="1"/>
  <c r="N1606" i="4" s="1"/>
  <c r="N1607" i="4" a="1"/>
  <c r="N1607" i="4" s="1"/>
  <c r="N1608" i="4" a="1"/>
  <c r="N1608" i="4" s="1"/>
  <c r="N1609" i="4" a="1"/>
  <c r="N1609" i="4" s="1"/>
  <c r="N1610" i="4" a="1"/>
  <c r="N1610" i="4" s="1"/>
  <c r="N1611" i="4" a="1"/>
  <c r="N1611" i="4" s="1"/>
  <c r="N1612" i="4" a="1"/>
  <c r="N1612" i="4" s="1"/>
  <c r="N1613" i="4" a="1"/>
  <c r="N1613" i="4" s="1"/>
  <c r="N1614" i="4" a="1"/>
  <c r="N1614" i="4" s="1"/>
  <c r="N1615" i="4" a="1"/>
  <c r="N1615" i="4" s="1"/>
  <c r="N1616" i="4" a="1"/>
  <c r="N1616" i="4" s="1"/>
  <c r="N1617" i="4" a="1"/>
  <c r="N1617" i="4" s="1"/>
  <c r="N1618" i="4" a="1"/>
  <c r="N1618" i="4" s="1"/>
  <c r="N1619" i="4" a="1"/>
  <c r="N1619" i="4" s="1"/>
  <c r="N1620" i="4" a="1"/>
  <c r="N1620" i="4" s="1"/>
  <c r="N1621" i="4" a="1"/>
  <c r="N1621" i="4" s="1"/>
  <c r="N1622" i="4" a="1"/>
  <c r="N1622" i="4" s="1"/>
  <c r="N1623" i="4" a="1"/>
  <c r="N1623" i="4" s="1"/>
  <c r="N1624" i="4" a="1"/>
  <c r="N1624" i="4" s="1"/>
  <c r="N1625" i="4" a="1"/>
  <c r="N1625" i="4" s="1"/>
  <c r="N1626" i="4" a="1"/>
  <c r="N1626" i="4" s="1"/>
  <c r="N1627" i="4" a="1"/>
  <c r="N1627" i="4" s="1"/>
  <c r="N1628" i="4" a="1"/>
  <c r="N1628" i="4" s="1"/>
  <c r="N1629" i="4" a="1"/>
  <c r="N1629" i="4" s="1"/>
  <c r="N1630" i="4" a="1"/>
  <c r="N1630" i="4" s="1"/>
  <c r="N1631" i="4" a="1"/>
  <c r="N1631" i="4" s="1"/>
  <c r="N1632" i="4" a="1"/>
  <c r="N1632" i="4" s="1"/>
  <c r="N1633" i="4" a="1"/>
  <c r="N1633" i="4" s="1"/>
  <c r="N1634" i="4" a="1"/>
  <c r="N1634" i="4" s="1"/>
  <c r="N1635" i="4" a="1"/>
  <c r="N1635" i="4" s="1"/>
  <c r="N1636" i="4" a="1"/>
  <c r="N1636" i="4" s="1"/>
  <c r="N1637" i="4" a="1"/>
  <c r="N1637" i="4" s="1"/>
  <c r="N1638" i="4" a="1"/>
  <c r="N1638" i="4" s="1"/>
  <c r="N1639" i="4" a="1"/>
  <c r="N1639" i="4" s="1"/>
  <c r="N1640" i="4" a="1"/>
  <c r="N1640" i="4" s="1"/>
  <c r="N1641" i="4" a="1"/>
  <c r="N1641" i="4" s="1"/>
  <c r="N1642" i="4" a="1"/>
  <c r="N1642" i="4" s="1"/>
  <c r="N1643" i="4" a="1"/>
  <c r="N1643" i="4" s="1"/>
  <c r="N1644" i="4" a="1"/>
  <c r="N1644" i="4" s="1"/>
  <c r="N1645" i="4" a="1"/>
  <c r="N1645" i="4" s="1"/>
  <c r="N1646" i="4" a="1"/>
  <c r="N1646" i="4" s="1"/>
  <c r="N1647" i="4" a="1"/>
  <c r="N1647" i="4" s="1"/>
  <c r="N1648" i="4" a="1"/>
  <c r="N1648" i="4" s="1"/>
  <c r="N1649" i="4" a="1"/>
  <c r="N1649" i="4" s="1"/>
  <c r="N1650" i="4" a="1"/>
  <c r="N1650" i="4" s="1"/>
  <c r="N1651" i="4" a="1"/>
  <c r="N1651" i="4" s="1"/>
  <c r="N1652" i="4" a="1"/>
  <c r="N1652" i="4" s="1"/>
  <c r="N1653" i="4" a="1"/>
  <c r="N1653" i="4" s="1"/>
  <c r="N1654" i="4" a="1"/>
  <c r="N1654" i="4" s="1"/>
  <c r="N1655" i="4" a="1"/>
  <c r="N1655" i="4" s="1"/>
  <c r="N1656" i="4" a="1"/>
  <c r="N1656" i="4" s="1"/>
  <c r="N1657" i="4" a="1"/>
  <c r="N1657" i="4" s="1"/>
  <c r="N1658" i="4" a="1"/>
  <c r="N1658" i="4" s="1"/>
  <c r="N1659" i="4" a="1"/>
  <c r="N1659" i="4" s="1"/>
  <c r="N1660" i="4" a="1"/>
  <c r="N1660" i="4" s="1"/>
  <c r="N1661" i="4" a="1"/>
  <c r="N1661" i="4" s="1"/>
  <c r="N1662" i="4" a="1"/>
  <c r="N1662" i="4" s="1"/>
  <c r="N1663" i="4" a="1"/>
  <c r="N1663" i="4" s="1"/>
  <c r="N1664" i="4" a="1"/>
  <c r="N1664" i="4" s="1"/>
  <c r="N1665" i="4" a="1"/>
  <c r="N1665" i="4" s="1"/>
  <c r="N1666" i="4" a="1"/>
  <c r="N1666" i="4" s="1"/>
  <c r="N1667" i="4" a="1"/>
  <c r="N1667" i="4" s="1"/>
  <c r="N1668" i="4" a="1"/>
  <c r="N1668" i="4" s="1"/>
  <c r="N1669" i="4" a="1"/>
  <c r="N1669" i="4" s="1"/>
  <c r="M17" i="4" a="1"/>
  <c r="M17" i="4" s="1"/>
  <c r="M9" i="4" a="1"/>
  <c r="M9" i="4" s="1"/>
  <c r="M13" i="4" a="1"/>
  <c r="M13" i="4" s="1"/>
  <c r="M14" i="4" a="1"/>
  <c r="M14" i="4" s="1"/>
  <c r="M15" i="4" a="1"/>
  <c r="M15" i="4" s="1"/>
  <c r="M16" i="4" a="1"/>
  <c r="M16" i="4" s="1"/>
  <c r="M18" i="4" a="1"/>
  <c r="M18" i="4" s="1"/>
  <c r="M19" i="4" a="1"/>
  <c r="M19" i="4" s="1"/>
  <c r="M20" i="4" a="1"/>
  <c r="M20" i="4" s="1"/>
  <c r="M21" i="4" a="1"/>
  <c r="M21" i="4" s="1"/>
  <c r="M22" i="4" a="1"/>
  <c r="M22" i="4" s="1"/>
  <c r="M23" i="4" a="1"/>
  <c r="M23" i="4" s="1"/>
  <c r="M24" i="4" a="1"/>
  <c r="M24" i="4" s="1"/>
  <c r="M25" i="4" a="1"/>
  <c r="M25" i="4" s="1"/>
  <c r="M26" i="4" a="1"/>
  <c r="M26" i="4" s="1"/>
  <c r="M27" i="4" a="1"/>
  <c r="M27" i="4" s="1"/>
  <c r="M28" i="4" a="1"/>
  <c r="M28" i="4" s="1"/>
  <c r="M29" i="4" a="1"/>
  <c r="M29" i="4" s="1"/>
  <c r="M30" i="4" a="1"/>
  <c r="M30" i="4" s="1"/>
  <c r="M31" i="4" a="1"/>
  <c r="M31" i="4" s="1"/>
  <c r="M32" i="4" a="1"/>
  <c r="M32" i="4" s="1"/>
  <c r="M33" i="4" a="1"/>
  <c r="M33" i="4" s="1"/>
  <c r="M34" i="4" a="1"/>
  <c r="M34" i="4" s="1"/>
  <c r="M35" i="4" a="1"/>
  <c r="M35" i="4" s="1"/>
  <c r="M36" i="4" a="1"/>
  <c r="M36" i="4" s="1"/>
  <c r="M37" i="4" a="1"/>
  <c r="M37" i="4" s="1"/>
  <c r="M38" i="4" a="1"/>
  <c r="M38" i="4" s="1"/>
  <c r="M39" i="4" a="1"/>
  <c r="M39" i="4" s="1"/>
  <c r="M40" i="4" a="1"/>
  <c r="M40" i="4" s="1"/>
  <c r="M41" i="4" a="1"/>
  <c r="M41" i="4" s="1"/>
  <c r="M42" i="4" a="1"/>
  <c r="M42" i="4" s="1"/>
  <c r="M43" i="4" a="1"/>
  <c r="M43" i="4" s="1"/>
  <c r="M44" i="4" a="1"/>
  <c r="M44" i="4" s="1"/>
  <c r="M45" i="4" a="1"/>
  <c r="M45" i="4" s="1"/>
  <c r="M46" i="4" a="1"/>
  <c r="M46" i="4" s="1"/>
  <c r="M47" i="4" a="1"/>
  <c r="M47" i="4" s="1"/>
  <c r="M48" i="4" a="1"/>
  <c r="M48" i="4" s="1"/>
  <c r="M49" i="4" a="1"/>
  <c r="M49" i="4" s="1"/>
  <c r="M50" i="4" a="1"/>
  <c r="M50" i="4" s="1"/>
  <c r="M51" i="4" a="1"/>
  <c r="M51" i="4" s="1"/>
  <c r="M52" i="4" a="1"/>
  <c r="M52" i="4" s="1"/>
  <c r="M53" i="4" a="1"/>
  <c r="M53" i="4" s="1"/>
  <c r="M54" i="4" a="1"/>
  <c r="M54" i="4" s="1"/>
  <c r="M55" i="4" a="1"/>
  <c r="M55" i="4" s="1"/>
  <c r="M56" i="4" a="1"/>
  <c r="M56" i="4" s="1"/>
  <c r="M57" i="4" a="1"/>
  <c r="M57" i="4" s="1"/>
  <c r="M58" i="4" a="1"/>
  <c r="M58" i="4" s="1"/>
  <c r="M59" i="4" a="1"/>
  <c r="M59" i="4" s="1"/>
  <c r="M60" i="4" a="1"/>
  <c r="M60" i="4" s="1"/>
  <c r="M61" i="4" a="1"/>
  <c r="M61" i="4" s="1"/>
  <c r="M62" i="4" a="1"/>
  <c r="M62" i="4" s="1"/>
  <c r="M63" i="4" a="1"/>
  <c r="M63" i="4" s="1"/>
  <c r="M64" i="4" a="1"/>
  <c r="M64" i="4" s="1"/>
  <c r="M65" i="4" a="1"/>
  <c r="M65" i="4" s="1"/>
  <c r="M66" i="4" a="1"/>
  <c r="M66" i="4" s="1"/>
  <c r="M67" i="4" a="1"/>
  <c r="M67" i="4" s="1"/>
  <c r="M68" i="4" a="1"/>
  <c r="M68" i="4" s="1"/>
  <c r="M69" i="4" a="1"/>
  <c r="M69" i="4" s="1"/>
  <c r="M70" i="4" a="1"/>
  <c r="M70" i="4" s="1"/>
  <c r="M71" i="4" a="1"/>
  <c r="M71" i="4" s="1"/>
  <c r="M72" i="4" a="1"/>
  <c r="M72" i="4" s="1"/>
  <c r="M73" i="4" a="1"/>
  <c r="M73" i="4" s="1"/>
  <c r="M74" i="4" a="1"/>
  <c r="M74" i="4" s="1"/>
  <c r="M75" i="4" a="1"/>
  <c r="M75" i="4" s="1"/>
  <c r="M76" i="4" a="1"/>
  <c r="M76" i="4" s="1"/>
  <c r="M77" i="4" a="1"/>
  <c r="M77" i="4" s="1"/>
  <c r="M78" i="4" a="1"/>
  <c r="M78" i="4" s="1"/>
  <c r="M79" i="4" a="1"/>
  <c r="M79" i="4" s="1"/>
  <c r="M80" i="4" a="1"/>
  <c r="M80" i="4" s="1"/>
  <c r="M81" i="4" a="1"/>
  <c r="M81" i="4" s="1"/>
  <c r="M82" i="4" a="1"/>
  <c r="M82" i="4" s="1"/>
  <c r="M83" i="4" a="1"/>
  <c r="M83" i="4" s="1"/>
  <c r="M84" i="4" a="1"/>
  <c r="M84" i="4" s="1"/>
  <c r="M85" i="4" a="1"/>
  <c r="M85" i="4" s="1"/>
  <c r="M86" i="4" a="1"/>
  <c r="M86" i="4" s="1"/>
  <c r="M87" i="4" a="1"/>
  <c r="M87" i="4" s="1"/>
  <c r="M88" i="4" a="1"/>
  <c r="M88" i="4" s="1"/>
  <c r="M89" i="4" a="1"/>
  <c r="M89" i="4" s="1"/>
  <c r="M90" i="4" a="1"/>
  <c r="M90" i="4" s="1"/>
  <c r="M91" i="4" a="1"/>
  <c r="M91" i="4" s="1"/>
  <c r="M92" i="4" a="1"/>
  <c r="M92" i="4" s="1"/>
  <c r="M93" i="4" a="1"/>
  <c r="M93" i="4" s="1"/>
  <c r="M94" i="4" a="1"/>
  <c r="M94" i="4" s="1"/>
  <c r="M95" i="4" a="1"/>
  <c r="M95" i="4" s="1"/>
  <c r="M96" i="4" a="1"/>
  <c r="M96" i="4" s="1"/>
  <c r="M97" i="4" a="1"/>
  <c r="M97" i="4" s="1"/>
  <c r="M98" i="4" a="1"/>
  <c r="M98" i="4" s="1"/>
  <c r="M99" i="4" a="1"/>
  <c r="M99" i="4" s="1"/>
  <c r="M100" i="4" a="1"/>
  <c r="M100" i="4" s="1"/>
  <c r="M101" i="4" a="1"/>
  <c r="M101" i="4" s="1"/>
  <c r="M102" i="4" a="1"/>
  <c r="M102" i="4" s="1"/>
  <c r="M103" i="4" a="1"/>
  <c r="M103" i="4" s="1"/>
  <c r="M104" i="4" a="1"/>
  <c r="M104" i="4" s="1"/>
  <c r="M105" i="4" a="1"/>
  <c r="M105" i="4" s="1"/>
  <c r="M106" i="4" a="1"/>
  <c r="M106" i="4" s="1"/>
  <c r="M107" i="4" a="1"/>
  <c r="M107" i="4" s="1"/>
  <c r="M108" i="4" a="1"/>
  <c r="M108" i="4" s="1"/>
  <c r="M109" i="4" a="1"/>
  <c r="M109" i="4" s="1"/>
  <c r="M110" i="4" a="1"/>
  <c r="M110" i="4" s="1"/>
  <c r="M111" i="4" a="1"/>
  <c r="M111" i="4" s="1"/>
  <c r="M112" i="4" a="1"/>
  <c r="M112" i="4" s="1"/>
  <c r="M113" i="4" a="1"/>
  <c r="M113" i="4" s="1"/>
  <c r="M114" i="4" a="1"/>
  <c r="M114" i="4" s="1"/>
  <c r="M115" i="4" a="1"/>
  <c r="M115" i="4" s="1"/>
  <c r="M116" i="4" a="1"/>
  <c r="M116" i="4" s="1"/>
  <c r="M117" i="4" a="1"/>
  <c r="M117" i="4" s="1"/>
  <c r="M118" i="4" a="1"/>
  <c r="M118" i="4" s="1"/>
  <c r="M119" i="4" a="1"/>
  <c r="M119" i="4" s="1"/>
  <c r="M120" i="4" a="1"/>
  <c r="M120" i="4" s="1"/>
  <c r="M121" i="4" a="1"/>
  <c r="M121" i="4" s="1"/>
  <c r="M122" i="4" a="1"/>
  <c r="M122" i="4" s="1"/>
  <c r="M123" i="4" a="1"/>
  <c r="M123" i="4" s="1"/>
  <c r="M124" i="4" a="1"/>
  <c r="M124" i="4" s="1"/>
  <c r="M125" i="4" a="1"/>
  <c r="M125" i="4" s="1"/>
  <c r="M126" i="4" a="1"/>
  <c r="M126" i="4" s="1"/>
  <c r="M127" i="4" a="1"/>
  <c r="M127" i="4" s="1"/>
  <c r="M128" i="4" a="1"/>
  <c r="M128" i="4" s="1"/>
  <c r="M129" i="4" a="1"/>
  <c r="M129" i="4" s="1"/>
  <c r="M130" i="4" a="1"/>
  <c r="M130" i="4" s="1"/>
  <c r="M131" i="4" a="1"/>
  <c r="M131" i="4" s="1"/>
  <c r="M132" i="4" a="1"/>
  <c r="M132" i="4" s="1"/>
  <c r="M133" i="4" a="1"/>
  <c r="M133" i="4" s="1"/>
  <c r="M134" i="4" a="1"/>
  <c r="M134" i="4" s="1"/>
  <c r="M135" i="4" a="1"/>
  <c r="M135" i="4" s="1"/>
  <c r="M136" i="4" a="1"/>
  <c r="M136" i="4" s="1"/>
  <c r="M137" i="4" a="1"/>
  <c r="M137" i="4" s="1"/>
  <c r="M138" i="4" a="1"/>
  <c r="M138" i="4" s="1"/>
  <c r="M139" i="4" a="1"/>
  <c r="M139" i="4" s="1"/>
  <c r="M140" i="4" a="1"/>
  <c r="M140" i="4" s="1"/>
  <c r="M141" i="4" a="1"/>
  <c r="M141" i="4" s="1"/>
  <c r="M142" i="4" a="1"/>
  <c r="M142" i="4" s="1"/>
  <c r="M143" i="4" a="1"/>
  <c r="M143" i="4" s="1"/>
  <c r="M144" i="4" a="1"/>
  <c r="M144" i="4" s="1"/>
  <c r="M145" i="4" a="1"/>
  <c r="M145" i="4" s="1"/>
  <c r="M146" i="4" a="1"/>
  <c r="M146" i="4" s="1"/>
  <c r="M147" i="4" a="1"/>
  <c r="M147" i="4" s="1"/>
  <c r="M148" i="4" a="1"/>
  <c r="M148" i="4" s="1"/>
  <c r="M149" i="4" a="1"/>
  <c r="M149" i="4" s="1"/>
  <c r="M150" i="4" a="1"/>
  <c r="M150" i="4" s="1"/>
  <c r="M151" i="4" a="1"/>
  <c r="M151" i="4" s="1"/>
  <c r="M152" i="4" a="1"/>
  <c r="M152" i="4" s="1"/>
  <c r="M153" i="4" a="1"/>
  <c r="M153" i="4" s="1"/>
  <c r="M154" i="4" a="1"/>
  <c r="M154" i="4" s="1"/>
  <c r="M155" i="4" a="1"/>
  <c r="M155" i="4" s="1"/>
  <c r="M156" i="4" a="1"/>
  <c r="M156" i="4" s="1"/>
  <c r="M157" i="4" a="1"/>
  <c r="M157" i="4" s="1"/>
  <c r="M158" i="4" a="1"/>
  <c r="M158" i="4" s="1"/>
  <c r="M159" i="4" a="1"/>
  <c r="M159" i="4" s="1"/>
  <c r="M160" i="4" a="1"/>
  <c r="M160" i="4" s="1"/>
  <c r="M161" i="4" a="1"/>
  <c r="M161" i="4" s="1"/>
  <c r="M162" i="4" a="1"/>
  <c r="M162" i="4" s="1"/>
  <c r="M163" i="4" a="1"/>
  <c r="M163" i="4" s="1"/>
  <c r="M164" i="4" a="1"/>
  <c r="M164" i="4" s="1"/>
  <c r="M165" i="4" a="1"/>
  <c r="M165" i="4" s="1"/>
  <c r="M166" i="4" a="1"/>
  <c r="M166" i="4" s="1"/>
  <c r="M167" i="4" a="1"/>
  <c r="M167" i="4" s="1"/>
  <c r="M168" i="4" a="1"/>
  <c r="M168" i="4" s="1"/>
  <c r="M169" i="4" a="1"/>
  <c r="M169" i="4" s="1"/>
  <c r="M170" i="4" a="1"/>
  <c r="M170" i="4" s="1"/>
  <c r="M171" i="4" a="1"/>
  <c r="M171" i="4" s="1"/>
  <c r="M172" i="4" a="1"/>
  <c r="M172" i="4" s="1"/>
  <c r="M173" i="4" a="1"/>
  <c r="M173" i="4" s="1"/>
  <c r="M174" i="4" a="1"/>
  <c r="M174" i="4" s="1"/>
  <c r="M175" i="4" a="1"/>
  <c r="M175" i="4" s="1"/>
  <c r="M176" i="4" a="1"/>
  <c r="M176" i="4" s="1"/>
  <c r="M177" i="4" a="1"/>
  <c r="M177" i="4" s="1"/>
  <c r="M178" i="4" a="1"/>
  <c r="M178" i="4" s="1"/>
  <c r="M179" i="4" a="1"/>
  <c r="M179" i="4" s="1"/>
  <c r="M180" i="4" a="1"/>
  <c r="M180" i="4" s="1"/>
  <c r="M181" i="4" a="1"/>
  <c r="M181" i="4" s="1"/>
  <c r="M182" i="4" a="1"/>
  <c r="M182" i="4" s="1"/>
  <c r="M183" i="4" a="1"/>
  <c r="M183" i="4" s="1"/>
  <c r="M184" i="4" a="1"/>
  <c r="M184" i="4" s="1"/>
  <c r="M185" i="4" a="1"/>
  <c r="M185" i="4" s="1"/>
  <c r="M186" i="4" a="1"/>
  <c r="M186" i="4" s="1"/>
  <c r="M187" i="4" a="1"/>
  <c r="M187" i="4" s="1"/>
  <c r="M188" i="4" a="1"/>
  <c r="M188" i="4" s="1"/>
  <c r="M189" i="4" a="1"/>
  <c r="M189" i="4" s="1"/>
  <c r="M190" i="4" a="1"/>
  <c r="M190" i="4" s="1"/>
  <c r="M191" i="4" a="1"/>
  <c r="M191" i="4" s="1"/>
  <c r="M192" i="4" a="1"/>
  <c r="M192" i="4" s="1"/>
  <c r="M193" i="4" a="1"/>
  <c r="M193" i="4" s="1"/>
  <c r="M194" i="4" a="1"/>
  <c r="M194" i="4" s="1"/>
  <c r="M195" i="4" a="1"/>
  <c r="M195" i="4" s="1"/>
  <c r="M196" i="4" a="1"/>
  <c r="M196" i="4" s="1"/>
  <c r="M197" i="4" a="1"/>
  <c r="M197" i="4" s="1"/>
  <c r="M198" i="4" a="1"/>
  <c r="M198" i="4" s="1"/>
  <c r="M199" i="4" a="1"/>
  <c r="M199" i="4" s="1"/>
  <c r="M200" i="4" a="1"/>
  <c r="M200" i="4" s="1"/>
  <c r="M201" i="4" a="1"/>
  <c r="M201" i="4" s="1"/>
  <c r="M202" i="4" a="1"/>
  <c r="M202" i="4" s="1"/>
  <c r="M203" i="4" a="1"/>
  <c r="M203" i="4" s="1"/>
  <c r="M204" i="4" a="1"/>
  <c r="M204" i="4" s="1"/>
  <c r="M205" i="4" a="1"/>
  <c r="M205" i="4" s="1"/>
  <c r="M206" i="4" a="1"/>
  <c r="M206" i="4" s="1"/>
  <c r="M207" i="4" a="1"/>
  <c r="M207" i="4" s="1"/>
  <c r="M208" i="4" a="1"/>
  <c r="M208" i="4" s="1"/>
  <c r="M209" i="4" a="1"/>
  <c r="M209" i="4" s="1"/>
  <c r="M210" i="4" a="1"/>
  <c r="M210" i="4" s="1"/>
  <c r="M211" i="4" a="1"/>
  <c r="M211" i="4" s="1"/>
  <c r="M212" i="4" a="1"/>
  <c r="M212" i="4" s="1"/>
  <c r="M213" i="4" a="1"/>
  <c r="M213" i="4" s="1"/>
  <c r="M214" i="4" a="1"/>
  <c r="M214" i="4" s="1"/>
  <c r="M215" i="4" a="1"/>
  <c r="M215" i="4" s="1"/>
  <c r="M216" i="4" a="1"/>
  <c r="M216" i="4" s="1"/>
  <c r="M217" i="4" a="1"/>
  <c r="M217" i="4" s="1"/>
  <c r="M218" i="4" a="1"/>
  <c r="M218" i="4" s="1"/>
  <c r="M219" i="4" a="1"/>
  <c r="M219" i="4" s="1"/>
  <c r="M220" i="4" a="1"/>
  <c r="M220" i="4" s="1"/>
  <c r="M221" i="4" a="1"/>
  <c r="M221" i="4" s="1"/>
  <c r="M222" i="4" a="1"/>
  <c r="M222" i="4" s="1"/>
  <c r="M223" i="4" a="1"/>
  <c r="M223" i="4" s="1"/>
  <c r="M224" i="4" a="1"/>
  <c r="M224" i="4" s="1"/>
  <c r="M225" i="4" a="1"/>
  <c r="M225" i="4" s="1"/>
  <c r="M226" i="4" a="1"/>
  <c r="M226" i="4" s="1"/>
  <c r="M227" i="4" a="1"/>
  <c r="M227" i="4" s="1"/>
  <c r="M228" i="4" a="1"/>
  <c r="M228" i="4" s="1"/>
  <c r="M229" i="4" a="1"/>
  <c r="M229" i="4" s="1"/>
  <c r="M230" i="4" a="1"/>
  <c r="M230" i="4" s="1"/>
  <c r="M231" i="4" a="1"/>
  <c r="M231" i="4" s="1"/>
  <c r="M232" i="4" a="1"/>
  <c r="M232" i="4" s="1"/>
  <c r="M233" i="4" a="1"/>
  <c r="M233" i="4" s="1"/>
  <c r="M234" i="4" a="1"/>
  <c r="M234" i="4" s="1"/>
  <c r="M235" i="4" a="1"/>
  <c r="M235" i="4" s="1"/>
  <c r="M236" i="4" a="1"/>
  <c r="M236" i="4" s="1"/>
  <c r="M237" i="4" a="1"/>
  <c r="M237" i="4" s="1"/>
  <c r="M238" i="4" a="1"/>
  <c r="M238" i="4" s="1"/>
  <c r="M239" i="4" a="1"/>
  <c r="M239" i="4" s="1"/>
  <c r="M240" i="4" a="1"/>
  <c r="M240" i="4" s="1"/>
  <c r="M241" i="4" a="1"/>
  <c r="M241" i="4" s="1"/>
  <c r="M242" i="4" a="1"/>
  <c r="M242" i="4" s="1"/>
  <c r="M243" i="4" a="1"/>
  <c r="M243" i="4" s="1"/>
  <c r="M244" i="4" a="1"/>
  <c r="M244" i="4" s="1"/>
  <c r="M245" i="4" a="1"/>
  <c r="M245" i="4" s="1"/>
  <c r="M246" i="4" a="1"/>
  <c r="M246" i="4" s="1"/>
  <c r="M247" i="4" a="1"/>
  <c r="M247" i="4" s="1"/>
  <c r="M248" i="4" a="1"/>
  <c r="M248" i="4" s="1"/>
  <c r="M249" i="4" a="1"/>
  <c r="M249" i="4" s="1"/>
  <c r="M250" i="4" a="1"/>
  <c r="M250" i="4" s="1"/>
  <c r="M251" i="4" a="1"/>
  <c r="M251" i="4" s="1"/>
  <c r="M252" i="4" a="1"/>
  <c r="M252" i="4" s="1"/>
  <c r="M253" i="4" a="1"/>
  <c r="M253" i="4" s="1"/>
  <c r="M254" i="4" a="1"/>
  <c r="M254" i="4" s="1"/>
  <c r="M255" i="4" a="1"/>
  <c r="M255" i="4" s="1"/>
  <c r="M256" i="4" a="1"/>
  <c r="M256" i="4" s="1"/>
  <c r="M257" i="4" a="1"/>
  <c r="M257" i="4" s="1"/>
  <c r="M258" i="4" a="1"/>
  <c r="M258" i="4" s="1"/>
  <c r="M259" i="4" a="1"/>
  <c r="M259" i="4" s="1"/>
  <c r="M260" i="4" a="1"/>
  <c r="M260" i="4" s="1"/>
  <c r="M261" i="4" a="1"/>
  <c r="M261" i="4" s="1"/>
  <c r="M262" i="4" a="1"/>
  <c r="M262" i="4" s="1"/>
  <c r="M263" i="4" a="1"/>
  <c r="M263" i="4" s="1"/>
  <c r="M264" i="4" a="1"/>
  <c r="M264" i="4" s="1"/>
  <c r="M265" i="4" a="1"/>
  <c r="M265" i="4" s="1"/>
  <c r="M266" i="4" a="1"/>
  <c r="M266" i="4" s="1"/>
  <c r="M267" i="4" a="1"/>
  <c r="M267" i="4" s="1"/>
  <c r="M268" i="4" a="1"/>
  <c r="M268" i="4" s="1"/>
  <c r="M269" i="4" a="1"/>
  <c r="M269" i="4" s="1"/>
  <c r="M270" i="4" a="1"/>
  <c r="M270" i="4" s="1"/>
  <c r="M271" i="4" a="1"/>
  <c r="M271" i="4" s="1"/>
  <c r="M272" i="4" a="1"/>
  <c r="M272" i="4" s="1"/>
  <c r="M273" i="4" a="1"/>
  <c r="M273" i="4" s="1"/>
  <c r="M274" i="4" a="1"/>
  <c r="M274" i="4" s="1"/>
  <c r="M275" i="4" a="1"/>
  <c r="M275" i="4" s="1"/>
  <c r="M276" i="4" a="1"/>
  <c r="M276" i="4" s="1"/>
  <c r="M277" i="4" a="1"/>
  <c r="M277" i="4" s="1"/>
  <c r="M278" i="4" a="1"/>
  <c r="M278" i="4" s="1"/>
  <c r="M279" i="4" a="1"/>
  <c r="M279" i="4" s="1"/>
  <c r="M280" i="4" a="1"/>
  <c r="M280" i="4" s="1"/>
  <c r="M281" i="4" a="1"/>
  <c r="M281" i="4" s="1"/>
  <c r="M282" i="4" a="1"/>
  <c r="M282" i="4" s="1"/>
  <c r="M283" i="4" a="1"/>
  <c r="M283" i="4" s="1"/>
  <c r="M284" i="4" a="1"/>
  <c r="M284" i="4" s="1"/>
  <c r="M285" i="4" a="1"/>
  <c r="M285" i="4" s="1"/>
  <c r="M286" i="4" a="1"/>
  <c r="M286" i="4" s="1"/>
  <c r="M287" i="4" a="1"/>
  <c r="M287" i="4" s="1"/>
  <c r="M288" i="4" a="1"/>
  <c r="M288" i="4" s="1"/>
  <c r="M289" i="4" a="1"/>
  <c r="M289" i="4" s="1"/>
  <c r="M290" i="4" a="1"/>
  <c r="M290" i="4" s="1"/>
  <c r="M291" i="4" a="1"/>
  <c r="M291" i="4" s="1"/>
  <c r="M292" i="4" a="1"/>
  <c r="M292" i="4" s="1"/>
  <c r="M293" i="4" a="1"/>
  <c r="M293" i="4" s="1"/>
  <c r="M294" i="4" a="1"/>
  <c r="M294" i="4" s="1"/>
  <c r="M295" i="4" a="1"/>
  <c r="M295" i="4" s="1"/>
  <c r="M296" i="4" a="1"/>
  <c r="M296" i="4" s="1"/>
  <c r="M297" i="4" a="1"/>
  <c r="M297" i="4" s="1"/>
  <c r="M298" i="4" a="1"/>
  <c r="M298" i="4" s="1"/>
  <c r="M299" i="4" a="1"/>
  <c r="M299" i="4" s="1"/>
  <c r="M300" i="4" a="1"/>
  <c r="M300" i="4" s="1"/>
  <c r="M301" i="4" a="1"/>
  <c r="M301" i="4" s="1"/>
  <c r="M302" i="4" a="1"/>
  <c r="M302" i="4" s="1"/>
  <c r="M303" i="4" a="1"/>
  <c r="M303" i="4" s="1"/>
  <c r="M304" i="4" a="1"/>
  <c r="M304" i="4" s="1"/>
  <c r="M305" i="4" a="1"/>
  <c r="M305" i="4" s="1"/>
  <c r="M306" i="4" a="1"/>
  <c r="M306" i="4" s="1"/>
  <c r="M307" i="4" a="1"/>
  <c r="M307" i="4" s="1"/>
  <c r="M308" i="4" a="1"/>
  <c r="M308" i="4" s="1"/>
  <c r="M309" i="4" a="1"/>
  <c r="M309" i="4" s="1"/>
  <c r="M310" i="4" a="1"/>
  <c r="M310" i="4" s="1"/>
  <c r="M311" i="4" a="1"/>
  <c r="M311" i="4" s="1"/>
  <c r="M312" i="4" a="1"/>
  <c r="M312" i="4" s="1"/>
  <c r="M313" i="4" a="1"/>
  <c r="M313" i="4" s="1"/>
  <c r="M314" i="4" a="1"/>
  <c r="M314" i="4" s="1"/>
  <c r="M315" i="4" a="1"/>
  <c r="M315" i="4" s="1"/>
  <c r="M316" i="4" a="1"/>
  <c r="M316" i="4" s="1"/>
  <c r="M317" i="4" a="1"/>
  <c r="M317" i="4" s="1"/>
  <c r="M318" i="4" a="1"/>
  <c r="M318" i="4" s="1"/>
  <c r="M319" i="4" a="1"/>
  <c r="M319" i="4" s="1"/>
  <c r="M320" i="4" a="1"/>
  <c r="M320" i="4" s="1"/>
  <c r="M321" i="4" a="1"/>
  <c r="M321" i="4" s="1"/>
  <c r="M322" i="4" a="1"/>
  <c r="M322" i="4" s="1"/>
  <c r="M323" i="4" a="1"/>
  <c r="M323" i="4" s="1"/>
  <c r="M324" i="4" a="1"/>
  <c r="M324" i="4" s="1"/>
  <c r="M325" i="4" a="1"/>
  <c r="M325" i="4" s="1"/>
  <c r="M326" i="4" a="1"/>
  <c r="M326" i="4" s="1"/>
  <c r="M327" i="4" a="1"/>
  <c r="M327" i="4" s="1"/>
  <c r="M328" i="4" a="1"/>
  <c r="M328" i="4" s="1"/>
  <c r="M329" i="4" a="1"/>
  <c r="M329" i="4" s="1"/>
  <c r="M330" i="4" a="1"/>
  <c r="M330" i="4" s="1"/>
  <c r="M331" i="4" a="1"/>
  <c r="M331" i="4" s="1"/>
  <c r="M332" i="4" a="1"/>
  <c r="M332" i="4" s="1"/>
  <c r="M333" i="4" a="1"/>
  <c r="M333" i="4" s="1"/>
  <c r="M334" i="4" a="1"/>
  <c r="M334" i="4" s="1"/>
  <c r="M335" i="4" a="1"/>
  <c r="M335" i="4" s="1"/>
  <c r="M336" i="4" a="1"/>
  <c r="M336" i="4" s="1"/>
  <c r="M337" i="4" a="1"/>
  <c r="M337" i="4" s="1"/>
  <c r="M338" i="4" a="1"/>
  <c r="M338" i="4" s="1"/>
  <c r="M339" i="4" a="1"/>
  <c r="M339" i="4" s="1"/>
  <c r="M340" i="4" a="1"/>
  <c r="M340" i="4" s="1"/>
  <c r="M341" i="4" a="1"/>
  <c r="M341" i="4" s="1"/>
  <c r="M342" i="4" a="1"/>
  <c r="M342" i="4" s="1"/>
  <c r="M343" i="4" a="1"/>
  <c r="M343" i="4" s="1"/>
  <c r="M344" i="4" a="1"/>
  <c r="M344" i="4" s="1"/>
  <c r="M345" i="4" a="1"/>
  <c r="M345" i="4" s="1"/>
  <c r="M346" i="4" a="1"/>
  <c r="M346" i="4" s="1"/>
  <c r="M347" i="4" a="1"/>
  <c r="M347" i="4" s="1"/>
  <c r="M348" i="4" a="1"/>
  <c r="M348" i="4" s="1"/>
  <c r="M349" i="4" a="1"/>
  <c r="M349" i="4" s="1"/>
  <c r="M350" i="4" a="1"/>
  <c r="M350" i="4" s="1"/>
  <c r="M351" i="4" a="1"/>
  <c r="M351" i="4" s="1"/>
  <c r="M352" i="4" a="1"/>
  <c r="M352" i="4" s="1"/>
  <c r="M353" i="4" a="1"/>
  <c r="M353" i="4" s="1"/>
  <c r="M354" i="4" a="1"/>
  <c r="M354" i="4" s="1"/>
  <c r="M355" i="4" a="1"/>
  <c r="M355" i="4" s="1"/>
  <c r="M356" i="4" a="1"/>
  <c r="M356" i="4" s="1"/>
  <c r="M357" i="4" a="1"/>
  <c r="M357" i="4" s="1"/>
  <c r="M358" i="4" a="1"/>
  <c r="M358" i="4" s="1"/>
  <c r="M359" i="4" a="1"/>
  <c r="M359" i="4" s="1"/>
  <c r="M360" i="4" a="1"/>
  <c r="M360" i="4" s="1"/>
  <c r="M361" i="4" a="1"/>
  <c r="M361" i="4" s="1"/>
  <c r="M362" i="4" a="1"/>
  <c r="M362" i="4" s="1"/>
  <c r="M363" i="4" a="1"/>
  <c r="M363" i="4" s="1"/>
  <c r="M364" i="4" a="1"/>
  <c r="M364" i="4" s="1"/>
  <c r="M365" i="4" a="1"/>
  <c r="M365" i="4" s="1"/>
  <c r="M366" i="4" a="1"/>
  <c r="M366" i="4" s="1"/>
  <c r="M367" i="4" a="1"/>
  <c r="M367" i="4" s="1"/>
  <c r="M368" i="4" a="1"/>
  <c r="M368" i="4" s="1"/>
  <c r="M369" i="4" a="1"/>
  <c r="M369" i="4" s="1"/>
  <c r="M370" i="4" a="1"/>
  <c r="M370" i="4" s="1"/>
  <c r="M371" i="4" a="1"/>
  <c r="M371" i="4" s="1"/>
  <c r="M372" i="4" a="1"/>
  <c r="M372" i="4" s="1"/>
  <c r="M373" i="4" a="1"/>
  <c r="M373" i="4" s="1"/>
  <c r="M374" i="4" a="1"/>
  <c r="M374" i="4" s="1"/>
  <c r="M375" i="4" a="1"/>
  <c r="M375" i="4" s="1"/>
  <c r="M376" i="4" a="1"/>
  <c r="M376" i="4" s="1"/>
  <c r="M377" i="4" a="1"/>
  <c r="M377" i="4" s="1"/>
  <c r="M378" i="4" a="1"/>
  <c r="M378" i="4" s="1"/>
  <c r="M379" i="4" a="1"/>
  <c r="M379" i="4" s="1"/>
  <c r="M380" i="4" a="1"/>
  <c r="M380" i="4" s="1"/>
  <c r="M381" i="4" a="1"/>
  <c r="M381" i="4" s="1"/>
  <c r="M382" i="4" a="1"/>
  <c r="M382" i="4" s="1"/>
  <c r="M383" i="4" a="1"/>
  <c r="M383" i="4" s="1"/>
  <c r="M384" i="4" a="1"/>
  <c r="M384" i="4" s="1"/>
  <c r="M385" i="4" a="1"/>
  <c r="M385" i="4" s="1"/>
  <c r="M386" i="4" a="1"/>
  <c r="M386" i="4" s="1"/>
  <c r="M387" i="4" a="1"/>
  <c r="M387" i="4" s="1"/>
  <c r="M388" i="4" a="1"/>
  <c r="M388" i="4" s="1"/>
  <c r="M389" i="4" a="1"/>
  <c r="M389" i="4" s="1"/>
  <c r="M390" i="4" a="1"/>
  <c r="M390" i="4" s="1"/>
  <c r="M391" i="4" a="1"/>
  <c r="M391" i="4" s="1"/>
  <c r="M392" i="4" a="1"/>
  <c r="M392" i="4" s="1"/>
  <c r="M393" i="4" a="1"/>
  <c r="M393" i="4" s="1"/>
  <c r="M394" i="4" a="1"/>
  <c r="M394" i="4" s="1"/>
  <c r="M395" i="4" a="1"/>
  <c r="M395" i="4" s="1"/>
  <c r="M396" i="4" a="1"/>
  <c r="M396" i="4" s="1"/>
  <c r="M397" i="4" a="1"/>
  <c r="M397" i="4" s="1"/>
  <c r="M398" i="4" a="1"/>
  <c r="M398" i="4" s="1"/>
  <c r="M399" i="4" a="1"/>
  <c r="M399" i="4" s="1"/>
  <c r="M400" i="4" a="1"/>
  <c r="M400" i="4" s="1"/>
  <c r="M401" i="4" a="1"/>
  <c r="M401" i="4" s="1"/>
  <c r="M402" i="4" a="1"/>
  <c r="M402" i="4" s="1"/>
  <c r="M403" i="4" a="1"/>
  <c r="M403" i="4" s="1"/>
  <c r="M404" i="4" a="1"/>
  <c r="M404" i="4" s="1"/>
  <c r="M405" i="4" a="1"/>
  <c r="M405" i="4" s="1"/>
  <c r="M406" i="4" a="1"/>
  <c r="M406" i="4" s="1"/>
  <c r="M407" i="4" a="1"/>
  <c r="M407" i="4" s="1"/>
  <c r="M408" i="4" a="1"/>
  <c r="M408" i="4" s="1"/>
  <c r="M409" i="4" a="1"/>
  <c r="M409" i="4" s="1"/>
  <c r="M410" i="4" a="1"/>
  <c r="M410" i="4" s="1"/>
  <c r="M411" i="4" a="1"/>
  <c r="M411" i="4" s="1"/>
  <c r="M412" i="4" a="1"/>
  <c r="M412" i="4" s="1"/>
  <c r="M413" i="4" a="1"/>
  <c r="M413" i="4" s="1"/>
  <c r="M414" i="4" a="1"/>
  <c r="M414" i="4" s="1"/>
  <c r="M415" i="4" a="1"/>
  <c r="M415" i="4" s="1"/>
  <c r="M416" i="4" a="1"/>
  <c r="M416" i="4" s="1"/>
  <c r="M417" i="4" a="1"/>
  <c r="M417" i="4" s="1"/>
  <c r="M418" i="4" a="1"/>
  <c r="M418" i="4" s="1"/>
  <c r="M419" i="4" a="1"/>
  <c r="M419" i="4" s="1"/>
  <c r="M420" i="4" a="1"/>
  <c r="M420" i="4" s="1"/>
  <c r="M421" i="4" a="1"/>
  <c r="M421" i="4" s="1"/>
  <c r="M422" i="4" a="1"/>
  <c r="M422" i="4" s="1"/>
  <c r="M423" i="4" a="1"/>
  <c r="M423" i="4" s="1"/>
  <c r="M424" i="4" a="1"/>
  <c r="M424" i="4" s="1"/>
  <c r="M425" i="4" a="1"/>
  <c r="M425" i="4" s="1"/>
  <c r="M426" i="4" a="1"/>
  <c r="M426" i="4" s="1"/>
  <c r="M427" i="4" a="1"/>
  <c r="M427" i="4" s="1"/>
  <c r="M428" i="4" a="1"/>
  <c r="M428" i="4" s="1"/>
  <c r="M429" i="4" a="1"/>
  <c r="M429" i="4" s="1"/>
  <c r="M430" i="4" a="1"/>
  <c r="M430" i="4" s="1"/>
  <c r="M431" i="4" a="1"/>
  <c r="M431" i="4" s="1"/>
  <c r="M432" i="4" a="1"/>
  <c r="M432" i="4" s="1"/>
  <c r="M433" i="4" a="1"/>
  <c r="M433" i="4" s="1"/>
  <c r="M434" i="4" a="1"/>
  <c r="M434" i="4" s="1"/>
  <c r="M435" i="4" a="1"/>
  <c r="M435" i="4" s="1"/>
  <c r="M436" i="4" a="1"/>
  <c r="M436" i="4" s="1"/>
  <c r="M437" i="4" a="1"/>
  <c r="M437" i="4" s="1"/>
  <c r="M438" i="4" a="1"/>
  <c r="M438" i="4" s="1"/>
  <c r="M439" i="4" a="1"/>
  <c r="M439" i="4" s="1"/>
  <c r="M440" i="4" a="1"/>
  <c r="M440" i="4" s="1"/>
  <c r="M441" i="4" a="1"/>
  <c r="M441" i="4" s="1"/>
  <c r="M442" i="4" a="1"/>
  <c r="M442" i="4" s="1"/>
  <c r="M443" i="4" a="1"/>
  <c r="M443" i="4" s="1"/>
  <c r="M444" i="4" a="1"/>
  <c r="M444" i="4" s="1"/>
  <c r="M445" i="4" a="1"/>
  <c r="M445" i="4" s="1"/>
  <c r="M446" i="4" a="1"/>
  <c r="M446" i="4" s="1"/>
  <c r="M447" i="4" a="1"/>
  <c r="M447" i="4" s="1"/>
  <c r="M448" i="4" a="1"/>
  <c r="M448" i="4" s="1"/>
  <c r="M449" i="4" a="1"/>
  <c r="M449" i="4" s="1"/>
  <c r="M450" i="4" a="1"/>
  <c r="M450" i="4" s="1"/>
  <c r="M451" i="4" a="1"/>
  <c r="M451" i="4" s="1"/>
  <c r="M452" i="4" a="1"/>
  <c r="M452" i="4" s="1"/>
  <c r="M453" i="4" a="1"/>
  <c r="M453" i="4" s="1"/>
  <c r="M454" i="4" a="1"/>
  <c r="M454" i="4" s="1"/>
  <c r="M455" i="4" a="1"/>
  <c r="M455" i="4" s="1"/>
  <c r="M456" i="4" a="1"/>
  <c r="M456" i="4" s="1"/>
  <c r="M457" i="4" a="1"/>
  <c r="M457" i="4" s="1"/>
  <c r="M458" i="4" a="1"/>
  <c r="M458" i="4" s="1"/>
  <c r="M459" i="4" a="1"/>
  <c r="M459" i="4" s="1"/>
  <c r="M460" i="4" a="1"/>
  <c r="M460" i="4" s="1"/>
  <c r="M461" i="4" a="1"/>
  <c r="M461" i="4" s="1"/>
  <c r="M462" i="4" a="1"/>
  <c r="M462" i="4" s="1"/>
  <c r="M463" i="4" a="1"/>
  <c r="M463" i="4" s="1"/>
  <c r="M464" i="4" a="1"/>
  <c r="M464" i="4" s="1"/>
  <c r="M465" i="4" a="1"/>
  <c r="M465" i="4" s="1"/>
  <c r="M466" i="4" a="1"/>
  <c r="M466" i="4" s="1"/>
  <c r="M467" i="4" a="1"/>
  <c r="M467" i="4" s="1"/>
  <c r="M468" i="4" a="1"/>
  <c r="M468" i="4" s="1"/>
  <c r="M469" i="4" a="1"/>
  <c r="M469" i="4" s="1"/>
  <c r="M470" i="4" a="1"/>
  <c r="M470" i="4" s="1"/>
  <c r="M471" i="4" a="1"/>
  <c r="M471" i="4" s="1"/>
  <c r="M472" i="4" a="1"/>
  <c r="M472" i="4" s="1"/>
  <c r="M473" i="4" a="1"/>
  <c r="M473" i="4" s="1"/>
  <c r="M474" i="4" a="1"/>
  <c r="M474" i="4" s="1"/>
  <c r="M475" i="4" a="1"/>
  <c r="M475" i="4" s="1"/>
  <c r="M476" i="4" a="1"/>
  <c r="M476" i="4" s="1"/>
  <c r="M477" i="4" a="1"/>
  <c r="M477" i="4" s="1"/>
  <c r="M478" i="4" a="1"/>
  <c r="M478" i="4" s="1"/>
  <c r="M479" i="4" a="1"/>
  <c r="M479" i="4" s="1"/>
  <c r="M480" i="4" a="1"/>
  <c r="M480" i="4" s="1"/>
  <c r="M481" i="4" a="1"/>
  <c r="M481" i="4" s="1"/>
  <c r="M482" i="4" a="1"/>
  <c r="M482" i="4" s="1"/>
  <c r="M483" i="4" a="1"/>
  <c r="M483" i="4" s="1"/>
  <c r="M484" i="4" a="1"/>
  <c r="M484" i="4" s="1"/>
  <c r="M485" i="4" a="1"/>
  <c r="M485" i="4" s="1"/>
  <c r="M486" i="4" a="1"/>
  <c r="M486" i="4" s="1"/>
  <c r="M487" i="4" a="1"/>
  <c r="M487" i="4" s="1"/>
  <c r="M488" i="4" a="1"/>
  <c r="M488" i="4" s="1"/>
  <c r="M489" i="4" a="1"/>
  <c r="M489" i="4" s="1"/>
  <c r="M490" i="4" a="1"/>
  <c r="M490" i="4" s="1"/>
  <c r="M491" i="4" a="1"/>
  <c r="M491" i="4" s="1"/>
  <c r="M492" i="4" a="1"/>
  <c r="M492" i="4" s="1"/>
  <c r="M493" i="4" a="1"/>
  <c r="M493" i="4" s="1"/>
  <c r="M494" i="4" a="1"/>
  <c r="M494" i="4" s="1"/>
  <c r="M495" i="4" a="1"/>
  <c r="M495" i="4" s="1"/>
  <c r="M496" i="4" a="1"/>
  <c r="M496" i="4" s="1"/>
  <c r="M497" i="4" a="1"/>
  <c r="M497" i="4" s="1"/>
  <c r="M498" i="4" a="1"/>
  <c r="M498" i="4" s="1"/>
  <c r="M499" i="4" a="1"/>
  <c r="M499" i="4" s="1"/>
  <c r="M500" i="4" a="1"/>
  <c r="M500" i="4" s="1"/>
  <c r="M501" i="4" a="1"/>
  <c r="M501" i="4" s="1"/>
  <c r="M502" i="4" a="1"/>
  <c r="M502" i="4" s="1"/>
  <c r="M503" i="4" a="1"/>
  <c r="M503" i="4" s="1"/>
  <c r="M504" i="4" a="1"/>
  <c r="M504" i="4" s="1"/>
  <c r="M505" i="4" a="1"/>
  <c r="M505" i="4" s="1"/>
  <c r="M506" i="4" a="1"/>
  <c r="M506" i="4" s="1"/>
  <c r="M507" i="4" a="1"/>
  <c r="M507" i="4" s="1"/>
  <c r="M508" i="4" a="1"/>
  <c r="M508" i="4" s="1"/>
  <c r="M509" i="4" a="1"/>
  <c r="M509" i="4" s="1"/>
  <c r="M510" i="4" a="1"/>
  <c r="M510" i="4" s="1"/>
  <c r="M511" i="4" a="1"/>
  <c r="M511" i="4" s="1"/>
  <c r="M512" i="4" a="1"/>
  <c r="M512" i="4" s="1"/>
  <c r="M513" i="4" a="1"/>
  <c r="M513" i="4" s="1"/>
  <c r="M514" i="4" a="1"/>
  <c r="M514" i="4" s="1"/>
  <c r="M515" i="4" a="1"/>
  <c r="M515" i="4" s="1"/>
  <c r="M516" i="4" a="1"/>
  <c r="M516" i="4" s="1"/>
  <c r="M517" i="4" a="1"/>
  <c r="M517" i="4" s="1"/>
  <c r="M518" i="4" a="1"/>
  <c r="M518" i="4" s="1"/>
  <c r="M519" i="4" a="1"/>
  <c r="M519" i="4" s="1"/>
  <c r="M520" i="4" a="1"/>
  <c r="M520" i="4" s="1"/>
  <c r="M521" i="4" a="1"/>
  <c r="M521" i="4" s="1"/>
  <c r="M522" i="4" a="1"/>
  <c r="M522" i="4" s="1"/>
  <c r="M523" i="4" a="1"/>
  <c r="M523" i="4" s="1"/>
  <c r="M524" i="4" a="1"/>
  <c r="M524" i="4" s="1"/>
  <c r="M525" i="4" a="1"/>
  <c r="M525" i="4" s="1"/>
  <c r="M526" i="4" a="1"/>
  <c r="M526" i="4" s="1"/>
  <c r="M527" i="4" a="1"/>
  <c r="M527" i="4" s="1"/>
  <c r="M528" i="4" a="1"/>
  <c r="M528" i="4" s="1"/>
  <c r="M529" i="4" a="1"/>
  <c r="M529" i="4" s="1"/>
  <c r="M530" i="4" a="1"/>
  <c r="M530" i="4" s="1"/>
  <c r="M531" i="4" a="1"/>
  <c r="M531" i="4" s="1"/>
  <c r="M532" i="4" a="1"/>
  <c r="M532" i="4" s="1"/>
  <c r="M533" i="4" a="1"/>
  <c r="M533" i="4" s="1"/>
  <c r="M534" i="4" a="1"/>
  <c r="M534" i="4" s="1"/>
  <c r="M535" i="4" a="1"/>
  <c r="M535" i="4" s="1"/>
  <c r="M536" i="4" a="1"/>
  <c r="M536" i="4" s="1"/>
  <c r="M537" i="4" a="1"/>
  <c r="M537" i="4" s="1"/>
  <c r="M538" i="4" a="1"/>
  <c r="M538" i="4" s="1"/>
  <c r="M539" i="4" a="1"/>
  <c r="M539" i="4" s="1"/>
  <c r="M540" i="4" a="1"/>
  <c r="M540" i="4" s="1"/>
  <c r="M541" i="4" a="1"/>
  <c r="M541" i="4" s="1"/>
  <c r="M542" i="4" a="1"/>
  <c r="M542" i="4" s="1"/>
  <c r="M543" i="4" a="1"/>
  <c r="M543" i="4" s="1"/>
  <c r="M544" i="4" a="1"/>
  <c r="M544" i="4" s="1"/>
  <c r="M545" i="4" a="1"/>
  <c r="M545" i="4" s="1"/>
  <c r="M546" i="4" a="1"/>
  <c r="M546" i="4" s="1"/>
  <c r="M547" i="4" a="1"/>
  <c r="M547" i="4" s="1"/>
  <c r="M548" i="4" a="1"/>
  <c r="M548" i="4" s="1"/>
  <c r="M549" i="4" a="1"/>
  <c r="M549" i="4" s="1"/>
  <c r="M550" i="4" a="1"/>
  <c r="M550" i="4" s="1"/>
  <c r="M551" i="4" a="1"/>
  <c r="M551" i="4" s="1"/>
  <c r="M552" i="4" a="1"/>
  <c r="M552" i="4" s="1"/>
  <c r="M553" i="4" a="1"/>
  <c r="M553" i="4" s="1"/>
  <c r="M554" i="4" a="1"/>
  <c r="M554" i="4" s="1"/>
  <c r="M555" i="4" a="1"/>
  <c r="M555" i="4" s="1"/>
  <c r="M556" i="4" a="1"/>
  <c r="M556" i="4" s="1"/>
  <c r="M557" i="4" a="1"/>
  <c r="M557" i="4" s="1"/>
  <c r="M558" i="4" a="1"/>
  <c r="M558" i="4" s="1"/>
  <c r="M559" i="4" a="1"/>
  <c r="M559" i="4" s="1"/>
  <c r="M560" i="4" a="1"/>
  <c r="M560" i="4" s="1"/>
  <c r="M561" i="4" a="1"/>
  <c r="M561" i="4" s="1"/>
  <c r="M562" i="4" a="1"/>
  <c r="M562" i="4" s="1"/>
  <c r="M563" i="4" a="1"/>
  <c r="M563" i="4" s="1"/>
  <c r="M564" i="4" a="1"/>
  <c r="M564" i="4" s="1"/>
  <c r="M565" i="4" a="1"/>
  <c r="M565" i="4" s="1"/>
  <c r="M566" i="4" a="1"/>
  <c r="M566" i="4" s="1"/>
  <c r="M567" i="4" a="1"/>
  <c r="M567" i="4" s="1"/>
  <c r="M568" i="4" a="1"/>
  <c r="M568" i="4" s="1"/>
  <c r="M569" i="4" a="1"/>
  <c r="M569" i="4" s="1"/>
  <c r="M570" i="4" a="1"/>
  <c r="M570" i="4" s="1"/>
  <c r="M571" i="4" a="1"/>
  <c r="M571" i="4" s="1"/>
  <c r="M572" i="4" a="1"/>
  <c r="M572" i="4" s="1"/>
  <c r="M573" i="4" a="1"/>
  <c r="M573" i="4" s="1"/>
  <c r="M574" i="4" a="1"/>
  <c r="M574" i="4" s="1"/>
  <c r="M575" i="4" a="1"/>
  <c r="M575" i="4" s="1"/>
  <c r="M576" i="4" a="1"/>
  <c r="M576" i="4" s="1"/>
  <c r="M577" i="4" a="1"/>
  <c r="M577" i="4" s="1"/>
  <c r="M578" i="4" a="1"/>
  <c r="M578" i="4" s="1"/>
  <c r="M579" i="4" a="1"/>
  <c r="M579" i="4" s="1"/>
  <c r="M580" i="4" a="1"/>
  <c r="M580" i="4" s="1"/>
  <c r="M581" i="4" a="1"/>
  <c r="M581" i="4" s="1"/>
  <c r="M582" i="4" a="1"/>
  <c r="M582" i="4" s="1"/>
  <c r="M583" i="4" a="1"/>
  <c r="M583" i="4" s="1"/>
  <c r="M584" i="4" a="1"/>
  <c r="M584" i="4" s="1"/>
  <c r="M585" i="4" a="1"/>
  <c r="M585" i="4" s="1"/>
  <c r="M586" i="4" a="1"/>
  <c r="M586" i="4" s="1"/>
  <c r="M587" i="4" a="1"/>
  <c r="M587" i="4" s="1"/>
  <c r="M588" i="4" a="1"/>
  <c r="M588" i="4" s="1"/>
  <c r="M589" i="4" a="1"/>
  <c r="M589" i="4" s="1"/>
  <c r="M590" i="4" a="1"/>
  <c r="M590" i="4" s="1"/>
  <c r="M591" i="4" a="1"/>
  <c r="M591" i="4" s="1"/>
  <c r="M592" i="4" a="1"/>
  <c r="M592" i="4" s="1"/>
  <c r="M593" i="4" a="1"/>
  <c r="M593" i="4" s="1"/>
  <c r="M594" i="4" a="1"/>
  <c r="M594" i="4" s="1"/>
  <c r="M595" i="4" a="1"/>
  <c r="M595" i="4" s="1"/>
  <c r="M596" i="4" a="1"/>
  <c r="M596" i="4" s="1"/>
  <c r="M597" i="4" a="1"/>
  <c r="M597" i="4" s="1"/>
  <c r="M598" i="4" a="1"/>
  <c r="M598" i="4" s="1"/>
  <c r="M599" i="4" a="1"/>
  <c r="M599" i="4" s="1"/>
  <c r="M600" i="4" a="1"/>
  <c r="M600" i="4" s="1"/>
  <c r="M601" i="4" a="1"/>
  <c r="M601" i="4" s="1"/>
  <c r="M602" i="4" a="1"/>
  <c r="M602" i="4" s="1"/>
  <c r="M603" i="4" a="1"/>
  <c r="M603" i="4" s="1"/>
  <c r="M604" i="4" a="1"/>
  <c r="M604" i="4" s="1"/>
  <c r="M605" i="4" a="1"/>
  <c r="M605" i="4" s="1"/>
  <c r="M606" i="4" a="1"/>
  <c r="M606" i="4" s="1"/>
  <c r="M607" i="4" a="1"/>
  <c r="M607" i="4" s="1"/>
  <c r="M608" i="4" a="1"/>
  <c r="M608" i="4" s="1"/>
  <c r="M609" i="4" a="1"/>
  <c r="M609" i="4" s="1"/>
  <c r="M610" i="4" a="1"/>
  <c r="M610" i="4" s="1"/>
  <c r="M611" i="4" a="1"/>
  <c r="M611" i="4" s="1"/>
  <c r="M612" i="4" a="1"/>
  <c r="M612" i="4" s="1"/>
  <c r="M613" i="4" a="1"/>
  <c r="M613" i="4" s="1"/>
  <c r="M614" i="4" a="1"/>
  <c r="M614" i="4" s="1"/>
  <c r="M615" i="4" a="1"/>
  <c r="M615" i="4" s="1"/>
  <c r="M616" i="4" a="1"/>
  <c r="M616" i="4" s="1"/>
  <c r="M617" i="4" a="1"/>
  <c r="M617" i="4" s="1"/>
  <c r="M618" i="4" a="1"/>
  <c r="M618" i="4" s="1"/>
  <c r="M619" i="4" a="1"/>
  <c r="M619" i="4" s="1"/>
  <c r="M620" i="4" a="1"/>
  <c r="M620" i="4" s="1"/>
  <c r="M621" i="4" a="1"/>
  <c r="M621" i="4" s="1"/>
  <c r="M622" i="4" a="1"/>
  <c r="M622" i="4" s="1"/>
  <c r="M623" i="4" a="1"/>
  <c r="M623" i="4" s="1"/>
  <c r="M624" i="4" a="1"/>
  <c r="M624" i="4" s="1"/>
  <c r="M625" i="4" a="1"/>
  <c r="M625" i="4" s="1"/>
  <c r="M626" i="4" a="1"/>
  <c r="M626" i="4" s="1"/>
  <c r="M627" i="4" a="1"/>
  <c r="M627" i="4" s="1"/>
  <c r="M628" i="4" a="1"/>
  <c r="M628" i="4" s="1"/>
  <c r="M629" i="4" a="1"/>
  <c r="M629" i="4" s="1"/>
  <c r="M630" i="4" a="1"/>
  <c r="M630" i="4" s="1"/>
  <c r="M631" i="4" a="1"/>
  <c r="M631" i="4" s="1"/>
  <c r="M632" i="4" a="1"/>
  <c r="M632" i="4" s="1"/>
  <c r="M633" i="4" a="1"/>
  <c r="M633" i="4" s="1"/>
  <c r="M634" i="4" a="1"/>
  <c r="M634" i="4" s="1"/>
  <c r="M635" i="4" a="1"/>
  <c r="M635" i="4" s="1"/>
  <c r="M636" i="4" a="1"/>
  <c r="M636" i="4" s="1"/>
  <c r="M637" i="4" a="1"/>
  <c r="M637" i="4" s="1"/>
  <c r="M638" i="4" a="1"/>
  <c r="M638" i="4" s="1"/>
  <c r="M639" i="4" a="1"/>
  <c r="M639" i="4" s="1"/>
  <c r="M640" i="4" a="1"/>
  <c r="M640" i="4" s="1"/>
  <c r="M641" i="4" a="1"/>
  <c r="M641" i="4" s="1"/>
  <c r="M642" i="4" a="1"/>
  <c r="M642" i="4" s="1"/>
  <c r="M643" i="4" a="1"/>
  <c r="M643" i="4" s="1"/>
  <c r="M644" i="4" a="1"/>
  <c r="M644" i="4" s="1"/>
  <c r="M645" i="4" a="1"/>
  <c r="M645" i="4" s="1"/>
  <c r="M646" i="4" a="1"/>
  <c r="M646" i="4" s="1"/>
  <c r="M647" i="4" a="1"/>
  <c r="M647" i="4" s="1"/>
  <c r="M648" i="4" a="1"/>
  <c r="M648" i="4" s="1"/>
  <c r="M649" i="4" a="1"/>
  <c r="M649" i="4" s="1"/>
  <c r="M650" i="4" a="1"/>
  <c r="M650" i="4" s="1"/>
  <c r="M651" i="4" a="1"/>
  <c r="M651" i="4" s="1"/>
  <c r="M652" i="4" a="1"/>
  <c r="M652" i="4" s="1"/>
  <c r="M653" i="4" a="1"/>
  <c r="M653" i="4" s="1"/>
  <c r="M654" i="4" a="1"/>
  <c r="M654" i="4" s="1"/>
  <c r="M655" i="4" a="1"/>
  <c r="M655" i="4" s="1"/>
  <c r="M656" i="4" a="1"/>
  <c r="M656" i="4" s="1"/>
  <c r="M657" i="4" a="1"/>
  <c r="M657" i="4" s="1"/>
  <c r="M658" i="4" a="1"/>
  <c r="M658" i="4" s="1"/>
  <c r="M659" i="4" a="1"/>
  <c r="M659" i="4" s="1"/>
  <c r="M660" i="4" a="1"/>
  <c r="M660" i="4" s="1"/>
  <c r="M661" i="4" a="1"/>
  <c r="M661" i="4" s="1"/>
  <c r="M662" i="4" a="1"/>
  <c r="M662" i="4" s="1"/>
  <c r="M663" i="4" a="1"/>
  <c r="M663" i="4" s="1"/>
  <c r="M664" i="4" a="1"/>
  <c r="M664" i="4" s="1"/>
  <c r="M665" i="4" a="1"/>
  <c r="M665" i="4" s="1"/>
  <c r="M666" i="4" a="1"/>
  <c r="M666" i="4" s="1"/>
  <c r="M667" i="4" a="1"/>
  <c r="M667" i="4" s="1"/>
  <c r="M668" i="4" a="1"/>
  <c r="M668" i="4" s="1"/>
  <c r="M669" i="4" a="1"/>
  <c r="M669" i="4" s="1"/>
  <c r="M670" i="4" a="1"/>
  <c r="M670" i="4" s="1"/>
  <c r="M671" i="4" a="1"/>
  <c r="M671" i="4" s="1"/>
  <c r="M672" i="4" a="1"/>
  <c r="M672" i="4" s="1"/>
  <c r="M673" i="4" a="1"/>
  <c r="M673" i="4" s="1"/>
  <c r="M674" i="4" a="1"/>
  <c r="M674" i="4" s="1"/>
  <c r="M675" i="4" a="1"/>
  <c r="M675" i="4" s="1"/>
  <c r="M676" i="4" a="1"/>
  <c r="M676" i="4" s="1"/>
  <c r="M677" i="4" a="1"/>
  <c r="M677" i="4" s="1"/>
  <c r="M678" i="4" a="1"/>
  <c r="M678" i="4" s="1"/>
  <c r="M679" i="4" a="1"/>
  <c r="M679" i="4" s="1"/>
  <c r="M680" i="4" a="1"/>
  <c r="M680" i="4" s="1"/>
  <c r="M681" i="4" a="1"/>
  <c r="M681" i="4" s="1"/>
  <c r="M682" i="4" a="1"/>
  <c r="M682" i="4" s="1"/>
  <c r="M683" i="4" a="1"/>
  <c r="M683" i="4" s="1"/>
  <c r="M684" i="4" a="1"/>
  <c r="M684" i="4" s="1"/>
  <c r="M685" i="4" a="1"/>
  <c r="M685" i="4" s="1"/>
  <c r="M686" i="4" a="1"/>
  <c r="M686" i="4" s="1"/>
  <c r="M687" i="4" a="1"/>
  <c r="M687" i="4" s="1"/>
  <c r="M688" i="4" a="1"/>
  <c r="M688" i="4" s="1"/>
  <c r="M689" i="4" a="1"/>
  <c r="M689" i="4" s="1"/>
  <c r="M690" i="4" a="1"/>
  <c r="M690" i="4" s="1"/>
  <c r="M691" i="4" a="1"/>
  <c r="M691" i="4" s="1"/>
  <c r="M692" i="4" a="1"/>
  <c r="M692" i="4" s="1"/>
  <c r="M693" i="4" a="1"/>
  <c r="M693" i="4" s="1"/>
  <c r="M694" i="4" a="1"/>
  <c r="M694" i="4" s="1"/>
  <c r="M695" i="4" a="1"/>
  <c r="M695" i="4" s="1"/>
  <c r="M696" i="4" a="1"/>
  <c r="M696" i="4" s="1"/>
  <c r="M697" i="4" a="1"/>
  <c r="M697" i="4" s="1"/>
  <c r="M698" i="4" a="1"/>
  <c r="M698" i="4" s="1"/>
  <c r="M699" i="4" a="1"/>
  <c r="M699" i="4" s="1"/>
  <c r="M700" i="4" a="1"/>
  <c r="M700" i="4" s="1"/>
  <c r="M701" i="4" a="1"/>
  <c r="M701" i="4" s="1"/>
  <c r="M702" i="4" a="1"/>
  <c r="M702" i="4" s="1"/>
  <c r="M703" i="4" a="1"/>
  <c r="M703" i="4" s="1"/>
  <c r="M704" i="4" a="1"/>
  <c r="M704" i="4" s="1"/>
  <c r="M705" i="4" a="1"/>
  <c r="M705" i="4" s="1"/>
  <c r="M706" i="4" a="1"/>
  <c r="M706" i="4" s="1"/>
  <c r="M707" i="4" a="1"/>
  <c r="M707" i="4" s="1"/>
  <c r="M708" i="4" a="1"/>
  <c r="M708" i="4" s="1"/>
  <c r="M709" i="4" a="1"/>
  <c r="M709" i="4" s="1"/>
  <c r="M710" i="4" a="1"/>
  <c r="M710" i="4" s="1"/>
  <c r="M711" i="4" a="1"/>
  <c r="M711" i="4" s="1"/>
  <c r="M712" i="4" a="1"/>
  <c r="M712" i="4" s="1"/>
  <c r="M713" i="4" a="1"/>
  <c r="M713" i="4" s="1"/>
  <c r="M714" i="4" a="1"/>
  <c r="M714" i="4" s="1"/>
  <c r="M715" i="4" a="1"/>
  <c r="M715" i="4" s="1"/>
  <c r="M716" i="4" a="1"/>
  <c r="M716" i="4" s="1"/>
  <c r="M717" i="4" a="1"/>
  <c r="M717" i="4" s="1"/>
  <c r="M718" i="4" a="1"/>
  <c r="M718" i="4" s="1"/>
  <c r="M719" i="4" a="1"/>
  <c r="M719" i="4" s="1"/>
  <c r="M720" i="4" a="1"/>
  <c r="M720" i="4" s="1"/>
  <c r="M721" i="4" a="1"/>
  <c r="M721" i="4" s="1"/>
  <c r="M722" i="4" a="1"/>
  <c r="M722" i="4" s="1"/>
  <c r="M723" i="4" a="1"/>
  <c r="M723" i="4" s="1"/>
  <c r="M724" i="4" a="1"/>
  <c r="M724" i="4" s="1"/>
  <c r="M725" i="4" a="1"/>
  <c r="M725" i="4" s="1"/>
  <c r="M726" i="4" a="1"/>
  <c r="M726" i="4" s="1"/>
  <c r="M727" i="4" a="1"/>
  <c r="M727" i="4" s="1"/>
  <c r="M728" i="4" a="1"/>
  <c r="M728" i="4" s="1"/>
  <c r="M729" i="4" a="1"/>
  <c r="M729" i="4" s="1"/>
  <c r="M730" i="4" a="1"/>
  <c r="M730" i="4" s="1"/>
  <c r="M731" i="4" a="1"/>
  <c r="M731" i="4" s="1"/>
  <c r="M732" i="4" a="1"/>
  <c r="M732" i="4" s="1"/>
  <c r="M733" i="4" a="1"/>
  <c r="M733" i="4" s="1"/>
  <c r="M734" i="4" a="1"/>
  <c r="M734" i="4" s="1"/>
  <c r="M735" i="4" a="1"/>
  <c r="M735" i="4" s="1"/>
  <c r="M736" i="4" a="1"/>
  <c r="M736" i="4" s="1"/>
  <c r="M737" i="4" a="1"/>
  <c r="M737" i="4" s="1"/>
  <c r="M738" i="4" a="1"/>
  <c r="M738" i="4" s="1"/>
  <c r="M739" i="4" a="1"/>
  <c r="M739" i="4" s="1"/>
  <c r="M740" i="4" a="1"/>
  <c r="M740" i="4" s="1"/>
  <c r="M741" i="4" a="1"/>
  <c r="M741" i="4" s="1"/>
  <c r="M742" i="4" a="1"/>
  <c r="M742" i="4" s="1"/>
  <c r="M743" i="4" a="1"/>
  <c r="M743" i="4" s="1"/>
  <c r="M744" i="4" a="1"/>
  <c r="M744" i="4" s="1"/>
  <c r="M745" i="4" a="1"/>
  <c r="M745" i="4" s="1"/>
  <c r="M746" i="4" a="1"/>
  <c r="M746" i="4" s="1"/>
  <c r="M747" i="4" a="1"/>
  <c r="M747" i="4" s="1"/>
  <c r="M748" i="4" a="1"/>
  <c r="M748" i="4" s="1"/>
  <c r="M749" i="4" a="1"/>
  <c r="M749" i="4" s="1"/>
  <c r="M750" i="4" a="1"/>
  <c r="M750" i="4" s="1"/>
  <c r="M751" i="4" a="1"/>
  <c r="M751" i="4" s="1"/>
  <c r="M752" i="4" a="1"/>
  <c r="M752" i="4" s="1"/>
  <c r="M753" i="4" a="1"/>
  <c r="M753" i="4" s="1"/>
  <c r="M754" i="4" a="1"/>
  <c r="M754" i="4" s="1"/>
  <c r="M755" i="4" a="1"/>
  <c r="M755" i="4" s="1"/>
  <c r="M756" i="4" a="1"/>
  <c r="M756" i="4" s="1"/>
  <c r="M757" i="4" a="1"/>
  <c r="M757" i="4" s="1"/>
  <c r="M758" i="4" a="1"/>
  <c r="M758" i="4" s="1"/>
  <c r="M759" i="4" a="1"/>
  <c r="M759" i="4" s="1"/>
  <c r="M760" i="4" a="1"/>
  <c r="M760" i="4" s="1"/>
  <c r="M761" i="4" a="1"/>
  <c r="M761" i="4" s="1"/>
  <c r="M762" i="4" a="1"/>
  <c r="M762" i="4" s="1"/>
  <c r="M763" i="4" a="1"/>
  <c r="M763" i="4" s="1"/>
  <c r="M764" i="4" a="1"/>
  <c r="M764" i="4" s="1"/>
  <c r="M765" i="4" a="1"/>
  <c r="M765" i="4" s="1"/>
  <c r="M766" i="4" a="1"/>
  <c r="M766" i="4" s="1"/>
  <c r="M767" i="4" a="1"/>
  <c r="M767" i="4" s="1"/>
  <c r="M768" i="4" a="1"/>
  <c r="M768" i="4" s="1"/>
  <c r="M769" i="4" a="1"/>
  <c r="M769" i="4" s="1"/>
  <c r="M770" i="4" a="1"/>
  <c r="M770" i="4" s="1"/>
  <c r="M771" i="4" a="1"/>
  <c r="M771" i="4" s="1"/>
  <c r="M772" i="4" a="1"/>
  <c r="M772" i="4" s="1"/>
  <c r="M773" i="4" a="1"/>
  <c r="M773" i="4" s="1"/>
  <c r="M774" i="4" a="1"/>
  <c r="M774" i="4" s="1"/>
  <c r="M775" i="4" a="1"/>
  <c r="M775" i="4" s="1"/>
  <c r="M776" i="4" a="1"/>
  <c r="M776" i="4" s="1"/>
  <c r="M777" i="4" a="1"/>
  <c r="M777" i="4" s="1"/>
  <c r="M778" i="4" a="1"/>
  <c r="M778" i="4" s="1"/>
  <c r="M779" i="4" a="1"/>
  <c r="M779" i="4" s="1"/>
  <c r="M780" i="4" a="1"/>
  <c r="M780" i="4" s="1"/>
  <c r="M781" i="4" a="1"/>
  <c r="M781" i="4" s="1"/>
  <c r="M782" i="4" a="1"/>
  <c r="M782" i="4" s="1"/>
  <c r="M783" i="4" a="1"/>
  <c r="M783" i="4" s="1"/>
  <c r="M784" i="4" a="1"/>
  <c r="M784" i="4" s="1"/>
  <c r="M785" i="4" a="1"/>
  <c r="M785" i="4" s="1"/>
  <c r="M786" i="4" a="1"/>
  <c r="M786" i="4" s="1"/>
  <c r="M787" i="4" a="1"/>
  <c r="M787" i="4" s="1"/>
  <c r="M788" i="4" a="1"/>
  <c r="M788" i="4" s="1"/>
  <c r="M789" i="4" a="1"/>
  <c r="M789" i="4" s="1"/>
  <c r="M790" i="4" a="1"/>
  <c r="M790" i="4" s="1"/>
  <c r="M791" i="4" a="1"/>
  <c r="M791" i="4" s="1"/>
  <c r="M792" i="4" a="1"/>
  <c r="M792" i="4" s="1"/>
  <c r="M793" i="4" a="1"/>
  <c r="M793" i="4" s="1"/>
  <c r="M794" i="4" a="1"/>
  <c r="M794" i="4" s="1"/>
  <c r="M795" i="4" a="1"/>
  <c r="M795" i="4" s="1"/>
  <c r="M796" i="4" a="1"/>
  <c r="M796" i="4" s="1"/>
  <c r="M797" i="4" a="1"/>
  <c r="M797" i="4" s="1"/>
  <c r="M798" i="4" a="1"/>
  <c r="M798" i="4" s="1"/>
  <c r="M799" i="4" a="1"/>
  <c r="M799" i="4" s="1"/>
  <c r="M800" i="4" a="1"/>
  <c r="M800" i="4" s="1"/>
  <c r="M801" i="4" a="1"/>
  <c r="M801" i="4" s="1"/>
  <c r="M802" i="4" a="1"/>
  <c r="M802" i="4" s="1"/>
  <c r="M803" i="4" a="1"/>
  <c r="M803" i="4" s="1"/>
  <c r="M804" i="4" a="1"/>
  <c r="M804" i="4" s="1"/>
  <c r="M805" i="4" a="1"/>
  <c r="M805" i="4" s="1"/>
  <c r="M806" i="4" a="1"/>
  <c r="M806" i="4" s="1"/>
  <c r="M807" i="4" a="1"/>
  <c r="M807" i="4" s="1"/>
  <c r="M808" i="4" a="1"/>
  <c r="M808" i="4" s="1"/>
  <c r="M809" i="4" a="1"/>
  <c r="M809" i="4" s="1"/>
  <c r="M810" i="4" a="1"/>
  <c r="M810" i="4" s="1"/>
  <c r="M811" i="4" a="1"/>
  <c r="M811" i="4" s="1"/>
  <c r="M812" i="4" a="1"/>
  <c r="M812" i="4" s="1"/>
  <c r="M813" i="4" a="1"/>
  <c r="M813" i="4" s="1"/>
  <c r="M814" i="4" a="1"/>
  <c r="M814" i="4" s="1"/>
  <c r="M815" i="4" a="1"/>
  <c r="M815" i="4" s="1"/>
  <c r="M816" i="4" a="1"/>
  <c r="M816" i="4" s="1"/>
  <c r="M817" i="4" a="1"/>
  <c r="M817" i="4" s="1"/>
  <c r="M818" i="4" a="1"/>
  <c r="M818" i="4" s="1"/>
  <c r="M819" i="4" a="1"/>
  <c r="M819" i="4" s="1"/>
  <c r="M820" i="4" a="1"/>
  <c r="M820" i="4" s="1"/>
  <c r="M821" i="4" a="1"/>
  <c r="M821" i="4" s="1"/>
  <c r="M822" i="4" a="1"/>
  <c r="M822" i="4" s="1"/>
  <c r="M823" i="4" a="1"/>
  <c r="M823" i="4" s="1"/>
  <c r="M824" i="4" a="1"/>
  <c r="M824" i="4" s="1"/>
  <c r="M825" i="4" a="1"/>
  <c r="M825" i="4" s="1"/>
  <c r="M826" i="4" a="1"/>
  <c r="M826" i="4" s="1"/>
  <c r="M827" i="4" a="1"/>
  <c r="M827" i="4" s="1"/>
  <c r="M828" i="4" a="1"/>
  <c r="M828" i="4" s="1"/>
  <c r="M829" i="4" a="1"/>
  <c r="M829" i="4" s="1"/>
  <c r="M830" i="4" a="1"/>
  <c r="M830" i="4" s="1"/>
  <c r="M831" i="4" a="1"/>
  <c r="M831" i="4" s="1"/>
  <c r="M832" i="4" a="1"/>
  <c r="M832" i="4" s="1"/>
  <c r="M833" i="4" a="1"/>
  <c r="M833" i="4" s="1"/>
  <c r="M834" i="4" a="1"/>
  <c r="M834" i="4" s="1"/>
  <c r="M835" i="4" a="1"/>
  <c r="M835" i="4" s="1"/>
  <c r="M836" i="4" a="1"/>
  <c r="M836" i="4" s="1"/>
  <c r="M837" i="4" a="1"/>
  <c r="M837" i="4" s="1"/>
  <c r="M838" i="4" a="1"/>
  <c r="M838" i="4" s="1"/>
  <c r="M839" i="4" a="1"/>
  <c r="M839" i="4" s="1"/>
  <c r="M840" i="4" a="1"/>
  <c r="M840" i="4" s="1"/>
  <c r="M841" i="4" a="1"/>
  <c r="M841" i="4" s="1"/>
  <c r="M842" i="4" a="1"/>
  <c r="M842" i="4" s="1"/>
  <c r="M843" i="4" a="1"/>
  <c r="M843" i="4" s="1"/>
  <c r="M844" i="4" a="1"/>
  <c r="M844" i="4" s="1"/>
  <c r="M845" i="4" a="1"/>
  <c r="M845" i="4" s="1"/>
  <c r="M846" i="4" a="1"/>
  <c r="M846" i="4" s="1"/>
  <c r="M847" i="4" a="1"/>
  <c r="M847" i="4" s="1"/>
  <c r="M848" i="4" a="1"/>
  <c r="M848" i="4" s="1"/>
  <c r="M849" i="4" a="1"/>
  <c r="M849" i="4" s="1"/>
  <c r="M850" i="4" a="1"/>
  <c r="M850" i="4" s="1"/>
  <c r="M851" i="4" a="1"/>
  <c r="M851" i="4" s="1"/>
  <c r="M852" i="4" a="1"/>
  <c r="M852" i="4" s="1"/>
  <c r="M853" i="4" a="1"/>
  <c r="M853" i="4" s="1"/>
  <c r="M854" i="4" a="1"/>
  <c r="M854" i="4" s="1"/>
  <c r="M855" i="4" a="1"/>
  <c r="M855" i="4" s="1"/>
  <c r="M856" i="4" a="1"/>
  <c r="M856" i="4" s="1"/>
  <c r="M857" i="4" a="1"/>
  <c r="M857" i="4" s="1"/>
  <c r="M858" i="4" a="1"/>
  <c r="M858" i="4" s="1"/>
  <c r="M859" i="4" a="1"/>
  <c r="M859" i="4" s="1"/>
  <c r="M860" i="4" a="1"/>
  <c r="M860" i="4" s="1"/>
  <c r="M861" i="4" a="1"/>
  <c r="M861" i="4" s="1"/>
  <c r="M862" i="4" a="1"/>
  <c r="M862" i="4" s="1"/>
  <c r="M863" i="4" a="1"/>
  <c r="M863" i="4" s="1"/>
  <c r="M864" i="4" a="1"/>
  <c r="M864" i="4" s="1"/>
  <c r="M865" i="4" a="1"/>
  <c r="M865" i="4" s="1"/>
  <c r="M866" i="4" a="1"/>
  <c r="M866" i="4" s="1"/>
  <c r="M867" i="4" a="1"/>
  <c r="M867" i="4" s="1"/>
  <c r="M868" i="4" a="1"/>
  <c r="M868" i="4" s="1"/>
  <c r="M869" i="4" a="1"/>
  <c r="M869" i="4" s="1"/>
  <c r="M870" i="4" a="1"/>
  <c r="M870" i="4" s="1"/>
  <c r="M871" i="4" a="1"/>
  <c r="M871" i="4" s="1"/>
  <c r="M872" i="4" a="1"/>
  <c r="M872" i="4" s="1"/>
  <c r="M873" i="4" a="1"/>
  <c r="M873" i="4" s="1"/>
  <c r="M874" i="4" a="1"/>
  <c r="M874" i="4" s="1"/>
  <c r="M875" i="4" a="1"/>
  <c r="M875" i="4" s="1"/>
  <c r="M876" i="4" a="1"/>
  <c r="M876" i="4" s="1"/>
  <c r="M877" i="4" a="1"/>
  <c r="M877" i="4" s="1"/>
  <c r="M878" i="4" a="1"/>
  <c r="M878" i="4" s="1"/>
  <c r="M879" i="4" a="1"/>
  <c r="M879" i="4" s="1"/>
  <c r="M880" i="4" a="1"/>
  <c r="M880" i="4" s="1"/>
  <c r="M881" i="4" a="1"/>
  <c r="M881" i="4" s="1"/>
  <c r="M882" i="4" a="1"/>
  <c r="M882" i="4" s="1"/>
  <c r="M883" i="4" a="1"/>
  <c r="M883" i="4" s="1"/>
  <c r="M884" i="4" a="1"/>
  <c r="M884" i="4" s="1"/>
  <c r="M885" i="4" a="1"/>
  <c r="M885" i="4" s="1"/>
  <c r="M886" i="4" a="1"/>
  <c r="M886" i="4" s="1"/>
  <c r="M887" i="4" a="1"/>
  <c r="M887" i="4" s="1"/>
  <c r="M888" i="4" a="1"/>
  <c r="M888" i="4" s="1"/>
  <c r="M889" i="4" a="1"/>
  <c r="M889" i="4" s="1"/>
  <c r="M890" i="4" a="1"/>
  <c r="M890" i="4" s="1"/>
  <c r="M891" i="4" a="1"/>
  <c r="M891" i="4" s="1"/>
  <c r="M892" i="4" a="1"/>
  <c r="M892" i="4" s="1"/>
  <c r="M893" i="4" a="1"/>
  <c r="M893" i="4" s="1"/>
  <c r="M894" i="4" a="1"/>
  <c r="M894" i="4" s="1"/>
  <c r="M895" i="4" a="1"/>
  <c r="M895" i="4" s="1"/>
  <c r="M896" i="4" a="1"/>
  <c r="M896" i="4" s="1"/>
  <c r="M897" i="4" a="1"/>
  <c r="M897" i="4" s="1"/>
  <c r="M898" i="4" a="1"/>
  <c r="M898" i="4" s="1"/>
  <c r="M899" i="4" a="1"/>
  <c r="M899" i="4" s="1"/>
  <c r="M900" i="4" a="1"/>
  <c r="M900" i="4" s="1"/>
  <c r="M901" i="4" a="1"/>
  <c r="M901" i="4" s="1"/>
  <c r="M902" i="4" a="1"/>
  <c r="M902" i="4" s="1"/>
  <c r="M903" i="4" a="1"/>
  <c r="M903" i="4" s="1"/>
  <c r="M904" i="4" a="1"/>
  <c r="M904" i="4" s="1"/>
  <c r="M905" i="4" a="1"/>
  <c r="M905" i="4" s="1"/>
  <c r="M906" i="4" a="1"/>
  <c r="M906" i="4" s="1"/>
  <c r="M907" i="4" a="1"/>
  <c r="M907" i="4" s="1"/>
  <c r="M908" i="4" a="1"/>
  <c r="M908" i="4" s="1"/>
  <c r="M909" i="4" a="1"/>
  <c r="M909" i="4" s="1"/>
  <c r="M910" i="4" a="1"/>
  <c r="M910" i="4" s="1"/>
  <c r="M911" i="4" a="1"/>
  <c r="M911" i="4" s="1"/>
  <c r="M912" i="4" a="1"/>
  <c r="M912" i="4" s="1"/>
  <c r="M913" i="4" a="1"/>
  <c r="M913" i="4" s="1"/>
  <c r="M914" i="4" a="1"/>
  <c r="M914" i="4" s="1"/>
  <c r="M915" i="4" a="1"/>
  <c r="M915" i="4" s="1"/>
  <c r="M916" i="4" a="1"/>
  <c r="M916" i="4" s="1"/>
  <c r="M917" i="4" a="1"/>
  <c r="M917" i="4" s="1"/>
  <c r="M918" i="4" a="1"/>
  <c r="M918" i="4" s="1"/>
  <c r="M919" i="4" a="1"/>
  <c r="M919" i="4" s="1"/>
  <c r="M920" i="4" a="1"/>
  <c r="M920" i="4" s="1"/>
  <c r="M921" i="4" a="1"/>
  <c r="M921" i="4" s="1"/>
  <c r="M922" i="4" a="1"/>
  <c r="M922" i="4" s="1"/>
  <c r="M923" i="4" a="1"/>
  <c r="M923" i="4" s="1"/>
  <c r="M924" i="4" a="1"/>
  <c r="M924" i="4" s="1"/>
  <c r="M925" i="4" a="1"/>
  <c r="M925" i="4" s="1"/>
  <c r="M926" i="4" a="1"/>
  <c r="M926" i="4" s="1"/>
  <c r="M927" i="4" a="1"/>
  <c r="M927" i="4" s="1"/>
  <c r="M928" i="4" a="1"/>
  <c r="M928" i="4" s="1"/>
  <c r="M929" i="4" a="1"/>
  <c r="M929" i="4" s="1"/>
  <c r="M930" i="4" a="1"/>
  <c r="M930" i="4" s="1"/>
  <c r="M931" i="4" a="1"/>
  <c r="M931" i="4" s="1"/>
  <c r="M932" i="4" a="1"/>
  <c r="M932" i="4" s="1"/>
  <c r="M933" i="4" a="1"/>
  <c r="M933" i="4" s="1"/>
  <c r="M934" i="4" a="1"/>
  <c r="M934" i="4" s="1"/>
  <c r="M935" i="4" a="1"/>
  <c r="M935" i="4" s="1"/>
  <c r="M936" i="4" a="1"/>
  <c r="M936" i="4" s="1"/>
  <c r="M937" i="4" a="1"/>
  <c r="M937" i="4" s="1"/>
  <c r="M938" i="4" a="1"/>
  <c r="M938" i="4" s="1"/>
  <c r="M939" i="4" a="1"/>
  <c r="M939" i="4" s="1"/>
  <c r="M940" i="4" a="1"/>
  <c r="M940" i="4" s="1"/>
  <c r="M941" i="4" a="1"/>
  <c r="M941" i="4" s="1"/>
  <c r="M942" i="4" a="1"/>
  <c r="M942" i="4" s="1"/>
  <c r="M943" i="4" a="1"/>
  <c r="M943" i="4" s="1"/>
  <c r="M944" i="4" a="1"/>
  <c r="M944" i="4" s="1"/>
  <c r="M945" i="4" a="1"/>
  <c r="M945" i="4" s="1"/>
  <c r="M946" i="4" a="1"/>
  <c r="M946" i="4" s="1"/>
  <c r="M947" i="4" a="1"/>
  <c r="M947" i="4" s="1"/>
  <c r="M948" i="4" a="1"/>
  <c r="M948" i="4" s="1"/>
  <c r="M949" i="4" a="1"/>
  <c r="M949" i="4" s="1"/>
  <c r="M950" i="4" a="1"/>
  <c r="M950" i="4" s="1"/>
  <c r="M951" i="4" a="1"/>
  <c r="M951" i="4" s="1"/>
  <c r="M952" i="4" a="1"/>
  <c r="M952" i="4" s="1"/>
  <c r="M953" i="4" a="1"/>
  <c r="M953" i="4" s="1"/>
  <c r="M954" i="4" a="1"/>
  <c r="M954" i="4" s="1"/>
  <c r="M955" i="4" a="1"/>
  <c r="M955" i="4" s="1"/>
  <c r="M956" i="4" a="1"/>
  <c r="M956" i="4" s="1"/>
  <c r="M957" i="4" a="1"/>
  <c r="M957" i="4" s="1"/>
  <c r="M958" i="4" a="1"/>
  <c r="M958" i="4" s="1"/>
  <c r="M959" i="4" a="1"/>
  <c r="M959" i="4" s="1"/>
  <c r="M960" i="4" a="1"/>
  <c r="M960" i="4" s="1"/>
  <c r="M961" i="4" a="1"/>
  <c r="M961" i="4" s="1"/>
  <c r="M962" i="4" a="1"/>
  <c r="M962" i="4" s="1"/>
  <c r="M963" i="4" a="1"/>
  <c r="M963" i="4" s="1"/>
  <c r="M964" i="4" a="1"/>
  <c r="M964" i="4" s="1"/>
  <c r="M965" i="4" a="1"/>
  <c r="M965" i="4" s="1"/>
  <c r="M966" i="4" a="1"/>
  <c r="M966" i="4" s="1"/>
  <c r="M967" i="4" a="1"/>
  <c r="M967" i="4" s="1"/>
  <c r="M968" i="4" a="1"/>
  <c r="M968" i="4" s="1"/>
  <c r="M969" i="4" a="1"/>
  <c r="M969" i="4" s="1"/>
  <c r="M970" i="4" a="1"/>
  <c r="M970" i="4" s="1"/>
  <c r="M971" i="4" a="1"/>
  <c r="M971" i="4" s="1"/>
  <c r="M972" i="4" a="1"/>
  <c r="M972" i="4" s="1"/>
  <c r="M973" i="4" a="1"/>
  <c r="M973" i="4" s="1"/>
  <c r="M974" i="4" a="1"/>
  <c r="M974" i="4" s="1"/>
  <c r="M975" i="4" a="1"/>
  <c r="M975" i="4" s="1"/>
  <c r="M976" i="4" a="1"/>
  <c r="M976" i="4" s="1"/>
  <c r="M977" i="4" a="1"/>
  <c r="M977" i="4" s="1"/>
  <c r="M978" i="4" a="1"/>
  <c r="M978" i="4" s="1"/>
  <c r="M979" i="4" a="1"/>
  <c r="M979" i="4" s="1"/>
  <c r="M980" i="4" a="1"/>
  <c r="M980" i="4" s="1"/>
  <c r="M981" i="4" a="1"/>
  <c r="M981" i="4" s="1"/>
  <c r="M982" i="4" a="1"/>
  <c r="M982" i="4" s="1"/>
  <c r="M983" i="4" a="1"/>
  <c r="M983" i="4" s="1"/>
  <c r="M984" i="4" a="1"/>
  <c r="M984" i="4" s="1"/>
  <c r="M985" i="4" a="1"/>
  <c r="M985" i="4" s="1"/>
  <c r="M986" i="4" a="1"/>
  <c r="M986" i="4" s="1"/>
  <c r="M987" i="4" a="1"/>
  <c r="M987" i="4" s="1"/>
  <c r="M988" i="4" a="1"/>
  <c r="M988" i="4" s="1"/>
  <c r="M989" i="4" a="1"/>
  <c r="M989" i="4" s="1"/>
  <c r="M990" i="4" a="1"/>
  <c r="M990" i="4" s="1"/>
  <c r="M991" i="4" a="1"/>
  <c r="M991" i="4" s="1"/>
  <c r="M992" i="4" a="1"/>
  <c r="M992" i="4" s="1"/>
  <c r="M993" i="4" a="1"/>
  <c r="M993" i="4" s="1"/>
  <c r="M994" i="4" a="1"/>
  <c r="M994" i="4" s="1"/>
  <c r="M995" i="4" a="1"/>
  <c r="M995" i="4" s="1"/>
  <c r="M996" i="4" a="1"/>
  <c r="M996" i="4" s="1"/>
  <c r="M997" i="4" a="1"/>
  <c r="M997" i="4" s="1"/>
  <c r="M998" i="4" a="1"/>
  <c r="M998" i="4" s="1"/>
  <c r="M999" i="4" a="1"/>
  <c r="M999" i="4" s="1"/>
  <c r="M1000" i="4" a="1"/>
  <c r="M1000" i="4" s="1"/>
  <c r="M1001" i="4" a="1"/>
  <c r="M1001" i="4" s="1"/>
  <c r="M1002" i="4" a="1"/>
  <c r="M1002" i="4" s="1"/>
  <c r="M1003" i="4" a="1"/>
  <c r="M1003" i="4" s="1"/>
  <c r="M1004" i="4" a="1"/>
  <c r="M1004" i="4" s="1"/>
  <c r="M1005" i="4" a="1"/>
  <c r="M1005" i="4" s="1"/>
  <c r="M1006" i="4" a="1"/>
  <c r="M1006" i="4" s="1"/>
  <c r="M1007" i="4" a="1"/>
  <c r="M1007" i="4" s="1"/>
  <c r="M1008" i="4" a="1"/>
  <c r="M1008" i="4" s="1"/>
  <c r="M1009" i="4" a="1"/>
  <c r="M1009" i="4" s="1"/>
  <c r="M1010" i="4" a="1"/>
  <c r="M1010" i="4" s="1"/>
  <c r="M1011" i="4" a="1"/>
  <c r="M1011" i="4" s="1"/>
  <c r="M1012" i="4" a="1"/>
  <c r="M1012" i="4" s="1"/>
  <c r="M1013" i="4" a="1"/>
  <c r="M1013" i="4" s="1"/>
  <c r="M1014" i="4" a="1"/>
  <c r="M1014" i="4" s="1"/>
  <c r="M1015" i="4" a="1"/>
  <c r="M1015" i="4" s="1"/>
  <c r="M1016" i="4" a="1"/>
  <c r="M1016" i="4" s="1"/>
  <c r="M1017" i="4" a="1"/>
  <c r="M1017" i="4" s="1"/>
  <c r="M1018" i="4" a="1"/>
  <c r="M1018" i="4" s="1"/>
  <c r="M1019" i="4" a="1"/>
  <c r="M1019" i="4" s="1"/>
  <c r="M1020" i="4" a="1"/>
  <c r="M1020" i="4" s="1"/>
  <c r="M1021" i="4" a="1"/>
  <c r="M1021" i="4" s="1"/>
  <c r="M1022" i="4" a="1"/>
  <c r="M1022" i="4" s="1"/>
  <c r="M1023" i="4" a="1"/>
  <c r="M1023" i="4" s="1"/>
  <c r="M1024" i="4" a="1"/>
  <c r="M1024" i="4" s="1"/>
  <c r="M1025" i="4" a="1"/>
  <c r="M1025" i="4" s="1"/>
  <c r="M1026" i="4" a="1"/>
  <c r="M1026" i="4" s="1"/>
  <c r="M1027" i="4" a="1"/>
  <c r="M1027" i="4" s="1"/>
  <c r="M1028" i="4" a="1"/>
  <c r="M1028" i="4" s="1"/>
  <c r="M1029" i="4" a="1"/>
  <c r="M1029" i="4" s="1"/>
  <c r="M1030" i="4" a="1"/>
  <c r="M1030" i="4" s="1"/>
  <c r="M1031" i="4" a="1"/>
  <c r="M1031" i="4" s="1"/>
  <c r="M1032" i="4" a="1"/>
  <c r="M1032" i="4" s="1"/>
  <c r="M1033" i="4" a="1"/>
  <c r="M1033" i="4" s="1"/>
  <c r="M1034" i="4" a="1"/>
  <c r="M1034" i="4" s="1"/>
  <c r="M1035" i="4" a="1"/>
  <c r="M1035" i="4" s="1"/>
  <c r="M1036" i="4" a="1"/>
  <c r="M1036" i="4" s="1"/>
  <c r="M1037" i="4" a="1"/>
  <c r="M1037" i="4" s="1"/>
  <c r="M1038" i="4" a="1"/>
  <c r="M1038" i="4" s="1"/>
  <c r="M1039" i="4" a="1"/>
  <c r="M1039" i="4" s="1"/>
  <c r="M1040" i="4" a="1"/>
  <c r="M1040" i="4" s="1"/>
  <c r="M1041" i="4" a="1"/>
  <c r="M1041" i="4" s="1"/>
  <c r="M1042" i="4" a="1"/>
  <c r="M1042" i="4" s="1"/>
  <c r="M1043" i="4" a="1"/>
  <c r="M1043" i="4" s="1"/>
  <c r="M1044" i="4" a="1"/>
  <c r="M1044" i="4" s="1"/>
  <c r="M1045" i="4" a="1"/>
  <c r="M1045" i="4" s="1"/>
  <c r="M1046" i="4" a="1"/>
  <c r="M1046" i="4" s="1"/>
  <c r="M1047" i="4" a="1"/>
  <c r="M1047" i="4" s="1"/>
  <c r="M1048" i="4" a="1"/>
  <c r="M1048" i="4" s="1"/>
  <c r="M1049" i="4" a="1"/>
  <c r="M1049" i="4" s="1"/>
  <c r="M1050" i="4" a="1"/>
  <c r="M1050" i="4" s="1"/>
  <c r="M1051" i="4" a="1"/>
  <c r="M1051" i="4" s="1"/>
  <c r="M1052" i="4" a="1"/>
  <c r="M1052" i="4" s="1"/>
  <c r="M1053" i="4" a="1"/>
  <c r="M1053" i="4" s="1"/>
  <c r="M1054" i="4" a="1"/>
  <c r="M1054" i="4" s="1"/>
  <c r="M1055" i="4" a="1"/>
  <c r="M1055" i="4" s="1"/>
  <c r="M1056" i="4" a="1"/>
  <c r="M1056" i="4" s="1"/>
  <c r="M1057" i="4" a="1"/>
  <c r="M1057" i="4" s="1"/>
  <c r="M1058" i="4" a="1"/>
  <c r="M1058" i="4" s="1"/>
  <c r="M1059" i="4" a="1"/>
  <c r="M1059" i="4" s="1"/>
  <c r="M1060" i="4" a="1"/>
  <c r="M1060" i="4" s="1"/>
  <c r="M1061" i="4" a="1"/>
  <c r="M1061" i="4" s="1"/>
  <c r="M1062" i="4" a="1"/>
  <c r="M1062" i="4" s="1"/>
  <c r="M1063" i="4" a="1"/>
  <c r="M1063" i="4" s="1"/>
  <c r="M1064" i="4" a="1"/>
  <c r="M1064" i="4" s="1"/>
  <c r="M1065" i="4" a="1"/>
  <c r="M1065" i="4" s="1"/>
  <c r="M1066" i="4" a="1"/>
  <c r="M1066" i="4" s="1"/>
  <c r="M1067" i="4" a="1"/>
  <c r="M1067" i="4" s="1"/>
  <c r="M1068" i="4" a="1"/>
  <c r="M1068" i="4" s="1"/>
  <c r="M1069" i="4" a="1"/>
  <c r="M1069" i="4" s="1"/>
  <c r="M1070" i="4" a="1"/>
  <c r="M1070" i="4" s="1"/>
  <c r="M1071" i="4" a="1"/>
  <c r="M1071" i="4" s="1"/>
  <c r="M1072" i="4" a="1"/>
  <c r="M1072" i="4" s="1"/>
  <c r="M1073" i="4" a="1"/>
  <c r="M1073" i="4" s="1"/>
  <c r="M1074" i="4" a="1"/>
  <c r="M1074" i="4" s="1"/>
  <c r="M1075" i="4" a="1"/>
  <c r="M1075" i="4" s="1"/>
  <c r="M1076" i="4" a="1"/>
  <c r="M1076" i="4" s="1"/>
  <c r="M1077" i="4" a="1"/>
  <c r="M1077" i="4" s="1"/>
  <c r="M1078" i="4" a="1"/>
  <c r="M1078" i="4" s="1"/>
  <c r="M1079" i="4" a="1"/>
  <c r="M1079" i="4" s="1"/>
  <c r="M1080" i="4" a="1"/>
  <c r="M1080" i="4" s="1"/>
  <c r="M1081" i="4" a="1"/>
  <c r="M1081" i="4" s="1"/>
  <c r="M1082" i="4" a="1"/>
  <c r="M1082" i="4" s="1"/>
  <c r="M1083" i="4" a="1"/>
  <c r="M1083" i="4" s="1"/>
  <c r="M1084" i="4" a="1"/>
  <c r="M1084" i="4" s="1"/>
  <c r="M1085" i="4" a="1"/>
  <c r="M1085" i="4" s="1"/>
  <c r="M1086" i="4" a="1"/>
  <c r="M1086" i="4" s="1"/>
  <c r="M1087" i="4" a="1"/>
  <c r="M1087" i="4" s="1"/>
  <c r="M1088" i="4" a="1"/>
  <c r="M1088" i="4" s="1"/>
  <c r="M1089" i="4" a="1"/>
  <c r="M1089" i="4" s="1"/>
  <c r="M1090" i="4" a="1"/>
  <c r="M1090" i="4" s="1"/>
  <c r="M1091" i="4" a="1"/>
  <c r="M1091" i="4" s="1"/>
  <c r="M1092" i="4" a="1"/>
  <c r="M1092" i="4" s="1"/>
  <c r="M1093" i="4" a="1"/>
  <c r="M1093" i="4" s="1"/>
  <c r="M1094" i="4" a="1"/>
  <c r="M1094" i="4" s="1"/>
  <c r="M1095" i="4" a="1"/>
  <c r="M1095" i="4" s="1"/>
  <c r="M1096" i="4" a="1"/>
  <c r="M1096" i="4" s="1"/>
  <c r="M1097" i="4" a="1"/>
  <c r="M1097" i="4" s="1"/>
  <c r="M1098" i="4" a="1"/>
  <c r="M1098" i="4" s="1"/>
  <c r="M1099" i="4" a="1"/>
  <c r="M1099" i="4" s="1"/>
  <c r="M1100" i="4" a="1"/>
  <c r="M1100" i="4" s="1"/>
  <c r="M1101" i="4" a="1"/>
  <c r="M1101" i="4" s="1"/>
  <c r="M1102" i="4" a="1"/>
  <c r="M1102" i="4" s="1"/>
  <c r="M1103" i="4" a="1"/>
  <c r="M1103" i="4" s="1"/>
  <c r="M1104" i="4" a="1"/>
  <c r="M1104" i="4" s="1"/>
  <c r="M1105" i="4" a="1"/>
  <c r="M1105" i="4" s="1"/>
  <c r="M1106" i="4" a="1"/>
  <c r="M1106" i="4" s="1"/>
  <c r="M1107" i="4" a="1"/>
  <c r="M1107" i="4" s="1"/>
  <c r="M1108" i="4" a="1"/>
  <c r="M1108" i="4" s="1"/>
  <c r="M1109" i="4" a="1"/>
  <c r="M1109" i="4" s="1"/>
  <c r="M1110" i="4" a="1"/>
  <c r="M1110" i="4" s="1"/>
  <c r="M1111" i="4" a="1"/>
  <c r="M1111" i="4" s="1"/>
  <c r="M1112" i="4" a="1"/>
  <c r="M1112" i="4" s="1"/>
  <c r="M1113" i="4" a="1"/>
  <c r="M1113" i="4" s="1"/>
  <c r="M1114" i="4" a="1"/>
  <c r="M1114" i="4" s="1"/>
  <c r="M1115" i="4" a="1"/>
  <c r="M1115" i="4" s="1"/>
  <c r="M1116" i="4" a="1"/>
  <c r="M1116" i="4" s="1"/>
  <c r="M1117" i="4" a="1"/>
  <c r="M1117" i="4" s="1"/>
  <c r="M1118" i="4" a="1"/>
  <c r="M1118" i="4" s="1"/>
  <c r="M1119" i="4" a="1"/>
  <c r="M1119" i="4" s="1"/>
  <c r="M1120" i="4" a="1"/>
  <c r="M1120" i="4" s="1"/>
  <c r="M1121" i="4" a="1"/>
  <c r="M1121" i="4" s="1"/>
  <c r="M1122" i="4" a="1"/>
  <c r="M1122" i="4" s="1"/>
  <c r="M1123" i="4" a="1"/>
  <c r="M1123" i="4" s="1"/>
  <c r="M1124" i="4" a="1"/>
  <c r="M1124" i="4" s="1"/>
  <c r="M1125" i="4" a="1"/>
  <c r="M1125" i="4" s="1"/>
  <c r="M1126" i="4" a="1"/>
  <c r="M1126" i="4" s="1"/>
  <c r="M1127" i="4" a="1"/>
  <c r="M1127" i="4" s="1"/>
  <c r="M1128" i="4" a="1"/>
  <c r="M1128" i="4" s="1"/>
  <c r="M1129" i="4" a="1"/>
  <c r="M1129" i="4" s="1"/>
  <c r="M1130" i="4" a="1"/>
  <c r="M1130" i="4" s="1"/>
  <c r="M1131" i="4" a="1"/>
  <c r="M1131" i="4" s="1"/>
  <c r="M1132" i="4" a="1"/>
  <c r="M1132" i="4" s="1"/>
  <c r="M1133" i="4" a="1"/>
  <c r="M1133" i="4" s="1"/>
  <c r="M1134" i="4" a="1"/>
  <c r="M1134" i="4" s="1"/>
  <c r="M1135" i="4" a="1"/>
  <c r="M1135" i="4" s="1"/>
  <c r="M1136" i="4" a="1"/>
  <c r="M1136" i="4" s="1"/>
  <c r="M1137" i="4" a="1"/>
  <c r="M1137" i="4" s="1"/>
  <c r="M1138" i="4" a="1"/>
  <c r="M1138" i="4" s="1"/>
  <c r="M1139" i="4" a="1"/>
  <c r="M1139" i="4" s="1"/>
  <c r="M1140" i="4" a="1"/>
  <c r="M1140" i="4" s="1"/>
  <c r="M1141" i="4" a="1"/>
  <c r="M1141" i="4" s="1"/>
  <c r="M1142" i="4" a="1"/>
  <c r="M1142" i="4" s="1"/>
  <c r="M1143" i="4" a="1"/>
  <c r="M1143" i="4" s="1"/>
  <c r="M1144" i="4" a="1"/>
  <c r="M1144" i="4" s="1"/>
  <c r="M1145" i="4" a="1"/>
  <c r="M1145" i="4" s="1"/>
  <c r="M1146" i="4" a="1"/>
  <c r="M1146" i="4" s="1"/>
  <c r="M1147" i="4" a="1"/>
  <c r="M1147" i="4" s="1"/>
  <c r="M1148" i="4" a="1"/>
  <c r="M1148" i="4" s="1"/>
  <c r="M1149" i="4" a="1"/>
  <c r="M1149" i="4" s="1"/>
  <c r="M1150" i="4" a="1"/>
  <c r="M1150" i="4" s="1"/>
  <c r="M1151" i="4" a="1"/>
  <c r="M1151" i="4" s="1"/>
  <c r="M1152" i="4" a="1"/>
  <c r="M1152" i="4" s="1"/>
  <c r="M1153" i="4" a="1"/>
  <c r="M1153" i="4" s="1"/>
  <c r="M1154" i="4" a="1"/>
  <c r="M1154" i="4" s="1"/>
  <c r="M1155" i="4" a="1"/>
  <c r="M1155" i="4" s="1"/>
  <c r="M1156" i="4" a="1"/>
  <c r="M1156" i="4" s="1"/>
  <c r="M1157" i="4" a="1"/>
  <c r="M1157" i="4" s="1"/>
  <c r="M1158" i="4" a="1"/>
  <c r="M1158" i="4" s="1"/>
  <c r="M1159" i="4" a="1"/>
  <c r="M1159" i="4" s="1"/>
  <c r="M1160" i="4" a="1"/>
  <c r="M1160" i="4" s="1"/>
  <c r="M1161" i="4" a="1"/>
  <c r="M1161" i="4" s="1"/>
  <c r="M1162" i="4" a="1"/>
  <c r="M1162" i="4" s="1"/>
  <c r="M1163" i="4" a="1"/>
  <c r="M1163" i="4" s="1"/>
  <c r="M1164" i="4" a="1"/>
  <c r="M1164" i="4" s="1"/>
  <c r="M1165" i="4" a="1"/>
  <c r="M1165" i="4" s="1"/>
  <c r="M1166" i="4" a="1"/>
  <c r="M1166" i="4" s="1"/>
  <c r="M1167" i="4" a="1"/>
  <c r="M1167" i="4" s="1"/>
  <c r="M1168" i="4" a="1"/>
  <c r="M1168" i="4" s="1"/>
  <c r="M1169" i="4" a="1"/>
  <c r="M1169" i="4" s="1"/>
  <c r="M1170" i="4" a="1"/>
  <c r="M1170" i="4" s="1"/>
  <c r="M1171" i="4" a="1"/>
  <c r="M1171" i="4" s="1"/>
  <c r="M1172" i="4" a="1"/>
  <c r="M1172" i="4" s="1"/>
  <c r="M1173" i="4" a="1"/>
  <c r="M1173" i="4" s="1"/>
  <c r="M1174" i="4" a="1"/>
  <c r="M1174" i="4" s="1"/>
  <c r="M1175" i="4" a="1"/>
  <c r="M1175" i="4" s="1"/>
  <c r="M1176" i="4" a="1"/>
  <c r="M1176" i="4" s="1"/>
  <c r="M1177" i="4" a="1"/>
  <c r="M1177" i="4" s="1"/>
  <c r="M1178" i="4" a="1"/>
  <c r="M1178" i="4" s="1"/>
  <c r="M1179" i="4" a="1"/>
  <c r="M1179" i="4" s="1"/>
  <c r="M1180" i="4" a="1"/>
  <c r="M1180" i="4" s="1"/>
  <c r="M1181" i="4" a="1"/>
  <c r="M1181" i="4" s="1"/>
  <c r="M1182" i="4" a="1"/>
  <c r="M1182" i="4" s="1"/>
  <c r="M1183" i="4" a="1"/>
  <c r="M1183" i="4" s="1"/>
  <c r="M1184" i="4" a="1"/>
  <c r="M1184" i="4" s="1"/>
  <c r="M1185" i="4" a="1"/>
  <c r="M1185" i="4" s="1"/>
  <c r="M1186" i="4" a="1"/>
  <c r="M1186" i="4" s="1"/>
  <c r="M1187" i="4" a="1"/>
  <c r="M1187" i="4" s="1"/>
  <c r="M1188" i="4" a="1"/>
  <c r="M1188" i="4" s="1"/>
  <c r="M1189" i="4" a="1"/>
  <c r="M1189" i="4" s="1"/>
  <c r="M1190" i="4" a="1"/>
  <c r="M1190" i="4" s="1"/>
  <c r="M1191" i="4" a="1"/>
  <c r="M1191" i="4" s="1"/>
  <c r="M1192" i="4" a="1"/>
  <c r="M1192" i="4" s="1"/>
  <c r="M1193" i="4" a="1"/>
  <c r="M1193" i="4" s="1"/>
  <c r="M1194" i="4" a="1"/>
  <c r="M1194" i="4" s="1"/>
  <c r="M1195" i="4" a="1"/>
  <c r="M1195" i="4" s="1"/>
  <c r="M1196" i="4" a="1"/>
  <c r="M1196" i="4" s="1"/>
  <c r="M1197" i="4" a="1"/>
  <c r="M1197" i="4" s="1"/>
  <c r="M1198" i="4" a="1"/>
  <c r="M1198" i="4" s="1"/>
  <c r="M1199" i="4" a="1"/>
  <c r="M1199" i="4" s="1"/>
  <c r="M1200" i="4" a="1"/>
  <c r="M1200" i="4" s="1"/>
  <c r="M1201" i="4" a="1"/>
  <c r="M1201" i="4" s="1"/>
  <c r="M1202" i="4" a="1"/>
  <c r="M1202" i="4" s="1"/>
  <c r="M1203" i="4" a="1"/>
  <c r="M1203" i="4" s="1"/>
  <c r="M1204" i="4" a="1"/>
  <c r="M1204" i="4" s="1"/>
  <c r="M1205" i="4" a="1"/>
  <c r="M1205" i="4" s="1"/>
  <c r="M1206" i="4" a="1"/>
  <c r="M1206" i="4" s="1"/>
  <c r="M1207" i="4" a="1"/>
  <c r="M1207" i="4" s="1"/>
  <c r="M1208" i="4" a="1"/>
  <c r="M1208" i="4" s="1"/>
  <c r="M1209" i="4" a="1"/>
  <c r="M1209" i="4" s="1"/>
  <c r="M1210" i="4" a="1"/>
  <c r="M1210" i="4" s="1"/>
  <c r="M1211" i="4" a="1"/>
  <c r="M1211" i="4" s="1"/>
  <c r="M1212" i="4" a="1"/>
  <c r="M1212" i="4" s="1"/>
  <c r="M1213" i="4" a="1"/>
  <c r="M1213" i="4" s="1"/>
  <c r="M1214" i="4" a="1"/>
  <c r="M1214" i="4" s="1"/>
  <c r="M1215" i="4" a="1"/>
  <c r="M1215" i="4" s="1"/>
  <c r="M1216" i="4" a="1"/>
  <c r="M1216" i="4" s="1"/>
  <c r="M1217" i="4" a="1"/>
  <c r="M1217" i="4" s="1"/>
  <c r="M1218" i="4" a="1"/>
  <c r="M1218" i="4" s="1"/>
  <c r="M1219" i="4" a="1"/>
  <c r="M1219" i="4" s="1"/>
  <c r="M1220" i="4" a="1"/>
  <c r="M1220" i="4" s="1"/>
  <c r="M1221" i="4" a="1"/>
  <c r="M1221" i="4" s="1"/>
  <c r="M1222" i="4" a="1"/>
  <c r="M1222" i="4" s="1"/>
  <c r="M1223" i="4" a="1"/>
  <c r="M1223" i="4" s="1"/>
  <c r="M1224" i="4" a="1"/>
  <c r="M1224" i="4" s="1"/>
  <c r="M1225" i="4" a="1"/>
  <c r="M1225" i="4" s="1"/>
  <c r="M1226" i="4" a="1"/>
  <c r="M1226" i="4" s="1"/>
  <c r="M1227" i="4" a="1"/>
  <c r="M1227" i="4" s="1"/>
  <c r="M1228" i="4" a="1"/>
  <c r="M1228" i="4" s="1"/>
  <c r="M1229" i="4" a="1"/>
  <c r="M1229" i="4" s="1"/>
  <c r="M1230" i="4" a="1"/>
  <c r="M1230" i="4" s="1"/>
  <c r="M1231" i="4" a="1"/>
  <c r="M1231" i="4" s="1"/>
  <c r="M1232" i="4" a="1"/>
  <c r="M1232" i="4" s="1"/>
  <c r="M1233" i="4" a="1"/>
  <c r="M1233" i="4" s="1"/>
  <c r="M1234" i="4" a="1"/>
  <c r="M1234" i="4" s="1"/>
  <c r="M1235" i="4" a="1"/>
  <c r="M1235" i="4" s="1"/>
  <c r="M1236" i="4" a="1"/>
  <c r="M1236" i="4" s="1"/>
  <c r="M1237" i="4" a="1"/>
  <c r="M1237" i="4" s="1"/>
  <c r="M1238" i="4" a="1"/>
  <c r="M1238" i="4" s="1"/>
  <c r="M1239" i="4" a="1"/>
  <c r="M1239" i="4" s="1"/>
  <c r="M1240" i="4" a="1"/>
  <c r="M1240" i="4" s="1"/>
  <c r="M1241" i="4" a="1"/>
  <c r="M1241" i="4" s="1"/>
  <c r="M1242" i="4" a="1"/>
  <c r="M1242" i="4" s="1"/>
  <c r="M1243" i="4" a="1"/>
  <c r="M1243" i="4" s="1"/>
  <c r="M1244" i="4" a="1"/>
  <c r="M1244" i="4" s="1"/>
  <c r="M1245" i="4" a="1"/>
  <c r="M1245" i="4" s="1"/>
  <c r="M1246" i="4" a="1"/>
  <c r="M1246" i="4" s="1"/>
  <c r="M1247" i="4" a="1"/>
  <c r="M1247" i="4" s="1"/>
  <c r="M1248" i="4" a="1"/>
  <c r="M1248" i="4" s="1"/>
  <c r="M1249" i="4" a="1"/>
  <c r="M1249" i="4" s="1"/>
  <c r="M1250" i="4" a="1"/>
  <c r="M1250" i="4" s="1"/>
  <c r="M1251" i="4" a="1"/>
  <c r="M1251" i="4" s="1"/>
  <c r="M1252" i="4" a="1"/>
  <c r="M1252" i="4" s="1"/>
  <c r="M1253" i="4" a="1"/>
  <c r="M1253" i="4" s="1"/>
  <c r="M1254" i="4" a="1"/>
  <c r="M1254" i="4" s="1"/>
  <c r="M1255" i="4" a="1"/>
  <c r="M1255" i="4" s="1"/>
  <c r="M1256" i="4" a="1"/>
  <c r="M1256" i="4" s="1"/>
  <c r="M1257" i="4" a="1"/>
  <c r="M1257" i="4" s="1"/>
  <c r="M1258" i="4" a="1"/>
  <c r="M1258" i="4" s="1"/>
  <c r="M1259" i="4" a="1"/>
  <c r="M1259" i="4" s="1"/>
  <c r="M1260" i="4" a="1"/>
  <c r="M1260" i="4" s="1"/>
  <c r="M1261" i="4" a="1"/>
  <c r="M1261" i="4" s="1"/>
  <c r="M1262" i="4" a="1"/>
  <c r="M1262" i="4" s="1"/>
  <c r="M1263" i="4" a="1"/>
  <c r="M1263" i="4" s="1"/>
  <c r="M1264" i="4" a="1"/>
  <c r="M1264" i="4" s="1"/>
  <c r="M1265" i="4" a="1"/>
  <c r="M1265" i="4" s="1"/>
  <c r="M1266" i="4" a="1"/>
  <c r="M1266" i="4" s="1"/>
  <c r="M1267" i="4" a="1"/>
  <c r="M1267" i="4" s="1"/>
  <c r="M1268" i="4" a="1"/>
  <c r="M1268" i="4" s="1"/>
  <c r="M1269" i="4" a="1"/>
  <c r="M1269" i="4" s="1"/>
  <c r="M1270" i="4" a="1"/>
  <c r="M1270" i="4" s="1"/>
  <c r="M1271" i="4" a="1"/>
  <c r="M1271" i="4" s="1"/>
  <c r="M1272" i="4" a="1"/>
  <c r="M1272" i="4" s="1"/>
  <c r="M1273" i="4" a="1"/>
  <c r="M1273" i="4" s="1"/>
  <c r="M1274" i="4" a="1"/>
  <c r="M1274" i="4" s="1"/>
  <c r="M1275" i="4" a="1"/>
  <c r="M1275" i="4" s="1"/>
  <c r="M1276" i="4" a="1"/>
  <c r="M1276" i="4" s="1"/>
  <c r="M1277" i="4" a="1"/>
  <c r="M1277" i="4" s="1"/>
  <c r="M1278" i="4" a="1"/>
  <c r="M1278" i="4" s="1"/>
  <c r="M1279" i="4" a="1"/>
  <c r="M1279" i="4" s="1"/>
  <c r="M1280" i="4" a="1"/>
  <c r="M1280" i="4" s="1"/>
  <c r="M1281" i="4" a="1"/>
  <c r="M1281" i="4" s="1"/>
  <c r="M1282" i="4" a="1"/>
  <c r="M1282" i="4" s="1"/>
  <c r="M1283" i="4" a="1"/>
  <c r="M1283" i="4" s="1"/>
  <c r="M1284" i="4" a="1"/>
  <c r="M1284" i="4" s="1"/>
  <c r="M1285" i="4" a="1"/>
  <c r="M1285" i="4" s="1"/>
  <c r="M1286" i="4" a="1"/>
  <c r="M1286" i="4" s="1"/>
  <c r="M1287" i="4" a="1"/>
  <c r="M1287" i="4" s="1"/>
  <c r="M1288" i="4" a="1"/>
  <c r="M1288" i="4" s="1"/>
  <c r="M1289" i="4" a="1"/>
  <c r="M1289" i="4" s="1"/>
  <c r="M1290" i="4" a="1"/>
  <c r="M1290" i="4" s="1"/>
  <c r="M1291" i="4" a="1"/>
  <c r="M1291" i="4" s="1"/>
  <c r="M1292" i="4" a="1"/>
  <c r="M1292" i="4" s="1"/>
  <c r="M1293" i="4" a="1"/>
  <c r="M1293" i="4" s="1"/>
  <c r="M1294" i="4" a="1"/>
  <c r="M1294" i="4" s="1"/>
  <c r="M1295" i="4" a="1"/>
  <c r="M1295" i="4" s="1"/>
  <c r="M1296" i="4" a="1"/>
  <c r="M1296" i="4" s="1"/>
  <c r="M1297" i="4" a="1"/>
  <c r="M1297" i="4" s="1"/>
  <c r="M1298" i="4" a="1"/>
  <c r="M1298" i="4" s="1"/>
  <c r="M1299" i="4" a="1"/>
  <c r="M1299" i="4" s="1"/>
  <c r="M1300" i="4" a="1"/>
  <c r="M1300" i="4" s="1"/>
  <c r="M1301" i="4" a="1"/>
  <c r="M1301" i="4" s="1"/>
  <c r="M1302" i="4" a="1"/>
  <c r="M1302" i="4" s="1"/>
  <c r="M1303" i="4" a="1"/>
  <c r="M1303" i="4" s="1"/>
  <c r="M1304" i="4" a="1"/>
  <c r="M1304" i="4" s="1"/>
  <c r="M1305" i="4" a="1"/>
  <c r="M1305" i="4" s="1"/>
  <c r="M1306" i="4" a="1"/>
  <c r="M1306" i="4" s="1"/>
  <c r="M1307" i="4" a="1"/>
  <c r="M1307" i="4" s="1"/>
  <c r="M1308" i="4" a="1"/>
  <c r="M1308" i="4" s="1"/>
  <c r="M1309" i="4" a="1"/>
  <c r="M1309" i="4" s="1"/>
  <c r="M1310" i="4" a="1"/>
  <c r="M1310" i="4" s="1"/>
  <c r="M1311" i="4" a="1"/>
  <c r="M1311" i="4" s="1"/>
  <c r="M1312" i="4" a="1"/>
  <c r="M1312" i="4" s="1"/>
  <c r="M1313" i="4" a="1"/>
  <c r="M1313" i="4" s="1"/>
  <c r="M1314" i="4" a="1"/>
  <c r="M1314" i="4" s="1"/>
  <c r="M1315" i="4" a="1"/>
  <c r="M1315" i="4" s="1"/>
  <c r="M1316" i="4" a="1"/>
  <c r="M1316" i="4" s="1"/>
  <c r="M1317" i="4" a="1"/>
  <c r="M1317" i="4" s="1"/>
  <c r="M1318" i="4" a="1"/>
  <c r="M1318" i="4" s="1"/>
  <c r="M1319" i="4" a="1"/>
  <c r="M1319" i="4" s="1"/>
  <c r="M1320" i="4" a="1"/>
  <c r="M1320" i="4" s="1"/>
  <c r="M1321" i="4" a="1"/>
  <c r="M1321" i="4" s="1"/>
  <c r="M1322" i="4" a="1"/>
  <c r="M1322" i="4" s="1"/>
  <c r="M1323" i="4" a="1"/>
  <c r="M1323" i="4" s="1"/>
  <c r="M1324" i="4" a="1"/>
  <c r="M1324" i="4" s="1"/>
  <c r="M1325" i="4" a="1"/>
  <c r="M1325" i="4" s="1"/>
  <c r="M1326" i="4" a="1"/>
  <c r="M1326" i="4" s="1"/>
  <c r="M1327" i="4" a="1"/>
  <c r="M1327" i="4" s="1"/>
  <c r="M1328" i="4" a="1"/>
  <c r="M1328" i="4" s="1"/>
  <c r="M1329" i="4" a="1"/>
  <c r="M1329" i="4" s="1"/>
  <c r="M1330" i="4" a="1"/>
  <c r="M1330" i="4" s="1"/>
  <c r="M1331" i="4" a="1"/>
  <c r="M1331" i="4" s="1"/>
  <c r="M1332" i="4" a="1"/>
  <c r="M1332" i="4" s="1"/>
  <c r="M1333" i="4" a="1"/>
  <c r="M1333" i="4" s="1"/>
  <c r="M1334" i="4" a="1"/>
  <c r="M1334" i="4" s="1"/>
  <c r="M1335" i="4" a="1"/>
  <c r="M1335" i="4" s="1"/>
  <c r="M1336" i="4" a="1"/>
  <c r="M1336" i="4" s="1"/>
  <c r="M1337" i="4" a="1"/>
  <c r="M1337" i="4" s="1"/>
  <c r="M1338" i="4" a="1"/>
  <c r="M1338" i="4" s="1"/>
  <c r="M1339" i="4" a="1"/>
  <c r="M1339" i="4" s="1"/>
  <c r="M1340" i="4" a="1"/>
  <c r="M1340" i="4" s="1"/>
  <c r="M1341" i="4" a="1"/>
  <c r="M1341" i="4" s="1"/>
  <c r="M1342" i="4" a="1"/>
  <c r="M1342" i="4" s="1"/>
  <c r="M1343" i="4" a="1"/>
  <c r="M1343" i="4" s="1"/>
  <c r="M1344" i="4" a="1"/>
  <c r="M1344" i="4" s="1"/>
  <c r="M1345" i="4" a="1"/>
  <c r="M1345" i="4" s="1"/>
  <c r="M1346" i="4" a="1"/>
  <c r="M1346" i="4" s="1"/>
  <c r="M1347" i="4" a="1"/>
  <c r="M1347" i="4" s="1"/>
  <c r="M1348" i="4" a="1"/>
  <c r="M1348" i="4" s="1"/>
  <c r="M1349" i="4" a="1"/>
  <c r="M1349" i="4" s="1"/>
  <c r="M1350" i="4" a="1"/>
  <c r="M1350" i="4" s="1"/>
  <c r="M1351" i="4" a="1"/>
  <c r="M1351" i="4" s="1"/>
  <c r="M1352" i="4" a="1"/>
  <c r="M1352" i="4" s="1"/>
  <c r="M1353" i="4" a="1"/>
  <c r="M1353" i="4" s="1"/>
  <c r="M1354" i="4" a="1"/>
  <c r="M1354" i="4" s="1"/>
  <c r="M1355" i="4" a="1"/>
  <c r="M1355" i="4" s="1"/>
  <c r="M1356" i="4" a="1"/>
  <c r="M1356" i="4" s="1"/>
  <c r="M1357" i="4" a="1"/>
  <c r="M1357" i="4" s="1"/>
  <c r="M1358" i="4" a="1"/>
  <c r="M1358" i="4" s="1"/>
  <c r="M1359" i="4" a="1"/>
  <c r="M1359" i="4" s="1"/>
  <c r="M1360" i="4" a="1"/>
  <c r="M1360" i="4" s="1"/>
  <c r="M1361" i="4" a="1"/>
  <c r="M1361" i="4" s="1"/>
  <c r="M1362" i="4" a="1"/>
  <c r="M1362" i="4" s="1"/>
  <c r="M1363" i="4" a="1"/>
  <c r="M1363" i="4" s="1"/>
  <c r="M1364" i="4" a="1"/>
  <c r="M1364" i="4" s="1"/>
  <c r="M1365" i="4" a="1"/>
  <c r="M1365" i="4" s="1"/>
  <c r="M1366" i="4" a="1"/>
  <c r="M1366" i="4" s="1"/>
  <c r="M1367" i="4" a="1"/>
  <c r="M1367" i="4" s="1"/>
  <c r="M1368" i="4" a="1"/>
  <c r="M1368" i="4" s="1"/>
  <c r="M1369" i="4" a="1"/>
  <c r="M1369" i="4" s="1"/>
  <c r="M1370" i="4" a="1"/>
  <c r="M1370" i="4" s="1"/>
  <c r="M1371" i="4" a="1"/>
  <c r="M1371" i="4" s="1"/>
  <c r="M1372" i="4" a="1"/>
  <c r="M1372" i="4" s="1"/>
  <c r="M1373" i="4" a="1"/>
  <c r="M1373" i="4" s="1"/>
  <c r="M1374" i="4" a="1"/>
  <c r="M1374" i="4" s="1"/>
  <c r="M1375" i="4" a="1"/>
  <c r="M1375" i="4" s="1"/>
  <c r="M1376" i="4" a="1"/>
  <c r="M1376" i="4" s="1"/>
  <c r="M1377" i="4" a="1"/>
  <c r="M1377" i="4" s="1"/>
  <c r="M1378" i="4" a="1"/>
  <c r="M1378" i="4" s="1"/>
  <c r="M1379" i="4" a="1"/>
  <c r="M1379" i="4" s="1"/>
  <c r="M1380" i="4" a="1"/>
  <c r="M1380" i="4" s="1"/>
  <c r="M1381" i="4" a="1"/>
  <c r="M1381" i="4" s="1"/>
  <c r="M1382" i="4" a="1"/>
  <c r="M1382" i="4" s="1"/>
  <c r="M1383" i="4" a="1"/>
  <c r="M1383" i="4" s="1"/>
  <c r="M1384" i="4" a="1"/>
  <c r="M1384" i="4" s="1"/>
  <c r="M1385" i="4" a="1"/>
  <c r="M1385" i="4" s="1"/>
  <c r="M1386" i="4" a="1"/>
  <c r="M1386" i="4" s="1"/>
  <c r="M1387" i="4" a="1"/>
  <c r="M1387" i="4" s="1"/>
  <c r="M1388" i="4" a="1"/>
  <c r="M1388" i="4" s="1"/>
  <c r="M1389" i="4" a="1"/>
  <c r="M1389" i="4" s="1"/>
  <c r="M1390" i="4" a="1"/>
  <c r="M1390" i="4" s="1"/>
  <c r="M1391" i="4" a="1"/>
  <c r="M1391" i="4" s="1"/>
  <c r="M1392" i="4" a="1"/>
  <c r="M1392" i="4" s="1"/>
  <c r="M1393" i="4" a="1"/>
  <c r="M1393" i="4" s="1"/>
  <c r="M1394" i="4" a="1"/>
  <c r="M1394" i="4" s="1"/>
  <c r="M1395" i="4" a="1"/>
  <c r="M1395" i="4" s="1"/>
  <c r="M1396" i="4" a="1"/>
  <c r="M1396" i="4" s="1"/>
  <c r="M1397" i="4" a="1"/>
  <c r="M1397" i="4" s="1"/>
  <c r="M1398" i="4" a="1"/>
  <c r="M1398" i="4" s="1"/>
  <c r="M1399" i="4" a="1"/>
  <c r="M1399" i="4" s="1"/>
  <c r="M1400" i="4" a="1"/>
  <c r="M1400" i="4" s="1"/>
  <c r="M1401" i="4" a="1"/>
  <c r="M1401" i="4" s="1"/>
  <c r="M1402" i="4" a="1"/>
  <c r="M1402" i="4" s="1"/>
  <c r="M1403" i="4" a="1"/>
  <c r="M1403" i="4" s="1"/>
  <c r="M1404" i="4" a="1"/>
  <c r="M1404" i="4" s="1"/>
  <c r="M1405" i="4" a="1"/>
  <c r="M1405" i="4" s="1"/>
  <c r="M1406" i="4" a="1"/>
  <c r="M1406" i="4" s="1"/>
  <c r="M1407" i="4" a="1"/>
  <c r="M1407" i="4" s="1"/>
  <c r="M1408" i="4" a="1"/>
  <c r="M1408" i="4" s="1"/>
  <c r="M1409" i="4" a="1"/>
  <c r="M1409" i="4" s="1"/>
  <c r="M1410" i="4" a="1"/>
  <c r="M1410" i="4" s="1"/>
  <c r="M1411" i="4" a="1"/>
  <c r="M1411" i="4" s="1"/>
  <c r="M1412" i="4" a="1"/>
  <c r="M1412" i="4" s="1"/>
  <c r="M1413" i="4" a="1"/>
  <c r="M1413" i="4" s="1"/>
  <c r="M1414" i="4" a="1"/>
  <c r="M1414" i="4" s="1"/>
  <c r="M1415" i="4" a="1"/>
  <c r="M1415" i="4" s="1"/>
  <c r="M1416" i="4" a="1"/>
  <c r="M1416" i="4" s="1"/>
  <c r="M1417" i="4" a="1"/>
  <c r="M1417" i="4" s="1"/>
  <c r="M1418" i="4" a="1"/>
  <c r="M1418" i="4" s="1"/>
  <c r="M1419" i="4" a="1"/>
  <c r="M1419" i="4" s="1"/>
  <c r="M1420" i="4" a="1"/>
  <c r="M1420" i="4" s="1"/>
  <c r="M1421" i="4" a="1"/>
  <c r="M1421" i="4" s="1"/>
  <c r="M1422" i="4" a="1"/>
  <c r="M1422" i="4" s="1"/>
  <c r="M1423" i="4" a="1"/>
  <c r="M1423" i="4" s="1"/>
  <c r="M1424" i="4" a="1"/>
  <c r="M1424" i="4" s="1"/>
  <c r="M1425" i="4" a="1"/>
  <c r="M1425" i="4" s="1"/>
  <c r="M1426" i="4" a="1"/>
  <c r="M1426" i="4" s="1"/>
  <c r="M1427" i="4" a="1"/>
  <c r="M1427" i="4" s="1"/>
  <c r="M1428" i="4" a="1"/>
  <c r="M1428" i="4" s="1"/>
  <c r="M1429" i="4" a="1"/>
  <c r="M1429" i="4" s="1"/>
  <c r="M1430" i="4" a="1"/>
  <c r="M1430" i="4" s="1"/>
  <c r="M1431" i="4" a="1"/>
  <c r="M1431" i="4" s="1"/>
  <c r="M1432" i="4" a="1"/>
  <c r="M1432" i="4" s="1"/>
  <c r="M1433" i="4" a="1"/>
  <c r="M1433" i="4" s="1"/>
  <c r="M1434" i="4" a="1"/>
  <c r="M1434" i="4" s="1"/>
  <c r="M1435" i="4" a="1"/>
  <c r="M1435" i="4" s="1"/>
  <c r="M1436" i="4" a="1"/>
  <c r="M1436" i="4" s="1"/>
  <c r="M1437" i="4" a="1"/>
  <c r="M1437" i="4" s="1"/>
  <c r="M1438" i="4" a="1"/>
  <c r="M1438" i="4" s="1"/>
  <c r="M1439" i="4" a="1"/>
  <c r="M1439" i="4" s="1"/>
  <c r="M1440" i="4" a="1"/>
  <c r="M1440" i="4" s="1"/>
  <c r="M1441" i="4" a="1"/>
  <c r="M1441" i="4" s="1"/>
  <c r="M1442" i="4" a="1"/>
  <c r="M1442" i="4" s="1"/>
  <c r="M1443" i="4" a="1"/>
  <c r="M1443" i="4" s="1"/>
  <c r="M1444" i="4" a="1"/>
  <c r="M1444" i="4" s="1"/>
  <c r="M1445" i="4" a="1"/>
  <c r="M1445" i="4" s="1"/>
  <c r="M1446" i="4" a="1"/>
  <c r="M1446" i="4" s="1"/>
  <c r="M1447" i="4" a="1"/>
  <c r="M1447" i="4" s="1"/>
  <c r="M1448" i="4" a="1"/>
  <c r="M1448" i="4" s="1"/>
  <c r="M1449" i="4" a="1"/>
  <c r="M1449" i="4" s="1"/>
  <c r="M1450" i="4" a="1"/>
  <c r="M1450" i="4" s="1"/>
  <c r="M1451" i="4" a="1"/>
  <c r="M1451" i="4" s="1"/>
  <c r="M1452" i="4" a="1"/>
  <c r="M1452" i="4" s="1"/>
  <c r="M1453" i="4" a="1"/>
  <c r="M1453" i="4" s="1"/>
  <c r="M1454" i="4" a="1"/>
  <c r="M1454" i="4" s="1"/>
  <c r="M1455" i="4" a="1"/>
  <c r="M1455" i="4" s="1"/>
  <c r="M1456" i="4" a="1"/>
  <c r="M1456" i="4" s="1"/>
  <c r="M1457" i="4" a="1"/>
  <c r="M1457" i="4" s="1"/>
  <c r="M1458" i="4" a="1"/>
  <c r="M1458" i="4" s="1"/>
  <c r="M1459" i="4" a="1"/>
  <c r="M1459" i="4" s="1"/>
  <c r="M1460" i="4" a="1"/>
  <c r="M1460" i="4" s="1"/>
  <c r="M1461" i="4" a="1"/>
  <c r="M1461" i="4" s="1"/>
  <c r="M1462" i="4" a="1"/>
  <c r="M1462" i="4" s="1"/>
  <c r="M1463" i="4" a="1"/>
  <c r="M1463" i="4" s="1"/>
  <c r="M1464" i="4" a="1"/>
  <c r="M1464" i="4" s="1"/>
  <c r="M1465" i="4" a="1"/>
  <c r="M1465" i="4" s="1"/>
  <c r="M1466" i="4" a="1"/>
  <c r="M1466" i="4" s="1"/>
  <c r="M1467" i="4" a="1"/>
  <c r="M1467" i="4" s="1"/>
  <c r="M1468" i="4" a="1"/>
  <c r="M1468" i="4" s="1"/>
  <c r="M1469" i="4" a="1"/>
  <c r="M1469" i="4" s="1"/>
  <c r="M1470" i="4" a="1"/>
  <c r="M1470" i="4" s="1"/>
  <c r="M1471" i="4" a="1"/>
  <c r="M1471" i="4" s="1"/>
  <c r="M1472" i="4" a="1"/>
  <c r="M1472" i="4" s="1"/>
  <c r="M1473" i="4" a="1"/>
  <c r="M1473" i="4" s="1"/>
  <c r="M1474" i="4" a="1"/>
  <c r="M1474" i="4" s="1"/>
  <c r="M1475" i="4" a="1"/>
  <c r="M1475" i="4" s="1"/>
  <c r="M1476" i="4" a="1"/>
  <c r="M1476" i="4" s="1"/>
  <c r="M1477" i="4" a="1"/>
  <c r="M1477" i="4" s="1"/>
  <c r="M1478" i="4" a="1"/>
  <c r="M1478" i="4" s="1"/>
  <c r="M1479" i="4" a="1"/>
  <c r="M1479" i="4" s="1"/>
  <c r="M1480" i="4" a="1"/>
  <c r="M1480" i="4" s="1"/>
  <c r="M1481" i="4" a="1"/>
  <c r="M1481" i="4" s="1"/>
  <c r="M1482" i="4" a="1"/>
  <c r="M1482" i="4" s="1"/>
  <c r="M1483" i="4" a="1"/>
  <c r="M1483" i="4" s="1"/>
  <c r="M1484" i="4" a="1"/>
  <c r="M1484" i="4" s="1"/>
  <c r="M1485" i="4" a="1"/>
  <c r="M1485" i="4" s="1"/>
  <c r="M1486" i="4" a="1"/>
  <c r="M1486" i="4" s="1"/>
  <c r="M1487" i="4" a="1"/>
  <c r="M1487" i="4" s="1"/>
  <c r="M1488" i="4" a="1"/>
  <c r="M1488" i="4" s="1"/>
  <c r="M1489" i="4" a="1"/>
  <c r="M1489" i="4" s="1"/>
  <c r="M1490" i="4" a="1"/>
  <c r="M1490" i="4" s="1"/>
  <c r="M1491" i="4" a="1"/>
  <c r="M1491" i="4" s="1"/>
  <c r="M1492" i="4" a="1"/>
  <c r="M1492" i="4" s="1"/>
  <c r="M1493" i="4" a="1"/>
  <c r="M1493" i="4" s="1"/>
  <c r="M1494" i="4" a="1"/>
  <c r="M1494" i="4" s="1"/>
  <c r="M1495" i="4" a="1"/>
  <c r="M1495" i="4" s="1"/>
  <c r="M1496" i="4" a="1"/>
  <c r="M1496" i="4" s="1"/>
  <c r="M1497" i="4" a="1"/>
  <c r="M1497" i="4" s="1"/>
  <c r="M1498" i="4" a="1"/>
  <c r="M1498" i="4" s="1"/>
  <c r="M1499" i="4" a="1"/>
  <c r="M1499" i="4" s="1"/>
  <c r="M1500" i="4" a="1"/>
  <c r="M1500" i="4" s="1"/>
  <c r="M1501" i="4" a="1"/>
  <c r="M1501" i="4" s="1"/>
  <c r="M1502" i="4" a="1"/>
  <c r="M1502" i="4" s="1"/>
  <c r="M1503" i="4" a="1"/>
  <c r="M1503" i="4" s="1"/>
  <c r="M1504" i="4" a="1"/>
  <c r="M1504" i="4" s="1"/>
  <c r="M1505" i="4" a="1"/>
  <c r="M1505" i="4" s="1"/>
  <c r="M1506" i="4" a="1"/>
  <c r="M1506" i="4" s="1"/>
  <c r="M1507" i="4" a="1"/>
  <c r="M1507" i="4" s="1"/>
  <c r="M1508" i="4" a="1"/>
  <c r="M1508" i="4" s="1"/>
  <c r="M1509" i="4" a="1"/>
  <c r="M1509" i="4" s="1"/>
  <c r="M1510" i="4" a="1"/>
  <c r="M1510" i="4" s="1"/>
  <c r="M1511" i="4" a="1"/>
  <c r="M1511" i="4" s="1"/>
  <c r="M1512" i="4" a="1"/>
  <c r="M1512" i="4" s="1"/>
  <c r="M1513" i="4" a="1"/>
  <c r="M1513" i="4" s="1"/>
  <c r="M1514" i="4" a="1"/>
  <c r="M1514" i="4" s="1"/>
  <c r="M1515" i="4" a="1"/>
  <c r="M1515" i="4" s="1"/>
  <c r="M1516" i="4" a="1"/>
  <c r="M1516" i="4" s="1"/>
  <c r="M1517" i="4" a="1"/>
  <c r="M1517" i="4" s="1"/>
  <c r="M1518" i="4" a="1"/>
  <c r="M1518" i="4" s="1"/>
  <c r="M1519" i="4" a="1"/>
  <c r="M1519" i="4" s="1"/>
  <c r="M1520" i="4" a="1"/>
  <c r="M1520" i="4" s="1"/>
  <c r="M1521" i="4" a="1"/>
  <c r="M1521" i="4" s="1"/>
  <c r="M1522" i="4" a="1"/>
  <c r="M1522" i="4" s="1"/>
  <c r="M1523" i="4" a="1"/>
  <c r="M1523" i="4" s="1"/>
  <c r="M1524" i="4" a="1"/>
  <c r="M1524" i="4" s="1"/>
  <c r="M1525" i="4" a="1"/>
  <c r="M1525" i="4" s="1"/>
  <c r="M1526" i="4" a="1"/>
  <c r="M1526" i="4" s="1"/>
  <c r="M1527" i="4" a="1"/>
  <c r="M1527" i="4" s="1"/>
  <c r="M1528" i="4" a="1"/>
  <c r="M1528" i="4" s="1"/>
  <c r="M1529" i="4" a="1"/>
  <c r="M1529" i="4" s="1"/>
  <c r="M1530" i="4" a="1"/>
  <c r="M1530" i="4" s="1"/>
  <c r="M1531" i="4" a="1"/>
  <c r="M1531" i="4" s="1"/>
  <c r="M1532" i="4" a="1"/>
  <c r="M1532" i="4" s="1"/>
  <c r="M1533" i="4" a="1"/>
  <c r="M1533" i="4" s="1"/>
  <c r="M1534" i="4" a="1"/>
  <c r="M1534" i="4" s="1"/>
  <c r="M1535" i="4" a="1"/>
  <c r="M1535" i="4" s="1"/>
  <c r="M1536" i="4" a="1"/>
  <c r="M1536" i="4" s="1"/>
  <c r="M1537" i="4" a="1"/>
  <c r="M1537" i="4" s="1"/>
  <c r="M1538" i="4" a="1"/>
  <c r="M1538" i="4" s="1"/>
  <c r="M1539" i="4" a="1"/>
  <c r="M1539" i="4" s="1"/>
  <c r="M1540" i="4" a="1"/>
  <c r="M1540" i="4" s="1"/>
  <c r="M1541" i="4" a="1"/>
  <c r="M1541" i="4" s="1"/>
  <c r="M1542" i="4" a="1"/>
  <c r="M1542" i="4" s="1"/>
  <c r="M1543" i="4" a="1"/>
  <c r="M1543" i="4" s="1"/>
  <c r="M1544" i="4" a="1"/>
  <c r="M1544" i="4" s="1"/>
  <c r="M1545" i="4" a="1"/>
  <c r="M1545" i="4" s="1"/>
  <c r="M1546" i="4" a="1"/>
  <c r="M1546" i="4" s="1"/>
  <c r="M1547" i="4" a="1"/>
  <c r="M1547" i="4" s="1"/>
  <c r="M1548" i="4" a="1"/>
  <c r="M1548" i="4" s="1"/>
  <c r="M1549" i="4" a="1"/>
  <c r="M1549" i="4" s="1"/>
  <c r="M1550" i="4" a="1"/>
  <c r="M1550" i="4" s="1"/>
  <c r="M1551" i="4" a="1"/>
  <c r="M1551" i="4" s="1"/>
  <c r="M1552" i="4" a="1"/>
  <c r="M1552" i="4" s="1"/>
  <c r="M1553" i="4" a="1"/>
  <c r="M1553" i="4" s="1"/>
  <c r="M1554" i="4" a="1"/>
  <c r="M1554" i="4" s="1"/>
  <c r="M1555" i="4" a="1"/>
  <c r="M1555" i="4" s="1"/>
  <c r="M1556" i="4" a="1"/>
  <c r="M1556" i="4" s="1"/>
  <c r="M1557" i="4" a="1"/>
  <c r="M1557" i="4" s="1"/>
  <c r="M1558" i="4" a="1"/>
  <c r="M1558" i="4" s="1"/>
  <c r="M1559" i="4" a="1"/>
  <c r="M1559" i="4" s="1"/>
  <c r="M1560" i="4" a="1"/>
  <c r="M1560" i="4" s="1"/>
  <c r="M1561" i="4" a="1"/>
  <c r="M1561" i="4" s="1"/>
  <c r="M1562" i="4" a="1"/>
  <c r="M1562" i="4" s="1"/>
  <c r="M1563" i="4" a="1"/>
  <c r="M1563" i="4" s="1"/>
  <c r="M1564" i="4" a="1"/>
  <c r="M1564" i="4" s="1"/>
  <c r="M1565" i="4" a="1"/>
  <c r="M1565" i="4" s="1"/>
  <c r="M1566" i="4" a="1"/>
  <c r="M1566" i="4" s="1"/>
  <c r="M1567" i="4" a="1"/>
  <c r="M1567" i="4" s="1"/>
  <c r="M1568" i="4" a="1"/>
  <c r="M1568" i="4" s="1"/>
  <c r="M1569" i="4" a="1"/>
  <c r="M1569" i="4" s="1"/>
  <c r="M1570" i="4" a="1"/>
  <c r="M1570" i="4" s="1"/>
  <c r="M1571" i="4" a="1"/>
  <c r="M1571" i="4" s="1"/>
  <c r="M1572" i="4" a="1"/>
  <c r="M1572" i="4" s="1"/>
  <c r="M1573" i="4" a="1"/>
  <c r="M1573" i="4" s="1"/>
  <c r="M1574" i="4" a="1"/>
  <c r="M1574" i="4" s="1"/>
  <c r="M1575" i="4" a="1"/>
  <c r="M1575" i="4" s="1"/>
  <c r="M1576" i="4" a="1"/>
  <c r="M1576" i="4" s="1"/>
  <c r="M1577" i="4" a="1"/>
  <c r="M1577" i="4" s="1"/>
  <c r="M1578" i="4" a="1"/>
  <c r="M1578" i="4" s="1"/>
  <c r="M1579" i="4" a="1"/>
  <c r="M1579" i="4" s="1"/>
  <c r="M1580" i="4" a="1"/>
  <c r="M1580" i="4" s="1"/>
  <c r="M1581" i="4" a="1"/>
  <c r="M1581" i="4" s="1"/>
  <c r="M1582" i="4" a="1"/>
  <c r="M1582" i="4" s="1"/>
  <c r="M1583" i="4" a="1"/>
  <c r="M1583" i="4" s="1"/>
  <c r="M1584" i="4" a="1"/>
  <c r="M1584" i="4" s="1"/>
  <c r="M1585" i="4" a="1"/>
  <c r="M1585" i="4" s="1"/>
  <c r="M1586" i="4" a="1"/>
  <c r="M1586" i="4" s="1"/>
  <c r="M1587" i="4" a="1"/>
  <c r="M1587" i="4" s="1"/>
  <c r="M1588" i="4" a="1"/>
  <c r="M1588" i="4" s="1"/>
  <c r="M1589" i="4" a="1"/>
  <c r="M1589" i="4" s="1"/>
  <c r="M1590" i="4" a="1"/>
  <c r="M1590" i="4" s="1"/>
  <c r="M1591" i="4" a="1"/>
  <c r="M1591" i="4" s="1"/>
  <c r="M1592" i="4" a="1"/>
  <c r="M1592" i="4" s="1"/>
  <c r="M1593" i="4" a="1"/>
  <c r="M1593" i="4" s="1"/>
  <c r="M1594" i="4" a="1"/>
  <c r="M1594" i="4" s="1"/>
  <c r="M1595" i="4" a="1"/>
  <c r="M1595" i="4" s="1"/>
  <c r="M1596" i="4" a="1"/>
  <c r="M1596" i="4" s="1"/>
  <c r="M1597" i="4" a="1"/>
  <c r="M1597" i="4" s="1"/>
  <c r="M1598" i="4" a="1"/>
  <c r="M1598" i="4" s="1"/>
  <c r="M1599" i="4" a="1"/>
  <c r="M1599" i="4" s="1"/>
  <c r="M1600" i="4" a="1"/>
  <c r="M1600" i="4" s="1"/>
  <c r="M1601" i="4" a="1"/>
  <c r="M1601" i="4" s="1"/>
  <c r="M1602" i="4" a="1"/>
  <c r="M1602" i="4" s="1"/>
  <c r="M1603" i="4" a="1"/>
  <c r="M1603" i="4" s="1"/>
  <c r="M1604" i="4" a="1"/>
  <c r="M1604" i="4" s="1"/>
  <c r="M1605" i="4" a="1"/>
  <c r="M1605" i="4" s="1"/>
  <c r="M1606" i="4" a="1"/>
  <c r="M1606" i="4" s="1"/>
  <c r="M1607" i="4" a="1"/>
  <c r="M1607" i="4" s="1"/>
  <c r="M1608" i="4" a="1"/>
  <c r="M1608" i="4" s="1"/>
  <c r="M1609" i="4" a="1"/>
  <c r="M1609" i="4" s="1"/>
  <c r="M1610" i="4" a="1"/>
  <c r="M1610" i="4" s="1"/>
  <c r="M1611" i="4" a="1"/>
  <c r="M1611" i="4" s="1"/>
  <c r="M1612" i="4" a="1"/>
  <c r="M1612" i="4" s="1"/>
  <c r="M1613" i="4" a="1"/>
  <c r="M1613" i="4" s="1"/>
  <c r="M1614" i="4" a="1"/>
  <c r="M1614" i="4" s="1"/>
  <c r="M1615" i="4" a="1"/>
  <c r="M1615" i="4" s="1"/>
  <c r="M1616" i="4" a="1"/>
  <c r="M1616" i="4" s="1"/>
  <c r="M1617" i="4" a="1"/>
  <c r="M1617" i="4" s="1"/>
  <c r="M1618" i="4" a="1"/>
  <c r="M1618" i="4" s="1"/>
  <c r="M1619" i="4" a="1"/>
  <c r="M1619" i="4" s="1"/>
  <c r="M1620" i="4" a="1"/>
  <c r="M1620" i="4" s="1"/>
  <c r="M1621" i="4" a="1"/>
  <c r="M1621" i="4" s="1"/>
  <c r="M1622" i="4" a="1"/>
  <c r="M1622" i="4" s="1"/>
  <c r="M1623" i="4" a="1"/>
  <c r="M1623" i="4" s="1"/>
  <c r="M1624" i="4" a="1"/>
  <c r="M1624" i="4" s="1"/>
  <c r="M1625" i="4" a="1"/>
  <c r="M1625" i="4" s="1"/>
  <c r="M1626" i="4" a="1"/>
  <c r="M1626" i="4" s="1"/>
  <c r="M1627" i="4" a="1"/>
  <c r="M1627" i="4" s="1"/>
  <c r="M1628" i="4" a="1"/>
  <c r="M1628" i="4" s="1"/>
  <c r="M1629" i="4" a="1"/>
  <c r="M1629" i="4" s="1"/>
  <c r="M1630" i="4" a="1"/>
  <c r="M1630" i="4" s="1"/>
  <c r="M1631" i="4" a="1"/>
  <c r="M1631" i="4" s="1"/>
  <c r="M1632" i="4" a="1"/>
  <c r="M1632" i="4" s="1"/>
  <c r="M1633" i="4" a="1"/>
  <c r="M1633" i="4" s="1"/>
  <c r="M1634" i="4" a="1"/>
  <c r="M1634" i="4" s="1"/>
  <c r="M1635" i="4" a="1"/>
  <c r="M1635" i="4" s="1"/>
  <c r="M1636" i="4" a="1"/>
  <c r="M1636" i="4" s="1"/>
  <c r="M1637" i="4" a="1"/>
  <c r="M1637" i="4" s="1"/>
  <c r="M1638" i="4" a="1"/>
  <c r="M1638" i="4" s="1"/>
  <c r="M1639" i="4" a="1"/>
  <c r="M1639" i="4" s="1"/>
  <c r="M1640" i="4" a="1"/>
  <c r="M1640" i="4" s="1"/>
  <c r="M1641" i="4" a="1"/>
  <c r="M1641" i="4" s="1"/>
  <c r="M1642" i="4" a="1"/>
  <c r="M1642" i="4" s="1"/>
  <c r="M1643" i="4" a="1"/>
  <c r="M1643" i="4" s="1"/>
  <c r="M1644" i="4" a="1"/>
  <c r="M1644" i="4" s="1"/>
  <c r="M1645" i="4" a="1"/>
  <c r="M1645" i="4" s="1"/>
  <c r="M1646" i="4" a="1"/>
  <c r="M1646" i="4" s="1"/>
  <c r="M1647" i="4" a="1"/>
  <c r="M1647" i="4" s="1"/>
  <c r="M1648" i="4" a="1"/>
  <c r="M1648" i="4" s="1"/>
  <c r="M1649" i="4" a="1"/>
  <c r="M1649" i="4" s="1"/>
  <c r="M1650" i="4" a="1"/>
  <c r="M1650" i="4" s="1"/>
  <c r="M1651" i="4" a="1"/>
  <c r="M1651" i="4" s="1"/>
  <c r="M1652" i="4" a="1"/>
  <c r="M1652" i="4" s="1"/>
  <c r="M1653" i="4" a="1"/>
  <c r="M1653" i="4" s="1"/>
  <c r="M1654" i="4" a="1"/>
  <c r="M1654" i="4" s="1"/>
  <c r="M1655" i="4" a="1"/>
  <c r="M1655" i="4" s="1"/>
  <c r="M1656" i="4" a="1"/>
  <c r="M1656" i="4" s="1"/>
  <c r="M1657" i="4" a="1"/>
  <c r="M1657" i="4" s="1"/>
  <c r="M1658" i="4" a="1"/>
  <c r="M1658" i="4" s="1"/>
  <c r="M1659" i="4" a="1"/>
  <c r="M1659" i="4" s="1"/>
  <c r="M1660" i="4" a="1"/>
  <c r="M1660" i="4" s="1"/>
  <c r="M1661" i="4" a="1"/>
  <c r="M1661" i="4" s="1"/>
  <c r="M1662" i="4" a="1"/>
  <c r="M1662" i="4" s="1"/>
  <c r="M1663" i="4" a="1"/>
  <c r="M1663" i="4" s="1"/>
  <c r="M1664" i="4" a="1"/>
  <c r="M1664" i="4" s="1"/>
  <c r="M1665" i="4" a="1"/>
  <c r="M1665" i="4" s="1"/>
  <c r="M1666" i="4" a="1"/>
  <c r="M1666" i="4" s="1"/>
  <c r="M1667" i="4" a="1"/>
  <c r="M1667" i="4" s="1"/>
  <c r="M1668" i="4" a="1"/>
  <c r="M1668" i="4" s="1"/>
  <c r="M1669" i="4" a="1"/>
  <c r="M1669" i="4" s="1"/>
  <c r="G9" i="4"/>
  <c r="G13" i="4"/>
  <c r="G14" i="4"/>
  <c r="G15" i="4"/>
  <c r="G16" i="4"/>
  <c r="G17" i="4"/>
  <c r="G18" i="4"/>
  <c r="G19" i="4"/>
  <c r="G20" i="4"/>
  <c r="G21" i="4"/>
  <c r="G22" i="4"/>
  <c r="G26" i="4"/>
  <c r="G37" i="4"/>
  <c r="G56" i="4"/>
  <c r="G57" i="4"/>
  <c r="H9" i="4"/>
  <c r="H13" i="4"/>
  <c r="H14" i="4"/>
  <c r="H15" i="4"/>
  <c r="H16" i="4"/>
  <c r="H17" i="4"/>
  <c r="H18" i="4"/>
  <c r="H19" i="4"/>
  <c r="H20" i="4"/>
  <c r="H21" i="4"/>
  <c r="H22" i="4"/>
  <c r="H26" i="4"/>
  <c r="H37" i="4"/>
  <c r="H56" i="4"/>
  <c r="H57" i="4"/>
  <c r="I9" i="4"/>
  <c r="I13" i="4"/>
  <c r="I14" i="4"/>
  <c r="I15" i="4"/>
  <c r="I16" i="4"/>
  <c r="I17" i="4"/>
  <c r="I18" i="4"/>
  <c r="I19" i="4"/>
  <c r="I20" i="4"/>
  <c r="I21" i="4"/>
  <c r="I22" i="4"/>
  <c r="I26" i="4"/>
  <c r="I37" i="4"/>
  <c r="I56" i="4"/>
  <c r="I57" i="4"/>
  <c r="P9" i="4"/>
  <c r="S9" i="4" s="1"/>
  <c r="P13" i="4"/>
  <c r="P14" i="4"/>
  <c r="S14" i="4" s="1"/>
  <c r="P15" i="4"/>
  <c r="S15" i="4" s="1"/>
  <c r="P16" i="4"/>
  <c r="S16" i="4" s="1"/>
  <c r="P17" i="4"/>
  <c r="S17" i="4" s="1"/>
  <c r="P18" i="4"/>
  <c r="S18" i="4" s="1"/>
  <c r="P19" i="4"/>
  <c r="S19" i="4" s="1"/>
  <c r="P20" i="4"/>
  <c r="S20" i="4" s="1"/>
  <c r="P21" i="4"/>
  <c r="S21" i="4" s="1"/>
  <c r="P22" i="4"/>
  <c r="S22" i="4" s="1"/>
  <c r="P26" i="4"/>
  <c r="S26" i="4" s="1"/>
  <c r="P37" i="4"/>
  <c r="S37" i="4" s="1"/>
  <c r="P56" i="4"/>
  <c r="S56" i="4" s="1"/>
  <c r="P57" i="4"/>
  <c r="S57" i="4" s="1"/>
  <c r="R9" i="4"/>
  <c r="R13" i="4"/>
  <c r="R14" i="4"/>
  <c r="R15" i="4"/>
  <c r="R16" i="4"/>
  <c r="R17" i="4"/>
  <c r="R18" i="4"/>
  <c r="R19" i="4"/>
  <c r="R20" i="4"/>
  <c r="R21" i="4"/>
  <c r="R22" i="4"/>
  <c r="R26" i="4"/>
  <c r="R37" i="4"/>
  <c r="R56" i="4"/>
  <c r="R57" i="4"/>
  <c r="G23" i="4"/>
  <c r="H23" i="4"/>
  <c r="I23" i="4"/>
  <c r="P23" i="4"/>
  <c r="S23" i="4" s="1"/>
  <c r="R23" i="4"/>
  <c r="J8" i="30"/>
  <c r="A1" i="37" a="1"/>
  <c r="A1" i="37" s="1"/>
  <c r="G1273" i="4"/>
  <c r="G1275" i="4"/>
  <c r="G1277" i="4"/>
  <c r="G1278" i="4"/>
  <c r="G1279" i="4"/>
  <c r="G1281" i="4"/>
  <c r="G1282" i="4"/>
  <c r="G1283" i="4"/>
  <c r="G1284" i="4"/>
  <c r="G1285" i="4"/>
  <c r="G1286" i="4"/>
  <c r="G1287" i="4"/>
  <c r="G1290" i="4"/>
  <c r="G1291" i="4"/>
  <c r="G1292" i="4"/>
  <c r="G1300" i="4"/>
  <c r="G1301" i="4"/>
  <c r="G1302" i="4"/>
  <c r="G1303" i="4"/>
  <c r="G1304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9" i="4"/>
  <c r="G1350" i="4"/>
  <c r="G1351" i="4"/>
  <c r="G1352" i="4"/>
  <c r="G1353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9" i="4"/>
  <c r="G1410" i="4"/>
  <c r="G1411" i="4"/>
  <c r="G1412" i="4"/>
  <c r="G1413" i="4"/>
  <c r="G1414" i="4"/>
  <c r="G1415" i="4"/>
  <c r="G1416" i="4"/>
  <c r="G1417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60" i="4"/>
  <c r="G1561" i="4"/>
  <c r="G1562" i="4"/>
  <c r="G1563" i="4"/>
  <c r="G1564" i="4"/>
  <c r="G1565" i="4"/>
  <c r="G1566" i="4"/>
  <c r="G1567" i="4"/>
  <c r="G1568" i="4"/>
  <c r="G1569" i="4"/>
  <c r="G1570" i="4"/>
  <c r="G1573" i="4"/>
  <c r="G1574" i="4"/>
  <c r="G1575" i="4"/>
  <c r="G1578" i="4"/>
  <c r="G1579" i="4"/>
  <c r="G1580" i="4"/>
  <c r="G1581" i="4"/>
  <c r="G1584" i="4"/>
  <c r="G1589" i="4"/>
  <c r="G1591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10" i="4"/>
  <c r="G1611" i="4"/>
  <c r="G1612" i="4"/>
  <c r="G1613" i="4"/>
  <c r="G1618" i="4"/>
  <c r="G1619" i="4"/>
  <c r="H1273" i="4"/>
  <c r="H1275" i="4"/>
  <c r="H1277" i="4"/>
  <c r="H1278" i="4"/>
  <c r="H1279" i="4"/>
  <c r="H1281" i="4"/>
  <c r="H1282" i="4"/>
  <c r="H1283" i="4"/>
  <c r="H1284" i="4"/>
  <c r="H1285" i="4"/>
  <c r="H1286" i="4"/>
  <c r="H1287" i="4"/>
  <c r="H1290" i="4"/>
  <c r="H1291" i="4"/>
  <c r="H1292" i="4"/>
  <c r="H1300" i="4"/>
  <c r="H1301" i="4"/>
  <c r="H1302" i="4"/>
  <c r="H1303" i="4"/>
  <c r="H1304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9" i="4"/>
  <c r="H1350" i="4"/>
  <c r="H1351" i="4"/>
  <c r="H1352" i="4"/>
  <c r="H1353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9" i="4"/>
  <c r="H1410" i="4"/>
  <c r="H1411" i="4"/>
  <c r="H1412" i="4"/>
  <c r="H1413" i="4"/>
  <c r="H1414" i="4"/>
  <c r="H1415" i="4"/>
  <c r="H1416" i="4"/>
  <c r="H1417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60" i="4"/>
  <c r="H1561" i="4"/>
  <c r="H1562" i="4"/>
  <c r="H1563" i="4"/>
  <c r="H1564" i="4"/>
  <c r="H1565" i="4"/>
  <c r="H1566" i="4"/>
  <c r="H1567" i="4"/>
  <c r="H1568" i="4"/>
  <c r="H1569" i="4"/>
  <c r="H1570" i="4"/>
  <c r="H1573" i="4"/>
  <c r="H1574" i="4"/>
  <c r="H1575" i="4"/>
  <c r="H1578" i="4"/>
  <c r="H1579" i="4"/>
  <c r="H1580" i="4"/>
  <c r="H1581" i="4"/>
  <c r="H1584" i="4"/>
  <c r="H1589" i="4"/>
  <c r="H1591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10" i="4"/>
  <c r="H1611" i="4"/>
  <c r="H1612" i="4"/>
  <c r="H1613" i="4"/>
  <c r="H1618" i="4"/>
  <c r="H1619" i="4"/>
  <c r="I1273" i="4"/>
  <c r="I1275" i="4"/>
  <c r="I1277" i="4"/>
  <c r="I1278" i="4"/>
  <c r="I1279" i="4"/>
  <c r="I1281" i="4"/>
  <c r="I1282" i="4"/>
  <c r="I1283" i="4"/>
  <c r="I1284" i="4"/>
  <c r="I1285" i="4"/>
  <c r="I1286" i="4"/>
  <c r="I1287" i="4"/>
  <c r="I1290" i="4"/>
  <c r="I1291" i="4"/>
  <c r="I1292" i="4"/>
  <c r="I1300" i="4"/>
  <c r="I1301" i="4"/>
  <c r="I1302" i="4"/>
  <c r="I1303" i="4"/>
  <c r="I1304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9" i="4"/>
  <c r="I1350" i="4"/>
  <c r="I1351" i="4"/>
  <c r="I1352" i="4"/>
  <c r="I1353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9" i="4"/>
  <c r="I1410" i="4"/>
  <c r="I1411" i="4"/>
  <c r="I1412" i="4"/>
  <c r="I1413" i="4"/>
  <c r="I1414" i="4"/>
  <c r="I1415" i="4"/>
  <c r="I1416" i="4"/>
  <c r="I1417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60" i="4"/>
  <c r="I1561" i="4"/>
  <c r="I1562" i="4"/>
  <c r="I1563" i="4"/>
  <c r="I1564" i="4"/>
  <c r="I1565" i="4"/>
  <c r="I1566" i="4"/>
  <c r="I1567" i="4"/>
  <c r="I1568" i="4"/>
  <c r="I1569" i="4"/>
  <c r="I1570" i="4"/>
  <c r="I1573" i="4"/>
  <c r="I1574" i="4"/>
  <c r="I1575" i="4"/>
  <c r="I1578" i="4"/>
  <c r="I1579" i="4"/>
  <c r="I1580" i="4"/>
  <c r="I1581" i="4"/>
  <c r="I1584" i="4"/>
  <c r="I1589" i="4"/>
  <c r="I1591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10" i="4"/>
  <c r="I1611" i="4"/>
  <c r="I1612" i="4"/>
  <c r="I1613" i="4"/>
  <c r="I1618" i="4"/>
  <c r="I1619" i="4"/>
  <c r="P1273" i="4"/>
  <c r="P1275" i="4"/>
  <c r="P1277" i="4"/>
  <c r="P1278" i="4"/>
  <c r="P1279" i="4"/>
  <c r="P1281" i="4"/>
  <c r="S1281" i="4" s="1"/>
  <c r="P1282" i="4"/>
  <c r="S1282" i="4" s="1"/>
  <c r="P1283" i="4"/>
  <c r="S1283" i="4" s="1"/>
  <c r="P1284" i="4"/>
  <c r="S1284" i="4" s="1"/>
  <c r="P1285" i="4"/>
  <c r="S1285" i="4" s="1"/>
  <c r="P1286" i="4"/>
  <c r="S1286" i="4" s="1"/>
  <c r="P1287" i="4"/>
  <c r="S1287" i="4" s="1"/>
  <c r="P1290" i="4"/>
  <c r="S1290" i="4" s="1"/>
  <c r="P1291" i="4"/>
  <c r="S1291" i="4" s="1"/>
  <c r="P1292" i="4"/>
  <c r="S1292" i="4" s="1"/>
  <c r="P1300" i="4"/>
  <c r="S1300" i="4" s="1"/>
  <c r="P1301" i="4"/>
  <c r="S1301" i="4" s="1"/>
  <c r="P1302" i="4"/>
  <c r="S1302" i="4" s="1"/>
  <c r="P1303" i="4"/>
  <c r="S1303" i="4" s="1"/>
  <c r="P1304" i="4"/>
  <c r="S1304" i="4" s="1"/>
  <c r="P1308" i="4"/>
  <c r="S1308" i="4" s="1"/>
  <c r="P1309" i="4"/>
  <c r="S1309" i="4" s="1"/>
  <c r="P1310" i="4"/>
  <c r="S1310" i="4" s="1"/>
  <c r="P1311" i="4"/>
  <c r="S1311" i="4" s="1"/>
  <c r="P1312" i="4"/>
  <c r="S1312" i="4" s="1"/>
  <c r="P1313" i="4"/>
  <c r="S1313" i="4" s="1"/>
  <c r="P1314" i="4"/>
  <c r="S1314" i="4" s="1"/>
  <c r="P1315" i="4"/>
  <c r="S1315" i="4" s="1"/>
  <c r="P1316" i="4"/>
  <c r="S1316" i="4" s="1"/>
  <c r="P1317" i="4"/>
  <c r="S1317" i="4" s="1"/>
  <c r="P1318" i="4"/>
  <c r="S1318" i="4" s="1"/>
  <c r="P1319" i="4"/>
  <c r="S1319" i="4" s="1"/>
  <c r="P1320" i="4"/>
  <c r="S1320" i="4" s="1"/>
  <c r="P1321" i="4"/>
  <c r="S1321" i="4" s="1"/>
  <c r="P1322" i="4"/>
  <c r="S1322" i="4" s="1"/>
  <c r="P1323" i="4"/>
  <c r="S1323" i="4" s="1"/>
  <c r="P1324" i="4"/>
  <c r="S1324" i="4" s="1"/>
  <c r="P1325" i="4"/>
  <c r="S1325" i="4" s="1"/>
  <c r="P1326" i="4"/>
  <c r="S1326" i="4" s="1"/>
  <c r="P1327" i="4"/>
  <c r="S1327" i="4" s="1"/>
  <c r="P1328" i="4"/>
  <c r="S1328" i="4" s="1"/>
  <c r="P1329" i="4"/>
  <c r="S1329" i="4" s="1"/>
  <c r="P1330" i="4"/>
  <c r="S1330" i="4" s="1"/>
  <c r="P1331" i="4"/>
  <c r="S1331" i="4" s="1"/>
  <c r="P1332" i="4"/>
  <c r="S1332" i="4" s="1"/>
  <c r="P1333" i="4"/>
  <c r="S1333" i="4" s="1"/>
  <c r="P1334" i="4"/>
  <c r="S1334" i="4" s="1"/>
  <c r="P1335" i="4"/>
  <c r="S1335" i="4" s="1"/>
  <c r="P1336" i="4"/>
  <c r="S1336" i="4" s="1"/>
  <c r="P1337" i="4"/>
  <c r="S1337" i="4" s="1"/>
  <c r="P1338" i="4"/>
  <c r="S1338" i="4" s="1"/>
  <c r="P1339" i="4"/>
  <c r="S1339" i="4" s="1"/>
  <c r="P1340" i="4"/>
  <c r="S1340" i="4" s="1"/>
  <c r="P1341" i="4"/>
  <c r="S1341" i="4" s="1"/>
  <c r="P1342" i="4"/>
  <c r="S1342" i="4" s="1"/>
  <c r="P1343" i="4"/>
  <c r="S1343" i="4" s="1"/>
  <c r="P1344" i="4"/>
  <c r="S1344" i="4" s="1"/>
  <c r="P1345" i="4"/>
  <c r="S1345" i="4" s="1"/>
  <c r="P1346" i="4"/>
  <c r="S1346" i="4" s="1"/>
  <c r="P1347" i="4"/>
  <c r="S1347" i="4" s="1"/>
  <c r="P1349" i="4"/>
  <c r="S1349" i="4" s="1"/>
  <c r="P1350" i="4"/>
  <c r="S1350" i="4" s="1"/>
  <c r="P1351" i="4"/>
  <c r="S1351" i="4" s="1"/>
  <c r="P1352" i="4"/>
  <c r="S1352" i="4" s="1"/>
  <c r="P1353" i="4"/>
  <c r="S1353" i="4" s="1"/>
  <c r="P1356" i="4"/>
  <c r="S1356" i="4" s="1"/>
  <c r="P1357" i="4"/>
  <c r="S1357" i="4" s="1"/>
  <c r="P1358" i="4"/>
  <c r="S1358" i="4" s="1"/>
  <c r="P1359" i="4"/>
  <c r="S1359" i="4" s="1"/>
  <c r="P1360" i="4"/>
  <c r="S1360" i="4" s="1"/>
  <c r="P1361" i="4"/>
  <c r="S1361" i="4" s="1"/>
  <c r="P1362" i="4"/>
  <c r="S1362" i="4" s="1"/>
  <c r="P1363" i="4"/>
  <c r="S1363" i="4" s="1"/>
  <c r="P1364" i="4"/>
  <c r="S1364" i="4" s="1"/>
  <c r="P1365" i="4"/>
  <c r="S1365" i="4" s="1"/>
  <c r="P1366" i="4"/>
  <c r="S1366" i="4" s="1"/>
  <c r="P1367" i="4"/>
  <c r="S1367" i="4" s="1"/>
  <c r="P1368" i="4"/>
  <c r="S1368" i="4" s="1"/>
  <c r="P1369" i="4"/>
  <c r="S1369" i="4" s="1"/>
  <c r="P1370" i="4"/>
  <c r="S1370" i="4" s="1"/>
  <c r="P1371" i="4"/>
  <c r="S1371" i="4" s="1"/>
  <c r="P1372" i="4"/>
  <c r="S1372" i="4" s="1"/>
  <c r="P1373" i="4"/>
  <c r="S1373" i="4" s="1"/>
  <c r="P1374" i="4"/>
  <c r="S1374" i="4" s="1"/>
  <c r="P1375" i="4"/>
  <c r="S1375" i="4" s="1"/>
  <c r="P1376" i="4"/>
  <c r="S1376" i="4" s="1"/>
  <c r="P1377" i="4"/>
  <c r="S1377" i="4" s="1"/>
  <c r="P1378" i="4"/>
  <c r="S1378" i="4" s="1"/>
  <c r="P1379" i="4"/>
  <c r="S1379" i="4" s="1"/>
  <c r="P1380" i="4"/>
  <c r="S1380" i="4" s="1"/>
  <c r="P1381" i="4"/>
  <c r="S1381" i="4" s="1"/>
  <c r="P1382" i="4"/>
  <c r="S1382" i="4" s="1"/>
  <c r="P1383" i="4"/>
  <c r="S1383" i="4" s="1"/>
  <c r="P1384" i="4"/>
  <c r="S1384" i="4" s="1"/>
  <c r="P1386" i="4"/>
  <c r="S1386" i="4" s="1"/>
  <c r="P1387" i="4"/>
  <c r="S1387" i="4" s="1"/>
  <c r="P1388" i="4"/>
  <c r="S1388" i="4" s="1"/>
  <c r="P1389" i="4"/>
  <c r="S1389" i="4" s="1"/>
  <c r="P1390" i="4"/>
  <c r="S1390" i="4" s="1"/>
  <c r="P1391" i="4"/>
  <c r="S1391" i="4" s="1"/>
  <c r="P1392" i="4"/>
  <c r="S1392" i="4" s="1"/>
  <c r="P1393" i="4"/>
  <c r="S1393" i="4" s="1"/>
  <c r="P1394" i="4"/>
  <c r="S1394" i="4" s="1"/>
  <c r="P1395" i="4"/>
  <c r="S1395" i="4" s="1"/>
  <c r="P1396" i="4"/>
  <c r="S1396" i="4" s="1"/>
  <c r="P1397" i="4"/>
  <c r="S1397" i="4" s="1"/>
  <c r="P1398" i="4"/>
  <c r="S1398" i="4" s="1"/>
  <c r="P1399" i="4"/>
  <c r="S1399" i="4" s="1"/>
  <c r="P1400" i="4"/>
  <c r="S1400" i="4" s="1"/>
  <c r="P1401" i="4"/>
  <c r="S1401" i="4" s="1"/>
  <c r="P1402" i="4"/>
  <c r="S1402" i="4" s="1"/>
  <c r="P1403" i="4"/>
  <c r="S1403" i="4" s="1"/>
  <c r="P1404" i="4"/>
  <c r="S1404" i="4" s="1"/>
  <c r="P1405" i="4"/>
  <c r="S1405" i="4" s="1"/>
  <c r="P1406" i="4"/>
  <c r="S1406" i="4" s="1"/>
  <c r="P1407" i="4"/>
  <c r="S1407" i="4" s="1"/>
  <c r="P1409" i="4"/>
  <c r="S1409" i="4" s="1"/>
  <c r="P1410" i="4"/>
  <c r="S1410" i="4" s="1"/>
  <c r="P1411" i="4"/>
  <c r="S1411" i="4" s="1"/>
  <c r="P1412" i="4"/>
  <c r="S1412" i="4" s="1"/>
  <c r="P1413" i="4"/>
  <c r="S1413" i="4" s="1"/>
  <c r="P1414" i="4"/>
  <c r="S1414" i="4" s="1"/>
  <c r="P1415" i="4"/>
  <c r="S1415" i="4" s="1"/>
  <c r="P1416" i="4"/>
  <c r="S1416" i="4" s="1"/>
  <c r="P1417" i="4"/>
  <c r="S1417" i="4" s="1"/>
  <c r="P1419" i="4"/>
  <c r="S1419" i="4" s="1"/>
  <c r="P1420" i="4"/>
  <c r="S1420" i="4" s="1"/>
  <c r="P1421" i="4"/>
  <c r="S1421" i="4" s="1"/>
  <c r="P1422" i="4"/>
  <c r="S1422" i="4" s="1"/>
  <c r="P1423" i="4"/>
  <c r="S1423" i="4" s="1"/>
  <c r="P1424" i="4"/>
  <c r="S1424" i="4" s="1"/>
  <c r="P1425" i="4"/>
  <c r="S1425" i="4" s="1"/>
  <c r="P1426" i="4"/>
  <c r="S1426" i="4" s="1"/>
  <c r="P1427" i="4"/>
  <c r="S1427" i="4" s="1"/>
  <c r="P1428" i="4"/>
  <c r="S1428" i="4" s="1"/>
  <c r="P1429" i="4"/>
  <c r="S1429" i="4" s="1"/>
  <c r="P1430" i="4"/>
  <c r="S1430" i="4" s="1"/>
  <c r="P1431" i="4"/>
  <c r="S1431" i="4" s="1"/>
  <c r="P1432" i="4"/>
  <c r="S1432" i="4" s="1"/>
  <c r="P1433" i="4"/>
  <c r="S1433" i="4" s="1"/>
  <c r="P1434" i="4"/>
  <c r="S1434" i="4" s="1"/>
  <c r="P1435" i="4"/>
  <c r="S1435" i="4" s="1"/>
  <c r="P1436" i="4"/>
  <c r="S1436" i="4" s="1"/>
  <c r="P1437" i="4"/>
  <c r="S1437" i="4" s="1"/>
  <c r="P1438" i="4"/>
  <c r="S1438" i="4" s="1"/>
  <c r="P1439" i="4"/>
  <c r="S1439" i="4" s="1"/>
  <c r="P1440" i="4"/>
  <c r="S1440" i="4" s="1"/>
  <c r="P1441" i="4"/>
  <c r="S1441" i="4" s="1"/>
  <c r="P1442" i="4"/>
  <c r="S1442" i="4" s="1"/>
  <c r="P1443" i="4"/>
  <c r="S1443" i="4" s="1"/>
  <c r="P1444" i="4"/>
  <c r="S1444" i="4" s="1"/>
  <c r="P1445" i="4"/>
  <c r="S1445" i="4" s="1"/>
  <c r="P1446" i="4"/>
  <c r="S1446" i="4" s="1"/>
  <c r="P1447" i="4"/>
  <c r="S1447" i="4" s="1"/>
  <c r="P1448" i="4"/>
  <c r="S1448" i="4" s="1"/>
  <c r="P1449" i="4"/>
  <c r="S1449" i="4" s="1"/>
  <c r="P1450" i="4"/>
  <c r="S1450" i="4" s="1"/>
  <c r="P1451" i="4"/>
  <c r="S1451" i="4" s="1"/>
  <c r="P1452" i="4"/>
  <c r="S1452" i="4" s="1"/>
  <c r="P1453" i="4"/>
  <c r="S1453" i="4" s="1"/>
  <c r="P1454" i="4"/>
  <c r="S1454" i="4" s="1"/>
  <c r="P1455" i="4"/>
  <c r="S1455" i="4" s="1"/>
  <c r="P1456" i="4"/>
  <c r="S1456" i="4" s="1"/>
  <c r="P1457" i="4"/>
  <c r="S1457" i="4" s="1"/>
  <c r="P1458" i="4"/>
  <c r="S1458" i="4" s="1"/>
  <c r="P1459" i="4"/>
  <c r="S1459" i="4" s="1"/>
  <c r="P1460" i="4"/>
  <c r="S1460" i="4" s="1"/>
  <c r="P1461" i="4"/>
  <c r="S1461" i="4" s="1"/>
  <c r="P1462" i="4"/>
  <c r="S1462" i="4" s="1"/>
  <c r="P1463" i="4"/>
  <c r="S1463" i="4" s="1"/>
  <c r="P1464" i="4"/>
  <c r="S1464" i="4" s="1"/>
  <c r="P1465" i="4"/>
  <c r="S1465" i="4" s="1"/>
  <c r="P1466" i="4"/>
  <c r="S1466" i="4" s="1"/>
  <c r="P1467" i="4"/>
  <c r="S1467" i="4" s="1"/>
  <c r="P1468" i="4"/>
  <c r="S1468" i="4" s="1"/>
  <c r="P1469" i="4"/>
  <c r="S1469" i="4" s="1"/>
  <c r="P1470" i="4"/>
  <c r="S1470" i="4" s="1"/>
  <c r="P1471" i="4"/>
  <c r="S1471" i="4" s="1"/>
  <c r="P1472" i="4"/>
  <c r="S1472" i="4" s="1"/>
  <c r="P1473" i="4"/>
  <c r="S1473" i="4" s="1"/>
  <c r="P1474" i="4"/>
  <c r="S1474" i="4" s="1"/>
  <c r="P1475" i="4"/>
  <c r="S1475" i="4" s="1"/>
  <c r="P1476" i="4"/>
  <c r="S1476" i="4" s="1"/>
  <c r="P1477" i="4"/>
  <c r="S1477" i="4" s="1"/>
  <c r="P1478" i="4"/>
  <c r="S1478" i="4" s="1"/>
  <c r="P1479" i="4"/>
  <c r="S1479" i="4" s="1"/>
  <c r="P1480" i="4"/>
  <c r="S1480" i="4" s="1"/>
  <c r="P1481" i="4"/>
  <c r="S1481" i="4" s="1"/>
  <c r="P1482" i="4"/>
  <c r="S1482" i="4" s="1"/>
  <c r="P1483" i="4"/>
  <c r="S1483" i="4" s="1"/>
  <c r="P1484" i="4"/>
  <c r="S1484" i="4" s="1"/>
  <c r="P1485" i="4"/>
  <c r="S1485" i="4" s="1"/>
  <c r="P1486" i="4"/>
  <c r="S1486" i="4" s="1"/>
  <c r="P1487" i="4"/>
  <c r="S1487" i="4" s="1"/>
  <c r="P1488" i="4"/>
  <c r="S1488" i="4" s="1"/>
  <c r="P1489" i="4"/>
  <c r="S1489" i="4" s="1"/>
  <c r="P1490" i="4"/>
  <c r="S1490" i="4" s="1"/>
  <c r="P1491" i="4"/>
  <c r="S1491" i="4" s="1"/>
  <c r="P1492" i="4"/>
  <c r="S1492" i="4" s="1"/>
  <c r="P1493" i="4"/>
  <c r="S1493" i="4" s="1"/>
  <c r="P1495" i="4"/>
  <c r="S1495" i="4" s="1"/>
  <c r="P1496" i="4"/>
  <c r="S1496" i="4" s="1"/>
  <c r="P1497" i="4"/>
  <c r="S1497" i="4" s="1"/>
  <c r="P1498" i="4"/>
  <c r="S1498" i="4" s="1"/>
  <c r="P1499" i="4"/>
  <c r="S1499" i="4" s="1"/>
  <c r="P1500" i="4"/>
  <c r="S1500" i="4" s="1"/>
  <c r="P1501" i="4"/>
  <c r="S1501" i="4" s="1"/>
  <c r="P1502" i="4"/>
  <c r="S1502" i="4" s="1"/>
  <c r="P1503" i="4"/>
  <c r="S1503" i="4" s="1"/>
  <c r="P1504" i="4"/>
  <c r="S1504" i="4" s="1"/>
  <c r="P1505" i="4"/>
  <c r="S1505" i="4" s="1"/>
  <c r="P1506" i="4"/>
  <c r="S1506" i="4" s="1"/>
  <c r="P1507" i="4"/>
  <c r="S1507" i="4" s="1"/>
  <c r="P1508" i="4"/>
  <c r="S1508" i="4" s="1"/>
  <c r="P1509" i="4"/>
  <c r="S1509" i="4" s="1"/>
  <c r="P1510" i="4"/>
  <c r="S1510" i="4" s="1"/>
  <c r="P1511" i="4"/>
  <c r="S1511" i="4" s="1"/>
  <c r="P1512" i="4"/>
  <c r="S1512" i="4" s="1"/>
  <c r="P1513" i="4"/>
  <c r="S1513" i="4" s="1"/>
  <c r="P1514" i="4"/>
  <c r="S1514" i="4" s="1"/>
  <c r="P1515" i="4"/>
  <c r="S1515" i="4" s="1"/>
  <c r="P1516" i="4"/>
  <c r="S1516" i="4" s="1"/>
  <c r="P1517" i="4"/>
  <c r="S1517" i="4" s="1"/>
  <c r="P1518" i="4"/>
  <c r="S1518" i="4" s="1"/>
  <c r="P1519" i="4"/>
  <c r="S1519" i="4" s="1"/>
  <c r="P1521" i="4"/>
  <c r="S1521" i="4" s="1"/>
  <c r="P1522" i="4"/>
  <c r="S1522" i="4" s="1"/>
  <c r="P1523" i="4"/>
  <c r="S1523" i="4" s="1"/>
  <c r="P1524" i="4"/>
  <c r="S1524" i="4" s="1"/>
  <c r="P1525" i="4"/>
  <c r="S1525" i="4" s="1"/>
  <c r="P1526" i="4"/>
  <c r="S1526" i="4" s="1"/>
  <c r="P1527" i="4"/>
  <c r="S1527" i="4" s="1"/>
  <c r="P1528" i="4"/>
  <c r="S1528" i="4" s="1"/>
  <c r="P1529" i="4"/>
  <c r="S1529" i="4" s="1"/>
  <c r="P1530" i="4"/>
  <c r="S1530" i="4" s="1"/>
  <c r="P1531" i="4"/>
  <c r="S1531" i="4" s="1"/>
  <c r="P1532" i="4"/>
  <c r="S1532" i="4" s="1"/>
  <c r="P1533" i="4"/>
  <c r="S1533" i="4" s="1"/>
  <c r="P1534" i="4"/>
  <c r="S1534" i="4" s="1"/>
  <c r="P1535" i="4"/>
  <c r="S1535" i="4" s="1"/>
  <c r="P1536" i="4"/>
  <c r="S1536" i="4" s="1"/>
  <c r="P1537" i="4"/>
  <c r="S1537" i="4" s="1"/>
  <c r="P1538" i="4"/>
  <c r="S1538" i="4" s="1"/>
  <c r="P1539" i="4"/>
  <c r="S1539" i="4" s="1"/>
  <c r="P1540" i="4"/>
  <c r="S1540" i="4" s="1"/>
  <c r="P1541" i="4"/>
  <c r="S1541" i="4" s="1"/>
  <c r="P1542" i="4"/>
  <c r="S1542" i="4" s="1"/>
  <c r="P1543" i="4"/>
  <c r="S1543" i="4" s="1"/>
  <c r="P1544" i="4"/>
  <c r="S1544" i="4" s="1"/>
  <c r="P1545" i="4"/>
  <c r="S1545" i="4" s="1"/>
  <c r="P1546" i="4"/>
  <c r="S1546" i="4" s="1"/>
  <c r="P1547" i="4"/>
  <c r="S1547" i="4" s="1"/>
  <c r="P1548" i="4"/>
  <c r="S1548" i="4" s="1"/>
  <c r="P1549" i="4"/>
  <c r="S1549" i="4" s="1"/>
  <c r="P1550" i="4"/>
  <c r="S1550" i="4" s="1"/>
  <c r="P1551" i="4"/>
  <c r="S1551" i="4" s="1"/>
  <c r="P1552" i="4"/>
  <c r="S1552" i="4" s="1"/>
  <c r="P1553" i="4"/>
  <c r="S1553" i="4" s="1"/>
  <c r="P1554" i="4"/>
  <c r="S1554" i="4" s="1"/>
  <c r="P1555" i="4"/>
  <c r="S1555" i="4" s="1"/>
  <c r="P1556" i="4"/>
  <c r="S1556" i="4" s="1"/>
  <c r="P1560" i="4"/>
  <c r="S1560" i="4" s="1"/>
  <c r="P1561" i="4"/>
  <c r="S1561" i="4" s="1"/>
  <c r="P1562" i="4"/>
  <c r="S1562" i="4" s="1"/>
  <c r="P1563" i="4"/>
  <c r="S1563" i="4" s="1"/>
  <c r="P1564" i="4"/>
  <c r="S1564" i="4" s="1"/>
  <c r="P1565" i="4"/>
  <c r="S1565" i="4" s="1"/>
  <c r="P1566" i="4"/>
  <c r="S1566" i="4" s="1"/>
  <c r="P1567" i="4"/>
  <c r="S1567" i="4" s="1"/>
  <c r="P1568" i="4"/>
  <c r="S1568" i="4" s="1"/>
  <c r="P1569" i="4"/>
  <c r="S1569" i="4" s="1"/>
  <c r="P1570" i="4"/>
  <c r="S1570" i="4" s="1"/>
  <c r="P1573" i="4"/>
  <c r="S1573" i="4" s="1"/>
  <c r="P1574" i="4"/>
  <c r="S1574" i="4" s="1"/>
  <c r="P1575" i="4"/>
  <c r="S1575" i="4" s="1"/>
  <c r="P1578" i="4"/>
  <c r="S1578" i="4" s="1"/>
  <c r="P1579" i="4"/>
  <c r="S1579" i="4" s="1"/>
  <c r="P1580" i="4"/>
  <c r="S1580" i="4" s="1"/>
  <c r="P1581" i="4"/>
  <c r="S1581" i="4" s="1"/>
  <c r="P1584" i="4"/>
  <c r="S1584" i="4" s="1"/>
  <c r="P1589" i="4"/>
  <c r="S1589" i="4" s="1"/>
  <c r="P1591" i="4"/>
  <c r="S1591" i="4" s="1"/>
  <c r="P1593" i="4"/>
  <c r="S1593" i="4" s="1"/>
  <c r="P1594" i="4"/>
  <c r="S1594" i="4" s="1"/>
  <c r="P1595" i="4"/>
  <c r="S1595" i="4" s="1"/>
  <c r="P1596" i="4"/>
  <c r="S1596" i="4" s="1"/>
  <c r="P1597" i="4"/>
  <c r="S1597" i="4" s="1"/>
  <c r="P1598" i="4"/>
  <c r="S1598" i="4" s="1"/>
  <c r="P1599" i="4"/>
  <c r="S1599" i="4" s="1"/>
  <c r="P1600" i="4"/>
  <c r="S1600" i="4" s="1"/>
  <c r="P1601" i="4"/>
  <c r="S1601" i="4" s="1"/>
  <c r="P1602" i="4"/>
  <c r="S1602" i="4" s="1"/>
  <c r="P1603" i="4"/>
  <c r="S1603" i="4" s="1"/>
  <c r="P1604" i="4"/>
  <c r="S1604" i="4" s="1"/>
  <c r="P1605" i="4"/>
  <c r="S1605" i="4" s="1"/>
  <c r="P1606" i="4"/>
  <c r="S1606" i="4" s="1"/>
  <c r="P1607" i="4"/>
  <c r="S1607" i="4" s="1"/>
  <c r="P1608" i="4"/>
  <c r="S1608" i="4" s="1"/>
  <c r="P1610" i="4"/>
  <c r="S1610" i="4" s="1"/>
  <c r="P1611" i="4"/>
  <c r="S1611" i="4" s="1"/>
  <c r="P1612" i="4"/>
  <c r="S1612" i="4" s="1"/>
  <c r="P1613" i="4"/>
  <c r="S1613" i="4" s="1"/>
  <c r="P1618" i="4"/>
  <c r="S1618" i="4" s="1"/>
  <c r="P1619" i="4"/>
  <c r="S1619" i="4" s="1"/>
  <c r="R1273" i="4"/>
  <c r="R1275" i="4"/>
  <c r="R1277" i="4"/>
  <c r="R1278" i="4"/>
  <c r="R1279" i="4"/>
  <c r="R1281" i="4"/>
  <c r="R1282" i="4"/>
  <c r="R1283" i="4"/>
  <c r="R1284" i="4"/>
  <c r="R1285" i="4"/>
  <c r="R1286" i="4"/>
  <c r="R1287" i="4"/>
  <c r="R1290" i="4"/>
  <c r="R1291" i="4"/>
  <c r="R1292" i="4"/>
  <c r="R1300" i="4"/>
  <c r="R1301" i="4"/>
  <c r="R1302" i="4"/>
  <c r="R1303" i="4"/>
  <c r="R1304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9" i="4"/>
  <c r="R1350" i="4"/>
  <c r="R1351" i="4"/>
  <c r="R1352" i="4"/>
  <c r="R1353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9" i="4"/>
  <c r="R1410" i="4"/>
  <c r="R1411" i="4"/>
  <c r="R1412" i="4"/>
  <c r="R1413" i="4"/>
  <c r="R1414" i="4"/>
  <c r="R1415" i="4"/>
  <c r="R1416" i="4"/>
  <c r="R1417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60" i="4"/>
  <c r="R1561" i="4"/>
  <c r="R1562" i="4"/>
  <c r="R1563" i="4"/>
  <c r="R1564" i="4"/>
  <c r="R1565" i="4"/>
  <c r="R1566" i="4"/>
  <c r="R1567" i="4"/>
  <c r="R1568" i="4"/>
  <c r="R1569" i="4"/>
  <c r="R1570" i="4"/>
  <c r="R1573" i="4"/>
  <c r="R1574" i="4"/>
  <c r="R1575" i="4"/>
  <c r="R1578" i="4"/>
  <c r="R1579" i="4"/>
  <c r="R1580" i="4"/>
  <c r="R1581" i="4"/>
  <c r="R1584" i="4"/>
  <c r="R1589" i="4"/>
  <c r="R1591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10" i="4"/>
  <c r="R1611" i="4"/>
  <c r="R1612" i="4"/>
  <c r="R1613" i="4"/>
  <c r="R1618" i="4"/>
  <c r="R1619" i="4"/>
  <c r="S1273" i="4"/>
  <c r="S1275" i="4"/>
  <c r="S1277" i="4"/>
  <c r="S1278" i="4"/>
  <c r="S1279" i="4"/>
  <c r="G1262" i="4"/>
  <c r="G1263" i="4"/>
  <c r="G1264" i="4"/>
  <c r="G1265" i="4"/>
  <c r="G1266" i="4"/>
  <c r="G1269" i="4"/>
  <c r="G1270" i="4"/>
  <c r="G1271" i="4"/>
  <c r="G1272" i="4"/>
  <c r="G1274" i="4"/>
  <c r="G1276" i="4"/>
  <c r="H1262" i="4"/>
  <c r="H1263" i="4"/>
  <c r="H1264" i="4"/>
  <c r="H1265" i="4"/>
  <c r="H1266" i="4"/>
  <c r="H1269" i="4"/>
  <c r="H1270" i="4"/>
  <c r="H1271" i="4"/>
  <c r="H1272" i="4"/>
  <c r="H1274" i="4"/>
  <c r="H1276" i="4"/>
  <c r="I1262" i="4"/>
  <c r="I1263" i="4"/>
  <c r="I1264" i="4"/>
  <c r="I1265" i="4"/>
  <c r="I1266" i="4"/>
  <c r="I1269" i="4"/>
  <c r="I1270" i="4"/>
  <c r="I1271" i="4"/>
  <c r="I1272" i="4"/>
  <c r="I1274" i="4"/>
  <c r="I1276" i="4"/>
  <c r="P1262" i="4"/>
  <c r="S1262" i="4" s="1"/>
  <c r="P1263" i="4"/>
  <c r="S1263" i="4" s="1"/>
  <c r="P1264" i="4"/>
  <c r="S1264" i="4" s="1"/>
  <c r="P1265" i="4"/>
  <c r="S1265" i="4" s="1"/>
  <c r="P1266" i="4"/>
  <c r="S1266" i="4" s="1"/>
  <c r="P1269" i="4"/>
  <c r="S1269" i="4" s="1"/>
  <c r="P1270" i="4"/>
  <c r="S1270" i="4" s="1"/>
  <c r="P1271" i="4"/>
  <c r="S1271" i="4" s="1"/>
  <c r="P1272" i="4"/>
  <c r="S1272" i="4" s="1"/>
  <c r="P1274" i="4"/>
  <c r="S1274" i="4" s="1"/>
  <c r="P1276" i="4"/>
  <c r="S1276" i="4" s="1"/>
  <c r="R1262" i="4"/>
  <c r="R1263" i="4"/>
  <c r="R1264" i="4"/>
  <c r="R1265" i="4"/>
  <c r="R1266" i="4"/>
  <c r="R1269" i="4"/>
  <c r="R1270" i="4"/>
  <c r="R1271" i="4"/>
  <c r="R1272" i="4"/>
  <c r="R1274" i="4"/>
  <c r="R1276" i="4"/>
  <c r="G24" i="4"/>
  <c r="G25" i="4"/>
  <c r="G28" i="4"/>
  <c r="G29" i="4"/>
  <c r="G38" i="4"/>
  <c r="G39" i="4"/>
  <c r="G51" i="4"/>
  <c r="G53" i="4"/>
  <c r="G54" i="4"/>
  <c r="G58" i="4"/>
  <c r="G59" i="4"/>
  <c r="G67" i="4"/>
  <c r="G73" i="4"/>
  <c r="G74" i="4"/>
  <c r="G75" i="4"/>
  <c r="G76" i="4"/>
  <c r="G83" i="4"/>
  <c r="G84" i="4"/>
  <c r="G86" i="4"/>
  <c r="G98" i="4"/>
  <c r="G99" i="4"/>
  <c r="G102" i="4"/>
  <c r="G103" i="4"/>
  <c r="G104" i="4"/>
  <c r="G105" i="4"/>
  <c r="G107" i="4"/>
  <c r="G108" i="4"/>
  <c r="G109" i="4"/>
  <c r="G110" i="4"/>
  <c r="G117" i="4"/>
  <c r="G118" i="4"/>
  <c r="G119" i="4"/>
  <c r="G120" i="4"/>
  <c r="G131" i="4"/>
  <c r="G132" i="4"/>
  <c r="G133" i="4"/>
  <c r="G139" i="4"/>
  <c r="G140" i="4"/>
  <c r="G144" i="4"/>
  <c r="G145" i="4"/>
  <c r="G146" i="4"/>
  <c r="G147" i="4"/>
  <c r="G156" i="4"/>
  <c r="G157" i="4"/>
  <c r="G158" i="4"/>
  <c r="G159" i="4"/>
  <c r="G160" i="4"/>
  <c r="G161" i="4"/>
  <c r="G168" i="4"/>
  <c r="G177" i="4"/>
  <c r="G180" i="4"/>
  <c r="G182" i="4"/>
  <c r="G183" i="4"/>
  <c r="G184" i="4"/>
  <c r="G189" i="4"/>
  <c r="G190" i="4"/>
  <c r="G219" i="4"/>
  <c r="G220" i="4"/>
  <c r="G225" i="4"/>
  <c r="G226" i="4"/>
  <c r="G227" i="4"/>
  <c r="G228" i="4"/>
  <c r="G232" i="4"/>
  <c r="G233" i="4"/>
  <c r="G246" i="4"/>
  <c r="G247" i="4"/>
  <c r="G248" i="4"/>
  <c r="G258" i="4"/>
  <c r="G262" i="4"/>
  <c r="G263" i="4"/>
  <c r="G265" i="4"/>
  <c r="G266" i="4"/>
  <c r="G270" i="4"/>
  <c r="G278" i="4"/>
  <c r="G287" i="4"/>
  <c r="G291" i="4"/>
  <c r="G292" i="4"/>
  <c r="G296" i="4"/>
  <c r="G297" i="4"/>
  <c r="G306" i="4"/>
  <c r="G307" i="4"/>
  <c r="G337" i="4"/>
  <c r="G351" i="4"/>
  <c r="G352" i="4"/>
  <c r="G353" i="4"/>
  <c r="G360" i="4"/>
  <c r="G361" i="4"/>
  <c r="G362" i="4"/>
  <c r="G375" i="4"/>
  <c r="G376" i="4"/>
  <c r="G377" i="4"/>
  <c r="G378" i="4"/>
  <c r="G379" i="4"/>
  <c r="G386" i="4"/>
  <c r="G396" i="4"/>
  <c r="G399" i="4"/>
  <c r="G400" i="4"/>
  <c r="G401" i="4"/>
  <c r="G405" i="4"/>
  <c r="G411" i="4"/>
  <c r="G412" i="4"/>
  <c r="G413" i="4"/>
  <c r="G414" i="4"/>
  <c r="G415" i="4"/>
  <c r="G416" i="4"/>
  <c r="G417" i="4"/>
  <c r="G418" i="4"/>
  <c r="G419" i="4"/>
  <c r="G421" i="4"/>
  <c r="G422" i="4"/>
  <c r="G438" i="4"/>
  <c r="G445" i="4"/>
  <c r="G446" i="4"/>
  <c r="G449" i="4"/>
  <c r="G454" i="4"/>
  <c r="G455" i="4"/>
  <c r="G456" i="4"/>
  <c r="G461" i="4"/>
  <c r="G469" i="4"/>
  <c r="G470" i="4"/>
  <c r="G471" i="4"/>
  <c r="G483" i="4"/>
  <c r="G490" i="4"/>
  <c r="G496" i="4"/>
  <c r="G503" i="4"/>
  <c r="G504" i="4"/>
  <c r="G505" i="4"/>
  <c r="G515" i="4"/>
  <c r="G520" i="4"/>
  <c r="G524" i="4"/>
  <c r="G525" i="4"/>
  <c r="G526" i="4"/>
  <c r="G527" i="4"/>
  <c r="G533" i="4"/>
  <c r="G539" i="4"/>
  <c r="G540" i="4"/>
  <c r="G551" i="4"/>
  <c r="G552" i="4"/>
  <c r="G553" i="4"/>
  <c r="G559" i="4"/>
  <c r="G560" i="4"/>
  <c r="G561" i="4"/>
  <c r="G562" i="4"/>
  <c r="G563" i="4"/>
  <c r="G564" i="4"/>
  <c r="G570" i="4"/>
  <c r="G572" i="4"/>
  <c r="G586" i="4"/>
  <c r="G587" i="4"/>
  <c r="G594" i="4"/>
  <c r="G608" i="4"/>
  <c r="G609" i="4"/>
  <c r="G619" i="4"/>
  <c r="G642" i="4"/>
  <c r="G645" i="4"/>
  <c r="G646" i="4"/>
  <c r="G651" i="4"/>
  <c r="G652" i="4"/>
  <c r="G653" i="4"/>
  <c r="G658" i="4"/>
  <c r="G659" i="4"/>
  <c r="G660" i="4"/>
  <c r="G661" i="4"/>
  <c r="G662" i="4"/>
  <c r="G677" i="4"/>
  <c r="G678" i="4"/>
  <c r="G684" i="4"/>
  <c r="G713" i="4"/>
  <c r="G722" i="4"/>
  <c r="G723" i="4"/>
  <c r="G724" i="4"/>
  <c r="G726" i="4"/>
  <c r="G727" i="4"/>
  <c r="G728" i="4"/>
  <c r="G732" i="4"/>
  <c r="G733" i="4"/>
  <c r="G736" i="4"/>
  <c r="G737" i="4"/>
  <c r="G738" i="4"/>
  <c r="G739" i="4"/>
  <c r="G740" i="4"/>
  <c r="G755" i="4"/>
  <c r="G765" i="4"/>
  <c r="G767" i="4"/>
  <c r="G770" i="4"/>
  <c r="G772" i="4"/>
  <c r="G776" i="4"/>
  <c r="G777" i="4"/>
  <c r="G778" i="4"/>
  <c r="G780" i="4"/>
  <c r="G783" i="4"/>
  <c r="G784" i="4"/>
  <c r="G785" i="4"/>
  <c r="G787" i="4"/>
  <c r="G788" i="4"/>
  <c r="G791" i="4"/>
  <c r="G792" i="4"/>
  <c r="G793" i="4"/>
  <c r="G800" i="4"/>
  <c r="G801" i="4"/>
  <c r="G802" i="4"/>
  <c r="G804" i="4"/>
  <c r="G805" i="4"/>
  <c r="G806" i="4"/>
  <c r="G810" i="4"/>
  <c r="G816" i="4"/>
  <c r="G817" i="4"/>
  <c r="G822" i="4"/>
  <c r="G824" i="4"/>
  <c r="G831" i="4"/>
  <c r="G832" i="4"/>
  <c r="G833" i="4"/>
  <c r="G834" i="4"/>
  <c r="G840" i="4"/>
  <c r="G843" i="4"/>
  <c r="G844" i="4"/>
  <c r="G845" i="4"/>
  <c r="G850" i="4"/>
  <c r="G860" i="4"/>
  <c r="G861" i="4"/>
  <c r="G862" i="4"/>
  <c r="G863" i="4"/>
  <c r="G865" i="4"/>
  <c r="G874" i="4"/>
  <c r="G875" i="4"/>
  <c r="G881" i="4"/>
  <c r="G885" i="4"/>
  <c r="G887" i="4"/>
  <c r="G888" i="4"/>
  <c r="G889" i="4"/>
  <c r="G890" i="4"/>
  <c r="G891" i="4"/>
  <c r="G892" i="4"/>
  <c r="G897" i="4"/>
  <c r="G901" i="4"/>
  <c r="G902" i="4"/>
  <c r="G903" i="4"/>
  <c r="G905" i="4"/>
  <c r="G906" i="4"/>
  <c r="G913" i="4"/>
  <c r="G914" i="4"/>
  <c r="G915" i="4"/>
  <c r="G916" i="4"/>
  <c r="G920" i="4"/>
  <c r="G921" i="4"/>
  <c r="G922" i="4"/>
  <c r="G927" i="4"/>
  <c r="G928" i="4"/>
  <c r="G930" i="4"/>
  <c r="G931" i="4"/>
  <c r="G937" i="4"/>
  <c r="G943" i="4"/>
  <c r="G946" i="4"/>
  <c r="G947" i="4"/>
  <c r="G948" i="4"/>
  <c r="G949" i="4"/>
  <c r="G950" i="4"/>
  <c r="G951" i="4"/>
  <c r="G952" i="4"/>
  <c r="G954" i="4"/>
  <c r="G955" i="4"/>
  <c r="G956" i="4"/>
  <c r="G957" i="4"/>
  <c r="G958" i="4"/>
  <c r="G961" i="4"/>
  <c r="G962" i="4"/>
  <c r="G963" i="4"/>
  <c r="G964" i="4"/>
  <c r="G965" i="4"/>
  <c r="G966" i="4"/>
  <c r="G967" i="4"/>
  <c r="G968" i="4"/>
  <c r="G969" i="4"/>
  <c r="G976" i="4"/>
  <c r="G977" i="4"/>
  <c r="G979" i="4"/>
  <c r="G980" i="4"/>
  <c r="G984" i="4"/>
  <c r="G985" i="4"/>
  <c r="G986" i="4"/>
  <c r="G987" i="4"/>
  <c r="G988" i="4"/>
  <c r="G989" i="4"/>
  <c r="G990" i="4"/>
  <c r="G991" i="4"/>
  <c r="G993" i="4"/>
  <c r="G994" i="4"/>
  <c r="G995" i="4"/>
  <c r="G997" i="4"/>
  <c r="G998" i="4"/>
  <c r="G999" i="4"/>
  <c r="G1000" i="4"/>
  <c r="G1001" i="4"/>
  <c r="G1002" i="4"/>
  <c r="G1003" i="4"/>
  <c r="G1004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7" i="4"/>
  <c r="G1038" i="4"/>
  <c r="G1039" i="4"/>
  <c r="G1040" i="4"/>
  <c r="G1041" i="4"/>
  <c r="G1042" i="4"/>
  <c r="G1045" i="4"/>
  <c r="G1046" i="4"/>
  <c r="G1047" i="4"/>
  <c r="G1048" i="4"/>
  <c r="G1049" i="4"/>
  <c r="G1050" i="4"/>
  <c r="G1051" i="4"/>
  <c r="G1052" i="4"/>
  <c r="G1053" i="4"/>
  <c r="G1054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71" i="4"/>
  <c r="G1073" i="4"/>
  <c r="G1074" i="4"/>
  <c r="G1075" i="4"/>
  <c r="G1076" i="4"/>
  <c r="G1077" i="4"/>
  <c r="G1078" i="4"/>
  <c r="G1079" i="4"/>
  <c r="G1080" i="4"/>
  <c r="G1081" i="4"/>
  <c r="G1082" i="4"/>
  <c r="G1083" i="4"/>
  <c r="G1085" i="4"/>
  <c r="G1086" i="4"/>
  <c r="G1087" i="4"/>
  <c r="G1088" i="4"/>
  <c r="G1089" i="4"/>
  <c r="G1091" i="4"/>
  <c r="G1093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8" i="4"/>
  <c r="G1119" i="4"/>
  <c r="G1120" i="4"/>
  <c r="G1121" i="4"/>
  <c r="G1124" i="4"/>
  <c r="G1130" i="4"/>
  <c r="G1133" i="4"/>
  <c r="G1134" i="4"/>
  <c r="G1137" i="4"/>
  <c r="G1138" i="4"/>
  <c r="G1139" i="4"/>
  <c r="G1144" i="4"/>
  <c r="G1146" i="4"/>
  <c r="G1147" i="4"/>
  <c r="G1148" i="4"/>
  <c r="G1149" i="4"/>
  <c r="G1150" i="4"/>
  <c r="G1151" i="4"/>
  <c r="G1152" i="4"/>
  <c r="G1153" i="4"/>
  <c r="G1154" i="4"/>
  <c r="G1156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9" i="4"/>
  <c r="G1210" i="4"/>
  <c r="G1211" i="4"/>
  <c r="G1212" i="4"/>
  <c r="G1214" i="4"/>
  <c r="G1215" i="4"/>
  <c r="G1216" i="4"/>
  <c r="G1217" i="4"/>
  <c r="G1218" i="4"/>
  <c r="G1219" i="4"/>
  <c r="G1220" i="4"/>
  <c r="G1223" i="4"/>
  <c r="G1224" i="4"/>
  <c r="G1225" i="4"/>
  <c r="G1226" i="4"/>
  <c r="G1228" i="4"/>
  <c r="G1229" i="4"/>
  <c r="G1230" i="4"/>
  <c r="G1231" i="4"/>
  <c r="G1232" i="4"/>
  <c r="G1233" i="4"/>
  <c r="G1234" i="4"/>
  <c r="G1235" i="4"/>
  <c r="G1236" i="4"/>
  <c r="G1243" i="4"/>
  <c r="G1246" i="4"/>
  <c r="G1247" i="4"/>
  <c r="G1248" i="4"/>
  <c r="G1249" i="4"/>
  <c r="G1253" i="4"/>
  <c r="G1254" i="4"/>
  <c r="G1255" i="4"/>
  <c r="G1256" i="4"/>
  <c r="G1259" i="4"/>
  <c r="G1260" i="4"/>
  <c r="G1261" i="4"/>
  <c r="H24" i="4"/>
  <c r="H25" i="4"/>
  <c r="H28" i="4"/>
  <c r="H29" i="4"/>
  <c r="H38" i="4"/>
  <c r="H39" i="4"/>
  <c r="H51" i="4"/>
  <c r="H53" i="4"/>
  <c r="H54" i="4"/>
  <c r="H58" i="4"/>
  <c r="H59" i="4"/>
  <c r="H67" i="4"/>
  <c r="H73" i="4"/>
  <c r="H74" i="4"/>
  <c r="H75" i="4"/>
  <c r="H76" i="4"/>
  <c r="H83" i="4"/>
  <c r="H84" i="4"/>
  <c r="H86" i="4"/>
  <c r="H98" i="4"/>
  <c r="H99" i="4"/>
  <c r="H102" i="4"/>
  <c r="H103" i="4"/>
  <c r="H104" i="4"/>
  <c r="H105" i="4"/>
  <c r="H107" i="4"/>
  <c r="H108" i="4"/>
  <c r="H109" i="4"/>
  <c r="H110" i="4"/>
  <c r="H117" i="4"/>
  <c r="H118" i="4"/>
  <c r="H119" i="4"/>
  <c r="H120" i="4"/>
  <c r="H131" i="4"/>
  <c r="H132" i="4"/>
  <c r="H133" i="4"/>
  <c r="H139" i="4"/>
  <c r="H140" i="4"/>
  <c r="H144" i="4"/>
  <c r="H145" i="4"/>
  <c r="H146" i="4"/>
  <c r="H147" i="4"/>
  <c r="H156" i="4"/>
  <c r="H157" i="4"/>
  <c r="H158" i="4"/>
  <c r="H159" i="4"/>
  <c r="H160" i="4"/>
  <c r="H161" i="4"/>
  <c r="H168" i="4"/>
  <c r="H177" i="4"/>
  <c r="H180" i="4"/>
  <c r="H182" i="4"/>
  <c r="H183" i="4"/>
  <c r="H184" i="4"/>
  <c r="H189" i="4"/>
  <c r="H190" i="4"/>
  <c r="H219" i="4"/>
  <c r="H220" i="4"/>
  <c r="H225" i="4"/>
  <c r="H226" i="4"/>
  <c r="H227" i="4"/>
  <c r="H228" i="4"/>
  <c r="H232" i="4"/>
  <c r="H233" i="4"/>
  <c r="H246" i="4"/>
  <c r="H247" i="4"/>
  <c r="H248" i="4"/>
  <c r="H258" i="4"/>
  <c r="H262" i="4"/>
  <c r="H263" i="4"/>
  <c r="H265" i="4"/>
  <c r="H266" i="4"/>
  <c r="H270" i="4"/>
  <c r="H278" i="4"/>
  <c r="H287" i="4"/>
  <c r="H291" i="4"/>
  <c r="H292" i="4"/>
  <c r="H296" i="4"/>
  <c r="H297" i="4"/>
  <c r="H306" i="4"/>
  <c r="H307" i="4"/>
  <c r="H337" i="4"/>
  <c r="H351" i="4"/>
  <c r="H352" i="4"/>
  <c r="H353" i="4"/>
  <c r="H360" i="4"/>
  <c r="H361" i="4"/>
  <c r="H362" i="4"/>
  <c r="H375" i="4"/>
  <c r="H376" i="4"/>
  <c r="H377" i="4"/>
  <c r="H378" i="4"/>
  <c r="H379" i="4"/>
  <c r="H386" i="4"/>
  <c r="H396" i="4"/>
  <c r="H399" i="4"/>
  <c r="H400" i="4"/>
  <c r="H401" i="4"/>
  <c r="H405" i="4"/>
  <c r="H411" i="4"/>
  <c r="H412" i="4"/>
  <c r="H413" i="4"/>
  <c r="H414" i="4"/>
  <c r="H415" i="4"/>
  <c r="H416" i="4"/>
  <c r="H417" i="4"/>
  <c r="H418" i="4"/>
  <c r="H419" i="4"/>
  <c r="H421" i="4"/>
  <c r="H422" i="4"/>
  <c r="H438" i="4"/>
  <c r="H445" i="4"/>
  <c r="H446" i="4"/>
  <c r="H449" i="4"/>
  <c r="H454" i="4"/>
  <c r="H455" i="4"/>
  <c r="H456" i="4"/>
  <c r="H461" i="4"/>
  <c r="H469" i="4"/>
  <c r="H470" i="4"/>
  <c r="H471" i="4"/>
  <c r="H483" i="4"/>
  <c r="H490" i="4"/>
  <c r="H496" i="4"/>
  <c r="H503" i="4"/>
  <c r="H504" i="4"/>
  <c r="H505" i="4"/>
  <c r="H515" i="4"/>
  <c r="H520" i="4"/>
  <c r="H524" i="4"/>
  <c r="H525" i="4"/>
  <c r="H526" i="4"/>
  <c r="H527" i="4"/>
  <c r="H533" i="4"/>
  <c r="H539" i="4"/>
  <c r="H540" i="4"/>
  <c r="H551" i="4"/>
  <c r="H552" i="4"/>
  <c r="H553" i="4"/>
  <c r="H559" i="4"/>
  <c r="H560" i="4"/>
  <c r="H561" i="4"/>
  <c r="H562" i="4"/>
  <c r="H563" i="4"/>
  <c r="H564" i="4"/>
  <c r="H570" i="4"/>
  <c r="H572" i="4"/>
  <c r="H586" i="4"/>
  <c r="H587" i="4"/>
  <c r="H594" i="4"/>
  <c r="H608" i="4"/>
  <c r="H609" i="4"/>
  <c r="H619" i="4"/>
  <c r="H642" i="4"/>
  <c r="H645" i="4"/>
  <c r="H646" i="4"/>
  <c r="H651" i="4"/>
  <c r="H652" i="4"/>
  <c r="H653" i="4"/>
  <c r="H658" i="4"/>
  <c r="H659" i="4"/>
  <c r="H660" i="4"/>
  <c r="H661" i="4"/>
  <c r="H662" i="4"/>
  <c r="H677" i="4"/>
  <c r="H678" i="4"/>
  <c r="H684" i="4"/>
  <c r="H713" i="4"/>
  <c r="H722" i="4"/>
  <c r="H723" i="4"/>
  <c r="H724" i="4"/>
  <c r="H726" i="4"/>
  <c r="H727" i="4"/>
  <c r="H728" i="4"/>
  <c r="H732" i="4"/>
  <c r="H733" i="4"/>
  <c r="H736" i="4"/>
  <c r="H737" i="4"/>
  <c r="H738" i="4"/>
  <c r="H739" i="4"/>
  <c r="H740" i="4"/>
  <c r="H755" i="4"/>
  <c r="H765" i="4"/>
  <c r="H767" i="4"/>
  <c r="H770" i="4"/>
  <c r="H772" i="4"/>
  <c r="H776" i="4"/>
  <c r="H777" i="4"/>
  <c r="H778" i="4"/>
  <c r="H780" i="4"/>
  <c r="H783" i="4"/>
  <c r="H784" i="4"/>
  <c r="H785" i="4"/>
  <c r="H787" i="4"/>
  <c r="H788" i="4"/>
  <c r="H791" i="4"/>
  <c r="H792" i="4"/>
  <c r="H793" i="4"/>
  <c r="H800" i="4"/>
  <c r="H801" i="4"/>
  <c r="H802" i="4"/>
  <c r="H804" i="4"/>
  <c r="H805" i="4"/>
  <c r="H806" i="4"/>
  <c r="H810" i="4"/>
  <c r="H816" i="4"/>
  <c r="H817" i="4"/>
  <c r="H822" i="4"/>
  <c r="H824" i="4"/>
  <c r="H831" i="4"/>
  <c r="H832" i="4"/>
  <c r="H833" i="4"/>
  <c r="H834" i="4"/>
  <c r="H840" i="4"/>
  <c r="H843" i="4"/>
  <c r="H844" i="4"/>
  <c r="H845" i="4"/>
  <c r="H850" i="4"/>
  <c r="H860" i="4"/>
  <c r="H861" i="4"/>
  <c r="H862" i="4"/>
  <c r="H863" i="4"/>
  <c r="H865" i="4"/>
  <c r="H874" i="4"/>
  <c r="H875" i="4"/>
  <c r="H881" i="4"/>
  <c r="H885" i="4"/>
  <c r="H887" i="4"/>
  <c r="H888" i="4"/>
  <c r="H889" i="4"/>
  <c r="H890" i="4"/>
  <c r="H891" i="4"/>
  <c r="H892" i="4"/>
  <c r="H897" i="4"/>
  <c r="H901" i="4"/>
  <c r="H902" i="4"/>
  <c r="H903" i="4"/>
  <c r="H905" i="4"/>
  <c r="H906" i="4"/>
  <c r="H913" i="4"/>
  <c r="H914" i="4"/>
  <c r="H915" i="4"/>
  <c r="H916" i="4"/>
  <c r="H920" i="4"/>
  <c r="H921" i="4"/>
  <c r="H922" i="4"/>
  <c r="H927" i="4"/>
  <c r="H928" i="4"/>
  <c r="H930" i="4"/>
  <c r="H931" i="4"/>
  <c r="H937" i="4"/>
  <c r="H943" i="4"/>
  <c r="H946" i="4"/>
  <c r="H947" i="4"/>
  <c r="H948" i="4"/>
  <c r="H949" i="4"/>
  <c r="H950" i="4"/>
  <c r="H951" i="4"/>
  <c r="H952" i="4"/>
  <c r="H954" i="4"/>
  <c r="H955" i="4"/>
  <c r="H956" i="4"/>
  <c r="H957" i="4"/>
  <c r="H958" i="4"/>
  <c r="H961" i="4"/>
  <c r="H962" i="4"/>
  <c r="H963" i="4"/>
  <c r="H964" i="4"/>
  <c r="H965" i="4"/>
  <c r="H966" i="4"/>
  <c r="H967" i="4"/>
  <c r="H968" i="4"/>
  <c r="H969" i="4"/>
  <c r="H976" i="4"/>
  <c r="H977" i="4"/>
  <c r="H979" i="4"/>
  <c r="H980" i="4"/>
  <c r="H984" i="4"/>
  <c r="H985" i="4"/>
  <c r="H986" i="4"/>
  <c r="H987" i="4"/>
  <c r="H988" i="4"/>
  <c r="H989" i="4"/>
  <c r="H990" i="4"/>
  <c r="H991" i="4"/>
  <c r="H993" i="4"/>
  <c r="H994" i="4"/>
  <c r="H995" i="4"/>
  <c r="H997" i="4"/>
  <c r="H998" i="4"/>
  <c r="H999" i="4"/>
  <c r="H1000" i="4"/>
  <c r="H1001" i="4"/>
  <c r="H1002" i="4"/>
  <c r="H1003" i="4"/>
  <c r="H1004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7" i="4"/>
  <c r="H1038" i="4"/>
  <c r="H1039" i="4"/>
  <c r="H1040" i="4"/>
  <c r="H1041" i="4"/>
  <c r="H1042" i="4"/>
  <c r="H1045" i="4"/>
  <c r="H1046" i="4"/>
  <c r="H1047" i="4"/>
  <c r="H1048" i="4"/>
  <c r="H1049" i="4"/>
  <c r="H1050" i="4"/>
  <c r="H1051" i="4"/>
  <c r="H1052" i="4"/>
  <c r="H1053" i="4"/>
  <c r="H1054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71" i="4"/>
  <c r="H1073" i="4"/>
  <c r="H1074" i="4"/>
  <c r="H1075" i="4"/>
  <c r="H1076" i="4"/>
  <c r="H1077" i="4"/>
  <c r="H1078" i="4"/>
  <c r="H1079" i="4"/>
  <c r="H1080" i="4"/>
  <c r="H1081" i="4"/>
  <c r="H1082" i="4"/>
  <c r="H1083" i="4"/>
  <c r="H1085" i="4"/>
  <c r="H1086" i="4"/>
  <c r="H1087" i="4"/>
  <c r="H1088" i="4"/>
  <c r="H1089" i="4"/>
  <c r="H1091" i="4"/>
  <c r="H1093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8" i="4"/>
  <c r="H1119" i="4"/>
  <c r="H1120" i="4"/>
  <c r="H1121" i="4"/>
  <c r="H1124" i="4"/>
  <c r="H1130" i="4"/>
  <c r="H1133" i="4"/>
  <c r="H1134" i="4"/>
  <c r="H1137" i="4"/>
  <c r="H1138" i="4"/>
  <c r="H1139" i="4"/>
  <c r="H1144" i="4"/>
  <c r="H1146" i="4"/>
  <c r="H1147" i="4"/>
  <c r="H1148" i="4"/>
  <c r="H1149" i="4"/>
  <c r="H1150" i="4"/>
  <c r="H1151" i="4"/>
  <c r="H1152" i="4"/>
  <c r="H1153" i="4"/>
  <c r="H1154" i="4"/>
  <c r="H1156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9" i="4"/>
  <c r="H1210" i="4"/>
  <c r="H1211" i="4"/>
  <c r="H1212" i="4"/>
  <c r="H1214" i="4"/>
  <c r="H1215" i="4"/>
  <c r="H1216" i="4"/>
  <c r="H1217" i="4"/>
  <c r="H1218" i="4"/>
  <c r="H1219" i="4"/>
  <c r="H1220" i="4"/>
  <c r="H1223" i="4"/>
  <c r="H1224" i="4"/>
  <c r="H1225" i="4"/>
  <c r="H1226" i="4"/>
  <c r="H1228" i="4"/>
  <c r="H1229" i="4"/>
  <c r="H1230" i="4"/>
  <c r="H1231" i="4"/>
  <c r="H1232" i="4"/>
  <c r="H1233" i="4"/>
  <c r="H1234" i="4"/>
  <c r="H1235" i="4"/>
  <c r="H1236" i="4"/>
  <c r="H1243" i="4"/>
  <c r="H1246" i="4"/>
  <c r="H1247" i="4"/>
  <c r="H1248" i="4"/>
  <c r="H1249" i="4"/>
  <c r="H1253" i="4"/>
  <c r="H1254" i="4"/>
  <c r="H1255" i="4"/>
  <c r="H1256" i="4"/>
  <c r="H1259" i="4"/>
  <c r="H1260" i="4"/>
  <c r="H1261" i="4"/>
  <c r="I24" i="4"/>
  <c r="I25" i="4"/>
  <c r="I28" i="4"/>
  <c r="I29" i="4"/>
  <c r="I38" i="4"/>
  <c r="I39" i="4"/>
  <c r="I51" i="4"/>
  <c r="I53" i="4"/>
  <c r="I54" i="4"/>
  <c r="I58" i="4"/>
  <c r="I59" i="4"/>
  <c r="I67" i="4"/>
  <c r="I73" i="4"/>
  <c r="I74" i="4"/>
  <c r="I75" i="4"/>
  <c r="I76" i="4"/>
  <c r="I83" i="4"/>
  <c r="I84" i="4"/>
  <c r="I86" i="4"/>
  <c r="I98" i="4"/>
  <c r="I99" i="4"/>
  <c r="I102" i="4"/>
  <c r="I103" i="4"/>
  <c r="I104" i="4"/>
  <c r="I105" i="4"/>
  <c r="I107" i="4"/>
  <c r="I108" i="4"/>
  <c r="I109" i="4"/>
  <c r="I110" i="4"/>
  <c r="I117" i="4"/>
  <c r="I118" i="4"/>
  <c r="I119" i="4"/>
  <c r="I120" i="4"/>
  <c r="I131" i="4"/>
  <c r="I132" i="4"/>
  <c r="I133" i="4"/>
  <c r="I139" i="4"/>
  <c r="I140" i="4"/>
  <c r="I144" i="4"/>
  <c r="I145" i="4"/>
  <c r="I146" i="4"/>
  <c r="I147" i="4"/>
  <c r="I156" i="4"/>
  <c r="I157" i="4"/>
  <c r="I158" i="4"/>
  <c r="I159" i="4"/>
  <c r="I160" i="4"/>
  <c r="I161" i="4"/>
  <c r="I168" i="4"/>
  <c r="I177" i="4"/>
  <c r="I180" i="4"/>
  <c r="I182" i="4"/>
  <c r="I183" i="4"/>
  <c r="I184" i="4"/>
  <c r="I189" i="4"/>
  <c r="I190" i="4"/>
  <c r="I219" i="4"/>
  <c r="I220" i="4"/>
  <c r="I225" i="4"/>
  <c r="I226" i="4"/>
  <c r="I227" i="4"/>
  <c r="I228" i="4"/>
  <c r="I232" i="4"/>
  <c r="I233" i="4"/>
  <c r="I246" i="4"/>
  <c r="I247" i="4"/>
  <c r="I248" i="4"/>
  <c r="I258" i="4"/>
  <c r="I262" i="4"/>
  <c r="I263" i="4"/>
  <c r="I265" i="4"/>
  <c r="I266" i="4"/>
  <c r="I270" i="4"/>
  <c r="I278" i="4"/>
  <c r="I287" i="4"/>
  <c r="I291" i="4"/>
  <c r="I292" i="4"/>
  <c r="I296" i="4"/>
  <c r="I297" i="4"/>
  <c r="I306" i="4"/>
  <c r="I307" i="4"/>
  <c r="I337" i="4"/>
  <c r="I351" i="4"/>
  <c r="I352" i="4"/>
  <c r="I353" i="4"/>
  <c r="I360" i="4"/>
  <c r="I361" i="4"/>
  <c r="I362" i="4"/>
  <c r="I375" i="4"/>
  <c r="I376" i="4"/>
  <c r="I377" i="4"/>
  <c r="I378" i="4"/>
  <c r="I379" i="4"/>
  <c r="I386" i="4"/>
  <c r="I396" i="4"/>
  <c r="I399" i="4"/>
  <c r="I400" i="4"/>
  <c r="I401" i="4"/>
  <c r="I405" i="4"/>
  <c r="I411" i="4"/>
  <c r="I412" i="4"/>
  <c r="I413" i="4"/>
  <c r="I414" i="4"/>
  <c r="I415" i="4"/>
  <c r="I416" i="4"/>
  <c r="I417" i="4"/>
  <c r="I418" i="4"/>
  <c r="I419" i="4"/>
  <c r="I421" i="4"/>
  <c r="I422" i="4"/>
  <c r="I438" i="4"/>
  <c r="I445" i="4"/>
  <c r="I446" i="4"/>
  <c r="I449" i="4"/>
  <c r="I454" i="4"/>
  <c r="I455" i="4"/>
  <c r="I456" i="4"/>
  <c r="I461" i="4"/>
  <c r="I469" i="4"/>
  <c r="I470" i="4"/>
  <c r="I471" i="4"/>
  <c r="I483" i="4"/>
  <c r="I490" i="4"/>
  <c r="I496" i="4"/>
  <c r="I503" i="4"/>
  <c r="I504" i="4"/>
  <c r="I505" i="4"/>
  <c r="I515" i="4"/>
  <c r="I520" i="4"/>
  <c r="I524" i="4"/>
  <c r="I525" i="4"/>
  <c r="I526" i="4"/>
  <c r="I527" i="4"/>
  <c r="I533" i="4"/>
  <c r="I539" i="4"/>
  <c r="I540" i="4"/>
  <c r="I551" i="4"/>
  <c r="I552" i="4"/>
  <c r="I553" i="4"/>
  <c r="I559" i="4"/>
  <c r="I560" i="4"/>
  <c r="I561" i="4"/>
  <c r="I562" i="4"/>
  <c r="I563" i="4"/>
  <c r="I564" i="4"/>
  <c r="I570" i="4"/>
  <c r="I572" i="4"/>
  <c r="I586" i="4"/>
  <c r="I587" i="4"/>
  <c r="I594" i="4"/>
  <c r="I608" i="4"/>
  <c r="I609" i="4"/>
  <c r="I619" i="4"/>
  <c r="I642" i="4"/>
  <c r="I645" i="4"/>
  <c r="I646" i="4"/>
  <c r="I651" i="4"/>
  <c r="I652" i="4"/>
  <c r="I653" i="4"/>
  <c r="I658" i="4"/>
  <c r="I659" i="4"/>
  <c r="I660" i="4"/>
  <c r="I661" i="4"/>
  <c r="I662" i="4"/>
  <c r="I677" i="4"/>
  <c r="I678" i="4"/>
  <c r="I684" i="4"/>
  <c r="I713" i="4"/>
  <c r="I722" i="4"/>
  <c r="I723" i="4"/>
  <c r="I724" i="4"/>
  <c r="I726" i="4"/>
  <c r="I727" i="4"/>
  <c r="I728" i="4"/>
  <c r="I732" i="4"/>
  <c r="I733" i="4"/>
  <c r="I736" i="4"/>
  <c r="I737" i="4"/>
  <c r="I738" i="4"/>
  <c r="I739" i="4"/>
  <c r="I740" i="4"/>
  <c r="I755" i="4"/>
  <c r="I765" i="4"/>
  <c r="I767" i="4"/>
  <c r="I770" i="4"/>
  <c r="I772" i="4"/>
  <c r="I776" i="4"/>
  <c r="I777" i="4"/>
  <c r="I778" i="4"/>
  <c r="I780" i="4"/>
  <c r="I783" i="4"/>
  <c r="I784" i="4"/>
  <c r="I785" i="4"/>
  <c r="I787" i="4"/>
  <c r="I788" i="4"/>
  <c r="I791" i="4"/>
  <c r="I792" i="4"/>
  <c r="I793" i="4"/>
  <c r="I800" i="4"/>
  <c r="I801" i="4"/>
  <c r="I802" i="4"/>
  <c r="I804" i="4"/>
  <c r="I805" i="4"/>
  <c r="I806" i="4"/>
  <c r="I810" i="4"/>
  <c r="I816" i="4"/>
  <c r="I817" i="4"/>
  <c r="I822" i="4"/>
  <c r="I824" i="4"/>
  <c r="I831" i="4"/>
  <c r="I832" i="4"/>
  <c r="I833" i="4"/>
  <c r="I834" i="4"/>
  <c r="I840" i="4"/>
  <c r="I843" i="4"/>
  <c r="I844" i="4"/>
  <c r="I845" i="4"/>
  <c r="I850" i="4"/>
  <c r="I860" i="4"/>
  <c r="I861" i="4"/>
  <c r="I862" i="4"/>
  <c r="I863" i="4"/>
  <c r="I865" i="4"/>
  <c r="I874" i="4"/>
  <c r="I875" i="4"/>
  <c r="I881" i="4"/>
  <c r="I885" i="4"/>
  <c r="I887" i="4"/>
  <c r="I888" i="4"/>
  <c r="I889" i="4"/>
  <c r="I890" i="4"/>
  <c r="I891" i="4"/>
  <c r="I892" i="4"/>
  <c r="I897" i="4"/>
  <c r="I901" i="4"/>
  <c r="I902" i="4"/>
  <c r="I903" i="4"/>
  <c r="I905" i="4"/>
  <c r="I906" i="4"/>
  <c r="I913" i="4"/>
  <c r="I914" i="4"/>
  <c r="I915" i="4"/>
  <c r="I916" i="4"/>
  <c r="I920" i="4"/>
  <c r="I921" i="4"/>
  <c r="I922" i="4"/>
  <c r="I927" i="4"/>
  <c r="I928" i="4"/>
  <c r="I930" i="4"/>
  <c r="I931" i="4"/>
  <c r="I937" i="4"/>
  <c r="I943" i="4"/>
  <c r="I946" i="4"/>
  <c r="I947" i="4"/>
  <c r="I948" i="4"/>
  <c r="I949" i="4"/>
  <c r="I950" i="4"/>
  <c r="I951" i="4"/>
  <c r="I952" i="4"/>
  <c r="I954" i="4"/>
  <c r="I955" i="4"/>
  <c r="I956" i="4"/>
  <c r="I957" i="4"/>
  <c r="I958" i="4"/>
  <c r="I961" i="4"/>
  <c r="I962" i="4"/>
  <c r="I963" i="4"/>
  <c r="I964" i="4"/>
  <c r="I965" i="4"/>
  <c r="I966" i="4"/>
  <c r="I967" i="4"/>
  <c r="I968" i="4"/>
  <c r="I969" i="4"/>
  <c r="I976" i="4"/>
  <c r="I977" i="4"/>
  <c r="I979" i="4"/>
  <c r="I980" i="4"/>
  <c r="I984" i="4"/>
  <c r="I985" i="4"/>
  <c r="I986" i="4"/>
  <c r="I987" i="4"/>
  <c r="I988" i="4"/>
  <c r="I989" i="4"/>
  <c r="I990" i="4"/>
  <c r="I991" i="4"/>
  <c r="I993" i="4"/>
  <c r="I994" i="4"/>
  <c r="I995" i="4"/>
  <c r="I997" i="4"/>
  <c r="I998" i="4"/>
  <c r="I999" i="4"/>
  <c r="I1000" i="4"/>
  <c r="I1001" i="4"/>
  <c r="I1002" i="4"/>
  <c r="I1003" i="4"/>
  <c r="I1004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7" i="4"/>
  <c r="I1038" i="4"/>
  <c r="I1039" i="4"/>
  <c r="I1040" i="4"/>
  <c r="I1041" i="4"/>
  <c r="I1042" i="4"/>
  <c r="I1045" i="4"/>
  <c r="I1046" i="4"/>
  <c r="I1047" i="4"/>
  <c r="I1048" i="4"/>
  <c r="I1049" i="4"/>
  <c r="I1050" i="4"/>
  <c r="I1051" i="4"/>
  <c r="I1052" i="4"/>
  <c r="I1053" i="4"/>
  <c r="I1054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71" i="4"/>
  <c r="I1073" i="4"/>
  <c r="I1074" i="4"/>
  <c r="I1075" i="4"/>
  <c r="I1076" i="4"/>
  <c r="I1077" i="4"/>
  <c r="I1078" i="4"/>
  <c r="I1079" i="4"/>
  <c r="I1080" i="4"/>
  <c r="I1081" i="4"/>
  <c r="I1082" i="4"/>
  <c r="I1083" i="4"/>
  <c r="I1085" i="4"/>
  <c r="I1086" i="4"/>
  <c r="I1087" i="4"/>
  <c r="I1088" i="4"/>
  <c r="I1089" i="4"/>
  <c r="I1091" i="4"/>
  <c r="I1093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8" i="4"/>
  <c r="I1119" i="4"/>
  <c r="I1120" i="4"/>
  <c r="I1121" i="4"/>
  <c r="I1124" i="4"/>
  <c r="I1130" i="4"/>
  <c r="I1133" i="4"/>
  <c r="I1134" i="4"/>
  <c r="I1137" i="4"/>
  <c r="I1138" i="4"/>
  <c r="I1139" i="4"/>
  <c r="I1144" i="4"/>
  <c r="I1146" i="4"/>
  <c r="I1147" i="4"/>
  <c r="I1148" i="4"/>
  <c r="I1149" i="4"/>
  <c r="I1150" i="4"/>
  <c r="I1151" i="4"/>
  <c r="I1152" i="4"/>
  <c r="I1153" i="4"/>
  <c r="I1154" i="4"/>
  <c r="I1156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9" i="4"/>
  <c r="I1210" i="4"/>
  <c r="I1211" i="4"/>
  <c r="I1212" i="4"/>
  <c r="I1214" i="4"/>
  <c r="I1215" i="4"/>
  <c r="I1216" i="4"/>
  <c r="I1217" i="4"/>
  <c r="I1218" i="4"/>
  <c r="I1219" i="4"/>
  <c r="I1220" i="4"/>
  <c r="I1223" i="4"/>
  <c r="I1224" i="4"/>
  <c r="I1225" i="4"/>
  <c r="I1226" i="4"/>
  <c r="I1228" i="4"/>
  <c r="I1229" i="4"/>
  <c r="I1230" i="4"/>
  <c r="I1231" i="4"/>
  <c r="I1232" i="4"/>
  <c r="I1233" i="4"/>
  <c r="I1234" i="4"/>
  <c r="I1235" i="4"/>
  <c r="I1236" i="4"/>
  <c r="I1243" i="4"/>
  <c r="I1246" i="4"/>
  <c r="I1247" i="4"/>
  <c r="I1248" i="4"/>
  <c r="I1249" i="4"/>
  <c r="I1253" i="4"/>
  <c r="I1254" i="4"/>
  <c r="I1255" i="4"/>
  <c r="I1256" i="4"/>
  <c r="I1259" i="4"/>
  <c r="I1260" i="4"/>
  <c r="I1261" i="4"/>
  <c r="P24" i="4"/>
  <c r="S24" i="4" s="1"/>
  <c r="P25" i="4"/>
  <c r="S25" i="4" s="1"/>
  <c r="P28" i="4"/>
  <c r="S28" i="4" s="1"/>
  <c r="P29" i="4"/>
  <c r="S29" i="4" s="1"/>
  <c r="P38" i="4"/>
  <c r="S38" i="4" s="1"/>
  <c r="P39" i="4"/>
  <c r="S39" i="4" s="1"/>
  <c r="P51" i="4"/>
  <c r="S51" i="4" s="1"/>
  <c r="P53" i="4"/>
  <c r="S53" i="4" s="1"/>
  <c r="P54" i="4"/>
  <c r="S54" i="4" s="1"/>
  <c r="P58" i="4"/>
  <c r="S58" i="4" s="1"/>
  <c r="P59" i="4"/>
  <c r="S59" i="4" s="1"/>
  <c r="P67" i="4"/>
  <c r="S67" i="4" s="1"/>
  <c r="P73" i="4"/>
  <c r="S73" i="4" s="1"/>
  <c r="P74" i="4"/>
  <c r="S74" i="4" s="1"/>
  <c r="P75" i="4"/>
  <c r="S75" i="4" s="1"/>
  <c r="P76" i="4"/>
  <c r="S76" i="4" s="1"/>
  <c r="P83" i="4"/>
  <c r="S83" i="4" s="1"/>
  <c r="P84" i="4"/>
  <c r="S84" i="4" s="1"/>
  <c r="P86" i="4"/>
  <c r="S86" i="4" s="1"/>
  <c r="P98" i="4"/>
  <c r="S98" i="4" s="1"/>
  <c r="P99" i="4"/>
  <c r="S99" i="4" s="1"/>
  <c r="P102" i="4"/>
  <c r="S102" i="4" s="1"/>
  <c r="P103" i="4"/>
  <c r="S103" i="4" s="1"/>
  <c r="P104" i="4"/>
  <c r="S104" i="4" s="1"/>
  <c r="P105" i="4"/>
  <c r="S105" i="4" s="1"/>
  <c r="P107" i="4"/>
  <c r="S107" i="4" s="1"/>
  <c r="P108" i="4"/>
  <c r="S108" i="4" s="1"/>
  <c r="P109" i="4"/>
  <c r="S109" i="4" s="1"/>
  <c r="P110" i="4"/>
  <c r="S110" i="4" s="1"/>
  <c r="P117" i="4"/>
  <c r="S117" i="4" s="1"/>
  <c r="P118" i="4"/>
  <c r="S118" i="4" s="1"/>
  <c r="P119" i="4"/>
  <c r="S119" i="4" s="1"/>
  <c r="P120" i="4"/>
  <c r="S120" i="4" s="1"/>
  <c r="P131" i="4"/>
  <c r="S131" i="4" s="1"/>
  <c r="P132" i="4"/>
  <c r="S132" i="4" s="1"/>
  <c r="P133" i="4"/>
  <c r="S133" i="4" s="1"/>
  <c r="P139" i="4"/>
  <c r="S139" i="4" s="1"/>
  <c r="P140" i="4"/>
  <c r="S140" i="4" s="1"/>
  <c r="P144" i="4"/>
  <c r="S144" i="4" s="1"/>
  <c r="P145" i="4"/>
  <c r="S145" i="4" s="1"/>
  <c r="P146" i="4"/>
  <c r="S146" i="4" s="1"/>
  <c r="P147" i="4"/>
  <c r="S147" i="4" s="1"/>
  <c r="P156" i="4"/>
  <c r="S156" i="4" s="1"/>
  <c r="P157" i="4"/>
  <c r="S157" i="4" s="1"/>
  <c r="P158" i="4"/>
  <c r="S158" i="4" s="1"/>
  <c r="P159" i="4"/>
  <c r="S159" i="4" s="1"/>
  <c r="P160" i="4"/>
  <c r="S160" i="4" s="1"/>
  <c r="P161" i="4"/>
  <c r="S161" i="4" s="1"/>
  <c r="P168" i="4"/>
  <c r="S168" i="4" s="1"/>
  <c r="P177" i="4"/>
  <c r="S177" i="4" s="1"/>
  <c r="P180" i="4"/>
  <c r="S180" i="4" s="1"/>
  <c r="P182" i="4"/>
  <c r="S182" i="4" s="1"/>
  <c r="P183" i="4"/>
  <c r="S183" i="4" s="1"/>
  <c r="P184" i="4"/>
  <c r="S184" i="4" s="1"/>
  <c r="P189" i="4"/>
  <c r="S189" i="4" s="1"/>
  <c r="P190" i="4"/>
  <c r="S190" i="4" s="1"/>
  <c r="P219" i="4"/>
  <c r="S219" i="4" s="1"/>
  <c r="P220" i="4"/>
  <c r="S220" i="4" s="1"/>
  <c r="P225" i="4"/>
  <c r="S225" i="4" s="1"/>
  <c r="P226" i="4"/>
  <c r="S226" i="4" s="1"/>
  <c r="P227" i="4"/>
  <c r="S227" i="4" s="1"/>
  <c r="P228" i="4"/>
  <c r="S228" i="4" s="1"/>
  <c r="P232" i="4"/>
  <c r="S232" i="4" s="1"/>
  <c r="P233" i="4"/>
  <c r="S233" i="4" s="1"/>
  <c r="P246" i="4"/>
  <c r="S246" i="4" s="1"/>
  <c r="P247" i="4"/>
  <c r="S247" i="4" s="1"/>
  <c r="P248" i="4"/>
  <c r="S248" i="4" s="1"/>
  <c r="P258" i="4"/>
  <c r="S258" i="4" s="1"/>
  <c r="P262" i="4"/>
  <c r="S262" i="4" s="1"/>
  <c r="P263" i="4"/>
  <c r="S263" i="4" s="1"/>
  <c r="P265" i="4"/>
  <c r="S265" i="4" s="1"/>
  <c r="P266" i="4"/>
  <c r="S266" i="4" s="1"/>
  <c r="P270" i="4"/>
  <c r="S270" i="4" s="1"/>
  <c r="P278" i="4"/>
  <c r="S278" i="4" s="1"/>
  <c r="P287" i="4"/>
  <c r="S287" i="4" s="1"/>
  <c r="P291" i="4"/>
  <c r="S291" i="4" s="1"/>
  <c r="P292" i="4"/>
  <c r="S292" i="4" s="1"/>
  <c r="P296" i="4"/>
  <c r="S296" i="4" s="1"/>
  <c r="P297" i="4"/>
  <c r="S297" i="4" s="1"/>
  <c r="P306" i="4"/>
  <c r="S306" i="4" s="1"/>
  <c r="P307" i="4"/>
  <c r="S307" i="4" s="1"/>
  <c r="P337" i="4"/>
  <c r="S337" i="4" s="1"/>
  <c r="P351" i="4"/>
  <c r="S351" i="4" s="1"/>
  <c r="P352" i="4"/>
  <c r="S352" i="4" s="1"/>
  <c r="P353" i="4"/>
  <c r="S353" i="4" s="1"/>
  <c r="P360" i="4"/>
  <c r="S360" i="4" s="1"/>
  <c r="P361" i="4"/>
  <c r="S361" i="4" s="1"/>
  <c r="P362" i="4"/>
  <c r="S362" i="4" s="1"/>
  <c r="P375" i="4"/>
  <c r="S375" i="4" s="1"/>
  <c r="P376" i="4"/>
  <c r="S376" i="4" s="1"/>
  <c r="P377" i="4"/>
  <c r="S377" i="4" s="1"/>
  <c r="P378" i="4"/>
  <c r="S378" i="4" s="1"/>
  <c r="P379" i="4"/>
  <c r="S379" i="4" s="1"/>
  <c r="P386" i="4"/>
  <c r="S386" i="4" s="1"/>
  <c r="P396" i="4"/>
  <c r="S396" i="4" s="1"/>
  <c r="P399" i="4"/>
  <c r="S399" i="4" s="1"/>
  <c r="P400" i="4"/>
  <c r="S400" i="4" s="1"/>
  <c r="P401" i="4"/>
  <c r="S401" i="4" s="1"/>
  <c r="P405" i="4"/>
  <c r="S405" i="4" s="1"/>
  <c r="P411" i="4"/>
  <c r="S411" i="4" s="1"/>
  <c r="P412" i="4"/>
  <c r="S412" i="4" s="1"/>
  <c r="P413" i="4"/>
  <c r="S413" i="4" s="1"/>
  <c r="P414" i="4"/>
  <c r="S414" i="4" s="1"/>
  <c r="P415" i="4"/>
  <c r="S415" i="4" s="1"/>
  <c r="P416" i="4"/>
  <c r="S416" i="4" s="1"/>
  <c r="P417" i="4"/>
  <c r="S417" i="4" s="1"/>
  <c r="P418" i="4"/>
  <c r="S418" i="4" s="1"/>
  <c r="P419" i="4"/>
  <c r="S419" i="4" s="1"/>
  <c r="P421" i="4"/>
  <c r="S421" i="4" s="1"/>
  <c r="P422" i="4"/>
  <c r="S422" i="4" s="1"/>
  <c r="P438" i="4"/>
  <c r="S438" i="4" s="1"/>
  <c r="P445" i="4"/>
  <c r="S445" i="4" s="1"/>
  <c r="P446" i="4"/>
  <c r="S446" i="4" s="1"/>
  <c r="P449" i="4"/>
  <c r="S449" i="4" s="1"/>
  <c r="P454" i="4"/>
  <c r="S454" i="4" s="1"/>
  <c r="P455" i="4"/>
  <c r="S455" i="4" s="1"/>
  <c r="P456" i="4"/>
  <c r="S456" i="4" s="1"/>
  <c r="P461" i="4"/>
  <c r="S461" i="4" s="1"/>
  <c r="P469" i="4"/>
  <c r="S469" i="4" s="1"/>
  <c r="P470" i="4"/>
  <c r="S470" i="4" s="1"/>
  <c r="P471" i="4"/>
  <c r="S471" i="4" s="1"/>
  <c r="P483" i="4"/>
  <c r="S483" i="4" s="1"/>
  <c r="P490" i="4"/>
  <c r="S490" i="4" s="1"/>
  <c r="P496" i="4"/>
  <c r="S496" i="4" s="1"/>
  <c r="P503" i="4"/>
  <c r="S503" i="4" s="1"/>
  <c r="P504" i="4"/>
  <c r="S504" i="4" s="1"/>
  <c r="P505" i="4"/>
  <c r="S505" i="4" s="1"/>
  <c r="P515" i="4"/>
  <c r="S515" i="4" s="1"/>
  <c r="P520" i="4"/>
  <c r="S520" i="4" s="1"/>
  <c r="P524" i="4"/>
  <c r="S524" i="4" s="1"/>
  <c r="P525" i="4"/>
  <c r="S525" i="4" s="1"/>
  <c r="P526" i="4"/>
  <c r="S526" i="4" s="1"/>
  <c r="P527" i="4"/>
  <c r="S527" i="4" s="1"/>
  <c r="P533" i="4"/>
  <c r="S533" i="4" s="1"/>
  <c r="P539" i="4"/>
  <c r="S539" i="4" s="1"/>
  <c r="P540" i="4"/>
  <c r="S540" i="4" s="1"/>
  <c r="P551" i="4"/>
  <c r="S551" i="4" s="1"/>
  <c r="P552" i="4"/>
  <c r="S552" i="4" s="1"/>
  <c r="P553" i="4"/>
  <c r="S553" i="4" s="1"/>
  <c r="P559" i="4"/>
  <c r="S559" i="4" s="1"/>
  <c r="P560" i="4"/>
  <c r="S560" i="4" s="1"/>
  <c r="P561" i="4"/>
  <c r="S561" i="4" s="1"/>
  <c r="P562" i="4"/>
  <c r="S562" i="4" s="1"/>
  <c r="P563" i="4"/>
  <c r="S563" i="4" s="1"/>
  <c r="P564" i="4"/>
  <c r="S564" i="4" s="1"/>
  <c r="P570" i="4"/>
  <c r="S570" i="4" s="1"/>
  <c r="P572" i="4"/>
  <c r="S572" i="4" s="1"/>
  <c r="P586" i="4"/>
  <c r="S586" i="4" s="1"/>
  <c r="P587" i="4"/>
  <c r="S587" i="4" s="1"/>
  <c r="P594" i="4"/>
  <c r="S594" i="4" s="1"/>
  <c r="P608" i="4"/>
  <c r="S608" i="4" s="1"/>
  <c r="P609" i="4"/>
  <c r="S609" i="4" s="1"/>
  <c r="P619" i="4"/>
  <c r="S619" i="4" s="1"/>
  <c r="P642" i="4"/>
  <c r="S642" i="4" s="1"/>
  <c r="P645" i="4"/>
  <c r="S645" i="4" s="1"/>
  <c r="P646" i="4"/>
  <c r="S646" i="4" s="1"/>
  <c r="P651" i="4"/>
  <c r="S651" i="4" s="1"/>
  <c r="P652" i="4"/>
  <c r="S652" i="4" s="1"/>
  <c r="P653" i="4"/>
  <c r="S653" i="4" s="1"/>
  <c r="P658" i="4"/>
  <c r="S658" i="4" s="1"/>
  <c r="P659" i="4"/>
  <c r="S659" i="4" s="1"/>
  <c r="P660" i="4"/>
  <c r="S660" i="4" s="1"/>
  <c r="P661" i="4"/>
  <c r="S661" i="4" s="1"/>
  <c r="P662" i="4"/>
  <c r="S662" i="4" s="1"/>
  <c r="P677" i="4"/>
  <c r="S677" i="4" s="1"/>
  <c r="P678" i="4"/>
  <c r="S678" i="4" s="1"/>
  <c r="P684" i="4"/>
  <c r="S684" i="4" s="1"/>
  <c r="P713" i="4"/>
  <c r="S713" i="4" s="1"/>
  <c r="P722" i="4"/>
  <c r="S722" i="4" s="1"/>
  <c r="P723" i="4"/>
  <c r="S723" i="4" s="1"/>
  <c r="P724" i="4"/>
  <c r="S724" i="4" s="1"/>
  <c r="P726" i="4"/>
  <c r="S726" i="4" s="1"/>
  <c r="P727" i="4"/>
  <c r="S727" i="4" s="1"/>
  <c r="P728" i="4"/>
  <c r="S728" i="4" s="1"/>
  <c r="P732" i="4"/>
  <c r="S732" i="4" s="1"/>
  <c r="P733" i="4"/>
  <c r="S733" i="4" s="1"/>
  <c r="P736" i="4"/>
  <c r="S736" i="4" s="1"/>
  <c r="P737" i="4"/>
  <c r="S737" i="4" s="1"/>
  <c r="P738" i="4"/>
  <c r="S738" i="4" s="1"/>
  <c r="P739" i="4"/>
  <c r="S739" i="4" s="1"/>
  <c r="P740" i="4"/>
  <c r="S740" i="4" s="1"/>
  <c r="P755" i="4"/>
  <c r="S755" i="4" s="1"/>
  <c r="P765" i="4"/>
  <c r="S765" i="4" s="1"/>
  <c r="P767" i="4"/>
  <c r="S767" i="4" s="1"/>
  <c r="P770" i="4"/>
  <c r="S770" i="4" s="1"/>
  <c r="P772" i="4"/>
  <c r="S772" i="4" s="1"/>
  <c r="P776" i="4"/>
  <c r="S776" i="4" s="1"/>
  <c r="P777" i="4"/>
  <c r="S777" i="4" s="1"/>
  <c r="P778" i="4"/>
  <c r="S778" i="4" s="1"/>
  <c r="P780" i="4"/>
  <c r="S780" i="4" s="1"/>
  <c r="P783" i="4"/>
  <c r="S783" i="4" s="1"/>
  <c r="P784" i="4"/>
  <c r="S784" i="4" s="1"/>
  <c r="P785" i="4"/>
  <c r="S785" i="4" s="1"/>
  <c r="P787" i="4"/>
  <c r="S787" i="4" s="1"/>
  <c r="P788" i="4"/>
  <c r="S788" i="4" s="1"/>
  <c r="P791" i="4"/>
  <c r="S791" i="4" s="1"/>
  <c r="P792" i="4"/>
  <c r="S792" i="4" s="1"/>
  <c r="P793" i="4"/>
  <c r="S793" i="4" s="1"/>
  <c r="P800" i="4"/>
  <c r="S800" i="4" s="1"/>
  <c r="P801" i="4"/>
  <c r="S801" i="4" s="1"/>
  <c r="P802" i="4"/>
  <c r="S802" i="4" s="1"/>
  <c r="P804" i="4"/>
  <c r="S804" i="4" s="1"/>
  <c r="P805" i="4"/>
  <c r="S805" i="4" s="1"/>
  <c r="P806" i="4"/>
  <c r="S806" i="4" s="1"/>
  <c r="P810" i="4"/>
  <c r="S810" i="4" s="1"/>
  <c r="P816" i="4"/>
  <c r="S816" i="4" s="1"/>
  <c r="P817" i="4"/>
  <c r="S817" i="4" s="1"/>
  <c r="P822" i="4"/>
  <c r="S822" i="4" s="1"/>
  <c r="P824" i="4"/>
  <c r="S824" i="4" s="1"/>
  <c r="P831" i="4"/>
  <c r="S831" i="4" s="1"/>
  <c r="P832" i="4"/>
  <c r="S832" i="4" s="1"/>
  <c r="P833" i="4"/>
  <c r="S833" i="4" s="1"/>
  <c r="P834" i="4"/>
  <c r="S834" i="4" s="1"/>
  <c r="P840" i="4"/>
  <c r="S840" i="4" s="1"/>
  <c r="P843" i="4"/>
  <c r="S843" i="4" s="1"/>
  <c r="P844" i="4"/>
  <c r="S844" i="4" s="1"/>
  <c r="P845" i="4"/>
  <c r="S845" i="4" s="1"/>
  <c r="P850" i="4"/>
  <c r="S850" i="4" s="1"/>
  <c r="P860" i="4"/>
  <c r="S860" i="4" s="1"/>
  <c r="P861" i="4"/>
  <c r="S861" i="4" s="1"/>
  <c r="P862" i="4"/>
  <c r="S862" i="4" s="1"/>
  <c r="P863" i="4"/>
  <c r="S863" i="4" s="1"/>
  <c r="P865" i="4"/>
  <c r="S865" i="4" s="1"/>
  <c r="P874" i="4"/>
  <c r="S874" i="4" s="1"/>
  <c r="P875" i="4"/>
  <c r="S875" i="4" s="1"/>
  <c r="P881" i="4"/>
  <c r="S881" i="4" s="1"/>
  <c r="P885" i="4"/>
  <c r="S885" i="4" s="1"/>
  <c r="P887" i="4"/>
  <c r="S887" i="4" s="1"/>
  <c r="P888" i="4"/>
  <c r="S888" i="4" s="1"/>
  <c r="P889" i="4"/>
  <c r="S889" i="4" s="1"/>
  <c r="P890" i="4"/>
  <c r="S890" i="4" s="1"/>
  <c r="P891" i="4"/>
  <c r="S891" i="4" s="1"/>
  <c r="P892" i="4"/>
  <c r="S892" i="4" s="1"/>
  <c r="P897" i="4"/>
  <c r="S897" i="4" s="1"/>
  <c r="P901" i="4"/>
  <c r="S901" i="4" s="1"/>
  <c r="P902" i="4"/>
  <c r="S902" i="4" s="1"/>
  <c r="P903" i="4"/>
  <c r="S903" i="4" s="1"/>
  <c r="P905" i="4"/>
  <c r="S905" i="4" s="1"/>
  <c r="P906" i="4"/>
  <c r="S906" i="4" s="1"/>
  <c r="P913" i="4"/>
  <c r="S913" i="4" s="1"/>
  <c r="P914" i="4"/>
  <c r="S914" i="4" s="1"/>
  <c r="P915" i="4"/>
  <c r="S915" i="4" s="1"/>
  <c r="P916" i="4"/>
  <c r="S916" i="4" s="1"/>
  <c r="P920" i="4"/>
  <c r="S920" i="4" s="1"/>
  <c r="P921" i="4"/>
  <c r="S921" i="4" s="1"/>
  <c r="P922" i="4"/>
  <c r="S922" i="4" s="1"/>
  <c r="P927" i="4"/>
  <c r="S927" i="4" s="1"/>
  <c r="P928" i="4"/>
  <c r="S928" i="4" s="1"/>
  <c r="P930" i="4"/>
  <c r="S930" i="4" s="1"/>
  <c r="P931" i="4"/>
  <c r="S931" i="4" s="1"/>
  <c r="P937" i="4"/>
  <c r="S937" i="4" s="1"/>
  <c r="P943" i="4"/>
  <c r="S943" i="4" s="1"/>
  <c r="P946" i="4"/>
  <c r="S946" i="4" s="1"/>
  <c r="P947" i="4"/>
  <c r="S947" i="4" s="1"/>
  <c r="P948" i="4"/>
  <c r="S948" i="4" s="1"/>
  <c r="P949" i="4"/>
  <c r="S949" i="4" s="1"/>
  <c r="P950" i="4"/>
  <c r="S950" i="4" s="1"/>
  <c r="P951" i="4"/>
  <c r="S951" i="4" s="1"/>
  <c r="P952" i="4"/>
  <c r="S952" i="4" s="1"/>
  <c r="P954" i="4"/>
  <c r="S954" i="4" s="1"/>
  <c r="P955" i="4"/>
  <c r="S955" i="4" s="1"/>
  <c r="P956" i="4"/>
  <c r="S956" i="4" s="1"/>
  <c r="P957" i="4"/>
  <c r="S957" i="4" s="1"/>
  <c r="P958" i="4"/>
  <c r="S958" i="4" s="1"/>
  <c r="P961" i="4"/>
  <c r="S961" i="4" s="1"/>
  <c r="P962" i="4"/>
  <c r="S962" i="4" s="1"/>
  <c r="P963" i="4"/>
  <c r="S963" i="4" s="1"/>
  <c r="P964" i="4"/>
  <c r="S964" i="4" s="1"/>
  <c r="P965" i="4"/>
  <c r="S965" i="4" s="1"/>
  <c r="P966" i="4"/>
  <c r="S966" i="4" s="1"/>
  <c r="P967" i="4"/>
  <c r="S967" i="4" s="1"/>
  <c r="P968" i="4"/>
  <c r="S968" i="4" s="1"/>
  <c r="P969" i="4"/>
  <c r="S969" i="4" s="1"/>
  <c r="P976" i="4"/>
  <c r="S976" i="4" s="1"/>
  <c r="P977" i="4"/>
  <c r="S977" i="4" s="1"/>
  <c r="P979" i="4"/>
  <c r="S979" i="4" s="1"/>
  <c r="P980" i="4"/>
  <c r="S980" i="4" s="1"/>
  <c r="P984" i="4"/>
  <c r="S984" i="4" s="1"/>
  <c r="P985" i="4"/>
  <c r="S985" i="4" s="1"/>
  <c r="P986" i="4"/>
  <c r="S986" i="4" s="1"/>
  <c r="P987" i="4"/>
  <c r="S987" i="4" s="1"/>
  <c r="P988" i="4"/>
  <c r="S988" i="4" s="1"/>
  <c r="P989" i="4"/>
  <c r="S989" i="4" s="1"/>
  <c r="P990" i="4"/>
  <c r="S990" i="4" s="1"/>
  <c r="P991" i="4"/>
  <c r="S991" i="4" s="1"/>
  <c r="P993" i="4"/>
  <c r="S993" i="4" s="1"/>
  <c r="P994" i="4"/>
  <c r="S994" i="4" s="1"/>
  <c r="P995" i="4"/>
  <c r="S995" i="4" s="1"/>
  <c r="P997" i="4"/>
  <c r="S997" i="4" s="1"/>
  <c r="P998" i="4"/>
  <c r="S998" i="4" s="1"/>
  <c r="P999" i="4"/>
  <c r="S999" i="4" s="1"/>
  <c r="P1000" i="4"/>
  <c r="S1000" i="4" s="1"/>
  <c r="P1001" i="4"/>
  <c r="S1001" i="4" s="1"/>
  <c r="P1002" i="4"/>
  <c r="S1002" i="4" s="1"/>
  <c r="P1003" i="4"/>
  <c r="S1003" i="4" s="1"/>
  <c r="P1004" i="4"/>
  <c r="S1004" i="4" s="1"/>
  <c r="P1006" i="4"/>
  <c r="S1006" i="4" s="1"/>
  <c r="P1007" i="4"/>
  <c r="S1007" i="4" s="1"/>
  <c r="P1008" i="4"/>
  <c r="S1008" i="4" s="1"/>
  <c r="P1009" i="4"/>
  <c r="S1009" i="4" s="1"/>
  <c r="P1010" i="4"/>
  <c r="S1010" i="4" s="1"/>
  <c r="P1011" i="4"/>
  <c r="S1011" i="4" s="1"/>
  <c r="P1012" i="4"/>
  <c r="S1012" i="4" s="1"/>
  <c r="P1013" i="4"/>
  <c r="S1013" i="4" s="1"/>
  <c r="P1014" i="4"/>
  <c r="S1014" i="4" s="1"/>
  <c r="P1015" i="4"/>
  <c r="S1015" i="4" s="1"/>
  <c r="P1016" i="4"/>
  <c r="S1016" i="4" s="1"/>
  <c r="P1017" i="4"/>
  <c r="S1017" i="4" s="1"/>
  <c r="P1018" i="4"/>
  <c r="S1018" i="4" s="1"/>
  <c r="P1019" i="4"/>
  <c r="S1019" i="4" s="1"/>
  <c r="P1020" i="4"/>
  <c r="S1020" i="4" s="1"/>
  <c r="P1021" i="4"/>
  <c r="S1021" i="4" s="1"/>
  <c r="P1022" i="4"/>
  <c r="S1022" i="4" s="1"/>
  <c r="P1023" i="4"/>
  <c r="S1023" i="4" s="1"/>
  <c r="P1024" i="4"/>
  <c r="S1024" i="4" s="1"/>
  <c r="P1025" i="4"/>
  <c r="S1025" i="4" s="1"/>
  <c r="P1026" i="4"/>
  <c r="S1026" i="4" s="1"/>
  <c r="P1027" i="4"/>
  <c r="S1027" i="4" s="1"/>
  <c r="P1028" i="4"/>
  <c r="S1028" i="4" s="1"/>
  <c r="P1029" i="4"/>
  <c r="S1029" i="4" s="1"/>
  <c r="P1030" i="4"/>
  <c r="S1030" i="4" s="1"/>
  <c r="P1031" i="4"/>
  <c r="S1031" i="4" s="1"/>
  <c r="P1032" i="4"/>
  <c r="S1032" i="4" s="1"/>
  <c r="P1033" i="4"/>
  <c r="S1033" i="4" s="1"/>
  <c r="P1034" i="4"/>
  <c r="S1034" i="4" s="1"/>
  <c r="P1037" i="4"/>
  <c r="S1037" i="4" s="1"/>
  <c r="P1038" i="4"/>
  <c r="S1038" i="4" s="1"/>
  <c r="P1039" i="4"/>
  <c r="S1039" i="4" s="1"/>
  <c r="P1040" i="4"/>
  <c r="S1040" i="4" s="1"/>
  <c r="P1041" i="4"/>
  <c r="S1041" i="4" s="1"/>
  <c r="P1042" i="4"/>
  <c r="S1042" i="4" s="1"/>
  <c r="P1045" i="4"/>
  <c r="S1045" i="4" s="1"/>
  <c r="P1046" i="4"/>
  <c r="S1046" i="4" s="1"/>
  <c r="P1047" i="4"/>
  <c r="S1047" i="4" s="1"/>
  <c r="P1048" i="4"/>
  <c r="S1048" i="4" s="1"/>
  <c r="P1049" i="4"/>
  <c r="S1049" i="4" s="1"/>
  <c r="P1050" i="4"/>
  <c r="S1050" i="4" s="1"/>
  <c r="P1051" i="4"/>
  <c r="S1051" i="4" s="1"/>
  <c r="P1052" i="4"/>
  <c r="S1052" i="4" s="1"/>
  <c r="P1053" i="4"/>
  <c r="S1053" i="4" s="1"/>
  <c r="P1054" i="4"/>
  <c r="S1054" i="4" s="1"/>
  <c r="P1056" i="4"/>
  <c r="S1056" i="4" s="1"/>
  <c r="P1057" i="4"/>
  <c r="S1057" i="4" s="1"/>
  <c r="P1058" i="4"/>
  <c r="S1058" i="4" s="1"/>
  <c r="P1059" i="4"/>
  <c r="S1059" i="4" s="1"/>
  <c r="P1060" i="4"/>
  <c r="S1060" i="4" s="1"/>
  <c r="P1061" i="4"/>
  <c r="S1061" i="4" s="1"/>
  <c r="P1062" i="4"/>
  <c r="S1062" i="4" s="1"/>
  <c r="P1063" i="4"/>
  <c r="S1063" i="4" s="1"/>
  <c r="P1064" i="4"/>
  <c r="S1064" i="4" s="1"/>
  <c r="P1065" i="4"/>
  <c r="S1065" i="4" s="1"/>
  <c r="P1066" i="4"/>
  <c r="S1066" i="4" s="1"/>
  <c r="P1067" i="4"/>
  <c r="S1067" i="4" s="1"/>
  <c r="P1068" i="4"/>
  <c r="S1068" i="4" s="1"/>
  <c r="P1071" i="4"/>
  <c r="S1071" i="4" s="1"/>
  <c r="P1073" i="4"/>
  <c r="S1073" i="4" s="1"/>
  <c r="P1074" i="4"/>
  <c r="S1074" i="4" s="1"/>
  <c r="P1075" i="4"/>
  <c r="S1075" i="4" s="1"/>
  <c r="P1076" i="4"/>
  <c r="S1076" i="4" s="1"/>
  <c r="P1077" i="4"/>
  <c r="S1077" i="4" s="1"/>
  <c r="P1078" i="4"/>
  <c r="S1078" i="4" s="1"/>
  <c r="P1079" i="4"/>
  <c r="S1079" i="4" s="1"/>
  <c r="P1080" i="4"/>
  <c r="S1080" i="4" s="1"/>
  <c r="P1081" i="4"/>
  <c r="S1081" i="4" s="1"/>
  <c r="P1082" i="4"/>
  <c r="S1082" i="4" s="1"/>
  <c r="P1083" i="4"/>
  <c r="S1083" i="4" s="1"/>
  <c r="P1085" i="4"/>
  <c r="S1085" i="4" s="1"/>
  <c r="P1086" i="4"/>
  <c r="S1086" i="4" s="1"/>
  <c r="P1087" i="4"/>
  <c r="S1087" i="4" s="1"/>
  <c r="P1088" i="4"/>
  <c r="S1088" i="4" s="1"/>
  <c r="P1089" i="4"/>
  <c r="S1089" i="4" s="1"/>
  <c r="P1091" i="4"/>
  <c r="S1091" i="4" s="1"/>
  <c r="P1093" i="4"/>
  <c r="S1093" i="4" s="1"/>
  <c r="P1095" i="4"/>
  <c r="S1095" i="4" s="1"/>
  <c r="P1096" i="4"/>
  <c r="S1096" i="4" s="1"/>
  <c r="P1097" i="4"/>
  <c r="S1097" i="4" s="1"/>
  <c r="P1098" i="4"/>
  <c r="S1098" i="4" s="1"/>
  <c r="P1099" i="4"/>
  <c r="S1099" i="4" s="1"/>
  <c r="P1100" i="4"/>
  <c r="S1100" i="4" s="1"/>
  <c r="P1101" i="4"/>
  <c r="S1101" i="4" s="1"/>
  <c r="P1102" i="4"/>
  <c r="S1102" i="4" s="1"/>
  <c r="P1103" i="4"/>
  <c r="S1103" i="4" s="1"/>
  <c r="P1104" i="4"/>
  <c r="S1104" i="4" s="1"/>
  <c r="P1105" i="4"/>
  <c r="S1105" i="4" s="1"/>
  <c r="P1106" i="4"/>
  <c r="S1106" i="4" s="1"/>
  <c r="P1107" i="4"/>
  <c r="S1107" i="4" s="1"/>
  <c r="P1108" i="4"/>
  <c r="S1108" i="4" s="1"/>
  <c r="P1109" i="4"/>
  <c r="S1109" i="4" s="1"/>
  <c r="P1110" i="4"/>
  <c r="S1110" i="4" s="1"/>
  <c r="P1111" i="4"/>
  <c r="S1111" i="4" s="1"/>
  <c r="P1112" i="4"/>
  <c r="S1112" i="4" s="1"/>
  <c r="P1113" i="4"/>
  <c r="S1113" i="4" s="1"/>
  <c r="P1114" i="4"/>
  <c r="S1114" i="4" s="1"/>
  <c r="P1118" i="4"/>
  <c r="S1118" i="4" s="1"/>
  <c r="P1119" i="4"/>
  <c r="S1119" i="4" s="1"/>
  <c r="P1120" i="4"/>
  <c r="S1120" i="4" s="1"/>
  <c r="P1121" i="4"/>
  <c r="S1121" i="4" s="1"/>
  <c r="P1124" i="4"/>
  <c r="S1124" i="4" s="1"/>
  <c r="P1130" i="4"/>
  <c r="S1130" i="4" s="1"/>
  <c r="P1133" i="4"/>
  <c r="S1133" i="4" s="1"/>
  <c r="P1134" i="4"/>
  <c r="S1134" i="4" s="1"/>
  <c r="P1137" i="4"/>
  <c r="S1137" i="4" s="1"/>
  <c r="P1138" i="4"/>
  <c r="S1138" i="4" s="1"/>
  <c r="P1139" i="4"/>
  <c r="S1139" i="4" s="1"/>
  <c r="P1144" i="4"/>
  <c r="S1144" i="4" s="1"/>
  <c r="P1146" i="4"/>
  <c r="S1146" i="4" s="1"/>
  <c r="P1147" i="4"/>
  <c r="S1147" i="4" s="1"/>
  <c r="P1148" i="4"/>
  <c r="S1148" i="4" s="1"/>
  <c r="P1149" i="4"/>
  <c r="S1149" i="4" s="1"/>
  <c r="P1150" i="4"/>
  <c r="S1150" i="4" s="1"/>
  <c r="P1151" i="4"/>
  <c r="S1151" i="4" s="1"/>
  <c r="P1152" i="4"/>
  <c r="S1152" i="4" s="1"/>
  <c r="P1153" i="4"/>
  <c r="S1153" i="4" s="1"/>
  <c r="P1154" i="4"/>
  <c r="S1154" i="4" s="1"/>
  <c r="P1156" i="4"/>
  <c r="S1156" i="4" s="1"/>
  <c r="P1158" i="4"/>
  <c r="S1158" i="4" s="1"/>
  <c r="P1159" i="4"/>
  <c r="S1159" i="4" s="1"/>
  <c r="P1160" i="4"/>
  <c r="S1160" i="4" s="1"/>
  <c r="P1161" i="4"/>
  <c r="S1161" i="4" s="1"/>
  <c r="P1162" i="4"/>
  <c r="S1162" i="4" s="1"/>
  <c r="P1163" i="4"/>
  <c r="S1163" i="4" s="1"/>
  <c r="P1164" i="4"/>
  <c r="S1164" i="4" s="1"/>
  <c r="P1165" i="4"/>
  <c r="S1165" i="4" s="1"/>
  <c r="P1166" i="4"/>
  <c r="S1166" i="4" s="1"/>
  <c r="P1167" i="4"/>
  <c r="S1167" i="4" s="1"/>
  <c r="P1168" i="4"/>
  <c r="S1168" i="4" s="1"/>
  <c r="P1169" i="4"/>
  <c r="S1169" i="4" s="1"/>
  <c r="P1171" i="4"/>
  <c r="S1171" i="4" s="1"/>
  <c r="P1172" i="4"/>
  <c r="S1172" i="4" s="1"/>
  <c r="P1173" i="4"/>
  <c r="S1173" i="4" s="1"/>
  <c r="P1174" i="4"/>
  <c r="S1174" i="4" s="1"/>
  <c r="P1175" i="4"/>
  <c r="S1175" i="4" s="1"/>
  <c r="P1176" i="4"/>
  <c r="S1176" i="4" s="1"/>
  <c r="P1177" i="4"/>
  <c r="S1177" i="4" s="1"/>
  <c r="P1178" i="4"/>
  <c r="S1178" i="4" s="1"/>
  <c r="P1179" i="4"/>
  <c r="S1179" i="4" s="1"/>
  <c r="P1180" i="4"/>
  <c r="S1180" i="4" s="1"/>
  <c r="P1181" i="4"/>
  <c r="S1181" i="4" s="1"/>
  <c r="P1182" i="4"/>
  <c r="S1182" i="4" s="1"/>
  <c r="P1183" i="4"/>
  <c r="S1183" i="4" s="1"/>
  <c r="P1184" i="4"/>
  <c r="S1184" i="4" s="1"/>
  <c r="P1185" i="4"/>
  <c r="S1185" i="4" s="1"/>
  <c r="P1186" i="4"/>
  <c r="S1186" i="4" s="1"/>
  <c r="P1187" i="4"/>
  <c r="S1187" i="4" s="1"/>
  <c r="P1188" i="4"/>
  <c r="S1188" i="4" s="1"/>
  <c r="P1189" i="4"/>
  <c r="S1189" i="4" s="1"/>
  <c r="P1190" i="4"/>
  <c r="S1190" i="4" s="1"/>
  <c r="P1191" i="4"/>
  <c r="S1191" i="4" s="1"/>
  <c r="P1192" i="4"/>
  <c r="S1192" i="4" s="1"/>
  <c r="P1193" i="4"/>
  <c r="S1193" i="4" s="1"/>
  <c r="P1194" i="4"/>
  <c r="S1194" i="4" s="1"/>
  <c r="P1195" i="4"/>
  <c r="S1195" i="4" s="1"/>
  <c r="P1196" i="4"/>
  <c r="S1196" i="4" s="1"/>
  <c r="P1197" i="4"/>
  <c r="S1197" i="4" s="1"/>
  <c r="P1198" i="4"/>
  <c r="S1198" i="4" s="1"/>
  <c r="P1199" i="4"/>
  <c r="S1199" i="4" s="1"/>
  <c r="P1200" i="4"/>
  <c r="S1200" i="4" s="1"/>
  <c r="P1201" i="4"/>
  <c r="S1201" i="4" s="1"/>
  <c r="P1202" i="4"/>
  <c r="S1202" i="4" s="1"/>
  <c r="P1203" i="4"/>
  <c r="S1203" i="4" s="1"/>
  <c r="P1204" i="4"/>
  <c r="S1204" i="4" s="1"/>
  <c r="P1205" i="4"/>
  <c r="S1205" i="4" s="1"/>
  <c r="P1206" i="4"/>
  <c r="S1206" i="4" s="1"/>
  <c r="P1207" i="4"/>
  <c r="S1207" i="4" s="1"/>
  <c r="P1209" i="4"/>
  <c r="S1209" i="4" s="1"/>
  <c r="P1210" i="4"/>
  <c r="S1210" i="4" s="1"/>
  <c r="P1211" i="4"/>
  <c r="S1211" i="4" s="1"/>
  <c r="P1212" i="4"/>
  <c r="S1212" i="4" s="1"/>
  <c r="P1214" i="4"/>
  <c r="S1214" i="4" s="1"/>
  <c r="P1215" i="4"/>
  <c r="S1215" i="4" s="1"/>
  <c r="P1216" i="4"/>
  <c r="S1216" i="4" s="1"/>
  <c r="P1217" i="4"/>
  <c r="S1217" i="4" s="1"/>
  <c r="P1218" i="4"/>
  <c r="S1218" i="4" s="1"/>
  <c r="P1219" i="4"/>
  <c r="S1219" i="4" s="1"/>
  <c r="P1220" i="4"/>
  <c r="S1220" i="4" s="1"/>
  <c r="P1223" i="4"/>
  <c r="S1223" i="4" s="1"/>
  <c r="P1224" i="4"/>
  <c r="S1224" i="4" s="1"/>
  <c r="P1225" i="4"/>
  <c r="S1225" i="4" s="1"/>
  <c r="P1226" i="4"/>
  <c r="S1226" i="4" s="1"/>
  <c r="P1228" i="4"/>
  <c r="S1228" i="4" s="1"/>
  <c r="P1229" i="4"/>
  <c r="S1229" i="4" s="1"/>
  <c r="P1230" i="4"/>
  <c r="S1230" i="4" s="1"/>
  <c r="P1231" i="4"/>
  <c r="S1231" i="4" s="1"/>
  <c r="P1232" i="4"/>
  <c r="S1232" i="4" s="1"/>
  <c r="P1233" i="4"/>
  <c r="S1233" i="4" s="1"/>
  <c r="P1234" i="4"/>
  <c r="S1234" i="4" s="1"/>
  <c r="P1235" i="4"/>
  <c r="S1235" i="4" s="1"/>
  <c r="P1236" i="4"/>
  <c r="S1236" i="4" s="1"/>
  <c r="P1243" i="4"/>
  <c r="S1243" i="4" s="1"/>
  <c r="P1246" i="4"/>
  <c r="S1246" i="4" s="1"/>
  <c r="P1247" i="4"/>
  <c r="S1247" i="4" s="1"/>
  <c r="P1248" i="4"/>
  <c r="S1248" i="4" s="1"/>
  <c r="P1249" i="4"/>
  <c r="S1249" i="4" s="1"/>
  <c r="P1253" i="4"/>
  <c r="S1253" i="4" s="1"/>
  <c r="P1254" i="4"/>
  <c r="S1254" i="4" s="1"/>
  <c r="P1255" i="4"/>
  <c r="S1255" i="4" s="1"/>
  <c r="P1256" i="4"/>
  <c r="S1256" i="4" s="1"/>
  <c r="P1259" i="4"/>
  <c r="S1259" i="4" s="1"/>
  <c r="P1260" i="4"/>
  <c r="S1260" i="4" s="1"/>
  <c r="P1261" i="4"/>
  <c r="S1261" i="4" s="1"/>
  <c r="R24" i="4"/>
  <c r="R25" i="4"/>
  <c r="R28" i="4"/>
  <c r="R29" i="4"/>
  <c r="R38" i="4"/>
  <c r="R39" i="4"/>
  <c r="R51" i="4"/>
  <c r="R53" i="4"/>
  <c r="R54" i="4"/>
  <c r="R58" i="4"/>
  <c r="R59" i="4"/>
  <c r="R67" i="4"/>
  <c r="R73" i="4"/>
  <c r="R74" i="4"/>
  <c r="R75" i="4"/>
  <c r="R76" i="4"/>
  <c r="R83" i="4"/>
  <c r="R84" i="4"/>
  <c r="R86" i="4"/>
  <c r="R98" i="4"/>
  <c r="R99" i="4"/>
  <c r="R102" i="4"/>
  <c r="R103" i="4"/>
  <c r="R104" i="4"/>
  <c r="R105" i="4"/>
  <c r="R107" i="4"/>
  <c r="R108" i="4"/>
  <c r="R109" i="4"/>
  <c r="R110" i="4"/>
  <c r="R117" i="4"/>
  <c r="R118" i="4"/>
  <c r="R119" i="4"/>
  <c r="R120" i="4"/>
  <c r="R131" i="4"/>
  <c r="R132" i="4"/>
  <c r="R133" i="4"/>
  <c r="R139" i="4"/>
  <c r="R140" i="4"/>
  <c r="R144" i="4"/>
  <c r="R145" i="4"/>
  <c r="R146" i="4"/>
  <c r="R147" i="4"/>
  <c r="R156" i="4"/>
  <c r="R157" i="4"/>
  <c r="R158" i="4"/>
  <c r="R159" i="4"/>
  <c r="R160" i="4"/>
  <c r="R161" i="4"/>
  <c r="R168" i="4"/>
  <c r="R177" i="4"/>
  <c r="R180" i="4"/>
  <c r="R182" i="4"/>
  <c r="R183" i="4"/>
  <c r="R184" i="4"/>
  <c r="R189" i="4"/>
  <c r="R190" i="4"/>
  <c r="R219" i="4"/>
  <c r="R220" i="4"/>
  <c r="R225" i="4"/>
  <c r="R226" i="4"/>
  <c r="R227" i="4"/>
  <c r="R228" i="4"/>
  <c r="R232" i="4"/>
  <c r="R233" i="4"/>
  <c r="R246" i="4"/>
  <c r="R247" i="4"/>
  <c r="R248" i="4"/>
  <c r="R258" i="4"/>
  <c r="R262" i="4"/>
  <c r="R263" i="4"/>
  <c r="R265" i="4"/>
  <c r="R266" i="4"/>
  <c r="R270" i="4"/>
  <c r="R278" i="4"/>
  <c r="R287" i="4"/>
  <c r="R291" i="4"/>
  <c r="R292" i="4"/>
  <c r="R296" i="4"/>
  <c r="R297" i="4"/>
  <c r="R306" i="4"/>
  <c r="R307" i="4"/>
  <c r="R337" i="4"/>
  <c r="R351" i="4"/>
  <c r="R352" i="4"/>
  <c r="R353" i="4"/>
  <c r="R360" i="4"/>
  <c r="R361" i="4"/>
  <c r="R362" i="4"/>
  <c r="R375" i="4"/>
  <c r="R376" i="4"/>
  <c r="R377" i="4"/>
  <c r="R378" i="4"/>
  <c r="R379" i="4"/>
  <c r="R386" i="4"/>
  <c r="R396" i="4"/>
  <c r="R399" i="4"/>
  <c r="R400" i="4"/>
  <c r="R401" i="4"/>
  <c r="R405" i="4"/>
  <c r="R411" i="4"/>
  <c r="R412" i="4"/>
  <c r="R413" i="4"/>
  <c r="R414" i="4"/>
  <c r="R415" i="4"/>
  <c r="R416" i="4"/>
  <c r="R417" i="4"/>
  <c r="R418" i="4"/>
  <c r="R419" i="4"/>
  <c r="R421" i="4"/>
  <c r="R422" i="4"/>
  <c r="R438" i="4"/>
  <c r="R445" i="4"/>
  <c r="R446" i="4"/>
  <c r="R449" i="4"/>
  <c r="R454" i="4"/>
  <c r="R455" i="4"/>
  <c r="R456" i="4"/>
  <c r="R461" i="4"/>
  <c r="R469" i="4"/>
  <c r="R470" i="4"/>
  <c r="R471" i="4"/>
  <c r="R483" i="4"/>
  <c r="R490" i="4"/>
  <c r="R496" i="4"/>
  <c r="R503" i="4"/>
  <c r="R504" i="4"/>
  <c r="R505" i="4"/>
  <c r="R515" i="4"/>
  <c r="R520" i="4"/>
  <c r="R524" i="4"/>
  <c r="R525" i="4"/>
  <c r="R526" i="4"/>
  <c r="R527" i="4"/>
  <c r="R533" i="4"/>
  <c r="R539" i="4"/>
  <c r="R540" i="4"/>
  <c r="R551" i="4"/>
  <c r="R552" i="4"/>
  <c r="R553" i="4"/>
  <c r="R559" i="4"/>
  <c r="R560" i="4"/>
  <c r="R561" i="4"/>
  <c r="R562" i="4"/>
  <c r="R563" i="4"/>
  <c r="R564" i="4"/>
  <c r="R570" i="4"/>
  <c r="R572" i="4"/>
  <c r="R586" i="4"/>
  <c r="R587" i="4"/>
  <c r="R594" i="4"/>
  <c r="R608" i="4"/>
  <c r="R609" i="4"/>
  <c r="R619" i="4"/>
  <c r="R642" i="4"/>
  <c r="R645" i="4"/>
  <c r="R646" i="4"/>
  <c r="R651" i="4"/>
  <c r="R652" i="4"/>
  <c r="R653" i="4"/>
  <c r="R658" i="4"/>
  <c r="R659" i="4"/>
  <c r="R660" i="4"/>
  <c r="R661" i="4"/>
  <c r="R662" i="4"/>
  <c r="R677" i="4"/>
  <c r="R678" i="4"/>
  <c r="R684" i="4"/>
  <c r="R713" i="4"/>
  <c r="R722" i="4"/>
  <c r="R723" i="4"/>
  <c r="R724" i="4"/>
  <c r="R726" i="4"/>
  <c r="R727" i="4"/>
  <c r="R728" i="4"/>
  <c r="R732" i="4"/>
  <c r="R733" i="4"/>
  <c r="R736" i="4"/>
  <c r="R737" i="4"/>
  <c r="R738" i="4"/>
  <c r="R739" i="4"/>
  <c r="R740" i="4"/>
  <c r="R755" i="4"/>
  <c r="R765" i="4"/>
  <c r="R767" i="4"/>
  <c r="R770" i="4"/>
  <c r="R772" i="4"/>
  <c r="R776" i="4"/>
  <c r="R777" i="4"/>
  <c r="R778" i="4"/>
  <c r="R780" i="4"/>
  <c r="R783" i="4"/>
  <c r="R784" i="4"/>
  <c r="R785" i="4"/>
  <c r="R787" i="4"/>
  <c r="R788" i="4"/>
  <c r="R791" i="4"/>
  <c r="R792" i="4"/>
  <c r="R793" i="4"/>
  <c r="R800" i="4"/>
  <c r="R801" i="4"/>
  <c r="R802" i="4"/>
  <c r="R804" i="4"/>
  <c r="R805" i="4"/>
  <c r="R806" i="4"/>
  <c r="R810" i="4"/>
  <c r="R816" i="4"/>
  <c r="R817" i="4"/>
  <c r="R822" i="4"/>
  <c r="R824" i="4"/>
  <c r="R831" i="4"/>
  <c r="R832" i="4"/>
  <c r="R833" i="4"/>
  <c r="R834" i="4"/>
  <c r="R840" i="4"/>
  <c r="R843" i="4"/>
  <c r="R844" i="4"/>
  <c r="R845" i="4"/>
  <c r="R850" i="4"/>
  <c r="R860" i="4"/>
  <c r="R861" i="4"/>
  <c r="R862" i="4"/>
  <c r="R863" i="4"/>
  <c r="R865" i="4"/>
  <c r="R874" i="4"/>
  <c r="R875" i="4"/>
  <c r="R881" i="4"/>
  <c r="R885" i="4"/>
  <c r="R887" i="4"/>
  <c r="R888" i="4"/>
  <c r="R889" i="4"/>
  <c r="R890" i="4"/>
  <c r="R891" i="4"/>
  <c r="R892" i="4"/>
  <c r="R897" i="4"/>
  <c r="R901" i="4"/>
  <c r="R902" i="4"/>
  <c r="R903" i="4"/>
  <c r="R905" i="4"/>
  <c r="R906" i="4"/>
  <c r="R913" i="4"/>
  <c r="R914" i="4"/>
  <c r="R915" i="4"/>
  <c r="R916" i="4"/>
  <c r="R920" i="4"/>
  <c r="R921" i="4"/>
  <c r="R922" i="4"/>
  <c r="R927" i="4"/>
  <c r="R928" i="4"/>
  <c r="R930" i="4"/>
  <c r="R931" i="4"/>
  <c r="R937" i="4"/>
  <c r="R943" i="4"/>
  <c r="R946" i="4"/>
  <c r="R947" i="4"/>
  <c r="R948" i="4"/>
  <c r="R949" i="4"/>
  <c r="R950" i="4"/>
  <c r="R951" i="4"/>
  <c r="R952" i="4"/>
  <c r="R954" i="4"/>
  <c r="R955" i="4"/>
  <c r="R956" i="4"/>
  <c r="R957" i="4"/>
  <c r="R958" i="4"/>
  <c r="R961" i="4"/>
  <c r="R962" i="4"/>
  <c r="R963" i="4"/>
  <c r="R964" i="4"/>
  <c r="R965" i="4"/>
  <c r="R966" i="4"/>
  <c r="R967" i="4"/>
  <c r="R968" i="4"/>
  <c r="R969" i="4"/>
  <c r="R976" i="4"/>
  <c r="R977" i="4"/>
  <c r="R979" i="4"/>
  <c r="R980" i="4"/>
  <c r="R984" i="4"/>
  <c r="R985" i="4"/>
  <c r="R986" i="4"/>
  <c r="R987" i="4"/>
  <c r="R988" i="4"/>
  <c r="R989" i="4"/>
  <c r="R990" i="4"/>
  <c r="R991" i="4"/>
  <c r="R993" i="4"/>
  <c r="R994" i="4"/>
  <c r="R995" i="4"/>
  <c r="R997" i="4"/>
  <c r="R998" i="4"/>
  <c r="R999" i="4"/>
  <c r="R1000" i="4"/>
  <c r="R1001" i="4"/>
  <c r="R1002" i="4"/>
  <c r="R1003" i="4"/>
  <c r="R1004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7" i="4"/>
  <c r="R1038" i="4"/>
  <c r="R1039" i="4"/>
  <c r="R1040" i="4"/>
  <c r="R1041" i="4"/>
  <c r="R1042" i="4"/>
  <c r="R1045" i="4"/>
  <c r="R1046" i="4"/>
  <c r="R1047" i="4"/>
  <c r="R1048" i="4"/>
  <c r="R1049" i="4"/>
  <c r="R1050" i="4"/>
  <c r="R1051" i="4"/>
  <c r="R1052" i="4"/>
  <c r="R1053" i="4"/>
  <c r="R1054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71" i="4"/>
  <c r="R1073" i="4"/>
  <c r="R1074" i="4"/>
  <c r="R1075" i="4"/>
  <c r="R1076" i="4"/>
  <c r="R1077" i="4"/>
  <c r="R1078" i="4"/>
  <c r="R1079" i="4"/>
  <c r="R1080" i="4"/>
  <c r="R1081" i="4"/>
  <c r="R1082" i="4"/>
  <c r="R1083" i="4"/>
  <c r="R1085" i="4"/>
  <c r="R1086" i="4"/>
  <c r="R1087" i="4"/>
  <c r="R1088" i="4"/>
  <c r="R1089" i="4"/>
  <c r="R1091" i="4"/>
  <c r="R1093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8" i="4"/>
  <c r="R1119" i="4"/>
  <c r="R1120" i="4"/>
  <c r="R1121" i="4"/>
  <c r="R1124" i="4"/>
  <c r="R1130" i="4"/>
  <c r="R1133" i="4"/>
  <c r="R1134" i="4"/>
  <c r="R1137" i="4"/>
  <c r="R1138" i="4"/>
  <c r="R1139" i="4"/>
  <c r="R1144" i="4"/>
  <c r="R1146" i="4"/>
  <c r="R1147" i="4"/>
  <c r="R1148" i="4"/>
  <c r="R1149" i="4"/>
  <c r="R1150" i="4"/>
  <c r="R1151" i="4"/>
  <c r="R1152" i="4"/>
  <c r="R1153" i="4"/>
  <c r="R1154" i="4"/>
  <c r="R1156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9" i="4"/>
  <c r="R1210" i="4"/>
  <c r="R1211" i="4"/>
  <c r="R1212" i="4"/>
  <c r="R1214" i="4"/>
  <c r="R1215" i="4"/>
  <c r="R1216" i="4"/>
  <c r="R1217" i="4"/>
  <c r="R1218" i="4"/>
  <c r="R1219" i="4"/>
  <c r="R1220" i="4"/>
  <c r="R1223" i="4"/>
  <c r="R1224" i="4"/>
  <c r="R1225" i="4"/>
  <c r="R1226" i="4"/>
  <c r="R1228" i="4"/>
  <c r="R1229" i="4"/>
  <c r="R1230" i="4"/>
  <c r="R1231" i="4"/>
  <c r="R1232" i="4"/>
  <c r="R1233" i="4"/>
  <c r="R1234" i="4"/>
  <c r="R1235" i="4"/>
  <c r="R1236" i="4"/>
  <c r="R1243" i="4"/>
  <c r="R1246" i="4"/>
  <c r="R1247" i="4"/>
  <c r="R1248" i="4"/>
  <c r="R1249" i="4"/>
  <c r="R1253" i="4"/>
  <c r="R1254" i="4"/>
  <c r="R1255" i="4"/>
  <c r="R1256" i="4"/>
  <c r="R1259" i="4"/>
  <c r="R1260" i="4"/>
  <c r="R1261" i="4"/>
  <c r="K15" i="33"/>
  <c r="R15" i="33" s="1"/>
  <c r="K16" i="33"/>
  <c r="R16" i="33" s="1"/>
  <c r="K17" i="33"/>
  <c r="R17" i="33" s="1"/>
  <c r="K18" i="33"/>
  <c r="R18" i="33" s="1"/>
  <c r="K19" i="33"/>
  <c r="R19" i="33" s="1"/>
  <c r="K20" i="33"/>
  <c r="R20" i="33" s="1"/>
  <c r="K21" i="33"/>
  <c r="R21" i="33" s="1"/>
  <c r="K22" i="33"/>
  <c r="R22" i="33" s="1"/>
  <c r="K23" i="33"/>
  <c r="R23" i="33" s="1"/>
  <c r="K24" i="33"/>
  <c r="R24" i="33" s="1"/>
  <c r="K25" i="33"/>
  <c r="R25" i="33" s="1"/>
  <c r="K26" i="33"/>
  <c r="R26" i="33" s="1"/>
  <c r="K27" i="33"/>
  <c r="R27" i="33" s="1"/>
  <c r="K28" i="33"/>
  <c r="R28" i="33" s="1"/>
  <c r="K29" i="33"/>
  <c r="R29" i="33" s="1"/>
  <c r="O15" i="33"/>
  <c r="O16" i="33"/>
  <c r="O17" i="33"/>
  <c r="O18" i="33"/>
  <c r="O19" i="33"/>
  <c r="O20" i="33"/>
  <c r="O21" i="33"/>
  <c r="O22" i="33"/>
  <c r="O23" i="33"/>
  <c r="O24" i="33"/>
  <c r="O25" i="33"/>
  <c r="O26" i="33"/>
  <c r="O27" i="33"/>
  <c r="O28" i="33"/>
  <c r="O29" i="33"/>
  <c r="P15" i="33"/>
  <c r="Q15" i="33" s="1"/>
  <c r="P16" i="33"/>
  <c r="Q16" i="33" s="1"/>
  <c r="P17" i="33"/>
  <c r="Q17" i="33" s="1"/>
  <c r="P18" i="33"/>
  <c r="Q18" i="33" s="1"/>
  <c r="P19" i="33"/>
  <c r="Q19" i="33" s="1"/>
  <c r="P20" i="33"/>
  <c r="P21" i="33"/>
  <c r="Q21" i="33" s="1"/>
  <c r="P22" i="33"/>
  <c r="Q22" i="33" s="1"/>
  <c r="P23" i="33"/>
  <c r="Q23" i="33" s="1"/>
  <c r="P24" i="33"/>
  <c r="Q24" i="33" s="1"/>
  <c r="P25" i="33"/>
  <c r="Q25" i="33" s="1"/>
  <c r="P26" i="33"/>
  <c r="Q26" i="33" s="1"/>
  <c r="P27" i="33"/>
  <c r="Q27" i="33" s="1"/>
  <c r="P28" i="33"/>
  <c r="Q28" i="33" s="1"/>
  <c r="P29" i="33"/>
  <c r="Q29" i="33" s="1"/>
  <c r="G77" i="4"/>
  <c r="G78" i="4"/>
  <c r="G101" i="4"/>
  <c r="G111" i="4"/>
  <c r="G112" i="4"/>
  <c r="G113" i="4"/>
  <c r="G121" i="4"/>
  <c r="G125" i="4"/>
  <c r="G135" i="4"/>
  <c r="G136" i="4"/>
  <c r="G141" i="4"/>
  <c r="G163" i="4"/>
  <c r="G164" i="4"/>
  <c r="G280" i="4"/>
  <c r="G331" i="4"/>
  <c r="G407" i="4"/>
  <c r="G528" i="4"/>
  <c r="G595" i="4"/>
  <c r="G600" i="4"/>
  <c r="G601" i="4"/>
  <c r="G620" i="4"/>
  <c r="G621" i="4"/>
  <c r="G654" i="4"/>
  <c r="G663" i="4"/>
  <c r="G671" i="4"/>
  <c r="G709" i="4"/>
  <c r="G729" i="4"/>
  <c r="G766" i="4"/>
  <c r="G814" i="4"/>
  <c r="G823" i="4"/>
  <c r="G825" i="4"/>
  <c r="G841" i="4"/>
  <c r="G904" i="4"/>
  <c r="G907" i="4"/>
  <c r="G908" i="4"/>
  <c r="G910" i="4"/>
  <c r="G911" i="4"/>
  <c r="G996" i="4"/>
  <c r="H77" i="4"/>
  <c r="H78" i="4"/>
  <c r="H101" i="4"/>
  <c r="H111" i="4"/>
  <c r="H112" i="4"/>
  <c r="H113" i="4"/>
  <c r="H121" i="4"/>
  <c r="H125" i="4"/>
  <c r="H135" i="4"/>
  <c r="H136" i="4"/>
  <c r="H141" i="4"/>
  <c r="H163" i="4"/>
  <c r="H164" i="4"/>
  <c r="H280" i="4"/>
  <c r="H331" i="4"/>
  <c r="H407" i="4"/>
  <c r="H528" i="4"/>
  <c r="H595" i="4"/>
  <c r="H600" i="4"/>
  <c r="H601" i="4"/>
  <c r="H620" i="4"/>
  <c r="H621" i="4"/>
  <c r="H654" i="4"/>
  <c r="H663" i="4"/>
  <c r="H671" i="4"/>
  <c r="H709" i="4"/>
  <c r="H729" i="4"/>
  <c r="H766" i="4"/>
  <c r="H814" i="4"/>
  <c r="H823" i="4"/>
  <c r="H825" i="4"/>
  <c r="H841" i="4"/>
  <c r="H904" i="4"/>
  <c r="H907" i="4"/>
  <c r="H908" i="4"/>
  <c r="H910" i="4"/>
  <c r="H911" i="4"/>
  <c r="H996" i="4"/>
  <c r="I77" i="4"/>
  <c r="I78" i="4"/>
  <c r="I101" i="4"/>
  <c r="I111" i="4"/>
  <c r="I112" i="4"/>
  <c r="I113" i="4"/>
  <c r="I121" i="4"/>
  <c r="I125" i="4"/>
  <c r="I135" i="4"/>
  <c r="I136" i="4"/>
  <c r="I141" i="4"/>
  <c r="I163" i="4"/>
  <c r="I164" i="4"/>
  <c r="I280" i="4"/>
  <c r="I331" i="4"/>
  <c r="I407" i="4"/>
  <c r="I528" i="4"/>
  <c r="I595" i="4"/>
  <c r="I600" i="4"/>
  <c r="I601" i="4"/>
  <c r="I620" i="4"/>
  <c r="I621" i="4"/>
  <c r="I654" i="4"/>
  <c r="I663" i="4"/>
  <c r="I671" i="4"/>
  <c r="I709" i="4"/>
  <c r="I729" i="4"/>
  <c r="I766" i="4"/>
  <c r="I814" i="4"/>
  <c r="I823" i="4"/>
  <c r="I825" i="4"/>
  <c r="I841" i="4"/>
  <c r="I904" i="4"/>
  <c r="I907" i="4"/>
  <c r="I908" i="4"/>
  <c r="I910" i="4"/>
  <c r="I911" i="4"/>
  <c r="I996" i="4"/>
  <c r="P77" i="4"/>
  <c r="S77" i="4" s="1"/>
  <c r="P78" i="4"/>
  <c r="S78" i="4" s="1"/>
  <c r="P101" i="4"/>
  <c r="S101" i="4" s="1"/>
  <c r="P111" i="4"/>
  <c r="S111" i="4" s="1"/>
  <c r="P112" i="4"/>
  <c r="S112" i="4" s="1"/>
  <c r="P113" i="4"/>
  <c r="S113" i="4" s="1"/>
  <c r="P121" i="4"/>
  <c r="S121" i="4" s="1"/>
  <c r="P125" i="4"/>
  <c r="S125" i="4" s="1"/>
  <c r="P135" i="4"/>
  <c r="S135" i="4" s="1"/>
  <c r="P136" i="4"/>
  <c r="S136" i="4" s="1"/>
  <c r="P141" i="4"/>
  <c r="S141" i="4" s="1"/>
  <c r="P163" i="4"/>
  <c r="S163" i="4" s="1"/>
  <c r="P164" i="4"/>
  <c r="S164" i="4" s="1"/>
  <c r="P280" i="4"/>
  <c r="S280" i="4" s="1"/>
  <c r="P331" i="4"/>
  <c r="S331" i="4" s="1"/>
  <c r="P407" i="4"/>
  <c r="S407" i="4" s="1"/>
  <c r="P528" i="4"/>
  <c r="S528" i="4" s="1"/>
  <c r="P595" i="4"/>
  <c r="S595" i="4" s="1"/>
  <c r="P600" i="4"/>
  <c r="S600" i="4" s="1"/>
  <c r="P601" i="4"/>
  <c r="S601" i="4" s="1"/>
  <c r="P620" i="4"/>
  <c r="S620" i="4" s="1"/>
  <c r="P621" i="4"/>
  <c r="S621" i="4" s="1"/>
  <c r="P654" i="4"/>
  <c r="S654" i="4" s="1"/>
  <c r="P663" i="4"/>
  <c r="S663" i="4" s="1"/>
  <c r="P671" i="4"/>
  <c r="S671" i="4" s="1"/>
  <c r="P709" i="4"/>
  <c r="S709" i="4" s="1"/>
  <c r="P729" i="4"/>
  <c r="S729" i="4" s="1"/>
  <c r="P766" i="4"/>
  <c r="S766" i="4" s="1"/>
  <c r="P814" i="4"/>
  <c r="S814" i="4" s="1"/>
  <c r="P823" i="4"/>
  <c r="S823" i="4" s="1"/>
  <c r="P825" i="4"/>
  <c r="S825" i="4" s="1"/>
  <c r="P841" i="4"/>
  <c r="S841" i="4" s="1"/>
  <c r="P904" i="4"/>
  <c r="S904" i="4" s="1"/>
  <c r="P907" i="4"/>
  <c r="S907" i="4" s="1"/>
  <c r="P908" i="4"/>
  <c r="S908" i="4" s="1"/>
  <c r="P910" i="4"/>
  <c r="S910" i="4" s="1"/>
  <c r="P911" i="4"/>
  <c r="S911" i="4" s="1"/>
  <c r="P996" i="4"/>
  <c r="S996" i="4" s="1"/>
  <c r="R77" i="4"/>
  <c r="R78" i="4"/>
  <c r="R101" i="4"/>
  <c r="R111" i="4"/>
  <c r="R112" i="4"/>
  <c r="R113" i="4"/>
  <c r="R121" i="4"/>
  <c r="R125" i="4"/>
  <c r="R135" i="4"/>
  <c r="R136" i="4"/>
  <c r="R141" i="4"/>
  <c r="R163" i="4"/>
  <c r="R164" i="4"/>
  <c r="R280" i="4"/>
  <c r="R331" i="4"/>
  <c r="R407" i="4"/>
  <c r="R528" i="4"/>
  <c r="R595" i="4"/>
  <c r="R600" i="4"/>
  <c r="R601" i="4"/>
  <c r="R620" i="4"/>
  <c r="R621" i="4"/>
  <c r="R654" i="4"/>
  <c r="R663" i="4"/>
  <c r="R671" i="4"/>
  <c r="R709" i="4"/>
  <c r="R729" i="4"/>
  <c r="R766" i="4"/>
  <c r="R814" i="4"/>
  <c r="R823" i="4"/>
  <c r="R825" i="4"/>
  <c r="R841" i="4"/>
  <c r="R904" i="4"/>
  <c r="R907" i="4"/>
  <c r="R908" i="4"/>
  <c r="R910" i="4"/>
  <c r="R911" i="4"/>
  <c r="R996" i="4"/>
  <c r="G714" i="4"/>
  <c r="G725" i="4"/>
  <c r="G730" i="4"/>
  <c r="G731" i="4"/>
  <c r="G734" i="4"/>
  <c r="G735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6" i="4"/>
  <c r="G757" i="4"/>
  <c r="G758" i="4"/>
  <c r="G759" i="4"/>
  <c r="G760" i="4"/>
  <c r="G761" i="4"/>
  <c r="G762" i="4"/>
  <c r="G763" i="4"/>
  <c r="G764" i="4"/>
  <c r="G768" i="4"/>
  <c r="G769" i="4"/>
  <c r="G771" i="4"/>
  <c r="G773" i="4"/>
  <c r="G774" i="4"/>
  <c r="G775" i="4"/>
  <c r="G779" i="4"/>
  <c r="G781" i="4"/>
  <c r="G782" i="4"/>
  <c r="G786" i="4"/>
  <c r="G789" i="4"/>
  <c r="G790" i="4"/>
  <c r="G794" i="4"/>
  <c r="G795" i="4"/>
  <c r="G796" i="4"/>
  <c r="G797" i="4"/>
  <c r="G798" i="4"/>
  <c r="G799" i="4"/>
  <c r="G803" i="4"/>
  <c r="G807" i="4"/>
  <c r="G808" i="4"/>
  <c r="G809" i="4"/>
  <c r="G811" i="4"/>
  <c r="G812" i="4"/>
  <c r="G813" i="4"/>
  <c r="G815" i="4"/>
  <c r="G818" i="4"/>
  <c r="G819" i="4"/>
  <c r="G820" i="4"/>
  <c r="G821" i="4"/>
  <c r="G826" i="4"/>
  <c r="G827" i="4"/>
  <c r="G828" i="4"/>
  <c r="G829" i="4"/>
  <c r="G830" i="4"/>
  <c r="G835" i="4"/>
  <c r="G836" i="4"/>
  <c r="G837" i="4"/>
  <c r="G838" i="4"/>
  <c r="G839" i="4"/>
  <c r="G842" i="4"/>
  <c r="G846" i="4"/>
  <c r="G847" i="4"/>
  <c r="G848" i="4"/>
  <c r="G849" i="4"/>
  <c r="G851" i="4"/>
  <c r="G852" i="4"/>
  <c r="G853" i="4"/>
  <c r="G854" i="4"/>
  <c r="G855" i="4"/>
  <c r="G856" i="4"/>
  <c r="G857" i="4"/>
  <c r="G858" i="4"/>
  <c r="G859" i="4"/>
  <c r="G864" i="4"/>
  <c r="G866" i="4"/>
  <c r="G867" i="4"/>
  <c r="G868" i="4"/>
  <c r="G869" i="4"/>
  <c r="G870" i="4"/>
  <c r="G871" i="4"/>
  <c r="G872" i="4"/>
  <c r="G873" i="4"/>
  <c r="G876" i="4"/>
  <c r="G877" i="4"/>
  <c r="G878" i="4"/>
  <c r="G879" i="4"/>
  <c r="G880" i="4"/>
  <c r="G882" i="4"/>
  <c r="G883" i="4"/>
  <c r="G884" i="4"/>
  <c r="G886" i="4"/>
  <c r="G893" i="4"/>
  <c r="G894" i="4"/>
  <c r="G895" i="4"/>
  <c r="G896" i="4"/>
  <c r="G898" i="4"/>
  <c r="G899" i="4"/>
  <c r="G900" i="4"/>
  <c r="G909" i="4"/>
  <c r="G912" i="4"/>
  <c r="G917" i="4"/>
  <c r="G918" i="4"/>
  <c r="G919" i="4"/>
  <c r="G923" i="4"/>
  <c r="G924" i="4"/>
  <c r="G925" i="4"/>
  <c r="G926" i="4"/>
  <c r="G929" i="4"/>
  <c r="G932" i="4"/>
  <c r="G933" i="4"/>
  <c r="G934" i="4"/>
  <c r="G935" i="4"/>
  <c r="G936" i="4"/>
  <c r="G938" i="4"/>
  <c r="G939" i="4"/>
  <c r="G940" i="4"/>
  <c r="G941" i="4"/>
  <c r="G942" i="4"/>
  <c r="G944" i="4"/>
  <c r="G945" i="4"/>
  <c r="G953" i="4"/>
  <c r="G959" i="4"/>
  <c r="G960" i="4"/>
  <c r="G970" i="4"/>
  <c r="G971" i="4"/>
  <c r="G972" i="4"/>
  <c r="G973" i="4"/>
  <c r="G974" i="4"/>
  <c r="G975" i="4"/>
  <c r="G978" i="4"/>
  <c r="G981" i="4"/>
  <c r="G982" i="4"/>
  <c r="G983" i="4"/>
  <c r="G992" i="4"/>
  <c r="G1005" i="4"/>
  <c r="G1035" i="4"/>
  <c r="G1036" i="4"/>
  <c r="G1043" i="4"/>
  <c r="G1044" i="4"/>
  <c r="G1055" i="4"/>
  <c r="G1069" i="4"/>
  <c r="G1070" i="4"/>
  <c r="G1072" i="4"/>
  <c r="G1084" i="4"/>
  <c r="G1090" i="4"/>
  <c r="G1092" i="4"/>
  <c r="G1094" i="4"/>
  <c r="G1115" i="4"/>
  <c r="G1116" i="4"/>
  <c r="G1117" i="4"/>
  <c r="G1122" i="4"/>
  <c r="G1123" i="4"/>
  <c r="G1125" i="4"/>
  <c r="G1126" i="4"/>
  <c r="G1127" i="4"/>
  <c r="G1128" i="4"/>
  <c r="G1129" i="4"/>
  <c r="G1131" i="4"/>
  <c r="G1132" i="4"/>
  <c r="G1135" i="4"/>
  <c r="G1136" i="4"/>
  <c r="G1140" i="4"/>
  <c r="G1141" i="4"/>
  <c r="G1142" i="4"/>
  <c r="G1143" i="4"/>
  <c r="G1145" i="4"/>
  <c r="G1155" i="4"/>
  <c r="G1157" i="4"/>
  <c r="G1170" i="4"/>
  <c r="G1208" i="4"/>
  <c r="G1213" i="4"/>
  <c r="G1221" i="4"/>
  <c r="G1222" i="4"/>
  <c r="G1227" i="4"/>
  <c r="G1237" i="4"/>
  <c r="G1238" i="4"/>
  <c r="G1239" i="4"/>
  <c r="G1240" i="4"/>
  <c r="G1241" i="4"/>
  <c r="G1242" i="4"/>
  <c r="G1244" i="4"/>
  <c r="G1245" i="4"/>
  <c r="G1250" i="4"/>
  <c r="G1251" i="4"/>
  <c r="G1252" i="4"/>
  <c r="G1257" i="4"/>
  <c r="G1258" i="4"/>
  <c r="G1267" i="4"/>
  <c r="G1268" i="4"/>
  <c r="G1280" i="4"/>
  <c r="G1288" i="4"/>
  <c r="G1289" i="4"/>
  <c r="G1293" i="4"/>
  <c r="G1294" i="4"/>
  <c r="G1295" i="4"/>
  <c r="G1296" i="4"/>
  <c r="G1297" i="4"/>
  <c r="G1298" i="4"/>
  <c r="G1299" i="4"/>
  <c r="G1305" i="4"/>
  <c r="G1306" i="4"/>
  <c r="G1307" i="4"/>
  <c r="G1348" i="4"/>
  <c r="G1354" i="4"/>
  <c r="G1355" i="4"/>
  <c r="G1385" i="4"/>
  <c r="G1408" i="4"/>
  <c r="G1418" i="4"/>
  <c r="G1494" i="4"/>
  <c r="G1520" i="4"/>
  <c r="G1557" i="4"/>
  <c r="G1558" i="4"/>
  <c r="G1559" i="4"/>
  <c r="G1571" i="4"/>
  <c r="G1572" i="4"/>
  <c r="G1576" i="4"/>
  <c r="G1577" i="4"/>
  <c r="G1582" i="4"/>
  <c r="G1583" i="4"/>
  <c r="G1585" i="4"/>
  <c r="G1586" i="4"/>
  <c r="G1587" i="4"/>
  <c r="G1588" i="4"/>
  <c r="G1590" i="4"/>
  <c r="G1592" i="4"/>
  <c r="G1609" i="4"/>
  <c r="G1614" i="4"/>
  <c r="G1615" i="4"/>
  <c r="G1616" i="4"/>
  <c r="G1617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H714" i="4"/>
  <c r="H725" i="4"/>
  <c r="H730" i="4"/>
  <c r="H731" i="4"/>
  <c r="H734" i="4"/>
  <c r="H735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6" i="4"/>
  <c r="H757" i="4"/>
  <c r="H758" i="4"/>
  <c r="H759" i="4"/>
  <c r="H760" i="4"/>
  <c r="H761" i="4"/>
  <c r="H762" i="4"/>
  <c r="H763" i="4"/>
  <c r="H764" i="4"/>
  <c r="H768" i="4"/>
  <c r="H769" i="4"/>
  <c r="H771" i="4"/>
  <c r="H773" i="4"/>
  <c r="H774" i="4"/>
  <c r="H775" i="4"/>
  <c r="H779" i="4"/>
  <c r="H781" i="4"/>
  <c r="H782" i="4"/>
  <c r="H786" i="4"/>
  <c r="H789" i="4"/>
  <c r="H790" i="4"/>
  <c r="H794" i="4"/>
  <c r="H795" i="4"/>
  <c r="H796" i="4"/>
  <c r="H797" i="4"/>
  <c r="H798" i="4"/>
  <c r="H799" i="4"/>
  <c r="H803" i="4"/>
  <c r="H807" i="4"/>
  <c r="H808" i="4"/>
  <c r="H809" i="4"/>
  <c r="H811" i="4"/>
  <c r="H812" i="4"/>
  <c r="H813" i="4"/>
  <c r="H815" i="4"/>
  <c r="H818" i="4"/>
  <c r="H819" i="4"/>
  <c r="H820" i="4"/>
  <c r="H821" i="4"/>
  <c r="H826" i="4"/>
  <c r="H827" i="4"/>
  <c r="H828" i="4"/>
  <c r="H829" i="4"/>
  <c r="H830" i="4"/>
  <c r="H835" i="4"/>
  <c r="H836" i="4"/>
  <c r="H837" i="4"/>
  <c r="H838" i="4"/>
  <c r="H839" i="4"/>
  <c r="H842" i="4"/>
  <c r="H846" i="4"/>
  <c r="H847" i="4"/>
  <c r="H848" i="4"/>
  <c r="H849" i="4"/>
  <c r="H851" i="4"/>
  <c r="H852" i="4"/>
  <c r="H853" i="4"/>
  <c r="H854" i="4"/>
  <c r="H855" i="4"/>
  <c r="H856" i="4"/>
  <c r="H857" i="4"/>
  <c r="H858" i="4"/>
  <c r="H859" i="4"/>
  <c r="H864" i="4"/>
  <c r="H866" i="4"/>
  <c r="H867" i="4"/>
  <c r="H868" i="4"/>
  <c r="H869" i="4"/>
  <c r="H870" i="4"/>
  <c r="H871" i="4"/>
  <c r="H872" i="4"/>
  <c r="H873" i="4"/>
  <c r="H876" i="4"/>
  <c r="H877" i="4"/>
  <c r="H878" i="4"/>
  <c r="H879" i="4"/>
  <c r="H880" i="4"/>
  <c r="H882" i="4"/>
  <c r="H883" i="4"/>
  <c r="H884" i="4"/>
  <c r="H886" i="4"/>
  <c r="H893" i="4"/>
  <c r="H894" i="4"/>
  <c r="H895" i="4"/>
  <c r="H896" i="4"/>
  <c r="H898" i="4"/>
  <c r="H899" i="4"/>
  <c r="H900" i="4"/>
  <c r="H909" i="4"/>
  <c r="H912" i="4"/>
  <c r="H917" i="4"/>
  <c r="H918" i="4"/>
  <c r="H919" i="4"/>
  <c r="H923" i="4"/>
  <c r="H924" i="4"/>
  <c r="H925" i="4"/>
  <c r="H926" i="4"/>
  <c r="H929" i="4"/>
  <c r="H932" i="4"/>
  <c r="H933" i="4"/>
  <c r="H934" i="4"/>
  <c r="H935" i="4"/>
  <c r="H936" i="4"/>
  <c r="H938" i="4"/>
  <c r="H939" i="4"/>
  <c r="H940" i="4"/>
  <c r="H941" i="4"/>
  <c r="H942" i="4"/>
  <c r="H944" i="4"/>
  <c r="H945" i="4"/>
  <c r="H953" i="4"/>
  <c r="H959" i="4"/>
  <c r="H960" i="4"/>
  <c r="H970" i="4"/>
  <c r="H971" i="4"/>
  <c r="H972" i="4"/>
  <c r="H973" i="4"/>
  <c r="H974" i="4"/>
  <c r="H975" i="4"/>
  <c r="H978" i="4"/>
  <c r="H981" i="4"/>
  <c r="H982" i="4"/>
  <c r="H983" i="4"/>
  <c r="H992" i="4"/>
  <c r="H1005" i="4"/>
  <c r="H1035" i="4"/>
  <c r="H1036" i="4"/>
  <c r="H1043" i="4"/>
  <c r="H1044" i="4"/>
  <c r="H1055" i="4"/>
  <c r="H1069" i="4"/>
  <c r="H1070" i="4"/>
  <c r="H1072" i="4"/>
  <c r="H1084" i="4"/>
  <c r="H1090" i="4"/>
  <c r="H1092" i="4"/>
  <c r="H1094" i="4"/>
  <c r="H1115" i="4"/>
  <c r="H1116" i="4"/>
  <c r="H1117" i="4"/>
  <c r="H1122" i="4"/>
  <c r="H1123" i="4"/>
  <c r="H1125" i="4"/>
  <c r="H1126" i="4"/>
  <c r="H1127" i="4"/>
  <c r="H1128" i="4"/>
  <c r="H1129" i="4"/>
  <c r="H1131" i="4"/>
  <c r="H1132" i="4"/>
  <c r="H1135" i="4"/>
  <c r="H1136" i="4"/>
  <c r="H1140" i="4"/>
  <c r="H1141" i="4"/>
  <c r="H1142" i="4"/>
  <c r="H1143" i="4"/>
  <c r="H1145" i="4"/>
  <c r="H1155" i="4"/>
  <c r="H1157" i="4"/>
  <c r="H1170" i="4"/>
  <c r="H1208" i="4"/>
  <c r="H1213" i="4"/>
  <c r="H1221" i="4"/>
  <c r="H1222" i="4"/>
  <c r="H1227" i="4"/>
  <c r="H1237" i="4"/>
  <c r="H1238" i="4"/>
  <c r="H1239" i="4"/>
  <c r="H1240" i="4"/>
  <c r="H1241" i="4"/>
  <c r="H1242" i="4"/>
  <c r="H1244" i="4"/>
  <c r="H1245" i="4"/>
  <c r="H1250" i="4"/>
  <c r="H1251" i="4"/>
  <c r="H1252" i="4"/>
  <c r="H1257" i="4"/>
  <c r="H1258" i="4"/>
  <c r="H1267" i="4"/>
  <c r="H1268" i="4"/>
  <c r="H1280" i="4"/>
  <c r="H1288" i="4"/>
  <c r="H1289" i="4"/>
  <c r="H1293" i="4"/>
  <c r="H1294" i="4"/>
  <c r="H1295" i="4"/>
  <c r="H1296" i="4"/>
  <c r="H1297" i="4"/>
  <c r="H1298" i="4"/>
  <c r="H1299" i="4"/>
  <c r="H1305" i="4"/>
  <c r="H1306" i="4"/>
  <c r="H1307" i="4"/>
  <c r="H1348" i="4"/>
  <c r="H1354" i="4"/>
  <c r="H1355" i="4"/>
  <c r="H1385" i="4"/>
  <c r="H1408" i="4"/>
  <c r="H1418" i="4"/>
  <c r="H1494" i="4"/>
  <c r="H1520" i="4"/>
  <c r="H1557" i="4"/>
  <c r="H1558" i="4"/>
  <c r="H1559" i="4"/>
  <c r="H1571" i="4"/>
  <c r="H1572" i="4"/>
  <c r="H1576" i="4"/>
  <c r="H1577" i="4"/>
  <c r="H1582" i="4"/>
  <c r="H1583" i="4"/>
  <c r="H1585" i="4"/>
  <c r="H1586" i="4"/>
  <c r="H1587" i="4"/>
  <c r="H1588" i="4"/>
  <c r="H1590" i="4"/>
  <c r="H1592" i="4"/>
  <c r="H1609" i="4"/>
  <c r="H1614" i="4"/>
  <c r="H1615" i="4"/>
  <c r="H1616" i="4"/>
  <c r="H1617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I714" i="4"/>
  <c r="I725" i="4"/>
  <c r="I730" i="4"/>
  <c r="I731" i="4"/>
  <c r="I734" i="4"/>
  <c r="I735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6" i="4"/>
  <c r="I757" i="4"/>
  <c r="I758" i="4"/>
  <c r="I759" i="4"/>
  <c r="I760" i="4"/>
  <c r="I761" i="4"/>
  <c r="I762" i="4"/>
  <c r="I763" i="4"/>
  <c r="I764" i="4"/>
  <c r="I768" i="4"/>
  <c r="I769" i="4"/>
  <c r="I771" i="4"/>
  <c r="I773" i="4"/>
  <c r="I774" i="4"/>
  <c r="I775" i="4"/>
  <c r="I779" i="4"/>
  <c r="I781" i="4"/>
  <c r="I782" i="4"/>
  <c r="I786" i="4"/>
  <c r="I789" i="4"/>
  <c r="I790" i="4"/>
  <c r="I794" i="4"/>
  <c r="I795" i="4"/>
  <c r="I796" i="4"/>
  <c r="I797" i="4"/>
  <c r="I798" i="4"/>
  <c r="I799" i="4"/>
  <c r="I803" i="4"/>
  <c r="I807" i="4"/>
  <c r="I808" i="4"/>
  <c r="I809" i="4"/>
  <c r="I811" i="4"/>
  <c r="I812" i="4"/>
  <c r="I813" i="4"/>
  <c r="I815" i="4"/>
  <c r="I818" i="4"/>
  <c r="I819" i="4"/>
  <c r="I820" i="4"/>
  <c r="I821" i="4"/>
  <c r="I826" i="4"/>
  <c r="I827" i="4"/>
  <c r="I828" i="4"/>
  <c r="I829" i="4"/>
  <c r="I830" i="4"/>
  <c r="I835" i="4"/>
  <c r="I836" i="4"/>
  <c r="I837" i="4"/>
  <c r="I838" i="4"/>
  <c r="I839" i="4"/>
  <c r="I842" i="4"/>
  <c r="I846" i="4"/>
  <c r="I847" i="4"/>
  <c r="I848" i="4"/>
  <c r="I849" i="4"/>
  <c r="I851" i="4"/>
  <c r="I852" i="4"/>
  <c r="I853" i="4"/>
  <c r="I854" i="4"/>
  <c r="I855" i="4"/>
  <c r="I856" i="4"/>
  <c r="I857" i="4"/>
  <c r="I858" i="4"/>
  <c r="I859" i="4"/>
  <c r="I864" i="4"/>
  <c r="I866" i="4"/>
  <c r="I867" i="4"/>
  <c r="I868" i="4"/>
  <c r="I869" i="4"/>
  <c r="I870" i="4"/>
  <c r="I871" i="4"/>
  <c r="I872" i="4"/>
  <c r="I873" i="4"/>
  <c r="I876" i="4"/>
  <c r="I877" i="4"/>
  <c r="I878" i="4"/>
  <c r="I879" i="4"/>
  <c r="I880" i="4"/>
  <c r="I882" i="4"/>
  <c r="I883" i="4"/>
  <c r="I884" i="4"/>
  <c r="I886" i="4"/>
  <c r="I893" i="4"/>
  <c r="I894" i="4"/>
  <c r="I895" i="4"/>
  <c r="I896" i="4"/>
  <c r="I898" i="4"/>
  <c r="I899" i="4"/>
  <c r="I900" i="4"/>
  <c r="I909" i="4"/>
  <c r="I912" i="4"/>
  <c r="I917" i="4"/>
  <c r="I918" i="4"/>
  <c r="I919" i="4"/>
  <c r="I923" i="4"/>
  <c r="I924" i="4"/>
  <c r="I925" i="4"/>
  <c r="I926" i="4"/>
  <c r="I929" i="4"/>
  <c r="I932" i="4"/>
  <c r="I933" i="4"/>
  <c r="I934" i="4"/>
  <c r="I935" i="4"/>
  <c r="I936" i="4"/>
  <c r="I938" i="4"/>
  <c r="I939" i="4"/>
  <c r="I940" i="4"/>
  <c r="I941" i="4"/>
  <c r="I942" i="4"/>
  <c r="I944" i="4"/>
  <c r="I945" i="4"/>
  <c r="I953" i="4"/>
  <c r="I959" i="4"/>
  <c r="I960" i="4"/>
  <c r="I970" i="4"/>
  <c r="I971" i="4"/>
  <c r="I972" i="4"/>
  <c r="I973" i="4"/>
  <c r="I974" i="4"/>
  <c r="I975" i="4"/>
  <c r="I978" i="4"/>
  <c r="I981" i="4"/>
  <c r="I982" i="4"/>
  <c r="I983" i="4"/>
  <c r="I992" i="4"/>
  <c r="I1005" i="4"/>
  <c r="I1035" i="4"/>
  <c r="I1036" i="4"/>
  <c r="I1043" i="4"/>
  <c r="I1044" i="4"/>
  <c r="I1055" i="4"/>
  <c r="I1069" i="4"/>
  <c r="I1070" i="4"/>
  <c r="I1072" i="4"/>
  <c r="I1084" i="4"/>
  <c r="I1090" i="4"/>
  <c r="I1092" i="4"/>
  <c r="I1094" i="4"/>
  <c r="I1115" i="4"/>
  <c r="I1116" i="4"/>
  <c r="I1117" i="4"/>
  <c r="I1122" i="4"/>
  <c r="I1123" i="4"/>
  <c r="I1125" i="4"/>
  <c r="I1126" i="4"/>
  <c r="I1127" i="4"/>
  <c r="I1128" i="4"/>
  <c r="I1129" i="4"/>
  <c r="I1131" i="4"/>
  <c r="I1132" i="4"/>
  <c r="I1135" i="4"/>
  <c r="I1136" i="4"/>
  <c r="I1140" i="4"/>
  <c r="I1141" i="4"/>
  <c r="I1142" i="4"/>
  <c r="I1143" i="4"/>
  <c r="I1145" i="4"/>
  <c r="I1155" i="4"/>
  <c r="I1157" i="4"/>
  <c r="I1170" i="4"/>
  <c r="I1208" i="4"/>
  <c r="I1213" i="4"/>
  <c r="I1221" i="4"/>
  <c r="I1222" i="4"/>
  <c r="I1227" i="4"/>
  <c r="I1237" i="4"/>
  <c r="I1238" i="4"/>
  <c r="I1239" i="4"/>
  <c r="I1240" i="4"/>
  <c r="I1241" i="4"/>
  <c r="I1242" i="4"/>
  <c r="I1244" i="4"/>
  <c r="I1245" i="4"/>
  <c r="I1250" i="4"/>
  <c r="I1251" i="4"/>
  <c r="I1252" i="4"/>
  <c r="I1257" i="4"/>
  <c r="I1258" i="4"/>
  <c r="I1267" i="4"/>
  <c r="I1268" i="4"/>
  <c r="I1280" i="4"/>
  <c r="I1288" i="4"/>
  <c r="I1289" i="4"/>
  <c r="I1293" i="4"/>
  <c r="I1294" i="4"/>
  <c r="I1295" i="4"/>
  <c r="I1296" i="4"/>
  <c r="I1297" i="4"/>
  <c r="I1298" i="4"/>
  <c r="I1299" i="4"/>
  <c r="I1305" i="4"/>
  <c r="I1306" i="4"/>
  <c r="I1307" i="4"/>
  <c r="I1348" i="4"/>
  <c r="I1354" i="4"/>
  <c r="I1355" i="4"/>
  <c r="I1385" i="4"/>
  <c r="I1408" i="4"/>
  <c r="I1418" i="4"/>
  <c r="I1494" i="4"/>
  <c r="I1520" i="4"/>
  <c r="I1557" i="4"/>
  <c r="I1558" i="4"/>
  <c r="I1559" i="4"/>
  <c r="I1571" i="4"/>
  <c r="I1572" i="4"/>
  <c r="I1576" i="4"/>
  <c r="I1577" i="4"/>
  <c r="I1582" i="4"/>
  <c r="I1583" i="4"/>
  <c r="I1585" i="4"/>
  <c r="I1586" i="4"/>
  <c r="I1587" i="4"/>
  <c r="I1588" i="4"/>
  <c r="I1590" i="4"/>
  <c r="I1592" i="4"/>
  <c r="I1609" i="4"/>
  <c r="I1614" i="4"/>
  <c r="I1615" i="4"/>
  <c r="I1616" i="4"/>
  <c r="I1617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P714" i="4"/>
  <c r="S714" i="4" s="1"/>
  <c r="P725" i="4"/>
  <c r="S725" i="4" s="1"/>
  <c r="P730" i="4"/>
  <c r="S730" i="4" s="1"/>
  <c r="P731" i="4"/>
  <c r="S731" i="4" s="1"/>
  <c r="P734" i="4"/>
  <c r="S734" i="4" s="1"/>
  <c r="P735" i="4"/>
  <c r="S735" i="4" s="1"/>
  <c r="P741" i="4"/>
  <c r="S741" i="4" s="1"/>
  <c r="P742" i="4"/>
  <c r="S742" i="4" s="1"/>
  <c r="P743" i="4"/>
  <c r="S743" i="4" s="1"/>
  <c r="P744" i="4"/>
  <c r="S744" i="4" s="1"/>
  <c r="P745" i="4"/>
  <c r="S745" i="4" s="1"/>
  <c r="P746" i="4"/>
  <c r="S746" i="4" s="1"/>
  <c r="P747" i="4"/>
  <c r="S747" i="4" s="1"/>
  <c r="P748" i="4"/>
  <c r="S748" i="4" s="1"/>
  <c r="P749" i="4"/>
  <c r="S749" i="4" s="1"/>
  <c r="P750" i="4"/>
  <c r="S750" i="4" s="1"/>
  <c r="P751" i="4"/>
  <c r="S751" i="4" s="1"/>
  <c r="P752" i="4"/>
  <c r="S752" i="4" s="1"/>
  <c r="P753" i="4"/>
  <c r="S753" i="4" s="1"/>
  <c r="P754" i="4"/>
  <c r="S754" i="4" s="1"/>
  <c r="P756" i="4"/>
  <c r="S756" i="4" s="1"/>
  <c r="P757" i="4"/>
  <c r="S757" i="4" s="1"/>
  <c r="P758" i="4"/>
  <c r="S758" i="4" s="1"/>
  <c r="P759" i="4"/>
  <c r="S759" i="4" s="1"/>
  <c r="P760" i="4"/>
  <c r="S760" i="4" s="1"/>
  <c r="P761" i="4"/>
  <c r="S761" i="4" s="1"/>
  <c r="P762" i="4"/>
  <c r="S762" i="4" s="1"/>
  <c r="P763" i="4"/>
  <c r="S763" i="4" s="1"/>
  <c r="P764" i="4"/>
  <c r="S764" i="4" s="1"/>
  <c r="P768" i="4"/>
  <c r="S768" i="4" s="1"/>
  <c r="P769" i="4"/>
  <c r="S769" i="4" s="1"/>
  <c r="P771" i="4"/>
  <c r="S771" i="4" s="1"/>
  <c r="P773" i="4"/>
  <c r="S773" i="4" s="1"/>
  <c r="P774" i="4"/>
  <c r="S774" i="4" s="1"/>
  <c r="P775" i="4"/>
  <c r="S775" i="4" s="1"/>
  <c r="P779" i="4"/>
  <c r="S779" i="4" s="1"/>
  <c r="P781" i="4"/>
  <c r="S781" i="4" s="1"/>
  <c r="P782" i="4"/>
  <c r="S782" i="4" s="1"/>
  <c r="P786" i="4"/>
  <c r="S786" i="4" s="1"/>
  <c r="P789" i="4"/>
  <c r="S789" i="4" s="1"/>
  <c r="P790" i="4"/>
  <c r="S790" i="4" s="1"/>
  <c r="P794" i="4"/>
  <c r="S794" i="4" s="1"/>
  <c r="P795" i="4"/>
  <c r="S795" i="4" s="1"/>
  <c r="P796" i="4"/>
  <c r="S796" i="4" s="1"/>
  <c r="P797" i="4"/>
  <c r="S797" i="4" s="1"/>
  <c r="P798" i="4"/>
  <c r="S798" i="4" s="1"/>
  <c r="P799" i="4"/>
  <c r="S799" i="4" s="1"/>
  <c r="P803" i="4"/>
  <c r="S803" i="4" s="1"/>
  <c r="P807" i="4"/>
  <c r="S807" i="4" s="1"/>
  <c r="P808" i="4"/>
  <c r="S808" i="4" s="1"/>
  <c r="P809" i="4"/>
  <c r="S809" i="4" s="1"/>
  <c r="P811" i="4"/>
  <c r="S811" i="4" s="1"/>
  <c r="P812" i="4"/>
  <c r="S812" i="4" s="1"/>
  <c r="P813" i="4"/>
  <c r="S813" i="4" s="1"/>
  <c r="P815" i="4"/>
  <c r="S815" i="4" s="1"/>
  <c r="P818" i="4"/>
  <c r="S818" i="4" s="1"/>
  <c r="P819" i="4"/>
  <c r="S819" i="4" s="1"/>
  <c r="P820" i="4"/>
  <c r="S820" i="4" s="1"/>
  <c r="P821" i="4"/>
  <c r="S821" i="4" s="1"/>
  <c r="P826" i="4"/>
  <c r="S826" i="4" s="1"/>
  <c r="P827" i="4"/>
  <c r="S827" i="4" s="1"/>
  <c r="P828" i="4"/>
  <c r="S828" i="4" s="1"/>
  <c r="P829" i="4"/>
  <c r="S829" i="4" s="1"/>
  <c r="P830" i="4"/>
  <c r="S830" i="4" s="1"/>
  <c r="P835" i="4"/>
  <c r="S835" i="4" s="1"/>
  <c r="P836" i="4"/>
  <c r="S836" i="4" s="1"/>
  <c r="P837" i="4"/>
  <c r="S837" i="4" s="1"/>
  <c r="P838" i="4"/>
  <c r="S838" i="4" s="1"/>
  <c r="P839" i="4"/>
  <c r="S839" i="4" s="1"/>
  <c r="P842" i="4"/>
  <c r="S842" i="4" s="1"/>
  <c r="P846" i="4"/>
  <c r="S846" i="4" s="1"/>
  <c r="P847" i="4"/>
  <c r="S847" i="4" s="1"/>
  <c r="P848" i="4"/>
  <c r="S848" i="4" s="1"/>
  <c r="P849" i="4"/>
  <c r="S849" i="4" s="1"/>
  <c r="P851" i="4"/>
  <c r="S851" i="4" s="1"/>
  <c r="P852" i="4"/>
  <c r="S852" i="4" s="1"/>
  <c r="P853" i="4"/>
  <c r="S853" i="4" s="1"/>
  <c r="P854" i="4"/>
  <c r="S854" i="4" s="1"/>
  <c r="P855" i="4"/>
  <c r="S855" i="4" s="1"/>
  <c r="P856" i="4"/>
  <c r="S856" i="4" s="1"/>
  <c r="P857" i="4"/>
  <c r="S857" i="4" s="1"/>
  <c r="P858" i="4"/>
  <c r="S858" i="4" s="1"/>
  <c r="P859" i="4"/>
  <c r="S859" i="4" s="1"/>
  <c r="P864" i="4"/>
  <c r="S864" i="4" s="1"/>
  <c r="P866" i="4"/>
  <c r="S866" i="4" s="1"/>
  <c r="P867" i="4"/>
  <c r="S867" i="4" s="1"/>
  <c r="P868" i="4"/>
  <c r="S868" i="4" s="1"/>
  <c r="P869" i="4"/>
  <c r="S869" i="4" s="1"/>
  <c r="P870" i="4"/>
  <c r="S870" i="4" s="1"/>
  <c r="P871" i="4"/>
  <c r="S871" i="4" s="1"/>
  <c r="P872" i="4"/>
  <c r="S872" i="4" s="1"/>
  <c r="P873" i="4"/>
  <c r="S873" i="4" s="1"/>
  <c r="P876" i="4"/>
  <c r="S876" i="4" s="1"/>
  <c r="P877" i="4"/>
  <c r="S877" i="4" s="1"/>
  <c r="P878" i="4"/>
  <c r="S878" i="4" s="1"/>
  <c r="P879" i="4"/>
  <c r="S879" i="4" s="1"/>
  <c r="P880" i="4"/>
  <c r="S880" i="4" s="1"/>
  <c r="P882" i="4"/>
  <c r="S882" i="4" s="1"/>
  <c r="P883" i="4"/>
  <c r="S883" i="4" s="1"/>
  <c r="P884" i="4"/>
  <c r="S884" i="4" s="1"/>
  <c r="P886" i="4"/>
  <c r="S886" i="4" s="1"/>
  <c r="P893" i="4"/>
  <c r="S893" i="4" s="1"/>
  <c r="P894" i="4"/>
  <c r="S894" i="4" s="1"/>
  <c r="P895" i="4"/>
  <c r="S895" i="4" s="1"/>
  <c r="P896" i="4"/>
  <c r="S896" i="4" s="1"/>
  <c r="P898" i="4"/>
  <c r="S898" i="4" s="1"/>
  <c r="P899" i="4"/>
  <c r="S899" i="4" s="1"/>
  <c r="P900" i="4"/>
  <c r="S900" i="4" s="1"/>
  <c r="P909" i="4"/>
  <c r="S909" i="4" s="1"/>
  <c r="P912" i="4"/>
  <c r="S912" i="4" s="1"/>
  <c r="P917" i="4"/>
  <c r="S917" i="4" s="1"/>
  <c r="P918" i="4"/>
  <c r="S918" i="4" s="1"/>
  <c r="P919" i="4"/>
  <c r="S919" i="4" s="1"/>
  <c r="P923" i="4"/>
  <c r="S923" i="4" s="1"/>
  <c r="P924" i="4"/>
  <c r="S924" i="4" s="1"/>
  <c r="P925" i="4"/>
  <c r="S925" i="4" s="1"/>
  <c r="P926" i="4"/>
  <c r="S926" i="4" s="1"/>
  <c r="P929" i="4"/>
  <c r="S929" i="4" s="1"/>
  <c r="P932" i="4"/>
  <c r="S932" i="4" s="1"/>
  <c r="P933" i="4"/>
  <c r="S933" i="4" s="1"/>
  <c r="P934" i="4"/>
  <c r="S934" i="4" s="1"/>
  <c r="P935" i="4"/>
  <c r="S935" i="4" s="1"/>
  <c r="P936" i="4"/>
  <c r="S936" i="4" s="1"/>
  <c r="P938" i="4"/>
  <c r="S938" i="4" s="1"/>
  <c r="P939" i="4"/>
  <c r="S939" i="4" s="1"/>
  <c r="P940" i="4"/>
  <c r="S940" i="4" s="1"/>
  <c r="P941" i="4"/>
  <c r="S941" i="4" s="1"/>
  <c r="P942" i="4"/>
  <c r="S942" i="4" s="1"/>
  <c r="P944" i="4"/>
  <c r="S944" i="4" s="1"/>
  <c r="P945" i="4"/>
  <c r="S945" i="4" s="1"/>
  <c r="P953" i="4"/>
  <c r="S953" i="4" s="1"/>
  <c r="P959" i="4"/>
  <c r="S959" i="4" s="1"/>
  <c r="P960" i="4"/>
  <c r="S960" i="4" s="1"/>
  <c r="P970" i="4"/>
  <c r="S970" i="4" s="1"/>
  <c r="P971" i="4"/>
  <c r="S971" i="4" s="1"/>
  <c r="P972" i="4"/>
  <c r="S972" i="4" s="1"/>
  <c r="P973" i="4"/>
  <c r="S973" i="4" s="1"/>
  <c r="P974" i="4"/>
  <c r="S974" i="4" s="1"/>
  <c r="P975" i="4"/>
  <c r="S975" i="4" s="1"/>
  <c r="P978" i="4"/>
  <c r="S978" i="4" s="1"/>
  <c r="P981" i="4"/>
  <c r="S981" i="4" s="1"/>
  <c r="P982" i="4"/>
  <c r="S982" i="4" s="1"/>
  <c r="P983" i="4"/>
  <c r="S983" i="4" s="1"/>
  <c r="P992" i="4"/>
  <c r="S992" i="4" s="1"/>
  <c r="P1005" i="4"/>
  <c r="S1005" i="4" s="1"/>
  <c r="P1035" i="4"/>
  <c r="S1035" i="4" s="1"/>
  <c r="P1036" i="4"/>
  <c r="S1036" i="4" s="1"/>
  <c r="P1043" i="4"/>
  <c r="S1043" i="4" s="1"/>
  <c r="P1044" i="4"/>
  <c r="S1044" i="4" s="1"/>
  <c r="P1055" i="4"/>
  <c r="S1055" i="4" s="1"/>
  <c r="P1069" i="4"/>
  <c r="S1069" i="4" s="1"/>
  <c r="P1070" i="4"/>
  <c r="S1070" i="4" s="1"/>
  <c r="P1072" i="4"/>
  <c r="S1072" i="4" s="1"/>
  <c r="P1084" i="4"/>
  <c r="S1084" i="4" s="1"/>
  <c r="P1090" i="4"/>
  <c r="S1090" i="4" s="1"/>
  <c r="P1092" i="4"/>
  <c r="S1092" i="4" s="1"/>
  <c r="P1094" i="4"/>
  <c r="S1094" i="4" s="1"/>
  <c r="P1115" i="4"/>
  <c r="S1115" i="4" s="1"/>
  <c r="P1116" i="4"/>
  <c r="S1116" i="4" s="1"/>
  <c r="P1117" i="4"/>
  <c r="S1117" i="4" s="1"/>
  <c r="P1122" i="4"/>
  <c r="S1122" i="4" s="1"/>
  <c r="P1123" i="4"/>
  <c r="S1123" i="4" s="1"/>
  <c r="P1125" i="4"/>
  <c r="S1125" i="4" s="1"/>
  <c r="P1126" i="4"/>
  <c r="S1126" i="4" s="1"/>
  <c r="P1127" i="4"/>
  <c r="S1127" i="4" s="1"/>
  <c r="P1128" i="4"/>
  <c r="S1128" i="4" s="1"/>
  <c r="P1129" i="4"/>
  <c r="S1129" i="4" s="1"/>
  <c r="P1131" i="4"/>
  <c r="S1131" i="4" s="1"/>
  <c r="P1132" i="4"/>
  <c r="S1132" i="4" s="1"/>
  <c r="P1135" i="4"/>
  <c r="S1135" i="4" s="1"/>
  <c r="P1136" i="4"/>
  <c r="S1136" i="4" s="1"/>
  <c r="P1140" i="4"/>
  <c r="S1140" i="4" s="1"/>
  <c r="P1141" i="4"/>
  <c r="S1141" i="4" s="1"/>
  <c r="P1142" i="4"/>
  <c r="S1142" i="4" s="1"/>
  <c r="P1143" i="4"/>
  <c r="S1143" i="4" s="1"/>
  <c r="P1145" i="4"/>
  <c r="S1145" i="4" s="1"/>
  <c r="P1155" i="4"/>
  <c r="S1155" i="4" s="1"/>
  <c r="P1157" i="4"/>
  <c r="S1157" i="4" s="1"/>
  <c r="P1170" i="4"/>
  <c r="S1170" i="4" s="1"/>
  <c r="P1208" i="4"/>
  <c r="S1208" i="4" s="1"/>
  <c r="P1213" i="4"/>
  <c r="S1213" i="4" s="1"/>
  <c r="P1221" i="4"/>
  <c r="S1221" i="4" s="1"/>
  <c r="P1222" i="4"/>
  <c r="S1222" i="4" s="1"/>
  <c r="P1227" i="4"/>
  <c r="S1227" i="4" s="1"/>
  <c r="P1237" i="4"/>
  <c r="S1237" i="4" s="1"/>
  <c r="P1238" i="4"/>
  <c r="S1238" i="4" s="1"/>
  <c r="P1239" i="4"/>
  <c r="S1239" i="4" s="1"/>
  <c r="P1240" i="4"/>
  <c r="S1240" i="4" s="1"/>
  <c r="P1241" i="4"/>
  <c r="S1241" i="4" s="1"/>
  <c r="P1242" i="4"/>
  <c r="S1242" i="4" s="1"/>
  <c r="P1244" i="4"/>
  <c r="S1244" i="4" s="1"/>
  <c r="P1245" i="4"/>
  <c r="S1245" i="4" s="1"/>
  <c r="P1250" i="4"/>
  <c r="S1250" i="4" s="1"/>
  <c r="P1251" i="4"/>
  <c r="S1251" i="4" s="1"/>
  <c r="P1252" i="4"/>
  <c r="S1252" i="4" s="1"/>
  <c r="P1257" i="4"/>
  <c r="S1257" i="4" s="1"/>
  <c r="P1258" i="4"/>
  <c r="S1258" i="4" s="1"/>
  <c r="P1267" i="4"/>
  <c r="S1267" i="4" s="1"/>
  <c r="P1268" i="4"/>
  <c r="S1268" i="4" s="1"/>
  <c r="P1280" i="4"/>
  <c r="S1280" i="4" s="1"/>
  <c r="P1288" i="4"/>
  <c r="S1288" i="4" s="1"/>
  <c r="P1289" i="4"/>
  <c r="S1289" i="4" s="1"/>
  <c r="P1293" i="4"/>
  <c r="S1293" i="4" s="1"/>
  <c r="P1294" i="4"/>
  <c r="S1294" i="4" s="1"/>
  <c r="P1295" i="4"/>
  <c r="S1295" i="4" s="1"/>
  <c r="P1296" i="4"/>
  <c r="S1296" i="4" s="1"/>
  <c r="P1297" i="4"/>
  <c r="S1297" i="4" s="1"/>
  <c r="P1298" i="4"/>
  <c r="S1298" i="4" s="1"/>
  <c r="P1299" i="4"/>
  <c r="S1299" i="4" s="1"/>
  <c r="P1305" i="4"/>
  <c r="S1305" i="4" s="1"/>
  <c r="P1306" i="4"/>
  <c r="S1306" i="4" s="1"/>
  <c r="P1307" i="4"/>
  <c r="S1307" i="4" s="1"/>
  <c r="P1348" i="4"/>
  <c r="S1348" i="4" s="1"/>
  <c r="P1354" i="4"/>
  <c r="S1354" i="4" s="1"/>
  <c r="P1355" i="4"/>
  <c r="S1355" i="4" s="1"/>
  <c r="P1385" i="4"/>
  <c r="S1385" i="4" s="1"/>
  <c r="P1408" i="4"/>
  <c r="S1408" i="4" s="1"/>
  <c r="P1418" i="4"/>
  <c r="S1418" i="4" s="1"/>
  <c r="P1494" i="4"/>
  <c r="S1494" i="4" s="1"/>
  <c r="P1520" i="4"/>
  <c r="S1520" i="4" s="1"/>
  <c r="P1557" i="4"/>
  <c r="S1557" i="4" s="1"/>
  <c r="P1558" i="4"/>
  <c r="S1558" i="4" s="1"/>
  <c r="P1559" i="4"/>
  <c r="S1559" i="4" s="1"/>
  <c r="P1571" i="4"/>
  <c r="S1571" i="4" s="1"/>
  <c r="P1572" i="4"/>
  <c r="S1572" i="4" s="1"/>
  <c r="P1576" i="4"/>
  <c r="S1576" i="4" s="1"/>
  <c r="P1577" i="4"/>
  <c r="S1577" i="4" s="1"/>
  <c r="P1582" i="4"/>
  <c r="S1582" i="4" s="1"/>
  <c r="P1583" i="4"/>
  <c r="S1583" i="4" s="1"/>
  <c r="P1585" i="4"/>
  <c r="S1585" i="4" s="1"/>
  <c r="P1586" i="4"/>
  <c r="S1586" i="4" s="1"/>
  <c r="P1587" i="4"/>
  <c r="S1587" i="4" s="1"/>
  <c r="P1588" i="4"/>
  <c r="S1588" i="4" s="1"/>
  <c r="P1590" i="4"/>
  <c r="S1590" i="4" s="1"/>
  <c r="P1592" i="4"/>
  <c r="S1592" i="4" s="1"/>
  <c r="P1609" i="4"/>
  <c r="S1609" i="4" s="1"/>
  <c r="P1614" i="4"/>
  <c r="S1614" i="4" s="1"/>
  <c r="P1615" i="4"/>
  <c r="S1615" i="4" s="1"/>
  <c r="P1616" i="4"/>
  <c r="S1616" i="4" s="1"/>
  <c r="P1617" i="4"/>
  <c r="S1617" i="4" s="1"/>
  <c r="P1620" i="4"/>
  <c r="S1620" i="4" s="1"/>
  <c r="P1621" i="4"/>
  <c r="S1621" i="4" s="1"/>
  <c r="P1622" i="4"/>
  <c r="S1622" i="4" s="1"/>
  <c r="P1623" i="4"/>
  <c r="S1623" i="4" s="1"/>
  <c r="P1624" i="4"/>
  <c r="S1624" i="4" s="1"/>
  <c r="P1625" i="4"/>
  <c r="S1625" i="4" s="1"/>
  <c r="P1626" i="4"/>
  <c r="S1626" i="4" s="1"/>
  <c r="P1627" i="4"/>
  <c r="S1627" i="4" s="1"/>
  <c r="P1628" i="4"/>
  <c r="S1628" i="4" s="1"/>
  <c r="P1629" i="4"/>
  <c r="S1629" i="4" s="1"/>
  <c r="P1630" i="4"/>
  <c r="S1630" i="4" s="1"/>
  <c r="P1631" i="4"/>
  <c r="S1631" i="4" s="1"/>
  <c r="P1632" i="4"/>
  <c r="S1632" i="4" s="1"/>
  <c r="P1633" i="4"/>
  <c r="S1633" i="4" s="1"/>
  <c r="P1634" i="4"/>
  <c r="S1634" i="4" s="1"/>
  <c r="P1635" i="4"/>
  <c r="S1635" i="4" s="1"/>
  <c r="P1636" i="4"/>
  <c r="S1636" i="4" s="1"/>
  <c r="P1637" i="4"/>
  <c r="S1637" i="4" s="1"/>
  <c r="P1638" i="4"/>
  <c r="S1638" i="4" s="1"/>
  <c r="P1639" i="4"/>
  <c r="S1639" i="4" s="1"/>
  <c r="P1640" i="4"/>
  <c r="S1640" i="4" s="1"/>
  <c r="P1641" i="4"/>
  <c r="S1641" i="4" s="1"/>
  <c r="P1642" i="4"/>
  <c r="S1642" i="4" s="1"/>
  <c r="P1643" i="4"/>
  <c r="S1643" i="4" s="1"/>
  <c r="P1644" i="4"/>
  <c r="S1644" i="4" s="1"/>
  <c r="P1645" i="4"/>
  <c r="S1645" i="4" s="1"/>
  <c r="P1646" i="4"/>
  <c r="S1646" i="4" s="1"/>
  <c r="P1647" i="4"/>
  <c r="S1647" i="4" s="1"/>
  <c r="P1648" i="4"/>
  <c r="S1648" i="4" s="1"/>
  <c r="P1649" i="4"/>
  <c r="S1649" i="4" s="1"/>
  <c r="P1650" i="4"/>
  <c r="S1650" i="4" s="1"/>
  <c r="P1651" i="4"/>
  <c r="S1651" i="4" s="1"/>
  <c r="P1652" i="4"/>
  <c r="S1652" i="4" s="1"/>
  <c r="P1653" i="4"/>
  <c r="S1653" i="4" s="1"/>
  <c r="P1654" i="4"/>
  <c r="S1654" i="4" s="1"/>
  <c r="P1655" i="4"/>
  <c r="S1655" i="4" s="1"/>
  <c r="P1656" i="4"/>
  <c r="S1656" i="4" s="1"/>
  <c r="P1657" i="4"/>
  <c r="S1657" i="4" s="1"/>
  <c r="P1658" i="4"/>
  <c r="S1658" i="4" s="1"/>
  <c r="P1659" i="4"/>
  <c r="S1659" i="4" s="1"/>
  <c r="P1660" i="4"/>
  <c r="S1660" i="4" s="1"/>
  <c r="P1661" i="4"/>
  <c r="S1661" i="4" s="1"/>
  <c r="P1662" i="4"/>
  <c r="S1662" i="4" s="1"/>
  <c r="P1663" i="4"/>
  <c r="S1663" i="4" s="1"/>
  <c r="P1664" i="4"/>
  <c r="S1664" i="4" s="1"/>
  <c r="P1665" i="4"/>
  <c r="S1665" i="4" s="1"/>
  <c r="P1666" i="4"/>
  <c r="S1666" i="4" s="1"/>
  <c r="P1667" i="4"/>
  <c r="S1667" i="4" s="1"/>
  <c r="P1668" i="4"/>
  <c r="S1668" i="4" s="1"/>
  <c r="P1669" i="4"/>
  <c r="S1669" i="4" s="1"/>
  <c r="R714" i="4"/>
  <c r="R725" i="4"/>
  <c r="R730" i="4"/>
  <c r="R731" i="4"/>
  <c r="R734" i="4"/>
  <c r="R735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6" i="4"/>
  <c r="R757" i="4"/>
  <c r="R758" i="4"/>
  <c r="R759" i="4"/>
  <c r="R760" i="4"/>
  <c r="R761" i="4"/>
  <c r="R762" i="4"/>
  <c r="R763" i="4"/>
  <c r="R764" i="4"/>
  <c r="R768" i="4"/>
  <c r="R769" i="4"/>
  <c r="R771" i="4"/>
  <c r="R773" i="4"/>
  <c r="R774" i="4"/>
  <c r="R775" i="4"/>
  <c r="R779" i="4"/>
  <c r="R781" i="4"/>
  <c r="R782" i="4"/>
  <c r="R786" i="4"/>
  <c r="R789" i="4"/>
  <c r="R790" i="4"/>
  <c r="R794" i="4"/>
  <c r="R795" i="4"/>
  <c r="R796" i="4"/>
  <c r="R797" i="4"/>
  <c r="R798" i="4"/>
  <c r="R799" i="4"/>
  <c r="R803" i="4"/>
  <c r="R807" i="4"/>
  <c r="R808" i="4"/>
  <c r="R809" i="4"/>
  <c r="R811" i="4"/>
  <c r="R812" i="4"/>
  <c r="R813" i="4"/>
  <c r="R815" i="4"/>
  <c r="R818" i="4"/>
  <c r="R819" i="4"/>
  <c r="R820" i="4"/>
  <c r="R821" i="4"/>
  <c r="R826" i="4"/>
  <c r="R827" i="4"/>
  <c r="R828" i="4"/>
  <c r="R829" i="4"/>
  <c r="R830" i="4"/>
  <c r="R835" i="4"/>
  <c r="R836" i="4"/>
  <c r="R837" i="4"/>
  <c r="R838" i="4"/>
  <c r="R839" i="4"/>
  <c r="R842" i="4"/>
  <c r="R846" i="4"/>
  <c r="R847" i="4"/>
  <c r="R848" i="4"/>
  <c r="R849" i="4"/>
  <c r="R851" i="4"/>
  <c r="R852" i="4"/>
  <c r="R853" i="4"/>
  <c r="R854" i="4"/>
  <c r="R855" i="4"/>
  <c r="R856" i="4"/>
  <c r="R857" i="4"/>
  <c r="R858" i="4"/>
  <c r="R859" i="4"/>
  <c r="R864" i="4"/>
  <c r="R866" i="4"/>
  <c r="R867" i="4"/>
  <c r="R868" i="4"/>
  <c r="R869" i="4"/>
  <c r="R870" i="4"/>
  <c r="R871" i="4"/>
  <c r="R872" i="4"/>
  <c r="R873" i="4"/>
  <c r="R876" i="4"/>
  <c r="R877" i="4"/>
  <c r="R878" i="4"/>
  <c r="R879" i="4"/>
  <c r="R880" i="4"/>
  <c r="R882" i="4"/>
  <c r="R883" i="4"/>
  <c r="R884" i="4"/>
  <c r="R886" i="4"/>
  <c r="R893" i="4"/>
  <c r="R894" i="4"/>
  <c r="R895" i="4"/>
  <c r="R896" i="4"/>
  <c r="R898" i="4"/>
  <c r="R899" i="4"/>
  <c r="R900" i="4"/>
  <c r="R909" i="4"/>
  <c r="R912" i="4"/>
  <c r="R917" i="4"/>
  <c r="R918" i="4"/>
  <c r="R919" i="4"/>
  <c r="R923" i="4"/>
  <c r="R924" i="4"/>
  <c r="R925" i="4"/>
  <c r="R926" i="4"/>
  <c r="R929" i="4"/>
  <c r="R932" i="4"/>
  <c r="R933" i="4"/>
  <c r="R934" i="4"/>
  <c r="R935" i="4"/>
  <c r="R936" i="4"/>
  <c r="R938" i="4"/>
  <c r="R939" i="4"/>
  <c r="R940" i="4"/>
  <c r="R941" i="4"/>
  <c r="R942" i="4"/>
  <c r="R944" i="4"/>
  <c r="R945" i="4"/>
  <c r="R953" i="4"/>
  <c r="R959" i="4"/>
  <c r="R960" i="4"/>
  <c r="R970" i="4"/>
  <c r="R971" i="4"/>
  <c r="R972" i="4"/>
  <c r="R973" i="4"/>
  <c r="R974" i="4"/>
  <c r="R975" i="4"/>
  <c r="R978" i="4"/>
  <c r="R981" i="4"/>
  <c r="R982" i="4"/>
  <c r="R983" i="4"/>
  <c r="R992" i="4"/>
  <c r="R1005" i="4"/>
  <c r="R1035" i="4"/>
  <c r="R1036" i="4"/>
  <c r="R1043" i="4"/>
  <c r="R1044" i="4"/>
  <c r="R1055" i="4"/>
  <c r="R1069" i="4"/>
  <c r="R1070" i="4"/>
  <c r="R1072" i="4"/>
  <c r="R1084" i="4"/>
  <c r="R1090" i="4"/>
  <c r="R1092" i="4"/>
  <c r="R1094" i="4"/>
  <c r="R1115" i="4"/>
  <c r="R1116" i="4"/>
  <c r="R1117" i="4"/>
  <c r="R1122" i="4"/>
  <c r="R1123" i="4"/>
  <c r="R1125" i="4"/>
  <c r="R1126" i="4"/>
  <c r="R1127" i="4"/>
  <c r="R1128" i="4"/>
  <c r="R1129" i="4"/>
  <c r="R1131" i="4"/>
  <c r="R1132" i="4"/>
  <c r="R1135" i="4"/>
  <c r="R1136" i="4"/>
  <c r="R1140" i="4"/>
  <c r="R1141" i="4"/>
  <c r="R1142" i="4"/>
  <c r="R1143" i="4"/>
  <c r="R1145" i="4"/>
  <c r="R1155" i="4"/>
  <c r="R1157" i="4"/>
  <c r="R1170" i="4"/>
  <c r="R1208" i="4"/>
  <c r="R1213" i="4"/>
  <c r="R1221" i="4"/>
  <c r="R1222" i="4"/>
  <c r="R1227" i="4"/>
  <c r="R1237" i="4"/>
  <c r="R1238" i="4"/>
  <c r="R1239" i="4"/>
  <c r="R1240" i="4"/>
  <c r="R1241" i="4"/>
  <c r="R1242" i="4"/>
  <c r="R1244" i="4"/>
  <c r="R1245" i="4"/>
  <c r="R1250" i="4"/>
  <c r="R1251" i="4"/>
  <c r="R1252" i="4"/>
  <c r="R1257" i="4"/>
  <c r="R1258" i="4"/>
  <c r="R1267" i="4"/>
  <c r="R1268" i="4"/>
  <c r="R1280" i="4"/>
  <c r="R1288" i="4"/>
  <c r="R1289" i="4"/>
  <c r="R1293" i="4"/>
  <c r="R1294" i="4"/>
  <c r="R1295" i="4"/>
  <c r="R1296" i="4"/>
  <c r="R1297" i="4"/>
  <c r="R1298" i="4"/>
  <c r="R1299" i="4"/>
  <c r="R1305" i="4"/>
  <c r="R1306" i="4"/>
  <c r="R1307" i="4"/>
  <c r="R1348" i="4"/>
  <c r="R1354" i="4"/>
  <c r="R1355" i="4"/>
  <c r="R1385" i="4"/>
  <c r="R1408" i="4"/>
  <c r="R1418" i="4"/>
  <c r="R1494" i="4"/>
  <c r="R1520" i="4"/>
  <c r="R1557" i="4"/>
  <c r="R1558" i="4"/>
  <c r="R1559" i="4"/>
  <c r="R1571" i="4"/>
  <c r="R1572" i="4"/>
  <c r="R1576" i="4"/>
  <c r="R1577" i="4"/>
  <c r="R1582" i="4"/>
  <c r="R1583" i="4"/>
  <c r="R1585" i="4"/>
  <c r="R1586" i="4"/>
  <c r="R1587" i="4"/>
  <c r="R1588" i="4"/>
  <c r="R1590" i="4"/>
  <c r="R1592" i="4"/>
  <c r="R1609" i="4"/>
  <c r="R1614" i="4"/>
  <c r="R1615" i="4"/>
  <c r="R1616" i="4"/>
  <c r="R1617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G27" i="4"/>
  <c r="G30" i="4"/>
  <c r="G31" i="4"/>
  <c r="G32" i="4"/>
  <c r="G33" i="4"/>
  <c r="G34" i="4"/>
  <c r="G35" i="4"/>
  <c r="G36" i="4"/>
  <c r="G40" i="4"/>
  <c r="G41" i="4"/>
  <c r="G42" i="4"/>
  <c r="G43" i="4"/>
  <c r="G44" i="4"/>
  <c r="G45" i="4"/>
  <c r="G46" i="4"/>
  <c r="G47" i="4"/>
  <c r="G48" i="4"/>
  <c r="G49" i="4"/>
  <c r="G50" i="4"/>
  <c r="G52" i="4"/>
  <c r="G55" i="4"/>
  <c r="G60" i="4"/>
  <c r="G61" i="4"/>
  <c r="G62" i="4"/>
  <c r="G63" i="4"/>
  <c r="G64" i="4"/>
  <c r="G65" i="4"/>
  <c r="G66" i="4"/>
  <c r="G68" i="4"/>
  <c r="G69" i="4"/>
  <c r="G70" i="4"/>
  <c r="G71" i="4"/>
  <c r="G72" i="4"/>
  <c r="G79" i="4"/>
  <c r="G80" i="4"/>
  <c r="G81" i="4"/>
  <c r="G82" i="4"/>
  <c r="G85" i="4"/>
  <c r="G87" i="4"/>
  <c r="G88" i="4"/>
  <c r="G89" i="4"/>
  <c r="G90" i="4"/>
  <c r="G91" i="4"/>
  <c r="G92" i="4"/>
  <c r="G93" i="4"/>
  <c r="G94" i="4"/>
  <c r="G95" i="4"/>
  <c r="G96" i="4"/>
  <c r="G97" i="4"/>
  <c r="G100" i="4"/>
  <c r="G106" i="4"/>
  <c r="G114" i="4"/>
  <c r="G115" i="4"/>
  <c r="G116" i="4"/>
  <c r="G122" i="4"/>
  <c r="G123" i="4"/>
  <c r="G124" i="4"/>
  <c r="G126" i="4"/>
  <c r="G127" i="4"/>
  <c r="G128" i="4"/>
  <c r="G129" i="4"/>
  <c r="G130" i="4"/>
  <c r="G134" i="4"/>
  <c r="G137" i="4"/>
  <c r="G138" i="4"/>
  <c r="G142" i="4"/>
  <c r="G143" i="4"/>
  <c r="G148" i="4"/>
  <c r="G149" i="4"/>
  <c r="G150" i="4"/>
  <c r="G151" i="4"/>
  <c r="G152" i="4"/>
  <c r="G153" i="4"/>
  <c r="G154" i="4"/>
  <c r="G155" i="4"/>
  <c r="G162" i="4"/>
  <c r="G165" i="4"/>
  <c r="G166" i="4"/>
  <c r="G167" i="4"/>
  <c r="G169" i="4"/>
  <c r="G170" i="4"/>
  <c r="G171" i="4"/>
  <c r="G172" i="4"/>
  <c r="G173" i="4"/>
  <c r="G174" i="4"/>
  <c r="G175" i="4"/>
  <c r="G176" i="4"/>
  <c r="G178" i="4"/>
  <c r="G179" i="4"/>
  <c r="G181" i="4"/>
  <c r="G185" i="4"/>
  <c r="G186" i="4"/>
  <c r="G187" i="4"/>
  <c r="G188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21" i="4"/>
  <c r="G222" i="4"/>
  <c r="G223" i="4"/>
  <c r="G224" i="4"/>
  <c r="G229" i="4"/>
  <c r="G230" i="4"/>
  <c r="G231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9" i="4"/>
  <c r="G250" i="4"/>
  <c r="G251" i="4"/>
  <c r="G252" i="4"/>
  <c r="G253" i="4"/>
  <c r="G254" i="4"/>
  <c r="G255" i="4"/>
  <c r="G256" i="4"/>
  <c r="G257" i="4"/>
  <c r="G259" i="4"/>
  <c r="G260" i="4"/>
  <c r="G261" i="4"/>
  <c r="G264" i="4"/>
  <c r="G267" i="4"/>
  <c r="G268" i="4"/>
  <c r="G269" i="4"/>
  <c r="G271" i="4"/>
  <c r="G272" i="4"/>
  <c r="G273" i="4"/>
  <c r="G274" i="4"/>
  <c r="G275" i="4"/>
  <c r="G276" i="4"/>
  <c r="G277" i="4"/>
  <c r="G279" i="4"/>
  <c r="G281" i="4"/>
  <c r="G282" i="4"/>
  <c r="G283" i="4"/>
  <c r="G284" i="4"/>
  <c r="G285" i="4"/>
  <c r="G286" i="4"/>
  <c r="G288" i="4"/>
  <c r="G289" i="4"/>
  <c r="G290" i="4"/>
  <c r="G293" i="4"/>
  <c r="G294" i="4"/>
  <c r="G295" i="4"/>
  <c r="G298" i="4"/>
  <c r="G299" i="4"/>
  <c r="G300" i="4"/>
  <c r="G301" i="4"/>
  <c r="G302" i="4"/>
  <c r="G303" i="4"/>
  <c r="G304" i="4"/>
  <c r="G305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2" i="4"/>
  <c r="G333" i="4"/>
  <c r="G334" i="4"/>
  <c r="G335" i="4"/>
  <c r="G336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4" i="4"/>
  <c r="G355" i="4"/>
  <c r="G356" i="4"/>
  <c r="G357" i="4"/>
  <c r="G358" i="4"/>
  <c r="G359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80" i="4"/>
  <c r="G381" i="4"/>
  <c r="G382" i="4"/>
  <c r="G383" i="4"/>
  <c r="G384" i="4"/>
  <c r="G385" i="4"/>
  <c r="G387" i="4"/>
  <c r="G388" i="4"/>
  <c r="G389" i="4"/>
  <c r="G390" i="4"/>
  <c r="G391" i="4"/>
  <c r="G392" i="4"/>
  <c r="G393" i="4"/>
  <c r="G394" i="4"/>
  <c r="G395" i="4"/>
  <c r="G397" i="4"/>
  <c r="G398" i="4"/>
  <c r="G402" i="4"/>
  <c r="G403" i="4"/>
  <c r="G404" i="4"/>
  <c r="G406" i="4"/>
  <c r="G408" i="4"/>
  <c r="G409" i="4"/>
  <c r="G410" i="4"/>
  <c r="G420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9" i="4"/>
  <c r="G440" i="4"/>
  <c r="G441" i="4"/>
  <c r="G442" i="4"/>
  <c r="G443" i="4"/>
  <c r="G444" i="4"/>
  <c r="G447" i="4"/>
  <c r="G448" i="4"/>
  <c r="G450" i="4"/>
  <c r="G451" i="4"/>
  <c r="G452" i="4"/>
  <c r="G453" i="4"/>
  <c r="G457" i="4"/>
  <c r="G458" i="4"/>
  <c r="G459" i="4"/>
  <c r="G460" i="4"/>
  <c r="G462" i="4"/>
  <c r="G463" i="4"/>
  <c r="G464" i="4"/>
  <c r="G465" i="4"/>
  <c r="G466" i="4"/>
  <c r="G467" i="4"/>
  <c r="G468" i="4"/>
  <c r="G472" i="4"/>
  <c r="G473" i="4"/>
  <c r="G474" i="4"/>
  <c r="G475" i="4"/>
  <c r="G476" i="4"/>
  <c r="G477" i="4"/>
  <c r="G478" i="4"/>
  <c r="G479" i="4"/>
  <c r="G480" i="4"/>
  <c r="G481" i="4"/>
  <c r="G482" i="4"/>
  <c r="G484" i="4"/>
  <c r="G485" i="4"/>
  <c r="G486" i="4"/>
  <c r="G487" i="4"/>
  <c r="G488" i="4"/>
  <c r="G489" i="4"/>
  <c r="G491" i="4"/>
  <c r="G492" i="4"/>
  <c r="G493" i="4"/>
  <c r="G494" i="4"/>
  <c r="G495" i="4"/>
  <c r="G497" i="4"/>
  <c r="G498" i="4"/>
  <c r="G499" i="4"/>
  <c r="G500" i="4"/>
  <c r="G501" i="4"/>
  <c r="G502" i="4"/>
  <c r="G506" i="4"/>
  <c r="G507" i="4"/>
  <c r="G508" i="4"/>
  <c r="G509" i="4"/>
  <c r="G510" i="4"/>
  <c r="G511" i="4"/>
  <c r="G512" i="4"/>
  <c r="G513" i="4"/>
  <c r="G514" i="4"/>
  <c r="G516" i="4"/>
  <c r="G517" i="4"/>
  <c r="G518" i="4"/>
  <c r="G519" i="4"/>
  <c r="G521" i="4"/>
  <c r="G522" i="4"/>
  <c r="G523" i="4"/>
  <c r="G529" i="4"/>
  <c r="G530" i="4"/>
  <c r="G531" i="4"/>
  <c r="G532" i="4"/>
  <c r="G534" i="4"/>
  <c r="G535" i="4"/>
  <c r="G536" i="4"/>
  <c r="G537" i="4"/>
  <c r="G538" i="4"/>
  <c r="G541" i="4"/>
  <c r="G542" i="4"/>
  <c r="G543" i="4"/>
  <c r="G544" i="4"/>
  <c r="G545" i="4"/>
  <c r="G546" i="4"/>
  <c r="G547" i="4"/>
  <c r="G548" i="4"/>
  <c r="G549" i="4"/>
  <c r="G550" i="4"/>
  <c r="G554" i="4"/>
  <c r="G555" i="4"/>
  <c r="G556" i="4"/>
  <c r="G557" i="4"/>
  <c r="G558" i="4"/>
  <c r="G565" i="4"/>
  <c r="G566" i="4"/>
  <c r="G567" i="4"/>
  <c r="G568" i="4"/>
  <c r="G569" i="4"/>
  <c r="G571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8" i="4"/>
  <c r="G589" i="4"/>
  <c r="G590" i="4"/>
  <c r="G591" i="4"/>
  <c r="G592" i="4"/>
  <c r="G593" i="4"/>
  <c r="G596" i="4"/>
  <c r="G597" i="4"/>
  <c r="G598" i="4"/>
  <c r="G599" i="4"/>
  <c r="G602" i="4"/>
  <c r="G603" i="4"/>
  <c r="G604" i="4"/>
  <c r="G605" i="4"/>
  <c r="G606" i="4"/>
  <c r="G607" i="4"/>
  <c r="G610" i="4"/>
  <c r="G611" i="4"/>
  <c r="G612" i="4"/>
  <c r="G613" i="4"/>
  <c r="G614" i="4"/>
  <c r="G615" i="4"/>
  <c r="G616" i="4"/>
  <c r="G617" i="4"/>
  <c r="G618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3" i="4"/>
  <c r="G644" i="4"/>
  <c r="G647" i="4"/>
  <c r="G648" i="4"/>
  <c r="G649" i="4"/>
  <c r="G650" i="4"/>
  <c r="G655" i="4"/>
  <c r="G656" i="4"/>
  <c r="G657" i="4"/>
  <c r="G664" i="4"/>
  <c r="G665" i="4"/>
  <c r="G666" i="4"/>
  <c r="G667" i="4"/>
  <c r="G668" i="4"/>
  <c r="G669" i="4"/>
  <c r="G670" i="4"/>
  <c r="G672" i="4"/>
  <c r="G673" i="4"/>
  <c r="G674" i="4"/>
  <c r="G675" i="4"/>
  <c r="G676" i="4"/>
  <c r="G679" i="4"/>
  <c r="G680" i="4"/>
  <c r="G681" i="4"/>
  <c r="G682" i="4"/>
  <c r="G683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10" i="4"/>
  <c r="G711" i="4"/>
  <c r="G712" i="4"/>
  <c r="G715" i="4"/>
  <c r="G716" i="4"/>
  <c r="G717" i="4"/>
  <c r="G718" i="4"/>
  <c r="G719" i="4"/>
  <c r="G720" i="4"/>
  <c r="G721" i="4"/>
  <c r="H27" i="4"/>
  <c r="H30" i="4"/>
  <c r="H31" i="4"/>
  <c r="H32" i="4"/>
  <c r="H33" i="4"/>
  <c r="H34" i="4"/>
  <c r="H35" i="4"/>
  <c r="H36" i="4"/>
  <c r="H40" i="4"/>
  <c r="H41" i="4"/>
  <c r="H42" i="4"/>
  <c r="H43" i="4"/>
  <c r="H44" i="4"/>
  <c r="H45" i="4"/>
  <c r="H46" i="4"/>
  <c r="H47" i="4"/>
  <c r="H48" i="4"/>
  <c r="H49" i="4"/>
  <c r="H50" i="4"/>
  <c r="H52" i="4"/>
  <c r="H55" i="4"/>
  <c r="H60" i="4"/>
  <c r="H61" i="4"/>
  <c r="H62" i="4"/>
  <c r="H63" i="4"/>
  <c r="H64" i="4"/>
  <c r="H65" i="4"/>
  <c r="H66" i="4"/>
  <c r="H68" i="4"/>
  <c r="H69" i="4"/>
  <c r="H70" i="4"/>
  <c r="H71" i="4"/>
  <c r="H72" i="4"/>
  <c r="H79" i="4"/>
  <c r="H80" i="4"/>
  <c r="H81" i="4"/>
  <c r="H82" i="4"/>
  <c r="H85" i="4"/>
  <c r="H87" i="4"/>
  <c r="H88" i="4"/>
  <c r="H89" i="4"/>
  <c r="H90" i="4"/>
  <c r="H91" i="4"/>
  <c r="H92" i="4"/>
  <c r="H93" i="4"/>
  <c r="H94" i="4"/>
  <c r="H95" i="4"/>
  <c r="H96" i="4"/>
  <c r="H97" i="4"/>
  <c r="H100" i="4"/>
  <c r="H106" i="4"/>
  <c r="H114" i="4"/>
  <c r="H115" i="4"/>
  <c r="H116" i="4"/>
  <c r="H122" i="4"/>
  <c r="H123" i="4"/>
  <c r="H124" i="4"/>
  <c r="H126" i="4"/>
  <c r="H127" i="4"/>
  <c r="H128" i="4"/>
  <c r="H129" i="4"/>
  <c r="H130" i="4"/>
  <c r="H134" i="4"/>
  <c r="H137" i="4"/>
  <c r="H138" i="4"/>
  <c r="H142" i="4"/>
  <c r="H143" i="4"/>
  <c r="H148" i="4"/>
  <c r="H149" i="4"/>
  <c r="H150" i="4"/>
  <c r="H151" i="4"/>
  <c r="H152" i="4"/>
  <c r="H153" i="4"/>
  <c r="H154" i="4"/>
  <c r="H155" i="4"/>
  <c r="H162" i="4"/>
  <c r="H165" i="4"/>
  <c r="H166" i="4"/>
  <c r="H167" i="4"/>
  <c r="H169" i="4"/>
  <c r="H170" i="4"/>
  <c r="H171" i="4"/>
  <c r="H172" i="4"/>
  <c r="H173" i="4"/>
  <c r="H174" i="4"/>
  <c r="H175" i="4"/>
  <c r="H176" i="4"/>
  <c r="H178" i="4"/>
  <c r="H179" i="4"/>
  <c r="H181" i="4"/>
  <c r="H185" i="4"/>
  <c r="H186" i="4"/>
  <c r="H187" i="4"/>
  <c r="H188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21" i="4"/>
  <c r="H222" i="4"/>
  <c r="H223" i="4"/>
  <c r="H224" i="4"/>
  <c r="H229" i="4"/>
  <c r="H230" i="4"/>
  <c r="H231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9" i="4"/>
  <c r="H250" i="4"/>
  <c r="H251" i="4"/>
  <c r="H252" i="4"/>
  <c r="H253" i="4"/>
  <c r="H254" i="4"/>
  <c r="H255" i="4"/>
  <c r="H256" i="4"/>
  <c r="H257" i="4"/>
  <c r="H259" i="4"/>
  <c r="H260" i="4"/>
  <c r="H261" i="4"/>
  <c r="H264" i="4"/>
  <c r="H267" i="4"/>
  <c r="H268" i="4"/>
  <c r="H269" i="4"/>
  <c r="H271" i="4"/>
  <c r="H272" i="4"/>
  <c r="H273" i="4"/>
  <c r="H274" i="4"/>
  <c r="H275" i="4"/>
  <c r="H276" i="4"/>
  <c r="H277" i="4"/>
  <c r="H279" i="4"/>
  <c r="H281" i="4"/>
  <c r="H282" i="4"/>
  <c r="H283" i="4"/>
  <c r="H284" i="4"/>
  <c r="H285" i="4"/>
  <c r="H286" i="4"/>
  <c r="H288" i="4"/>
  <c r="H289" i="4"/>
  <c r="H290" i="4"/>
  <c r="H293" i="4"/>
  <c r="H294" i="4"/>
  <c r="H295" i="4"/>
  <c r="H298" i="4"/>
  <c r="H299" i="4"/>
  <c r="H300" i="4"/>
  <c r="H301" i="4"/>
  <c r="H302" i="4"/>
  <c r="H303" i="4"/>
  <c r="H304" i="4"/>
  <c r="H305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2" i="4"/>
  <c r="H333" i="4"/>
  <c r="H334" i="4"/>
  <c r="H335" i="4"/>
  <c r="H336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4" i="4"/>
  <c r="H355" i="4"/>
  <c r="H356" i="4"/>
  <c r="H357" i="4"/>
  <c r="H358" i="4"/>
  <c r="H359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80" i="4"/>
  <c r="H381" i="4"/>
  <c r="H382" i="4"/>
  <c r="H383" i="4"/>
  <c r="H384" i="4"/>
  <c r="H385" i="4"/>
  <c r="H387" i="4"/>
  <c r="H388" i="4"/>
  <c r="H389" i="4"/>
  <c r="H390" i="4"/>
  <c r="H391" i="4"/>
  <c r="H392" i="4"/>
  <c r="H393" i="4"/>
  <c r="H394" i="4"/>
  <c r="H395" i="4"/>
  <c r="H397" i="4"/>
  <c r="H398" i="4"/>
  <c r="H402" i="4"/>
  <c r="H403" i="4"/>
  <c r="H404" i="4"/>
  <c r="H406" i="4"/>
  <c r="H408" i="4"/>
  <c r="H409" i="4"/>
  <c r="H410" i="4"/>
  <c r="H420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9" i="4"/>
  <c r="H440" i="4"/>
  <c r="H441" i="4"/>
  <c r="H442" i="4"/>
  <c r="H443" i="4"/>
  <c r="H444" i="4"/>
  <c r="H447" i="4"/>
  <c r="H448" i="4"/>
  <c r="H450" i="4"/>
  <c r="H451" i="4"/>
  <c r="H452" i="4"/>
  <c r="H453" i="4"/>
  <c r="H457" i="4"/>
  <c r="H458" i="4"/>
  <c r="H459" i="4"/>
  <c r="H460" i="4"/>
  <c r="H462" i="4"/>
  <c r="H463" i="4"/>
  <c r="H464" i="4"/>
  <c r="H465" i="4"/>
  <c r="H466" i="4"/>
  <c r="H467" i="4"/>
  <c r="H468" i="4"/>
  <c r="H472" i="4"/>
  <c r="H473" i="4"/>
  <c r="H474" i="4"/>
  <c r="H475" i="4"/>
  <c r="H476" i="4"/>
  <c r="H477" i="4"/>
  <c r="H478" i="4"/>
  <c r="H479" i="4"/>
  <c r="H480" i="4"/>
  <c r="H481" i="4"/>
  <c r="H482" i="4"/>
  <c r="H484" i="4"/>
  <c r="H485" i="4"/>
  <c r="H486" i="4"/>
  <c r="H487" i="4"/>
  <c r="H488" i="4"/>
  <c r="H489" i="4"/>
  <c r="H491" i="4"/>
  <c r="H492" i="4"/>
  <c r="H493" i="4"/>
  <c r="H494" i="4"/>
  <c r="H495" i="4"/>
  <c r="H497" i="4"/>
  <c r="H498" i="4"/>
  <c r="H499" i="4"/>
  <c r="H500" i="4"/>
  <c r="H501" i="4"/>
  <c r="H502" i="4"/>
  <c r="H506" i="4"/>
  <c r="H507" i="4"/>
  <c r="H508" i="4"/>
  <c r="H509" i="4"/>
  <c r="H510" i="4"/>
  <c r="H511" i="4"/>
  <c r="H512" i="4"/>
  <c r="H513" i="4"/>
  <c r="H514" i="4"/>
  <c r="H516" i="4"/>
  <c r="H517" i="4"/>
  <c r="H518" i="4"/>
  <c r="H519" i="4"/>
  <c r="H521" i="4"/>
  <c r="H522" i="4"/>
  <c r="H523" i="4"/>
  <c r="H529" i="4"/>
  <c r="H530" i="4"/>
  <c r="H531" i="4"/>
  <c r="H532" i="4"/>
  <c r="H534" i="4"/>
  <c r="H535" i="4"/>
  <c r="H536" i="4"/>
  <c r="H537" i="4"/>
  <c r="H538" i="4"/>
  <c r="H541" i="4"/>
  <c r="H542" i="4"/>
  <c r="H543" i="4"/>
  <c r="H544" i="4"/>
  <c r="H545" i="4"/>
  <c r="H546" i="4"/>
  <c r="H547" i="4"/>
  <c r="H548" i="4"/>
  <c r="H549" i="4"/>
  <c r="H550" i="4"/>
  <c r="H554" i="4"/>
  <c r="H555" i="4"/>
  <c r="H556" i="4"/>
  <c r="H557" i="4"/>
  <c r="H558" i="4"/>
  <c r="H565" i="4"/>
  <c r="H566" i="4"/>
  <c r="H567" i="4"/>
  <c r="H568" i="4"/>
  <c r="H569" i="4"/>
  <c r="H571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8" i="4"/>
  <c r="H589" i="4"/>
  <c r="H590" i="4"/>
  <c r="H591" i="4"/>
  <c r="H592" i="4"/>
  <c r="H593" i="4"/>
  <c r="H596" i="4"/>
  <c r="H597" i="4"/>
  <c r="H598" i="4"/>
  <c r="H599" i="4"/>
  <c r="H602" i="4"/>
  <c r="H603" i="4"/>
  <c r="H604" i="4"/>
  <c r="H605" i="4"/>
  <c r="H606" i="4"/>
  <c r="H607" i="4"/>
  <c r="H610" i="4"/>
  <c r="H611" i="4"/>
  <c r="H612" i="4"/>
  <c r="H613" i="4"/>
  <c r="H614" i="4"/>
  <c r="H615" i="4"/>
  <c r="H616" i="4"/>
  <c r="H617" i="4"/>
  <c r="H618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3" i="4"/>
  <c r="H644" i="4"/>
  <c r="H647" i="4"/>
  <c r="H648" i="4"/>
  <c r="H649" i="4"/>
  <c r="H650" i="4"/>
  <c r="H655" i="4"/>
  <c r="H656" i="4"/>
  <c r="H657" i="4"/>
  <c r="H664" i="4"/>
  <c r="H665" i="4"/>
  <c r="H666" i="4"/>
  <c r="H667" i="4"/>
  <c r="H668" i="4"/>
  <c r="H669" i="4"/>
  <c r="H670" i="4"/>
  <c r="H672" i="4"/>
  <c r="H673" i="4"/>
  <c r="H674" i="4"/>
  <c r="H675" i="4"/>
  <c r="H676" i="4"/>
  <c r="H679" i="4"/>
  <c r="H680" i="4"/>
  <c r="H681" i="4"/>
  <c r="H682" i="4"/>
  <c r="H683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10" i="4"/>
  <c r="H711" i="4"/>
  <c r="H712" i="4"/>
  <c r="H715" i="4"/>
  <c r="H716" i="4"/>
  <c r="H717" i="4"/>
  <c r="H718" i="4"/>
  <c r="H719" i="4"/>
  <c r="H720" i="4"/>
  <c r="H721" i="4"/>
  <c r="I27" i="4"/>
  <c r="I30" i="4"/>
  <c r="I31" i="4"/>
  <c r="I32" i="4"/>
  <c r="I33" i="4"/>
  <c r="I34" i="4"/>
  <c r="I35" i="4"/>
  <c r="I36" i="4"/>
  <c r="I40" i="4"/>
  <c r="I41" i="4"/>
  <c r="I42" i="4"/>
  <c r="I43" i="4"/>
  <c r="I44" i="4"/>
  <c r="I45" i="4"/>
  <c r="I46" i="4"/>
  <c r="I47" i="4"/>
  <c r="I48" i="4"/>
  <c r="I49" i="4"/>
  <c r="I50" i="4"/>
  <c r="I52" i="4"/>
  <c r="I55" i="4"/>
  <c r="I60" i="4"/>
  <c r="I61" i="4"/>
  <c r="I62" i="4"/>
  <c r="I63" i="4"/>
  <c r="I64" i="4"/>
  <c r="I65" i="4"/>
  <c r="I66" i="4"/>
  <c r="I68" i="4"/>
  <c r="I69" i="4"/>
  <c r="I70" i="4"/>
  <c r="I71" i="4"/>
  <c r="I72" i="4"/>
  <c r="I79" i="4"/>
  <c r="I80" i="4"/>
  <c r="I81" i="4"/>
  <c r="I82" i="4"/>
  <c r="I85" i="4"/>
  <c r="I87" i="4"/>
  <c r="I88" i="4"/>
  <c r="I89" i="4"/>
  <c r="I90" i="4"/>
  <c r="I91" i="4"/>
  <c r="I92" i="4"/>
  <c r="I93" i="4"/>
  <c r="I94" i="4"/>
  <c r="I95" i="4"/>
  <c r="I96" i="4"/>
  <c r="I97" i="4"/>
  <c r="I100" i="4"/>
  <c r="I106" i="4"/>
  <c r="I114" i="4"/>
  <c r="I115" i="4"/>
  <c r="I116" i="4"/>
  <c r="I122" i="4"/>
  <c r="I123" i="4"/>
  <c r="I124" i="4"/>
  <c r="I126" i="4"/>
  <c r="I127" i="4"/>
  <c r="I128" i="4"/>
  <c r="I129" i="4"/>
  <c r="I130" i="4"/>
  <c r="I134" i="4"/>
  <c r="I137" i="4"/>
  <c r="I138" i="4"/>
  <c r="I142" i="4"/>
  <c r="I143" i="4"/>
  <c r="I148" i="4"/>
  <c r="I149" i="4"/>
  <c r="I150" i="4"/>
  <c r="I151" i="4"/>
  <c r="I152" i="4"/>
  <c r="I153" i="4"/>
  <c r="I154" i="4"/>
  <c r="I155" i="4"/>
  <c r="I162" i="4"/>
  <c r="I165" i="4"/>
  <c r="I166" i="4"/>
  <c r="I167" i="4"/>
  <c r="I169" i="4"/>
  <c r="I170" i="4"/>
  <c r="I171" i="4"/>
  <c r="I172" i="4"/>
  <c r="I173" i="4"/>
  <c r="I174" i="4"/>
  <c r="I175" i="4"/>
  <c r="I176" i="4"/>
  <c r="I178" i="4"/>
  <c r="I179" i="4"/>
  <c r="I181" i="4"/>
  <c r="I185" i="4"/>
  <c r="I186" i="4"/>
  <c r="I187" i="4"/>
  <c r="I188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21" i="4"/>
  <c r="I222" i="4"/>
  <c r="I223" i="4"/>
  <c r="I224" i="4"/>
  <c r="I229" i="4"/>
  <c r="I230" i="4"/>
  <c r="I231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9" i="4"/>
  <c r="I250" i="4"/>
  <c r="I251" i="4"/>
  <c r="I252" i="4"/>
  <c r="I253" i="4"/>
  <c r="I254" i="4"/>
  <c r="I255" i="4"/>
  <c r="I256" i="4"/>
  <c r="I257" i="4"/>
  <c r="I259" i="4"/>
  <c r="I260" i="4"/>
  <c r="I261" i="4"/>
  <c r="I264" i="4"/>
  <c r="I267" i="4"/>
  <c r="I268" i="4"/>
  <c r="I269" i="4"/>
  <c r="I271" i="4"/>
  <c r="I272" i="4"/>
  <c r="I273" i="4"/>
  <c r="I274" i="4"/>
  <c r="I275" i="4"/>
  <c r="I276" i="4"/>
  <c r="I277" i="4"/>
  <c r="I279" i="4"/>
  <c r="I281" i="4"/>
  <c r="I282" i="4"/>
  <c r="I283" i="4"/>
  <c r="I284" i="4"/>
  <c r="I285" i="4"/>
  <c r="I286" i="4"/>
  <c r="I288" i="4"/>
  <c r="I289" i="4"/>
  <c r="I290" i="4"/>
  <c r="I293" i="4"/>
  <c r="I294" i="4"/>
  <c r="I295" i="4"/>
  <c r="I298" i="4"/>
  <c r="I299" i="4"/>
  <c r="I300" i="4"/>
  <c r="I301" i="4"/>
  <c r="I302" i="4"/>
  <c r="I303" i="4"/>
  <c r="I304" i="4"/>
  <c r="I305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2" i="4"/>
  <c r="I333" i="4"/>
  <c r="I334" i="4"/>
  <c r="I335" i="4"/>
  <c r="I336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4" i="4"/>
  <c r="I355" i="4"/>
  <c r="I356" i="4"/>
  <c r="I357" i="4"/>
  <c r="I358" i="4"/>
  <c r="I359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80" i="4"/>
  <c r="I381" i="4"/>
  <c r="I382" i="4"/>
  <c r="I383" i="4"/>
  <c r="I384" i="4"/>
  <c r="I385" i="4"/>
  <c r="I387" i="4"/>
  <c r="I388" i="4"/>
  <c r="I389" i="4"/>
  <c r="I390" i="4"/>
  <c r="I391" i="4"/>
  <c r="I392" i="4"/>
  <c r="I393" i="4"/>
  <c r="I394" i="4"/>
  <c r="I395" i="4"/>
  <c r="I397" i="4"/>
  <c r="I398" i="4"/>
  <c r="I402" i="4"/>
  <c r="I403" i="4"/>
  <c r="I404" i="4"/>
  <c r="I406" i="4"/>
  <c r="I408" i="4"/>
  <c r="I409" i="4"/>
  <c r="I410" i="4"/>
  <c r="I420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9" i="4"/>
  <c r="I440" i="4"/>
  <c r="I441" i="4"/>
  <c r="I442" i="4"/>
  <c r="I443" i="4"/>
  <c r="I444" i="4"/>
  <c r="I447" i="4"/>
  <c r="I448" i="4"/>
  <c r="I450" i="4"/>
  <c r="I451" i="4"/>
  <c r="I452" i="4"/>
  <c r="I453" i="4"/>
  <c r="I457" i="4"/>
  <c r="I458" i="4"/>
  <c r="I459" i="4"/>
  <c r="I460" i="4"/>
  <c r="I462" i="4"/>
  <c r="I463" i="4"/>
  <c r="I464" i="4"/>
  <c r="I465" i="4"/>
  <c r="I466" i="4"/>
  <c r="I467" i="4"/>
  <c r="I468" i="4"/>
  <c r="I472" i="4"/>
  <c r="I473" i="4"/>
  <c r="I474" i="4"/>
  <c r="I475" i="4"/>
  <c r="I476" i="4"/>
  <c r="I477" i="4"/>
  <c r="I478" i="4"/>
  <c r="I479" i="4"/>
  <c r="I480" i="4"/>
  <c r="I481" i="4"/>
  <c r="I482" i="4"/>
  <c r="I484" i="4"/>
  <c r="I485" i="4"/>
  <c r="I486" i="4"/>
  <c r="I487" i="4"/>
  <c r="I488" i="4"/>
  <c r="I489" i="4"/>
  <c r="I491" i="4"/>
  <c r="I492" i="4"/>
  <c r="I493" i="4"/>
  <c r="I494" i="4"/>
  <c r="I495" i="4"/>
  <c r="I497" i="4"/>
  <c r="I498" i="4"/>
  <c r="I499" i="4"/>
  <c r="I500" i="4"/>
  <c r="I501" i="4"/>
  <c r="I502" i="4"/>
  <c r="I506" i="4"/>
  <c r="I507" i="4"/>
  <c r="I508" i="4"/>
  <c r="I509" i="4"/>
  <c r="I510" i="4"/>
  <c r="I511" i="4"/>
  <c r="I512" i="4"/>
  <c r="I513" i="4"/>
  <c r="I514" i="4"/>
  <c r="I516" i="4"/>
  <c r="I517" i="4"/>
  <c r="I518" i="4"/>
  <c r="I519" i="4"/>
  <c r="I521" i="4"/>
  <c r="I522" i="4"/>
  <c r="I523" i="4"/>
  <c r="I529" i="4"/>
  <c r="I530" i="4"/>
  <c r="I531" i="4"/>
  <c r="I532" i="4"/>
  <c r="I534" i="4"/>
  <c r="I535" i="4"/>
  <c r="I536" i="4"/>
  <c r="I537" i="4"/>
  <c r="I538" i="4"/>
  <c r="I541" i="4"/>
  <c r="I542" i="4"/>
  <c r="I543" i="4"/>
  <c r="I544" i="4"/>
  <c r="I545" i="4"/>
  <c r="I546" i="4"/>
  <c r="I547" i="4"/>
  <c r="I548" i="4"/>
  <c r="I549" i="4"/>
  <c r="I550" i="4"/>
  <c r="I554" i="4"/>
  <c r="I555" i="4"/>
  <c r="I556" i="4"/>
  <c r="I557" i="4"/>
  <c r="I558" i="4"/>
  <c r="I565" i="4"/>
  <c r="I566" i="4"/>
  <c r="I567" i="4"/>
  <c r="I568" i="4"/>
  <c r="I569" i="4"/>
  <c r="I571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8" i="4"/>
  <c r="I589" i="4"/>
  <c r="I590" i="4"/>
  <c r="I591" i="4"/>
  <c r="I592" i="4"/>
  <c r="I593" i="4"/>
  <c r="I596" i="4"/>
  <c r="I597" i="4"/>
  <c r="I598" i="4"/>
  <c r="I599" i="4"/>
  <c r="I602" i="4"/>
  <c r="I603" i="4"/>
  <c r="I604" i="4"/>
  <c r="I605" i="4"/>
  <c r="I606" i="4"/>
  <c r="I607" i="4"/>
  <c r="I610" i="4"/>
  <c r="I611" i="4"/>
  <c r="I612" i="4"/>
  <c r="I613" i="4"/>
  <c r="I614" i="4"/>
  <c r="I615" i="4"/>
  <c r="I616" i="4"/>
  <c r="I617" i="4"/>
  <c r="I618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3" i="4"/>
  <c r="I644" i="4"/>
  <c r="I647" i="4"/>
  <c r="I648" i="4"/>
  <c r="I649" i="4"/>
  <c r="I650" i="4"/>
  <c r="I655" i="4"/>
  <c r="I656" i="4"/>
  <c r="I657" i="4"/>
  <c r="I664" i="4"/>
  <c r="I665" i="4"/>
  <c r="I666" i="4"/>
  <c r="I667" i="4"/>
  <c r="I668" i="4"/>
  <c r="I669" i="4"/>
  <c r="I670" i="4"/>
  <c r="I672" i="4"/>
  <c r="I673" i="4"/>
  <c r="I674" i="4"/>
  <c r="I675" i="4"/>
  <c r="I676" i="4"/>
  <c r="I679" i="4"/>
  <c r="I680" i="4"/>
  <c r="I681" i="4"/>
  <c r="I682" i="4"/>
  <c r="I683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10" i="4"/>
  <c r="I711" i="4"/>
  <c r="I712" i="4"/>
  <c r="I715" i="4"/>
  <c r="I716" i="4"/>
  <c r="I717" i="4"/>
  <c r="I718" i="4"/>
  <c r="I719" i="4"/>
  <c r="I720" i="4"/>
  <c r="I721" i="4"/>
  <c r="P27" i="4"/>
  <c r="S27" i="4" s="1"/>
  <c r="P30" i="4"/>
  <c r="S30" i="4" s="1"/>
  <c r="P31" i="4"/>
  <c r="S31" i="4" s="1"/>
  <c r="P32" i="4"/>
  <c r="S32" i="4" s="1"/>
  <c r="P33" i="4"/>
  <c r="S33" i="4" s="1"/>
  <c r="P34" i="4"/>
  <c r="S34" i="4" s="1"/>
  <c r="P35" i="4"/>
  <c r="S35" i="4" s="1"/>
  <c r="P36" i="4"/>
  <c r="S36" i="4" s="1"/>
  <c r="P40" i="4"/>
  <c r="S40" i="4" s="1"/>
  <c r="P41" i="4"/>
  <c r="S41" i="4" s="1"/>
  <c r="P42" i="4"/>
  <c r="S42" i="4" s="1"/>
  <c r="P43" i="4"/>
  <c r="S43" i="4" s="1"/>
  <c r="P44" i="4"/>
  <c r="S44" i="4" s="1"/>
  <c r="P45" i="4"/>
  <c r="S45" i="4" s="1"/>
  <c r="P46" i="4"/>
  <c r="S46" i="4" s="1"/>
  <c r="P47" i="4"/>
  <c r="S47" i="4" s="1"/>
  <c r="P48" i="4"/>
  <c r="S48" i="4" s="1"/>
  <c r="P49" i="4"/>
  <c r="S49" i="4" s="1"/>
  <c r="P50" i="4"/>
  <c r="S50" i="4" s="1"/>
  <c r="P52" i="4"/>
  <c r="S52" i="4" s="1"/>
  <c r="P55" i="4"/>
  <c r="S55" i="4" s="1"/>
  <c r="P60" i="4"/>
  <c r="S60" i="4" s="1"/>
  <c r="P61" i="4"/>
  <c r="S61" i="4" s="1"/>
  <c r="P62" i="4"/>
  <c r="S62" i="4" s="1"/>
  <c r="P63" i="4"/>
  <c r="S63" i="4" s="1"/>
  <c r="P64" i="4"/>
  <c r="S64" i="4" s="1"/>
  <c r="P65" i="4"/>
  <c r="S65" i="4" s="1"/>
  <c r="P66" i="4"/>
  <c r="S66" i="4" s="1"/>
  <c r="P68" i="4"/>
  <c r="S68" i="4" s="1"/>
  <c r="P69" i="4"/>
  <c r="S69" i="4" s="1"/>
  <c r="P70" i="4"/>
  <c r="S70" i="4" s="1"/>
  <c r="P71" i="4"/>
  <c r="S71" i="4" s="1"/>
  <c r="P72" i="4"/>
  <c r="S72" i="4" s="1"/>
  <c r="P79" i="4"/>
  <c r="S79" i="4" s="1"/>
  <c r="P80" i="4"/>
  <c r="S80" i="4" s="1"/>
  <c r="P81" i="4"/>
  <c r="S81" i="4" s="1"/>
  <c r="P82" i="4"/>
  <c r="S82" i="4" s="1"/>
  <c r="P85" i="4"/>
  <c r="S85" i="4" s="1"/>
  <c r="P87" i="4"/>
  <c r="S87" i="4" s="1"/>
  <c r="P88" i="4"/>
  <c r="S88" i="4" s="1"/>
  <c r="P89" i="4"/>
  <c r="S89" i="4" s="1"/>
  <c r="P90" i="4"/>
  <c r="S90" i="4" s="1"/>
  <c r="P91" i="4"/>
  <c r="S91" i="4" s="1"/>
  <c r="P92" i="4"/>
  <c r="S92" i="4" s="1"/>
  <c r="P93" i="4"/>
  <c r="S93" i="4" s="1"/>
  <c r="P94" i="4"/>
  <c r="S94" i="4" s="1"/>
  <c r="P95" i="4"/>
  <c r="S95" i="4" s="1"/>
  <c r="P96" i="4"/>
  <c r="S96" i="4" s="1"/>
  <c r="P97" i="4"/>
  <c r="S97" i="4" s="1"/>
  <c r="P100" i="4"/>
  <c r="S100" i="4" s="1"/>
  <c r="P106" i="4"/>
  <c r="S106" i="4" s="1"/>
  <c r="P114" i="4"/>
  <c r="S114" i="4" s="1"/>
  <c r="P115" i="4"/>
  <c r="S115" i="4" s="1"/>
  <c r="P116" i="4"/>
  <c r="S116" i="4" s="1"/>
  <c r="P122" i="4"/>
  <c r="S122" i="4" s="1"/>
  <c r="P123" i="4"/>
  <c r="S123" i="4" s="1"/>
  <c r="P124" i="4"/>
  <c r="S124" i="4" s="1"/>
  <c r="P126" i="4"/>
  <c r="S126" i="4" s="1"/>
  <c r="P127" i="4"/>
  <c r="S127" i="4" s="1"/>
  <c r="P128" i="4"/>
  <c r="S128" i="4" s="1"/>
  <c r="P129" i="4"/>
  <c r="S129" i="4" s="1"/>
  <c r="P130" i="4"/>
  <c r="S130" i="4" s="1"/>
  <c r="P134" i="4"/>
  <c r="S134" i="4" s="1"/>
  <c r="P137" i="4"/>
  <c r="S137" i="4" s="1"/>
  <c r="P138" i="4"/>
  <c r="S138" i="4" s="1"/>
  <c r="P142" i="4"/>
  <c r="S142" i="4" s="1"/>
  <c r="P143" i="4"/>
  <c r="S143" i="4" s="1"/>
  <c r="P148" i="4"/>
  <c r="S148" i="4" s="1"/>
  <c r="P149" i="4"/>
  <c r="S149" i="4" s="1"/>
  <c r="P150" i="4"/>
  <c r="S150" i="4" s="1"/>
  <c r="P151" i="4"/>
  <c r="S151" i="4" s="1"/>
  <c r="P152" i="4"/>
  <c r="S152" i="4" s="1"/>
  <c r="P153" i="4"/>
  <c r="S153" i="4" s="1"/>
  <c r="P154" i="4"/>
  <c r="S154" i="4" s="1"/>
  <c r="P155" i="4"/>
  <c r="S155" i="4" s="1"/>
  <c r="P162" i="4"/>
  <c r="S162" i="4" s="1"/>
  <c r="P165" i="4"/>
  <c r="S165" i="4" s="1"/>
  <c r="P166" i="4"/>
  <c r="S166" i="4" s="1"/>
  <c r="P167" i="4"/>
  <c r="S167" i="4" s="1"/>
  <c r="P169" i="4"/>
  <c r="S169" i="4" s="1"/>
  <c r="P170" i="4"/>
  <c r="S170" i="4" s="1"/>
  <c r="P171" i="4"/>
  <c r="S171" i="4" s="1"/>
  <c r="P172" i="4"/>
  <c r="S172" i="4" s="1"/>
  <c r="P173" i="4"/>
  <c r="S173" i="4" s="1"/>
  <c r="P174" i="4"/>
  <c r="S174" i="4" s="1"/>
  <c r="P175" i="4"/>
  <c r="S175" i="4" s="1"/>
  <c r="P176" i="4"/>
  <c r="S176" i="4" s="1"/>
  <c r="P178" i="4"/>
  <c r="S178" i="4" s="1"/>
  <c r="P179" i="4"/>
  <c r="S179" i="4" s="1"/>
  <c r="P181" i="4"/>
  <c r="S181" i="4" s="1"/>
  <c r="P185" i="4"/>
  <c r="S185" i="4" s="1"/>
  <c r="P186" i="4"/>
  <c r="S186" i="4" s="1"/>
  <c r="P187" i="4"/>
  <c r="S187" i="4" s="1"/>
  <c r="P188" i="4"/>
  <c r="S188" i="4" s="1"/>
  <c r="P191" i="4"/>
  <c r="S191" i="4" s="1"/>
  <c r="P192" i="4"/>
  <c r="S192" i="4" s="1"/>
  <c r="P193" i="4"/>
  <c r="S193" i="4" s="1"/>
  <c r="P194" i="4"/>
  <c r="S194" i="4" s="1"/>
  <c r="P195" i="4"/>
  <c r="S195" i="4" s="1"/>
  <c r="P196" i="4"/>
  <c r="S196" i="4" s="1"/>
  <c r="P197" i="4"/>
  <c r="S197" i="4" s="1"/>
  <c r="P198" i="4"/>
  <c r="S198" i="4" s="1"/>
  <c r="P199" i="4"/>
  <c r="S199" i="4" s="1"/>
  <c r="P200" i="4"/>
  <c r="S200" i="4" s="1"/>
  <c r="P201" i="4"/>
  <c r="S201" i="4" s="1"/>
  <c r="P202" i="4"/>
  <c r="S202" i="4" s="1"/>
  <c r="P203" i="4"/>
  <c r="S203" i="4" s="1"/>
  <c r="P204" i="4"/>
  <c r="S204" i="4" s="1"/>
  <c r="P205" i="4"/>
  <c r="S205" i="4" s="1"/>
  <c r="P206" i="4"/>
  <c r="S206" i="4" s="1"/>
  <c r="P207" i="4"/>
  <c r="S207" i="4" s="1"/>
  <c r="P208" i="4"/>
  <c r="S208" i="4" s="1"/>
  <c r="P209" i="4"/>
  <c r="S209" i="4" s="1"/>
  <c r="P210" i="4"/>
  <c r="S210" i="4" s="1"/>
  <c r="P211" i="4"/>
  <c r="S211" i="4" s="1"/>
  <c r="P212" i="4"/>
  <c r="S212" i="4" s="1"/>
  <c r="P213" i="4"/>
  <c r="S213" i="4" s="1"/>
  <c r="P214" i="4"/>
  <c r="S214" i="4" s="1"/>
  <c r="P215" i="4"/>
  <c r="S215" i="4" s="1"/>
  <c r="P216" i="4"/>
  <c r="S216" i="4" s="1"/>
  <c r="P217" i="4"/>
  <c r="S217" i="4" s="1"/>
  <c r="P218" i="4"/>
  <c r="S218" i="4" s="1"/>
  <c r="P221" i="4"/>
  <c r="S221" i="4" s="1"/>
  <c r="P222" i="4"/>
  <c r="S222" i="4" s="1"/>
  <c r="P223" i="4"/>
  <c r="S223" i="4" s="1"/>
  <c r="P224" i="4"/>
  <c r="S224" i="4" s="1"/>
  <c r="P229" i="4"/>
  <c r="S229" i="4" s="1"/>
  <c r="P230" i="4"/>
  <c r="S230" i="4" s="1"/>
  <c r="P231" i="4"/>
  <c r="S231" i="4" s="1"/>
  <c r="P234" i="4"/>
  <c r="S234" i="4" s="1"/>
  <c r="P235" i="4"/>
  <c r="S235" i="4" s="1"/>
  <c r="P236" i="4"/>
  <c r="S236" i="4" s="1"/>
  <c r="P237" i="4"/>
  <c r="S237" i="4" s="1"/>
  <c r="P238" i="4"/>
  <c r="S238" i="4" s="1"/>
  <c r="P239" i="4"/>
  <c r="S239" i="4" s="1"/>
  <c r="P240" i="4"/>
  <c r="S240" i="4" s="1"/>
  <c r="P241" i="4"/>
  <c r="S241" i="4" s="1"/>
  <c r="P242" i="4"/>
  <c r="S242" i="4" s="1"/>
  <c r="P243" i="4"/>
  <c r="S243" i="4" s="1"/>
  <c r="P244" i="4"/>
  <c r="S244" i="4" s="1"/>
  <c r="P245" i="4"/>
  <c r="S245" i="4" s="1"/>
  <c r="P249" i="4"/>
  <c r="S249" i="4" s="1"/>
  <c r="P250" i="4"/>
  <c r="S250" i="4" s="1"/>
  <c r="P251" i="4"/>
  <c r="S251" i="4" s="1"/>
  <c r="P252" i="4"/>
  <c r="S252" i="4" s="1"/>
  <c r="P253" i="4"/>
  <c r="S253" i="4" s="1"/>
  <c r="P254" i="4"/>
  <c r="S254" i="4" s="1"/>
  <c r="P255" i="4"/>
  <c r="S255" i="4" s="1"/>
  <c r="P256" i="4"/>
  <c r="S256" i="4" s="1"/>
  <c r="P257" i="4"/>
  <c r="S257" i="4" s="1"/>
  <c r="P259" i="4"/>
  <c r="S259" i="4" s="1"/>
  <c r="P260" i="4"/>
  <c r="S260" i="4" s="1"/>
  <c r="P261" i="4"/>
  <c r="S261" i="4" s="1"/>
  <c r="P264" i="4"/>
  <c r="S264" i="4" s="1"/>
  <c r="P267" i="4"/>
  <c r="S267" i="4" s="1"/>
  <c r="P268" i="4"/>
  <c r="S268" i="4" s="1"/>
  <c r="P269" i="4"/>
  <c r="S269" i="4" s="1"/>
  <c r="P271" i="4"/>
  <c r="S271" i="4" s="1"/>
  <c r="P272" i="4"/>
  <c r="S272" i="4" s="1"/>
  <c r="P273" i="4"/>
  <c r="S273" i="4" s="1"/>
  <c r="P274" i="4"/>
  <c r="S274" i="4" s="1"/>
  <c r="P275" i="4"/>
  <c r="S275" i="4" s="1"/>
  <c r="P276" i="4"/>
  <c r="S276" i="4" s="1"/>
  <c r="P277" i="4"/>
  <c r="S277" i="4" s="1"/>
  <c r="P279" i="4"/>
  <c r="S279" i="4" s="1"/>
  <c r="P281" i="4"/>
  <c r="S281" i="4" s="1"/>
  <c r="P282" i="4"/>
  <c r="S282" i="4" s="1"/>
  <c r="P283" i="4"/>
  <c r="S283" i="4" s="1"/>
  <c r="P284" i="4"/>
  <c r="S284" i="4" s="1"/>
  <c r="P285" i="4"/>
  <c r="S285" i="4" s="1"/>
  <c r="P286" i="4"/>
  <c r="S286" i="4" s="1"/>
  <c r="P288" i="4"/>
  <c r="S288" i="4" s="1"/>
  <c r="P289" i="4"/>
  <c r="S289" i="4" s="1"/>
  <c r="P290" i="4"/>
  <c r="S290" i="4" s="1"/>
  <c r="P293" i="4"/>
  <c r="S293" i="4" s="1"/>
  <c r="P294" i="4"/>
  <c r="S294" i="4" s="1"/>
  <c r="P295" i="4"/>
  <c r="S295" i="4" s="1"/>
  <c r="P298" i="4"/>
  <c r="S298" i="4" s="1"/>
  <c r="P299" i="4"/>
  <c r="S299" i="4" s="1"/>
  <c r="P300" i="4"/>
  <c r="S300" i="4" s="1"/>
  <c r="P301" i="4"/>
  <c r="S301" i="4" s="1"/>
  <c r="P302" i="4"/>
  <c r="S302" i="4" s="1"/>
  <c r="P303" i="4"/>
  <c r="S303" i="4" s="1"/>
  <c r="P304" i="4"/>
  <c r="S304" i="4" s="1"/>
  <c r="P305" i="4"/>
  <c r="S305" i="4" s="1"/>
  <c r="P308" i="4"/>
  <c r="S308" i="4" s="1"/>
  <c r="P309" i="4"/>
  <c r="S309" i="4" s="1"/>
  <c r="P310" i="4"/>
  <c r="S310" i="4" s="1"/>
  <c r="P311" i="4"/>
  <c r="S311" i="4" s="1"/>
  <c r="P312" i="4"/>
  <c r="S312" i="4" s="1"/>
  <c r="P313" i="4"/>
  <c r="S313" i="4" s="1"/>
  <c r="P314" i="4"/>
  <c r="S314" i="4" s="1"/>
  <c r="P315" i="4"/>
  <c r="S315" i="4" s="1"/>
  <c r="P316" i="4"/>
  <c r="S316" i="4" s="1"/>
  <c r="P317" i="4"/>
  <c r="S317" i="4" s="1"/>
  <c r="P318" i="4"/>
  <c r="S318" i="4" s="1"/>
  <c r="P319" i="4"/>
  <c r="S319" i="4" s="1"/>
  <c r="P320" i="4"/>
  <c r="S320" i="4" s="1"/>
  <c r="P321" i="4"/>
  <c r="S321" i="4" s="1"/>
  <c r="P322" i="4"/>
  <c r="S322" i="4" s="1"/>
  <c r="P323" i="4"/>
  <c r="S323" i="4" s="1"/>
  <c r="P324" i="4"/>
  <c r="S324" i="4" s="1"/>
  <c r="P325" i="4"/>
  <c r="S325" i="4" s="1"/>
  <c r="P326" i="4"/>
  <c r="S326" i="4" s="1"/>
  <c r="P327" i="4"/>
  <c r="S327" i="4" s="1"/>
  <c r="P328" i="4"/>
  <c r="S328" i="4" s="1"/>
  <c r="P329" i="4"/>
  <c r="S329" i="4" s="1"/>
  <c r="P330" i="4"/>
  <c r="S330" i="4" s="1"/>
  <c r="P332" i="4"/>
  <c r="S332" i="4" s="1"/>
  <c r="P333" i="4"/>
  <c r="S333" i="4" s="1"/>
  <c r="P334" i="4"/>
  <c r="S334" i="4" s="1"/>
  <c r="P335" i="4"/>
  <c r="S335" i="4" s="1"/>
  <c r="P336" i="4"/>
  <c r="S336" i="4" s="1"/>
  <c r="P338" i="4"/>
  <c r="S338" i="4" s="1"/>
  <c r="P339" i="4"/>
  <c r="S339" i="4" s="1"/>
  <c r="P340" i="4"/>
  <c r="S340" i="4" s="1"/>
  <c r="P341" i="4"/>
  <c r="S341" i="4" s="1"/>
  <c r="P342" i="4"/>
  <c r="S342" i="4" s="1"/>
  <c r="P343" i="4"/>
  <c r="S343" i="4" s="1"/>
  <c r="P344" i="4"/>
  <c r="S344" i="4" s="1"/>
  <c r="P345" i="4"/>
  <c r="S345" i="4" s="1"/>
  <c r="P346" i="4"/>
  <c r="S346" i="4" s="1"/>
  <c r="P347" i="4"/>
  <c r="S347" i="4" s="1"/>
  <c r="P348" i="4"/>
  <c r="S348" i="4" s="1"/>
  <c r="P349" i="4"/>
  <c r="S349" i="4" s="1"/>
  <c r="P350" i="4"/>
  <c r="S350" i="4" s="1"/>
  <c r="P354" i="4"/>
  <c r="S354" i="4" s="1"/>
  <c r="P355" i="4"/>
  <c r="S355" i="4" s="1"/>
  <c r="P356" i="4"/>
  <c r="S356" i="4" s="1"/>
  <c r="P357" i="4"/>
  <c r="S357" i="4" s="1"/>
  <c r="P358" i="4"/>
  <c r="S358" i="4" s="1"/>
  <c r="P359" i="4"/>
  <c r="S359" i="4" s="1"/>
  <c r="P363" i="4"/>
  <c r="S363" i="4" s="1"/>
  <c r="P364" i="4"/>
  <c r="S364" i="4" s="1"/>
  <c r="P365" i="4"/>
  <c r="S365" i="4" s="1"/>
  <c r="P366" i="4"/>
  <c r="S366" i="4" s="1"/>
  <c r="P367" i="4"/>
  <c r="S367" i="4" s="1"/>
  <c r="P368" i="4"/>
  <c r="S368" i="4" s="1"/>
  <c r="P369" i="4"/>
  <c r="S369" i="4" s="1"/>
  <c r="P370" i="4"/>
  <c r="S370" i="4" s="1"/>
  <c r="P371" i="4"/>
  <c r="S371" i="4" s="1"/>
  <c r="P372" i="4"/>
  <c r="S372" i="4" s="1"/>
  <c r="P373" i="4"/>
  <c r="S373" i="4" s="1"/>
  <c r="P374" i="4"/>
  <c r="S374" i="4" s="1"/>
  <c r="P380" i="4"/>
  <c r="S380" i="4" s="1"/>
  <c r="P381" i="4"/>
  <c r="S381" i="4" s="1"/>
  <c r="P382" i="4"/>
  <c r="S382" i="4" s="1"/>
  <c r="P383" i="4"/>
  <c r="S383" i="4" s="1"/>
  <c r="P384" i="4"/>
  <c r="S384" i="4" s="1"/>
  <c r="P385" i="4"/>
  <c r="S385" i="4" s="1"/>
  <c r="P387" i="4"/>
  <c r="S387" i="4" s="1"/>
  <c r="P388" i="4"/>
  <c r="S388" i="4" s="1"/>
  <c r="P389" i="4"/>
  <c r="S389" i="4" s="1"/>
  <c r="P390" i="4"/>
  <c r="S390" i="4" s="1"/>
  <c r="P391" i="4"/>
  <c r="S391" i="4" s="1"/>
  <c r="P392" i="4"/>
  <c r="S392" i="4" s="1"/>
  <c r="P393" i="4"/>
  <c r="S393" i="4" s="1"/>
  <c r="P394" i="4"/>
  <c r="S394" i="4" s="1"/>
  <c r="P395" i="4"/>
  <c r="S395" i="4" s="1"/>
  <c r="P397" i="4"/>
  <c r="S397" i="4" s="1"/>
  <c r="P398" i="4"/>
  <c r="S398" i="4" s="1"/>
  <c r="P402" i="4"/>
  <c r="S402" i="4" s="1"/>
  <c r="P403" i="4"/>
  <c r="S403" i="4" s="1"/>
  <c r="P404" i="4"/>
  <c r="S404" i="4" s="1"/>
  <c r="P406" i="4"/>
  <c r="S406" i="4" s="1"/>
  <c r="P408" i="4"/>
  <c r="S408" i="4" s="1"/>
  <c r="P409" i="4"/>
  <c r="S409" i="4" s="1"/>
  <c r="P410" i="4"/>
  <c r="S410" i="4" s="1"/>
  <c r="P420" i="4"/>
  <c r="S420" i="4" s="1"/>
  <c r="P423" i="4"/>
  <c r="S423" i="4" s="1"/>
  <c r="P424" i="4"/>
  <c r="S424" i="4" s="1"/>
  <c r="P425" i="4"/>
  <c r="S425" i="4" s="1"/>
  <c r="P426" i="4"/>
  <c r="S426" i="4" s="1"/>
  <c r="P427" i="4"/>
  <c r="S427" i="4" s="1"/>
  <c r="P428" i="4"/>
  <c r="S428" i="4" s="1"/>
  <c r="P429" i="4"/>
  <c r="S429" i="4" s="1"/>
  <c r="P430" i="4"/>
  <c r="S430" i="4" s="1"/>
  <c r="P431" i="4"/>
  <c r="S431" i="4" s="1"/>
  <c r="P432" i="4"/>
  <c r="S432" i="4" s="1"/>
  <c r="P433" i="4"/>
  <c r="S433" i="4" s="1"/>
  <c r="P434" i="4"/>
  <c r="S434" i="4" s="1"/>
  <c r="P435" i="4"/>
  <c r="S435" i="4" s="1"/>
  <c r="P436" i="4"/>
  <c r="S436" i="4" s="1"/>
  <c r="P437" i="4"/>
  <c r="S437" i="4" s="1"/>
  <c r="P439" i="4"/>
  <c r="S439" i="4" s="1"/>
  <c r="P440" i="4"/>
  <c r="S440" i="4" s="1"/>
  <c r="P441" i="4"/>
  <c r="S441" i="4" s="1"/>
  <c r="P442" i="4"/>
  <c r="S442" i="4" s="1"/>
  <c r="P443" i="4"/>
  <c r="S443" i="4" s="1"/>
  <c r="P444" i="4"/>
  <c r="S444" i="4" s="1"/>
  <c r="P447" i="4"/>
  <c r="S447" i="4" s="1"/>
  <c r="P448" i="4"/>
  <c r="S448" i="4" s="1"/>
  <c r="P450" i="4"/>
  <c r="S450" i="4" s="1"/>
  <c r="P451" i="4"/>
  <c r="S451" i="4" s="1"/>
  <c r="P452" i="4"/>
  <c r="S452" i="4" s="1"/>
  <c r="P453" i="4"/>
  <c r="S453" i="4" s="1"/>
  <c r="P457" i="4"/>
  <c r="S457" i="4" s="1"/>
  <c r="P458" i="4"/>
  <c r="S458" i="4" s="1"/>
  <c r="P459" i="4"/>
  <c r="S459" i="4" s="1"/>
  <c r="P460" i="4"/>
  <c r="S460" i="4" s="1"/>
  <c r="P462" i="4"/>
  <c r="S462" i="4" s="1"/>
  <c r="P463" i="4"/>
  <c r="S463" i="4" s="1"/>
  <c r="P464" i="4"/>
  <c r="S464" i="4" s="1"/>
  <c r="P465" i="4"/>
  <c r="S465" i="4" s="1"/>
  <c r="P466" i="4"/>
  <c r="S466" i="4" s="1"/>
  <c r="P467" i="4"/>
  <c r="S467" i="4" s="1"/>
  <c r="P468" i="4"/>
  <c r="S468" i="4" s="1"/>
  <c r="P472" i="4"/>
  <c r="S472" i="4" s="1"/>
  <c r="P473" i="4"/>
  <c r="S473" i="4" s="1"/>
  <c r="P474" i="4"/>
  <c r="S474" i="4" s="1"/>
  <c r="P475" i="4"/>
  <c r="S475" i="4" s="1"/>
  <c r="P476" i="4"/>
  <c r="S476" i="4" s="1"/>
  <c r="P477" i="4"/>
  <c r="S477" i="4" s="1"/>
  <c r="P478" i="4"/>
  <c r="S478" i="4" s="1"/>
  <c r="P479" i="4"/>
  <c r="S479" i="4" s="1"/>
  <c r="P480" i="4"/>
  <c r="S480" i="4" s="1"/>
  <c r="P481" i="4"/>
  <c r="S481" i="4" s="1"/>
  <c r="P482" i="4"/>
  <c r="S482" i="4" s="1"/>
  <c r="P484" i="4"/>
  <c r="S484" i="4" s="1"/>
  <c r="P485" i="4"/>
  <c r="S485" i="4" s="1"/>
  <c r="P486" i="4"/>
  <c r="S486" i="4" s="1"/>
  <c r="P487" i="4"/>
  <c r="S487" i="4" s="1"/>
  <c r="P488" i="4"/>
  <c r="S488" i="4" s="1"/>
  <c r="P489" i="4"/>
  <c r="S489" i="4" s="1"/>
  <c r="P491" i="4"/>
  <c r="S491" i="4" s="1"/>
  <c r="P492" i="4"/>
  <c r="S492" i="4" s="1"/>
  <c r="P493" i="4"/>
  <c r="S493" i="4" s="1"/>
  <c r="P494" i="4"/>
  <c r="S494" i="4" s="1"/>
  <c r="P495" i="4"/>
  <c r="S495" i="4" s="1"/>
  <c r="P497" i="4"/>
  <c r="S497" i="4" s="1"/>
  <c r="P498" i="4"/>
  <c r="S498" i="4" s="1"/>
  <c r="P499" i="4"/>
  <c r="S499" i="4" s="1"/>
  <c r="P500" i="4"/>
  <c r="S500" i="4" s="1"/>
  <c r="P501" i="4"/>
  <c r="S501" i="4" s="1"/>
  <c r="P502" i="4"/>
  <c r="S502" i="4" s="1"/>
  <c r="P506" i="4"/>
  <c r="S506" i="4" s="1"/>
  <c r="P507" i="4"/>
  <c r="S507" i="4" s="1"/>
  <c r="P508" i="4"/>
  <c r="S508" i="4" s="1"/>
  <c r="P509" i="4"/>
  <c r="S509" i="4" s="1"/>
  <c r="P510" i="4"/>
  <c r="S510" i="4" s="1"/>
  <c r="P511" i="4"/>
  <c r="S511" i="4" s="1"/>
  <c r="P512" i="4"/>
  <c r="S512" i="4" s="1"/>
  <c r="P513" i="4"/>
  <c r="S513" i="4" s="1"/>
  <c r="P514" i="4"/>
  <c r="S514" i="4" s="1"/>
  <c r="P516" i="4"/>
  <c r="S516" i="4" s="1"/>
  <c r="P517" i="4"/>
  <c r="S517" i="4" s="1"/>
  <c r="P518" i="4"/>
  <c r="S518" i="4" s="1"/>
  <c r="P519" i="4"/>
  <c r="S519" i="4" s="1"/>
  <c r="P521" i="4"/>
  <c r="S521" i="4" s="1"/>
  <c r="P522" i="4"/>
  <c r="S522" i="4" s="1"/>
  <c r="P523" i="4"/>
  <c r="S523" i="4" s="1"/>
  <c r="P529" i="4"/>
  <c r="S529" i="4" s="1"/>
  <c r="P530" i="4"/>
  <c r="S530" i="4" s="1"/>
  <c r="P531" i="4"/>
  <c r="S531" i="4" s="1"/>
  <c r="P532" i="4"/>
  <c r="S532" i="4" s="1"/>
  <c r="P534" i="4"/>
  <c r="S534" i="4" s="1"/>
  <c r="P535" i="4"/>
  <c r="S535" i="4" s="1"/>
  <c r="P536" i="4"/>
  <c r="S536" i="4" s="1"/>
  <c r="P537" i="4"/>
  <c r="S537" i="4" s="1"/>
  <c r="P538" i="4"/>
  <c r="S538" i="4" s="1"/>
  <c r="P541" i="4"/>
  <c r="S541" i="4" s="1"/>
  <c r="P542" i="4"/>
  <c r="S542" i="4" s="1"/>
  <c r="P543" i="4"/>
  <c r="S543" i="4" s="1"/>
  <c r="P544" i="4"/>
  <c r="S544" i="4" s="1"/>
  <c r="P545" i="4"/>
  <c r="S545" i="4" s="1"/>
  <c r="P546" i="4"/>
  <c r="S546" i="4" s="1"/>
  <c r="P547" i="4"/>
  <c r="S547" i="4" s="1"/>
  <c r="P548" i="4"/>
  <c r="S548" i="4" s="1"/>
  <c r="P549" i="4"/>
  <c r="S549" i="4" s="1"/>
  <c r="P550" i="4"/>
  <c r="S550" i="4" s="1"/>
  <c r="P554" i="4"/>
  <c r="S554" i="4" s="1"/>
  <c r="P555" i="4"/>
  <c r="S555" i="4" s="1"/>
  <c r="P556" i="4"/>
  <c r="S556" i="4" s="1"/>
  <c r="P557" i="4"/>
  <c r="S557" i="4" s="1"/>
  <c r="P558" i="4"/>
  <c r="S558" i="4" s="1"/>
  <c r="P565" i="4"/>
  <c r="S565" i="4" s="1"/>
  <c r="P566" i="4"/>
  <c r="S566" i="4" s="1"/>
  <c r="P567" i="4"/>
  <c r="S567" i="4" s="1"/>
  <c r="P568" i="4"/>
  <c r="S568" i="4" s="1"/>
  <c r="P569" i="4"/>
  <c r="S569" i="4" s="1"/>
  <c r="P571" i="4"/>
  <c r="S571" i="4" s="1"/>
  <c r="P573" i="4"/>
  <c r="S573" i="4" s="1"/>
  <c r="P574" i="4"/>
  <c r="S574" i="4" s="1"/>
  <c r="P575" i="4"/>
  <c r="S575" i="4" s="1"/>
  <c r="P576" i="4"/>
  <c r="S576" i="4" s="1"/>
  <c r="P577" i="4"/>
  <c r="S577" i="4" s="1"/>
  <c r="P578" i="4"/>
  <c r="S578" i="4" s="1"/>
  <c r="P579" i="4"/>
  <c r="S579" i="4" s="1"/>
  <c r="P580" i="4"/>
  <c r="S580" i="4" s="1"/>
  <c r="P581" i="4"/>
  <c r="S581" i="4" s="1"/>
  <c r="P582" i="4"/>
  <c r="S582" i="4" s="1"/>
  <c r="P583" i="4"/>
  <c r="S583" i="4" s="1"/>
  <c r="P584" i="4"/>
  <c r="S584" i="4" s="1"/>
  <c r="P585" i="4"/>
  <c r="S585" i="4" s="1"/>
  <c r="P588" i="4"/>
  <c r="S588" i="4" s="1"/>
  <c r="P589" i="4"/>
  <c r="S589" i="4" s="1"/>
  <c r="P590" i="4"/>
  <c r="S590" i="4" s="1"/>
  <c r="P591" i="4"/>
  <c r="S591" i="4" s="1"/>
  <c r="P592" i="4"/>
  <c r="S592" i="4" s="1"/>
  <c r="P593" i="4"/>
  <c r="S593" i="4" s="1"/>
  <c r="P596" i="4"/>
  <c r="S596" i="4" s="1"/>
  <c r="P597" i="4"/>
  <c r="S597" i="4" s="1"/>
  <c r="P598" i="4"/>
  <c r="S598" i="4" s="1"/>
  <c r="P599" i="4"/>
  <c r="S599" i="4" s="1"/>
  <c r="P602" i="4"/>
  <c r="S602" i="4" s="1"/>
  <c r="P603" i="4"/>
  <c r="S603" i="4" s="1"/>
  <c r="P604" i="4"/>
  <c r="S604" i="4" s="1"/>
  <c r="P605" i="4"/>
  <c r="S605" i="4" s="1"/>
  <c r="P606" i="4"/>
  <c r="S606" i="4" s="1"/>
  <c r="P607" i="4"/>
  <c r="S607" i="4" s="1"/>
  <c r="P610" i="4"/>
  <c r="S610" i="4" s="1"/>
  <c r="P611" i="4"/>
  <c r="S611" i="4" s="1"/>
  <c r="P612" i="4"/>
  <c r="S612" i="4" s="1"/>
  <c r="P613" i="4"/>
  <c r="S613" i="4" s="1"/>
  <c r="P614" i="4"/>
  <c r="S614" i="4" s="1"/>
  <c r="P615" i="4"/>
  <c r="S615" i="4" s="1"/>
  <c r="P616" i="4"/>
  <c r="S616" i="4" s="1"/>
  <c r="P617" i="4"/>
  <c r="S617" i="4" s="1"/>
  <c r="P618" i="4"/>
  <c r="S618" i="4" s="1"/>
  <c r="P622" i="4"/>
  <c r="S622" i="4" s="1"/>
  <c r="P623" i="4"/>
  <c r="S623" i="4" s="1"/>
  <c r="P624" i="4"/>
  <c r="S624" i="4" s="1"/>
  <c r="P625" i="4"/>
  <c r="S625" i="4" s="1"/>
  <c r="P626" i="4"/>
  <c r="S626" i="4" s="1"/>
  <c r="P627" i="4"/>
  <c r="S627" i="4" s="1"/>
  <c r="P628" i="4"/>
  <c r="S628" i="4" s="1"/>
  <c r="P629" i="4"/>
  <c r="S629" i="4" s="1"/>
  <c r="P630" i="4"/>
  <c r="S630" i="4" s="1"/>
  <c r="P631" i="4"/>
  <c r="S631" i="4" s="1"/>
  <c r="P632" i="4"/>
  <c r="S632" i="4" s="1"/>
  <c r="P633" i="4"/>
  <c r="S633" i="4" s="1"/>
  <c r="P634" i="4"/>
  <c r="S634" i="4" s="1"/>
  <c r="P635" i="4"/>
  <c r="S635" i="4" s="1"/>
  <c r="P636" i="4"/>
  <c r="S636" i="4" s="1"/>
  <c r="P637" i="4"/>
  <c r="S637" i="4" s="1"/>
  <c r="P638" i="4"/>
  <c r="S638" i="4" s="1"/>
  <c r="P639" i="4"/>
  <c r="S639" i="4" s="1"/>
  <c r="P640" i="4"/>
  <c r="S640" i="4" s="1"/>
  <c r="P641" i="4"/>
  <c r="S641" i="4" s="1"/>
  <c r="P643" i="4"/>
  <c r="S643" i="4" s="1"/>
  <c r="P644" i="4"/>
  <c r="S644" i="4" s="1"/>
  <c r="P647" i="4"/>
  <c r="S647" i="4" s="1"/>
  <c r="P648" i="4"/>
  <c r="S648" i="4" s="1"/>
  <c r="P649" i="4"/>
  <c r="S649" i="4" s="1"/>
  <c r="P650" i="4"/>
  <c r="S650" i="4" s="1"/>
  <c r="P655" i="4"/>
  <c r="S655" i="4" s="1"/>
  <c r="P656" i="4"/>
  <c r="S656" i="4" s="1"/>
  <c r="P657" i="4"/>
  <c r="S657" i="4" s="1"/>
  <c r="P664" i="4"/>
  <c r="S664" i="4" s="1"/>
  <c r="P665" i="4"/>
  <c r="S665" i="4" s="1"/>
  <c r="P666" i="4"/>
  <c r="S666" i="4" s="1"/>
  <c r="P667" i="4"/>
  <c r="S667" i="4" s="1"/>
  <c r="P668" i="4"/>
  <c r="S668" i="4" s="1"/>
  <c r="P669" i="4"/>
  <c r="S669" i="4" s="1"/>
  <c r="P670" i="4"/>
  <c r="S670" i="4" s="1"/>
  <c r="P672" i="4"/>
  <c r="S672" i="4" s="1"/>
  <c r="P673" i="4"/>
  <c r="S673" i="4" s="1"/>
  <c r="P674" i="4"/>
  <c r="S674" i="4" s="1"/>
  <c r="P675" i="4"/>
  <c r="S675" i="4" s="1"/>
  <c r="P676" i="4"/>
  <c r="S676" i="4" s="1"/>
  <c r="P679" i="4"/>
  <c r="S679" i="4" s="1"/>
  <c r="P680" i="4"/>
  <c r="S680" i="4" s="1"/>
  <c r="P681" i="4"/>
  <c r="S681" i="4" s="1"/>
  <c r="P682" i="4"/>
  <c r="S682" i="4" s="1"/>
  <c r="P683" i="4"/>
  <c r="S683" i="4" s="1"/>
  <c r="P685" i="4"/>
  <c r="S685" i="4" s="1"/>
  <c r="P686" i="4"/>
  <c r="S686" i="4" s="1"/>
  <c r="P687" i="4"/>
  <c r="S687" i="4" s="1"/>
  <c r="P688" i="4"/>
  <c r="S688" i="4" s="1"/>
  <c r="P689" i="4"/>
  <c r="S689" i="4" s="1"/>
  <c r="P690" i="4"/>
  <c r="S690" i="4" s="1"/>
  <c r="P691" i="4"/>
  <c r="S691" i="4" s="1"/>
  <c r="P692" i="4"/>
  <c r="S692" i="4" s="1"/>
  <c r="P693" i="4"/>
  <c r="S693" i="4" s="1"/>
  <c r="P694" i="4"/>
  <c r="S694" i="4" s="1"/>
  <c r="P695" i="4"/>
  <c r="S695" i="4" s="1"/>
  <c r="P696" i="4"/>
  <c r="S696" i="4" s="1"/>
  <c r="P697" i="4"/>
  <c r="S697" i="4" s="1"/>
  <c r="P698" i="4"/>
  <c r="S698" i="4" s="1"/>
  <c r="P699" i="4"/>
  <c r="S699" i="4" s="1"/>
  <c r="P700" i="4"/>
  <c r="S700" i="4" s="1"/>
  <c r="P701" i="4"/>
  <c r="S701" i="4" s="1"/>
  <c r="P702" i="4"/>
  <c r="S702" i="4" s="1"/>
  <c r="P703" i="4"/>
  <c r="S703" i="4" s="1"/>
  <c r="P704" i="4"/>
  <c r="S704" i="4" s="1"/>
  <c r="P705" i="4"/>
  <c r="S705" i="4" s="1"/>
  <c r="P706" i="4"/>
  <c r="S706" i="4" s="1"/>
  <c r="P707" i="4"/>
  <c r="S707" i="4" s="1"/>
  <c r="P708" i="4"/>
  <c r="S708" i="4" s="1"/>
  <c r="P710" i="4"/>
  <c r="S710" i="4" s="1"/>
  <c r="P711" i="4"/>
  <c r="S711" i="4" s="1"/>
  <c r="P712" i="4"/>
  <c r="S712" i="4" s="1"/>
  <c r="P715" i="4"/>
  <c r="S715" i="4" s="1"/>
  <c r="P716" i="4"/>
  <c r="S716" i="4" s="1"/>
  <c r="P717" i="4"/>
  <c r="S717" i="4" s="1"/>
  <c r="P718" i="4"/>
  <c r="S718" i="4" s="1"/>
  <c r="P719" i="4"/>
  <c r="S719" i="4" s="1"/>
  <c r="P720" i="4"/>
  <c r="S720" i="4" s="1"/>
  <c r="P721" i="4"/>
  <c r="S721" i="4" s="1"/>
  <c r="R27" i="4"/>
  <c r="R30" i="4"/>
  <c r="R31" i="4"/>
  <c r="R32" i="4"/>
  <c r="R33" i="4"/>
  <c r="R34" i="4"/>
  <c r="R35" i="4"/>
  <c r="R36" i="4"/>
  <c r="R40" i="4"/>
  <c r="R41" i="4"/>
  <c r="R42" i="4"/>
  <c r="R43" i="4"/>
  <c r="R44" i="4"/>
  <c r="R45" i="4"/>
  <c r="R46" i="4"/>
  <c r="R47" i="4"/>
  <c r="R48" i="4"/>
  <c r="R49" i="4"/>
  <c r="R50" i="4"/>
  <c r="R52" i="4"/>
  <c r="R55" i="4"/>
  <c r="R60" i="4"/>
  <c r="R61" i="4"/>
  <c r="R62" i="4"/>
  <c r="R63" i="4"/>
  <c r="R64" i="4"/>
  <c r="R65" i="4"/>
  <c r="R66" i="4"/>
  <c r="R68" i="4"/>
  <c r="R69" i="4"/>
  <c r="R70" i="4"/>
  <c r="R71" i="4"/>
  <c r="R72" i="4"/>
  <c r="R79" i="4"/>
  <c r="R80" i="4"/>
  <c r="R81" i="4"/>
  <c r="R82" i="4"/>
  <c r="R85" i="4"/>
  <c r="R87" i="4"/>
  <c r="R88" i="4"/>
  <c r="R89" i="4"/>
  <c r="R90" i="4"/>
  <c r="R91" i="4"/>
  <c r="R92" i="4"/>
  <c r="R93" i="4"/>
  <c r="R94" i="4"/>
  <c r="R95" i="4"/>
  <c r="R96" i="4"/>
  <c r="R97" i="4"/>
  <c r="R100" i="4"/>
  <c r="R106" i="4"/>
  <c r="R114" i="4"/>
  <c r="R115" i="4"/>
  <c r="R116" i="4"/>
  <c r="R122" i="4"/>
  <c r="R123" i="4"/>
  <c r="R124" i="4"/>
  <c r="R126" i="4"/>
  <c r="R127" i="4"/>
  <c r="R128" i="4"/>
  <c r="R129" i="4"/>
  <c r="R130" i="4"/>
  <c r="R134" i="4"/>
  <c r="R137" i="4"/>
  <c r="R138" i="4"/>
  <c r="R142" i="4"/>
  <c r="R143" i="4"/>
  <c r="R148" i="4"/>
  <c r="R149" i="4"/>
  <c r="R150" i="4"/>
  <c r="R151" i="4"/>
  <c r="R152" i="4"/>
  <c r="R153" i="4"/>
  <c r="R154" i="4"/>
  <c r="R155" i="4"/>
  <c r="R162" i="4"/>
  <c r="R165" i="4"/>
  <c r="R166" i="4"/>
  <c r="R167" i="4"/>
  <c r="R169" i="4"/>
  <c r="R170" i="4"/>
  <c r="R171" i="4"/>
  <c r="R172" i="4"/>
  <c r="R173" i="4"/>
  <c r="R174" i="4"/>
  <c r="R175" i="4"/>
  <c r="R176" i="4"/>
  <c r="R178" i="4"/>
  <c r="R179" i="4"/>
  <c r="R181" i="4"/>
  <c r="R185" i="4"/>
  <c r="R186" i="4"/>
  <c r="R187" i="4"/>
  <c r="R188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21" i="4"/>
  <c r="R222" i="4"/>
  <c r="R223" i="4"/>
  <c r="R224" i="4"/>
  <c r="R229" i="4"/>
  <c r="R230" i="4"/>
  <c r="R231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9" i="4"/>
  <c r="R250" i="4"/>
  <c r="R251" i="4"/>
  <c r="R252" i="4"/>
  <c r="R253" i="4"/>
  <c r="R254" i="4"/>
  <c r="R255" i="4"/>
  <c r="R256" i="4"/>
  <c r="R257" i="4"/>
  <c r="R259" i="4"/>
  <c r="R260" i="4"/>
  <c r="R261" i="4"/>
  <c r="R264" i="4"/>
  <c r="R267" i="4"/>
  <c r="R268" i="4"/>
  <c r="R269" i="4"/>
  <c r="R271" i="4"/>
  <c r="R272" i="4"/>
  <c r="R273" i="4"/>
  <c r="R274" i="4"/>
  <c r="R275" i="4"/>
  <c r="R276" i="4"/>
  <c r="R277" i="4"/>
  <c r="R279" i="4"/>
  <c r="R281" i="4"/>
  <c r="R282" i="4"/>
  <c r="R283" i="4"/>
  <c r="R284" i="4"/>
  <c r="R285" i="4"/>
  <c r="R286" i="4"/>
  <c r="R288" i="4"/>
  <c r="R289" i="4"/>
  <c r="R290" i="4"/>
  <c r="R293" i="4"/>
  <c r="R294" i="4"/>
  <c r="R295" i="4"/>
  <c r="R298" i="4"/>
  <c r="R299" i="4"/>
  <c r="R300" i="4"/>
  <c r="R301" i="4"/>
  <c r="R302" i="4"/>
  <c r="R303" i="4"/>
  <c r="R304" i="4"/>
  <c r="R305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2" i="4"/>
  <c r="R333" i="4"/>
  <c r="R334" i="4"/>
  <c r="R335" i="4"/>
  <c r="R336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4" i="4"/>
  <c r="R355" i="4"/>
  <c r="R356" i="4"/>
  <c r="R357" i="4"/>
  <c r="R358" i="4"/>
  <c r="R359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80" i="4"/>
  <c r="R381" i="4"/>
  <c r="R382" i="4"/>
  <c r="R383" i="4"/>
  <c r="R384" i="4"/>
  <c r="R385" i="4"/>
  <c r="R387" i="4"/>
  <c r="R388" i="4"/>
  <c r="R389" i="4"/>
  <c r="R390" i="4"/>
  <c r="R391" i="4"/>
  <c r="R392" i="4"/>
  <c r="R393" i="4"/>
  <c r="R394" i="4"/>
  <c r="R395" i="4"/>
  <c r="R397" i="4"/>
  <c r="R398" i="4"/>
  <c r="R402" i="4"/>
  <c r="R403" i="4"/>
  <c r="R404" i="4"/>
  <c r="R406" i="4"/>
  <c r="R408" i="4"/>
  <c r="R409" i="4"/>
  <c r="R410" i="4"/>
  <c r="R420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9" i="4"/>
  <c r="R440" i="4"/>
  <c r="R441" i="4"/>
  <c r="R442" i="4"/>
  <c r="R443" i="4"/>
  <c r="R444" i="4"/>
  <c r="R447" i="4"/>
  <c r="R448" i="4"/>
  <c r="R450" i="4"/>
  <c r="R451" i="4"/>
  <c r="R452" i="4"/>
  <c r="R453" i="4"/>
  <c r="R457" i="4"/>
  <c r="R458" i="4"/>
  <c r="R459" i="4"/>
  <c r="R460" i="4"/>
  <c r="R462" i="4"/>
  <c r="R463" i="4"/>
  <c r="R464" i="4"/>
  <c r="R465" i="4"/>
  <c r="R466" i="4"/>
  <c r="R467" i="4"/>
  <c r="R468" i="4"/>
  <c r="R472" i="4"/>
  <c r="R473" i="4"/>
  <c r="R474" i="4"/>
  <c r="R475" i="4"/>
  <c r="R476" i="4"/>
  <c r="R477" i="4"/>
  <c r="R478" i="4"/>
  <c r="R479" i="4"/>
  <c r="R480" i="4"/>
  <c r="R481" i="4"/>
  <c r="R482" i="4"/>
  <c r="R484" i="4"/>
  <c r="R485" i="4"/>
  <c r="R486" i="4"/>
  <c r="R487" i="4"/>
  <c r="R488" i="4"/>
  <c r="R489" i="4"/>
  <c r="R491" i="4"/>
  <c r="R492" i="4"/>
  <c r="R493" i="4"/>
  <c r="R494" i="4"/>
  <c r="R495" i="4"/>
  <c r="R497" i="4"/>
  <c r="R498" i="4"/>
  <c r="R499" i="4"/>
  <c r="R500" i="4"/>
  <c r="R501" i="4"/>
  <c r="R502" i="4"/>
  <c r="R506" i="4"/>
  <c r="R507" i="4"/>
  <c r="R508" i="4"/>
  <c r="R509" i="4"/>
  <c r="R510" i="4"/>
  <c r="R511" i="4"/>
  <c r="R512" i="4"/>
  <c r="R513" i="4"/>
  <c r="R514" i="4"/>
  <c r="R516" i="4"/>
  <c r="R517" i="4"/>
  <c r="R518" i="4"/>
  <c r="R519" i="4"/>
  <c r="R521" i="4"/>
  <c r="R522" i="4"/>
  <c r="R523" i="4"/>
  <c r="R529" i="4"/>
  <c r="R530" i="4"/>
  <c r="R531" i="4"/>
  <c r="R532" i="4"/>
  <c r="R534" i="4"/>
  <c r="R535" i="4"/>
  <c r="R536" i="4"/>
  <c r="R537" i="4"/>
  <c r="R538" i="4"/>
  <c r="R541" i="4"/>
  <c r="R542" i="4"/>
  <c r="R543" i="4"/>
  <c r="R544" i="4"/>
  <c r="R545" i="4"/>
  <c r="R546" i="4"/>
  <c r="R547" i="4"/>
  <c r="R548" i="4"/>
  <c r="R549" i="4"/>
  <c r="R550" i="4"/>
  <c r="R554" i="4"/>
  <c r="R555" i="4"/>
  <c r="R556" i="4"/>
  <c r="R557" i="4"/>
  <c r="R558" i="4"/>
  <c r="R565" i="4"/>
  <c r="R566" i="4"/>
  <c r="R567" i="4"/>
  <c r="R568" i="4"/>
  <c r="R569" i="4"/>
  <c r="R571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8" i="4"/>
  <c r="R589" i="4"/>
  <c r="R590" i="4"/>
  <c r="R591" i="4"/>
  <c r="R592" i="4"/>
  <c r="R593" i="4"/>
  <c r="R596" i="4"/>
  <c r="R597" i="4"/>
  <c r="R598" i="4"/>
  <c r="R599" i="4"/>
  <c r="R602" i="4"/>
  <c r="R603" i="4"/>
  <c r="R604" i="4"/>
  <c r="R605" i="4"/>
  <c r="R606" i="4"/>
  <c r="R607" i="4"/>
  <c r="R610" i="4"/>
  <c r="R611" i="4"/>
  <c r="R612" i="4"/>
  <c r="R613" i="4"/>
  <c r="R614" i="4"/>
  <c r="R615" i="4"/>
  <c r="R616" i="4"/>
  <c r="R617" i="4"/>
  <c r="R618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3" i="4"/>
  <c r="R644" i="4"/>
  <c r="R647" i="4"/>
  <c r="R648" i="4"/>
  <c r="R649" i="4"/>
  <c r="R650" i="4"/>
  <c r="R655" i="4"/>
  <c r="R656" i="4"/>
  <c r="R657" i="4"/>
  <c r="R664" i="4"/>
  <c r="R665" i="4"/>
  <c r="R666" i="4"/>
  <c r="R667" i="4"/>
  <c r="R668" i="4"/>
  <c r="R669" i="4"/>
  <c r="R670" i="4"/>
  <c r="R672" i="4"/>
  <c r="R673" i="4"/>
  <c r="R674" i="4"/>
  <c r="R675" i="4"/>
  <c r="R676" i="4"/>
  <c r="R679" i="4"/>
  <c r="R680" i="4"/>
  <c r="R681" i="4"/>
  <c r="R682" i="4"/>
  <c r="R683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10" i="4"/>
  <c r="R711" i="4"/>
  <c r="R712" i="4"/>
  <c r="R715" i="4"/>
  <c r="R716" i="4"/>
  <c r="R717" i="4"/>
  <c r="R718" i="4"/>
  <c r="R719" i="4"/>
  <c r="R720" i="4"/>
  <c r="R721" i="4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AU200" i="13"/>
  <c r="AU199" i="13"/>
  <c r="AU198" i="13"/>
  <c r="AU197" i="13"/>
  <c r="AU196" i="13"/>
  <c r="AU195" i="13"/>
  <c r="AU194" i="13"/>
  <c r="AU193" i="13"/>
  <c r="AU192" i="13"/>
  <c r="AU191" i="13"/>
  <c r="AU190" i="13"/>
  <c r="AU189" i="13"/>
  <c r="AU188" i="13"/>
  <c r="AU187" i="13"/>
  <c r="AU186" i="13"/>
  <c r="AU185" i="13"/>
  <c r="AU184" i="13"/>
  <c r="AU183" i="13"/>
  <c r="AU182" i="13"/>
  <c r="AU181" i="13"/>
  <c r="AU180" i="13"/>
  <c r="AU179" i="13"/>
  <c r="AU178" i="13"/>
  <c r="AU177" i="13"/>
  <c r="AU176" i="13"/>
  <c r="AU175" i="13"/>
  <c r="AU174" i="13"/>
  <c r="AU173" i="13"/>
  <c r="AU172" i="13"/>
  <c r="AU171" i="13"/>
  <c r="AU170" i="13"/>
  <c r="AU169" i="13"/>
  <c r="AU168" i="13"/>
  <c r="AU167" i="13"/>
  <c r="AU166" i="13"/>
  <c r="AU165" i="13"/>
  <c r="AU164" i="13"/>
  <c r="AU163" i="13"/>
  <c r="AU162" i="13"/>
  <c r="AU161" i="13"/>
  <c r="AU160" i="13"/>
  <c r="AU159" i="13"/>
  <c r="AU158" i="13"/>
  <c r="AU157" i="13"/>
  <c r="AU156" i="13"/>
  <c r="AU155" i="13"/>
  <c r="AU154" i="13"/>
  <c r="AU153" i="13"/>
  <c r="AU152" i="13"/>
  <c r="AU151" i="13"/>
  <c r="AU150" i="13"/>
  <c r="AU149" i="13"/>
  <c r="AU148" i="13"/>
  <c r="AU147" i="13"/>
  <c r="AU146" i="13"/>
  <c r="AU145" i="13"/>
  <c r="AU144" i="13"/>
  <c r="AU143" i="13"/>
  <c r="AU142" i="13"/>
  <c r="AU141" i="13"/>
  <c r="AU140" i="13"/>
  <c r="AU139" i="13"/>
  <c r="AU138" i="13"/>
  <c r="AU137" i="13"/>
  <c r="AU136" i="13"/>
  <c r="AU135" i="13"/>
  <c r="AU134" i="13"/>
  <c r="AU133" i="13"/>
  <c r="AU132" i="13"/>
  <c r="AU131" i="13"/>
  <c r="AU130" i="13"/>
  <c r="AU129" i="13"/>
  <c r="AU128" i="13"/>
  <c r="AU127" i="13"/>
  <c r="AU126" i="13"/>
  <c r="AU125" i="13"/>
  <c r="AU124" i="13"/>
  <c r="AU123" i="13"/>
  <c r="AU122" i="13"/>
  <c r="AU121" i="13"/>
  <c r="AU120" i="13"/>
  <c r="AU119" i="13"/>
  <c r="AU118" i="13"/>
  <c r="AU117" i="13"/>
  <c r="AU116" i="13"/>
  <c r="AU115" i="13"/>
  <c r="AU114" i="13"/>
  <c r="AU113" i="13"/>
  <c r="AU112" i="13"/>
  <c r="AU111" i="13"/>
  <c r="AU110" i="13"/>
  <c r="AU109" i="13"/>
  <c r="AU108" i="13"/>
  <c r="AU107" i="13"/>
  <c r="AU106" i="13"/>
  <c r="AU105" i="13"/>
  <c r="AU104" i="13"/>
  <c r="AU103" i="13"/>
  <c r="AU102" i="13"/>
  <c r="AU101" i="13"/>
  <c r="AU100" i="13"/>
  <c r="AU99" i="13"/>
  <c r="AU98" i="13"/>
  <c r="AU97" i="13"/>
  <c r="AU96" i="13"/>
  <c r="AU95" i="13"/>
  <c r="AU94" i="13"/>
  <c r="AU93" i="13"/>
  <c r="AU92" i="13"/>
  <c r="AU91" i="13"/>
  <c r="AU90" i="13"/>
  <c r="AU89" i="13"/>
  <c r="AU88" i="13"/>
  <c r="AU87" i="13"/>
  <c r="AU86" i="13"/>
  <c r="AU85" i="13"/>
  <c r="AU84" i="13"/>
  <c r="AU83" i="13"/>
  <c r="AU82" i="13"/>
  <c r="AU81" i="13"/>
  <c r="AU80" i="13"/>
  <c r="AU79" i="13"/>
  <c r="AU78" i="13"/>
  <c r="AU77" i="13"/>
  <c r="AU76" i="13"/>
  <c r="AU75" i="13"/>
  <c r="AU74" i="13"/>
  <c r="AU73" i="13"/>
  <c r="AU72" i="13"/>
  <c r="AU71" i="13"/>
  <c r="AU70" i="13"/>
  <c r="AU69" i="13"/>
  <c r="AU68" i="13"/>
  <c r="AU67" i="13"/>
  <c r="AU66" i="13"/>
  <c r="AU65" i="13"/>
  <c r="AU64" i="13"/>
  <c r="AU63" i="13"/>
  <c r="AU62" i="13"/>
  <c r="AU61" i="13"/>
  <c r="AU60" i="13"/>
  <c r="AU59" i="13"/>
  <c r="AU58" i="13"/>
  <c r="AU57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C6" i="13" a="1"/>
  <c r="AC6" i="13" s="1"/>
  <c r="B2" i="31" a="1"/>
  <c r="B2" i="31" s="1"/>
  <c r="V200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V158" i="13"/>
  <c r="V159" i="13"/>
  <c r="V160" i="13"/>
  <c r="V161" i="13"/>
  <c r="V162" i="13"/>
  <c r="V163" i="13"/>
  <c r="V164" i="13"/>
  <c r="V165" i="13"/>
  <c r="V166" i="13"/>
  <c r="V167" i="13"/>
  <c r="V168" i="13"/>
  <c r="V169" i="13"/>
  <c r="V170" i="13"/>
  <c r="V171" i="13"/>
  <c r="V172" i="13"/>
  <c r="V173" i="13"/>
  <c r="V174" i="13"/>
  <c r="V175" i="13"/>
  <c r="V176" i="13"/>
  <c r="V177" i="13"/>
  <c r="V178" i="13"/>
  <c r="V179" i="13"/>
  <c r="V180" i="13"/>
  <c r="V181" i="13"/>
  <c r="V182" i="13"/>
  <c r="V183" i="13"/>
  <c r="V184" i="13"/>
  <c r="V185" i="13"/>
  <c r="V186" i="13"/>
  <c r="V187" i="13"/>
  <c r="V188" i="13"/>
  <c r="V189" i="13"/>
  <c r="V190" i="13"/>
  <c r="V191" i="13"/>
  <c r="V192" i="13"/>
  <c r="V193" i="13"/>
  <c r="V194" i="13"/>
  <c r="V195" i="13"/>
  <c r="V196" i="13"/>
  <c r="V197" i="13"/>
  <c r="V198" i="13"/>
  <c r="V199" i="13"/>
  <c r="V100" i="13"/>
  <c r="V101" i="13"/>
  <c r="V102" i="13"/>
  <c r="V103" i="13"/>
  <c r="V104" i="13"/>
  <c r="V105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E296" i="39" a="1"/>
  <c r="E635" i="39" a="1"/>
  <c r="E998" i="39" a="1"/>
  <c r="E865" i="39" a="1"/>
  <c r="B10" i="39" a="1"/>
  <c r="B200" i="39" a="1"/>
  <c r="B700" i="39" a="1"/>
  <c r="E68" i="39" a="1"/>
  <c r="E254" i="39" a="1"/>
  <c r="E835" i="39" a="1"/>
  <c r="E587" i="39" a="1"/>
  <c r="B252" i="39" a="1"/>
  <c r="B376" i="39" a="1"/>
  <c r="B727" i="39" a="1"/>
  <c r="B937" i="39" a="1"/>
  <c r="E105" i="39" a="1"/>
  <c r="E755" i="39" a="1"/>
  <c r="E102" i="39" a="1"/>
  <c r="E871" i="39" a="1"/>
  <c r="B118" i="39" a="1"/>
  <c r="B297" i="39" a="1"/>
  <c r="B979" i="39" a="1"/>
  <c r="B605" i="39" a="1"/>
  <c r="E328" i="39" a="1"/>
  <c r="E399" i="39" a="1"/>
  <c r="E656" i="39" a="1"/>
  <c r="E71" i="39" a="1"/>
  <c r="B262" i="39" a="1"/>
  <c r="B157" i="39" a="1"/>
  <c r="B665" i="39" a="1"/>
  <c r="B162" i="39" a="1"/>
  <c r="E51" i="39" a="1"/>
  <c r="E135" i="39" a="1"/>
  <c r="E759" i="39" a="1"/>
  <c r="E543" i="39" a="1"/>
  <c r="B381" i="39" a="1"/>
  <c r="B724" i="39" a="1"/>
  <c r="B889" i="39" a="1"/>
  <c r="B165" i="39" a="1"/>
  <c r="E192" i="39" a="1"/>
  <c r="E657" i="39" a="1"/>
  <c r="E736" i="39" a="1"/>
  <c r="B398" i="39" a="1"/>
  <c r="B899" i="39" a="1"/>
  <c r="E714" i="39" a="1"/>
  <c r="E450" i="39" a="1"/>
  <c r="E432" i="39" a="1"/>
  <c r="E113" i="39" a="1"/>
  <c r="E965" i="39" a="1"/>
  <c r="B28" i="39" a="1"/>
  <c r="B623" i="39" a="1"/>
  <c r="B690" i="39" a="1"/>
  <c r="E215" i="39" a="1"/>
  <c r="E28" i="39" a="1"/>
  <c r="E774" i="39" a="1"/>
  <c r="E669" i="39" a="1"/>
  <c r="B349" i="39" a="1"/>
  <c r="B269" i="39" a="1"/>
  <c r="B761" i="39" a="1"/>
  <c r="E80" i="39" a="1"/>
  <c r="E750" i="39" a="1"/>
  <c r="E889" i="39" a="1"/>
  <c r="B146" i="39" a="1"/>
  <c r="B973" i="39" a="1"/>
  <c r="E122" i="39" a="1"/>
  <c r="B90" i="39" a="1"/>
  <c r="E658" i="39" a="1"/>
  <c r="E41" i="39" a="1"/>
  <c r="E165" i="39" a="1"/>
  <c r="B386" i="39" a="1"/>
  <c r="B470" i="39" a="1"/>
  <c r="E584" i="39" a="1"/>
  <c r="B110" i="39" a="1"/>
  <c r="E230" i="39" a="1"/>
  <c r="E91" i="39" a="1"/>
  <c r="B559" i="39" a="1"/>
  <c r="E70" i="39" a="1"/>
  <c r="E562" i="39" a="1"/>
  <c r="B169" i="39" a="1"/>
  <c r="B405" i="39" a="1"/>
  <c r="B174" i="39" a="1"/>
  <c r="E601" i="39" a="1"/>
  <c r="E764" i="39" a="1"/>
  <c r="B226" i="39" a="1"/>
  <c r="E624" i="39" a="1"/>
  <c r="E311" i="39" a="1"/>
  <c r="E308" i="39" a="1"/>
  <c r="E89" i="39" a="1"/>
  <c r="E330" i="39" a="1"/>
  <c r="B663" i="39" a="1"/>
  <c r="E593" i="39" a="1"/>
  <c r="E612" i="39" a="1"/>
  <c r="E172" i="39" a="1"/>
  <c r="E274" i="39" a="1"/>
  <c r="E629" i="39" a="1"/>
  <c r="B849" i="39" a="1"/>
  <c r="B264" i="39" a="1"/>
  <c r="B828" i="39" a="1"/>
  <c r="B667" i="39" a="1"/>
  <c r="B287" i="39" a="1"/>
  <c r="E194" i="39" a="1"/>
  <c r="B408" i="39" a="1"/>
  <c r="B883" i="39" a="1"/>
  <c r="E156" i="39" a="1"/>
  <c r="B518" i="39" a="1"/>
  <c r="B490" i="39" a="1"/>
  <c r="E158" i="39" a="1"/>
  <c r="E297" i="39" a="1"/>
  <c r="E331" i="39" a="1"/>
  <c r="B766" i="39" a="1"/>
  <c r="E115" i="39" a="1"/>
  <c r="E805" i="39" a="1"/>
  <c r="B649" i="39" a="1"/>
  <c r="E646" i="39" a="1"/>
  <c r="B635" i="39" a="1"/>
  <c r="B455" i="39" a="1"/>
  <c r="B12" i="39" a="1"/>
  <c r="E313" i="39" a="1"/>
  <c r="B163" i="39" a="1"/>
  <c r="E676" i="39" a="1"/>
  <c r="B50" i="39" a="1"/>
  <c r="B550" i="39" a="1"/>
  <c r="E700" i="39" a="1"/>
  <c r="E911" i="39" a="1"/>
  <c r="B15" i="39" a="1"/>
  <c r="E212" i="39" a="1"/>
  <c r="E52" i="39" a="1"/>
  <c r="E35" i="39" a="1"/>
  <c r="E793" i="39" a="1"/>
  <c r="E542" i="39" a="1"/>
  <c r="B91" i="39" a="1"/>
  <c r="B763" i="39" a="1"/>
  <c r="B299" i="39" a="1"/>
  <c r="B307" i="39" a="1"/>
  <c r="E111" i="39" a="1"/>
  <c r="E739" i="39" a="1"/>
  <c r="E563" i="39" a="1"/>
  <c r="B124" i="39" a="1"/>
  <c r="B85" i="39" a="1"/>
  <c r="B395" i="39" a="1"/>
  <c r="B403" i="39" a="1"/>
  <c r="E754" i="39" a="1"/>
  <c r="E449" i="39" a="1"/>
  <c r="E123" i="39" a="1"/>
  <c r="E72" i="39" a="1"/>
  <c r="B597" i="39" a="1"/>
  <c r="B599" i="39" a="1"/>
  <c r="B982" i="39" a="1"/>
  <c r="J13" i="38"/>
  <c r="E153" i="39" a="1"/>
  <c r="E749" i="39" a="1"/>
  <c r="E716" i="39" a="1"/>
  <c r="B134" i="39" a="1"/>
  <c r="B409" i="39" a="1"/>
  <c r="B641" i="39" a="1"/>
  <c r="B73" i="39" a="1"/>
  <c r="E228" i="39" a="1"/>
  <c r="E915" i="39" a="1"/>
  <c r="E854" i="39" a="1"/>
  <c r="E849" i="39" a="1"/>
  <c r="B282" i="39" a="1"/>
  <c r="B201" i="39" a="1"/>
  <c r="B901" i="39" a="1"/>
  <c r="E237" i="39" a="1"/>
  <c r="E685" i="39" a="1"/>
  <c r="E968" i="39" a="1"/>
  <c r="B502" i="39" a="1"/>
  <c r="B520" i="39" a="1"/>
  <c r="E256" i="39" a="1"/>
  <c r="E694" i="39" a="1"/>
  <c r="E976" i="39" a="1"/>
  <c r="E986" i="39" a="1"/>
  <c r="E659" i="39" a="1"/>
  <c r="B655" i="39" a="1"/>
  <c r="B586" i="39" a="1"/>
  <c r="B582" i="39" a="1"/>
  <c r="B611" i="39" a="1"/>
  <c r="E69" i="39" a="1"/>
  <c r="E973" i="39" a="1"/>
  <c r="B228" i="39" a="1"/>
  <c r="B481" i="39" a="1"/>
  <c r="B506" i="39" a="1"/>
  <c r="E324" i="39" a="1"/>
  <c r="E981" i="39" a="1"/>
  <c r="B244" i="39" a="1"/>
  <c r="B557" i="39" a="1"/>
  <c r="B524" i="39" a="1"/>
  <c r="E154" i="39" a="1"/>
  <c r="B786" i="39" a="1"/>
  <c r="E833" i="39" a="1"/>
  <c r="E160" i="39" a="1"/>
  <c r="B392" i="39" a="1"/>
  <c r="B997" i="39" a="1"/>
  <c r="B820" i="39" a="1"/>
  <c r="E608" i="39" a="1"/>
  <c r="E438" i="39" a="1"/>
  <c r="E395" i="39" a="1"/>
  <c r="B371" i="39" a="1"/>
  <c r="E447" i="39" a="1"/>
  <c r="E407" i="39" a="1"/>
  <c r="B390" i="39" a="1"/>
  <c r="E222" i="39" a="1"/>
  <c r="B256" i="39" a="1"/>
  <c r="E19" i="39" a="1"/>
  <c r="B773" i="39" a="1"/>
  <c r="B692" i="39" a="1"/>
  <c r="B493" i="39" a="1"/>
  <c r="B533" i="39" a="1"/>
  <c r="B348" i="39" a="1"/>
  <c r="E628" i="39" a="1"/>
  <c r="B441" i="39" a="1"/>
  <c r="E186" i="39" a="1"/>
  <c r="E728" i="39" a="1"/>
  <c r="E616" i="39" a="1"/>
  <c r="E577" i="39" a="1"/>
  <c r="B625" i="39" a="1"/>
  <c r="B267" i="39" a="1"/>
  <c r="B255" i="39" a="1"/>
  <c r="B930" i="39" a="1"/>
  <c r="E251" i="39" a="1"/>
  <c r="E625" i="39" a="1"/>
  <c r="E770" i="39" a="1"/>
  <c r="B182" i="39" a="1"/>
  <c r="B285" i="39" a="1"/>
  <c r="B378" i="39" a="1"/>
  <c r="B911" i="39" a="1"/>
  <c r="E393" i="39" a="1"/>
  <c r="E473" i="39" a="1"/>
  <c r="E295" i="39" a="1"/>
  <c r="E184" i="39" a="1"/>
  <c r="B588" i="39" a="1"/>
  <c r="B978" i="39" a="1"/>
  <c r="B101" i="39" a="1"/>
  <c r="E20" i="39" a="1"/>
  <c r="E460" i="39" a="1"/>
  <c r="E174" i="39" a="1"/>
  <c r="E419" i="39" a="1"/>
  <c r="B34" i="39" a="1"/>
  <c r="B695" i="39" a="1"/>
  <c r="B125" i="39" a="1"/>
  <c r="B217" i="39" a="1"/>
  <c r="E56" i="39" a="1"/>
  <c r="E592" i="39" a="1"/>
  <c r="E491" i="39" a="1"/>
  <c r="B92" i="39" a="1"/>
  <c r="B333" i="39" a="1"/>
  <c r="B870" i="39" a="1"/>
  <c r="B670" i="39" a="1"/>
  <c r="E139" i="39" a="1"/>
  <c r="E404" i="39" a="1"/>
  <c r="E398" i="39" a="1"/>
  <c r="B513" i="39" a="1"/>
  <c r="B235" i="39" a="1"/>
  <c r="E149" i="39" a="1"/>
  <c r="E427" i="39" a="1"/>
  <c r="E434" i="39" a="1"/>
  <c r="E437" i="39" a="1"/>
  <c r="E813" i="39" a="1"/>
  <c r="B24" i="39" a="1"/>
  <c r="B653" i="39" a="1"/>
  <c r="B555" i="39" a="1"/>
  <c r="B970" i="39" a="1"/>
  <c r="E643" i="39" a="1"/>
  <c r="E454" i="39" a="1"/>
  <c r="B270" i="39" a="1"/>
  <c r="B814" i="39" a="1"/>
  <c r="B993" i="39" a="1"/>
  <c r="E653" i="39" a="1"/>
  <c r="E479" i="39" a="1"/>
  <c r="B286" i="39" a="1"/>
  <c r="B823" i="39" a="1"/>
  <c r="B791" i="39" a="1"/>
  <c r="E852" i="39" a="1"/>
  <c r="B799" i="39" a="1"/>
  <c r="E808" i="39" a="1"/>
  <c r="E598" i="39" a="1"/>
  <c r="B414" i="39" a="1"/>
  <c r="B961" i="39" a="1"/>
  <c r="B976" i="39" a="1"/>
  <c r="E253" i="39" a="1"/>
  <c r="E17" i="39" a="1"/>
  <c r="E880" i="39" a="1"/>
  <c r="B374" i="39" a="1"/>
  <c r="E64" i="39" a="1"/>
  <c r="E199" i="39" a="1"/>
  <c r="B88" i="39" a="1"/>
  <c r="B585" i="39" a="1"/>
  <c r="B845" i="39" a="1"/>
  <c r="E478" i="39" a="1"/>
  <c r="B322" i="39" a="1"/>
  <c r="B510" i="39" a="1"/>
  <c r="B545" i="39" a="1"/>
  <c r="B983" i="39" a="1"/>
  <c r="E520" i="39" a="1"/>
  <c r="E618" i="39" a="1"/>
  <c r="E511" i="39" a="1"/>
  <c r="E169" i="39" a="1"/>
  <c r="E941" i="39" a="1"/>
  <c r="E944" i="39" a="1"/>
  <c r="B446" i="39" a="1"/>
  <c r="B353" i="39" a="1"/>
  <c r="B890" i="39" a="1"/>
  <c r="B723" i="39" a="1"/>
  <c r="E579" i="39" a="1"/>
  <c r="E353" i="39" a="1"/>
  <c r="E197" i="39" a="1"/>
  <c r="B119" i="39" a="1"/>
  <c r="B464" i="39" a="1"/>
  <c r="B926" i="39" a="1"/>
  <c r="B752" i="39" a="1"/>
  <c r="E159" i="39" a="1"/>
  <c r="E883" i="39" a="1"/>
  <c r="E803" i="39" a="1"/>
  <c r="E781" i="39" a="1"/>
  <c r="B193" i="39" a="1"/>
  <c r="B45" i="39" a="1"/>
  <c r="B864" i="39" a="1"/>
  <c r="E137" i="39" a="1"/>
  <c r="E692" i="39" a="1"/>
  <c r="E561" i="39" a="1"/>
  <c r="E506" i="39" a="1"/>
  <c r="B546" i="39" a="1"/>
  <c r="B171" i="39" a="1"/>
  <c r="B58" i="39" a="1"/>
  <c r="B894" i="39" a="1"/>
  <c r="E182" i="39" a="1"/>
  <c r="E571" i="39" a="1"/>
  <c r="E492" i="39" a="1"/>
  <c r="B22" i="39" a="1"/>
  <c r="B419" i="39" a="1"/>
  <c r="B688" i="39" a="1"/>
  <c r="B659" i="39" a="1"/>
  <c r="E201" i="39" a="1"/>
  <c r="E885" i="39" a="1"/>
  <c r="B156" i="39" a="1"/>
  <c r="B335" i="39" a="1"/>
  <c r="B281" i="39" a="1"/>
  <c r="E211" i="39" a="1"/>
  <c r="E667" i="39" a="1"/>
  <c r="E319" i="39" a="1"/>
  <c r="E987" i="39" a="1"/>
  <c r="E640" i="39" a="1"/>
  <c r="B805" i="39" a="1"/>
  <c r="B843" i="39" a="1"/>
  <c r="E366" i="39" a="1"/>
  <c r="B231" i="39" a="1"/>
  <c r="E799" i="39" a="1"/>
  <c r="E87" i="39" a="1"/>
  <c r="B674" i="39" a="1"/>
  <c r="B640" i="39" a="1"/>
  <c r="B594" i="39" a="1"/>
  <c r="E816" i="39" a="1"/>
  <c r="E144" i="39" a="1"/>
  <c r="B370" i="39" a="1"/>
  <c r="B988" i="39" a="1"/>
  <c r="B801" i="39" a="1"/>
  <c r="E997" i="39" a="1"/>
  <c r="E73" i="39" a="1"/>
  <c r="E834" i="39" a="1"/>
  <c r="E180" i="39" a="1"/>
  <c r="B617" i="39" a="1"/>
  <c r="B547" i="39" a="1"/>
  <c r="E95" i="39" a="1"/>
  <c r="B413" i="39" a="1"/>
  <c r="E347" i="39" a="1"/>
  <c r="E727" i="39" a="1"/>
  <c r="B274" i="39" a="1"/>
  <c r="E315" i="39" a="1"/>
  <c r="E671" i="39" a="1"/>
  <c r="B123" i="39" a="1"/>
  <c r="B847" i="39" a="1"/>
  <c r="E2" i="39" a="1"/>
  <c r="E248" i="39" a="1"/>
  <c r="B831" i="39" a="1"/>
  <c r="M12" i="38" a="1"/>
  <c r="B185" i="39" a="1"/>
  <c r="E630" i="39" a="1"/>
  <c r="E86" i="39" a="1"/>
  <c r="E920" i="39" a="1"/>
  <c r="E96" i="39" a="1"/>
  <c r="E257" i="39" a="1"/>
  <c r="E85" i="39" a="1"/>
  <c r="E699" i="39" a="1"/>
  <c r="B415" i="39" a="1"/>
  <c r="B887" i="39" a="1"/>
  <c r="B363" i="39" a="1"/>
  <c r="E216" i="39" a="1"/>
  <c r="E497" i="39" a="1"/>
  <c r="E380" i="39" a="1"/>
  <c r="E300" i="39" a="1"/>
  <c r="B424" i="39" a="1"/>
  <c r="B950" i="39" a="1"/>
  <c r="B719" i="39" a="1"/>
  <c r="B792" i="39" a="1"/>
  <c r="E451" i="39" a="1"/>
  <c r="E499" i="39" a="1"/>
  <c r="E394" i="39" a="1"/>
  <c r="B60" i="39" a="1"/>
  <c r="B245" i="39" a="1"/>
  <c r="B833" i="39" a="1"/>
  <c r="B104" i="39" a="1"/>
  <c r="E621" i="39" a="1"/>
  <c r="E77" i="39" a="1"/>
  <c r="E909" i="39" a="1"/>
  <c r="E912" i="39" a="1"/>
  <c r="B404" i="39" a="1"/>
  <c r="B224" i="39" a="1"/>
  <c r="B854" i="39" a="1"/>
  <c r="B634" i="39" a="1"/>
  <c r="E130" i="39" a="1"/>
  <c r="E932" i="39" a="1"/>
  <c r="E903" i="39" a="1"/>
  <c r="B278" i="39" a="1"/>
  <c r="B430" i="39" a="1"/>
  <c r="B679" i="39" a="1"/>
  <c r="B660" i="39" a="1"/>
  <c r="E483" i="39" a="1"/>
  <c r="E263" i="39" a="1"/>
  <c r="B206" i="39" a="1"/>
  <c r="B696" i="39" a="1"/>
  <c r="B581" i="39" a="1"/>
  <c r="E288" i="39" a="1"/>
  <c r="E573" i="39" a="1"/>
  <c r="E746" i="39" a="1"/>
  <c r="E452" i="39" a="1"/>
  <c r="E831" i="39" a="1"/>
  <c r="B309" i="39" a="1"/>
  <c r="B844" i="39" a="1"/>
  <c r="E489" i="39" a="1"/>
  <c r="B955" i="39" a="1"/>
  <c r="E462" i="39" a="1"/>
  <c r="E830" i="39" a="1"/>
  <c r="B51" i="39" a="1"/>
  <c r="B678" i="39" a="1"/>
  <c r="B583" i="39" a="1"/>
  <c r="E791" i="39" a="1"/>
  <c r="E564" i="39" a="1"/>
  <c r="B393" i="39" a="1"/>
  <c r="B952" i="39" a="1"/>
  <c r="B967" i="39" a="1"/>
  <c r="E804" i="39" a="1"/>
  <c r="E575" i="39" a="1"/>
  <c r="E792" i="39" a="1"/>
  <c r="E565" i="39" a="1"/>
  <c r="B541" i="39" a="1"/>
  <c r="B184" i="39" a="1"/>
  <c r="E21" i="39" a="1"/>
  <c r="B570" i="39" a="1"/>
  <c r="E978" i="39" a="1"/>
  <c r="B30" i="39" a="1"/>
  <c r="B787" i="39" a="1"/>
  <c r="E580" i="39" a="1"/>
  <c r="B116" i="39" a="1"/>
  <c r="B962" i="39" a="1"/>
  <c r="E807" i="39" a="1"/>
  <c r="E217" i="39" a="1"/>
  <c r="E975" i="39" a="1"/>
  <c r="B638" i="39" a="1"/>
  <c r="E183" i="39" a="1"/>
  <c r="B312" i="39" a="1"/>
  <c r="E861" i="39" a="1"/>
  <c r="E568" i="39" a="1"/>
  <c r="E798" i="39" a="1"/>
  <c r="E448" i="39" a="1"/>
  <c r="E757" i="39" a="1"/>
  <c r="E687" i="39" a="1"/>
  <c r="E642" i="39" a="1"/>
  <c r="B321" i="39" a="1"/>
  <c r="B249" i="39" a="1"/>
  <c r="B919" i="39" a="1"/>
  <c r="E529" i="39" a="1"/>
  <c r="E930" i="39" a="1"/>
  <c r="E819" i="39" a="1"/>
  <c r="E814" i="39" a="1"/>
  <c r="B279" i="39" a="1"/>
  <c r="B686" i="39" a="1"/>
  <c r="B710" i="39" a="1"/>
  <c r="B426" i="39" a="1"/>
  <c r="E101" i="39" a="1"/>
  <c r="E500" i="39" a="1"/>
  <c r="E418" i="39" a="1"/>
  <c r="B316" i="39" a="1"/>
  <c r="B129" i="39" a="1"/>
  <c r="B178" i="39" a="1"/>
  <c r="B838" i="39" a="1"/>
  <c r="E265" i="39" a="1"/>
  <c r="E97" i="39" a="1"/>
  <c r="E837" i="39" a="1"/>
  <c r="E589" i="39" a="1"/>
  <c r="B280" i="39" a="1"/>
  <c r="B850" i="39" a="1"/>
  <c r="B643" i="39" a="1"/>
  <c r="E30" i="39" a="1"/>
  <c r="E824" i="39" a="1"/>
  <c r="E731" i="39" a="1"/>
  <c r="E469" i="39" a="1"/>
  <c r="B64" i="39" a="1"/>
  <c r="B913" i="39" a="1"/>
  <c r="B629" i="39" a="1"/>
  <c r="B713" i="39" a="1"/>
  <c r="E663" i="39" a="1"/>
  <c r="E926" i="39" a="1"/>
  <c r="B239" i="39" a="1"/>
  <c r="B687" i="39" a="1"/>
  <c r="B525" i="39" a="1"/>
  <c r="E204" i="39" a="1"/>
  <c r="E724" i="39" a="1"/>
  <c r="E521" i="39" a="1"/>
  <c r="E988" i="39" a="1"/>
  <c r="E763" i="39" a="1"/>
  <c r="B144" i="39" a="1"/>
  <c r="B954" i="39" a="1"/>
  <c r="E872" i="39" a="1"/>
  <c r="E337" i="39" a="1"/>
  <c r="E995" i="39" a="1"/>
  <c r="E670" i="39" a="1"/>
  <c r="B11" i="39" a="1"/>
  <c r="B862" i="39" a="1"/>
  <c r="E39" i="39" a="1"/>
  <c r="E817" i="39" a="1"/>
  <c r="E145" i="39" a="1"/>
  <c r="B568" i="39" a="1"/>
  <c r="B486" i="39" a="1"/>
  <c r="E76" i="39" a="1"/>
  <c r="E599" i="39" a="1"/>
  <c r="E357" i="39" a="1"/>
  <c r="E844" i="39" a="1"/>
  <c r="E823" i="39" a="1"/>
  <c r="B259" i="39" a="1"/>
  <c r="B991" i="39" a="1"/>
  <c r="E286" i="39" a="1"/>
  <c r="B995" i="39" a="1"/>
  <c r="E907" i="39" a="1"/>
  <c r="B303" i="39" a="1"/>
  <c r="B836" i="39" a="1"/>
  <c r="E400" i="39" a="1"/>
  <c r="B31" i="39" a="1"/>
  <c r="B881" i="39" a="1"/>
  <c r="E972" i="39" a="1"/>
  <c r="E67" i="39" a="1"/>
  <c r="E904" i="39" a="1"/>
  <c r="B467" i="39" a="1"/>
  <c r="E415" i="39" a="1"/>
  <c r="E242" i="39" a="1"/>
  <c r="B180" i="39" a="1"/>
  <c r="E304" i="39" a="1"/>
  <c r="B70" i="39" a="1"/>
  <c r="B417" i="39" a="1"/>
  <c r="E339" i="39" a="1"/>
  <c r="E224" i="39" a="1"/>
  <c r="E541" i="39" a="1"/>
  <c r="B108" i="39" a="1"/>
  <c r="B354" i="39" a="1"/>
  <c r="B888" i="39" a="1"/>
  <c r="B702" i="39" a="1"/>
  <c r="E128" i="39" a="1"/>
  <c r="E683" i="39" a="1"/>
  <c r="E514" i="39" a="1"/>
  <c r="E317" i="39" a="1"/>
  <c r="B37" i="39" a="1"/>
  <c r="B715" i="39" a="1"/>
  <c r="B301" i="39" a="1"/>
  <c r="E84" i="39" a="1"/>
  <c r="E25" i="39" a="1"/>
  <c r="E900" i="39" a="1"/>
  <c r="E999" i="39" a="1"/>
  <c r="B55" i="39" a="1"/>
  <c r="B25" i="39" a="1"/>
  <c r="B853" i="39" a="1"/>
  <c r="B540" i="39" a="1"/>
  <c r="E558" i="39" a="1"/>
  <c r="E711" i="39" a="1"/>
  <c r="E617" i="39" a="1"/>
  <c r="E578" i="39" a="1"/>
  <c r="B781" i="39" a="1"/>
  <c r="B639" i="39" a="1"/>
  <c r="B644" i="39" a="1"/>
  <c r="E346" i="39" a="1"/>
  <c r="E710" i="39" a="1"/>
  <c r="E596" i="39" a="1"/>
  <c r="E753" i="39" a="1"/>
  <c r="B189" i="39" a="1"/>
  <c r="B598" i="39" a="1"/>
  <c r="B630" i="39" a="1"/>
  <c r="B331" i="39" a="1"/>
  <c r="E413" i="39" a="1"/>
  <c r="E370" i="39" a="1"/>
  <c r="B291" i="39" a="1"/>
  <c r="B861" i="39" a="1"/>
  <c r="B857" i="39" a="1"/>
  <c r="E954" i="39" a="1"/>
  <c r="E552" i="39" a="1"/>
  <c r="E259" i="39" a="1"/>
  <c r="E416" i="39" a="1"/>
  <c r="E857" i="39" a="1"/>
  <c r="B959" i="39" a="1"/>
  <c r="B891" i="39" a="1"/>
  <c r="B318" i="39" a="1"/>
  <c r="E762" i="39" a="1"/>
  <c r="E463" i="39" a="1"/>
  <c r="E848" i="39" a="1"/>
  <c r="B344" i="39" a="1"/>
  <c r="B908" i="39" a="1"/>
  <c r="E566" i="39" a="1"/>
  <c r="E775" i="39" a="1"/>
  <c r="E518" i="39" a="1"/>
  <c r="B531" i="39" a="1"/>
  <c r="B435" i="39" a="1"/>
  <c r="E106" i="39" a="1"/>
  <c r="B68" i="39" a="1"/>
  <c r="E515" i="39" a="1"/>
  <c r="E464" i="39" a="1"/>
  <c r="E897" i="39" a="1"/>
  <c r="B744" i="39" a="1"/>
  <c r="B579" i="39" a="1"/>
  <c r="E825" i="39" a="1"/>
  <c r="B756" i="39" a="1"/>
  <c r="E860" i="39" a="1"/>
  <c r="B177" i="39" a="1"/>
  <c r="B658" i="39" a="1"/>
  <c r="E98" i="39" a="1"/>
  <c r="B253" i="39" a="1"/>
  <c r="B846" i="39" a="1"/>
  <c r="E266" i="39" a="1"/>
  <c r="E435" i="39" a="1"/>
  <c r="B132" i="39" a="1"/>
  <c r="B971" i="39" a="1"/>
  <c r="E733" i="39" a="1"/>
  <c r="E468" i="39" a="1"/>
  <c r="B112" i="39" a="1"/>
  <c r="E971" i="39" a="1"/>
  <c r="B445" i="39" a="1"/>
  <c r="B1000" i="39" a="1"/>
  <c r="B207" i="39" a="1"/>
  <c r="B886" i="39" a="1"/>
  <c r="B463" i="39" a="1"/>
  <c r="E828" i="39" a="1"/>
  <c r="B181" i="39" a="1"/>
  <c r="B460" i="39" a="1"/>
  <c r="B945" i="39" a="1"/>
  <c r="B159" i="39" a="1"/>
  <c r="E648" i="39" a="1"/>
  <c r="E697" i="39" a="1"/>
  <c r="B764" i="39" a="1"/>
  <c r="E682" i="39" a="1"/>
  <c r="E761" i="39" a="1"/>
  <c r="B784" i="39" a="1"/>
  <c r="E83" i="39" a="1"/>
  <c r="B619" i="39" a="1"/>
  <c r="E229" i="39" a="1"/>
  <c r="B43" i="39" a="1"/>
  <c r="B839" i="39" a="1"/>
  <c r="E826" i="39" a="1"/>
  <c r="E718" i="39" a="1"/>
  <c r="E487" i="39" a="1"/>
  <c r="B548" i="39" a="1"/>
  <c r="B364" i="39" a="1"/>
  <c r="B717" i="39" a="1"/>
  <c r="B345" i="39" a="1"/>
  <c r="E401" i="39" a="1"/>
  <c r="E214" i="39" a="1"/>
  <c r="B145" i="39" a="1"/>
  <c r="E116" i="39" a="1"/>
  <c r="B508" i="39" a="1"/>
  <c r="E210" i="39" a="1"/>
  <c r="E175" i="39" a="1"/>
  <c r="E22" i="39" a="1"/>
  <c r="E777" i="39" a="1"/>
  <c r="B136" i="39" a="1"/>
  <c r="E996" i="39" a="1"/>
  <c r="E161" i="39" a="1"/>
  <c r="E291" i="39" a="1"/>
  <c r="E196" i="39" a="1"/>
  <c r="B236" i="39" a="1"/>
  <c r="B57" i="39" a="1"/>
  <c r="B295" i="39" a="1"/>
  <c r="B347" i="39" a="1"/>
  <c r="E320" i="39" a="1"/>
  <c r="E321" i="39" a="1"/>
  <c r="E141" i="39" a="1"/>
  <c r="E772" i="39" a="1"/>
  <c r="B479" i="39" a="1"/>
  <c r="B905" i="39" a="1"/>
  <c r="B739" i="39" a="1"/>
  <c r="E4" i="39" a="1"/>
  <c r="E423" i="39" a="1"/>
  <c r="E550" i="39" a="1"/>
  <c r="E371" i="39" a="1"/>
  <c r="B120" i="39" a="1"/>
  <c r="B636" i="39" a="1"/>
  <c r="B53" i="39" a="1"/>
  <c r="B138" i="39" a="1"/>
  <c r="E198" i="39" a="1"/>
  <c r="E899" i="39" a="1"/>
  <c r="E829" i="39" a="1"/>
  <c r="E815" i="39" a="1"/>
  <c r="B232" i="39" a="1"/>
  <c r="B149" i="39" a="1"/>
  <c r="B882" i="39" a="1"/>
  <c r="E493" i="39" a="1"/>
  <c r="E898" i="39" a="1"/>
  <c r="E925" i="39" a="1"/>
  <c r="E928" i="39" a="1"/>
  <c r="B425" i="39" a="1"/>
  <c r="B290" i="39" a="1"/>
  <c r="B872" i="39" a="1"/>
  <c r="B684" i="39" a="1"/>
  <c r="E350" i="39" a="1"/>
  <c r="E725" i="39" a="1"/>
  <c r="B577" i="39" a="1"/>
  <c r="B501" i="39" a="1"/>
  <c r="B406" i="39" a="1"/>
  <c r="E486" i="39" a="1"/>
  <c r="E382" i="39" a="1"/>
  <c r="E287" i="39" a="1"/>
  <c r="E704" i="39" a="1"/>
  <c r="B212" i="39" a="1"/>
  <c r="B448" i="39" a="1"/>
  <c r="B491" i="39" a="1"/>
  <c r="B35" i="39" a="1"/>
  <c r="E338" i="39" a="1"/>
  <c r="E784" i="39" a="1"/>
  <c r="E50" i="39" a="1"/>
  <c r="B208" i="39" a="1"/>
  <c r="B729" i="39" a="1"/>
  <c r="E40" i="39" a="1"/>
  <c r="E475" i="39" a="1"/>
  <c r="E856" i="39" a="1"/>
  <c r="B365" i="39" a="1"/>
  <c r="B999" i="39" a="1"/>
  <c r="E675" i="39" a="1"/>
  <c r="B436" i="39" a="1"/>
  <c r="E333" i="39" a="1"/>
  <c r="E768" i="39" a="1"/>
  <c r="B52" i="39" a="1"/>
  <c r="B986" i="39" a="1"/>
  <c r="B946" i="39" a="1"/>
  <c r="E809" i="39" a="1"/>
  <c r="B562" i="39" a="1"/>
  <c r="E477" i="39" a="1"/>
  <c r="B749" i="39" a="1"/>
  <c r="B606" i="39" a="1"/>
  <c r="E868" i="39" a="1"/>
  <c r="B202" i="39" a="1"/>
  <c r="B691" i="39" a="1"/>
  <c r="E361" i="39" a="1"/>
  <c r="E289" i="39" a="1"/>
  <c r="B62" i="39" a="1"/>
  <c r="B380" i="39" a="1"/>
  <c r="E233" i="39" a="1"/>
  <c r="E984" i="39" a="1"/>
  <c r="B652" i="39" a="1"/>
  <c r="E243" i="39" a="1"/>
  <c r="B329" i="39" a="1"/>
  <c r="B873" i="39" a="1"/>
  <c r="B48" i="39" a="1"/>
  <c r="B776" i="39" a="1"/>
  <c r="B153" i="39" a="1"/>
  <c r="E668" i="39" a="1"/>
  <c r="B451" i="39" a="1"/>
  <c r="B569" i="39" a="1"/>
  <c r="B743" i="39" a="1"/>
  <c r="B608" i="39" a="1"/>
  <c r="E384" i="39" a="1"/>
  <c r="E299" i="39" a="1"/>
  <c r="B878" i="39" a="1"/>
  <c r="E402" i="39" a="1"/>
  <c r="E316" i="39" a="1"/>
  <c r="B896" i="39" a="1"/>
  <c r="E771" i="39" a="1"/>
  <c r="E92" i="39" a="1"/>
  <c r="E894" i="39" a="1"/>
  <c r="B427" i="39" a="1"/>
  <c r="B526" i="39" a="1"/>
  <c r="E606" i="39" a="1"/>
  <c r="B277" i="39" a="1"/>
  <c r="E244" i="39" a="1"/>
  <c r="B693" i="39" a="1"/>
  <c r="B459" i="39" a="1"/>
  <c r="B334" i="39" a="1"/>
  <c r="B960" i="39" a="1"/>
  <c r="E730" i="39" a="1"/>
  <c r="E879" i="39" a="1"/>
  <c r="B248" i="39" a="1"/>
  <c r="E494" i="39" a="1"/>
  <c r="B192" i="39" a="1"/>
  <c r="E970" i="39" a="1"/>
  <c r="E132" i="39" a="1"/>
  <c r="E234" i="39" a="1"/>
  <c r="B130" i="39" a="1"/>
  <c r="E959" i="39" a="1"/>
  <c r="B229" i="39" a="1"/>
  <c r="E364" i="39" a="1"/>
  <c r="E57" i="39" a="1"/>
  <c r="B373" i="39" a="1"/>
  <c r="E530" i="39" a="1"/>
  <c r="E79" i="39" a="1"/>
  <c r="E605" i="39" a="1"/>
  <c r="E528" i="39" a="1"/>
  <c r="B38" i="39" a="1"/>
  <c r="B483" i="39" a="1"/>
  <c r="B718" i="39" a="1"/>
  <c r="B682" i="39" a="1"/>
  <c r="E466" i="39" a="1"/>
  <c r="E603" i="39" a="1"/>
  <c r="E442" i="39" a="1"/>
  <c r="E409" i="39" a="1"/>
  <c r="B701" i="39" a="1"/>
  <c r="B293" i="39" a="1"/>
  <c r="B421" i="39" a="1"/>
  <c r="E362" i="39" a="1"/>
  <c r="E822" i="39" a="1"/>
  <c r="B338" i="39" a="1"/>
  <c r="B877" i="39" a="1"/>
  <c r="B549" i="39" a="1"/>
  <c r="B648" i="39" a="1"/>
  <c r="E78" i="39" a="1"/>
  <c r="E136" i="39" a="1"/>
  <c r="E966" i="39" a="1"/>
  <c r="E961" i="39" a="1"/>
  <c r="B590" i="39" a="1"/>
  <c r="B560" i="39" a="1"/>
  <c r="B186" i="39" a="1"/>
  <c r="E639" i="39" a="1"/>
  <c r="E591" i="39" a="1"/>
  <c r="E368" i="39" a="1"/>
  <c r="B656" i="39" a="1"/>
  <c r="B651" i="39" a="1"/>
  <c r="E674" i="39" a="1"/>
  <c r="B447" i="39" a="1"/>
  <c r="B940" i="39" a="1"/>
  <c r="E743" i="39" a="1"/>
  <c r="B78" i="39" a="1"/>
  <c r="B637" i="39" a="1"/>
  <c r="E789" i="39" a="1"/>
  <c r="E203" i="39" a="1"/>
  <c r="E948" i="39" a="1"/>
  <c r="E919" i="39" a="1"/>
  <c r="B294" i="39" a="1"/>
  <c r="B17" i="39" a="1"/>
  <c r="B708" i="39" a="1"/>
  <c r="B306" i="39" a="1"/>
  <c r="E467" i="39" a="1"/>
  <c r="E947" i="39" a="1"/>
  <c r="E886" i="39" a="1"/>
  <c r="E881" i="39" a="1"/>
  <c r="B375" i="39" a="1"/>
  <c r="B337" i="39" a="1"/>
  <c r="B384" i="39" a="1"/>
  <c r="E456" i="39" a="1"/>
  <c r="E866" i="39" a="1"/>
  <c r="E713" i="39" a="1"/>
  <c r="E717" i="39" a="1"/>
  <c r="B80" i="39" a="1"/>
  <c r="B529" i="39" a="1"/>
  <c r="B564" i="39" a="1"/>
  <c r="B167" i="39" a="1"/>
  <c r="E260" i="39" a="1"/>
  <c r="E207" i="39" a="1"/>
  <c r="E821" i="39" a="1"/>
  <c r="B204" i="39" a="1"/>
  <c r="B482" i="39" a="1"/>
  <c r="B89" i="39" a="1"/>
  <c r="B593" i="39" a="1"/>
  <c r="E430" i="39" a="1"/>
  <c r="E535" i="39" a="1"/>
  <c r="E369" i="39" a="1"/>
  <c r="E332" i="39" a="1"/>
  <c r="B647" i="39" a="1"/>
  <c r="B117" i="39" a="1"/>
  <c r="B210" i="39" a="1"/>
  <c r="E465" i="39" a="1"/>
  <c r="E414" i="39" a="1"/>
  <c r="E359" i="39" a="1"/>
  <c r="B296" i="39" a="1"/>
  <c r="B990" i="39" a="1"/>
  <c r="E273" i="39" a="1"/>
  <c r="E955" i="39" a="1"/>
  <c r="E372" i="39" a="1"/>
  <c r="E388" i="39" a="1"/>
  <c r="E760" i="39" a="1"/>
  <c r="B135" i="39" a="1"/>
  <c r="B147" i="39" a="1"/>
  <c r="B975" i="39" a="1"/>
  <c r="B272" i="39" a="1"/>
  <c r="E323" i="39" a="1"/>
  <c r="E428" i="39" a="1"/>
  <c r="E873" i="39" a="1"/>
  <c r="B673" i="39" a="1"/>
  <c r="B536" i="39" a="1"/>
  <c r="E595" i="39" a="1"/>
  <c r="E776" i="39" a="1"/>
  <c r="E519" i="39" a="1"/>
  <c r="B714" i="39" a="1"/>
  <c r="B565" i="39" a="1"/>
  <c r="E223" i="39" a="1"/>
  <c r="B484" i="39" a="1"/>
  <c r="E672" i="39" a="1"/>
  <c r="E490" i="39" a="1"/>
  <c r="B302" i="39" a="1"/>
  <c r="B841" i="39" a="1"/>
  <c r="B810" i="39" a="1"/>
  <c r="E65" i="39" a="1"/>
  <c r="E138" i="39" a="1"/>
  <c r="E539" i="39" a="1"/>
  <c r="B366" i="39" a="1"/>
  <c r="B985" i="39" a="1"/>
  <c r="E405" i="39" a="1"/>
  <c r="B377" i="39" a="1"/>
  <c r="B994" i="39" a="1"/>
  <c r="B794" i="39" a="1"/>
  <c r="E155" i="39" a="1"/>
  <c r="B317" i="39" a="1"/>
  <c r="B855" i="39" a="1"/>
  <c r="B350" i="39" a="1"/>
  <c r="B219" i="39" a="1"/>
  <c r="B811" i="39" a="1"/>
  <c r="E695" i="39" a="1"/>
  <c r="B141" i="39" a="1"/>
  <c r="E309" i="39" a="1"/>
  <c r="B227" i="39" a="1"/>
  <c r="B740" i="39" a="1"/>
  <c r="E783" i="39" a="1"/>
  <c r="B54" i="39" a="1"/>
  <c r="B359" i="39" a="1"/>
  <c r="E112" i="39" a="1"/>
  <c r="E896" i="39" a="1"/>
  <c r="B573" i="39" a="1"/>
  <c r="E5" i="39" a="1"/>
  <c r="E443" i="39" a="1"/>
  <c r="B170" i="39" a="1"/>
  <c r="B288" i="39" a="1"/>
  <c r="E262" i="39" a="1"/>
  <c r="B797" i="39" a="1"/>
  <c r="B261" i="39" a="1"/>
  <c r="E696" i="39" a="1"/>
  <c r="B777" i="39" a="1"/>
  <c r="E940" i="39" a="1"/>
  <c r="E604" i="39" a="1"/>
  <c r="B61" i="39" a="1"/>
  <c r="B774" i="39" a="1"/>
  <c r="E769" i="39" a="1"/>
  <c r="B943" i="39" a="1"/>
  <c r="E114" i="39" a="1"/>
  <c r="B8" i="39" a="1"/>
  <c r="B672" i="39" a="1"/>
  <c r="E374" i="39" a="1"/>
  <c r="E779" i="39" a="1"/>
  <c r="B898" i="39" a="1"/>
  <c r="B152" i="39" a="1"/>
  <c r="B100" i="39" a="1"/>
  <c r="E386" i="39" a="1"/>
  <c r="B320" i="39" a="1"/>
  <c r="E502" i="39" a="1"/>
  <c r="B410" i="39" a="1"/>
  <c r="B829" i="39" a="1"/>
  <c r="E23" i="39" a="1"/>
  <c r="B500" i="39" a="1"/>
  <c r="E650" i="39" a="1"/>
  <c r="B477" i="39" a="1"/>
  <c r="B553" i="39" a="1"/>
  <c r="E991" i="39" a="1"/>
  <c r="B516" i="39" a="1"/>
  <c r="E431" i="39" a="1"/>
  <c r="E235" i="39" a="1"/>
  <c r="B438" i="39" a="1"/>
  <c r="E862" i="39" a="1"/>
  <c r="B716" i="39" a="1"/>
  <c r="E270" i="39" a="1"/>
  <c r="B268" i="39" a="1"/>
  <c r="B342" i="39" a="1"/>
  <c r="E245" i="39" a="1"/>
  <c r="E636" i="39" a="1"/>
  <c r="B343" i="39" a="1"/>
  <c r="E410" i="39" a="1"/>
  <c r="B93" i="39" a="1"/>
  <c r="E505" i="39" a="1"/>
  <c r="E895" i="39" a="1"/>
  <c r="B825" i="39" a="1"/>
  <c r="E329" i="39" a="1"/>
  <c r="E294" i="39" a="1"/>
  <c r="B9" i="39" a="1"/>
  <c r="B346" i="39" a="1"/>
  <c r="E290" i="39" a="1"/>
  <c r="B310" i="39" a="1"/>
  <c r="B400" i="39" a="1"/>
  <c r="E644" i="39" a="1"/>
  <c r="E532" i="39" a="1"/>
  <c r="B532" i="39" a="1"/>
  <c r="E412" i="39" a="1"/>
  <c r="E455" i="39" a="1"/>
  <c r="B895" i="39" a="1"/>
  <c r="E36" i="39" a="1"/>
  <c r="E47" i="39" a="1"/>
  <c r="B620" i="39" a="1"/>
  <c r="B874" i="39" a="1"/>
  <c r="E504" i="39" a="1"/>
  <c r="B738" i="39" a="1"/>
  <c r="E226" i="39" a="1"/>
  <c r="E758" i="39" a="1"/>
  <c r="B804" i="39" a="1"/>
  <c r="B432" i="39" a="1"/>
  <c r="E517" i="39" a="1"/>
  <c r="B453" i="39" a="1"/>
  <c r="E498" i="39" a="1"/>
  <c r="B122" i="39" a="1"/>
  <c r="B595" i="39" a="1"/>
  <c r="E74" i="39" a="1"/>
  <c r="E864" i="39" a="1"/>
  <c r="B778" i="39" a="1"/>
  <c r="B199" i="39" a="1"/>
  <c r="B23" i="39" a="1"/>
  <c r="E272" i="39" a="1"/>
  <c r="B798" i="39" a="1"/>
  <c r="E75" i="39" a="1"/>
  <c r="B449" i="39" a="1"/>
  <c r="E737" i="39" a="1"/>
  <c r="E623" i="39" a="1"/>
  <c r="B485" i="39" a="1"/>
  <c r="E952" i="39" a="1"/>
  <c r="B154" i="39" a="1"/>
  <c r="E147" i="39" a="1"/>
  <c r="E397" i="39" a="1"/>
  <c r="B433" i="39" a="1"/>
  <c r="E408" i="39" a="1"/>
  <c r="B158" i="39" a="1"/>
  <c r="B633" i="39" a="1"/>
  <c r="E586" i="39" a="1"/>
  <c r="B806" i="39" a="1"/>
  <c r="E55" i="39" a="1"/>
  <c r="B198" i="39" a="1"/>
  <c r="B161" i="39" a="1"/>
  <c r="E839" i="39" a="1"/>
  <c r="E190" i="39" a="1"/>
  <c r="B429" i="39" a="1"/>
  <c r="E33" i="39" a="1"/>
  <c r="B600" i="39" a="1"/>
  <c r="E722" i="39" a="1"/>
  <c r="E680" i="39" a="1"/>
  <c r="B852" i="39" a="1"/>
  <c r="E744" i="39" a="1"/>
  <c r="B646" i="39" a="1"/>
  <c r="E66" i="39" a="1"/>
  <c r="E662" i="39" a="1"/>
  <c r="B654" i="39" a="1"/>
  <c r="B607" i="39" a="1"/>
  <c r="B273" i="39" a="1"/>
  <c r="B769" i="39" a="1"/>
  <c r="B900" i="39" a="1"/>
  <c r="B358" i="39" a="1"/>
  <c r="E581" i="39" a="1"/>
  <c r="B319" i="39" a="1"/>
  <c r="B275" i="39" a="1"/>
  <c r="E538" i="39" a="1"/>
  <c r="E936" i="39" a="1"/>
  <c r="B575" i="39" a="1"/>
  <c r="B489" i="39" a="1"/>
  <c r="B969" i="39" a="1"/>
  <c r="E641" i="39" a="1"/>
  <c r="B574" i="39" a="1"/>
  <c r="E874" i="39" a="1"/>
  <c r="B5" i="39" a="1"/>
  <c r="B324" i="39" a="1"/>
  <c r="E391" i="39" a="1"/>
  <c r="B32" i="39" a="1"/>
  <c r="E367" i="39" a="1"/>
  <c r="B243" i="39" a="1"/>
  <c r="E439" i="39" a="1"/>
  <c r="E345" i="39" a="1"/>
  <c r="B300" i="39" a="1"/>
  <c r="B998" i="39" a="1"/>
  <c r="E360" i="39" a="1"/>
  <c r="B4" i="39" a="1"/>
  <c r="B808" i="39" a="1"/>
  <c r="B472" i="39" a="1"/>
  <c r="B826" i="39" a="1"/>
  <c r="B336" i="39" a="1"/>
  <c r="B230" i="39" a="1"/>
  <c r="B783" i="39" a="1"/>
  <c r="B476" i="39" a="1"/>
  <c r="E187" i="39" a="1"/>
  <c r="E785" i="39" a="1"/>
  <c r="B685" i="39" a="1"/>
  <c r="B893" i="39" a="1"/>
  <c r="E378" i="39" a="1"/>
  <c r="B187" i="39" a="1"/>
  <c r="B909" i="39" a="1"/>
  <c r="E994" i="39" a="1"/>
  <c r="E544" i="39" a="1"/>
  <c r="B628" i="39" a="1"/>
  <c r="E9" i="39" a="1"/>
  <c r="E887" i="39" a="1"/>
  <c r="B572" i="39" a="1"/>
  <c r="E157" i="39" a="1"/>
  <c r="E638" i="39" a="1"/>
  <c r="B512" i="39" a="1"/>
  <c r="B263" i="39" a="1"/>
  <c r="E396" i="39" a="1"/>
  <c r="B505" i="39" a="1"/>
  <c r="E901" i="39" a="1"/>
  <c r="E572" i="39" a="1"/>
  <c r="B860" i="39" a="1"/>
  <c r="B917" i="39" a="1"/>
  <c r="E88" i="39" a="1"/>
  <c r="B399" i="39" a="1"/>
  <c r="E16" i="39" a="1"/>
  <c r="B26" i="39" a="1"/>
  <c r="E392" i="39" a="1"/>
  <c r="E567" i="39" a="1"/>
  <c r="E555" i="39" a="1"/>
  <c r="B859" i="39" a="1"/>
  <c r="B215" i="39" a="1"/>
  <c r="E923" i="39" a="1"/>
  <c r="E10" i="39" a="1"/>
  <c r="E853" i="39" a="1"/>
  <c r="B164" i="39" a="1"/>
  <c r="E913" i="39" a="1"/>
  <c r="B422" i="39" a="1"/>
  <c r="B816" i="39" a="1"/>
  <c r="B298" i="39" a="1"/>
  <c r="E46" i="39" a="1"/>
  <c r="E441" i="39" a="1"/>
  <c r="B13" i="39" a="1"/>
  <c r="B722" i="39" a="1"/>
  <c r="E964" i="39" a="1"/>
  <c r="B645" i="39" a="1"/>
  <c r="B779" i="39" a="1"/>
  <c r="E37" i="39" a="1"/>
  <c r="E945" i="39" a="1"/>
  <c r="B589" i="39" a="1"/>
  <c r="E143" i="39" a="1"/>
  <c r="E49" i="39" a="1"/>
  <c r="B624" i="39" a="1"/>
  <c r="E284" i="39" a="1"/>
  <c r="E982" i="39" a="1"/>
  <c r="B195" i="39" a="1"/>
  <c r="B912" i="39" a="1"/>
  <c r="E708" i="39" a="1"/>
  <c r="B827" i="39" a="1"/>
  <c r="E280" i="39" a="1"/>
  <c r="E417" i="39" a="1"/>
  <c r="B934" i="39" a="1"/>
  <c r="B97" i="39" a="1"/>
  <c r="E481" i="39" a="1"/>
  <c r="B963" i="39" a="1"/>
  <c r="E818" i="39" a="1"/>
  <c r="B233" i="39" a="1"/>
  <c r="E691" i="39" a="1"/>
  <c r="E90" i="39" a="1"/>
  <c r="B260" i="39" a="1"/>
  <c r="B537" i="39" a="1"/>
  <c r="B788" i="39" a="1"/>
  <c r="B27" i="39" a="1"/>
  <c r="E513" i="39" a="1"/>
  <c r="B671" i="39" a="1"/>
  <c r="E425" i="39" a="1"/>
  <c r="B918" i="39" a="1"/>
  <c r="B172" i="39" a="1"/>
  <c r="E884" i="39" a="1"/>
  <c r="B396" i="39" a="1"/>
  <c r="B466" i="39" a="1"/>
  <c r="B892" i="39" a="1"/>
  <c r="E107" i="39" a="1"/>
  <c r="E148" i="39" a="1"/>
  <c r="B96" i="39" a="1"/>
  <c r="B95" i="39" a="1"/>
  <c r="B522" i="39" a="1"/>
  <c r="E255" i="39" a="1"/>
  <c r="E1000" i="39" a="1"/>
  <c r="B728" i="39" a="1"/>
  <c r="E673" i="39" a="1"/>
  <c r="B566" i="39" a="1"/>
  <c r="B902" i="39" a="1"/>
  <c r="B676" i="39" a="1"/>
  <c r="E917" i="39" a="1"/>
  <c r="B868" i="39" a="1"/>
  <c r="E918" i="39" a="1"/>
  <c r="B915" i="39" a="1"/>
  <c r="E32" i="39" a="1"/>
  <c r="E632" i="39" a="1"/>
  <c r="B615" i="39" a="1"/>
  <c r="B65" i="39" a="1"/>
  <c r="B631" i="39" a="1"/>
  <c r="E11" i="39" a="1"/>
  <c r="B292" i="39" a="1"/>
  <c r="B760" i="39" a="1"/>
  <c r="B556" i="39" a="1"/>
  <c r="B539" i="39" a="1"/>
  <c r="E677" i="39" a="1"/>
  <c r="B457" i="39" a="1"/>
  <c r="B981" i="39" a="1"/>
  <c r="B369" i="39" a="1"/>
  <c r="E832" i="39" a="1"/>
  <c r="B211" i="39" a="1"/>
  <c r="E446" i="39" a="1"/>
  <c r="E702" i="39" a="1"/>
  <c r="B356" i="39" a="1"/>
  <c r="E422" i="39" a="1"/>
  <c r="B2" i="39" a="1"/>
  <c r="E220" i="39" a="1"/>
  <c r="B173" i="39" a="1"/>
  <c r="B514" i="39" a="1"/>
  <c r="E501" i="39" a="1"/>
  <c r="E797" i="39" a="1"/>
  <c r="E205" i="39" a="1"/>
  <c r="E365" i="39" a="1"/>
  <c r="E406" i="39" a="1"/>
  <c r="B247" i="39" a="1"/>
  <c r="B762" i="39" a="1"/>
  <c r="E827" i="39" a="1"/>
  <c r="B468" i="39" a="1"/>
  <c r="B751" i="39" a="1"/>
  <c r="E693" i="39" a="1"/>
  <c r="B188" i="39" a="1"/>
  <c r="B972" i="39" a="1"/>
  <c r="E34" i="39" a="1"/>
  <c r="E735" i="39" a="1"/>
  <c r="B40" i="39" a="1"/>
  <c r="E576" i="39" a="1"/>
  <c r="E48" i="39" a="1"/>
  <c r="B265" i="39" a="1"/>
  <c r="E264" i="39" a="1"/>
  <c r="E495" i="39" a="1"/>
  <c r="B800" i="39" a="1"/>
  <c r="E934" i="39" a="1"/>
  <c r="E990" i="39" a="1"/>
  <c r="B416" i="39" a="1"/>
  <c r="E26" i="39" a="1"/>
  <c r="E508" i="39" a="1"/>
  <c r="B720" i="39" a="1"/>
  <c r="E18" i="39" a="1"/>
  <c r="B221" i="39" a="1"/>
  <c r="E509" i="39" a="1"/>
  <c r="E271" i="39" a="1"/>
  <c r="B102" i="39" a="1"/>
  <c r="B367" i="39" a="1"/>
  <c r="B618" i="39" a="1"/>
  <c r="B99" i="39" a="1"/>
  <c r="B495" i="39" a="1"/>
  <c r="E963" i="39" a="1"/>
  <c r="B964" i="39" a="1"/>
  <c r="E63" i="39" a="1"/>
  <c r="B745" i="39" a="1"/>
  <c r="E121" i="39" a="1"/>
  <c r="B437" i="39" a="1"/>
  <c r="B383" i="39" a="1"/>
  <c r="E275" i="39" a="1"/>
  <c r="B504" i="39" a="1"/>
  <c r="B519" i="39" a="1"/>
  <c r="B732" i="39" a="1"/>
  <c r="E838" i="39" a="1"/>
  <c r="B914" i="39" a="1"/>
  <c r="B748" i="39" a="1"/>
  <c r="E351" i="39" a="1"/>
  <c r="B642" i="39" a="1"/>
  <c r="B966" i="39" a="1"/>
  <c r="B458" i="39" a="1"/>
  <c r="E977" i="39" a="1"/>
  <c r="E665" i="39" a="1"/>
  <c r="E870" i="39" a="1"/>
  <c r="B352" i="39" a="1"/>
  <c r="B389" i="39" a="1"/>
  <c r="E637" i="39" a="1"/>
  <c r="B82" i="39" a="1"/>
  <c r="B712" i="39" a="1"/>
  <c r="E59" i="39" a="1"/>
  <c r="B246" i="39" a="1"/>
  <c r="B835" i="39" a="1"/>
  <c r="E790" i="39" a="1"/>
  <c r="E146" i="39" a="1"/>
  <c r="B851" i="39" a="1"/>
  <c r="E110" i="39" a="1"/>
  <c r="E734" i="39" a="1"/>
  <c r="B223" i="39" a="1"/>
  <c r="E706" i="39" a="1"/>
  <c r="E985" i="39" a="1"/>
  <c r="B929" i="39" a="1"/>
  <c r="E967" i="39" a="1"/>
  <c r="E480" i="39" a="1"/>
  <c r="B379" i="39" a="1"/>
  <c r="E557" i="39" a="1"/>
  <c r="B36" i="39" a="1"/>
  <c r="B910" i="39" a="1"/>
  <c r="E453" i="39" a="1"/>
  <c r="B977" i="39" a="1"/>
  <c r="E546" i="39" a="1"/>
  <c r="E472" i="39" a="1"/>
  <c r="B19" i="39" a="1"/>
  <c r="B191" i="39" a="1"/>
  <c r="E54" i="39" a="1"/>
  <c r="B813" i="39" a="1"/>
  <c r="E195" i="39" a="1"/>
  <c r="B876" i="39" a="1"/>
  <c r="E876" i="39" a="1"/>
  <c r="B721" i="39" a="1"/>
  <c r="B735" i="39" a="1"/>
  <c r="E627" i="39" a="1"/>
  <c r="B927" i="39" a="1"/>
  <c r="B469" i="39" a="1"/>
  <c r="E236" i="39" a="1"/>
  <c r="E163" i="39" a="1"/>
  <c r="B148" i="39" a="1"/>
  <c r="B936" i="39" a="1"/>
  <c r="B858" i="39" a="1"/>
  <c r="B775" i="39" a="1"/>
  <c r="E221" i="39" a="1"/>
  <c r="E937" i="39" a="1"/>
  <c r="B535" i="39" a="1"/>
  <c r="E352" i="39" a="1"/>
  <c r="B257" i="39" a="1"/>
  <c r="B830" i="39" a="1"/>
  <c r="B357" i="39" a="1"/>
  <c r="E787" i="39" a="1"/>
  <c r="B824" i="39" a="1"/>
  <c r="B238" i="39" a="1"/>
  <c r="B580" i="39" a="1"/>
  <c r="E306" i="39" a="1"/>
  <c r="B284" i="39" a="1"/>
  <c r="B730" i="39" a="1"/>
  <c r="B225" i="39" a="1"/>
  <c r="E922" i="39" a="1"/>
  <c r="E13" i="39" a="1"/>
  <c r="E302" i="39" a="1"/>
  <c r="E752" i="39" a="1"/>
  <c r="B931" i="39" a="1"/>
  <c r="E62" i="39" a="1"/>
  <c r="E957" i="39" a="1"/>
  <c r="B98" i="39" a="1"/>
  <c r="B368" i="39" a="1"/>
  <c r="E119" i="39" a="1"/>
  <c r="B517" i="39" a="1"/>
  <c r="B604" i="39" a="1"/>
  <c r="E882" i="39" a="1"/>
  <c r="E218" i="39" a="1"/>
  <c r="B250" i="39" a="1"/>
  <c r="E278" i="39" a="1"/>
  <c r="E126" i="39" a="1"/>
  <c r="B869" i="39" a="1"/>
  <c r="E476" i="39" a="1"/>
  <c r="B14" i="39" a="1"/>
  <c r="B462" i="39" a="1"/>
  <c r="E726" i="39" a="1"/>
  <c r="E27" i="39" a="1"/>
  <c r="B699" i="39" a="1"/>
  <c r="E531" i="39" a="1"/>
  <c r="B86" i="39" a="1"/>
  <c r="B237" i="39" a="1"/>
  <c r="E820" i="39" a="1"/>
  <c r="B431" i="39" a="1"/>
  <c r="E525" i="39" a="1"/>
  <c r="E151" i="39" a="1"/>
  <c r="B21" i="39" a="1"/>
  <c r="B694" i="39" a="1"/>
  <c r="E168" i="39" a="1"/>
  <c r="B987" i="39" a="1"/>
  <c r="E951" i="39" a="1"/>
  <c r="B111" i="39" a="1"/>
  <c r="E686" i="39" a="1"/>
  <c r="B423" i="39" a="1"/>
  <c r="B473" i="39" a="1"/>
  <c r="E327" i="39" a="1"/>
  <c r="B770" i="39" a="1"/>
  <c r="B454" i="39" a="1"/>
  <c r="E645" i="39" a="1"/>
  <c r="E590" i="39" a="1"/>
  <c r="B126" i="39" a="1"/>
  <c r="B131" i="39" a="1"/>
  <c r="B530" i="39" a="1"/>
  <c r="E208" i="39" a="1"/>
  <c r="E261" i="39" a="1"/>
  <c r="B196" i="39" a="1"/>
  <c r="B325" i="39" a="1"/>
  <c r="E615" i="39" a="1"/>
  <c r="B418" i="39" a="1"/>
  <c r="B511" i="39" a="1"/>
  <c r="E292" i="39" a="1"/>
  <c r="E344" i="39" a="1"/>
  <c r="B796" i="39" a="1"/>
  <c r="B471" i="39" a="1"/>
  <c r="B903" i="39" a="1"/>
  <c r="E150" i="39" a="1"/>
  <c r="B222" i="39" a="1"/>
  <c r="B938" i="39" a="1"/>
  <c r="B980" i="39" a="1"/>
  <c r="E133" i="39" a="1"/>
  <c r="E58" i="39" a="1"/>
  <c r="B587" i="39" a="1"/>
  <c r="B947" i="39" a="1"/>
  <c r="B689" i="39" a="1"/>
  <c r="E740" i="39" a="1"/>
  <c r="E878" i="39" a="1"/>
  <c r="E594" i="39" a="1"/>
  <c r="E164" i="39" a="1"/>
  <c r="B650" i="39" a="1"/>
  <c r="E383" i="39" a="1"/>
  <c r="E705" i="39" a="1"/>
  <c r="B503" i="39" a="1"/>
  <c r="B444" i="39" a="1"/>
  <c r="E721" i="39" a="1"/>
  <c r="B382" i="39" a="1"/>
  <c r="B592" i="39" a="1"/>
  <c r="E522" i="39" a="1"/>
  <c r="B76" i="39" a="1"/>
  <c r="B871" i="39" a="1"/>
  <c r="E173" i="39" a="1"/>
  <c r="E109" i="39" a="1"/>
  <c r="B677" i="39" a="1"/>
  <c r="E171" i="39" a="1"/>
  <c r="B63" i="39" a="1"/>
  <c r="E38" i="39" a="1"/>
  <c r="E507" i="39" a="1"/>
  <c r="E445" i="39" a="1"/>
  <c r="B523" i="39" a="1"/>
  <c r="E305" i="39" a="1"/>
  <c r="B143" i="39" a="1"/>
  <c r="B782" i="39" a="1"/>
  <c r="E786" i="39" a="1"/>
  <c r="B314" i="39" a="1"/>
  <c r="E836" i="39" a="1"/>
  <c r="E523" i="39" a="1"/>
  <c r="B137" i="39" a="1"/>
  <c r="B622" i="39" a="1"/>
  <c r="E162" i="39" a="1"/>
  <c r="B989" i="39" a="1"/>
  <c r="E888" i="39" a="1"/>
  <c r="B401" i="39" a="1"/>
  <c r="E607" i="39" a="1"/>
  <c r="B74" i="39" a="1"/>
  <c r="B772" i="39" a="1"/>
  <c r="E983" i="39" a="1"/>
  <c r="B731" i="39" a="1"/>
  <c r="B974" i="39" a="1"/>
  <c r="E140" i="39" a="1"/>
  <c r="E633" i="39" a="1"/>
  <c r="B79" i="39" a="1"/>
  <c r="B965" i="39" a="1"/>
  <c r="B614" i="39" a="1"/>
  <c r="E765" i="39" a="1"/>
  <c r="E841" i="39" a="1"/>
  <c r="B190" i="39" a="1"/>
  <c r="B474" i="39" a="1"/>
  <c r="E340" i="39" a="1"/>
  <c r="B29" i="39" a="1"/>
  <c r="E318" i="39" a="1"/>
  <c r="E698" i="39" a="1"/>
  <c r="E661" i="39" a="1"/>
  <c r="B807" i="39" a="1"/>
  <c r="B197" i="39" a="1"/>
  <c r="E512" i="39" a="1"/>
  <c r="E906" i="39" a="1"/>
  <c r="B77" i="39" a="1"/>
  <c r="B948" i="39" a="1"/>
  <c r="B817" i="39" a="1"/>
  <c r="E307" i="39" a="1"/>
  <c r="E859" i="39" a="1"/>
  <c r="B709" i="39" a="1"/>
  <c r="B109" i="39" a="1"/>
  <c r="B578" i="39" a="1"/>
  <c r="E527" i="39" a="1"/>
  <c r="B66" i="39" a="1"/>
  <c r="E421" i="39" a="1"/>
  <c r="B563" i="39" a="1"/>
  <c r="E334" i="39" a="1"/>
  <c r="B407" i="39" a="1"/>
  <c r="B475" i="39" a="1"/>
  <c r="E626" i="39" a="1"/>
  <c r="B439" i="39" a="1"/>
  <c r="E124" i="39" a="1"/>
  <c r="E927" i="39" a="1"/>
  <c r="E268" i="39" a="1"/>
  <c r="E935" i="39" a="1"/>
  <c r="E811" i="39" a="1"/>
  <c r="B59" i="39" a="1"/>
  <c r="B254" i="39" a="1"/>
  <c r="E356" i="39" a="1"/>
  <c r="E840" i="39" a="1"/>
  <c r="B837" i="39" a="1"/>
  <c r="E53" i="39" a="1"/>
  <c r="B47" i="39" a="1"/>
  <c r="B127" i="39" a="1"/>
  <c r="J14" i="38"/>
  <c r="L14" i="38" s="1" a="1"/>
  <c r="B755" i="39" a="1"/>
  <c r="B362" i="39" a="1"/>
  <c r="B114" i="39" a="1"/>
  <c r="E537" i="39" a="1"/>
  <c r="E202" i="39" a="1"/>
  <c r="E267" i="39" a="1"/>
  <c r="B675" i="39" a="1"/>
  <c r="E690" i="39" a="1"/>
  <c r="E125" i="39" a="1"/>
  <c r="B33" i="39" a="1"/>
  <c r="B949" i="39" a="1"/>
  <c r="E526" i="39" a="1"/>
  <c r="B241" i="39" a="1"/>
  <c r="B133" i="39" a="1"/>
  <c r="E510" i="39" a="1"/>
  <c r="B6" i="39" a="1"/>
  <c r="B602" i="39" a="1"/>
  <c r="E496" i="39" a="1"/>
  <c r="E652" i="39" a="1"/>
  <c r="B613" i="39" a="1"/>
  <c r="E279" i="39" a="1"/>
  <c r="B507" i="39" a="1"/>
  <c r="E484" i="39" a="1"/>
  <c r="E3" i="39" a="1"/>
  <c r="E31" i="39" a="1"/>
  <c r="B742" i="39" a="1"/>
  <c r="E166" i="39" a="1"/>
  <c r="B372" i="39" a="1"/>
  <c r="B958" i="39" a="1"/>
  <c r="E715" i="39" a="1"/>
  <c r="B697" i="39" a="1"/>
  <c r="E516" i="39" a="1"/>
  <c r="E117" i="39" a="1"/>
  <c r="B41" i="39" a="1"/>
  <c r="E585" i="39" a="1"/>
  <c r="E545" i="39" a="1"/>
  <c r="B953" i="39" a="1"/>
  <c r="E745" i="39" a="1"/>
  <c r="E375" i="39" a="1"/>
  <c r="E444" i="39" a="1"/>
  <c r="E293" i="39" a="1"/>
  <c r="E252" i="39" a="1"/>
  <c r="E93" i="39" a="1"/>
  <c r="B443" i="39" a="1"/>
  <c r="B494" i="39" a="1"/>
  <c r="E574" i="39" a="1"/>
  <c r="E335" i="39" a="1"/>
  <c r="B456" i="39" a="1"/>
  <c r="B780" i="39" a="1"/>
  <c r="E206" i="39" a="1"/>
  <c r="E560" i="39" a="1"/>
  <c r="E858" i="39" a="1"/>
  <c r="B105" i="39" a="1"/>
  <c r="E877" i="39" a="1"/>
  <c r="B332" i="39" a="1"/>
  <c r="B251" i="39" a="1"/>
  <c r="E471" i="39" a="1"/>
  <c r="B834" i="39" a="1"/>
  <c r="E15" i="39" a="1"/>
  <c r="B848" i="39" a="1"/>
  <c r="E524" i="39" a="1"/>
  <c r="B866" i="39" a="1"/>
  <c r="B664" i="39" a="1"/>
  <c r="B313" i="39" a="1"/>
  <c r="B551" i="39" a="1"/>
  <c r="B155" i="39" a="1"/>
  <c r="B939" i="39" a="1"/>
  <c r="E707" i="39" a="1"/>
  <c r="E810" i="39" a="1"/>
  <c r="E81" i="39" a="1"/>
  <c r="B315" i="39" a="1"/>
  <c r="E845" i="39" a="1"/>
  <c r="B139" i="39" a="1"/>
  <c r="E979" i="39" a="1"/>
  <c r="E773" i="39" a="1"/>
  <c r="B703" i="39" a="1"/>
  <c r="B276" i="39" a="1"/>
  <c r="E440" i="39" a="1"/>
  <c r="B734" i="39" a="1"/>
  <c r="E238" i="39" a="1"/>
  <c r="E556" i="39" a="1"/>
  <c r="E780" i="39" a="1"/>
  <c r="B706" i="39" a="1"/>
  <c r="E29" i="39" a="1"/>
  <c r="E281" i="39" a="1"/>
  <c r="B793" i="39" a="1"/>
  <c r="B753" i="39" a="1"/>
  <c r="E893" i="39" a="1"/>
  <c r="B765" i="39" a="1"/>
  <c r="B567" i="39" a="1"/>
  <c r="E547" i="39" a="1"/>
  <c r="B71" i="39" a="1"/>
  <c r="B603" i="39" a="1"/>
  <c r="E424" i="39" a="1"/>
  <c r="E610" i="39" a="1"/>
  <c r="B203" i="39" a="1"/>
  <c r="E185" i="39" a="1"/>
  <c r="B741" i="39" a="1"/>
  <c r="E485" i="39" a="1"/>
  <c r="E548" i="39" a="1"/>
  <c r="E482" i="39" a="1"/>
  <c r="B771" i="39" a="1"/>
  <c r="E411" i="39" a="1"/>
  <c r="B558" i="39" a="1"/>
  <c r="E44" i="39" a="1"/>
  <c r="E847" i="39" a="1"/>
  <c r="B707" i="39" a="1"/>
  <c r="E863" i="39" a="1"/>
  <c r="E488" i="39" a="1"/>
  <c r="B258" i="39" a="1"/>
  <c r="E342" i="39" a="1"/>
  <c r="E389" i="39" a="1"/>
  <c r="B863" i="39" a="1"/>
  <c r="B46" i="39" a="1"/>
  <c r="E569" i="39" a="1"/>
  <c r="E283" i="39" a="1"/>
  <c r="E611" i="39" a="1"/>
  <c r="E620" i="39" a="1"/>
  <c r="B140" i="39" a="1"/>
  <c r="B554" i="39" a="1"/>
  <c r="E152" i="39" a="1"/>
  <c r="E992" i="39" a="1"/>
  <c r="E614" i="39" a="1"/>
  <c r="B340" i="39" a="1"/>
  <c r="B819" i="39" a="1"/>
  <c r="E178" i="39" a="1"/>
  <c r="E176" i="39" a="1"/>
  <c r="E613" i="39" a="1"/>
  <c r="B527" i="39" a="1"/>
  <c r="B67" i="39" a="1"/>
  <c r="E213" i="39" a="1"/>
  <c r="B941" i="39" a="1"/>
  <c r="B42" i="39" a="1"/>
  <c r="E8" i="39" a="1"/>
  <c r="E969" i="39" a="1"/>
  <c r="B616" i="39" a="1"/>
  <c r="B790" i="39" a="1"/>
  <c r="E891" i="39" a="1"/>
  <c r="E748" i="39" a="1"/>
  <c r="B440" i="39" a="1"/>
  <c r="B661" i="39" a="1"/>
  <c r="B957" i="39" a="1"/>
  <c r="E358" i="39" a="1"/>
  <c r="E325" i="39" a="1"/>
  <c r="B450" i="39" a="1"/>
  <c r="B704" i="39" a="1"/>
  <c r="E131" i="39" a="1"/>
  <c r="E554" i="39" a="1"/>
  <c r="E461" i="39" a="1"/>
  <c r="E181" i="39" a="1"/>
  <c r="E310" i="39" a="1"/>
  <c r="B984" i="39" a="1"/>
  <c r="E191" i="39" a="1"/>
  <c r="B521" i="39" a="1"/>
  <c r="B880" i="39" a="1"/>
  <c r="E850" i="39" a="1"/>
  <c r="E751" i="39" a="1"/>
  <c r="B499" i="39" a="1"/>
  <c r="E376" i="39" a="1"/>
  <c r="B305" i="39" a="1"/>
  <c r="E664" i="39" a="1"/>
  <c r="E269" i="39" a="1"/>
  <c r="B885" i="39" a="1"/>
  <c r="E738" i="39" a="1"/>
  <c r="B323" i="39" a="1"/>
  <c r="E914" i="39" a="1"/>
  <c r="E373" i="39" a="1"/>
  <c r="B339" i="39" a="1"/>
  <c r="E314" i="39" a="1"/>
  <c r="E588" i="39" a="1"/>
  <c r="B391" i="39" a="1"/>
  <c r="E602" i="39" a="1"/>
  <c r="E597" i="39" a="1"/>
  <c r="B461" i="39" a="1"/>
  <c r="B875" i="39" a="1"/>
  <c r="E916" i="39" a="1"/>
  <c r="B107" i="39" a="1"/>
  <c r="B160" i="39" a="1"/>
  <c r="E729" i="39" a="1"/>
  <c r="B220" i="39" a="1"/>
  <c r="B205" i="39" a="1"/>
  <c r="E939" i="39" a="1"/>
  <c r="B552" i="39" a="1"/>
  <c r="E241" i="39" a="1"/>
  <c r="E403" i="39" a="1"/>
  <c r="B328" i="39" a="1"/>
  <c r="M13" i="38" a="1"/>
  <c r="E800" i="39" a="1"/>
  <c r="B183" i="39" a="1"/>
  <c r="E348" i="39" a="1"/>
  <c r="E129" i="39" a="1"/>
  <c r="B759" i="39" a="1"/>
  <c r="B56" i="39" a="1"/>
  <c r="E989" i="39" a="1"/>
  <c r="B584" i="39" a="1"/>
  <c r="E61" i="39" a="1"/>
  <c r="E647" i="39" a="1"/>
  <c r="B385" i="39" a="1"/>
  <c r="B757" i="39" a="1"/>
  <c r="B478" i="39" a="1"/>
  <c r="B39" i="39" a="1"/>
  <c r="E200" i="39" a="1"/>
  <c r="B341" i="39" a="1"/>
  <c r="B266" i="39" a="1"/>
  <c r="L12" i="38" a="1"/>
  <c r="E426" i="39" a="1"/>
  <c r="B168" i="39" a="1"/>
  <c r="E390" i="39" a="1"/>
  <c r="B69" i="39" a="1"/>
  <c r="E167" i="39" a="1"/>
  <c r="E634" i="39" a="1"/>
  <c r="E929" i="39" a="1"/>
  <c r="E336" i="39" a="1"/>
  <c r="B509" i="39" a="1"/>
  <c r="B821" i="39" a="1"/>
  <c r="E649" i="39" a="1"/>
  <c r="B815" i="39" a="1"/>
  <c r="B935" i="39" a="1"/>
  <c r="E134" i="39" a="1"/>
  <c r="B214" i="39" a="1"/>
  <c r="B681" i="39" a="1"/>
  <c r="E420" i="39" a="1"/>
  <c r="E958" i="39" a="1"/>
  <c r="E933" i="39" a="1"/>
  <c r="B496" i="39" a="1"/>
  <c r="E303" i="39" a="1"/>
  <c r="E503" i="39" a="1"/>
  <c r="B84" i="39" a="1"/>
  <c r="E949" i="39" a="1"/>
  <c r="B543" i="39" a="1"/>
  <c r="E867" i="39" a="1"/>
  <c r="E712" i="39" a="1"/>
  <c r="B610" i="39" a="1"/>
  <c r="E946" i="39" a="1"/>
  <c r="E654" i="39" a="1"/>
  <c r="E993" i="39" a="1"/>
  <c r="B907" i="39" a="1"/>
  <c r="E232" i="39" a="1"/>
  <c r="E609" i="39" a="1"/>
  <c r="B736" i="39" a="1"/>
  <c r="E247" i="39" a="1"/>
  <c r="E950" i="39" a="1"/>
  <c r="B388" i="39" a="1"/>
  <c r="B609" i="39" a="1"/>
  <c r="E209" i="39" a="1"/>
  <c r="B626" i="39" a="1"/>
  <c r="B632" i="39" a="1"/>
  <c r="E170" i="39" a="1"/>
  <c r="B150" i="39" a="1"/>
  <c r="B209" i="39" a="1"/>
  <c r="E276" i="39" a="1"/>
  <c r="B867" i="39" a="1"/>
  <c r="E533" i="39" a="1"/>
  <c r="E622" i="39" a="1"/>
  <c r="B361" i="39" a="1"/>
  <c r="E851" i="39" a="1"/>
  <c r="E655" i="39" a="1"/>
  <c r="B75" i="39" a="1"/>
  <c r="E549" i="39" a="1"/>
  <c r="E806" i="39" a="1"/>
  <c r="B750" i="39" a="1"/>
  <c r="B311" i="39" a="1"/>
  <c r="E24" i="39" a="1"/>
  <c r="B465" i="39" a="1"/>
  <c r="E802" i="39" a="1"/>
  <c r="E354" i="39" a="1"/>
  <c r="B330" i="39" a="1"/>
  <c r="B113" i="39" a="1"/>
  <c r="B542" i="39" a="1"/>
  <c r="B434" i="39" a="1"/>
  <c r="B142" i="39" a="1"/>
  <c r="B992" i="39" a="1"/>
  <c r="B789" i="39" a="1"/>
  <c r="E142" i="39" a="1"/>
  <c r="E120" i="39" a="1"/>
  <c r="B904" i="39" a="1"/>
  <c r="E892" i="39" a="1"/>
  <c r="B18" i="39" a="1"/>
  <c r="E118" i="39" a="1"/>
  <c r="E956" i="39" a="1"/>
  <c r="B497" i="39" a="1"/>
  <c r="E582" i="39" a="1"/>
  <c r="B218" i="39" a="1"/>
  <c r="B480" i="39" a="1"/>
  <c r="E651" i="39" a="1"/>
  <c r="B601" i="39" a="1"/>
  <c r="B809" i="39" a="1"/>
  <c r="E890" i="39" a="1"/>
  <c r="B49" i="39" a="1"/>
  <c r="B326" i="39" a="1"/>
  <c r="E45" i="39" a="1"/>
  <c r="B289" i="39" a="1"/>
  <c r="E246" i="39" a="1"/>
  <c r="B81" i="39" a="1"/>
  <c r="E938" i="39" a="1"/>
  <c r="E349" i="39" a="1"/>
  <c r="B72" i="39" a="1"/>
  <c r="E312" i="39" a="1"/>
  <c r="B933" i="39" a="1"/>
  <c r="E703" i="39" a="1"/>
  <c r="E381" i="39" a="1"/>
  <c r="B925" i="39" a="1"/>
  <c r="B360" i="39" a="1"/>
  <c r="E559" i="39" a="1"/>
  <c r="B166" i="39" a="1"/>
  <c r="B668" i="39" a="1"/>
  <c r="E94" i="39" a="1"/>
  <c r="E960" i="39" a="1"/>
  <c r="B906" i="39" a="1"/>
  <c r="E540" i="39" a="1"/>
  <c r="E795" i="39" a="1"/>
  <c r="B115" i="39" a="1"/>
  <c r="E12" i="39" a="1"/>
  <c r="E741" i="39" a="1"/>
  <c r="B627" i="39" a="1"/>
  <c r="B856" i="39" a="1"/>
  <c r="E258" i="39" a="1"/>
  <c r="B87" i="39" a="1"/>
  <c r="B669" i="39" a="1"/>
  <c r="E924" i="39" a="1"/>
  <c r="B803" i="39" a="1"/>
  <c r="E701" i="39" a="1"/>
  <c r="E782" i="39" a="1"/>
  <c r="B538" i="39" a="1"/>
  <c r="E177" i="39" a="1"/>
  <c r="E666" i="39" a="1"/>
  <c r="B968" i="39" a="1"/>
  <c r="E387" i="39" a="1"/>
  <c r="B44" i="39" a="1"/>
  <c r="B928" i="39" a="1"/>
  <c r="B121" i="39" a="1"/>
  <c r="E812" i="39" a="1"/>
  <c r="B412" i="39" a="1"/>
  <c r="E846" i="39" a="1"/>
  <c r="E974" i="39" a="1"/>
  <c r="B812" i="39" a="1"/>
  <c r="B822" i="39" a="1"/>
  <c r="B561" i="39" a="1"/>
  <c r="B216" i="39" a="1"/>
  <c r="B83" i="39" a="1"/>
  <c r="B944" i="39" a="1"/>
  <c r="B387" i="39" a="1"/>
  <c r="E363" i="39" a="1"/>
  <c r="E660" i="39" a="1"/>
  <c r="B795" i="39" a="1"/>
  <c r="E82" i="39" a="1"/>
  <c r="B662" i="39" a="1"/>
  <c r="E719" i="39" a="1"/>
  <c r="E104" i="39" a="1"/>
  <c r="B271" i="39" a="1"/>
  <c r="E980" i="39" a="1"/>
  <c r="B16" i="39" a="1"/>
  <c r="E282" i="39" a="1"/>
  <c r="E285" i="39" a="1"/>
  <c r="B758" i="39" a="1"/>
  <c r="B240" i="39" a="1"/>
  <c r="E842" i="39" a="1"/>
  <c r="B596" i="39" a="1"/>
  <c r="B442" i="39" a="1"/>
  <c r="E962" i="39" a="1"/>
  <c r="B768" i="39" a="1"/>
  <c r="E902" i="39" a="1"/>
  <c r="B996" i="39" a="1"/>
  <c r="E570" i="39" a="1"/>
  <c r="E875" i="39" a="1"/>
  <c r="B544" i="39" a="1"/>
  <c r="E910" i="39" a="1"/>
  <c r="B176" i="39" a="1"/>
  <c r="E42" i="39" a="1"/>
  <c r="E709" i="39" a="1"/>
  <c r="B818" i="39" a="1"/>
  <c r="E536" i="39" a="1"/>
  <c r="E931" i="39" a="1"/>
  <c r="B103" i="39" a="1"/>
  <c r="B680" i="39" a="1"/>
  <c r="E756" i="39" a="1"/>
  <c r="E681" i="39" a="1"/>
  <c r="B767" i="39" a="1"/>
  <c r="E43" i="39" a="1"/>
  <c r="E688" i="39" a="1"/>
  <c r="B932" i="39" a="1"/>
  <c r="E14" i="39" a="1"/>
  <c r="E326" i="39" a="1"/>
  <c r="B283" i="39" a="1"/>
  <c r="B621" i="39" a="1"/>
  <c r="E767" i="39" a="1"/>
  <c r="B576" i="39" a="1"/>
  <c r="B711" i="39" a="1"/>
  <c r="E193" i="39" a="1"/>
  <c r="B951" i="39" a="1"/>
  <c r="E684" i="39" a="1"/>
  <c r="E747" i="39" a="1"/>
  <c r="B492" i="39" a="1"/>
  <c r="E905" i="39" a="1"/>
  <c r="E732" i="39" a="1"/>
  <c r="B411" i="39" a="1"/>
  <c r="E219" i="39" a="1"/>
  <c r="B94" i="39" a="1"/>
  <c r="B327" i="39" a="1"/>
  <c r="B487" i="39" a="1"/>
  <c r="E778" i="39" a="1"/>
  <c r="B746" i="39" a="1"/>
  <c r="E788" i="39" a="1"/>
  <c r="E943" i="39" a="1"/>
  <c r="E188" i="39" a="1"/>
  <c r="B612" i="39" a="1"/>
  <c r="B865" i="39" a="1"/>
  <c r="B128" i="39" a="1"/>
  <c r="B705" i="39" a="1"/>
  <c r="E127" i="39" a="1"/>
  <c r="B840" i="39" a="1"/>
  <c r="E908" i="39" a="1"/>
  <c r="E433" i="39" a="1"/>
  <c r="B488" i="39" a="1"/>
  <c r="E678" i="39" a="1"/>
  <c r="B726" i="39" a="1"/>
  <c r="E189" i="39" a="1"/>
  <c r="E742" i="39" a="1"/>
  <c r="B754" i="39" a="1"/>
  <c r="E277" i="39" a="1"/>
  <c r="B242" i="39" a="1"/>
  <c r="E7" i="39" a="1"/>
  <c r="E459" i="39" a="1"/>
  <c r="B534" i="39" a="1"/>
  <c r="E534" i="39" a="1"/>
  <c r="E720" i="39" a="1"/>
  <c r="B528" i="39" a="1"/>
  <c r="B920" i="39" a="1"/>
  <c r="E942" i="39" a="1"/>
  <c r="B921" i="39" a="1"/>
  <c r="E179" i="39" a="1"/>
  <c r="B923" i="39" a="1"/>
  <c r="E583" i="39" a="1"/>
  <c r="E379" i="39" a="1"/>
  <c r="B657" i="39" a="1"/>
  <c r="E553" i="39" a="1"/>
  <c r="B879" i="39" a="1"/>
  <c r="E298" i="39" a="1"/>
  <c r="B7" i="39" a="1"/>
  <c r="E99" i="39" a="1"/>
  <c r="E250" i="39" a="1"/>
  <c r="E843" i="39" a="1"/>
  <c r="B666" i="39" a="1"/>
  <c r="B20" i="39" a="1"/>
  <c r="E100" i="39" a="1"/>
  <c r="B785" i="39" a="1"/>
  <c r="E458" i="39" a="1"/>
  <c r="E108" i="39" a="1"/>
  <c r="B916" i="39" a="1"/>
  <c r="E619" i="39" a="1"/>
  <c r="M14" i="38" a="1"/>
  <c r="B842" i="39" a="1"/>
  <c r="E457" i="39" a="1"/>
  <c r="E385" i="39" a="1"/>
  <c r="B571" i="39" a="1"/>
  <c r="B942" i="39" a="1"/>
  <c r="B175" i="39" a="1"/>
  <c r="B897" i="39" a="1"/>
  <c r="E679" i="39" a="1"/>
  <c r="B733" i="39" a="1"/>
  <c r="E801" i="39" a="1"/>
  <c r="B402" i="39" a="1"/>
  <c r="B234" i="39" a="1"/>
  <c r="E239" i="39" a="1"/>
  <c r="B3" i="39" a="1"/>
  <c r="B747" i="39" a="1"/>
  <c r="E231" i="39" a="1"/>
  <c r="E470" i="39" a="1"/>
  <c r="B832" i="39" a="1"/>
  <c r="E474" i="39" a="1"/>
  <c r="E341" i="39" a="1"/>
  <c r="B355" i="39" a="1"/>
  <c r="B683" i="39" a="1"/>
  <c r="E225" i="39" a="1"/>
  <c r="B351" i="39" a="1"/>
  <c r="B304" i="39" a="1"/>
  <c r="E551" i="39" a="1"/>
  <c r="B452" i="39" a="1"/>
  <c r="E322" i="39" a="1"/>
  <c r="E766" i="39" a="1"/>
  <c r="B194" i="39" a="1"/>
  <c r="B397" i="39" a="1"/>
  <c r="E794" i="39" a="1"/>
  <c r="B924" i="39" a="1"/>
  <c r="E436" i="39" a="1"/>
  <c r="B151" i="39" a="1"/>
  <c r="B106" i="39" a="1"/>
  <c r="E60" i="39" a="1"/>
  <c r="E855" i="39" a="1"/>
  <c r="B737" i="39" a="1"/>
  <c r="E600" i="39" a="1"/>
  <c r="E631" i="39" a="1"/>
  <c r="E240" i="39" a="1"/>
  <c r="B394" i="39" a="1"/>
  <c r="B802" i="39" a="1"/>
  <c r="B420" i="39" a="1"/>
  <c r="B179" i="39" a="1"/>
  <c r="E227" i="39" a="1"/>
  <c r="B428" i="39" a="1"/>
  <c r="E723" i="39" a="1"/>
  <c r="E921" i="39" a="1"/>
  <c r="B956" i="39" a="1"/>
  <c r="E343" i="39" a="1"/>
  <c r="B515" i="39" a="1"/>
  <c r="E103" i="39" a="1"/>
  <c r="E249" i="39" a="1"/>
  <c r="B698" i="39" a="1"/>
  <c r="E869" i="39" a="1"/>
  <c r="B922" i="39" a="1"/>
  <c r="E953" i="39" a="1"/>
  <c r="B591" i="39" a="1"/>
  <c r="E377" i="39" a="1"/>
  <c r="B884" i="39" a="1"/>
  <c r="E796" i="39" a="1"/>
  <c r="E355" i="39" a="1"/>
  <c r="E689" i="39" a="1"/>
  <c r="B725" i="39" a="1"/>
  <c r="E301" i="39" a="1"/>
  <c r="B308" i="39" a="1"/>
  <c r="B213" i="39" a="1"/>
  <c r="J15" i="38"/>
  <c r="E429" i="39" a="1"/>
  <c r="E6" i="39" a="1"/>
  <c r="B498" i="39" a="1"/>
  <c r="L15" i="38" a="1"/>
  <c r="J16" i="38"/>
  <c r="M15" i="38" a="1"/>
  <c r="L16" i="38" a="1"/>
  <c r="J17" i="38"/>
  <c r="M16" i="38" a="1"/>
  <c r="L17" i="38" a="1"/>
  <c r="M17" i="38" a="1"/>
  <c r="F39" i="38" l="1"/>
  <c r="L39" i="38" s="1"/>
  <c r="T48" i="38"/>
  <c r="T44" i="38"/>
  <c r="U40" i="38"/>
  <c r="U36" i="38"/>
  <c r="S10" i="4"/>
  <c r="S48" i="38"/>
  <c r="S44" i="38"/>
  <c r="T40" i="38"/>
  <c r="T36" i="38"/>
  <c r="F48" i="38"/>
  <c r="L48" i="38" s="1"/>
  <c r="F44" i="38"/>
  <c r="L44" i="38" s="1"/>
  <c r="S40" i="38"/>
  <c r="S36" i="38"/>
  <c r="U47" i="38"/>
  <c r="U43" i="38"/>
  <c r="F40" i="38"/>
  <c r="L40" i="38" s="1"/>
  <c r="L27" i="38" s="1" a="1"/>
  <c r="L27" i="38" s="1"/>
  <c r="F36" i="38"/>
  <c r="L36" i="38" s="1"/>
  <c r="T47" i="38"/>
  <c r="T43" i="38"/>
  <c r="U39" i="38"/>
  <c r="S47" i="38"/>
  <c r="S43" i="38"/>
  <c r="T39" i="38"/>
  <c r="F47" i="38"/>
  <c r="L47" i="38" s="1"/>
  <c r="F43" i="38"/>
  <c r="L43" i="38" s="1"/>
  <c r="S39" i="38"/>
  <c r="U50" i="38"/>
  <c r="U46" i="38"/>
  <c r="U42" i="38"/>
  <c r="T50" i="38"/>
  <c r="T46" i="38"/>
  <c r="T42" i="38"/>
  <c r="U38" i="38"/>
  <c r="S50" i="38"/>
  <c r="S46" i="38"/>
  <c r="S42" i="38"/>
  <c r="T38" i="38"/>
  <c r="F13" i="38"/>
  <c r="D10" i="38" s="1"/>
  <c r="F50" i="38"/>
  <c r="L50" i="38" s="1"/>
  <c r="F46" i="38"/>
  <c r="L46" i="38" s="1"/>
  <c r="F42" i="38"/>
  <c r="L42" i="38" s="1"/>
  <c r="S38" i="38"/>
  <c r="U49" i="38"/>
  <c r="U45" i="38"/>
  <c r="U41" i="38"/>
  <c r="F38" i="38"/>
  <c r="L38" i="38" s="1"/>
  <c r="T49" i="38"/>
  <c r="T45" i="38"/>
  <c r="T41" i="38"/>
  <c r="U37" i="38"/>
  <c r="S49" i="38"/>
  <c r="S45" i="38"/>
  <c r="S41" i="38"/>
  <c r="T37" i="38"/>
  <c r="F49" i="38"/>
  <c r="L49" i="38" s="1"/>
  <c r="F45" i="38"/>
  <c r="L45" i="38" s="1"/>
  <c r="S37" i="38"/>
  <c r="U48" i="38"/>
  <c r="U44" i="38"/>
  <c r="F41" i="38"/>
  <c r="L41" i="38" s="1"/>
  <c r="F37" i="38"/>
  <c r="L37" i="38" s="1"/>
  <c r="Q11" i="33"/>
  <c r="Q12" i="33"/>
  <c r="Q13" i="33"/>
  <c r="Q14" i="33"/>
  <c r="R9" i="33"/>
  <c r="R11" i="33"/>
  <c r="R12" i="33"/>
  <c r="R10" i="33"/>
  <c r="R13" i="33"/>
  <c r="R14" i="33"/>
  <c r="Q9" i="33"/>
  <c r="E23" i="40"/>
  <c r="E12" i="40" s="1"/>
  <c r="E19" i="40"/>
  <c r="F16" i="38"/>
  <c r="D11" i="38" s="1"/>
  <c r="J33" i="38"/>
  <c r="E993" i="39"/>
  <c r="E985" i="39"/>
  <c r="E977" i="39"/>
  <c r="E969" i="39"/>
  <c r="E961" i="39"/>
  <c r="E953" i="39"/>
  <c r="E945" i="39"/>
  <c r="E937" i="39"/>
  <c r="E929" i="39"/>
  <c r="E921" i="39"/>
  <c r="E913" i="39"/>
  <c r="E905" i="39"/>
  <c r="E897" i="39"/>
  <c r="E889" i="39"/>
  <c r="E881" i="39"/>
  <c r="E873" i="39"/>
  <c r="E865" i="39"/>
  <c r="E857" i="39"/>
  <c r="E849" i="39"/>
  <c r="E832" i="39"/>
  <c r="E815" i="39"/>
  <c r="E798" i="39"/>
  <c r="E781" i="39"/>
  <c r="E764" i="39"/>
  <c r="E745" i="39"/>
  <c r="E736" i="39"/>
  <c r="E727" i="39"/>
  <c r="E718" i="39"/>
  <c r="E709" i="39"/>
  <c r="E700" i="39"/>
  <c r="E681" i="39"/>
  <c r="E662" i="39"/>
  <c r="E642" i="39"/>
  <c r="E632" i="39"/>
  <c r="E610" i="39"/>
  <c r="E600" i="39"/>
  <c r="E578" i="39"/>
  <c r="E555" i="39"/>
  <c r="E544" i="39"/>
  <c r="E519" i="39"/>
  <c r="E508" i="39"/>
  <c r="E482" i="39"/>
  <c r="E471" i="39"/>
  <c r="E459" i="39"/>
  <c r="E446" i="39"/>
  <c r="E434" i="39"/>
  <c r="E409" i="39"/>
  <c r="E398" i="39"/>
  <c r="E373" i="39"/>
  <c r="E361" i="39"/>
  <c r="E332" i="39"/>
  <c r="E235" i="39"/>
  <c r="E218" i="39"/>
  <c r="E200" i="39"/>
  <c r="E184" i="39"/>
  <c r="E148" i="39"/>
  <c r="E93" i="39"/>
  <c r="E53" i="39"/>
  <c r="E840" i="39"/>
  <c r="E823" i="39"/>
  <c r="E806" i="39"/>
  <c r="E789" i="39"/>
  <c r="E772" i="39"/>
  <c r="E763" i="39"/>
  <c r="E699" i="39"/>
  <c r="E671" i="39"/>
  <c r="E652" i="39"/>
  <c r="E631" i="39"/>
  <c r="E589" i="39"/>
  <c r="E554" i="39"/>
  <c r="E532" i="39"/>
  <c r="E507" i="39"/>
  <c r="E495" i="39"/>
  <c r="E458" i="39"/>
  <c r="E422" i="39"/>
  <c r="E385" i="39"/>
  <c r="E345" i="39"/>
  <c r="E331" i="39"/>
  <c r="E317" i="39"/>
  <c r="E285" i="39"/>
  <c r="E268" i="39"/>
  <c r="E253" i="39"/>
  <c r="E234" i="39"/>
  <c r="E165" i="39"/>
  <c r="E146" i="39"/>
  <c r="E129" i="39"/>
  <c r="E72" i="39"/>
  <c r="E50" i="39"/>
  <c r="E31" i="39"/>
  <c r="E1000" i="39"/>
  <c r="E992" i="39"/>
  <c r="E984" i="39"/>
  <c r="E976" i="39"/>
  <c r="E968" i="39"/>
  <c r="E960" i="39"/>
  <c r="E952" i="39"/>
  <c r="E944" i="39"/>
  <c r="E936" i="39"/>
  <c r="E928" i="39"/>
  <c r="E920" i="39"/>
  <c r="E912" i="39"/>
  <c r="E904" i="39"/>
  <c r="E896" i="39"/>
  <c r="E888" i="39"/>
  <c r="E880" i="39"/>
  <c r="E872" i="39"/>
  <c r="E864" i="39"/>
  <c r="E856" i="39"/>
  <c r="E848" i="39"/>
  <c r="E831" i="39"/>
  <c r="E814" i="39"/>
  <c r="E797" i="39"/>
  <c r="E780" i="39"/>
  <c r="E771" i="39"/>
  <c r="E753" i="39"/>
  <c r="E744" i="39"/>
  <c r="E735" i="39"/>
  <c r="E726" i="39"/>
  <c r="E717" i="39"/>
  <c r="E708" i="39"/>
  <c r="E689" i="39"/>
  <c r="E680" i="39"/>
  <c r="E661" i="39"/>
  <c r="E651" i="39"/>
  <c r="E641" i="39"/>
  <c r="E620" i="39"/>
  <c r="E609" i="39"/>
  <c r="E599" i="39"/>
  <c r="E577" i="39"/>
  <c r="E565" i="39"/>
  <c r="E543" i="39"/>
  <c r="E518" i="39"/>
  <c r="E506" i="39"/>
  <c r="E481" i="39"/>
  <c r="E470" i="39"/>
  <c r="E445" i="39"/>
  <c r="E433" i="39"/>
  <c r="E408" i="39"/>
  <c r="E397" i="39"/>
  <c r="E372" i="39"/>
  <c r="E359" i="39"/>
  <c r="E330" i="39"/>
  <c r="E300" i="39"/>
  <c r="E283" i="39"/>
  <c r="E267" i="39"/>
  <c r="E199" i="39"/>
  <c r="E109" i="39"/>
  <c r="E91" i="39"/>
  <c r="E49" i="39"/>
  <c r="E839" i="39"/>
  <c r="E822" i="39"/>
  <c r="E805" i="39"/>
  <c r="E788" i="39"/>
  <c r="E779" i="39"/>
  <c r="E707" i="39"/>
  <c r="E670" i="39"/>
  <c r="E640" i="39"/>
  <c r="E619" i="39"/>
  <c r="E588" i="39"/>
  <c r="E553" i="39"/>
  <c r="E542" i="39"/>
  <c r="E505" i="39"/>
  <c r="E469" i="39"/>
  <c r="E432" i="39"/>
  <c r="E419" i="39"/>
  <c r="E396" i="39"/>
  <c r="E371" i="39"/>
  <c r="E344" i="39"/>
  <c r="E316" i="39"/>
  <c r="E299" i="39"/>
  <c r="E266" i="39"/>
  <c r="E249" i="39"/>
  <c r="E233" i="39"/>
  <c r="E215" i="39"/>
  <c r="E197" i="39"/>
  <c r="E180" i="39"/>
  <c r="E164" i="39"/>
  <c r="E145" i="39"/>
  <c r="E126" i="39"/>
  <c r="E88" i="39"/>
  <c r="E71" i="39"/>
  <c r="E27" i="39"/>
  <c r="E999" i="39"/>
  <c r="E991" i="39"/>
  <c r="E983" i="39"/>
  <c r="E975" i="39"/>
  <c r="E967" i="39"/>
  <c r="E959" i="39"/>
  <c r="E951" i="39"/>
  <c r="E943" i="39"/>
  <c r="E935" i="39"/>
  <c r="E927" i="39"/>
  <c r="E919" i="39"/>
  <c r="E911" i="39"/>
  <c r="E903" i="39"/>
  <c r="E895" i="39"/>
  <c r="E887" i="39"/>
  <c r="E879" i="39"/>
  <c r="E871" i="39"/>
  <c r="E863" i="39"/>
  <c r="E855" i="39"/>
  <c r="E847" i="39"/>
  <c r="E830" i="39"/>
  <c r="E813" i="39"/>
  <c r="E796" i="39"/>
  <c r="E787" i="39"/>
  <c r="E770" i="39"/>
  <c r="E761" i="39"/>
  <c r="E752" i="39"/>
  <c r="E743" i="39"/>
  <c r="E734" i="39"/>
  <c r="E725" i="39"/>
  <c r="E716" i="39"/>
  <c r="E697" i="39"/>
  <c r="E688" i="39"/>
  <c r="E679" i="39"/>
  <c r="E660" i="39"/>
  <c r="E650" i="39"/>
  <c r="E629" i="39"/>
  <c r="E618" i="39"/>
  <c r="E608" i="39"/>
  <c r="E598" i="39"/>
  <c r="E587" i="39"/>
  <c r="E564" i="39"/>
  <c r="E528" i="39"/>
  <c r="E517" i="39"/>
  <c r="E492" i="39"/>
  <c r="E480" i="39"/>
  <c r="E455" i="39"/>
  <c r="E444" i="39"/>
  <c r="E418" i="39"/>
  <c r="E407" i="39"/>
  <c r="E395" i="39"/>
  <c r="E382" i="39"/>
  <c r="E370" i="39"/>
  <c r="E358" i="39"/>
  <c r="E313" i="39"/>
  <c r="E298" i="39"/>
  <c r="E281" i="39"/>
  <c r="E214" i="39"/>
  <c r="E196" i="39"/>
  <c r="E179" i="39"/>
  <c r="E48" i="39"/>
  <c r="E838" i="39"/>
  <c r="E821" i="39"/>
  <c r="E804" i="39"/>
  <c r="E795" i="39"/>
  <c r="E778" i="39"/>
  <c r="E715" i="39"/>
  <c r="E669" i="39"/>
  <c r="E659" i="39"/>
  <c r="E649" i="39"/>
  <c r="E586" i="39"/>
  <c r="E574" i="39"/>
  <c r="E563" i="39"/>
  <c r="E552" i="39"/>
  <c r="E541" i="39"/>
  <c r="E504" i="39"/>
  <c r="E491" i="39"/>
  <c r="E468" i="39"/>
  <c r="E443" i="39"/>
  <c r="E431" i="39"/>
  <c r="E394" i="39"/>
  <c r="E343" i="39"/>
  <c r="E327" i="39"/>
  <c r="E248" i="39"/>
  <c r="E195" i="39"/>
  <c r="E177" i="39"/>
  <c r="E160" i="39"/>
  <c r="E144" i="39"/>
  <c r="E125" i="39"/>
  <c r="E87" i="39"/>
  <c r="E998" i="39"/>
  <c r="E990" i="39"/>
  <c r="E982" i="39"/>
  <c r="E974" i="39"/>
  <c r="E966" i="39"/>
  <c r="E958" i="39"/>
  <c r="E950" i="39"/>
  <c r="E942" i="39"/>
  <c r="E934" i="39"/>
  <c r="E926" i="39"/>
  <c r="E918" i="39"/>
  <c r="E910" i="39"/>
  <c r="E902" i="39"/>
  <c r="E894" i="39"/>
  <c r="E886" i="39"/>
  <c r="E878" i="39"/>
  <c r="E870" i="39"/>
  <c r="E862" i="39"/>
  <c r="E854" i="39"/>
  <c r="E846" i="39"/>
  <c r="E829" i="39"/>
  <c r="E812" i="39"/>
  <c r="E803" i="39"/>
  <c r="E786" i="39"/>
  <c r="E769" i="39"/>
  <c r="E760" i="39"/>
  <c r="E751" i="39"/>
  <c r="E742" i="39"/>
  <c r="E733" i="39"/>
  <c r="E724" i="39"/>
  <c r="E705" i="39"/>
  <c r="E696" i="39"/>
  <c r="E687" i="39"/>
  <c r="E678" i="39"/>
  <c r="E638" i="39"/>
  <c r="E628" i="39"/>
  <c r="E617" i="39"/>
  <c r="E607" i="39"/>
  <c r="E597" i="39"/>
  <c r="E562" i="39"/>
  <c r="E539" i="39"/>
  <c r="E527" i="39"/>
  <c r="E516" i="39"/>
  <c r="E490" i="39"/>
  <c r="E479" i="39"/>
  <c r="E454" i="39"/>
  <c r="E442" i="39"/>
  <c r="E417" i="39"/>
  <c r="E406" i="39"/>
  <c r="E381" i="39"/>
  <c r="E369" i="39"/>
  <c r="E355" i="39"/>
  <c r="E341" i="39"/>
  <c r="E312" i="39"/>
  <c r="E295" i="39"/>
  <c r="E280" i="39"/>
  <c r="E263" i="39"/>
  <c r="E246" i="39"/>
  <c r="E229" i="39"/>
  <c r="E213" i="39"/>
  <c r="E194" i="39"/>
  <c r="E176" i="39"/>
  <c r="E141" i="39"/>
  <c r="E104" i="39"/>
  <c r="E85" i="39"/>
  <c r="E65" i="39"/>
  <c r="E47" i="39"/>
  <c r="E24" i="39"/>
  <c r="E837" i="39"/>
  <c r="E820" i="39"/>
  <c r="E811" i="39"/>
  <c r="E794" i="39"/>
  <c r="E777" i="39"/>
  <c r="E723" i="39"/>
  <c r="E668" i="39"/>
  <c r="E627" i="39"/>
  <c r="E573" i="39"/>
  <c r="E551" i="39"/>
  <c r="E514" i="39"/>
  <c r="E478" i="39"/>
  <c r="E441" i="39"/>
  <c r="E405" i="39"/>
  <c r="E368" i="39"/>
  <c r="E354" i="39"/>
  <c r="E326" i="39"/>
  <c r="E245" i="39"/>
  <c r="E123" i="39"/>
  <c r="E83" i="39"/>
  <c r="E42" i="39"/>
  <c r="E997" i="39"/>
  <c r="E989" i="39"/>
  <c r="E981" i="39"/>
  <c r="E973" i="39"/>
  <c r="E965" i="39"/>
  <c r="E957" i="39"/>
  <c r="E949" i="39"/>
  <c r="E941" i="39"/>
  <c r="E933" i="39"/>
  <c r="E925" i="39"/>
  <c r="E917" i="39"/>
  <c r="E909" i="39"/>
  <c r="E901" i="39"/>
  <c r="E893" i="39"/>
  <c r="E885" i="39"/>
  <c r="E877" i="39"/>
  <c r="E869" i="39"/>
  <c r="E861" i="39"/>
  <c r="E853" i="39"/>
  <c r="E845" i="39"/>
  <c r="E828" i="39"/>
  <c r="E819" i="39"/>
  <c r="E802" i="39"/>
  <c r="E785" i="39"/>
  <c r="E768" i="39"/>
  <c r="E759" i="39"/>
  <c r="E750" i="39"/>
  <c r="E741" i="39"/>
  <c r="E732" i="39"/>
  <c r="E713" i="39"/>
  <c r="E704" i="39"/>
  <c r="E695" i="39"/>
  <c r="E686" i="39"/>
  <c r="E677" i="39"/>
  <c r="E667" i="39"/>
  <c r="E657" i="39"/>
  <c r="E647" i="39"/>
  <c r="E637" i="39"/>
  <c r="E626" i="39"/>
  <c r="E616" i="39"/>
  <c r="E606" i="39"/>
  <c r="E596" i="39"/>
  <c r="E583" i="39"/>
  <c r="E561" i="39"/>
  <c r="E537" i="39"/>
  <c r="E526" i="39"/>
  <c r="E501" i="39"/>
  <c r="E489" i="39"/>
  <c r="E464" i="39"/>
  <c r="E453" i="39"/>
  <c r="E428" i="39"/>
  <c r="E416" i="39"/>
  <c r="E391" i="39"/>
  <c r="E380" i="39"/>
  <c r="E340" i="39"/>
  <c r="E294" i="39"/>
  <c r="E277" i="39"/>
  <c r="E262" i="39"/>
  <c r="E226" i="39"/>
  <c r="E209" i="39"/>
  <c r="E193" i="39"/>
  <c r="E175" i="39"/>
  <c r="E140" i="39"/>
  <c r="E120" i="39"/>
  <c r="E103" i="39"/>
  <c r="E82" i="39"/>
  <c r="E63" i="39"/>
  <c r="E19" i="39"/>
  <c r="E836" i="39"/>
  <c r="E827" i="39"/>
  <c r="E810" i="39"/>
  <c r="E793" i="39"/>
  <c r="E776" i="39"/>
  <c r="E731" i="39"/>
  <c r="E666" i="39"/>
  <c r="E656" i="39"/>
  <c r="E572" i="39"/>
  <c r="E550" i="39"/>
  <c r="E513" i="39"/>
  <c r="E477" i="39"/>
  <c r="E440" i="39"/>
  <c r="E427" i="39"/>
  <c r="E404" i="39"/>
  <c r="E379" i="39"/>
  <c r="E367" i="39"/>
  <c r="E353" i="39"/>
  <c r="E325" i="39"/>
  <c r="E309" i="39"/>
  <c r="E244" i="39"/>
  <c r="E225" i="39"/>
  <c r="E190" i="39"/>
  <c r="E174" i="39"/>
  <c r="E156" i="39"/>
  <c r="E102" i="39"/>
  <c r="E61" i="39"/>
  <c r="E41" i="39"/>
  <c r="E18" i="39"/>
  <c r="E996" i="39"/>
  <c r="E988" i="39"/>
  <c r="E980" i="39"/>
  <c r="E972" i="39"/>
  <c r="E964" i="39"/>
  <c r="E956" i="39"/>
  <c r="E948" i="39"/>
  <c r="E940" i="39"/>
  <c r="E932" i="39"/>
  <c r="E924" i="39"/>
  <c r="E916" i="39"/>
  <c r="E908" i="39"/>
  <c r="E900" i="39"/>
  <c r="E892" i="39"/>
  <c r="E884" i="39"/>
  <c r="E876" i="39"/>
  <c r="E868" i="39"/>
  <c r="E860" i="39"/>
  <c r="E852" i="39"/>
  <c r="E844" i="39"/>
  <c r="E835" i="39"/>
  <c r="E818" i="39"/>
  <c r="E801" i="39"/>
  <c r="E784" i="39"/>
  <c r="E767" i="39"/>
  <c r="E758" i="39"/>
  <c r="E749" i="39"/>
  <c r="E740" i="39"/>
  <c r="E721" i="39"/>
  <c r="E712" i="39"/>
  <c r="E703" i="39"/>
  <c r="E694" i="39"/>
  <c r="E685" i="39"/>
  <c r="E676" i="39"/>
  <c r="E646" i="39"/>
  <c r="E636" i="39"/>
  <c r="E625" i="39"/>
  <c r="E615" i="39"/>
  <c r="E605" i="39"/>
  <c r="E582" i="39"/>
  <c r="E571" i="39"/>
  <c r="E560" i="39"/>
  <c r="E536" i="39"/>
  <c r="E525" i="39"/>
  <c r="E500" i="39"/>
  <c r="E488" i="39"/>
  <c r="E475" i="39"/>
  <c r="E463" i="39"/>
  <c r="E452" i="39"/>
  <c r="E426" i="39"/>
  <c r="E415" i="39"/>
  <c r="E390" i="39"/>
  <c r="E378" i="39"/>
  <c r="E322" i="39"/>
  <c r="E291" i="39"/>
  <c r="E276" i="39"/>
  <c r="E258" i="39"/>
  <c r="E243" i="39"/>
  <c r="E207" i="39"/>
  <c r="E155" i="39"/>
  <c r="E119" i="39"/>
  <c r="E98" i="39"/>
  <c r="E81" i="39"/>
  <c r="E843" i="39"/>
  <c r="E826" i="39"/>
  <c r="E809" i="39"/>
  <c r="E792" i="39"/>
  <c r="E775" i="39"/>
  <c r="E739" i="39"/>
  <c r="E655" i="39"/>
  <c r="E635" i="39"/>
  <c r="E604" i="39"/>
  <c r="E592" i="39"/>
  <c r="E570" i="39"/>
  <c r="E547" i="39"/>
  <c r="E524" i="39"/>
  <c r="E499" i="39"/>
  <c r="E487" i="39"/>
  <c r="E450" i="39"/>
  <c r="E414" i="39"/>
  <c r="E377" i="39"/>
  <c r="E352" i="39"/>
  <c r="E336" i="39"/>
  <c r="E308" i="39"/>
  <c r="E290" i="39"/>
  <c r="E242" i="39"/>
  <c r="E224" i="39"/>
  <c r="E189" i="39"/>
  <c r="E170" i="39"/>
  <c r="E154" i="39"/>
  <c r="E136" i="39"/>
  <c r="E117" i="39"/>
  <c r="E59" i="39"/>
  <c r="E16" i="39"/>
  <c r="E995" i="39"/>
  <c r="E987" i="39"/>
  <c r="E979" i="39"/>
  <c r="E971" i="39"/>
  <c r="E963" i="39"/>
  <c r="E955" i="39"/>
  <c r="E947" i="39"/>
  <c r="E939" i="39"/>
  <c r="E931" i="39"/>
  <c r="E923" i="39"/>
  <c r="E915" i="39"/>
  <c r="E907" i="39"/>
  <c r="E899" i="39"/>
  <c r="E891" i="39"/>
  <c r="E883" i="39"/>
  <c r="E875" i="39"/>
  <c r="E867" i="39"/>
  <c r="E859" i="39"/>
  <c r="E851" i="39"/>
  <c r="E834" i="39"/>
  <c r="E817" i="39"/>
  <c r="E800" i="39"/>
  <c r="E783" i="39"/>
  <c r="E766" i="39"/>
  <c r="E757" i="39"/>
  <c r="E748" i="39"/>
  <c r="E729" i="39"/>
  <c r="E720" i="39"/>
  <c r="E711" i="39"/>
  <c r="E702" i="39"/>
  <c r="E693" i="39"/>
  <c r="E684" i="39"/>
  <c r="E674" i="39"/>
  <c r="E664" i="39"/>
  <c r="E645" i="39"/>
  <c r="E634" i="39"/>
  <c r="E624" i="39"/>
  <c r="E614" i="39"/>
  <c r="E603" i="39"/>
  <c r="E581" i="39"/>
  <c r="E559" i="39"/>
  <c r="E546" i="39"/>
  <c r="E535" i="39"/>
  <c r="E523" i="39"/>
  <c r="E510" i="39"/>
  <c r="E498" i="39"/>
  <c r="E473" i="39"/>
  <c r="E462" i="39"/>
  <c r="E437" i="39"/>
  <c r="E425" i="39"/>
  <c r="E400" i="39"/>
  <c r="E389" i="39"/>
  <c r="E364" i="39"/>
  <c r="E350" i="39"/>
  <c r="E321" i="39"/>
  <c r="E307" i="39"/>
  <c r="E257" i="39"/>
  <c r="E205" i="39"/>
  <c r="E187" i="39"/>
  <c r="E115" i="39"/>
  <c r="E97" i="39"/>
  <c r="E58" i="39"/>
  <c r="E37" i="39"/>
  <c r="E15" i="39"/>
  <c r="E842" i="39"/>
  <c r="E825" i="39"/>
  <c r="E808" i="39"/>
  <c r="E791" i="39"/>
  <c r="E774" i="39"/>
  <c r="E747" i="39"/>
  <c r="E683" i="39"/>
  <c r="E673" i="39"/>
  <c r="E654" i="39"/>
  <c r="E613" i="39"/>
  <c r="E591" i="39"/>
  <c r="E569" i="39"/>
  <c r="E522" i="39"/>
  <c r="E486" i="39"/>
  <c r="E449" i="39"/>
  <c r="E413" i="39"/>
  <c r="E376" i="39"/>
  <c r="E363" i="39"/>
  <c r="E335" i="39"/>
  <c r="E304" i="39"/>
  <c r="E289" i="39"/>
  <c r="E272" i="39"/>
  <c r="E239" i="39"/>
  <c r="E223" i="39"/>
  <c r="E169" i="39"/>
  <c r="E151" i="39"/>
  <c r="E135" i="39"/>
  <c r="E114" i="39"/>
  <c r="E77" i="39"/>
  <c r="E13" i="39"/>
  <c r="E994" i="39"/>
  <c r="E986" i="39"/>
  <c r="E978" i="39"/>
  <c r="E970" i="39"/>
  <c r="E962" i="39"/>
  <c r="E954" i="39"/>
  <c r="E946" i="39"/>
  <c r="E938" i="39"/>
  <c r="E930" i="39"/>
  <c r="E922" i="39"/>
  <c r="E914" i="39"/>
  <c r="E906" i="39"/>
  <c r="E898" i="39"/>
  <c r="E890" i="39"/>
  <c r="E882" i="39"/>
  <c r="E874" i="39"/>
  <c r="E866" i="39"/>
  <c r="E858" i="39"/>
  <c r="E850" i="39"/>
  <c r="E833" i="39"/>
  <c r="E816" i="39"/>
  <c r="E799" i="39"/>
  <c r="E782" i="39"/>
  <c r="E765" i="39"/>
  <c r="E756" i="39"/>
  <c r="E737" i="39"/>
  <c r="E728" i="39"/>
  <c r="E719" i="39"/>
  <c r="E710" i="39"/>
  <c r="E701" i="39"/>
  <c r="E692" i="39"/>
  <c r="E663" i="39"/>
  <c r="E644" i="39"/>
  <c r="E633" i="39"/>
  <c r="E623" i="39"/>
  <c r="E601" i="39"/>
  <c r="E580" i="39"/>
  <c r="E545" i="39"/>
  <c r="E534" i="39"/>
  <c r="E509" i="39"/>
  <c r="E497" i="39"/>
  <c r="E472" i="39"/>
  <c r="E461" i="39"/>
  <c r="E436" i="39"/>
  <c r="E424" i="39"/>
  <c r="E411" i="39"/>
  <c r="E399" i="39"/>
  <c r="E388" i="39"/>
  <c r="E362" i="39"/>
  <c r="E349" i="39"/>
  <c r="E238" i="39"/>
  <c r="E220" i="39"/>
  <c r="E204" i="39"/>
  <c r="E185" i="39"/>
  <c r="E150" i="39"/>
  <c r="E134" i="39"/>
  <c r="E94" i="39"/>
  <c r="E55" i="39"/>
  <c r="E35" i="39"/>
  <c r="E841" i="39"/>
  <c r="E824" i="39"/>
  <c r="E807" i="39"/>
  <c r="E790" i="39"/>
  <c r="E773" i="39"/>
  <c r="E755" i="39"/>
  <c r="E691" i="39"/>
  <c r="E672" i="39"/>
  <c r="E653" i="39"/>
  <c r="E643" i="39"/>
  <c r="E622" i="39"/>
  <c r="E611" i="39"/>
  <c r="E590" i="39"/>
  <c r="E579" i="39"/>
  <c r="E568" i="39"/>
  <c r="E556" i="39"/>
  <c r="E533" i="39"/>
  <c r="E496" i="39"/>
  <c r="E483" i="39"/>
  <c r="E460" i="39"/>
  <c r="E435" i="39"/>
  <c r="E423" i="39"/>
  <c r="E386" i="39"/>
  <c r="E347" i="39"/>
  <c r="E334" i="39"/>
  <c r="E318" i="39"/>
  <c r="E303" i="39"/>
  <c r="E286" i="39"/>
  <c r="E271" i="39"/>
  <c r="E254" i="39"/>
  <c r="E219" i="39"/>
  <c r="E203" i="39"/>
  <c r="E166" i="39"/>
  <c r="E130" i="39"/>
  <c r="E113" i="39"/>
  <c r="E34" i="39"/>
  <c r="E11" i="39"/>
  <c r="E25" i="39"/>
  <c r="E306" i="39"/>
  <c r="E297" i="39"/>
  <c r="E288" i="39"/>
  <c r="E279" i="39"/>
  <c r="E270" i="39"/>
  <c r="E261" i="39"/>
  <c r="E252" i="39"/>
  <c r="E232" i="39"/>
  <c r="E222" i="39"/>
  <c r="E202" i="39"/>
  <c r="E183" i="39"/>
  <c r="E173" i="39"/>
  <c r="E163" i="39"/>
  <c r="E153" i="39"/>
  <c r="E122" i="39"/>
  <c r="E112" i="39"/>
  <c r="E90" i="39"/>
  <c r="E80" i="39"/>
  <c r="E69" i="39"/>
  <c r="E57" i="39"/>
  <c r="E23" i="39"/>
  <c r="E10" i="39"/>
  <c r="E315" i="39"/>
  <c r="E251" i="39"/>
  <c r="E241" i="39"/>
  <c r="E212" i="39"/>
  <c r="E192" i="39"/>
  <c r="E182" i="39"/>
  <c r="E162" i="39"/>
  <c r="E143" i="39"/>
  <c r="E133" i="39"/>
  <c r="E101" i="39"/>
  <c r="E45" i="39"/>
  <c r="E33" i="39"/>
  <c r="E360" i="39"/>
  <c r="E351" i="39"/>
  <c r="E342" i="39"/>
  <c r="E333" i="39"/>
  <c r="E324" i="39"/>
  <c r="E314" i="39"/>
  <c r="E305" i="39"/>
  <c r="E296" i="39"/>
  <c r="E287" i="39"/>
  <c r="E278" i="39"/>
  <c r="E269" i="39"/>
  <c r="E260" i="39"/>
  <c r="E250" i="39"/>
  <c r="E231" i="39"/>
  <c r="E221" i="39"/>
  <c r="E211" i="39"/>
  <c r="E201" i="39"/>
  <c r="E172" i="39"/>
  <c r="E152" i="39"/>
  <c r="E142" i="39"/>
  <c r="E121" i="39"/>
  <c r="E111" i="39"/>
  <c r="E89" i="39"/>
  <c r="E79" i="39"/>
  <c r="E67" i="39"/>
  <c r="E56" i="39"/>
  <c r="E21" i="39"/>
  <c r="E9" i="39"/>
  <c r="E515" i="39"/>
  <c r="E451" i="39"/>
  <c r="E387" i="39"/>
  <c r="E323" i="39"/>
  <c r="E259" i="39"/>
  <c r="E240" i="39"/>
  <c r="E230" i="39"/>
  <c r="E210" i="39"/>
  <c r="E191" i="39"/>
  <c r="E181" i="39"/>
  <c r="E171" i="39"/>
  <c r="E161" i="39"/>
  <c r="E131" i="39"/>
  <c r="E110" i="39"/>
  <c r="E99" i="39"/>
  <c r="E78" i="39"/>
  <c r="E66" i="39"/>
  <c r="E43" i="39"/>
  <c r="E32" i="39"/>
  <c r="E8" i="39"/>
  <c r="E7" i="39"/>
  <c r="E675" i="39"/>
  <c r="E658" i="39"/>
  <c r="E595" i="39"/>
  <c r="E531" i="39"/>
  <c r="E467" i="39"/>
  <c r="E403" i="39"/>
  <c r="E339" i="39"/>
  <c r="E275" i="39"/>
  <c r="E228" i="39"/>
  <c r="E208" i="39"/>
  <c r="E198" i="39"/>
  <c r="E178" i="39"/>
  <c r="E159" i="39"/>
  <c r="E149" i="39"/>
  <c r="E139" i="39"/>
  <c r="E118" i="39"/>
  <c r="E107" i="39"/>
  <c r="E86" i="39"/>
  <c r="E75" i="39"/>
  <c r="E64" i="39"/>
  <c r="E29" i="39"/>
  <c r="E17" i="39"/>
  <c r="E594" i="39"/>
  <c r="E585" i="39"/>
  <c r="E576" i="39"/>
  <c r="E567" i="39"/>
  <c r="E558" i="39"/>
  <c r="E549" i="39"/>
  <c r="E540" i="39"/>
  <c r="E530" i="39"/>
  <c r="E521" i="39"/>
  <c r="E512" i="39"/>
  <c r="E503" i="39"/>
  <c r="E494" i="39"/>
  <c r="E485" i="39"/>
  <c r="E476" i="39"/>
  <c r="E466" i="39"/>
  <c r="E457" i="39"/>
  <c r="E448" i="39"/>
  <c r="E439" i="39"/>
  <c r="E430" i="39"/>
  <c r="E421" i="39"/>
  <c r="E412" i="39"/>
  <c r="E402" i="39"/>
  <c r="E393" i="39"/>
  <c r="E384" i="39"/>
  <c r="E375" i="39"/>
  <c r="E366" i="39"/>
  <c r="E357" i="39"/>
  <c r="E348" i="39"/>
  <c r="E338" i="39"/>
  <c r="E329" i="39"/>
  <c r="E320" i="39"/>
  <c r="E311" i="39"/>
  <c r="E302" i="39"/>
  <c r="E293" i="39"/>
  <c r="E284" i="39"/>
  <c r="E274" i="39"/>
  <c r="E265" i="39"/>
  <c r="E256" i="39"/>
  <c r="E247" i="39"/>
  <c r="E237" i="39"/>
  <c r="E227" i="39"/>
  <c r="E217" i="39"/>
  <c r="E188" i="39"/>
  <c r="E168" i="39"/>
  <c r="E158" i="39"/>
  <c r="E138" i="39"/>
  <c r="E128" i="39"/>
  <c r="E106" i="39"/>
  <c r="E96" i="39"/>
  <c r="E74" i="39"/>
  <c r="E51" i="39"/>
  <c r="E40" i="39"/>
  <c r="E5" i="39"/>
  <c r="E762" i="39"/>
  <c r="E754" i="39"/>
  <c r="E746" i="39"/>
  <c r="E738" i="39"/>
  <c r="E730" i="39"/>
  <c r="E722" i="39"/>
  <c r="E714" i="39"/>
  <c r="E706" i="39"/>
  <c r="E698" i="39"/>
  <c r="E690" i="39"/>
  <c r="E682" i="39"/>
  <c r="E665" i="39"/>
  <c r="E648" i="39"/>
  <c r="E639" i="39"/>
  <c r="E630" i="39"/>
  <c r="E621" i="39"/>
  <c r="E612" i="39"/>
  <c r="E602" i="39"/>
  <c r="E593" i="39"/>
  <c r="E584" i="39"/>
  <c r="E575" i="39"/>
  <c r="E566" i="39"/>
  <c r="E557" i="39"/>
  <c r="E548" i="39"/>
  <c r="E538" i="39"/>
  <c r="E529" i="39"/>
  <c r="E520" i="39"/>
  <c r="E511" i="39"/>
  <c r="E502" i="39"/>
  <c r="E493" i="39"/>
  <c r="E484" i="39"/>
  <c r="E474" i="39"/>
  <c r="E465" i="39"/>
  <c r="E456" i="39"/>
  <c r="E447" i="39"/>
  <c r="E438" i="39"/>
  <c r="E429" i="39"/>
  <c r="E420" i="39"/>
  <c r="E410" i="39"/>
  <c r="E401" i="39"/>
  <c r="E392" i="39"/>
  <c r="E383" i="39"/>
  <c r="E374" i="39"/>
  <c r="E365" i="39"/>
  <c r="E356" i="39"/>
  <c r="E346" i="39"/>
  <c r="E337" i="39"/>
  <c r="E328" i="39"/>
  <c r="E319" i="39"/>
  <c r="E310" i="39"/>
  <c r="E301" i="39"/>
  <c r="E292" i="39"/>
  <c r="E282" i="39"/>
  <c r="E273" i="39"/>
  <c r="E264" i="39"/>
  <c r="E255" i="39"/>
  <c r="E236" i="39"/>
  <c r="E216" i="39"/>
  <c r="E206" i="39"/>
  <c r="E186" i="39"/>
  <c r="E167" i="39"/>
  <c r="E157" i="39"/>
  <c r="E147" i="39"/>
  <c r="E137" i="39"/>
  <c r="E127" i="39"/>
  <c r="E105" i="39"/>
  <c r="E95" i="39"/>
  <c r="E73" i="39"/>
  <c r="E39" i="39"/>
  <c r="E26" i="39"/>
  <c r="E3" i="39"/>
  <c r="E2" i="39"/>
  <c r="E70" i="39"/>
  <c r="E62" i="39"/>
  <c r="E54" i="39"/>
  <c r="E46" i="39"/>
  <c r="E38" i="39"/>
  <c r="E30" i="39"/>
  <c r="E22" i="39"/>
  <c r="E14" i="39"/>
  <c r="E6" i="39"/>
  <c r="E132" i="39"/>
  <c r="E124" i="39"/>
  <c r="E116" i="39"/>
  <c r="E108" i="39"/>
  <c r="E100" i="39"/>
  <c r="E92" i="39"/>
  <c r="E84" i="39"/>
  <c r="E76" i="39"/>
  <c r="E68" i="39"/>
  <c r="E60" i="39"/>
  <c r="E52" i="39"/>
  <c r="E44" i="39"/>
  <c r="E36" i="39"/>
  <c r="E28" i="39"/>
  <c r="E20" i="39"/>
  <c r="E12" i="39"/>
  <c r="E4" i="39"/>
  <c r="B940" i="39"/>
  <c r="B876" i="39"/>
  <c r="B812" i="39"/>
  <c r="B802" i="39"/>
  <c r="B783" i="39"/>
  <c r="B753" i="39"/>
  <c r="B734" i="39"/>
  <c r="B723" i="39"/>
  <c r="B704" i="39"/>
  <c r="B684" i="39"/>
  <c r="B661" i="39"/>
  <c r="B634" i="39"/>
  <c r="B622" i="39"/>
  <c r="B609" i="39"/>
  <c r="B595" i="39"/>
  <c r="B583" i="39"/>
  <c r="B555" i="39"/>
  <c r="B526" i="39"/>
  <c r="B511" i="39"/>
  <c r="B480" i="39"/>
  <c r="B463" i="39"/>
  <c r="B426" i="39"/>
  <c r="B406" i="39"/>
  <c r="B389" i="39"/>
  <c r="B369" i="39"/>
  <c r="B331" i="39"/>
  <c r="B312" i="39"/>
  <c r="B288" i="39"/>
  <c r="B264" i="39"/>
  <c r="B167" i="39"/>
  <c r="B139" i="39"/>
  <c r="B74" i="39"/>
  <c r="B994" i="39"/>
  <c r="B985" i="39"/>
  <c r="B976" i="39"/>
  <c r="B967" i="39"/>
  <c r="B958" i="39"/>
  <c r="B949" i="39"/>
  <c r="B939" i="39"/>
  <c r="B930" i="39"/>
  <c r="B921" i="39"/>
  <c r="B912" i="39"/>
  <c r="B903" i="39"/>
  <c r="B894" i="39"/>
  <c r="B885" i="39"/>
  <c r="B875" i="39"/>
  <c r="B866" i="39"/>
  <c r="B857" i="39"/>
  <c r="B848" i="39"/>
  <c r="B839" i="39"/>
  <c r="B830" i="39"/>
  <c r="B821" i="39"/>
  <c r="B811" i="39"/>
  <c r="B792" i="39"/>
  <c r="B772" i="39"/>
  <c r="B762" i="39"/>
  <c r="B743" i="39"/>
  <c r="B713" i="39"/>
  <c r="B694" i="39"/>
  <c r="B683" i="39"/>
  <c r="B672" i="39"/>
  <c r="B648" i="39"/>
  <c r="B594" i="39"/>
  <c r="B582" i="39"/>
  <c r="B569" i="39"/>
  <c r="B554" i="39"/>
  <c r="B510" i="39"/>
  <c r="B495" i="39"/>
  <c r="B462" i="39"/>
  <c r="B444" i="39"/>
  <c r="B330" i="39"/>
  <c r="B307" i="39"/>
  <c r="B287" i="39"/>
  <c r="B263" i="39"/>
  <c r="B240" i="39"/>
  <c r="B217" i="39"/>
  <c r="B192" i="39"/>
  <c r="B138" i="39"/>
  <c r="B109" i="39"/>
  <c r="B948" i="39"/>
  <c r="B884" i="39"/>
  <c r="B820" i="39"/>
  <c r="B801" i="39"/>
  <c r="B782" i="39"/>
  <c r="B771" i="39"/>
  <c r="B752" i="39"/>
  <c r="B732" i="39"/>
  <c r="B722" i="39"/>
  <c r="B703" i="39"/>
  <c r="B660" i="39"/>
  <c r="B633" i="39"/>
  <c r="B621" i="39"/>
  <c r="B608" i="39"/>
  <c r="B540" i="39"/>
  <c r="B525" i="39"/>
  <c r="B494" i="39"/>
  <c r="B460" i="39"/>
  <c r="B443" i="39"/>
  <c r="B423" i="39"/>
  <c r="B405" i="39"/>
  <c r="B385" i="39"/>
  <c r="B368" i="39"/>
  <c r="B348" i="39"/>
  <c r="B306" i="39"/>
  <c r="B191" i="39"/>
  <c r="B165" i="39"/>
  <c r="B106" i="39"/>
  <c r="B73" i="39"/>
  <c r="B993" i="39"/>
  <c r="B984" i="39"/>
  <c r="B975" i="39"/>
  <c r="B966" i="39"/>
  <c r="B957" i="39"/>
  <c r="B947" i="39"/>
  <c r="B938" i="39"/>
  <c r="B929" i="39"/>
  <c r="B920" i="39"/>
  <c r="B911" i="39"/>
  <c r="B902" i="39"/>
  <c r="B893" i="39"/>
  <c r="B883" i="39"/>
  <c r="B874" i="39"/>
  <c r="B865" i="39"/>
  <c r="B856" i="39"/>
  <c r="B847" i="39"/>
  <c r="B838" i="39"/>
  <c r="B829" i="39"/>
  <c r="B819" i="39"/>
  <c r="B810" i="39"/>
  <c r="B791" i="39"/>
  <c r="B761" i="39"/>
  <c r="B742" i="39"/>
  <c r="B731" i="39"/>
  <c r="B712" i="39"/>
  <c r="B692" i="39"/>
  <c r="B682" i="39"/>
  <c r="B671" i="39"/>
  <c r="B659" i="39"/>
  <c r="B606" i="39"/>
  <c r="B593" i="39"/>
  <c r="B581" i="39"/>
  <c r="B567" i="39"/>
  <c r="B553" i="39"/>
  <c r="B539" i="39"/>
  <c r="B508" i="39"/>
  <c r="B476" i="39"/>
  <c r="B459" i="39"/>
  <c r="B442" i="39"/>
  <c r="B422" i="39"/>
  <c r="B403" i="39"/>
  <c r="B367" i="39"/>
  <c r="B347" i="39"/>
  <c r="B327" i="39"/>
  <c r="B261" i="39"/>
  <c r="B237" i="39"/>
  <c r="B162" i="39"/>
  <c r="B136" i="39"/>
  <c r="B104" i="39"/>
  <c r="B67" i="39"/>
  <c r="B956" i="39"/>
  <c r="B892" i="39"/>
  <c r="B828" i="39"/>
  <c r="B800" i="39"/>
  <c r="B780" i="39"/>
  <c r="B770" i="39"/>
  <c r="B751" i="39"/>
  <c r="B721" i="39"/>
  <c r="B702" i="39"/>
  <c r="B691" i="39"/>
  <c r="B670" i="39"/>
  <c r="B658" i="39"/>
  <c r="B632" i="39"/>
  <c r="B619" i="39"/>
  <c r="B605" i="39"/>
  <c r="B580" i="39"/>
  <c r="B537" i="39"/>
  <c r="B524" i="39"/>
  <c r="B506" i="39"/>
  <c r="B491" i="39"/>
  <c r="B475" i="39"/>
  <c r="B458" i="39"/>
  <c r="B384" i="39"/>
  <c r="B364" i="39"/>
  <c r="B346" i="39"/>
  <c r="B326" i="39"/>
  <c r="B304" i="39"/>
  <c r="B281" i="39"/>
  <c r="B186" i="39"/>
  <c r="B161" i="39"/>
  <c r="B133" i="39"/>
  <c r="B66" i="39"/>
  <c r="B992" i="39"/>
  <c r="B983" i="39"/>
  <c r="B974" i="39"/>
  <c r="B965" i="39"/>
  <c r="B955" i="39"/>
  <c r="B946" i="39"/>
  <c r="B937" i="39"/>
  <c r="B928" i="39"/>
  <c r="B919" i="39"/>
  <c r="B910" i="39"/>
  <c r="B901" i="39"/>
  <c r="B891" i="39"/>
  <c r="B882" i="39"/>
  <c r="B873" i="39"/>
  <c r="B864" i="39"/>
  <c r="B855" i="39"/>
  <c r="B846" i="39"/>
  <c r="B837" i="39"/>
  <c r="B827" i="39"/>
  <c r="B818" i="39"/>
  <c r="B809" i="39"/>
  <c r="B790" i="39"/>
  <c r="B779" i="39"/>
  <c r="B760" i="39"/>
  <c r="B740" i="39"/>
  <c r="B730" i="39"/>
  <c r="B711" i="39"/>
  <c r="B681" i="39"/>
  <c r="B644" i="39"/>
  <c r="B618" i="39"/>
  <c r="B592" i="39"/>
  <c r="B579" i="39"/>
  <c r="B565" i="39"/>
  <c r="B536" i="39"/>
  <c r="B523" i="39"/>
  <c r="B490" i="39"/>
  <c r="B474" i="39"/>
  <c r="B438" i="39"/>
  <c r="B421" i="39"/>
  <c r="B401" i="39"/>
  <c r="B363" i="39"/>
  <c r="B235" i="39"/>
  <c r="B210" i="39"/>
  <c r="B185" i="39"/>
  <c r="B160" i="39"/>
  <c r="B131" i="39"/>
  <c r="B101" i="39"/>
  <c r="B1000" i="39"/>
  <c r="B964" i="39"/>
  <c r="B900" i="39"/>
  <c r="B836" i="39"/>
  <c r="B799" i="39"/>
  <c r="B769" i="39"/>
  <c r="B750" i="39"/>
  <c r="B739" i="39"/>
  <c r="B720" i="39"/>
  <c r="B700" i="39"/>
  <c r="B690" i="39"/>
  <c r="B669" i="39"/>
  <c r="B657" i="39"/>
  <c r="B643" i="39"/>
  <c r="B631" i="39"/>
  <c r="B604" i="39"/>
  <c r="B578" i="39"/>
  <c r="B550" i="39"/>
  <c r="B505" i="39"/>
  <c r="B455" i="39"/>
  <c r="B362" i="39"/>
  <c r="B342" i="39"/>
  <c r="B325" i="39"/>
  <c r="B301" i="39"/>
  <c r="B256" i="39"/>
  <c r="B234" i="39"/>
  <c r="B159" i="39"/>
  <c r="B130" i="39"/>
  <c r="B97" i="39"/>
  <c r="B59" i="39"/>
  <c r="B991" i="39"/>
  <c r="B982" i="39"/>
  <c r="B973" i="39"/>
  <c r="B963" i="39"/>
  <c r="B954" i="39"/>
  <c r="B945" i="39"/>
  <c r="B936" i="39"/>
  <c r="B927" i="39"/>
  <c r="B918" i="39"/>
  <c r="B909" i="39"/>
  <c r="B899" i="39"/>
  <c r="B890" i="39"/>
  <c r="B881" i="39"/>
  <c r="B872" i="39"/>
  <c r="B863" i="39"/>
  <c r="B854" i="39"/>
  <c r="B845" i="39"/>
  <c r="B835" i="39"/>
  <c r="B826" i="39"/>
  <c r="B817" i="39"/>
  <c r="B808" i="39"/>
  <c r="B788" i="39"/>
  <c r="B778" i="39"/>
  <c r="B759" i="39"/>
  <c r="B729" i="39"/>
  <c r="B710" i="39"/>
  <c r="B699" i="39"/>
  <c r="B680" i="39"/>
  <c r="B642" i="39"/>
  <c r="B630" i="39"/>
  <c r="B616" i="39"/>
  <c r="B603" i="39"/>
  <c r="B591" i="39"/>
  <c r="B564" i="39"/>
  <c r="B535" i="39"/>
  <c r="B520" i="39"/>
  <c r="B488" i="39"/>
  <c r="B473" i="39"/>
  <c r="B454" i="39"/>
  <c r="B437" i="39"/>
  <c r="B417" i="39"/>
  <c r="B400" i="39"/>
  <c r="B380" i="39"/>
  <c r="B255" i="39"/>
  <c r="B231" i="39"/>
  <c r="B209" i="39"/>
  <c r="B184" i="39"/>
  <c r="B58" i="39"/>
  <c r="B999" i="39"/>
  <c r="B972" i="39"/>
  <c r="B908" i="39"/>
  <c r="B844" i="39"/>
  <c r="B798" i="39"/>
  <c r="B787" i="39"/>
  <c r="B768" i="39"/>
  <c r="B748" i="39"/>
  <c r="B738" i="39"/>
  <c r="B719" i="39"/>
  <c r="B689" i="39"/>
  <c r="B668" i="39"/>
  <c r="B654" i="39"/>
  <c r="B629" i="39"/>
  <c r="B615" i="39"/>
  <c r="B602" i="39"/>
  <c r="B563" i="39"/>
  <c r="B549" i="39"/>
  <c r="B534" i="39"/>
  <c r="B504" i="39"/>
  <c r="B487" i="39"/>
  <c r="B470" i="39"/>
  <c r="B435" i="39"/>
  <c r="B399" i="39"/>
  <c r="B379" i="39"/>
  <c r="B359" i="39"/>
  <c r="B341" i="39"/>
  <c r="B299" i="39"/>
  <c r="B275" i="39"/>
  <c r="B205" i="39"/>
  <c r="B179" i="39"/>
  <c r="B125" i="39"/>
  <c r="B96" i="39"/>
  <c r="B53" i="39"/>
  <c r="B990" i="39"/>
  <c r="B981" i="39"/>
  <c r="B971" i="39"/>
  <c r="B962" i="39"/>
  <c r="B953" i="39"/>
  <c r="B944" i="39"/>
  <c r="B935" i="39"/>
  <c r="B926" i="39"/>
  <c r="B917" i="39"/>
  <c r="B907" i="39"/>
  <c r="B898" i="39"/>
  <c r="B889" i="39"/>
  <c r="B880" i="39"/>
  <c r="B871" i="39"/>
  <c r="B862" i="39"/>
  <c r="B853" i="39"/>
  <c r="B843" i="39"/>
  <c r="B834" i="39"/>
  <c r="B825" i="39"/>
  <c r="B816" i="39"/>
  <c r="B807" i="39"/>
  <c r="B777" i="39"/>
  <c r="B758" i="39"/>
  <c r="B747" i="39"/>
  <c r="B728" i="39"/>
  <c r="B708" i="39"/>
  <c r="B698" i="39"/>
  <c r="B679" i="39"/>
  <c r="B667" i="39"/>
  <c r="B641" i="39"/>
  <c r="B614" i="39"/>
  <c r="B589" i="39"/>
  <c r="B575" i="39"/>
  <c r="B562" i="39"/>
  <c r="B547" i="39"/>
  <c r="B486" i="39"/>
  <c r="B453" i="39"/>
  <c r="B416" i="39"/>
  <c r="B396" i="39"/>
  <c r="B378" i="39"/>
  <c r="B358" i="39"/>
  <c r="B339" i="39"/>
  <c r="B320" i="39"/>
  <c r="B298" i="39"/>
  <c r="B274" i="39"/>
  <c r="B250" i="39"/>
  <c r="B229" i="39"/>
  <c r="B178" i="39"/>
  <c r="B153" i="39"/>
  <c r="B998" i="39"/>
  <c r="B980" i="39"/>
  <c r="B916" i="39"/>
  <c r="B852" i="39"/>
  <c r="B796" i="39"/>
  <c r="B786" i="39"/>
  <c r="B767" i="39"/>
  <c r="B737" i="39"/>
  <c r="B718" i="39"/>
  <c r="B707" i="39"/>
  <c r="B688" i="39"/>
  <c r="B678" i="39"/>
  <c r="B665" i="39"/>
  <c r="B653" i="39"/>
  <c r="B628" i="39"/>
  <c r="B601" i="39"/>
  <c r="B574" i="39"/>
  <c r="B561" i="39"/>
  <c r="B533" i="39"/>
  <c r="B501" i="39"/>
  <c r="B469" i="39"/>
  <c r="B433" i="39"/>
  <c r="B395" i="39"/>
  <c r="B319" i="39"/>
  <c r="B295" i="39"/>
  <c r="B226" i="39"/>
  <c r="B203" i="39"/>
  <c r="B123" i="39"/>
  <c r="B89" i="39"/>
  <c r="B989" i="39"/>
  <c r="B979" i="39"/>
  <c r="B970" i="39"/>
  <c r="B961" i="39"/>
  <c r="B952" i="39"/>
  <c r="B943" i="39"/>
  <c r="B934" i="39"/>
  <c r="B925" i="39"/>
  <c r="B915" i="39"/>
  <c r="B906" i="39"/>
  <c r="B897" i="39"/>
  <c r="B888" i="39"/>
  <c r="B879" i="39"/>
  <c r="B870" i="39"/>
  <c r="B861" i="39"/>
  <c r="B851" i="39"/>
  <c r="B842" i="39"/>
  <c r="B833" i="39"/>
  <c r="B824" i="39"/>
  <c r="B815" i="39"/>
  <c r="B806" i="39"/>
  <c r="B795" i="39"/>
  <c r="B776" i="39"/>
  <c r="B756" i="39"/>
  <c r="B746" i="39"/>
  <c r="B727" i="39"/>
  <c r="B697" i="39"/>
  <c r="B664" i="39"/>
  <c r="B640" i="39"/>
  <c r="B613" i="39"/>
  <c r="B586" i="39"/>
  <c r="B560" i="39"/>
  <c r="B545" i="39"/>
  <c r="B532" i="39"/>
  <c r="B516" i="39"/>
  <c r="B485" i="39"/>
  <c r="B467" i="39"/>
  <c r="B452" i="39"/>
  <c r="B394" i="39"/>
  <c r="B374" i="39"/>
  <c r="B357" i="39"/>
  <c r="B337" i="39"/>
  <c r="B273" i="39"/>
  <c r="B249" i="39"/>
  <c r="B225" i="39"/>
  <c r="B201" i="39"/>
  <c r="B176" i="39"/>
  <c r="B149" i="39"/>
  <c r="B121" i="39"/>
  <c r="B45" i="39"/>
  <c r="B997" i="39"/>
  <c r="B988" i="39"/>
  <c r="B924" i="39"/>
  <c r="B860" i="39"/>
  <c r="B785" i="39"/>
  <c r="B766" i="39"/>
  <c r="B755" i="39"/>
  <c r="B736" i="39"/>
  <c r="B716" i="39"/>
  <c r="B706" i="39"/>
  <c r="B687" i="39"/>
  <c r="B677" i="39"/>
  <c r="B652" i="39"/>
  <c r="B639" i="39"/>
  <c r="B585" i="39"/>
  <c r="B573" i="39"/>
  <c r="B530" i="39"/>
  <c r="B515" i="39"/>
  <c r="B500" i="39"/>
  <c r="B449" i="39"/>
  <c r="B432" i="39"/>
  <c r="B412" i="39"/>
  <c r="B314" i="39"/>
  <c r="B293" i="39"/>
  <c r="B269" i="39"/>
  <c r="B200" i="39"/>
  <c r="B147" i="39"/>
  <c r="B117" i="39"/>
  <c r="B88" i="39"/>
  <c r="B40" i="39"/>
  <c r="B987" i="39"/>
  <c r="B978" i="39"/>
  <c r="B969" i="39"/>
  <c r="B960" i="39"/>
  <c r="B951" i="39"/>
  <c r="B942" i="39"/>
  <c r="B933" i="39"/>
  <c r="B923" i="39"/>
  <c r="B914" i="39"/>
  <c r="B905" i="39"/>
  <c r="B896" i="39"/>
  <c r="B887" i="39"/>
  <c r="B878" i="39"/>
  <c r="B869" i="39"/>
  <c r="B859" i="39"/>
  <c r="B850" i="39"/>
  <c r="B841" i="39"/>
  <c r="B832" i="39"/>
  <c r="B823" i="39"/>
  <c r="B814" i="39"/>
  <c r="B804" i="39"/>
  <c r="B794" i="39"/>
  <c r="B775" i="39"/>
  <c r="B745" i="39"/>
  <c r="B726" i="39"/>
  <c r="B715" i="39"/>
  <c r="B696" i="39"/>
  <c r="B675" i="39"/>
  <c r="B663" i="39"/>
  <c r="B651" i="39"/>
  <c r="B638" i="39"/>
  <c r="B624" i="39"/>
  <c r="B612" i="39"/>
  <c r="B599" i="39"/>
  <c r="B559" i="39"/>
  <c r="B544" i="39"/>
  <c r="B514" i="39"/>
  <c r="B484" i="39"/>
  <c r="B465" i="39"/>
  <c r="B431" i="39"/>
  <c r="B411" i="39"/>
  <c r="B391" i="39"/>
  <c r="B373" i="39"/>
  <c r="B353" i="39"/>
  <c r="B336" i="39"/>
  <c r="B290" i="39"/>
  <c r="B248" i="39"/>
  <c r="B224" i="39"/>
  <c r="B996" i="39"/>
  <c r="B932" i="39"/>
  <c r="B868" i="39"/>
  <c r="B803" i="39"/>
  <c r="B784" i="39"/>
  <c r="B764" i="39"/>
  <c r="B754" i="39"/>
  <c r="B735" i="39"/>
  <c r="B705" i="39"/>
  <c r="B686" i="39"/>
  <c r="B662" i="39"/>
  <c r="B650" i="39"/>
  <c r="B611" i="39"/>
  <c r="B598" i="39"/>
  <c r="B584" i="39"/>
  <c r="B572" i="39"/>
  <c r="B557" i="39"/>
  <c r="B529" i="39"/>
  <c r="B481" i="39"/>
  <c r="B448" i="39"/>
  <c r="B428" i="39"/>
  <c r="B410" i="39"/>
  <c r="B390" i="39"/>
  <c r="B371" i="39"/>
  <c r="B335" i="39"/>
  <c r="B313" i="39"/>
  <c r="B289" i="39"/>
  <c r="B267" i="39"/>
  <c r="B243" i="39"/>
  <c r="B223" i="39"/>
  <c r="B197" i="39"/>
  <c r="B171" i="39"/>
  <c r="B145" i="39"/>
  <c r="B115" i="39"/>
  <c r="B81" i="39"/>
  <c r="B32" i="39"/>
  <c r="B995" i="39"/>
  <c r="B986" i="39"/>
  <c r="B977" i="39"/>
  <c r="B968" i="39"/>
  <c r="B959" i="39"/>
  <c r="B950" i="39"/>
  <c r="B941" i="39"/>
  <c r="B931" i="39"/>
  <c r="B922" i="39"/>
  <c r="B913" i="39"/>
  <c r="B904" i="39"/>
  <c r="B895" i="39"/>
  <c r="B886" i="39"/>
  <c r="B877" i="39"/>
  <c r="B867" i="39"/>
  <c r="B858" i="39"/>
  <c r="B849" i="39"/>
  <c r="B840" i="39"/>
  <c r="B831" i="39"/>
  <c r="B822" i="39"/>
  <c r="B813" i="39"/>
  <c r="B793" i="39"/>
  <c r="B774" i="39"/>
  <c r="B763" i="39"/>
  <c r="B744" i="39"/>
  <c r="B724" i="39"/>
  <c r="B714" i="39"/>
  <c r="B695" i="39"/>
  <c r="B673" i="39"/>
  <c r="B636" i="39"/>
  <c r="B623" i="39"/>
  <c r="B610" i="39"/>
  <c r="B571" i="39"/>
  <c r="B556" i="39"/>
  <c r="B543" i="39"/>
  <c r="B513" i="39"/>
  <c r="B496" i="39"/>
  <c r="B464" i="39"/>
  <c r="B427" i="39"/>
  <c r="B352" i="39"/>
  <c r="B332" i="39"/>
  <c r="B265" i="39"/>
  <c r="B242" i="39"/>
  <c r="B170" i="39"/>
  <c r="B112" i="39"/>
  <c r="B25" i="39"/>
  <c r="B211" i="39"/>
  <c r="B199" i="39"/>
  <c r="B173" i="39"/>
  <c r="B146" i="39"/>
  <c r="B75" i="39"/>
  <c r="B61" i="39"/>
  <c r="B48" i="39"/>
  <c r="B33" i="39"/>
  <c r="B18" i="39"/>
  <c r="B17" i="39"/>
  <c r="B441" i="39"/>
  <c r="B430" i="39"/>
  <c r="B420" i="39"/>
  <c r="B409" i="39"/>
  <c r="B398" i="39"/>
  <c r="B388" i="39"/>
  <c r="B377" i="39"/>
  <c r="B366" i="39"/>
  <c r="B356" i="39"/>
  <c r="B345" i="39"/>
  <c r="B334" i="39"/>
  <c r="B323" i="39"/>
  <c r="B311" i="39"/>
  <c r="B285" i="39"/>
  <c r="B259" i="39"/>
  <c r="B247" i="39"/>
  <c r="B221" i="39"/>
  <c r="B195" i="39"/>
  <c r="B183" i="39"/>
  <c r="B157" i="39"/>
  <c r="B144" i="39"/>
  <c r="B129" i="39"/>
  <c r="B114" i="39"/>
  <c r="B43" i="39"/>
  <c r="B29" i="39"/>
  <c r="B16" i="39"/>
  <c r="B552" i="39"/>
  <c r="B542" i="39"/>
  <c r="B522" i="39"/>
  <c r="B503" i="39"/>
  <c r="B493" i="39"/>
  <c r="B483" i="39"/>
  <c r="B451" i="39"/>
  <c r="B419" i="39"/>
  <c r="B387" i="39"/>
  <c r="B355" i="39"/>
  <c r="B322" i="39"/>
  <c r="B297" i="39"/>
  <c r="B272" i="39"/>
  <c r="B258" i="39"/>
  <c r="B233" i="39"/>
  <c r="B208" i="39"/>
  <c r="B194" i="39"/>
  <c r="B169" i="39"/>
  <c r="B99" i="39"/>
  <c r="B85" i="39"/>
  <c r="B72" i="39"/>
  <c r="B57" i="39"/>
  <c r="B42" i="39"/>
  <c r="B512" i="39"/>
  <c r="B502" i="39"/>
  <c r="B482" i="39"/>
  <c r="B472" i="39"/>
  <c r="B461" i="39"/>
  <c r="B450" i="39"/>
  <c r="B440" i="39"/>
  <c r="B429" i="39"/>
  <c r="B418" i="39"/>
  <c r="B408" i="39"/>
  <c r="B397" i="39"/>
  <c r="B386" i="39"/>
  <c r="B376" i="39"/>
  <c r="B365" i="39"/>
  <c r="B354" i="39"/>
  <c r="B344" i="39"/>
  <c r="B333" i="39"/>
  <c r="B309" i="39"/>
  <c r="B283" i="39"/>
  <c r="B271" i="39"/>
  <c r="B245" i="39"/>
  <c r="B219" i="39"/>
  <c r="B207" i="39"/>
  <c r="B181" i="39"/>
  <c r="B155" i="39"/>
  <c r="B141" i="39"/>
  <c r="B128" i="39"/>
  <c r="B113" i="39"/>
  <c r="B98" i="39"/>
  <c r="B27" i="39"/>
  <c r="B13" i="39"/>
  <c r="B649" i="39"/>
  <c r="B620" i="39"/>
  <c r="B600" i="39"/>
  <c r="B590" i="39"/>
  <c r="B570" i="39"/>
  <c r="B551" i="39"/>
  <c r="B541" i="39"/>
  <c r="B531" i="39"/>
  <c r="B521" i="39"/>
  <c r="B492" i="39"/>
  <c r="B471" i="39"/>
  <c r="B439" i="39"/>
  <c r="B407" i="39"/>
  <c r="B375" i="39"/>
  <c r="B343" i="39"/>
  <c r="B321" i="39"/>
  <c r="B296" i="39"/>
  <c r="B282" i="39"/>
  <c r="B257" i="39"/>
  <c r="B232" i="39"/>
  <c r="B218" i="39"/>
  <c r="B193" i="39"/>
  <c r="B168" i="39"/>
  <c r="B154" i="39"/>
  <c r="B83" i="39"/>
  <c r="B69" i="39"/>
  <c r="B56" i="39"/>
  <c r="B41" i="39"/>
  <c r="B26" i="39"/>
  <c r="B82" i="39"/>
  <c r="B11" i="39"/>
  <c r="B10" i="39"/>
  <c r="B805" i="39"/>
  <c r="B797" i="39"/>
  <c r="B789" i="39"/>
  <c r="B781" i="39"/>
  <c r="B773" i="39"/>
  <c r="B765" i="39"/>
  <c r="B757" i="39"/>
  <c r="B749" i="39"/>
  <c r="B741" i="39"/>
  <c r="B733" i="39"/>
  <c r="B725" i="39"/>
  <c r="B717" i="39"/>
  <c r="B709" i="39"/>
  <c r="B701" i="39"/>
  <c r="B693" i="39"/>
  <c r="B685" i="39"/>
  <c r="B666" i="39"/>
  <c r="B647" i="39"/>
  <c r="B637" i="39"/>
  <c r="B627" i="39"/>
  <c r="B617" i="39"/>
  <c r="B588" i="39"/>
  <c r="B568" i="39"/>
  <c r="B558" i="39"/>
  <c r="B538" i="39"/>
  <c r="B519" i="39"/>
  <c r="B509" i="39"/>
  <c r="B499" i="39"/>
  <c r="B489" i="39"/>
  <c r="B479" i="39"/>
  <c r="B447" i="39"/>
  <c r="B415" i="39"/>
  <c r="B383" i="39"/>
  <c r="B351" i="39"/>
  <c r="B305" i="39"/>
  <c r="B280" i="39"/>
  <c r="B266" i="39"/>
  <c r="B241" i="39"/>
  <c r="B216" i="39"/>
  <c r="B202" i="39"/>
  <c r="B177" i="39"/>
  <c r="B152" i="39"/>
  <c r="B137" i="39"/>
  <c r="B122" i="39"/>
  <c r="B51" i="39"/>
  <c r="B37" i="39"/>
  <c r="B24" i="39"/>
  <c r="B9" i="39"/>
  <c r="B676" i="39"/>
  <c r="B656" i="39"/>
  <c r="B646" i="39"/>
  <c r="B626" i="39"/>
  <c r="B607" i="39"/>
  <c r="B597" i="39"/>
  <c r="B587" i="39"/>
  <c r="B577" i="39"/>
  <c r="B548" i="39"/>
  <c r="B528" i="39"/>
  <c r="B518" i="39"/>
  <c r="B498" i="39"/>
  <c r="B478" i="39"/>
  <c r="B468" i="39"/>
  <c r="B457" i="39"/>
  <c r="B446" i="39"/>
  <c r="B436" i="39"/>
  <c r="B425" i="39"/>
  <c r="B414" i="39"/>
  <c r="B404" i="39"/>
  <c r="B393" i="39"/>
  <c r="B382" i="39"/>
  <c r="B372" i="39"/>
  <c r="B361" i="39"/>
  <c r="B350" i="39"/>
  <c r="B340" i="39"/>
  <c r="B329" i="39"/>
  <c r="B317" i="39"/>
  <c r="B291" i="39"/>
  <c r="B279" i="39"/>
  <c r="B253" i="39"/>
  <c r="B227" i="39"/>
  <c r="B215" i="39"/>
  <c r="B189" i="39"/>
  <c r="B163" i="39"/>
  <c r="B107" i="39"/>
  <c r="B93" i="39"/>
  <c r="B80" i="39"/>
  <c r="B65" i="39"/>
  <c r="B50" i="39"/>
  <c r="B35" i="39"/>
  <c r="B21" i="39"/>
  <c r="B8" i="39"/>
  <c r="B674" i="39"/>
  <c r="B655" i="39"/>
  <c r="B645" i="39"/>
  <c r="B635" i="39"/>
  <c r="B625" i="39"/>
  <c r="B596" i="39"/>
  <c r="B576" i="39"/>
  <c r="B566" i="39"/>
  <c r="B546" i="39"/>
  <c r="B527" i="39"/>
  <c r="B517" i="39"/>
  <c r="B507" i="39"/>
  <c r="B497" i="39"/>
  <c r="B477" i="39"/>
  <c r="B466" i="39"/>
  <c r="B456" i="39"/>
  <c r="B445" i="39"/>
  <c r="B434" i="39"/>
  <c r="B424" i="39"/>
  <c r="B413" i="39"/>
  <c r="B402" i="39"/>
  <c r="B392" i="39"/>
  <c r="B381" i="39"/>
  <c r="B370" i="39"/>
  <c r="B360" i="39"/>
  <c r="B349" i="39"/>
  <c r="B338" i="39"/>
  <c r="B328" i="39"/>
  <c r="B315" i="39"/>
  <c r="B303" i="39"/>
  <c r="B277" i="39"/>
  <c r="B251" i="39"/>
  <c r="B239" i="39"/>
  <c r="B213" i="39"/>
  <c r="B187" i="39"/>
  <c r="B175" i="39"/>
  <c r="B91" i="39"/>
  <c r="B77" i="39"/>
  <c r="B64" i="39"/>
  <c r="B49" i="39"/>
  <c r="B34" i="39"/>
  <c r="B5" i="39"/>
  <c r="B120" i="39"/>
  <c r="B105" i="39"/>
  <c r="B90" i="39"/>
  <c r="B19" i="39"/>
  <c r="B151" i="39"/>
  <c r="B143" i="39"/>
  <c r="B135" i="39"/>
  <c r="B127" i="39"/>
  <c r="B119" i="39"/>
  <c r="B111" i="39"/>
  <c r="B103" i="39"/>
  <c r="B95" i="39"/>
  <c r="B87" i="39"/>
  <c r="B79" i="39"/>
  <c r="B71" i="39"/>
  <c r="B63" i="39"/>
  <c r="B55" i="39"/>
  <c r="B47" i="39"/>
  <c r="B39" i="39"/>
  <c r="B31" i="39"/>
  <c r="B23" i="39"/>
  <c r="B15" i="39"/>
  <c r="B7" i="39"/>
  <c r="B318" i="39"/>
  <c r="B310" i="39"/>
  <c r="B302" i="39"/>
  <c r="B294" i="39"/>
  <c r="B286" i="39"/>
  <c r="B278" i="39"/>
  <c r="B270" i="39"/>
  <c r="B262" i="39"/>
  <c r="B254" i="39"/>
  <c r="B246" i="39"/>
  <c r="B238" i="39"/>
  <c r="B230" i="39"/>
  <c r="B222" i="39"/>
  <c r="B214" i="39"/>
  <c r="B206" i="39"/>
  <c r="B198" i="39"/>
  <c r="B190" i="39"/>
  <c r="B182" i="39"/>
  <c r="B174" i="39"/>
  <c r="B166" i="39"/>
  <c r="B158" i="39"/>
  <c r="B150" i="39"/>
  <c r="B142" i="39"/>
  <c r="B134" i="39"/>
  <c r="B126" i="39"/>
  <c r="B118" i="39"/>
  <c r="B110" i="39"/>
  <c r="B102" i="39"/>
  <c r="B94" i="39"/>
  <c r="B86" i="39"/>
  <c r="B78" i="39"/>
  <c r="B70" i="39"/>
  <c r="B62" i="39"/>
  <c r="B54" i="39"/>
  <c r="B46" i="39"/>
  <c r="B38" i="39"/>
  <c r="B30" i="39"/>
  <c r="B22" i="39"/>
  <c r="B14" i="39"/>
  <c r="B6" i="39"/>
  <c r="B324" i="39"/>
  <c r="B316" i="39"/>
  <c r="B308" i="39"/>
  <c r="B300" i="39"/>
  <c r="B292" i="39"/>
  <c r="B284" i="39"/>
  <c r="B276" i="39"/>
  <c r="B268" i="39"/>
  <c r="B260" i="39"/>
  <c r="B252" i="39"/>
  <c r="B244" i="39"/>
  <c r="B236" i="39"/>
  <c r="B228" i="39"/>
  <c r="B220" i="39"/>
  <c r="B212" i="39"/>
  <c r="B204" i="39"/>
  <c r="B196" i="39"/>
  <c r="B188" i="39"/>
  <c r="B180" i="39"/>
  <c r="B172" i="39"/>
  <c r="B164" i="39"/>
  <c r="B156" i="39"/>
  <c r="B148" i="39"/>
  <c r="B140" i="39"/>
  <c r="B132" i="39"/>
  <c r="B124" i="39"/>
  <c r="B116" i="39"/>
  <c r="B108" i="39"/>
  <c r="B100" i="39"/>
  <c r="B92" i="39"/>
  <c r="B84" i="39"/>
  <c r="B76" i="39"/>
  <c r="B68" i="39"/>
  <c r="B60" i="39"/>
  <c r="B52" i="39"/>
  <c r="B44" i="39"/>
  <c r="B36" i="39"/>
  <c r="B28" i="39"/>
  <c r="B20" i="39"/>
  <c r="B12" i="39"/>
  <c r="B4" i="39"/>
  <c r="B3" i="39"/>
  <c r="B2" i="39"/>
  <c r="M17" i="38"/>
  <c r="M16" i="38"/>
  <c r="M15" i="38"/>
  <c r="M14" i="38"/>
  <c r="M13" i="38"/>
  <c r="M12" i="38"/>
  <c r="L17" i="38"/>
  <c r="L16" i="38"/>
  <c r="L15" i="38"/>
  <c r="L14" i="38"/>
  <c r="L12" i="38"/>
  <c r="S13" i="4"/>
  <c r="Q20" i="33"/>
  <c r="G23" i="12"/>
  <c r="G24" i="12"/>
  <c r="G25" i="12"/>
  <c r="H25" i="12" s="1"/>
  <c r="G26" i="12"/>
  <c r="H26" i="12" s="1"/>
  <c r="G27" i="12"/>
  <c r="G28" i="12"/>
  <c r="G29" i="12"/>
  <c r="G30" i="12"/>
  <c r="G31" i="12"/>
  <c r="G32" i="12"/>
  <c r="G33" i="12"/>
  <c r="H33" i="12" s="1"/>
  <c r="G34" i="12"/>
  <c r="H34" i="12" s="1"/>
  <c r="G35" i="12"/>
  <c r="G36" i="12"/>
  <c r="H36" i="12" s="1"/>
  <c r="G37" i="12"/>
  <c r="G38" i="12"/>
  <c r="H38" i="12" s="1"/>
  <c r="G39" i="12"/>
  <c r="H39" i="12" s="1"/>
  <c r="G40" i="12"/>
  <c r="G41" i="12"/>
  <c r="G42" i="12"/>
  <c r="H42" i="12" s="1"/>
  <c r="G43" i="12"/>
  <c r="G44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H9" i="12" s="1"/>
  <c r="G8" i="12"/>
  <c r="G7" i="12"/>
  <c r="H15" i="12"/>
  <c r="H11" i="12"/>
  <c r="L13" i="38" a="1"/>
  <c r="G710" i="39" a="1"/>
  <c r="G101" i="39" a="1"/>
  <c r="G661" i="39" a="1"/>
  <c r="G467" i="39" a="1"/>
  <c r="G517" i="39" a="1"/>
  <c r="G394" i="39" a="1"/>
  <c r="G655" i="39" a="1"/>
  <c r="G339" i="39" a="1"/>
  <c r="G945" i="39" a="1"/>
  <c r="G998" i="39" a="1"/>
  <c r="G865" i="39" a="1"/>
  <c r="G480" i="39" a="1"/>
  <c r="G597" i="39" a="1"/>
  <c r="G566" i="39" a="1"/>
  <c r="G89" i="39" a="1"/>
  <c r="G192" i="39" a="1"/>
  <c r="G558" i="39" a="1"/>
  <c r="G930" i="39" a="1"/>
  <c r="G923" i="39" a="1"/>
  <c r="G77" i="39" a="1"/>
  <c r="G987" i="39" a="1"/>
  <c r="G94" i="39" a="1"/>
  <c r="C90" i="31" a="1"/>
  <c r="G498" i="39" a="1"/>
  <c r="G978" i="39" a="1"/>
  <c r="G971" i="39" a="1"/>
  <c r="G149" i="39" a="1"/>
  <c r="G203" i="39" a="1"/>
  <c r="G431" i="39" a="1"/>
  <c r="G489" i="39" a="1"/>
  <c r="G490" i="39" a="1"/>
  <c r="G665" i="39" a="1"/>
  <c r="G95" i="39" a="1"/>
  <c r="G986" i="39" a="1"/>
  <c r="G153" i="39" a="1"/>
  <c r="G915" i="39" a="1"/>
  <c r="G883" i="39" a="1"/>
  <c r="G913" i="39" a="1"/>
  <c r="C51" i="31" a="1"/>
  <c r="G347" i="39" a="1"/>
  <c r="G210" i="39" a="1"/>
  <c r="G115" i="39" a="1"/>
  <c r="G83" i="39" a="1"/>
  <c r="G627" i="39" a="1"/>
  <c r="C17" i="31" a="1"/>
  <c r="G565" i="39" a="1"/>
  <c r="G716" i="39" a="1"/>
  <c r="G680" i="39" a="1"/>
  <c r="G333" i="39" a="1"/>
  <c r="C70" i="31" a="1"/>
  <c r="G384" i="39" a="1"/>
  <c r="G960" i="39" a="1"/>
  <c r="G353" i="39" a="1"/>
  <c r="G835" i="39" a="1"/>
  <c r="G967" i="39" a="1"/>
  <c r="G830" i="39" a="1"/>
  <c r="G691" i="39" a="1"/>
  <c r="G260" i="39" a="1"/>
  <c r="G412" i="39" a="1"/>
  <c r="G429" i="39" a="1"/>
  <c r="G70" i="39" a="1"/>
  <c r="G173" i="39" a="1"/>
  <c r="G736" i="39" a="1"/>
  <c r="G201" i="39" a="1"/>
  <c r="G357" i="39" a="1"/>
  <c r="G475" i="39" a="1"/>
  <c r="G158" i="39" a="1"/>
  <c r="G775" i="39" a="1"/>
  <c r="G67" i="39" a="1"/>
  <c r="G486" i="39" a="1"/>
  <c r="G195" i="39" a="1"/>
  <c r="G421" i="39" a="1"/>
  <c r="G389" i="39" a="1"/>
  <c r="G768" i="39" a="1"/>
  <c r="G869" i="39" a="1"/>
  <c r="C34" i="31" a="1"/>
  <c r="G455" i="39" a="1"/>
  <c r="G957" i="39" a="1"/>
  <c r="G965" i="39" a="1"/>
  <c r="G90" i="39" a="1"/>
  <c r="G400" i="39" a="1"/>
  <c r="G269" i="39" a="1"/>
  <c r="C96" i="31" a="1"/>
  <c r="G300" i="39" a="1"/>
  <c r="G757" i="39" a="1"/>
  <c r="G587" i="39" a="1"/>
  <c r="G191" i="39" a="1"/>
  <c r="G403" i="39" a="1"/>
  <c r="G503" i="39" a="1"/>
  <c r="G752" i="39" a="1"/>
  <c r="C2" i="31" a="1"/>
  <c r="G810" i="39" a="1"/>
  <c r="G410" i="39" a="1"/>
  <c r="G732" i="39" a="1"/>
  <c r="G211" i="39" a="1"/>
  <c r="G367" i="39" a="1"/>
  <c r="G119" i="39" a="1"/>
  <c r="G927" i="39" a="1"/>
  <c r="G999" i="39" a="1"/>
  <c r="G362" i="39" a="1"/>
  <c r="G204" i="39" a="1"/>
  <c r="G82" i="39" a="1"/>
  <c r="G694" i="39" a="1"/>
  <c r="G21" i="39" a="1"/>
  <c r="G278" i="39" a="1"/>
  <c r="G170" i="39" a="1"/>
  <c r="G737" i="39" a="1"/>
  <c r="G479" i="39" a="1"/>
  <c r="G137" i="39" a="1"/>
  <c r="G917" i="39" a="1"/>
  <c r="G686" i="39" a="1"/>
  <c r="G974" i="39" a="1"/>
  <c r="G135" i="39" a="1"/>
  <c r="G905" i="39" a="1"/>
  <c r="G175" i="39" a="1"/>
  <c r="G12" i="39" a="1"/>
  <c r="G924" i="39" a="1"/>
  <c r="G641" i="39" a="1"/>
  <c r="G525" i="39" a="1"/>
  <c r="G302" i="39" a="1"/>
  <c r="G493" i="39" a="1"/>
  <c r="G387" i="39" a="1"/>
  <c r="G861" i="39" a="1"/>
  <c r="G552" i="39" a="1"/>
  <c r="G784" i="39" a="1"/>
  <c r="G508" i="39" a="1"/>
  <c r="G305" i="39" a="1"/>
  <c r="C9" i="31" a="1"/>
  <c r="G679" i="39" a="1"/>
  <c r="G79" i="39" a="1"/>
  <c r="G990" i="39" a="1"/>
  <c r="G758" i="39" a="1"/>
  <c r="G407" i="39" a="1"/>
  <c r="G84" i="39" a="1"/>
  <c r="G870" i="39" a="1"/>
  <c r="G126" i="39" a="1"/>
  <c r="G58" i="39" a="1"/>
  <c r="G580" i="39" a="1"/>
  <c r="G131" i="39" a="1"/>
  <c r="G5" i="39" a="1"/>
  <c r="G259" i="39" a="1"/>
  <c r="G889" i="39" a="1"/>
  <c r="C72" i="31" a="1"/>
  <c r="G721" i="39" a="1"/>
  <c r="G738" i="39" a="1"/>
  <c r="G230" i="39" a="1"/>
  <c r="C92" i="31" a="1"/>
  <c r="C95" i="31" a="1"/>
  <c r="G850" i="39" a="1"/>
  <c r="G834" i="39" a="1"/>
  <c r="G746" i="39" a="1"/>
  <c r="C3" i="31" a="1"/>
  <c r="G704" i="39" a="1"/>
  <c r="G839" i="39" a="1"/>
  <c r="G110" i="39" a="1"/>
  <c r="G487" i="39" a="1"/>
  <c r="C89" i="31" a="1"/>
  <c r="G970" i="39" a="1"/>
  <c r="G714" i="39" a="1"/>
  <c r="G983" i="39" a="1"/>
  <c r="G505" i="39" a="1"/>
  <c r="G916" i="39" a="1"/>
  <c r="G538" i="39" a="1"/>
  <c r="G206" i="39" a="1"/>
  <c r="G819" i="39" a="1"/>
  <c r="G836" i="39" a="1"/>
  <c r="G892" i="39" a="1"/>
  <c r="G301" i="39" a="1"/>
  <c r="G282" i="39" a="1"/>
  <c r="G643" i="39" a="1"/>
  <c r="G299" i="39" a="1"/>
  <c r="G991" i="39" a="1"/>
  <c r="G390" i="39" a="1"/>
  <c r="G17" i="39" a="1"/>
  <c r="G633" i="39" a="1"/>
  <c r="G474" i="39" a="1"/>
  <c r="G515" i="39" a="1"/>
  <c r="G117" i="39" a="1"/>
  <c r="G212" i="39" a="1"/>
  <c r="G537" i="39" a="1"/>
  <c r="G127" i="39" a="1"/>
  <c r="G383" i="39" a="1"/>
  <c r="G382" i="39" a="1"/>
  <c r="G786" i="39" a="1"/>
  <c r="G125" i="39" a="1"/>
  <c r="G681" i="39" a="1"/>
  <c r="G86" i="39" a="1"/>
  <c r="G790" i="39" a="1"/>
  <c r="G240" i="39" a="1"/>
  <c r="G207" i="39" a="1"/>
  <c r="C63" i="31" a="1"/>
  <c r="G996" i="39" a="1"/>
  <c r="G946" i="39" a="1"/>
  <c r="G636" i="39" a="1"/>
  <c r="G263" i="39" a="1"/>
  <c r="G797" i="39" a="1"/>
  <c r="G55" i="39" a="1"/>
  <c r="G408" i="39" a="1"/>
  <c r="C45" i="31" a="1"/>
  <c r="C32" i="31" a="1"/>
  <c r="C41" i="31" a="1"/>
  <c r="G198" i="39" a="1"/>
  <c r="G109" i="39" a="1"/>
  <c r="G820" i="39" a="1"/>
  <c r="G335" i="39" a="1"/>
  <c r="G322" i="39" a="1"/>
  <c r="G166" i="39" a="1"/>
  <c r="G995" i="39" a="1"/>
  <c r="G635" i="39" a="1"/>
  <c r="C54" i="31" a="1"/>
  <c r="G769" i="39" a="1"/>
  <c r="C39" i="31" a="1"/>
  <c r="G287" i="39" a="1"/>
  <c r="G113" i="39" a="1"/>
  <c r="G93" i="39" a="1"/>
  <c r="G111" i="39" a="1"/>
  <c r="G224" i="39" a="1"/>
  <c r="G932" i="39" a="1"/>
  <c r="G295" i="39" a="1"/>
  <c r="G420" i="39" a="1"/>
  <c r="G48" i="39" a="1"/>
  <c r="G388" i="39" a="1"/>
  <c r="G338" i="39" a="1"/>
  <c r="G176" i="39" a="1"/>
  <c r="G699" i="39" a="1"/>
  <c r="G140" i="39" a="1"/>
  <c r="G747" i="39" a="1"/>
  <c r="G902" i="39" a="1"/>
  <c r="C5" i="31" a="1"/>
  <c r="C22" i="31" a="1"/>
  <c r="G500" i="39" a="1"/>
  <c r="G584" i="39" a="1"/>
  <c r="G658" i="39" a="1"/>
  <c r="C25" i="31" a="1"/>
  <c r="C7" i="31" a="1"/>
  <c r="G116" i="39" a="1"/>
  <c r="G703" i="39" a="1"/>
  <c r="G849" i="39" a="1"/>
  <c r="G200" i="39" a="1"/>
  <c r="G826" i="39" a="1"/>
  <c r="G531" i="39" a="1"/>
  <c r="G675" i="39" a="1"/>
  <c r="G620" i="39" a="1"/>
  <c r="G607" i="39" a="1"/>
  <c r="G477" i="39" a="1"/>
  <c r="G494" i="39" a="1"/>
  <c r="G368" i="39" a="1"/>
  <c r="G151" i="39" a="1"/>
  <c r="G460" i="39" a="1"/>
  <c r="G363" i="39" a="1"/>
  <c r="G62" i="39" a="1"/>
  <c r="C31" i="31" a="1"/>
  <c r="G34" i="39" a="1"/>
  <c r="K15" i="38" a="1"/>
  <c r="G54" i="39" a="1"/>
  <c r="G60" i="39" a="1"/>
  <c r="G23" i="39" a="1"/>
  <c r="G342" i="39" a="1"/>
  <c r="G657" i="39" a="1"/>
  <c r="G929" i="39" a="1"/>
  <c r="G31" i="39" a="1"/>
  <c r="G670" i="39" a="1"/>
  <c r="G808" i="39" a="1"/>
  <c r="G912" i="39" a="1"/>
  <c r="G774" i="39" a="1"/>
  <c r="G862" i="39" a="1"/>
  <c r="G809" i="39" a="1"/>
  <c r="G545" i="39" a="1"/>
  <c r="G585" i="39" a="1"/>
  <c r="G332" i="39" a="1"/>
  <c r="G112" i="39" a="1"/>
  <c r="C71" i="31" a="1"/>
  <c r="G608" i="39" a="1"/>
  <c r="G962" i="39" a="1"/>
  <c r="G341" i="39" a="1"/>
  <c r="G154" i="39" a="1"/>
  <c r="G592" i="39" a="1"/>
  <c r="G11" i="39" a="1"/>
  <c r="G874" i="39" a="1"/>
  <c r="G277" i="39" a="1"/>
  <c r="G744" i="39" a="1"/>
  <c r="G472" i="39" a="1"/>
  <c r="G356" i="39" a="1"/>
  <c r="G806" i="39" a="1"/>
  <c r="G142" i="39" a="1"/>
  <c r="G326" i="39" a="1"/>
  <c r="G43" i="39" a="1"/>
  <c r="G254" i="39" a="1"/>
  <c r="G904" i="39" a="1"/>
  <c r="G257" i="39" a="1"/>
  <c r="G886" i="39" a="1"/>
  <c r="G591" i="39" a="1"/>
  <c r="G374" i="39" a="1"/>
  <c r="G145" i="39" a="1"/>
  <c r="G578" i="39" a="1"/>
  <c r="G988" i="39" a="1"/>
  <c r="G674" i="39" a="1"/>
  <c r="G895" i="39" a="1"/>
  <c r="G795" i="39" a="1"/>
  <c r="G188" i="39" a="1"/>
  <c r="G241" i="39" a="1"/>
  <c r="G44" i="39" a="1"/>
  <c r="G261" i="39" a="1"/>
  <c r="G16" i="39" a="1"/>
  <c r="G857" i="39" a="1"/>
  <c r="G323" i="39" a="1"/>
  <c r="C19" i="31" a="1"/>
  <c r="G767" i="39" a="1"/>
  <c r="G28" i="39" a="1"/>
  <c r="G539" i="39" a="1"/>
  <c r="G618" i="39" a="1"/>
  <c r="G161" i="39" a="1"/>
  <c r="G496" i="39" a="1"/>
  <c r="G393" i="39" a="1"/>
  <c r="G358" i="39" a="1"/>
  <c r="G258" i="39" a="1"/>
  <c r="G900" i="39" a="1"/>
  <c r="G128" i="39" a="1"/>
  <c r="G563" i="39" a="1"/>
  <c r="G671" i="39" a="1"/>
  <c r="G49" i="39" a="1"/>
  <c r="G53" i="39" a="1"/>
  <c r="G782" i="39" a="1"/>
  <c r="C29" i="31" a="1"/>
  <c r="G268" i="39" a="1"/>
  <c r="G684" i="39" a="1"/>
  <c r="G509" i="39" a="1"/>
  <c r="G733" i="39" a="1"/>
  <c r="C100" i="31" a="1"/>
  <c r="C40" i="31" a="1"/>
  <c r="G730" i="39" a="1"/>
  <c r="G464" i="39" a="1"/>
  <c r="G165" i="39" a="1"/>
  <c r="G470" i="39" a="1"/>
  <c r="G351" i="39" a="1"/>
  <c r="G194" i="39" a="1"/>
  <c r="G168" i="39" a="1"/>
  <c r="G568" i="39" a="1"/>
  <c r="G435" i="39" a="1"/>
  <c r="G238" i="39" a="1"/>
  <c r="G476" i="39" a="1"/>
  <c r="G91" i="39" a="1"/>
  <c r="G74" i="39" a="1"/>
  <c r="G14" i="39" a="1"/>
  <c r="G217" i="39" a="1"/>
  <c r="G968" i="39" a="1"/>
  <c r="C79" i="31" a="1"/>
  <c r="G178" i="39" a="1"/>
  <c r="C48" i="31" a="1"/>
  <c r="C84" i="31" a="1"/>
  <c r="K12" i="38" a="1"/>
  <c r="G239" i="39" a="1"/>
  <c r="G497" i="39" a="1"/>
  <c r="G601" i="39" a="1"/>
  <c r="G963" i="39" a="1"/>
  <c r="G454" i="39" a="1"/>
  <c r="G416" i="39" a="1"/>
  <c r="G249" i="39" a="1"/>
  <c r="G13" i="39" a="1"/>
  <c r="G581" i="39" a="1"/>
  <c r="G51" i="39" a="1"/>
  <c r="G817" i="39" a="1"/>
  <c r="G761" i="39" a="1"/>
  <c r="G979" i="39" a="1"/>
  <c r="C21" i="31" a="1"/>
  <c r="G42" i="39" a="1"/>
  <c r="G524" i="39" a="1"/>
  <c r="C78" i="31" a="1"/>
  <c r="G441" i="39" a="1"/>
  <c r="G385" i="39" a="1"/>
  <c r="G825" i="39" a="1"/>
  <c r="G310" i="39" a="1"/>
  <c r="G909" i="39" a="1"/>
  <c r="C69" i="31" a="1"/>
  <c r="C76" i="31" a="1"/>
  <c r="G370" i="39" a="1"/>
  <c r="C81" i="31" a="1"/>
  <c r="G422" i="39" a="1"/>
  <c r="G88" i="39" a="1"/>
  <c r="G177" i="39" a="1"/>
  <c r="G964" i="39" a="1"/>
  <c r="G598" i="39" a="1"/>
  <c r="C35" i="31" a="1"/>
  <c r="G190" i="39" a="1"/>
  <c r="G863" i="39" a="1"/>
  <c r="G548" i="39" a="1"/>
  <c r="G196" i="39" a="1"/>
  <c r="G731" i="39" a="1"/>
  <c r="G650" i="39" a="1"/>
  <c r="C86" i="31" a="1"/>
  <c r="G604" i="39" a="1"/>
  <c r="G232" i="39" a="1"/>
  <c r="C30" i="31" a="1"/>
  <c r="G969" i="39" a="1"/>
  <c r="G908" i="39" a="1"/>
  <c r="G867" i="39" a="1"/>
  <c r="G860" i="39" a="1"/>
  <c r="G462" i="39" a="1"/>
  <c r="G30" i="39" a="1"/>
  <c r="G593" i="39" a="1"/>
  <c r="G848" i="39" a="1"/>
  <c r="G182" i="39" a="1"/>
  <c r="G105" i="39" a="1"/>
  <c r="G629" i="39" a="1"/>
  <c r="G952" i="39" a="1"/>
  <c r="G381" i="39" a="1"/>
  <c r="G561" i="39" a="1"/>
  <c r="G527" i="39" a="1"/>
  <c r="G272" i="39" a="1"/>
  <c r="C38" i="31" a="1"/>
  <c r="G253" i="39" a="1"/>
  <c r="G419" i="39" a="1"/>
  <c r="G458" i="39" a="1"/>
  <c r="G534" i="39" a="1"/>
  <c r="C44" i="31" a="1"/>
  <c r="C37" i="31" a="1"/>
  <c r="G611" i="39" a="1"/>
  <c r="G229" i="39" a="1"/>
  <c r="G24" i="39" a="1"/>
  <c r="G50" i="39" a="1"/>
  <c r="G19" i="39" a="1"/>
  <c r="G690" i="39" a="1"/>
  <c r="G897" i="39" a="1"/>
  <c r="K14" i="38" a="1"/>
  <c r="G693" i="39" a="1"/>
  <c r="G292" i="39" a="1"/>
  <c r="G772" i="39" a="1"/>
  <c r="G549" i="39" a="1"/>
  <c r="G369" i="39" a="1"/>
  <c r="G66" i="39" a="1"/>
  <c r="G955" i="39" a="1"/>
  <c r="G317" i="39" a="1"/>
  <c r="G267" i="39" a="1"/>
  <c r="G866" i="39" a="1"/>
  <c r="G542" i="39" a="1"/>
  <c r="C33" i="31" a="1"/>
  <c r="C83" i="31" a="1"/>
  <c r="G763" i="39" a="1"/>
  <c r="G285" i="39" a="1"/>
  <c r="G668" i="39" a="1"/>
  <c r="G220" i="39" a="1"/>
  <c r="G427" i="39" a="1"/>
  <c r="G330" i="39" a="1"/>
  <c r="G379" i="39" a="1"/>
  <c r="G184" i="39" a="1"/>
  <c r="C87" i="31" a="1"/>
  <c r="G484" i="39" a="1"/>
  <c r="G547" i="39" a="1"/>
  <c r="G428" i="39" a="1"/>
  <c r="G61" i="39" a="1"/>
  <c r="C15" i="31" a="1"/>
  <c r="G360" i="39" a="1"/>
  <c r="G372" i="39" a="1"/>
  <c r="G325" i="39" a="1"/>
  <c r="G252" i="39" a="1"/>
  <c r="G536" i="39" a="1"/>
  <c r="G471" i="39" a="1"/>
  <c r="G199" i="39" a="1"/>
  <c r="G726" i="39" a="1"/>
  <c r="G841" i="39" a="1"/>
  <c r="G880" i="39" a="1"/>
  <c r="G406" i="39" a="1"/>
  <c r="G85" i="39" a="1"/>
  <c r="G989" i="39" a="1"/>
  <c r="G951" i="39" a="1"/>
  <c r="G818" i="39" a="1"/>
  <c r="G619" i="39" a="1"/>
  <c r="G244" i="39" a="1"/>
  <c r="G735" i="39" a="1"/>
  <c r="G440" i="39" a="1"/>
  <c r="G894" i="39" a="1"/>
  <c r="G189" i="39" a="1"/>
  <c r="G417" i="39" a="1"/>
  <c r="G646" i="39" a="1"/>
  <c r="G2" i="39" a="1"/>
  <c r="G118" i="39" a="1"/>
  <c r="G831" i="39" a="1"/>
  <c r="G634" i="39" a="1"/>
  <c r="G294" i="39" a="1"/>
  <c r="G933" i="39" a="1"/>
  <c r="G174" i="39" a="1"/>
  <c r="G129" i="39" a="1"/>
  <c r="G884" i="39" a="1"/>
  <c r="C20" i="31" a="1"/>
  <c r="G559" i="39" a="1"/>
  <c r="G975" i="39" a="1"/>
  <c r="G124" i="39" a="1"/>
  <c r="G185" i="39" a="1"/>
  <c r="G270" i="39" a="1"/>
  <c r="G931" i="39" a="1"/>
  <c r="G982" i="39" a="1"/>
  <c r="G623" i="39" a="1"/>
  <c r="G371" i="39" a="1"/>
  <c r="G564" i="39" a="1"/>
  <c r="G570" i="39" a="1"/>
  <c r="G264" i="39" a="1"/>
  <c r="G424" i="39" a="1"/>
  <c r="G711" i="39" a="1"/>
  <c r="C56" i="31" a="1"/>
  <c r="G513" i="39" a="1"/>
  <c r="G59" i="39" a="1"/>
  <c r="G499" i="39" a="1"/>
  <c r="G293" i="39" a="1"/>
  <c r="G708" i="39" a="1"/>
  <c r="G821" i="39" a="1"/>
  <c r="G801" i="39" a="1"/>
  <c r="G649" i="39" a="1"/>
  <c r="G713" i="39" a="1"/>
  <c r="G813" i="39" a="1"/>
  <c r="G288" i="39" a="1"/>
  <c r="G807" i="39" a="1"/>
  <c r="G745" i="39" a="1"/>
  <c r="G756" i="39" a="1"/>
  <c r="G291" i="39" a="1"/>
  <c r="G346" i="39" a="1"/>
  <c r="G876" i="39" a="1"/>
  <c r="C60" i="31" a="1"/>
  <c r="G734" i="39" a="1"/>
  <c r="G334" i="39" a="1"/>
  <c r="G139" i="39" a="1"/>
  <c r="G162" i="39" a="1"/>
  <c r="G950" i="39" a="1"/>
  <c r="G8" i="39" a="1"/>
  <c r="G303" i="39" a="1"/>
  <c r="C42" i="31" a="1"/>
  <c r="G759" i="39" a="1"/>
  <c r="G544" i="39" a="1"/>
  <c r="G321" i="39" a="1"/>
  <c r="G712" i="39" a="1"/>
  <c r="G953" i="39" a="1"/>
  <c r="G868" i="39" a="1"/>
  <c r="G478" i="39" a="1"/>
  <c r="G748" i="39" a="1"/>
  <c r="G882" i="39" a="1"/>
  <c r="G859" i="39" a="1"/>
  <c r="G251" i="39" a="1"/>
  <c r="C57" i="31" a="1"/>
  <c r="G65" i="39" a="1"/>
  <c r="G209" i="39" a="1"/>
  <c r="G246" i="39" a="1"/>
  <c r="G134" i="39" a="1"/>
  <c r="C36" i="31" a="1"/>
  <c r="G172" i="39" a="1"/>
  <c r="G853" i="39" a="1"/>
  <c r="G523" i="39" a="1"/>
  <c r="G794" i="39" a="1"/>
  <c r="G271" i="39" a="1"/>
  <c r="G442" i="39" a="1"/>
  <c r="G780" i="39" a="1"/>
  <c r="G386" i="39" a="1"/>
  <c r="G520" i="39" a="1"/>
  <c r="G535" i="39" a="1"/>
  <c r="G449" i="39" a="1"/>
  <c r="G141" i="39" a="1"/>
  <c r="G502" i="39" a="1"/>
  <c r="G783" i="39" a="1"/>
  <c r="G777" i="39" a="1"/>
  <c r="G436" i="39" a="1"/>
  <c r="G939" i="39" a="1"/>
  <c r="G958" i="39" a="1"/>
  <c r="G395" i="39" a="1"/>
  <c r="G583" i="39" a="1"/>
  <c r="G150" i="39" a="1"/>
  <c r="G483" i="39" a="1"/>
  <c r="G179" i="39" a="1"/>
  <c r="G163" i="39" a="1"/>
  <c r="G844" i="39" a="1"/>
  <c r="G481" i="39" a="1"/>
  <c r="G724" i="39" a="1"/>
  <c r="G52" i="39" a="1"/>
  <c r="G365" i="39" a="1"/>
  <c r="G779" i="39" a="1"/>
  <c r="G648" i="39" a="1"/>
  <c r="G167" i="39" a="1"/>
  <c r="G632" i="39" a="1"/>
  <c r="G63" i="39" a="1"/>
  <c r="G893" i="39" a="1"/>
  <c r="G401" i="39" a="1"/>
  <c r="G947" i="39" a="1"/>
  <c r="G718" i="39" a="1"/>
  <c r="G68" i="39" a="1"/>
  <c r="C85" i="31" a="1"/>
  <c r="G47" i="39" a="1"/>
  <c r="C55" i="31" a="1"/>
  <c r="G980" i="39" a="1"/>
  <c r="G183" i="39" a="1"/>
  <c r="G147" i="39" a="1"/>
  <c r="G934" i="39" a="1"/>
  <c r="G959" i="39" a="1"/>
  <c r="G296" i="39" a="1"/>
  <c r="G469" i="39" a="1"/>
  <c r="G108" i="39" a="1"/>
  <c r="C66" i="31" a="1"/>
  <c r="G130" i="39" a="1"/>
  <c r="G380" i="39" a="1"/>
  <c r="G266" i="39" a="1"/>
  <c r="G526" i="39" a="1"/>
  <c r="G247" i="39" a="1"/>
  <c r="G485" i="39" a="1"/>
  <c r="G92" i="39" a="1"/>
  <c r="C6" i="31" a="1"/>
  <c r="G838" i="39" a="1"/>
  <c r="G123" i="39" a="1"/>
  <c r="G770" i="39" a="1"/>
  <c r="G600" i="39" a="1"/>
  <c r="G72" i="39" a="1"/>
  <c r="G318" i="39" a="1"/>
  <c r="G307" i="39" a="1"/>
  <c r="G275" i="39" a="1"/>
  <c r="G621" i="39" a="1"/>
  <c r="G7" i="39" a="1"/>
  <c r="G700" i="39" a="1"/>
  <c r="C47" i="31" a="1"/>
  <c r="G546" i="39" a="1"/>
  <c r="G692" i="39" a="1"/>
  <c r="G664" i="39" a="1"/>
  <c r="G314" i="39" a="1"/>
  <c r="C23" i="31" a="1"/>
  <c r="G10" i="39" a="1"/>
  <c r="G973" i="39" a="1"/>
  <c r="G706" i="39" a="1"/>
  <c r="G567" i="39" a="1"/>
  <c r="G316" i="39" a="1"/>
  <c r="G213" i="39" a="1"/>
  <c r="G340" i="39" a="1"/>
  <c r="G46" i="39" a="1"/>
  <c r="G771" i="39" a="1"/>
  <c r="G887" i="39" a="1"/>
  <c r="G872" i="39" a="1"/>
  <c r="C53" i="31" a="1"/>
  <c r="G349" i="39" a="1"/>
  <c r="G576" i="39" a="1"/>
  <c r="G15" i="39" a="1"/>
  <c r="G751" i="39" a="1"/>
  <c r="G180" i="39" a="1"/>
  <c r="G606" i="39" a="1"/>
  <c r="G660" i="39" a="1"/>
  <c r="G284" i="39" a="1"/>
  <c r="G832" i="39" a="1"/>
  <c r="G104" i="39" a="1"/>
  <c r="C43" i="31" a="1"/>
  <c r="C16" i="31" a="1"/>
  <c r="G557" i="39" a="1"/>
  <c r="G683" i="39" a="1"/>
  <c r="G265" i="39" a="1"/>
  <c r="G202" i="39" a="1"/>
  <c r="G615" i="39" a="1"/>
  <c r="G921" i="39" a="1"/>
  <c r="G465" i="39" a="1"/>
  <c r="G532" i="39" a="1"/>
  <c r="G827" i="39" a="1"/>
  <c r="G609" i="39" a="1"/>
  <c r="G753" i="39" a="1"/>
  <c r="G543" i="39" a="1"/>
  <c r="G571" i="39" a="1"/>
  <c r="G572" i="39" a="1"/>
  <c r="G450" i="39" a="1"/>
  <c r="G404" i="39" a="1"/>
  <c r="G98" i="39" a="1"/>
  <c r="G725" i="39" a="1"/>
  <c r="G397" i="39" a="1"/>
  <c r="C27" i="31" a="1"/>
  <c r="G468" i="39" a="1"/>
  <c r="G677" i="39" a="1"/>
  <c r="G320" i="39" a="1"/>
  <c r="G728" i="39" a="1"/>
  <c r="G589" i="39" a="1"/>
  <c r="G29" i="39" a="1"/>
  <c r="C73" i="31" a="1"/>
  <c r="G560" i="39" a="1"/>
  <c r="G778" i="39" a="1"/>
  <c r="G846" i="39" a="1"/>
  <c r="G519" i="39" a="1"/>
  <c r="G100" i="39" a="1"/>
  <c r="G457" i="39" a="1"/>
  <c r="G491" i="39" a="1"/>
  <c r="G773" i="39" a="1"/>
  <c r="G881" i="39" a="1"/>
  <c r="G630" i="39" a="1"/>
  <c r="G434" i="39" a="1"/>
  <c r="G331" i="39" a="1"/>
  <c r="G120" i="39" a="1"/>
  <c r="C97" i="31" a="1"/>
  <c r="G997" i="39" a="1"/>
  <c r="G906" i="39" a="1"/>
  <c r="G446" i="39" a="1"/>
  <c r="G644" i="39" a="1"/>
  <c r="C11" i="31" a="1"/>
  <c r="G722" i="39" a="1"/>
  <c r="G495" i="39" a="1"/>
  <c r="G529" i="39" a="1"/>
  <c r="G553" i="39" a="1"/>
  <c r="G613" i="39" a="1"/>
  <c r="G64" i="39" a="1"/>
  <c r="C94" i="31" a="1"/>
  <c r="G22" i="39" a="1"/>
  <c r="G582" i="39" a="1"/>
  <c r="G689" i="39" a="1"/>
  <c r="G871" i="39" a="1"/>
  <c r="G324" i="39" a="1"/>
  <c r="G438" i="39" a="1"/>
  <c r="G366" i="39" a="1"/>
  <c r="G364" i="39" a="1"/>
  <c r="G25" i="39" a="1"/>
  <c r="G214" i="39" a="1"/>
  <c r="G222" i="39" a="1"/>
  <c r="G966" i="39" a="1"/>
  <c r="G528" i="39" a="1"/>
  <c r="G574" i="39" a="1"/>
  <c r="C12" i="31" a="1"/>
  <c r="G237" i="39" a="1"/>
  <c r="G533" i="39" a="1"/>
  <c r="G215" i="39" a="1"/>
  <c r="G873" i="39" a="1"/>
  <c r="G696" i="39" a="1"/>
  <c r="G603" i="39" a="1"/>
  <c r="G146" i="39" a="1"/>
  <c r="G4" i="39" a="1"/>
  <c r="G279" i="39" a="1"/>
  <c r="G956" i="39" a="1"/>
  <c r="K17" i="38" a="1"/>
  <c r="G729" i="39" a="1"/>
  <c r="G133" i="39" a="1"/>
  <c r="G35" i="39" a="1"/>
  <c r="G343" i="39" a="1"/>
  <c r="G640" i="39" a="1"/>
  <c r="C49" i="31" a="1"/>
  <c r="G764" i="39" a="1"/>
  <c r="G262" i="39" a="1"/>
  <c r="C52" i="31" a="1"/>
  <c r="G336" i="39" a="1"/>
  <c r="G413" i="39" a="1"/>
  <c r="G453" i="39" a="1"/>
  <c r="G510" i="39" a="1"/>
  <c r="G741" i="39" a="1"/>
  <c r="C74" i="31" a="1"/>
  <c r="G800" i="39" a="1"/>
  <c r="G977" i="39" a="1"/>
  <c r="G823" i="39" a="1"/>
  <c r="G518" i="39" a="1"/>
  <c r="G71" i="39" a="1"/>
  <c r="G511" i="39" a="1"/>
  <c r="G610" i="39" a="1"/>
  <c r="G651" i="39" a="1"/>
  <c r="G45" i="39" a="1"/>
  <c r="K16" i="38" a="1"/>
  <c r="G501" i="39" a="1"/>
  <c r="G843" i="39" a="1"/>
  <c r="G925" i="39" a="1"/>
  <c r="G411" i="39" a="1"/>
  <c r="G663" i="39" a="1"/>
  <c r="G443" i="39" a="1"/>
  <c r="G842" i="39" a="1"/>
  <c r="G355" i="39" a="1"/>
  <c r="G749" i="39" a="1"/>
  <c r="C24" i="31" a="1"/>
  <c r="G514" i="39" a="1"/>
  <c r="C62" i="31" a="1"/>
  <c r="G522" i="39" a="1"/>
  <c r="G193" i="39" a="1"/>
  <c r="G688" i="39" a="1"/>
  <c r="G41" i="39" a="1"/>
  <c r="G605" i="39" a="1"/>
  <c r="G256" i="39" a="1"/>
  <c r="G281" i="39" a="1"/>
  <c r="C13" i="31" a="1"/>
  <c r="G329" i="39" a="1"/>
  <c r="G588" i="39" a="1"/>
  <c r="C50" i="31" a="1"/>
  <c r="C80" i="31" a="1"/>
  <c r="G829" i="39" a="1"/>
  <c r="C67" i="31" a="1"/>
  <c r="G359" i="39" a="1"/>
  <c r="C8" i="31" a="1"/>
  <c r="G816" i="39" a="1"/>
  <c r="G255" i="39" a="1"/>
  <c r="G877" i="39" a="1"/>
  <c r="C28" i="31" a="1"/>
  <c r="G459" i="39" a="1"/>
  <c r="G631" i="39" a="1"/>
  <c r="G599" i="39" a="1"/>
  <c r="G994" i="39" a="1"/>
  <c r="G656" i="39" a="1"/>
  <c r="C88" i="31" a="1"/>
  <c r="G920" i="39" a="1"/>
  <c r="G76" i="39" a="1"/>
  <c r="G885" i="39" a="1"/>
  <c r="C77" i="31" a="1"/>
  <c r="G233" i="39" a="1"/>
  <c r="G550" i="39" a="1"/>
  <c r="G666" i="39" a="1"/>
  <c r="G815" i="39" a="1"/>
  <c r="G181" i="39" a="1"/>
  <c r="G762" i="39" a="1"/>
  <c r="G926" i="39" a="1"/>
  <c r="G376" i="39" a="1"/>
  <c r="G742" i="39" a="1"/>
  <c r="G399" i="39" a="1"/>
  <c r="G855" i="39" a="1"/>
  <c r="G833" i="39" a="1"/>
  <c r="G231" i="39" a="1"/>
  <c r="G306" i="39" a="1"/>
  <c r="G187" i="39" a="1"/>
  <c r="G456" i="39" a="1"/>
  <c r="G879" i="39" a="1"/>
  <c r="G81" i="39" a="1"/>
  <c r="G942" i="39" a="1"/>
  <c r="G864" i="39" a="1"/>
  <c r="C82" i="31" a="1"/>
  <c r="G837" i="39" a="1"/>
  <c r="G228" i="39" a="1"/>
  <c r="G898" i="39" a="1"/>
  <c r="G136" i="39" a="1"/>
  <c r="C4" i="31" a="1"/>
  <c r="G398" i="39" a="1"/>
  <c r="C46" i="31" a="1"/>
  <c r="G787" i="39" a="1"/>
  <c r="G669" i="39" a="1"/>
  <c r="G235" i="39" a="1"/>
  <c r="G802" i="39" a="1"/>
  <c r="G354" i="39" a="1"/>
  <c r="G26" i="39" a="1"/>
  <c r="G9" i="39" a="1"/>
  <c r="C10" i="31" a="1"/>
  <c r="G171" i="39" a="1"/>
  <c r="G928" i="39" a="1"/>
  <c r="G935" i="39" a="1"/>
  <c r="G463" i="39" a="1"/>
  <c r="G227" i="39" a="1"/>
  <c r="G628" i="39" a="1"/>
  <c r="G949" i="39" a="1"/>
  <c r="G720" i="39" a="1"/>
  <c r="G223" i="39" a="1"/>
  <c r="G556" i="39" a="1"/>
  <c r="G328" i="39" a="1"/>
  <c r="C75" i="31" a="1"/>
  <c r="G250" i="39" a="1"/>
  <c r="G309" i="39" a="1"/>
  <c r="G645" i="39" a="1"/>
  <c r="G740" i="39" a="1"/>
  <c r="G541" i="39" a="1"/>
  <c r="G156" i="39" a="1"/>
  <c r="G225" i="39" a="1"/>
  <c r="G662" i="39" a="1"/>
  <c r="G69" i="39" a="1"/>
  <c r="G350" i="39" a="1"/>
  <c r="G907" i="39" a="1"/>
  <c r="G673" i="39" a="1"/>
  <c r="G208" i="39" a="1"/>
  <c r="G106" i="39" a="1"/>
  <c r="C58" i="31" a="1"/>
  <c r="G122" i="39" a="1"/>
  <c r="G40" i="39" a="1"/>
  <c r="G473" i="39" a="1"/>
  <c r="C68" i="31" a="1"/>
  <c r="G672" i="39" a="1"/>
  <c r="G430" i="39" a="1"/>
  <c r="G667" i="39" a="1"/>
  <c r="G327" i="39" a="1"/>
  <c r="G516" i="39" a="1"/>
  <c r="G319" i="39" a="1"/>
  <c r="G218" i="39" a="1"/>
  <c r="G540" i="39" a="1"/>
  <c r="G824" i="39" a="1"/>
  <c r="G878" i="39" a="1"/>
  <c r="G792" i="39" a="1"/>
  <c r="G482" i="39" a="1"/>
  <c r="G99" i="39" a="1"/>
  <c r="G311" i="39" a="1"/>
  <c r="G488" i="39" a="1"/>
  <c r="G785" i="39" a="1"/>
  <c r="C14" i="31" a="1"/>
  <c r="G590" i="39" a="1"/>
  <c r="G20" i="39" a="1"/>
  <c r="G875" i="39" a="1"/>
  <c r="G290" i="39" a="1"/>
  <c r="G73" i="39" a="1"/>
  <c r="G652" i="39" a="1"/>
  <c r="G344" i="39" a="1"/>
  <c r="G375" i="39" a="1"/>
  <c r="C59" i="31" a="1"/>
  <c r="G33" i="39" a="1"/>
  <c r="G551" i="39" a="1"/>
  <c r="G705" i="39" a="1"/>
  <c r="G888" i="39" a="1"/>
  <c r="G992" i="39" a="1"/>
  <c r="G216" i="39" a="1"/>
  <c r="G432" i="39" a="1"/>
  <c r="G799" i="39" a="1"/>
  <c r="G612" i="39" a="1"/>
  <c r="G812" i="39" a="1"/>
  <c r="G637" i="39" a="1"/>
  <c r="G418" i="39" a="1"/>
  <c r="G426" i="39" a="1"/>
  <c r="G938" i="39" a="1"/>
  <c r="G521" i="39" a="1"/>
  <c r="G847" i="39" a="1"/>
  <c r="G899" i="39" a="1"/>
  <c r="G617" i="39" a="1"/>
  <c r="G157" i="39" a="1"/>
  <c r="G242" i="39" a="1"/>
  <c r="G36" i="39" a="1"/>
  <c r="G760" i="39" a="1"/>
  <c r="G804" i="39" a="1"/>
  <c r="G941" i="39" a="1"/>
  <c r="G555" i="39" a="1"/>
  <c r="G169" i="39" a="1"/>
  <c r="G719" i="39" a="1"/>
  <c r="G1000" i="39" a="1"/>
  <c r="G445" i="39" a="1"/>
  <c r="G554" i="39" a="1"/>
  <c r="G845" i="39" a="1"/>
  <c r="G121" i="39" a="1"/>
  <c r="G750" i="39" a="1"/>
  <c r="G80" i="39" a="1"/>
  <c r="G414" i="39" a="1"/>
  <c r="G164" i="39" a="1"/>
  <c r="G625" i="39" a="1"/>
  <c r="G919" i="39" a="1"/>
  <c r="C64" i="31" a="1"/>
  <c r="G96" i="39" a="1"/>
  <c r="G901" i="39" a="1"/>
  <c r="G447" i="39" a="1"/>
  <c r="G245" i="39" a="1"/>
  <c r="G243" i="39" a="1"/>
  <c r="G448" i="39" a="1"/>
  <c r="G226" i="39" a="1"/>
  <c r="G911" i="39" a="1"/>
  <c r="G348" i="39" a="1"/>
  <c r="G248" i="39" a="1"/>
  <c r="G143" i="39" a="1"/>
  <c r="C93" i="31" a="1"/>
  <c r="G707" i="39" a="1"/>
  <c r="G37" i="39" a="1"/>
  <c r="G18" i="39" a="1"/>
  <c r="G155" i="39" a="1"/>
  <c r="G78" i="39" a="1"/>
  <c r="G903" i="39" a="1"/>
  <c r="C61" i="31" a="1"/>
  <c r="G27" i="39" a="1"/>
  <c r="G910" i="39" a="1"/>
  <c r="G798" i="39" a="1"/>
  <c r="G654" i="39" a="1"/>
  <c r="G717" i="39" a="1"/>
  <c r="G789" i="39" a="1"/>
  <c r="G234" i="39" a="1"/>
  <c r="G723" i="39" a="1"/>
  <c r="G890" i="39" a="1"/>
  <c r="G822" i="39" a="1"/>
  <c r="G814" i="39" a="1"/>
  <c r="G236" i="39" a="1"/>
  <c r="G114" i="39" a="1"/>
  <c r="G103" i="39" a="1"/>
  <c r="G132" i="39" a="1"/>
  <c r="G596" i="39" a="1"/>
  <c r="C18" i="31" a="1"/>
  <c r="G144" i="39" a="1"/>
  <c r="G308" i="39" a="1"/>
  <c r="G896" i="39" a="1"/>
  <c r="G425" i="39" a="1"/>
  <c r="G856" i="39" a="1"/>
  <c r="G313" i="39" a="1"/>
  <c r="G840" i="39" a="1"/>
  <c r="C65" i="31" a="1"/>
  <c r="G569" i="39" a="1"/>
  <c r="G697" i="39" a="1"/>
  <c r="G298" i="39" a="1"/>
  <c r="G698" i="39" a="1"/>
  <c r="G38" i="39" a="1"/>
  <c r="G858" i="39" a="1"/>
  <c r="G337" i="39" a="1"/>
  <c r="G653" i="39" a="1"/>
  <c r="G6" i="39" a="1"/>
  <c r="G451" i="39" a="1"/>
  <c r="G891" i="39" a="1"/>
  <c r="G993" i="39" a="1"/>
  <c r="G373" i="39" a="1"/>
  <c r="G352" i="39" a="1"/>
  <c r="G507" i="39" a="1"/>
  <c r="G948" i="39" a="1"/>
  <c r="G39" i="39" a="1"/>
  <c r="G32" i="39" a="1"/>
  <c r="G3" i="39" a="1"/>
  <c r="G803" i="39" a="1"/>
  <c r="G985" i="39" a="1"/>
  <c r="G361" i="39" a="1"/>
  <c r="G152" i="39" a="1"/>
  <c r="G148" i="39" a="1"/>
  <c r="G297" i="39" a="1"/>
  <c r="G280" i="39" a="1"/>
  <c r="G626" i="39" a="1"/>
  <c r="G944" i="39" a="1"/>
  <c r="G512" i="39" a="1"/>
  <c r="G402" i="39" a="1"/>
  <c r="G972" i="39" a="1"/>
  <c r="C91" i="31" a="1"/>
  <c r="G981" i="39" a="1"/>
  <c r="G765" i="39" a="1"/>
  <c r="G75" i="39" a="1"/>
  <c r="G492" i="39" a="1"/>
  <c r="G701" i="39" a="1"/>
  <c r="C98" i="31" a="1"/>
  <c r="G219" i="39" a="1"/>
  <c r="G937" i="39" a="1"/>
  <c r="G504" i="39" a="1"/>
  <c r="G562" i="39" a="1"/>
  <c r="G788" i="39" a="1"/>
  <c r="G936" i="39" a="1"/>
  <c r="G647" i="39" a="1"/>
  <c r="G727" i="39" a="1"/>
  <c r="G577" i="39" a="1"/>
  <c r="G791" i="39" a="1"/>
  <c r="G961" i="39" a="1"/>
  <c r="G851" i="39" a="1"/>
  <c r="G624" i="39" a="1"/>
  <c r="G97" i="39" a="1"/>
  <c r="G579" i="39" a="1"/>
  <c r="G594" i="39" a="1"/>
  <c r="G676" i="39" a="1"/>
  <c r="G682" i="39" a="1"/>
  <c r="G642" i="39" a="1"/>
  <c r="G392" i="39" a="1"/>
  <c r="G622" i="39" a="1"/>
  <c r="G391" i="39" a="1"/>
  <c r="G159" i="39" a="1"/>
  <c r="G678" i="39" a="1"/>
  <c r="G586" i="39" a="1"/>
  <c r="G575" i="39" a="1"/>
  <c r="G922" i="39" a="1"/>
  <c r="G805" i="39" a="1"/>
  <c r="G437" i="39" a="1"/>
  <c r="G506" i="39" a="1"/>
  <c r="G828" i="39" a="1"/>
  <c r="G852" i="39" a="1"/>
  <c r="G976" i="39" a="1"/>
  <c r="G530" i="39" a="1"/>
  <c r="G276" i="39" a="1"/>
  <c r="G444" i="39" a="1"/>
  <c r="G289" i="39" a="1"/>
  <c r="G433" i="39" a="1"/>
  <c r="G107" i="39" a="1"/>
  <c r="G659" i="39" a="1"/>
  <c r="G616" i="39" a="1"/>
  <c r="G405" i="39" a="1"/>
  <c r="G286" i="39" a="1"/>
  <c r="G138" i="39" a="1"/>
  <c r="G918" i="39" a="1"/>
  <c r="G423" i="39" a="1"/>
  <c r="G186" i="39" a="1"/>
  <c r="G743" i="39" a="1"/>
  <c r="G378" i="39" a="1"/>
  <c r="G739" i="39" a="1"/>
  <c r="G197" i="39" a="1"/>
  <c r="G781" i="39" a="1"/>
  <c r="G811" i="39" a="1"/>
  <c r="G702" i="39" a="1"/>
  <c r="G614" i="39" a="1"/>
  <c r="G695" i="39" a="1"/>
  <c r="G954" i="39" a="1"/>
  <c r="G452" i="39" a="1"/>
  <c r="G914" i="39" a="1"/>
  <c r="G205" i="39" a="1"/>
  <c r="G466" i="39" a="1"/>
  <c r="G315" i="39" a="1"/>
  <c r="G377" i="39" a="1"/>
  <c r="G274" i="39" a="1"/>
  <c r="G573" i="39" a="1"/>
  <c r="G396" i="39" a="1"/>
  <c r="G687" i="39" a="1"/>
  <c r="G940" i="39" a="1"/>
  <c r="G345" i="39" a="1"/>
  <c r="G943" i="39" a="1"/>
  <c r="G87" i="39" a="1"/>
  <c r="G796" i="39" a="1"/>
  <c r="G602" i="39" a="1"/>
  <c r="G102" i="39" a="1"/>
  <c r="G221" i="39" a="1"/>
  <c r="G685" i="39" a="1"/>
  <c r="G709" i="39" a="1"/>
  <c r="G57" i="39" a="1"/>
  <c r="G461" i="39" a="1"/>
  <c r="G439" i="39" a="1"/>
  <c r="G409" i="39" a="1"/>
  <c r="G638" i="39" a="1"/>
  <c r="G415" i="39" a="1"/>
  <c r="G312" i="39" a="1"/>
  <c r="G793" i="39" a="1"/>
  <c r="G304" i="39" a="1"/>
  <c r="G754" i="39" a="1"/>
  <c r="C26" i="31" a="1"/>
  <c r="G715" i="39" a="1"/>
  <c r="G766" i="39" a="1"/>
  <c r="G776" i="39" a="1"/>
  <c r="G273" i="39" a="1"/>
  <c r="C99" i="31" a="1"/>
  <c r="G160" i="39" a="1"/>
  <c r="G854" i="39" a="1"/>
  <c r="G283" i="39" a="1"/>
  <c r="G984" i="39" a="1"/>
  <c r="G595" i="39" a="1"/>
  <c r="G639" i="39" a="1"/>
  <c r="G56" i="39" a="1"/>
  <c r="G755" i="39" a="1"/>
  <c r="V36" i="38" l="1"/>
  <c r="V37" i="38"/>
  <c r="V40" i="38"/>
  <c r="V39" i="38"/>
  <c r="V38" i="38"/>
  <c r="V44" i="38"/>
  <c r="V43" i="38"/>
  <c r="V48" i="38"/>
  <c r="V41" i="38"/>
  <c r="V47" i="38"/>
  <c r="V45" i="38"/>
  <c r="V42" i="38"/>
  <c r="V49" i="38"/>
  <c r="V46" i="38"/>
  <c r="V50" i="38"/>
  <c r="L13" i="38"/>
  <c r="D7" i="40"/>
  <c r="D11" i="40"/>
  <c r="P27" i="38" a="1"/>
  <c r="P27" i="38" s="1"/>
  <c r="O27" i="38" s="1" a="1"/>
  <c r="O27" i="38" s="1"/>
  <c r="Q27" i="38" a="1"/>
  <c r="Q27" i="38" s="1"/>
  <c r="O28" i="38" a="1"/>
  <c r="O28" i="38" s="1"/>
  <c r="Q25" i="38" a="1"/>
  <c r="Q25" i="38" s="1"/>
  <c r="L25" i="38" a="1"/>
  <c r="L25" i="38" s="1"/>
  <c r="K27" i="38" a="1"/>
  <c r="K27" i="38" s="1"/>
  <c r="J27" i="38" s="1" a="1"/>
  <c r="J27" i="38" s="1"/>
  <c r="L33" i="38"/>
  <c r="E27" i="38" s="1" a="1"/>
  <c r="E27" i="38" s="1"/>
  <c r="F33" i="38"/>
  <c r="C28" i="38" s="1" a="1"/>
  <c r="C28" i="38" s="1"/>
  <c r="C8" i="38"/>
  <c r="J28" i="38" a="1"/>
  <c r="J28" i="38" s="1"/>
  <c r="G95" i="39"/>
  <c r="G746" i="39"/>
  <c r="G149" i="39"/>
  <c r="G221" i="39"/>
  <c r="G306" i="39"/>
  <c r="G633" i="39"/>
  <c r="G413" i="39"/>
  <c r="G462" i="39"/>
  <c r="G16" i="39"/>
  <c r="G98" i="39"/>
  <c r="G61" i="39"/>
  <c r="G644" i="39"/>
  <c r="G52" i="39"/>
  <c r="G46" i="39"/>
  <c r="G186" i="39"/>
  <c r="G365" i="39"/>
  <c r="G511" i="39"/>
  <c r="G665" i="39"/>
  <c r="G96" i="39"/>
  <c r="G302" i="39"/>
  <c r="G448" i="39"/>
  <c r="G594" i="39"/>
  <c r="G339" i="39"/>
  <c r="G161" i="39"/>
  <c r="G79" i="39"/>
  <c r="G296" i="39"/>
  <c r="G212" i="39"/>
  <c r="G202" i="39"/>
  <c r="G203" i="39"/>
  <c r="G556" i="39"/>
  <c r="G35" i="39"/>
  <c r="G461" i="39"/>
  <c r="G914" i="39"/>
  <c r="G169" i="39"/>
  <c r="G654" i="39"/>
  <c r="G257" i="39"/>
  <c r="G559" i="39"/>
  <c r="G757" i="39"/>
  <c r="G931" i="39"/>
  <c r="G224" i="39"/>
  <c r="G635" i="39"/>
  <c r="G291" i="39"/>
  <c r="G605" i="39"/>
  <c r="G801" i="39"/>
  <c r="G948" i="39"/>
  <c r="G309" i="39"/>
  <c r="G793" i="39"/>
  <c r="G294" i="39"/>
  <c r="G616" i="39"/>
  <c r="G785" i="39"/>
  <c r="G941" i="39"/>
  <c r="G441" i="39"/>
  <c r="G85" i="39"/>
  <c r="G406" i="39"/>
  <c r="G687" i="39"/>
  <c r="G870" i="39"/>
  <c r="G998" i="39"/>
  <c r="G196" i="39"/>
  <c r="G752" i="39"/>
  <c r="G60" i="39"/>
  <c r="G54" i="39"/>
  <c r="G206" i="39"/>
  <c r="G374" i="39"/>
  <c r="G520" i="39"/>
  <c r="G682" i="39"/>
  <c r="G106" i="39"/>
  <c r="G311" i="39"/>
  <c r="G457" i="39"/>
  <c r="G17" i="39"/>
  <c r="G403" i="39"/>
  <c r="G171" i="39"/>
  <c r="G89" i="39"/>
  <c r="G305" i="39"/>
  <c r="G241" i="39"/>
  <c r="G222" i="39"/>
  <c r="G219" i="39"/>
  <c r="G568" i="39"/>
  <c r="G55" i="39"/>
  <c r="G472" i="39"/>
  <c r="G737" i="39"/>
  <c r="G922" i="39"/>
  <c r="G223" i="39"/>
  <c r="G673" i="39"/>
  <c r="G307" i="39"/>
  <c r="G581" i="39"/>
  <c r="G766" i="39"/>
  <c r="G939" i="39"/>
  <c r="G242" i="39"/>
  <c r="G655" i="39"/>
  <c r="G322" i="39"/>
  <c r="G615" i="39"/>
  <c r="G818" i="39"/>
  <c r="G956" i="39"/>
  <c r="G325" i="39"/>
  <c r="G810" i="39"/>
  <c r="G340" i="39"/>
  <c r="G626" i="39"/>
  <c r="G802" i="39"/>
  <c r="G949" i="39"/>
  <c r="G478" i="39"/>
  <c r="G104" i="39"/>
  <c r="G417" i="39"/>
  <c r="G696" i="39"/>
  <c r="G878" i="39"/>
  <c r="G87" i="39"/>
  <c r="G552" i="39"/>
  <c r="G214" i="39"/>
  <c r="G564" i="39"/>
  <c r="G761" i="39"/>
  <c r="G927" i="39"/>
  <c r="G180" i="39"/>
  <c r="G553" i="39"/>
  <c r="G283" i="39"/>
  <c r="G599" i="39"/>
  <c r="G797" i="39"/>
  <c r="G952" i="39"/>
  <c r="G285" i="39"/>
  <c r="G763" i="39"/>
  <c r="G398" i="39"/>
  <c r="G662" i="39"/>
  <c r="G873" i="39"/>
  <c r="G467" i="39"/>
  <c r="G827" i="39"/>
  <c r="G819" i="39"/>
  <c r="G957" i="39"/>
  <c r="G514" i="39"/>
  <c r="G141" i="39"/>
  <c r="G442" i="39"/>
  <c r="G705" i="39"/>
  <c r="G886" i="39"/>
  <c r="G125" i="39"/>
  <c r="G563" i="39"/>
  <c r="G281" i="39"/>
  <c r="G587" i="39"/>
  <c r="G770" i="39"/>
  <c r="G935" i="39"/>
  <c r="G197" i="39"/>
  <c r="G588" i="39"/>
  <c r="G300" i="39"/>
  <c r="G609" i="39"/>
  <c r="G814" i="39"/>
  <c r="G960" i="39"/>
  <c r="G317" i="39"/>
  <c r="G772" i="39"/>
  <c r="G409" i="39"/>
  <c r="G681" i="39"/>
  <c r="G881" i="39"/>
  <c r="G176" i="39"/>
  <c r="G144" i="39"/>
  <c r="G298" i="39"/>
  <c r="G598" i="39"/>
  <c r="G787" i="39"/>
  <c r="G943" i="39"/>
  <c r="G215" i="39"/>
  <c r="G619" i="39"/>
  <c r="G330" i="39"/>
  <c r="G620" i="39"/>
  <c r="G831" i="39"/>
  <c r="G968" i="39"/>
  <c r="G331" i="39"/>
  <c r="G789" i="39"/>
  <c r="G434" i="39"/>
  <c r="G700" i="39"/>
  <c r="G889" i="39"/>
  <c r="G817" i="39"/>
  <c r="G951" i="39"/>
  <c r="G359" i="39"/>
  <c r="G641" i="39"/>
  <c r="G976" i="39"/>
  <c r="G345" i="39"/>
  <c r="G806" i="39"/>
  <c r="G446" i="39"/>
  <c r="G709" i="39"/>
  <c r="G897" i="39"/>
  <c r="G62" i="39"/>
  <c r="G690" i="39"/>
  <c r="G466" i="39"/>
  <c r="G314" i="39"/>
  <c r="G251" i="39"/>
  <c r="G94" i="39"/>
  <c r="G497" i="39"/>
  <c r="G239" i="39"/>
  <c r="G321" i="39"/>
  <c r="G947" i="39"/>
  <c r="G739" i="39"/>
  <c r="G378" i="39"/>
  <c r="G625" i="39"/>
  <c r="G835" i="39"/>
  <c r="G353" i="39"/>
  <c r="G76" i="39"/>
  <c r="G538" i="39"/>
  <c r="G476" i="39"/>
  <c r="G324" i="39"/>
  <c r="G134" i="39"/>
  <c r="G272" i="39"/>
  <c r="G614" i="39"/>
  <c r="G308" i="39"/>
  <c r="G775" i="39"/>
  <c r="G636" i="39"/>
  <c r="G367" i="39"/>
  <c r="G391" i="39"/>
  <c r="G828" i="39"/>
  <c r="G551" i="39"/>
  <c r="G894" i="39"/>
  <c r="G706" i="39"/>
  <c r="G595" i="39"/>
  <c r="G333" i="39"/>
  <c r="G10" i="39"/>
  <c r="G286" i="39"/>
  <c r="G534" i="39"/>
  <c r="G782" i="39"/>
  <c r="G289" i="39"/>
  <c r="G774" i="39"/>
  <c r="G624" i="39"/>
  <c r="G336" i="39"/>
  <c r="G646" i="39"/>
  <c r="G852" i="39"/>
  <c r="G980" i="39"/>
  <c r="G379" i="39"/>
  <c r="G416" i="39"/>
  <c r="G845" i="39"/>
  <c r="G973" i="39"/>
  <c r="G573" i="39"/>
  <c r="G194" i="39"/>
  <c r="G479" i="39"/>
  <c r="G733" i="39"/>
  <c r="G902" i="39"/>
  <c r="G586" i="39"/>
  <c r="G313" i="39"/>
  <c r="G608" i="39"/>
  <c r="G848" i="39"/>
  <c r="G92" i="39"/>
  <c r="G3" i="39"/>
  <c r="G264" i="39"/>
  <c r="G410" i="39"/>
  <c r="G557" i="39"/>
  <c r="G714" i="39"/>
  <c r="G168" i="39"/>
  <c r="G348" i="39"/>
  <c r="G494" i="39"/>
  <c r="G86" i="39"/>
  <c r="G658" i="39"/>
  <c r="G230" i="39"/>
  <c r="G152" i="39"/>
  <c r="G342" i="39"/>
  <c r="G23" i="39"/>
  <c r="G270" i="39"/>
  <c r="G303" i="39"/>
  <c r="G622" i="39"/>
  <c r="G185" i="39"/>
  <c r="G545" i="39"/>
  <c r="G799" i="39"/>
  <c r="G954" i="39"/>
  <c r="G304" i="39"/>
  <c r="G791" i="39"/>
  <c r="G389" i="39"/>
  <c r="G634" i="39"/>
  <c r="G834" i="39"/>
  <c r="G971" i="39"/>
  <c r="G352" i="39"/>
  <c r="G809" i="39"/>
  <c r="G426" i="39"/>
  <c r="G676" i="39"/>
  <c r="G860" i="39"/>
  <c r="G988" i="39"/>
  <c r="G404" i="39"/>
  <c r="G63" i="39"/>
  <c r="G428" i="39"/>
  <c r="G667" i="39"/>
  <c r="G853" i="39"/>
  <c r="G981" i="39"/>
  <c r="G627" i="39"/>
  <c r="G213" i="39"/>
  <c r="G490" i="39"/>
  <c r="G742" i="39"/>
  <c r="G910" i="39"/>
  <c r="G177" i="39"/>
  <c r="G649" i="39"/>
  <c r="G358" i="39"/>
  <c r="G618" i="39"/>
  <c r="G813" i="39"/>
  <c r="G959" i="39"/>
  <c r="G249" i="39"/>
  <c r="G670" i="39"/>
  <c r="G372" i="39"/>
  <c r="G651" i="39"/>
  <c r="G856" i="39"/>
  <c r="G984" i="39"/>
  <c r="G385" i="39"/>
  <c r="G823" i="39"/>
  <c r="G459" i="39"/>
  <c r="G718" i="39"/>
  <c r="G905" i="39"/>
  <c r="G216" i="39"/>
  <c r="G320" i="39"/>
  <c r="G111" i="39"/>
  <c r="G254" i="39"/>
  <c r="G756" i="39"/>
  <c r="G683" i="39"/>
  <c r="G783" i="39"/>
  <c r="G290" i="39"/>
  <c r="G637" i="39"/>
  <c r="G236" i="39"/>
  <c r="G531" i="39"/>
  <c r="G271" i="39"/>
  <c r="G938" i="39"/>
  <c r="G800" i="39"/>
  <c r="G844" i="39"/>
  <c r="G836" i="39"/>
  <c r="G965" i="39"/>
  <c r="G574" i="39"/>
  <c r="G84" i="39"/>
  <c r="G401" i="39"/>
  <c r="G548" i="39"/>
  <c r="G158" i="39"/>
  <c r="G75" i="39"/>
  <c r="G210" i="39"/>
  <c r="G611" i="39"/>
  <c r="G364" i="39"/>
  <c r="G415" i="39"/>
  <c r="G19" i="39"/>
  <c r="G160" i="39"/>
  <c r="G640" i="39"/>
  <c r="G100" i="39"/>
  <c r="G26" i="39"/>
  <c r="G273" i="39"/>
  <c r="G420" i="39"/>
  <c r="G566" i="39"/>
  <c r="G722" i="39"/>
  <c r="G188" i="39"/>
  <c r="G357" i="39"/>
  <c r="G503" i="39"/>
  <c r="G107" i="39"/>
  <c r="G675" i="39"/>
  <c r="G240" i="39"/>
  <c r="G172" i="39"/>
  <c r="G351" i="39"/>
  <c r="G57" i="39"/>
  <c r="G279" i="39"/>
  <c r="G318" i="39"/>
  <c r="G643" i="39"/>
  <c r="G204" i="39"/>
  <c r="G580" i="39"/>
  <c r="G816" i="39"/>
  <c r="G962" i="39"/>
  <c r="G335" i="39"/>
  <c r="G808" i="39"/>
  <c r="G400" i="39"/>
  <c r="G645" i="39"/>
  <c r="G851" i="39"/>
  <c r="G979" i="39"/>
  <c r="G377" i="39"/>
  <c r="G826" i="39"/>
  <c r="G452" i="39"/>
  <c r="G685" i="39"/>
  <c r="G868" i="39"/>
  <c r="G996" i="39"/>
  <c r="G427" i="39"/>
  <c r="G82" i="39"/>
  <c r="G453" i="39"/>
  <c r="G677" i="39"/>
  <c r="G861" i="39"/>
  <c r="G989" i="39"/>
  <c r="G668" i="39"/>
  <c r="G229" i="39"/>
  <c r="G516" i="39"/>
  <c r="G751" i="39"/>
  <c r="G918" i="39"/>
  <c r="G195" i="39"/>
  <c r="G659" i="39"/>
  <c r="G370" i="39"/>
  <c r="G629" i="39"/>
  <c r="G830" i="39"/>
  <c r="G967" i="39"/>
  <c r="G266" i="39"/>
  <c r="G707" i="39"/>
  <c r="G397" i="39"/>
  <c r="G661" i="39"/>
  <c r="G864" i="39"/>
  <c r="G992" i="39"/>
  <c r="G422" i="39"/>
  <c r="G840" i="39"/>
  <c r="G471" i="39"/>
  <c r="G727" i="39"/>
  <c r="G913" i="39"/>
  <c r="G68" i="39"/>
  <c r="G529" i="39"/>
  <c r="G128" i="39"/>
  <c r="G181" i="39"/>
  <c r="G579" i="39"/>
  <c r="G930" i="39"/>
  <c r="G603" i="39"/>
  <c r="G380" i="39"/>
  <c r="G392" i="39"/>
  <c r="G329" i="39"/>
  <c r="G191" i="39"/>
  <c r="G315" i="39"/>
  <c r="G765" i="39"/>
  <c r="G955" i="39"/>
  <c r="G972" i="39"/>
  <c r="G647" i="39"/>
  <c r="G724" i="39"/>
  <c r="G2" i="39"/>
  <c r="G338" i="39"/>
  <c r="G142" i="39"/>
  <c r="G150" i="39"/>
  <c r="G792" i="39"/>
  <c r="G796" i="39"/>
  <c r="G108" i="39"/>
  <c r="G39" i="39"/>
  <c r="G282" i="39"/>
  <c r="G429" i="39"/>
  <c r="G575" i="39"/>
  <c r="G730" i="39"/>
  <c r="G217" i="39"/>
  <c r="G366" i="39"/>
  <c r="G512" i="39"/>
  <c r="G118" i="39"/>
  <c r="G7" i="39"/>
  <c r="G259" i="39"/>
  <c r="G201" i="39"/>
  <c r="G360" i="39"/>
  <c r="G69" i="39"/>
  <c r="G288" i="39"/>
  <c r="G334" i="39"/>
  <c r="G653" i="39"/>
  <c r="G220" i="39"/>
  <c r="G601" i="39"/>
  <c r="G833" i="39"/>
  <c r="G970" i="39"/>
  <c r="G363" i="39"/>
  <c r="G825" i="39"/>
  <c r="G425" i="39"/>
  <c r="G664" i="39"/>
  <c r="G859" i="39"/>
  <c r="G987" i="39"/>
  <c r="G414" i="39"/>
  <c r="G843" i="39"/>
  <c r="G463" i="39"/>
  <c r="G694" i="39"/>
  <c r="G876" i="39"/>
  <c r="G18" i="39"/>
  <c r="G440" i="39"/>
  <c r="G103" i="39"/>
  <c r="G464" i="39"/>
  <c r="G686" i="39"/>
  <c r="G869" i="39"/>
  <c r="G997" i="39"/>
  <c r="G723" i="39"/>
  <c r="G246" i="39"/>
  <c r="G527" i="39"/>
  <c r="G760" i="39"/>
  <c r="G926" i="39"/>
  <c r="G248" i="39"/>
  <c r="G669" i="39"/>
  <c r="G382" i="39"/>
  <c r="G650" i="39"/>
  <c r="G847" i="39"/>
  <c r="G975" i="39"/>
  <c r="G299" i="39"/>
  <c r="G779" i="39"/>
  <c r="G408" i="39"/>
  <c r="G680" i="39"/>
  <c r="G872" i="39"/>
  <c r="G1000" i="39"/>
  <c r="G458" i="39"/>
  <c r="G53" i="39"/>
  <c r="G482" i="39"/>
  <c r="G736" i="39"/>
  <c r="G921" i="39"/>
  <c r="G383" i="39"/>
  <c r="G29" i="39"/>
  <c r="G232" i="39"/>
  <c r="G964" i="39"/>
  <c r="G70" i="39"/>
  <c r="G698" i="39"/>
  <c r="G138" i="39"/>
  <c r="G64" i="39"/>
  <c r="G121" i="39"/>
  <c r="G252" i="39"/>
  <c r="G590" i="39"/>
  <c r="G509" i="39"/>
  <c r="G747" i="39"/>
  <c r="G350" i="39"/>
  <c r="G390" i="39"/>
  <c r="G454" i="39"/>
  <c r="G255" i="39"/>
  <c r="G485" i="39"/>
  <c r="G261" i="39"/>
  <c r="G946" i="39"/>
  <c r="G963" i="39"/>
  <c r="G657" i="39"/>
  <c r="G233" i="39"/>
  <c r="G116" i="39"/>
  <c r="G73" i="39"/>
  <c r="G292" i="39"/>
  <c r="G438" i="39"/>
  <c r="G584" i="39"/>
  <c r="G738" i="39"/>
  <c r="G227" i="39"/>
  <c r="G375" i="39"/>
  <c r="G521" i="39"/>
  <c r="G139" i="39"/>
  <c r="G8" i="39"/>
  <c r="G323" i="39"/>
  <c r="G211" i="39"/>
  <c r="G33" i="39"/>
  <c r="G80" i="39"/>
  <c r="G297" i="39"/>
  <c r="G347" i="39"/>
  <c r="G672" i="39"/>
  <c r="G238" i="39"/>
  <c r="G623" i="39"/>
  <c r="G850" i="39"/>
  <c r="G978" i="39"/>
  <c r="G376" i="39"/>
  <c r="G842" i="39"/>
  <c r="G437" i="39"/>
  <c r="G674" i="39"/>
  <c r="G867" i="39"/>
  <c r="G995" i="39"/>
  <c r="G450" i="39"/>
  <c r="G81" i="39"/>
  <c r="G475" i="39"/>
  <c r="G703" i="39"/>
  <c r="G884" i="39"/>
  <c r="G41" i="39"/>
  <c r="G477" i="39"/>
  <c r="G120" i="39"/>
  <c r="G489" i="39"/>
  <c r="G695" i="39"/>
  <c r="G877" i="39"/>
  <c r="G42" i="39"/>
  <c r="G777" i="39"/>
  <c r="G263" i="39"/>
  <c r="G539" i="39"/>
  <c r="G769" i="39"/>
  <c r="G934" i="39"/>
  <c r="G327" i="39"/>
  <c r="G715" i="39"/>
  <c r="G395" i="39"/>
  <c r="G660" i="39"/>
  <c r="G855" i="39"/>
  <c r="G983" i="39"/>
  <c r="G316" i="39"/>
  <c r="G788" i="39"/>
  <c r="G433" i="39"/>
  <c r="G689" i="39"/>
  <c r="G880" i="39"/>
  <c r="G31" i="39"/>
  <c r="G495" i="39"/>
  <c r="G93" i="39"/>
  <c r="G508" i="39"/>
  <c r="G745" i="39"/>
  <c r="G929" i="39"/>
  <c r="G892" i="39"/>
  <c r="G501" i="39"/>
  <c r="G704" i="39"/>
  <c r="G885" i="39"/>
  <c r="G83" i="39"/>
  <c r="G794" i="39"/>
  <c r="G280" i="39"/>
  <c r="G562" i="39"/>
  <c r="G786" i="39"/>
  <c r="G942" i="39"/>
  <c r="G343" i="39"/>
  <c r="G778" i="39"/>
  <c r="G407" i="39"/>
  <c r="G679" i="39"/>
  <c r="G863" i="39"/>
  <c r="G991" i="39"/>
  <c r="G344" i="39"/>
  <c r="G805" i="39"/>
  <c r="G445" i="39"/>
  <c r="G708" i="39"/>
  <c r="G888" i="39"/>
  <c r="G50" i="39"/>
  <c r="G507" i="39"/>
  <c r="G148" i="39"/>
  <c r="G519" i="39"/>
  <c r="G764" i="39"/>
  <c r="G937" i="39"/>
  <c r="G123" i="39"/>
  <c r="G597" i="39"/>
  <c r="G394" i="39"/>
  <c r="G795" i="39"/>
  <c r="G418" i="39"/>
  <c r="G688" i="39"/>
  <c r="G871" i="39"/>
  <c r="G999" i="39"/>
  <c r="G371" i="39"/>
  <c r="G822" i="39"/>
  <c r="G470" i="39"/>
  <c r="G717" i="39"/>
  <c r="G896" i="39"/>
  <c r="G72" i="39"/>
  <c r="G532" i="39"/>
  <c r="G184" i="39"/>
  <c r="G544" i="39"/>
  <c r="G781" i="39"/>
  <c r="G945" i="39"/>
  <c r="G820" i="39"/>
  <c r="G879" i="39"/>
  <c r="G396" i="39"/>
  <c r="G839" i="39"/>
  <c r="G726" i="39"/>
  <c r="G129" i="39"/>
  <c r="G554" i="39"/>
  <c r="G200" i="39"/>
  <c r="G555" i="39"/>
  <c r="G798" i="39"/>
  <c r="G953" i="39"/>
  <c r="G124" i="39"/>
  <c r="G301" i="39"/>
  <c r="G593" i="39"/>
  <c r="G530" i="39"/>
  <c r="G32" i="39"/>
  <c r="G387" i="39"/>
  <c r="G90" i="39"/>
  <c r="G691" i="39"/>
  <c r="G349" i="39"/>
  <c r="G986" i="39"/>
  <c r="G15" i="39"/>
  <c r="G875" i="39"/>
  <c r="G487" i="39"/>
  <c r="G488" i="39"/>
  <c r="G513" i="39"/>
  <c r="G105" i="39"/>
  <c r="G456" i="39"/>
  <c r="G754" i="39"/>
  <c r="G393" i="39"/>
  <c r="G159" i="39"/>
  <c r="G451" i="39"/>
  <c r="G101" i="39"/>
  <c r="G112" i="39"/>
  <c r="G25" i="39"/>
  <c r="G755" i="39"/>
  <c r="G866" i="39"/>
  <c r="G449" i="39"/>
  <c r="G473" i="39"/>
  <c r="G883" i="39"/>
  <c r="G59" i="39"/>
  <c r="G119" i="39"/>
  <c r="G900" i="39"/>
  <c r="G175" i="39"/>
  <c r="G713" i="39"/>
  <c r="G295" i="39"/>
  <c r="G803" i="39"/>
  <c r="G6" i="39"/>
  <c r="G319" i="39"/>
  <c r="G465" i="39"/>
  <c r="G762" i="39"/>
  <c r="G402" i="39"/>
  <c r="G178" i="39"/>
  <c r="G66" i="39"/>
  <c r="G250" i="39"/>
  <c r="G122" i="39"/>
  <c r="G11" i="39"/>
  <c r="G773" i="39"/>
  <c r="G388" i="39"/>
  <c r="G663" i="39"/>
  <c r="G13" i="39"/>
  <c r="G58" i="39"/>
  <c r="G891" i="39"/>
  <c r="G155" i="39"/>
  <c r="G740" i="39"/>
  <c r="G193" i="39"/>
  <c r="G812" i="39"/>
  <c r="G481" i="39"/>
  <c r="G20" i="39"/>
  <c r="G14" i="39"/>
  <c r="G137" i="39"/>
  <c r="G328" i="39"/>
  <c r="G474" i="39"/>
  <c r="G621" i="39"/>
  <c r="G5" i="39"/>
  <c r="G265" i="39"/>
  <c r="G412" i="39"/>
  <c r="G558" i="39"/>
  <c r="G198" i="39"/>
  <c r="G78" i="39"/>
  <c r="G9" i="39"/>
  <c r="G260" i="39"/>
  <c r="G143" i="39"/>
  <c r="G153" i="39"/>
  <c r="G34" i="39"/>
  <c r="G460" i="39"/>
  <c r="G790" i="39"/>
  <c r="G399" i="39"/>
  <c r="G692" i="39"/>
  <c r="G882" i="39"/>
  <c r="G77" i="39"/>
  <c r="G522" i="39"/>
  <c r="G97" i="39"/>
  <c r="G510" i="39"/>
  <c r="G711" i="39"/>
  <c r="G899" i="39"/>
  <c r="G136" i="39"/>
  <c r="G547" i="39"/>
  <c r="G207" i="39"/>
  <c r="G536" i="39"/>
  <c r="G749" i="39"/>
  <c r="G916" i="39"/>
  <c r="G174" i="39"/>
  <c r="G656" i="39"/>
  <c r="G209" i="39"/>
  <c r="G561" i="39"/>
  <c r="G741" i="39"/>
  <c r="G909" i="39"/>
  <c r="G326" i="39"/>
  <c r="G837" i="39"/>
  <c r="G341" i="39"/>
  <c r="G617" i="39"/>
  <c r="G829" i="39"/>
  <c r="G966" i="39"/>
  <c r="G443" i="39"/>
  <c r="G821" i="39"/>
  <c r="G455" i="39"/>
  <c r="G716" i="39"/>
  <c r="G887" i="39"/>
  <c r="G71" i="39"/>
  <c r="G419" i="39"/>
  <c r="G49" i="39"/>
  <c r="G506" i="39"/>
  <c r="G735" i="39"/>
  <c r="G912" i="39"/>
  <c r="G146" i="39"/>
  <c r="G589" i="39"/>
  <c r="G218" i="39"/>
  <c r="G578" i="39"/>
  <c r="G815" i="39"/>
  <c r="G961" i="39"/>
  <c r="G447" i="39"/>
  <c r="G384" i="39"/>
  <c r="G45" i="39"/>
  <c r="G386" i="39"/>
  <c r="G858" i="39"/>
  <c r="G684" i="39"/>
  <c r="G140" i="39"/>
  <c r="G4" i="39"/>
  <c r="G132" i="39"/>
  <c r="G310" i="39"/>
  <c r="G602" i="39"/>
  <c r="G247" i="39"/>
  <c r="G540" i="39"/>
  <c r="G43" i="39"/>
  <c r="G231" i="39"/>
  <c r="G423" i="39"/>
  <c r="G362" i="39"/>
  <c r="G994" i="39"/>
  <c r="G37" i="39"/>
  <c r="G693" i="39"/>
  <c r="G499" i="39"/>
  <c r="G500" i="39"/>
  <c r="G721" i="39"/>
  <c r="G102" i="39"/>
  <c r="G550" i="39"/>
  <c r="G526" i="39"/>
  <c r="G811" i="39"/>
  <c r="G950" i="39"/>
  <c r="G12" i="39"/>
  <c r="G127" i="39"/>
  <c r="G612" i="39"/>
  <c r="G256" i="39"/>
  <c r="G549" i="39"/>
  <c r="G515" i="39"/>
  <c r="G133" i="39"/>
  <c r="G435" i="39"/>
  <c r="G874" i="39"/>
  <c r="G486" i="39"/>
  <c r="G498" i="39"/>
  <c r="G702" i="39"/>
  <c r="G117" i="39"/>
  <c r="G524" i="39"/>
  <c r="G525" i="39"/>
  <c r="G908" i="39"/>
  <c r="G156" i="39"/>
  <c r="G572" i="39"/>
  <c r="G537" i="39"/>
  <c r="G732" i="39"/>
  <c r="G901" i="39"/>
  <c r="G245" i="39"/>
  <c r="G312" i="39"/>
  <c r="G607" i="39"/>
  <c r="G958" i="39"/>
  <c r="G431" i="39"/>
  <c r="G804" i="39"/>
  <c r="G444" i="39"/>
  <c r="G697" i="39"/>
  <c r="G27" i="39"/>
  <c r="G904" i="39"/>
  <c r="G28" i="39"/>
  <c r="G22" i="39"/>
  <c r="G147" i="39"/>
  <c r="G337" i="39"/>
  <c r="G484" i="39"/>
  <c r="G630" i="39"/>
  <c r="G40" i="39"/>
  <c r="G274" i="39"/>
  <c r="G421" i="39"/>
  <c r="G567" i="39"/>
  <c r="G208" i="39"/>
  <c r="G99" i="39"/>
  <c r="G21" i="39"/>
  <c r="G269" i="39"/>
  <c r="G162" i="39"/>
  <c r="G163" i="39"/>
  <c r="G113" i="39"/>
  <c r="G483" i="39"/>
  <c r="G807" i="39"/>
  <c r="G411" i="39"/>
  <c r="G701" i="39"/>
  <c r="G890" i="39"/>
  <c r="G114" i="39"/>
  <c r="G569" i="39"/>
  <c r="G115" i="39"/>
  <c r="G523" i="39"/>
  <c r="G720" i="39"/>
  <c r="G907" i="39"/>
  <c r="G154" i="39"/>
  <c r="G570" i="39"/>
  <c r="G243" i="39"/>
  <c r="G560" i="39"/>
  <c r="G758" i="39"/>
  <c r="G924" i="39"/>
  <c r="G190" i="39"/>
  <c r="G666" i="39"/>
  <c r="G226" i="39"/>
  <c r="G583" i="39"/>
  <c r="G750" i="39"/>
  <c r="G917" i="39"/>
  <c r="G354" i="39"/>
  <c r="G24" i="39"/>
  <c r="G355" i="39"/>
  <c r="G628" i="39"/>
  <c r="G846" i="39"/>
  <c r="G974" i="39"/>
  <c r="G468" i="39"/>
  <c r="G838" i="39"/>
  <c r="G480" i="39"/>
  <c r="G725" i="39"/>
  <c r="G895" i="39"/>
  <c r="G88" i="39"/>
  <c r="G432" i="39"/>
  <c r="G91" i="39"/>
  <c r="G518" i="39"/>
  <c r="G744" i="39"/>
  <c r="G920" i="39"/>
  <c r="G165" i="39"/>
  <c r="G631" i="39"/>
  <c r="G235" i="39"/>
  <c r="G600" i="39"/>
  <c r="G832" i="39"/>
  <c r="G969" i="39"/>
  <c r="G759" i="39"/>
  <c r="G903" i="39"/>
  <c r="G469" i="39"/>
  <c r="G109" i="39"/>
  <c r="G543" i="39"/>
  <c r="G753" i="39"/>
  <c r="G234" i="39"/>
  <c r="G652" i="39"/>
  <c r="G332" i="39"/>
  <c r="G610" i="39"/>
  <c r="G849" i="39"/>
  <c r="G977" i="39"/>
  <c r="G237" i="39"/>
  <c r="G712" i="39"/>
  <c r="G893" i="39"/>
  <c r="G36" i="39"/>
  <c r="G30" i="39"/>
  <c r="G157" i="39"/>
  <c r="G346" i="39"/>
  <c r="G493" i="39"/>
  <c r="G639" i="39"/>
  <c r="G51" i="39"/>
  <c r="G284" i="39"/>
  <c r="G430" i="39"/>
  <c r="G576" i="39"/>
  <c r="G228" i="39"/>
  <c r="G110" i="39"/>
  <c r="G56" i="39"/>
  <c r="G278" i="39"/>
  <c r="G182" i="39"/>
  <c r="G173" i="39"/>
  <c r="G130" i="39"/>
  <c r="G496" i="39"/>
  <c r="G824" i="39"/>
  <c r="G424" i="39"/>
  <c r="G710" i="39"/>
  <c r="G898" i="39"/>
  <c r="G135" i="39"/>
  <c r="G591" i="39"/>
  <c r="G187" i="39"/>
  <c r="G535" i="39"/>
  <c r="G729" i="39"/>
  <c r="G915" i="39"/>
  <c r="G170" i="39"/>
  <c r="G592" i="39"/>
  <c r="G258" i="39"/>
  <c r="G571" i="39"/>
  <c r="G767" i="39"/>
  <c r="G932" i="39"/>
  <c r="G225" i="39"/>
  <c r="G731" i="39"/>
  <c r="G262" i="39"/>
  <c r="G596" i="39"/>
  <c r="G925" i="39"/>
  <c r="G368" i="39"/>
  <c r="G47" i="39"/>
  <c r="G369" i="39"/>
  <c r="G638" i="39"/>
  <c r="G854" i="39"/>
  <c r="G982" i="39"/>
  <c r="G491" i="39"/>
  <c r="G48" i="39"/>
  <c r="G492" i="39"/>
  <c r="G734" i="39"/>
  <c r="G126" i="39"/>
  <c r="G928" i="39"/>
  <c r="G44" i="39"/>
  <c r="G38" i="39"/>
  <c r="G167" i="39"/>
  <c r="G356" i="39"/>
  <c r="G502" i="39"/>
  <c r="G648" i="39"/>
  <c r="G74" i="39"/>
  <c r="G293" i="39"/>
  <c r="G439" i="39"/>
  <c r="G585" i="39"/>
  <c r="G275" i="39"/>
  <c r="G131" i="39"/>
  <c r="G67" i="39"/>
  <c r="G287" i="39"/>
  <c r="G192" i="39"/>
  <c r="G183" i="39"/>
  <c r="G166" i="39"/>
  <c r="G533" i="39"/>
  <c r="G841" i="39"/>
  <c r="G436" i="39"/>
  <c r="G719" i="39"/>
  <c r="G906" i="39"/>
  <c r="G151" i="39"/>
  <c r="G613" i="39"/>
  <c r="G205" i="39"/>
  <c r="G546" i="39"/>
  <c r="G748" i="39"/>
  <c r="G923" i="39"/>
  <c r="G189" i="39"/>
  <c r="G604" i="39"/>
  <c r="G276" i="39"/>
  <c r="G582" i="39"/>
  <c r="G784" i="39"/>
  <c r="G940" i="39"/>
  <c r="G244" i="39"/>
  <c r="G776" i="39"/>
  <c r="G277" i="39"/>
  <c r="G606" i="39"/>
  <c r="G768" i="39"/>
  <c r="G933" i="39"/>
  <c r="G405" i="39"/>
  <c r="G65" i="39"/>
  <c r="G381" i="39"/>
  <c r="G678" i="39"/>
  <c r="G862" i="39"/>
  <c r="G990" i="39"/>
  <c r="G504" i="39"/>
  <c r="G179" i="39"/>
  <c r="G517" i="39"/>
  <c r="G743" i="39"/>
  <c r="G911" i="39"/>
  <c r="G145" i="39"/>
  <c r="G505" i="39"/>
  <c r="G199" i="39"/>
  <c r="G565" i="39"/>
  <c r="G771" i="39"/>
  <c r="G936" i="39"/>
  <c r="G253" i="39"/>
  <c r="G671" i="39"/>
  <c r="G361" i="39"/>
  <c r="G632" i="39"/>
  <c r="G857" i="39"/>
  <c r="G985" i="39"/>
  <c r="G728" i="39"/>
  <c r="G541" i="39"/>
  <c r="G528" i="39"/>
  <c r="G919" i="39"/>
  <c r="G164" i="39"/>
  <c r="G542" i="39"/>
  <c r="G267" i="39"/>
  <c r="G577" i="39"/>
  <c r="G780" i="39"/>
  <c r="G944" i="39"/>
  <c r="G268" i="39"/>
  <c r="G699" i="39"/>
  <c r="G373" i="39"/>
  <c r="G642" i="39"/>
  <c r="G865" i="39"/>
  <c r="G993" i="39"/>
  <c r="C2" i="39" a="1"/>
  <c r="C2" i="39" s="1"/>
  <c r="K12" i="38"/>
  <c r="K14" i="38"/>
  <c r="K15" i="38"/>
  <c r="K16" i="38"/>
  <c r="K17" i="38"/>
  <c r="C61" i="31"/>
  <c r="C54" i="31"/>
  <c r="C97" i="31"/>
  <c r="C80" i="31"/>
  <c r="C5" i="31"/>
  <c r="C17" i="31"/>
  <c r="C48" i="31"/>
  <c r="C50" i="31"/>
  <c r="C37" i="31"/>
  <c r="C72" i="31"/>
  <c r="C87" i="31"/>
  <c r="C10" i="31"/>
  <c r="C71" i="31"/>
  <c r="C39" i="31"/>
  <c r="C77" i="31"/>
  <c r="C49" i="31"/>
  <c r="C69" i="31"/>
  <c r="C27" i="31"/>
  <c r="C14" i="31"/>
  <c r="C78" i="31"/>
  <c r="C70" i="31"/>
  <c r="C8" i="31"/>
  <c r="C2" i="31"/>
  <c r="C96" i="31"/>
  <c r="C19" i="31"/>
  <c r="C21" i="31"/>
  <c r="C95" i="31"/>
  <c r="C32" i="31"/>
  <c r="C59" i="31"/>
  <c r="C89" i="31"/>
  <c r="C56" i="31"/>
  <c r="C31" i="31"/>
  <c r="C20" i="31"/>
  <c r="C93" i="31"/>
  <c r="C82" i="31"/>
  <c r="C34" i="31"/>
  <c r="C52" i="31"/>
  <c r="C13" i="31"/>
  <c r="C85" i="31"/>
  <c r="C26" i="31"/>
  <c r="C24" i="31"/>
  <c r="C58" i="31"/>
  <c r="C98" i="31"/>
  <c r="C55" i="31"/>
  <c r="C9" i="31"/>
  <c r="C84" i="31"/>
  <c r="C3" i="31"/>
  <c r="C29" i="31"/>
  <c r="C16" i="31"/>
  <c r="C42" i="31"/>
  <c r="C40" i="31"/>
  <c r="C25" i="31"/>
  <c r="C30" i="31"/>
  <c r="C73" i="31"/>
  <c r="C23" i="31"/>
  <c r="C66" i="31"/>
  <c r="C86" i="31"/>
  <c r="C33" i="31"/>
  <c r="C57" i="31"/>
  <c r="C36" i="31"/>
  <c r="C64" i="31"/>
  <c r="C88" i="31"/>
  <c r="C47" i="31"/>
  <c r="C12" i="31"/>
  <c r="C4" i="31"/>
  <c r="C92" i="31"/>
  <c r="C81" i="31"/>
  <c r="C43" i="31"/>
  <c r="C63" i="31"/>
  <c r="C74" i="31"/>
  <c r="C38" i="31"/>
  <c r="C65" i="31"/>
  <c r="C7" i="31"/>
  <c r="C60" i="31"/>
  <c r="C22" i="31"/>
  <c r="C53" i="31"/>
  <c r="C62" i="31"/>
  <c r="C68" i="31"/>
  <c r="C99" i="31"/>
  <c r="C6" i="31"/>
  <c r="C76" i="31"/>
  <c r="C67" i="31"/>
  <c r="C35" i="31"/>
  <c r="C90" i="31"/>
  <c r="C79" i="31"/>
  <c r="C46" i="31"/>
  <c r="C15" i="31"/>
  <c r="C28" i="31"/>
  <c r="C91" i="31"/>
  <c r="C44" i="31"/>
  <c r="C41" i="31"/>
  <c r="C75" i="31"/>
  <c r="C51" i="31"/>
  <c r="C45" i="31"/>
  <c r="C100" i="31"/>
  <c r="C18" i="31"/>
  <c r="C83" i="31"/>
  <c r="C11" i="31"/>
  <c r="C94" i="31"/>
  <c r="C22" i="33"/>
  <c r="D23" i="33" a="1"/>
  <c r="D23" i="33" s="1"/>
  <c r="C19" i="33"/>
  <c r="E21" i="33" a="1"/>
  <c r="E21" i="33" s="1"/>
  <c r="D21" i="33" a="1"/>
  <c r="D21" i="33" s="1"/>
  <c r="C21" i="33"/>
  <c r="E22" i="33" a="1"/>
  <c r="E22" i="33" s="1"/>
  <c r="D22" i="33" a="1"/>
  <c r="D22" i="33" s="1"/>
  <c r="E19" i="33" a="1"/>
  <c r="E19" i="33" s="1"/>
  <c r="D19" i="33" a="1"/>
  <c r="D19" i="33" s="1"/>
  <c r="E20" i="33" a="1"/>
  <c r="E20" i="33" s="1"/>
  <c r="D20" i="33" a="1"/>
  <c r="D20" i="33" s="1"/>
  <c r="C20" i="33"/>
  <c r="C23" i="33"/>
  <c r="C12" i="33" a="1"/>
  <c r="C12" i="33" s="1"/>
  <c r="D12" i="33" a="1"/>
  <c r="D12" i="33" s="1"/>
  <c r="C11" i="33" a="1"/>
  <c r="C11" i="33" s="1"/>
  <c r="D13" i="33" a="1"/>
  <c r="D13" i="33" s="1"/>
  <c r="D11" i="33" a="1"/>
  <c r="D11" i="33" s="1"/>
  <c r="C10" i="33" a="1"/>
  <c r="C10" i="33" s="1"/>
  <c r="C13" i="33" a="1"/>
  <c r="C13" i="33" s="1"/>
  <c r="D10" i="33" a="1"/>
  <c r="D10" i="33" s="1"/>
  <c r="C9" i="33" a="1"/>
  <c r="C9" i="33" s="1"/>
  <c r="D9" i="33" a="1"/>
  <c r="D9" i="33" s="1"/>
  <c r="E23" i="33" a="1"/>
  <c r="E23" i="33" s="1"/>
  <c r="H29" i="12"/>
  <c r="H37" i="12"/>
  <c r="H43" i="12"/>
  <c r="H31" i="12"/>
  <c r="H32" i="12"/>
  <c r="H35" i="12"/>
  <c r="H44" i="12"/>
  <c r="H40" i="12"/>
  <c r="H41" i="12"/>
  <c r="H27" i="12"/>
  <c r="H13" i="12"/>
  <c r="H17" i="12"/>
  <c r="H22" i="12"/>
  <c r="H21" i="12"/>
  <c r="H30" i="12"/>
  <c r="H19" i="12"/>
  <c r="H23" i="12"/>
  <c r="H16" i="12"/>
  <c r="H7" i="12"/>
  <c r="H20" i="12"/>
  <c r="H10" i="12"/>
  <c r="H18" i="12"/>
  <c r="H8" i="12"/>
  <c r="H12" i="12"/>
  <c r="H24" i="12"/>
  <c r="H28" i="12"/>
  <c r="H14" i="12"/>
  <c r="K13" i="38" a="1"/>
  <c r="K13" i="38" l="1"/>
  <c r="D13" i="40"/>
  <c r="E13" i="40"/>
  <c r="D27" i="38" a="1"/>
  <c r="D27" i="38" s="1"/>
  <c r="C27" i="38" s="1" a="1"/>
  <c r="C27" i="38" s="1"/>
  <c r="C23" i="38" a="1"/>
  <c r="C23" i="38" s="1"/>
  <c r="F25" i="38" a="1"/>
  <c r="F25" i="38" s="1"/>
  <c r="H2" i="39" a="1"/>
  <c r="H2" i="39" s="1"/>
  <c r="J8" i="38"/>
  <c r="I42" i="12"/>
  <c r="J42" i="12" s="1" a="1"/>
  <c r="J42" i="12" s="1"/>
  <c r="I22" i="12"/>
  <c r="J22" i="12" s="1" a="1"/>
  <c r="J22" i="12" s="1"/>
  <c r="I19" i="12"/>
  <c r="J19" i="12" s="1" a="1"/>
  <c r="J19" i="12" s="1"/>
  <c r="I35" i="12"/>
  <c r="J35" i="12" s="1" a="1"/>
  <c r="J35" i="12" s="1"/>
  <c r="I10" i="12"/>
  <c r="J10" i="12" s="1" a="1"/>
  <c r="J10" i="12" s="1"/>
  <c r="I8" i="12"/>
  <c r="J8" i="12" s="1" a="1"/>
  <c r="J8" i="12" s="1"/>
  <c r="I24" i="12"/>
  <c r="J24" i="12" s="1" a="1"/>
  <c r="J24" i="12" s="1"/>
  <c r="I40" i="12"/>
  <c r="J40" i="12" s="1" a="1"/>
  <c r="J40" i="12" s="1"/>
  <c r="I25" i="12"/>
  <c r="J25" i="12" s="1" a="1"/>
  <c r="J25" i="12" s="1"/>
  <c r="I41" i="12"/>
  <c r="J41" i="12" s="1" a="1"/>
  <c r="J41" i="12" s="1"/>
  <c r="I30" i="12"/>
  <c r="J30" i="12" s="1" a="1"/>
  <c r="J30" i="12" s="1"/>
  <c r="I15" i="12"/>
  <c r="J15" i="12" s="1" a="1"/>
  <c r="J15" i="12" s="1"/>
  <c r="I17" i="12"/>
  <c r="J17" i="12" s="1" a="1"/>
  <c r="J17" i="12" s="1"/>
  <c r="I20" i="12"/>
  <c r="J20" i="12" s="1" a="1"/>
  <c r="J20" i="12" s="1"/>
  <c r="I21" i="12"/>
  <c r="J21" i="12" s="1" a="1"/>
  <c r="J21" i="12" s="1"/>
  <c r="I7" i="12"/>
  <c r="I23" i="12"/>
  <c r="J23" i="12" s="1" a="1"/>
  <c r="J23" i="12" s="1"/>
  <c r="I39" i="12"/>
  <c r="J39" i="12" s="1" a="1"/>
  <c r="J39" i="12" s="1"/>
  <c r="I18" i="12"/>
  <c r="J18" i="12" s="1" a="1"/>
  <c r="J18" i="12" s="1"/>
  <c r="I12" i="12"/>
  <c r="J12" i="12" s="1" a="1"/>
  <c r="J12" i="12" s="1"/>
  <c r="I28" i="12"/>
  <c r="J28" i="12" s="1" a="1"/>
  <c r="J28" i="12" s="1"/>
  <c r="I44" i="12"/>
  <c r="J44" i="12" s="1" a="1"/>
  <c r="J44" i="12" s="1"/>
  <c r="I29" i="12"/>
  <c r="J29" i="12" s="1" a="1"/>
  <c r="J29" i="12" s="1"/>
  <c r="I13" i="12"/>
  <c r="J13" i="12" s="1" a="1"/>
  <c r="J13" i="12" s="1"/>
  <c r="I34" i="12"/>
  <c r="J34" i="12" s="1" a="1"/>
  <c r="J34" i="12" s="1"/>
  <c r="I31" i="12"/>
  <c r="J31" i="12" s="1" a="1"/>
  <c r="J31" i="12" s="1"/>
  <c r="I38" i="12"/>
  <c r="J38" i="12" s="1" a="1"/>
  <c r="J38" i="12" s="1"/>
  <c r="I36" i="12"/>
  <c r="J36" i="12" s="1" a="1"/>
  <c r="J36" i="12" s="1"/>
  <c r="I37" i="12"/>
  <c r="J37" i="12" s="1" a="1"/>
  <c r="J37" i="12" s="1"/>
  <c r="I11" i="12"/>
  <c r="J11" i="12" s="1" a="1"/>
  <c r="J11" i="12" s="1"/>
  <c r="I27" i="12"/>
  <c r="J27" i="12" s="1" a="1"/>
  <c r="J27" i="12" s="1"/>
  <c r="I43" i="12"/>
  <c r="J43" i="12" s="1" a="1"/>
  <c r="J43" i="12" s="1"/>
  <c r="I26" i="12"/>
  <c r="J26" i="12" s="1" a="1"/>
  <c r="J26" i="12" s="1"/>
  <c r="I16" i="12"/>
  <c r="J16" i="12" s="1" a="1"/>
  <c r="J16" i="12" s="1"/>
  <c r="I32" i="12"/>
  <c r="J32" i="12" s="1" a="1"/>
  <c r="J32" i="12" s="1"/>
  <c r="I9" i="12"/>
  <c r="J9" i="12" s="1" a="1"/>
  <c r="J9" i="12" s="1"/>
  <c r="I33" i="12"/>
  <c r="J33" i="12" s="1" a="1"/>
  <c r="J33" i="12" s="1"/>
  <c r="I14" i="12"/>
  <c r="J14" i="12" s="1" a="1"/>
  <c r="J14" i="12" s="1"/>
  <c r="K7" i="12" l="1" a="1"/>
  <c r="K7" i="12" s="1"/>
  <c r="J7" i="12" a="1"/>
  <c r="J7" i="12" s="1"/>
  <c r="L1670" i="4" a="1"/>
  <c r="L1670" i="4" s="1"/>
  <c r="W7" i="13" l="1" a="1"/>
  <c r="W7" i="13" s="1"/>
  <c r="AV200" i="13"/>
  <c r="AV199" i="13"/>
  <c r="AV198" i="13"/>
  <c r="AV197" i="13"/>
  <c r="AV196" i="13"/>
  <c r="AV195" i="13"/>
  <c r="AV194" i="13"/>
  <c r="AV193" i="13"/>
  <c r="AV192" i="13"/>
  <c r="AV191" i="13"/>
  <c r="AV190" i="13"/>
  <c r="AV189" i="13"/>
  <c r="AV188" i="13"/>
  <c r="AV187" i="13"/>
  <c r="AV186" i="13"/>
  <c r="AV185" i="13"/>
  <c r="AV184" i="13"/>
  <c r="AV183" i="13"/>
  <c r="AV182" i="13"/>
  <c r="AV181" i="13"/>
  <c r="AV180" i="13"/>
  <c r="AV179" i="13"/>
  <c r="AV178" i="13"/>
  <c r="AV177" i="13"/>
  <c r="AV176" i="13"/>
  <c r="AV175" i="13"/>
  <c r="AV174" i="13"/>
  <c r="AV173" i="13"/>
  <c r="AV172" i="13"/>
  <c r="AV171" i="13"/>
  <c r="AV170" i="13"/>
  <c r="AV169" i="13"/>
  <c r="AV168" i="13"/>
  <c r="AV167" i="13"/>
  <c r="AV166" i="13"/>
  <c r="AV165" i="13"/>
  <c r="AV164" i="13"/>
  <c r="AV163" i="13"/>
  <c r="AV162" i="13"/>
  <c r="AV161" i="13"/>
  <c r="AV160" i="13"/>
  <c r="AV159" i="13"/>
  <c r="AV158" i="13"/>
  <c r="AV157" i="13"/>
  <c r="AV156" i="13"/>
  <c r="AV155" i="13"/>
  <c r="AV154" i="13"/>
  <c r="AV153" i="13"/>
  <c r="AV152" i="13"/>
  <c r="AV151" i="13"/>
  <c r="AV150" i="13"/>
  <c r="AV149" i="13"/>
  <c r="AV148" i="13"/>
  <c r="AV147" i="13"/>
  <c r="AV146" i="13"/>
  <c r="AV145" i="13"/>
  <c r="AV144" i="13"/>
  <c r="AV143" i="13"/>
  <c r="AV142" i="13"/>
  <c r="AV141" i="13"/>
  <c r="AV140" i="13"/>
  <c r="AV139" i="13"/>
  <c r="AV138" i="13"/>
  <c r="AV137" i="13"/>
  <c r="AV136" i="13"/>
  <c r="AV135" i="13"/>
  <c r="AV134" i="13"/>
  <c r="AV133" i="13"/>
  <c r="AV132" i="13"/>
  <c r="AV131" i="13"/>
  <c r="AV130" i="13"/>
  <c r="AV129" i="13"/>
  <c r="AV128" i="13"/>
  <c r="AV127" i="13"/>
  <c r="AV126" i="13"/>
  <c r="AV125" i="13"/>
  <c r="AV124" i="13"/>
  <c r="AV123" i="13"/>
  <c r="AV122" i="13"/>
  <c r="AV121" i="13"/>
  <c r="AV120" i="13"/>
  <c r="AV119" i="13"/>
  <c r="AV118" i="13"/>
  <c r="AV117" i="13"/>
  <c r="AV116" i="13"/>
  <c r="AV115" i="13"/>
  <c r="AV114" i="13"/>
  <c r="AV113" i="13"/>
  <c r="AV112" i="13"/>
  <c r="AV111" i="13"/>
  <c r="AV110" i="13"/>
  <c r="AV109" i="13"/>
  <c r="AV108" i="13"/>
  <c r="AV107" i="13"/>
  <c r="AV106" i="13"/>
  <c r="AV105" i="13"/>
  <c r="AV104" i="13"/>
  <c r="AV103" i="13"/>
  <c r="AV102" i="13"/>
  <c r="AV101" i="13"/>
  <c r="AV100" i="13"/>
  <c r="AV99" i="13"/>
  <c r="AV98" i="13"/>
  <c r="AV97" i="13"/>
  <c r="AV96" i="13"/>
  <c r="AV95" i="13"/>
  <c r="AV94" i="13"/>
  <c r="AV93" i="13"/>
  <c r="AV92" i="13"/>
  <c r="AV91" i="13"/>
  <c r="AV90" i="13"/>
  <c r="AV89" i="13"/>
  <c r="AV88" i="13"/>
  <c r="AV87" i="13"/>
  <c r="AV86" i="13"/>
  <c r="AV85" i="13"/>
  <c r="AV84" i="13"/>
  <c r="AV83" i="13"/>
  <c r="AV82" i="13"/>
  <c r="AV81" i="13"/>
  <c r="AV80" i="13"/>
  <c r="AV79" i="13"/>
  <c r="AV78" i="13"/>
  <c r="AV77" i="13"/>
  <c r="AV76" i="13"/>
  <c r="AV75" i="13"/>
  <c r="AV74" i="13"/>
  <c r="AV73" i="13"/>
  <c r="AV72" i="13"/>
  <c r="AV71" i="13"/>
  <c r="AV70" i="13"/>
  <c r="AV69" i="13"/>
  <c r="AV68" i="13"/>
  <c r="AV67" i="13"/>
  <c r="AV66" i="13"/>
  <c r="AV65" i="13"/>
  <c r="AV64" i="13"/>
  <c r="V42" i="13" l="1"/>
  <c r="V41" i="13"/>
  <c r="V40" i="13"/>
  <c r="V39" i="13"/>
  <c r="V38" i="13"/>
  <c r="V37" i="13"/>
  <c r="AJ6" i="13" l="1"/>
  <c r="AJ7" i="13" s="1"/>
  <c r="AJ8" i="13" s="1"/>
  <c r="AJ9" i="13" s="1"/>
  <c r="AJ10" i="13" s="1"/>
  <c r="AJ11" i="13" s="1"/>
  <c r="AJ12" i="13" s="1"/>
  <c r="AJ13" i="13" s="1"/>
  <c r="AJ14" i="13" s="1"/>
  <c r="AJ15" i="13" s="1"/>
  <c r="AJ16" i="13" s="1"/>
  <c r="AJ17" i="13" s="1"/>
  <c r="AJ18" i="13" s="1"/>
  <c r="AJ19" i="13" s="1"/>
  <c r="AJ20" i="13" s="1"/>
  <c r="AJ21" i="13" s="1"/>
  <c r="AJ22" i="13" s="1"/>
  <c r="AJ23" i="13" s="1"/>
  <c r="AJ24" i="13" s="1"/>
  <c r="AJ25" i="13" s="1"/>
  <c r="AJ26" i="13" s="1"/>
  <c r="AJ27" i="13" s="1"/>
  <c r="AJ28" i="13" s="1"/>
  <c r="AJ29" i="13" s="1"/>
  <c r="AJ30" i="13" s="1"/>
  <c r="AJ31" i="13" s="1"/>
  <c r="AJ32" i="13" s="1"/>
  <c r="AJ33" i="13" s="1"/>
  <c r="AJ34" i="13" s="1"/>
  <c r="AJ35" i="13" s="1"/>
  <c r="AJ36" i="13" s="1"/>
  <c r="AK38" i="13"/>
  <c r="AO38" i="13" s="1"/>
  <c r="B48" i="13" l="1"/>
  <c r="B49" i="13" l="1"/>
  <c r="B50" i="13" l="1"/>
  <c r="V36" i="13"/>
  <c r="V10" i="13" l="1"/>
  <c r="V34" i="13"/>
  <c r="V30" i="13"/>
  <c r="V26" i="13"/>
  <c r="V22" i="13"/>
  <c r="V18" i="13"/>
  <c r="V14" i="13"/>
  <c r="V33" i="13"/>
  <c r="V29" i="13"/>
  <c r="V25" i="13"/>
  <c r="V21" i="13"/>
  <c r="V17" i="13"/>
  <c r="V13" i="13"/>
  <c r="V32" i="13"/>
  <c r="V28" i="13"/>
  <c r="V24" i="13"/>
  <c r="V20" i="13"/>
  <c r="V16" i="13"/>
  <c r="V12" i="13"/>
  <c r="V35" i="13"/>
  <c r="V31" i="13"/>
  <c r="V27" i="13"/>
  <c r="V23" i="13"/>
  <c r="V19" i="13"/>
  <c r="V15" i="13"/>
  <c r="V11" i="13"/>
  <c r="V8" i="13"/>
  <c r="V9" i="13"/>
  <c r="V7" i="13"/>
  <c r="B51" i="13"/>
  <c r="W4" i="13" l="1"/>
  <c r="B52" i="13"/>
  <c r="AT6" i="13" l="1" a="1"/>
  <c r="AV38" i="13" s="1"/>
  <c r="AD24" i="13"/>
  <c r="AD25" i="13"/>
  <c r="AD28" i="13"/>
  <c r="AD21" i="13"/>
  <c r="AD32" i="13"/>
  <c r="AD35" i="13"/>
  <c r="AD27" i="13"/>
  <c r="AD23" i="13"/>
  <c r="Z8" i="13"/>
  <c r="AD22" i="13"/>
  <c r="AD31" i="13"/>
  <c r="AD26" i="13"/>
  <c r="Z7" i="13"/>
  <c r="AD33" i="13"/>
  <c r="AD30" i="13"/>
  <c r="AD34" i="13"/>
  <c r="AD29" i="13"/>
  <c r="AD6" i="13"/>
  <c r="AD14" i="13"/>
  <c r="AD17" i="13"/>
  <c r="AD18" i="13"/>
  <c r="AD7" i="13"/>
  <c r="AD11" i="13"/>
  <c r="AD15" i="13"/>
  <c r="AD19" i="13"/>
  <c r="AD8" i="13"/>
  <c r="AD12" i="13"/>
  <c r="AD16" i="13"/>
  <c r="AD20" i="13"/>
  <c r="AD10" i="13"/>
  <c r="AD9" i="13"/>
  <c r="AD13" i="13"/>
  <c r="AK6" i="13"/>
  <c r="AV60" i="13"/>
  <c r="AV56" i="13"/>
  <c r="AV61" i="13"/>
  <c r="AV63" i="13"/>
  <c r="AV59" i="13"/>
  <c r="AV57" i="13"/>
  <c r="AV62" i="13"/>
  <c r="AV58" i="13"/>
  <c r="AV52" i="13"/>
  <c r="AV49" i="13"/>
  <c r="AV55" i="13"/>
  <c r="AV51" i="13"/>
  <c r="AV54" i="13"/>
  <c r="AV50" i="13"/>
  <c r="AV53" i="13"/>
  <c r="AV48" i="13"/>
  <c r="AV45" i="13"/>
  <c r="AV47" i="13"/>
  <c r="AV46" i="13"/>
  <c r="AV44" i="13"/>
  <c r="AV40" i="13"/>
  <c r="AV41" i="13"/>
  <c r="AV43" i="13"/>
  <c r="AV42" i="13"/>
  <c r="B53" i="13"/>
  <c r="AV15" i="13" l="1"/>
  <c r="AV19" i="13"/>
  <c r="AV39" i="13"/>
  <c r="AV20" i="13"/>
  <c r="AV27" i="13"/>
  <c r="AV17" i="13"/>
  <c r="AV29" i="13"/>
  <c r="AV7" i="13"/>
  <c r="AV31" i="13"/>
  <c r="AV22" i="13"/>
  <c r="AV9" i="13"/>
  <c r="AV24" i="13"/>
  <c r="AV11" i="13"/>
  <c r="AV16" i="13"/>
  <c r="AV36" i="13"/>
  <c r="AV10" i="13"/>
  <c r="AV14" i="13"/>
  <c r="AV21" i="13"/>
  <c r="AV26" i="13"/>
  <c r="AV25" i="13"/>
  <c r="AV23" i="13"/>
  <c r="AV35" i="13"/>
  <c r="AV12" i="13"/>
  <c r="AV13" i="13"/>
  <c r="AV30" i="13"/>
  <c r="AV8" i="13"/>
  <c r="AV28" i="13"/>
  <c r="AV37" i="13"/>
  <c r="AV33" i="13"/>
  <c r="AV18" i="13"/>
  <c r="AV32" i="13"/>
  <c r="AV34" i="13"/>
  <c r="AT6" i="13"/>
  <c r="AU6" i="13" s="1"/>
  <c r="AU35" i="13"/>
  <c r="AU27" i="13"/>
  <c r="AU11" i="13"/>
  <c r="AU24" i="13"/>
  <c r="AU25" i="13"/>
  <c r="AU9" i="13"/>
  <c r="AU8" i="13"/>
  <c r="AU39" i="13"/>
  <c r="AU23" i="13"/>
  <c r="AU7" i="13"/>
  <c r="AU21" i="13"/>
  <c r="AU38" i="13"/>
  <c r="AU22" i="13"/>
  <c r="AU19" i="13"/>
  <c r="AU34" i="13"/>
  <c r="AU18" i="13"/>
  <c r="AU10" i="13"/>
  <c r="AU33" i="13"/>
  <c r="AU17" i="13"/>
  <c r="AU30" i="13"/>
  <c r="AU32" i="13"/>
  <c r="AU16" i="13"/>
  <c r="AU12" i="13"/>
  <c r="AU37" i="13"/>
  <c r="AU20" i="13"/>
  <c r="AU31" i="13"/>
  <c r="AU15" i="13"/>
  <c r="AU14" i="13"/>
  <c r="AU28" i="13"/>
  <c r="AU26" i="13"/>
  <c r="AU29" i="13"/>
  <c r="AU13" i="13"/>
  <c r="AU36" i="13"/>
  <c r="Y8" i="13"/>
  <c r="AL6" i="13"/>
  <c r="AM6" i="13" s="1"/>
  <c r="AN6" i="13" s="1"/>
  <c r="AM4" i="13"/>
  <c r="AK7" i="13"/>
  <c r="AO6" i="13"/>
  <c r="AQ4" i="13" s="1"/>
  <c r="AE13" i="13"/>
  <c r="AE23" i="13"/>
  <c r="AE19" i="13"/>
  <c r="AE7" i="13"/>
  <c r="AE30" i="13"/>
  <c r="AE9" i="13"/>
  <c r="AE26" i="13"/>
  <c r="AE18" i="13"/>
  <c r="Z9" i="13"/>
  <c r="Y6" i="13" s="1"/>
  <c r="AE21" i="13"/>
  <c r="AE22" i="13"/>
  <c r="AE34" i="13"/>
  <c r="AE16" i="13"/>
  <c r="AE31" i="13"/>
  <c r="AE14" i="13"/>
  <c r="AE17" i="13"/>
  <c r="AE20" i="13"/>
  <c r="AE10" i="13"/>
  <c r="AE33" i="13"/>
  <c r="AE29" i="13"/>
  <c r="AE24" i="13"/>
  <c r="AE32" i="13"/>
  <c r="AE27" i="13"/>
  <c r="AE28" i="13"/>
  <c r="AE15" i="13"/>
  <c r="AE12" i="13"/>
  <c r="AE11" i="13"/>
  <c r="AE8" i="13"/>
  <c r="AE25" i="13"/>
  <c r="AE6" i="13"/>
  <c r="AE35" i="13"/>
  <c r="B54" i="13"/>
  <c r="AV6" i="13" l="1"/>
  <c r="AW151" i="13" s="1"/>
  <c r="AX12" i="13"/>
  <c r="AX130" i="13"/>
  <c r="AX32" i="13"/>
  <c r="AX17" i="13"/>
  <c r="AX36" i="13"/>
  <c r="AX13" i="13"/>
  <c r="AX122" i="13"/>
  <c r="AX48" i="13"/>
  <c r="AX45" i="13"/>
  <c r="AX121" i="13"/>
  <c r="AX91" i="13"/>
  <c r="AX109" i="13"/>
  <c r="AX164" i="13"/>
  <c r="AX169" i="13"/>
  <c r="AX118" i="13"/>
  <c r="AX11" i="13"/>
  <c r="AX141" i="13"/>
  <c r="AX157" i="13"/>
  <c r="AX70" i="13"/>
  <c r="AX184" i="13"/>
  <c r="AX22" i="13"/>
  <c r="AX67" i="13"/>
  <c r="AX178" i="13"/>
  <c r="AX194" i="13"/>
  <c r="AX191" i="13"/>
  <c r="AX188" i="13"/>
  <c r="AX189" i="13"/>
  <c r="AX182" i="13"/>
  <c r="AX105" i="13"/>
  <c r="AX113" i="13"/>
  <c r="AX86" i="13"/>
  <c r="AX94" i="13"/>
  <c r="AX176" i="13"/>
  <c r="AX96" i="13"/>
  <c r="AX161" i="13"/>
  <c r="AX31" i="13"/>
  <c r="AX54" i="13"/>
  <c r="AX19" i="13"/>
  <c r="AX107" i="13"/>
  <c r="AX95" i="13"/>
  <c r="AX26" i="13"/>
  <c r="AX115" i="13"/>
  <c r="AX9" i="13"/>
  <c r="AX140" i="13"/>
  <c r="AX166" i="13"/>
  <c r="AX40" i="13"/>
  <c r="AX149" i="13"/>
  <c r="AX102" i="13"/>
  <c r="AX100" i="13"/>
  <c r="AX132" i="13"/>
  <c r="AX87" i="13"/>
  <c r="AX27" i="13"/>
  <c r="AX69" i="13"/>
  <c r="AX24" i="13"/>
  <c r="AX167" i="13"/>
  <c r="AX74" i="13"/>
  <c r="AX7" i="13"/>
  <c r="AX72" i="13"/>
  <c r="AX25" i="13"/>
  <c r="AX171" i="13"/>
  <c r="AX116" i="13"/>
  <c r="AX190" i="13"/>
  <c r="AX180" i="13"/>
  <c r="AX98" i="13"/>
  <c r="AX55" i="13"/>
  <c r="AX112" i="13"/>
  <c r="AX198" i="13"/>
  <c r="AX104" i="13"/>
  <c r="AX60" i="13"/>
  <c r="AX159" i="13"/>
  <c r="AX33" i="13"/>
  <c r="AX129" i="13"/>
  <c r="AX29" i="13"/>
  <c r="AX15" i="13"/>
  <c r="AX200" i="13"/>
  <c r="AX151" i="13"/>
  <c r="AX153" i="13"/>
  <c r="AX120" i="13"/>
  <c r="AX111" i="13"/>
  <c r="AX154" i="13"/>
  <c r="AX179" i="13"/>
  <c r="AX174" i="13"/>
  <c r="AX133" i="13"/>
  <c r="AX44" i="13"/>
  <c r="AX43" i="13"/>
  <c r="AX128" i="13"/>
  <c r="AX18" i="13"/>
  <c r="AX108" i="13"/>
  <c r="AX93" i="13"/>
  <c r="AX34" i="13"/>
  <c r="AX163" i="13"/>
  <c r="AX147" i="13"/>
  <c r="AX14" i="13"/>
  <c r="AX199" i="13"/>
  <c r="AX66" i="13"/>
  <c r="AX177" i="13"/>
  <c r="AX186" i="13"/>
  <c r="AX137" i="13"/>
  <c r="AX6" i="13"/>
  <c r="AX131" i="13"/>
  <c r="AX20" i="13"/>
  <c r="AX47" i="13"/>
  <c r="AX62" i="13"/>
  <c r="AX192" i="13"/>
  <c r="AX197" i="13"/>
  <c r="AX183" i="13"/>
  <c r="AX68" i="13"/>
  <c r="AX139" i="13"/>
  <c r="AX52" i="13"/>
  <c r="AX8" i="13"/>
  <c r="AX103" i="13"/>
  <c r="AX97" i="13"/>
  <c r="AX30" i="13"/>
  <c r="AX49" i="13"/>
  <c r="AX80" i="13"/>
  <c r="AX142" i="13"/>
  <c r="AX85" i="13"/>
  <c r="AX101" i="13"/>
  <c r="AX162" i="13"/>
  <c r="AX63" i="13"/>
  <c r="AX127" i="13"/>
  <c r="AX71" i="13"/>
  <c r="AX90" i="13"/>
  <c r="AX126" i="13"/>
  <c r="AX123" i="13"/>
  <c r="AX158" i="13"/>
  <c r="AX170" i="13"/>
  <c r="AX117" i="13"/>
  <c r="AX61" i="13"/>
  <c r="AX28" i="13"/>
  <c r="AX195" i="13"/>
  <c r="AX78" i="13"/>
  <c r="AX23" i="13"/>
  <c r="AX148" i="13"/>
  <c r="AX75" i="13"/>
  <c r="AX73" i="13"/>
  <c r="AX35" i="13"/>
  <c r="AX187" i="13"/>
  <c r="AX145" i="13"/>
  <c r="AX143" i="13"/>
  <c r="AX76" i="13"/>
  <c r="AX83" i="13"/>
  <c r="AX114" i="13"/>
  <c r="AX146" i="13"/>
  <c r="AX168" i="13"/>
  <c r="AX89" i="13"/>
  <c r="AX37" i="13"/>
  <c r="AX81" i="13"/>
  <c r="AX56" i="13"/>
  <c r="AX59" i="13"/>
  <c r="AX125" i="13"/>
  <c r="AX181" i="13"/>
  <c r="AX82" i="13"/>
  <c r="AX41" i="13"/>
  <c r="AX77" i="13"/>
  <c r="AX172" i="13"/>
  <c r="AX38" i="13"/>
  <c r="AX39" i="13"/>
  <c r="AX53" i="13"/>
  <c r="AX84" i="13"/>
  <c r="AX16" i="13"/>
  <c r="AX64" i="13"/>
  <c r="AX99" i="13"/>
  <c r="AX152" i="13"/>
  <c r="AX21" i="13"/>
  <c r="AX173" i="13"/>
  <c r="AX110" i="13"/>
  <c r="AX136" i="13"/>
  <c r="AX58" i="13"/>
  <c r="AX134" i="13"/>
  <c r="AX65" i="13"/>
  <c r="AX160" i="13"/>
  <c r="AX165" i="13"/>
  <c r="AX124" i="13"/>
  <c r="AX156" i="13"/>
  <c r="AX185" i="13"/>
  <c r="AX51" i="13"/>
  <c r="AX10" i="13"/>
  <c r="AX88" i="13"/>
  <c r="AX92" i="13"/>
  <c r="AX42" i="13"/>
  <c r="AX144" i="13"/>
  <c r="AX175" i="13"/>
  <c r="AX155" i="13"/>
  <c r="AX79" i="13"/>
  <c r="AX106" i="13"/>
  <c r="AX138" i="13"/>
  <c r="AX50" i="13"/>
  <c r="AX119" i="13"/>
  <c r="AX57" i="13"/>
  <c r="AX196" i="13"/>
  <c r="AX150" i="13"/>
  <c r="AX46" i="13"/>
  <c r="AX135" i="13"/>
  <c r="AX193" i="13"/>
  <c r="Y7" i="13"/>
  <c r="AP6" i="13"/>
  <c r="AQ6" i="13" s="1"/>
  <c r="AK8" i="13"/>
  <c r="AL8" i="13" s="1"/>
  <c r="AL7" i="13"/>
  <c r="AM7" i="13" s="1"/>
  <c r="AN7" i="13" s="1"/>
  <c r="D8" i="13"/>
  <c r="AO7" i="13"/>
  <c r="AR6" i="13"/>
  <c r="AG10" i="13" a="1"/>
  <c r="AG10" i="13" s="1"/>
  <c r="Q18" i="13" s="1" a="1"/>
  <c r="Q18" i="13" s="1"/>
  <c r="AH10" i="13" a="1"/>
  <c r="AH10" i="13" s="1"/>
  <c r="S18" i="13" s="1" a="1"/>
  <c r="S18" i="13" s="1"/>
  <c r="AG7" i="13" a="1"/>
  <c r="AG7" i="13" s="1"/>
  <c r="Q12" i="13" s="1" a="1"/>
  <c r="Q12" i="13" s="1"/>
  <c r="AH7" i="13" a="1"/>
  <c r="AH7" i="13" s="1"/>
  <c r="S12" i="13" s="1" a="1"/>
  <c r="S12" i="13" s="1"/>
  <c r="AG6" i="13" a="1"/>
  <c r="AG6" i="13" s="1"/>
  <c r="Q10" i="13" s="1" a="1"/>
  <c r="Q10" i="13" s="1"/>
  <c r="AH6" i="13" a="1"/>
  <c r="AH6" i="13" s="1"/>
  <c r="S10" i="13" s="1" a="1"/>
  <c r="S10" i="13" s="1"/>
  <c r="AG8" i="13" a="1"/>
  <c r="AG8" i="13" s="1"/>
  <c r="Q14" i="13" s="1" a="1"/>
  <c r="Q14" i="13" s="1"/>
  <c r="AH9" i="13" a="1"/>
  <c r="AH9" i="13" s="1"/>
  <c r="S16" i="13" s="1" a="1"/>
  <c r="S16" i="13" s="1"/>
  <c r="AH8" i="13" a="1"/>
  <c r="AH8" i="13" s="1"/>
  <c r="S14" i="13" s="1" a="1"/>
  <c r="S14" i="13" s="1"/>
  <c r="AG9" i="13" a="1"/>
  <c r="AG9" i="13" s="1"/>
  <c r="Q16" i="13" s="1" a="1"/>
  <c r="Q16" i="13" s="1"/>
  <c r="B55" i="13"/>
  <c r="S47" i="13" l="1" a="1"/>
  <c r="S47" i="13" s="1"/>
  <c r="AN8" i="13"/>
  <c r="AW25" i="13"/>
  <c r="AW71" i="13"/>
  <c r="AW194" i="13"/>
  <c r="AW20" i="13"/>
  <c r="AW54" i="13"/>
  <c r="AW174" i="13"/>
  <c r="AW86" i="13"/>
  <c r="AW167" i="13"/>
  <c r="AW177" i="13"/>
  <c r="AW181" i="13"/>
  <c r="AW120" i="13"/>
  <c r="AW47" i="13"/>
  <c r="AW175" i="13"/>
  <c r="AW133" i="13"/>
  <c r="AW64" i="13"/>
  <c r="AW170" i="13"/>
  <c r="AW97" i="13"/>
  <c r="AW52" i="13"/>
  <c r="AW178" i="13"/>
  <c r="AW77" i="13"/>
  <c r="AW39" i="13"/>
  <c r="AW103" i="13"/>
  <c r="AW114" i="13"/>
  <c r="AW33" i="13"/>
  <c r="AW23" i="13"/>
  <c r="AW131" i="13"/>
  <c r="AW7" i="13"/>
  <c r="AW172" i="13"/>
  <c r="AW111" i="13"/>
  <c r="AW40" i="13"/>
  <c r="AW56" i="13"/>
  <c r="AW73" i="13"/>
  <c r="AW16" i="13"/>
  <c r="AW148" i="13"/>
  <c r="AW96" i="13"/>
  <c r="AW127" i="13"/>
  <c r="AW61" i="13"/>
  <c r="AW67" i="13"/>
  <c r="AW69" i="13"/>
  <c r="AW105" i="13"/>
  <c r="AW26" i="13"/>
  <c r="AW85" i="13"/>
  <c r="AW74" i="13"/>
  <c r="AW83" i="13"/>
  <c r="AW18" i="13"/>
  <c r="AW41" i="13"/>
  <c r="AW126" i="13"/>
  <c r="AW93" i="13"/>
  <c r="AW198" i="13"/>
  <c r="AW107" i="13"/>
  <c r="AW19" i="13"/>
  <c r="AW157" i="13"/>
  <c r="AW92" i="13"/>
  <c r="AW91" i="13"/>
  <c r="AW185" i="13"/>
  <c r="AW140" i="13"/>
  <c r="AW189" i="13"/>
  <c r="AW153" i="13"/>
  <c r="AW144" i="13"/>
  <c r="AW138" i="13"/>
  <c r="AW149" i="13"/>
  <c r="AW81" i="13"/>
  <c r="AW169" i="13"/>
  <c r="AW42" i="13"/>
  <c r="AW130" i="13"/>
  <c r="AW190" i="13"/>
  <c r="AW195" i="13"/>
  <c r="AW143" i="13"/>
  <c r="AW70" i="13"/>
  <c r="AW183" i="13"/>
  <c r="AW30" i="13"/>
  <c r="AW108" i="13"/>
  <c r="AW21" i="13"/>
  <c r="AW55" i="13"/>
  <c r="AW199" i="13"/>
  <c r="AW68" i="13"/>
  <c r="AW179" i="13"/>
  <c r="AW43" i="13"/>
  <c r="AW51" i="13"/>
  <c r="AW76" i="13"/>
  <c r="AW13" i="13"/>
  <c r="AW109" i="13"/>
  <c r="AW57" i="13"/>
  <c r="AW113" i="13"/>
  <c r="AW95" i="13"/>
  <c r="AW187" i="13"/>
  <c r="AW98" i="13"/>
  <c r="AW160" i="13"/>
  <c r="AW173" i="13"/>
  <c r="AW45" i="13"/>
  <c r="AW159" i="13"/>
  <c r="AW141" i="13"/>
  <c r="AW80" i="13"/>
  <c r="AW197" i="13"/>
  <c r="AW118" i="13"/>
  <c r="AW124" i="13"/>
  <c r="AW31" i="13"/>
  <c r="AW176" i="13"/>
  <c r="AW191" i="13"/>
  <c r="AW146" i="13"/>
  <c r="AW28" i="13"/>
  <c r="AW34" i="13"/>
  <c r="AW139" i="13"/>
  <c r="AW110" i="13"/>
  <c r="AW171" i="13"/>
  <c r="AW196" i="13"/>
  <c r="AW128" i="13"/>
  <c r="AW75" i="13"/>
  <c r="AW14" i="13"/>
  <c r="AW104" i="13"/>
  <c r="AW125" i="13"/>
  <c r="AW9" i="13"/>
  <c r="AW22" i="13"/>
  <c r="AW66" i="13"/>
  <c r="AW168" i="13"/>
  <c r="AW164" i="13"/>
  <c r="AW38" i="13"/>
  <c r="AW88" i="13"/>
  <c r="AW44" i="13"/>
  <c r="AW78" i="13"/>
  <c r="AW192" i="13"/>
  <c r="AW193" i="13"/>
  <c r="AW154" i="13"/>
  <c r="AW155" i="13"/>
  <c r="AW121" i="13"/>
  <c r="AW116" i="13"/>
  <c r="AW112" i="13"/>
  <c r="AW87" i="13"/>
  <c r="AW63" i="13"/>
  <c r="AW50" i="13"/>
  <c r="AW12" i="13"/>
  <c r="AW161" i="13"/>
  <c r="AW6" i="13"/>
  <c r="AW49" i="13"/>
  <c r="AW163" i="13"/>
  <c r="AW35" i="13"/>
  <c r="AW65" i="13"/>
  <c r="AW134" i="13"/>
  <c r="AW106" i="13"/>
  <c r="AW129" i="13"/>
  <c r="AW132" i="13"/>
  <c r="AW145" i="13"/>
  <c r="AW99" i="13"/>
  <c r="AW115" i="13"/>
  <c r="AW72" i="13"/>
  <c r="AW135" i="13"/>
  <c r="AW117" i="13"/>
  <c r="AW102" i="13"/>
  <c r="AW10" i="13"/>
  <c r="AW62" i="13"/>
  <c r="AW147" i="13"/>
  <c r="AW162" i="13"/>
  <c r="AW142" i="13"/>
  <c r="AW29" i="13"/>
  <c r="AW156" i="13"/>
  <c r="AW100" i="13"/>
  <c r="AW36" i="13"/>
  <c r="AW53" i="13"/>
  <c r="AW180" i="13"/>
  <c r="AW82" i="13"/>
  <c r="AW182" i="13"/>
  <c r="AW79" i="13"/>
  <c r="AW152" i="13"/>
  <c r="AW84" i="13"/>
  <c r="AW32" i="13"/>
  <c r="AW186" i="13"/>
  <c r="AW11" i="13"/>
  <c r="AW137" i="13"/>
  <c r="AW165" i="13"/>
  <c r="AW150" i="13"/>
  <c r="AW58" i="13"/>
  <c r="AW89" i="13"/>
  <c r="AW123" i="13"/>
  <c r="AW37" i="13"/>
  <c r="AW158" i="13"/>
  <c r="AW166" i="13"/>
  <c r="AW24" i="13"/>
  <c r="AW184" i="13"/>
  <c r="AW60" i="13"/>
  <c r="AW8" i="13"/>
  <c r="AW119" i="13"/>
  <c r="AW122" i="13"/>
  <c r="AW48" i="13"/>
  <c r="AW17" i="13"/>
  <c r="AW90" i="13"/>
  <c r="AW188" i="13"/>
  <c r="AW27" i="13"/>
  <c r="AW15" i="13"/>
  <c r="AW59" i="13"/>
  <c r="AW46" i="13"/>
  <c r="AW200" i="13"/>
  <c r="AW94" i="13"/>
  <c r="AW136" i="13"/>
  <c r="AW101" i="13"/>
  <c r="AK9" i="13"/>
  <c r="AL9" i="13" s="1"/>
  <c r="AM9" i="13" s="1"/>
  <c r="S52" i="13" a="1"/>
  <c r="S52" i="13" s="1"/>
  <c r="M47" i="13" a="1"/>
  <c r="M47" i="13" s="1"/>
  <c r="Q47" i="13" s="1" a="1"/>
  <c r="Q47" i="13" s="1"/>
  <c r="M53" i="13" a="1"/>
  <c r="M53" i="13" s="1"/>
  <c r="Q53" i="13" s="1" a="1"/>
  <c r="Q53" i="13" s="1"/>
  <c r="S53" i="13" a="1"/>
  <c r="S53" i="13" s="1"/>
  <c r="M52" i="13" a="1"/>
  <c r="M52" i="13" s="1"/>
  <c r="Q52" i="13" s="1" a="1"/>
  <c r="Q52" i="13" s="1"/>
  <c r="S54" i="13" a="1"/>
  <c r="S54" i="13" s="1"/>
  <c r="M51" i="13" a="1"/>
  <c r="M51" i="13" s="1"/>
  <c r="Q51" i="13" s="1" a="1"/>
  <c r="Q51" i="13" s="1"/>
  <c r="S51" i="13" a="1"/>
  <c r="S51" i="13" s="1"/>
  <c r="M54" i="13" a="1"/>
  <c r="M54" i="13" s="1"/>
  <c r="Q54" i="13" s="1" a="1"/>
  <c r="Q54" i="13" s="1"/>
  <c r="S50" i="13" a="1"/>
  <c r="S50" i="13" s="1"/>
  <c r="S48" i="13" a="1"/>
  <c r="S48" i="13" s="1"/>
  <c r="S49" i="13" a="1"/>
  <c r="S49" i="13" s="1"/>
  <c r="M48" i="13" a="1"/>
  <c r="M48" i="13" s="1"/>
  <c r="Q48" i="13" s="1" a="1"/>
  <c r="Q48" i="13" s="1"/>
  <c r="M50" i="13" a="1"/>
  <c r="M50" i="13" s="1"/>
  <c r="Q50" i="13" s="1" a="1"/>
  <c r="Q50" i="13" s="1"/>
  <c r="M49" i="13" a="1"/>
  <c r="M49" i="13" s="1"/>
  <c r="Q49" i="13" s="1" a="1"/>
  <c r="Q49" i="13" s="1"/>
  <c r="AR7" i="13"/>
  <c r="AP7" i="13"/>
  <c r="AQ7" i="13" s="1"/>
  <c r="AM8" i="13"/>
  <c r="AO8" i="13"/>
  <c r="AG11" i="13"/>
  <c r="Q20" i="13" s="1" a="1"/>
  <c r="Q20" i="13" s="1"/>
  <c r="AH11" i="13"/>
  <c r="AH12" i="13" s="1"/>
  <c r="M55" i="13" a="1"/>
  <c r="M55" i="13" s="1"/>
  <c r="Q55" i="13" s="1" a="1"/>
  <c r="Q55" i="13" s="1"/>
  <c r="S55" i="13" a="1"/>
  <c r="S55" i="13" s="1"/>
  <c r="B56" i="13"/>
  <c r="AN9" i="13" l="1"/>
  <c r="AK10" i="13"/>
  <c r="AL10" i="13" s="1"/>
  <c r="AM10" i="13" s="1"/>
  <c r="G52" i="13" a="1"/>
  <c r="G52" i="13" s="1"/>
  <c r="I53" i="13" a="1"/>
  <c r="I53" i="13" s="1"/>
  <c r="D48" i="13" a="1"/>
  <c r="D48" i="13" s="1"/>
  <c r="I54" i="13" a="1"/>
  <c r="I54" i="13" s="1"/>
  <c r="D55" i="13" a="1"/>
  <c r="D55" i="13" s="1"/>
  <c r="G48" i="13" a="1"/>
  <c r="G48" i="13" s="1"/>
  <c r="D53" i="13" a="1"/>
  <c r="D53" i="13" s="1"/>
  <c r="G49" i="13" a="1"/>
  <c r="G49" i="13" s="1"/>
  <c r="I47" i="13" a="1"/>
  <c r="I47" i="13" s="1"/>
  <c r="D47" i="13" a="1"/>
  <c r="D47" i="13" s="1"/>
  <c r="D51" i="13" a="1"/>
  <c r="D51" i="13" s="1"/>
  <c r="G55" i="13" a="1"/>
  <c r="G55" i="13" s="1"/>
  <c r="I55" i="13" a="1"/>
  <c r="I55" i="13" s="1"/>
  <c r="G54" i="13" a="1"/>
  <c r="G54" i="13" s="1"/>
  <c r="G53" i="13" a="1"/>
  <c r="G53" i="13" s="1"/>
  <c r="I49" i="13" a="1"/>
  <c r="I49" i="13" s="1"/>
  <c r="G51" i="13" a="1"/>
  <c r="G51" i="13" s="1"/>
  <c r="D52" i="13" a="1"/>
  <c r="D52" i="13" s="1"/>
  <c r="D49" i="13" a="1"/>
  <c r="D49" i="13" s="1"/>
  <c r="D54" i="13" a="1"/>
  <c r="D54" i="13" s="1"/>
  <c r="I48" i="13" a="1"/>
  <c r="I48" i="13" s="1"/>
  <c r="I51" i="13" a="1"/>
  <c r="I51" i="13" s="1"/>
  <c r="D50" i="13" a="1"/>
  <c r="D50" i="13" s="1"/>
  <c r="I52" i="13" a="1"/>
  <c r="I52" i="13" s="1"/>
  <c r="G47" i="13" a="1"/>
  <c r="G47" i="13" s="1"/>
  <c r="I50" i="13" a="1"/>
  <c r="I50" i="13" s="1"/>
  <c r="G50" i="13" a="1"/>
  <c r="G50" i="13" s="1"/>
  <c r="AR8" i="13"/>
  <c r="AP8" i="13"/>
  <c r="AQ8" i="13" s="1"/>
  <c r="S20" i="13" a="1"/>
  <c r="S20" i="13" s="1"/>
  <c r="S22" i="13" s="1"/>
  <c r="M8" i="13" s="1"/>
  <c r="AO9" i="13"/>
  <c r="AP9" i="13" s="1"/>
  <c r="S56" i="13" a="1"/>
  <c r="S56" i="13" s="1"/>
  <c r="M56" i="13" a="1"/>
  <c r="M56" i="13" s="1"/>
  <c r="Q56" i="13" s="1" a="1"/>
  <c r="Q56" i="13" s="1"/>
  <c r="D56" i="13" a="1"/>
  <c r="D56" i="13" s="1"/>
  <c r="I56" i="13" a="1"/>
  <c r="I56" i="13" s="1"/>
  <c r="G56" i="13" a="1"/>
  <c r="G56" i="13" s="1"/>
  <c r="AN10" i="13" l="1"/>
  <c r="AK11" i="13"/>
  <c r="AL11" i="13" s="1"/>
  <c r="AQ9" i="13"/>
  <c r="AR9" i="13"/>
  <c r="AO10" i="13"/>
  <c r="AM11" i="13" l="1"/>
  <c r="AN11" i="13" s="1"/>
  <c r="AK12" i="13"/>
  <c r="AL12" i="13" s="1"/>
  <c r="AM12" i="13" s="1"/>
  <c r="AN12" i="13" s="1"/>
  <c r="AP10" i="13"/>
  <c r="AQ10" i="13" s="1"/>
  <c r="AO11" i="13"/>
  <c r="AR10" i="13"/>
  <c r="AK13" i="13" l="1"/>
  <c r="AL13" i="13" s="1"/>
  <c r="AM13" i="13" s="1"/>
  <c r="AR11" i="13"/>
  <c r="AP11" i="13"/>
  <c r="AQ11" i="13" s="1"/>
  <c r="AO12" i="13"/>
  <c r="AN13" i="13" l="1"/>
  <c r="AK14" i="13"/>
  <c r="AL14" i="13" s="1"/>
  <c r="AM14" i="13" s="1"/>
  <c r="AR12" i="13"/>
  <c r="AP12" i="13"/>
  <c r="AQ12" i="13" s="1"/>
  <c r="AO13" i="13"/>
  <c r="AK15" i="13" l="1"/>
  <c r="AL15" i="13" s="1"/>
  <c r="AM15" i="13" s="1"/>
  <c r="AN14" i="13"/>
  <c r="AR13" i="13"/>
  <c r="AP13" i="13"/>
  <c r="AQ13" i="13" s="1"/>
  <c r="AO14" i="13"/>
  <c r="AN15" i="13" l="1"/>
  <c r="AK16" i="13"/>
  <c r="AL16" i="13" s="1"/>
  <c r="AR14" i="13"/>
  <c r="AP14" i="13"/>
  <c r="AQ14" i="13" s="1"/>
  <c r="AO15" i="13"/>
  <c r="AN16" i="13" l="1"/>
  <c r="AM16" i="13"/>
  <c r="AK17" i="13"/>
  <c r="AL17" i="13" s="1"/>
  <c r="AR15" i="13"/>
  <c r="AP15" i="13"/>
  <c r="AQ15" i="13" s="1"/>
  <c r="AO16" i="13"/>
  <c r="AM17" i="13" l="1"/>
  <c r="AK18" i="13"/>
  <c r="AL18" i="13" s="1"/>
  <c r="AN17" i="13"/>
  <c r="AR16" i="13"/>
  <c r="AP16" i="13"/>
  <c r="AQ16" i="13" s="1"/>
  <c r="AO17" i="13"/>
  <c r="AM18" i="13" l="1"/>
  <c r="AK19" i="13"/>
  <c r="AL19" i="13" s="1"/>
  <c r="AN18" i="13"/>
  <c r="AR17" i="13"/>
  <c r="AP17" i="13"/>
  <c r="AQ17" i="13" s="1"/>
  <c r="AO18" i="13"/>
  <c r="AR18" i="13" s="1"/>
  <c r="AK20" i="13" l="1"/>
  <c r="AL20" i="13" s="1"/>
  <c r="AM19" i="13"/>
  <c r="AN19" i="13" s="1"/>
  <c r="AO19" i="13"/>
  <c r="AP19" i="13" s="1"/>
  <c r="AP18" i="13"/>
  <c r="AQ18" i="13" s="1"/>
  <c r="AM20" i="13" l="1"/>
  <c r="AN20" i="13" s="1"/>
  <c r="AK21" i="13"/>
  <c r="AL21" i="13" s="1"/>
  <c r="AQ19" i="13"/>
  <c r="AO20" i="13"/>
  <c r="AP20" i="13" s="1"/>
  <c r="AR19" i="13"/>
  <c r="AM21" i="13" l="1"/>
  <c r="AN21" i="13"/>
  <c r="AK22" i="13"/>
  <c r="AL22" i="13" s="1"/>
  <c r="AQ20" i="13"/>
  <c r="AR20" i="13"/>
  <c r="AO21" i="13"/>
  <c r="AP21" i="13" s="1"/>
  <c r="AK23" i="13" l="1"/>
  <c r="AL23" i="13" s="1"/>
  <c r="AM23" i="13" s="1"/>
  <c r="AN23" i="13" s="1"/>
  <c r="AM22" i="13"/>
  <c r="AN22" i="13" s="1"/>
  <c r="AO22" i="13"/>
  <c r="AP22" i="13" s="1"/>
  <c r="AQ22" i="13" s="1"/>
  <c r="AR21" i="13"/>
  <c r="AQ21" i="13"/>
  <c r="AK24" i="13" l="1"/>
  <c r="AL24" i="13" s="1"/>
  <c r="AO23" i="13"/>
  <c r="AP23" i="13" s="1"/>
  <c r="AR22" i="13"/>
  <c r="AM24" i="13" l="1"/>
  <c r="AN24" i="13"/>
  <c r="AK25" i="13"/>
  <c r="AL25" i="13" s="1"/>
  <c r="AQ23" i="13"/>
  <c r="AR23" i="13"/>
  <c r="AO24" i="13"/>
  <c r="AP24" i="13" s="1"/>
  <c r="AK26" i="13" l="1"/>
  <c r="AL26" i="13" s="1"/>
  <c r="AM25" i="13"/>
  <c r="AN25" i="13" s="1"/>
  <c r="AO25" i="13"/>
  <c r="AP25" i="13" s="1"/>
  <c r="AR24" i="13"/>
  <c r="AQ24" i="13"/>
  <c r="AM26" i="13" l="1"/>
  <c r="AN26" i="13"/>
  <c r="AK27" i="13"/>
  <c r="AL27" i="13" s="1"/>
  <c r="AR25" i="13"/>
  <c r="AO26" i="13"/>
  <c r="AP26" i="13" s="1"/>
  <c r="AQ25" i="13"/>
  <c r="AM27" i="13" l="1"/>
  <c r="AK28" i="13"/>
  <c r="AL28" i="13" s="1"/>
  <c r="AN27" i="13"/>
  <c r="AO27" i="13"/>
  <c r="AP27" i="13" s="1"/>
  <c r="AQ26" i="13"/>
  <c r="AR26" i="13"/>
  <c r="AN28" i="13" l="1"/>
  <c r="AM28" i="13"/>
  <c r="AK29" i="13"/>
  <c r="AL29" i="13" s="1"/>
  <c r="AO28" i="13"/>
  <c r="AP28" i="13" s="1"/>
  <c r="AQ27" i="13"/>
  <c r="AR27" i="13"/>
  <c r="AK30" i="13" l="1"/>
  <c r="AL30" i="13" s="1"/>
  <c r="AN29" i="13"/>
  <c r="AM29" i="13"/>
  <c r="AO29" i="13"/>
  <c r="AP29" i="13" s="1"/>
  <c r="AQ29" i="13" s="1"/>
  <c r="AQ28" i="13"/>
  <c r="AR28" i="13"/>
  <c r="AM30" i="13" l="1"/>
  <c r="AK31" i="13"/>
  <c r="AL31" i="13" s="1"/>
  <c r="AN30" i="13"/>
  <c r="AR29" i="13"/>
  <c r="AO30" i="13"/>
  <c r="AP30" i="13" s="1"/>
  <c r="AM31" i="13" l="1"/>
  <c r="AK32" i="13"/>
  <c r="AL32" i="13" s="1"/>
  <c r="AN31" i="13"/>
  <c r="AO31" i="13"/>
  <c r="AP31" i="13" s="1"/>
  <c r="AQ31" i="13" s="1"/>
  <c r="AR30" i="13"/>
  <c r="AQ30" i="13"/>
  <c r="AM32" i="13" l="1"/>
  <c r="AN32" i="13"/>
  <c r="AK33" i="13"/>
  <c r="AL33" i="13" s="1"/>
  <c r="AR31" i="13"/>
  <c r="AO32" i="13"/>
  <c r="AP32" i="13" s="1"/>
  <c r="AM33" i="13" l="1"/>
  <c r="AN33" i="13" s="1"/>
  <c r="AK34" i="13"/>
  <c r="AL34" i="13" s="1"/>
  <c r="AR32" i="13"/>
  <c r="AO33" i="13"/>
  <c r="AP33" i="13" s="1"/>
  <c r="AQ32" i="13"/>
  <c r="AM34" i="13" l="1"/>
  <c r="AN34" i="13" s="1"/>
  <c r="AK35" i="13"/>
  <c r="AL35" i="13" s="1"/>
  <c r="AQ33" i="13"/>
  <c r="AR33" i="13" s="1"/>
  <c r="AO34" i="13"/>
  <c r="AP34" i="13" s="1"/>
  <c r="AM35" i="13" l="1"/>
  <c r="AN35" i="13" s="1"/>
  <c r="AK36" i="13"/>
  <c r="AL36" i="13" s="1"/>
  <c r="AO35" i="13"/>
  <c r="AP35" i="13" s="1"/>
  <c r="AQ34" i="13"/>
  <c r="AR34" i="13" s="1"/>
  <c r="AM38" i="13" a="1"/>
  <c r="AM38" i="13" s="1"/>
  <c r="AM36" i="13" l="1"/>
  <c r="AN36" i="13" s="1"/>
  <c r="AK41" i="13"/>
  <c r="AQ35" i="13"/>
  <c r="AR35" i="13" s="1"/>
  <c r="AO36" i="13"/>
  <c r="AP36" i="13" s="1"/>
  <c r="AM41" i="13" l="1" a="1"/>
  <c r="AM41" i="13" s="1"/>
  <c r="AQ36" i="13"/>
  <c r="AR36" i="13" s="1"/>
  <c r="AO41" i="13"/>
  <c r="AQ38" i="13" a="1"/>
  <c r="AQ38" i="13" s="1"/>
  <c r="AK39" i="13" s="1"/>
  <c r="AQ41" i="13" l="1" a="1"/>
  <c r="AQ41" i="13" s="1"/>
  <c r="AK42" i="13" s="1"/>
  <c r="D28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<sst xmlns="http://schemas.openxmlformats.org/spreadsheetml/2006/main" count="8780" uniqueCount="2407">
  <si>
    <t>Snapshot</t>
  </si>
  <si>
    <t>Choose month below</t>
  </si>
  <si>
    <t>See your spending trends month over month with easy to read graphs. To switch months, click on the blue date box to the right.</t>
  </si>
  <si>
    <t>Monthly Summary</t>
  </si>
  <si>
    <t>Category</t>
  </si>
  <si>
    <t>Count</t>
  </si>
  <si>
    <t>Rank</t>
  </si>
  <si>
    <t>Order</t>
  </si>
  <si>
    <t>$</t>
  </si>
  <si>
    <t>Display Axis</t>
  </si>
  <si>
    <t>Current Mon.</t>
  </si>
  <si>
    <t>Max Date</t>
  </si>
  <si>
    <t>Last Mon.</t>
  </si>
  <si>
    <t>Merchants</t>
  </si>
  <si>
    <t>Trans Count</t>
  </si>
  <si>
    <t>Trans Rank</t>
  </si>
  <si>
    <t>$ Rank</t>
  </si>
  <si>
    <t>Input</t>
  </si>
  <si>
    <t>Month Filter</t>
  </si>
  <si>
    <t>Current vs. previous month spending</t>
  </si>
  <si>
    <t>This month's top spending categories</t>
  </si>
  <si>
    <t>Difference</t>
  </si>
  <si>
    <t>Total</t>
  </si>
  <si>
    <t>Total spending</t>
  </si>
  <si>
    <t>Cumulative spending throughout month</t>
  </si>
  <si>
    <t>Frequented merchants</t>
  </si>
  <si>
    <t>Merchants where the most was spent</t>
  </si>
  <si>
    <t>Merchant</t>
  </si>
  <si>
    <t>Total cost</t>
  </si>
  <si>
    <t>Transactions</t>
  </si>
  <si>
    <r>
      <t xml:space="preserve">Transactions from your added accounts are automatically imported here. Click </t>
    </r>
    <r>
      <rPr>
        <b/>
        <sz val="12"/>
        <color theme="1" tint="0.249977111117893"/>
        <rFont val="Calibri"/>
        <family val="2"/>
        <scheme val="minor"/>
      </rPr>
      <t>Update</t>
    </r>
    <r>
      <rPr>
        <sz val="12"/>
        <color theme="1" tint="0.249977111117893"/>
        <rFont val="Calibri"/>
        <family val="2"/>
        <scheme val="minor"/>
      </rPr>
      <t xml:space="preserve"> in the task pane to import more transactions. Edit the </t>
    </r>
    <r>
      <rPr>
        <b/>
        <sz val="12"/>
        <color theme="1" tint="0.249977111117893"/>
        <rFont val="Calibri"/>
        <family val="2"/>
        <scheme val="minor"/>
      </rPr>
      <t>Merchant</t>
    </r>
    <r>
      <rPr>
        <sz val="12"/>
        <color theme="1" tint="0.249977111117893"/>
        <rFont val="Calibri"/>
        <family val="2"/>
        <scheme val="minor"/>
      </rPr>
      <t xml:space="preserve"> and </t>
    </r>
    <r>
      <rPr>
        <b/>
        <sz val="12"/>
        <color theme="1" tint="0.249977111117893"/>
        <rFont val="Calibri"/>
        <family val="2"/>
        <scheme val="minor"/>
      </rPr>
      <t>Category</t>
    </r>
    <r>
      <rPr>
        <sz val="12"/>
        <color theme="1" tint="0.249977111117893"/>
        <rFont val="Calibri"/>
        <family val="2"/>
        <scheme val="minor"/>
      </rPr>
      <t xml:space="preserve"> columns to better reflect where and how you spend your money.</t>
    </r>
  </si>
  <si>
    <t>Date</t>
  </si>
  <si>
    <t>Amount $</t>
  </si>
  <si>
    <t>Account</t>
  </si>
  <si>
    <t>Account Number</t>
  </si>
  <si>
    <t>Institution</t>
  </si>
  <si>
    <t>Transaction_ID</t>
  </si>
  <si>
    <t>Account_ID</t>
  </si>
  <si>
    <t>Institution_ID</t>
  </si>
  <si>
    <t>Category Type</t>
  </si>
  <si>
    <t>Date_Day</t>
  </si>
  <si>
    <t>Date_Month</t>
  </si>
  <si>
    <t>Date_Year</t>
  </si>
  <si>
    <t>Beginning of Week</t>
  </si>
  <si>
    <t>Month</t>
  </si>
  <si>
    <t>Restaurants/Dining</t>
  </si>
  <si>
    <t>Shopping</t>
  </si>
  <si>
    <t>Misc</t>
  </si>
  <si>
    <t>Groceries</t>
  </si>
  <si>
    <t>Travel</t>
  </si>
  <si>
    <t>Transfer</t>
  </si>
  <si>
    <t>Health/Fitness</t>
  </si>
  <si>
    <t>Auto/Transport</t>
  </si>
  <si>
    <t>Uncategorized</t>
  </si>
  <si>
    <t>Bills/Utilities</t>
  </si>
  <si>
    <t>Home</t>
  </si>
  <si>
    <t>Professional Services</t>
  </si>
  <si>
    <t>Refund</t>
  </si>
  <si>
    <t>Payment</t>
  </si>
  <si>
    <t>Income</t>
  </si>
  <si>
    <t>Entertainment</t>
  </si>
  <si>
    <t>Fees/Charges</t>
  </si>
  <si>
    <t>ID</t>
  </si>
  <si>
    <t>Institution name</t>
  </si>
  <si>
    <t>Institution nickname</t>
  </si>
  <si>
    <t>Institution ID</t>
  </si>
  <si>
    <t>Account#</t>
  </si>
  <si>
    <t>Account name</t>
  </si>
  <si>
    <t>Account nickname</t>
  </si>
  <si>
    <t>Categories</t>
  </si>
  <si>
    <t>Create and edit categories in the blue cells (below the default categories) to fit your specific financial needs. Make transactions glanceable across every sheet.</t>
  </si>
  <si>
    <t>Id</t>
  </si>
  <si>
    <t>Category Name</t>
  </si>
  <si>
    <t>Yes / No</t>
  </si>
  <si>
    <t>Full Categories</t>
  </si>
  <si>
    <t>Clean Categories</t>
  </si>
  <si>
    <r>
      <t xml:space="preserve">
Default categories
</t>
    </r>
    <r>
      <rPr>
        <sz val="12"/>
        <color theme="1" tint="0.249977111117893"/>
        <rFont val="Calibri"/>
        <family val="2"/>
        <scheme val="minor"/>
      </rPr>
      <t>These categories cannot be edited.</t>
    </r>
  </si>
  <si>
    <t>Expense</t>
  </si>
  <si>
    <t>Mortgage/Rent</t>
  </si>
  <si>
    <r>
      <t xml:space="preserve">
Custom categories
</t>
    </r>
    <r>
      <rPr>
        <sz val="12"/>
        <color theme="1" tint="0.249977111117893"/>
        <rFont val="Calibri"/>
        <family val="2"/>
        <scheme val="minor"/>
      </rPr>
      <t>Add your own categories in column D and set the category type in column E.</t>
    </r>
    <r>
      <rPr>
        <b/>
        <sz val="16"/>
        <color theme="1" tint="0.249977111117893"/>
        <rFont val="Calibri"/>
        <family val="2"/>
        <scheme val="minor"/>
      </rPr>
      <t xml:space="preserve">
</t>
    </r>
    <r>
      <rPr>
        <sz val="12"/>
        <color theme="1" tint="0.249977111117893"/>
        <rFont val="Calibri"/>
        <family val="2"/>
        <scheme val="minor"/>
      </rPr>
      <t xml:space="preserve">
We'll remove duplicate categories automatically.</t>
    </r>
  </si>
  <si>
    <t>Category name</t>
  </si>
  <si>
    <t>Category type</t>
  </si>
  <si>
    <t>Default</t>
  </si>
  <si>
    <t>Subcategory name</t>
  </si>
  <si>
    <t>Category ID</t>
  </si>
  <si>
    <t>Add custom categories and subcategories below, then assign them to your transactions in the transactions sheet. You can only edit or delete the categories and subcategories you've added.</t>
  </si>
  <si>
    <t>Add custom categories in the empty rows below the default categories.
Make sure to select expenses, income, or transfers under category type.</t>
  </si>
  <si>
    <t>Subcategories</t>
  </si>
  <si>
    <t>To add custom subcategories in the table below, select a category from the
dropdown menu and add the related subcategory in the next column.</t>
  </si>
  <si>
    <t>Subcategory</t>
  </si>
  <si>
    <t>89f91b72f72a4dd68a16b583d4720595</t>
  </si>
  <si>
    <t>4144f48502914015b998277a326fcedc</t>
  </si>
  <si>
    <t>ca8ac7c19b84437194c3fe5508eb8bda</t>
  </si>
  <si>
    <t>de9b1d2511bc45a9bb2d484aa9e33b31</t>
  </si>
  <si>
    <t>9fa283df10474311b55af8d4cf39d146</t>
  </si>
  <si>
    <t>1c7ed344fd3c47f1b0c4926eb05c305c</t>
  </si>
  <si>
    <t>cc336735a5324e28bf4f3414f7548cf1</t>
  </si>
  <si>
    <t>fabfe582932d48b78ac2846c1ec3d43f</t>
  </si>
  <si>
    <t>013119218f2e4bdd86aa9097992873f8</t>
  </si>
  <si>
    <t>0c9f3488736a4d97bd78b9c29fbb29fb</t>
  </si>
  <si>
    <t>0613345f0a8b4edfb294d0fdc6fe7382</t>
  </si>
  <si>
    <t>31cc220e25c84daf9b641cfb0e376681</t>
  </si>
  <si>
    <t>23fe5da83519415dae0687f037d51b09</t>
  </si>
  <si>
    <t>6385c1768b814d3d89087c436c9cab15</t>
  </si>
  <si>
    <t>fca5dd8329b743f7b77704e23a1e63ad</t>
  </si>
  <si>
    <t>3dafc6bd8d7c45ae9840ff09e01567d1</t>
  </si>
  <si>
    <t>1c99e2ba30f14dbfb79dfa7d009e0924</t>
  </si>
  <si>
    <t>e428eb09b5454450b5ffff66b9b935be</t>
  </si>
  <si>
    <t>6dc51233b6fb471d952c564dcf5dce13</t>
  </si>
  <si>
    <t>Discover</t>
  </si>
  <si>
    <t>c0ea6fc12dab42a6995744767fe779bd</t>
  </si>
  <si>
    <t>7328</t>
  </si>
  <si>
    <t>Discover it chrome Card</t>
  </si>
  <si>
    <t>Internet Payment</t>
  </si>
  <si>
    <t>0fde781befc442dc841b55880d74a8e7</t>
  </si>
  <si>
    <t>Walmart</t>
  </si>
  <si>
    <t>7031fa13b31747c49a1e004eee1cff7b</t>
  </si>
  <si>
    <t>Firehouse Subs</t>
  </si>
  <si>
    <t>ce7a6568477f4ea09fdb81bec1eacf86</t>
  </si>
  <si>
    <t>Lyft</t>
  </si>
  <si>
    <t>94e1f8e7bd7e49ee9fecd73bf886c904</t>
  </si>
  <si>
    <t>0893edb057874ff5b5f8b7440d6a69ac</t>
  </si>
  <si>
    <t>Micro Center Fairfax</t>
  </si>
  <si>
    <t>e68aacdc3980418d97dc7a48d2fa84ff</t>
  </si>
  <si>
    <t>c7cd4c7f294540eb8db964fa257a3b57</t>
  </si>
  <si>
    <t>Mcdonald's</t>
  </si>
  <si>
    <t>bc54c56c0c884c67b19742a43c8f3927</t>
  </si>
  <si>
    <t>Steam Games</t>
  </si>
  <si>
    <t>4657b2fde47e4d4eb2446d8f03bd0446</t>
  </si>
  <si>
    <t>Take 5 232</t>
  </si>
  <si>
    <t>b3fe027c6df84291a5ebe9ff41d03120</t>
  </si>
  <si>
    <t>9d1970bcb63d424f844fb45f06a5710f</t>
  </si>
  <si>
    <t>2a524348318f45a0aa93baba54038187</t>
  </si>
  <si>
    <t>Bottoms Up Pizza</t>
  </si>
  <si>
    <t>638f96559b8f4be7a53ca5947f85ecac</t>
  </si>
  <si>
    <t>Google Google Youtub</t>
  </si>
  <si>
    <t>18300ad8b7bc4ca5b5df07ace4f33f5c</t>
  </si>
  <si>
    <t>eea444b091f045288e5724e277e691ff</t>
  </si>
  <si>
    <t>Google Youtube Subsc</t>
  </si>
  <si>
    <t>34c55978c19d4f66b32600866a2d9ecf</t>
  </si>
  <si>
    <t>c5aadf3b56634184b8f1f8e355574b87</t>
  </si>
  <si>
    <t>bb06908b52904735936d78fc5cbfcd0a</t>
  </si>
  <si>
    <t>Mellow Mushroom</t>
  </si>
  <si>
    <t>2857b54945a54e95bc64f25ff71144b4</t>
  </si>
  <si>
    <t>Interactive</t>
  </si>
  <si>
    <t>02f3150673154b618912f882bca793c0</t>
  </si>
  <si>
    <t>State Farm</t>
  </si>
  <si>
    <t>b45ab86358b3449ba49334104577485d</t>
  </si>
  <si>
    <t>Spotify</t>
  </si>
  <si>
    <t>fd16b999fae64ae0a2390d32ac56feb3</t>
  </si>
  <si>
    <t>Disneyplus Ca Disneyplus</t>
  </si>
  <si>
    <t>d3a845cd203245af847a9b5b1c0baf0f</t>
  </si>
  <si>
    <t>Netflix</t>
  </si>
  <si>
    <t>0d115064d60e40acbe44c3a1973053b6</t>
  </si>
  <si>
    <t>Crunch Fitness Va Crunch</t>
  </si>
  <si>
    <t>8ae7dc82a9374cce8f663ca87ac3e7f5</t>
  </si>
  <si>
    <t>Bp Mile Bp</t>
  </si>
  <si>
    <t>5df7ead968b9438b828a9d397ab8652a</t>
  </si>
  <si>
    <t>Del Sauce Llc</t>
  </si>
  <si>
    <t>c12a3f32a01e42a2897deadb34edd74d</t>
  </si>
  <si>
    <t>Department Motor Vehicle</t>
  </si>
  <si>
    <t>ee37fc61ec384dddb7f23c716db99235</t>
  </si>
  <si>
    <t>5429e60dcab24cc188aa72d505c4eca5</t>
  </si>
  <si>
    <t>Apple Bill Ca Apple</t>
  </si>
  <si>
    <t>e1e9046ec8ff42aca1d722a683a61fe7</t>
  </si>
  <si>
    <t>Couplecents</t>
  </si>
  <si>
    <t>586d6baebfc54777b9538ad32bd946b7</t>
  </si>
  <si>
    <t>Sheetz</t>
  </si>
  <si>
    <t>b3e37a5868d847369b54570074e77ccc</t>
  </si>
  <si>
    <t>Taco Bell</t>
  </si>
  <si>
    <t>5ed0373add2d46a88795526642f374c0</t>
  </si>
  <si>
    <t>Cvs</t>
  </si>
  <si>
    <t>461aed9d84fb44a7bccbaf0b7f77bd66</t>
  </si>
  <si>
    <t>1e4457915bc444a781e2a5fd4db98cc1</t>
  </si>
  <si>
    <t>49b2e0e300f54a5692e9ee8fcb40a9ac</t>
  </si>
  <si>
    <t>bb6be543e7234c2592bceda6b99f31c5</t>
  </si>
  <si>
    <t>Coaching Actuaries</t>
  </si>
  <si>
    <t>4fff4f933f8446e1b5599e77fcb0af50</t>
  </si>
  <si>
    <t>Webull Tech</t>
  </si>
  <si>
    <t>ae8cd7104fef40069a92d9fc80832a86</t>
  </si>
  <si>
    <t>Chipotle Mexican Grill</t>
  </si>
  <si>
    <t>8623c0c872d24306b6224e7876547bee</t>
  </si>
  <si>
    <t>Kingsisle Pi Tx</t>
  </si>
  <si>
    <t>52d428aeef4e48ea81481c1e6e7250c0</t>
  </si>
  <si>
    <t>Pp Roku For Crunchyr</t>
  </si>
  <si>
    <t>30bd4d2f6234477486a39c75f4751294</t>
  </si>
  <si>
    <t>Sunoco</t>
  </si>
  <si>
    <t>f59eec74d11a4eb68802213ea092b196</t>
  </si>
  <si>
    <t>3563a4e68e0b45cab45694624cec794c</t>
  </si>
  <si>
    <t>47e68d5c7cd94e55b03041d85ce1c559</t>
  </si>
  <si>
    <t>57b7d958800d435eb025dab951db2228</t>
  </si>
  <si>
    <t>Publix</t>
  </si>
  <si>
    <t>5ab94522d35143548df043a8565a70bc</t>
  </si>
  <si>
    <t>T Mobile</t>
  </si>
  <si>
    <t>41daefe76bce420e98065c228ac43491</t>
  </si>
  <si>
    <t>The Market</t>
  </si>
  <si>
    <t>89cab08e0abf4eae9f5b44379adb28b9</t>
  </si>
  <si>
    <t>Wolframalpha</t>
  </si>
  <si>
    <t>633b9ceafc894878ad4b76744f1951fc</t>
  </si>
  <si>
    <t>Pupatella 2</t>
  </si>
  <si>
    <t>c46e35fbd3b143b09417471ac355cae6</t>
  </si>
  <si>
    <t>Target</t>
  </si>
  <si>
    <t>fd1b7ecd21bb455cb1c9da0e4fcf8195</t>
  </si>
  <si>
    <t>ed6c9e4b98aa4cf59360570b426217ea</t>
  </si>
  <si>
    <t>d4057374e73b4f658be50f8ad6ed0a1d</t>
  </si>
  <si>
    <t>d69ac980c24447b8b65674cc0afe7e39</t>
  </si>
  <si>
    <t>Cashback Bonus Redemption Pymt</t>
  </si>
  <si>
    <t>28a8832ffa604d61ac702036131d999f</t>
  </si>
  <si>
    <t>86e32d1a6c524787aeea7f4cf17c1a1d</t>
  </si>
  <si>
    <t>Vizmediallc</t>
  </si>
  <si>
    <t>4e20ab74acee4addb0f7598d5fbd43a9</t>
  </si>
  <si>
    <t>Bird App</t>
  </si>
  <si>
    <t>55a75e9f371d481fa4167556a70e0d5f</t>
  </si>
  <si>
    <t>ffe104c4f75c4a32a8d4ca9a48cc7fe0</t>
  </si>
  <si>
    <t>ae6e396bd9d14901a6b6429697d0e5a3</t>
  </si>
  <si>
    <t>c2afbd0bbcd34f839ffdce8b0f0e9507</t>
  </si>
  <si>
    <t>4ad0af5227a44f848a17b1a415a8467e</t>
  </si>
  <si>
    <t>ac5f54971af24ba0b915e9b27651ca9c</t>
  </si>
  <si>
    <t>52d080610e6042938a3ef580ae01a3e8</t>
  </si>
  <si>
    <t>79ea330d5cbb4055916e5acb0ed05060</t>
  </si>
  <si>
    <t>ca0797e2bf12426284e5ecfee8b79c6a</t>
  </si>
  <si>
    <t>6191b47880bc4a7687ee0ebbc035f821</t>
  </si>
  <si>
    <t>a6d16ddfbf204a15bcb60090335f1afe</t>
  </si>
  <si>
    <t>Dayneinvest</t>
  </si>
  <si>
    <t>d91d84029172442a9d0b0551fab9ca5d</t>
  </si>
  <si>
    <t>5ed6cc1c21b44af099411cfb23eeb3bd</t>
  </si>
  <si>
    <t>168a2c347f5745f89bf17354b6f38e00</t>
  </si>
  <si>
    <t>ed0bf75b62e64445bf8081f214247a23</t>
  </si>
  <si>
    <t>Dc Charbroiled Chicken</t>
  </si>
  <si>
    <t>be059bb2f3ce456f8fdd1d868cafc45b</t>
  </si>
  <si>
    <t>48afe14066584fc994a6565fe4a08be5</t>
  </si>
  <si>
    <t>734b103e81a7490fa697cb1aac66dae1</t>
  </si>
  <si>
    <t>511e17fac455401d8dabec7af70bb1c4</t>
  </si>
  <si>
    <t>37ad021bd110422aaf9924285731ca80</t>
  </si>
  <si>
    <t>054eb152711244ef92e569a1b28a5489</t>
  </si>
  <si>
    <t>6626883f5b5d476a8622e777d5244c5a</t>
  </si>
  <si>
    <t>0f94748ac07440e39b507a76aec2c6f2</t>
  </si>
  <si>
    <t>Whole Foods</t>
  </si>
  <si>
    <t>230b61b7e1a04c7b92df80fe08f21f52</t>
  </si>
  <si>
    <t>Exxonmobil</t>
  </si>
  <si>
    <t>cfb406233bd34a4b9de8b332bdc168f5</t>
  </si>
  <si>
    <t>1e426693c0004f7cbc648e5fe4e1c078</t>
  </si>
  <si>
    <t>Bedbath&amp;Beyond</t>
  </si>
  <si>
    <t>f87c47fd37c4485291e5add9adf9a07e</t>
  </si>
  <si>
    <t>Cityparking Inc Va Apple</t>
  </si>
  <si>
    <t>4501c81c15b3471ea31a6a825cb4fe5e</t>
  </si>
  <si>
    <t>521 Biscuits &amp; Waff</t>
  </si>
  <si>
    <t>d76ed06e834d4005b481c9305af35235</t>
  </si>
  <si>
    <t>3a04b87a2da24e8ea75be65414c9e219</t>
  </si>
  <si>
    <t>06b4bb4cafcb432bb6ba2f341a3da88d</t>
  </si>
  <si>
    <t>3ea9b036a4e44b22980b0e02738625ff</t>
  </si>
  <si>
    <t>5c0b8fcf86474e46927e199240e2a90b</t>
  </si>
  <si>
    <t>114fe4af248249199aa270cf313462ad</t>
  </si>
  <si>
    <t>cbd3e46bd02a43729619f78f641c3cb5</t>
  </si>
  <si>
    <t>Ilf Llc</t>
  </si>
  <si>
    <t>e496a479c2a84cd09a9cd46d4aef0791</t>
  </si>
  <si>
    <t>Amazon</t>
  </si>
  <si>
    <t>6981a38b35c745ddb7cc9b8bbaa04de6</t>
  </si>
  <si>
    <t>67b4d9edbded49098003b3b0a29e242c</t>
  </si>
  <si>
    <t>Directpay Full Balance</t>
  </si>
  <si>
    <t>5468ece843424f0abca37d487d8a8127</t>
  </si>
  <si>
    <t>a3b8dc4301554048a1eae3449bd0faa2</t>
  </si>
  <si>
    <t>3f4558bc32e7468795db69e773e40ef9</t>
  </si>
  <si>
    <t>Walgreens</t>
  </si>
  <si>
    <t>297047802b4a49eeb54ada3177487b7e</t>
  </si>
  <si>
    <t>1ccb52729382463eacb726b24df6214d</t>
  </si>
  <si>
    <t>813206088b6d49d8b0aa991d2150c7b7</t>
  </si>
  <si>
    <t>Family Dollar</t>
  </si>
  <si>
    <t>76af681cbe39486a9bd8bf8f12188a96</t>
  </si>
  <si>
    <t>c63192c067ab4ed681eaaee0c40f10e5</t>
  </si>
  <si>
    <t>Cash App Shevon Lew</t>
  </si>
  <si>
    <t>450bde8fca744d249ea870af6904edd7</t>
  </si>
  <si>
    <t>Etchedactua</t>
  </si>
  <si>
    <t>d313a82c16754116a256cc7981e238c1</t>
  </si>
  <si>
    <t>9a251afdb59d4b848e6274b76c93a69d</t>
  </si>
  <si>
    <t>Fedex</t>
  </si>
  <si>
    <t>6ab3f9ee8be24a808ac2b474b61cd112</t>
  </si>
  <si>
    <t>2561b8f62e1c48ff96e86bcf100147be</t>
  </si>
  <si>
    <t>15c9eacdc886418fa9c4a0628befb76b</t>
  </si>
  <si>
    <t>Bingo Beer Co Games</t>
  </si>
  <si>
    <t>c49f0610b42e4c6b91301cd4d7d717c3</t>
  </si>
  <si>
    <t>62a94b3618a04af4b1955eb00f1122a6</t>
  </si>
  <si>
    <t>37eded4c634a453392888eb2f8a5fc86</t>
  </si>
  <si>
    <t>Labcorp Pscc 2 Nc</t>
  </si>
  <si>
    <t>91c48b56461e453ba1c010b9049ca29b</t>
  </si>
  <si>
    <t>America's Best Wings</t>
  </si>
  <si>
    <t>f80c37afdd0d40afb7e3da683b179043</t>
  </si>
  <si>
    <t>Go Dragon Asian Grill</t>
  </si>
  <si>
    <t>b79215ddf641456a898fbc03746d93a8</t>
  </si>
  <si>
    <t>3216f3b6fd7e484485f2768a276fc346</t>
  </si>
  <si>
    <t>Livecareer Pr</t>
  </si>
  <si>
    <t>dd2ccf751f1f42548945e30f9124d975</t>
  </si>
  <si>
    <t>River Run Short Pump</t>
  </si>
  <si>
    <t>38917644da51434c9eb7e59b0c8fde99</t>
  </si>
  <si>
    <t>b4ae6b0da47d479cb0fb0b0df72d562d</t>
  </si>
  <si>
    <t>Myfico Com</t>
  </si>
  <si>
    <t>299f232a965645fdafc6d1fd81a56e03</t>
  </si>
  <si>
    <t>31413e8f4415459194714d3279c6df9f</t>
  </si>
  <si>
    <t>334f4ed5c0444fef9c85bf36f61f5ccb</t>
  </si>
  <si>
    <t>b9ff9f9b3e1f496c85eb4118a342579e</t>
  </si>
  <si>
    <t>d98a16554db64ced8ceaa4492cf4618f</t>
  </si>
  <si>
    <t>4cc9e499381a49659ddbb2b05efa85a3</t>
  </si>
  <si>
    <t>Wawa</t>
  </si>
  <si>
    <t>6a2f55e9a02d4038b8f239458f1cd0a9</t>
  </si>
  <si>
    <t>Amazon Prime</t>
  </si>
  <si>
    <t>ef0f598425394ac9ace869569b86bb1e</t>
  </si>
  <si>
    <t>4b1055bb12014b29b5dab3b65d17bfb0</t>
  </si>
  <si>
    <t>40e773e14c9a47ed9000112827b4bfdf</t>
  </si>
  <si>
    <t>1b19bd24049c4cf494fe8b8f1764a059</t>
  </si>
  <si>
    <t>a57aca9494154d4eb946e42c7c3c750e</t>
  </si>
  <si>
    <t>063f310849e3455d87546b5a2bbc64bc</t>
  </si>
  <si>
    <t>6c611e0b88bf4c578036109346cd84f1</t>
  </si>
  <si>
    <t>0484f4de44534d5b98e1a2fa795cb65a</t>
  </si>
  <si>
    <t>Microsoft Microsoft 36</t>
  </si>
  <si>
    <t>01d1765910c54eaeb4df688e8d4696a1</t>
  </si>
  <si>
    <t>99c563dcfff543119596f01f1edb9c60</t>
  </si>
  <si>
    <t>0dad34cebca24583aff12a847f23d6ba</t>
  </si>
  <si>
    <t>1416639e5eab4a1e8b470dfd73da7697</t>
  </si>
  <si>
    <t>Dick's Sporting Goods</t>
  </si>
  <si>
    <t>76889ef133a34c81a8194d1012172cb4</t>
  </si>
  <si>
    <t>7524c25ea1de47dbb124166b24820af2</t>
  </si>
  <si>
    <t>1ed0cc4af8b74534958e95c1ee1bcf11</t>
  </si>
  <si>
    <t>ef04e8b3b2374c9294c8de893b2d6550</t>
  </si>
  <si>
    <t>57ab5fdc97264d9f8fdf0f69e8723df1</t>
  </si>
  <si>
    <t>cd4965fada0f4444af59be51ae8e98ad</t>
  </si>
  <si>
    <t>Scott Motor Company</t>
  </si>
  <si>
    <t>7581593675d844bfa0a1b2345ccc5d06</t>
  </si>
  <si>
    <t>3d89513ff1254de8b7976615a2a87d6a</t>
  </si>
  <si>
    <t>Zaxby's</t>
  </si>
  <si>
    <t>2b2170284a1d448597d0ff44369103aa</t>
  </si>
  <si>
    <t>Yahoofantas Fan</t>
  </si>
  <si>
    <t>81e904caf7bd47dfa9a00f761986c874</t>
  </si>
  <si>
    <t>Burlington</t>
  </si>
  <si>
    <t>c72e0f05d95342f4a77335584029c194</t>
  </si>
  <si>
    <t>8dd4201cdfc74407b7b70f6f5757595b</t>
  </si>
  <si>
    <t>ee678e5e55314db283d5acf5f1eecef2</t>
  </si>
  <si>
    <t>Uber</t>
  </si>
  <si>
    <t>cbde061caea74d7e97d53c42e30d0158</t>
  </si>
  <si>
    <t>Zorba's Greek Italian</t>
  </si>
  <si>
    <t>5da8cee33ef54b3da462a087789c3fdf</t>
  </si>
  <si>
    <t>Chick Fil A</t>
  </si>
  <si>
    <t>22eb522e2b484f0a83d20a1cbe4441d9</t>
  </si>
  <si>
    <t>Amazon Amzn Billwa</t>
  </si>
  <si>
    <t>ae4e09ac9ddc478b8c375cfba06da8cb</t>
  </si>
  <si>
    <t>3c47575a23be4930a2b6b7da239fb64f</t>
  </si>
  <si>
    <t>eba0fdad2c214a6593e1530b69ab7f4d</t>
  </si>
  <si>
    <t>bc433621719945a796f89c1d049c8fae</t>
  </si>
  <si>
    <t>28637ae2dce546b8bf4e7c4316c675db</t>
  </si>
  <si>
    <t>da056c2c2bdf4761aba0d887b06b6d3d</t>
  </si>
  <si>
    <t>5e80bc1044654d8ab817ee86b735e53d</t>
  </si>
  <si>
    <t>edd7899143884ae69b25f88342ebd339</t>
  </si>
  <si>
    <t>ddbe3523979842ef89e985b4b2b955cc</t>
  </si>
  <si>
    <t>479bf06947f6459b941c3393f5e38bd6</t>
  </si>
  <si>
    <t>Square Enix Ca Square</t>
  </si>
  <si>
    <t>691bf3ef36144621a1e52e716f2503d0</t>
  </si>
  <si>
    <t>6687d09eca9d40bf8165f2caf01d44ad</t>
  </si>
  <si>
    <t>Hart Nissan Mechanicsvillva</t>
  </si>
  <si>
    <t>74d4c7e196e540f199de3fbac4d52ce4</t>
  </si>
  <si>
    <t>3773df92176f4779bdffa2ce75adc9fe</t>
  </si>
  <si>
    <t>c83633a68e9241afbd8b9c85e245af8e</t>
  </si>
  <si>
    <t>2b97bba4e1da4b97a31dc2ddfbe4fed2</t>
  </si>
  <si>
    <t>6fb4b21e7f28425f9dbe4d064f9f77b6</t>
  </si>
  <si>
    <t>733ce4ee986e46a085ca8a03bb889181</t>
  </si>
  <si>
    <t>2fb6cdbd284a46aa9bff77afe131cd86</t>
  </si>
  <si>
    <t>4bae02cbca6042c29a4aa4ef253fec3c</t>
  </si>
  <si>
    <t>01b17960fb2b4df8af6e55693b362ebb</t>
  </si>
  <si>
    <t>394a7d14532344fba8333ed6bc58ff31</t>
  </si>
  <si>
    <t>Ezpassva Auto Replenish</t>
  </si>
  <si>
    <t>13da9db8d5964a5599ddc32e48b25e60</t>
  </si>
  <si>
    <t>Apple Bill Ca Y</t>
  </si>
  <si>
    <t>85605589c9a140ed94810bf21b8c3f28</t>
  </si>
  <si>
    <t>Amtrak</t>
  </si>
  <si>
    <t>6d7f6d6aa39f4d6496c232df5c703099</t>
  </si>
  <si>
    <t>Five Guys</t>
  </si>
  <si>
    <t>ab498bcaac0c48038701f6ff232ff30d</t>
  </si>
  <si>
    <t>61c7305d0ead4ad19a38df5f23c9145d</t>
  </si>
  <si>
    <t>2e78f47e95444b2ba6bc27f06d1f1fde</t>
  </si>
  <si>
    <t>1f372d291a9349458e41edd26f4e0d38</t>
  </si>
  <si>
    <t>5adfa0658c3e496ab3f041e8feaf81e4</t>
  </si>
  <si>
    <t>634bad32152a4ac086062b9c873ca632</t>
  </si>
  <si>
    <t>Apple Bill Ca</t>
  </si>
  <si>
    <t>5569c8ff5aed4787a47bd5a4e9f78e2d</t>
  </si>
  <si>
    <t>4ef42b70d6fc4a28a28b918ca44f2f16</t>
  </si>
  <si>
    <t>Apple Bill Ca M</t>
  </si>
  <si>
    <t>9f26148530c84c7386ac6ccebf2f0b80</t>
  </si>
  <si>
    <t>Alamo Bbq</t>
  </si>
  <si>
    <t>04575dbe503841c69478f30b33ce5c52</t>
  </si>
  <si>
    <t>d489b64b79724f18b0a6504af4e3b257</t>
  </si>
  <si>
    <t>7a7c6a6d4c654c5183e11d19e8c056e0</t>
  </si>
  <si>
    <t>Union Market Gosq Va</t>
  </si>
  <si>
    <t>22fcc258a07e44beb3085459b08720e6</t>
  </si>
  <si>
    <t>caf4d7e8197c40ce94565250ac1691c3</t>
  </si>
  <si>
    <t>9b41441486184555b1a580ae4a82b3ed</t>
  </si>
  <si>
    <t>b2fd6403db8a47feb5626863177082a9</t>
  </si>
  <si>
    <t>4b2d46a57af646a59f99706ac8b47fc9</t>
  </si>
  <si>
    <t>Starbucks</t>
  </si>
  <si>
    <t>2c040409337f4688af7078b8ac619e1d</t>
  </si>
  <si>
    <t>93581ae96fd34fe4bb04550eb46ea969</t>
  </si>
  <si>
    <t>310e38f94fc94db889eeaf7dff777188</t>
  </si>
  <si>
    <t>d45b9617d74d486a826c0741ea74ef23</t>
  </si>
  <si>
    <t>8ed13debbc074ea182acf49b302f9300</t>
  </si>
  <si>
    <t>c7bce2688b5e4fdaa05180ef3b15290a</t>
  </si>
  <si>
    <t>d0a30f9a04b6476f9473e6990829ec23</t>
  </si>
  <si>
    <t>31f50f8961ef43d286a7426788b83a0f</t>
  </si>
  <si>
    <t>Home Depot</t>
  </si>
  <si>
    <t>8af2bb8ec30841b886bf13a9f1bf912c</t>
  </si>
  <si>
    <t>2c085c65cc4e497c81490506199cbd60</t>
  </si>
  <si>
    <t>672a49a1228141cbae6f6de21ae1a83e</t>
  </si>
  <si>
    <t>7634dfff94b24667b215d2ef191533f9</t>
  </si>
  <si>
    <t>0b4715cf52c04775811b22c7a3759358</t>
  </si>
  <si>
    <t>76425672e21e49afa447a7cc7b876420</t>
  </si>
  <si>
    <t>a8eaae6b3889489ebe3e15da6b80972c</t>
  </si>
  <si>
    <t>7edef01456074a41b4a643e28934b21b</t>
  </si>
  <si>
    <t>d894f24d12b14b1ebdca58a1d0a6354f</t>
  </si>
  <si>
    <t>ea334c13f2534ff8a64da667e14359e8</t>
  </si>
  <si>
    <t>c87ef4b26f154cfd890ca16ba8ed9a5e</t>
  </si>
  <si>
    <t>Neemb Llc Distill Io</t>
  </si>
  <si>
    <t>fcc068b17e8c47e08667640b9697e875</t>
  </si>
  <si>
    <t>Nissan Of Richmond</t>
  </si>
  <si>
    <t>a791d76ca0a9485dbee3d764694ec593</t>
  </si>
  <si>
    <t>3636634b52fc44b1977410dbe4ff1cea</t>
  </si>
  <si>
    <t>99e7d65fd7424c4dad3920e54d0a53bc</t>
  </si>
  <si>
    <t>a53ff953719d4a14afd4d418f6680db3</t>
  </si>
  <si>
    <t>1780856cae4d4831b4272bc2a50aaa9b</t>
  </si>
  <si>
    <t>Advance Auto Parts</t>
  </si>
  <si>
    <t>f4ed81bf2294468188ffbbc255a2fd78</t>
  </si>
  <si>
    <t>882722339829403590d73787df5548a7</t>
  </si>
  <si>
    <t>Shell</t>
  </si>
  <si>
    <t>051f9265cf4b4e18b98ae602665857c2</t>
  </si>
  <si>
    <t>283cd550aed74e2cb0d868870ab74ed2</t>
  </si>
  <si>
    <t>Va Dmv Richmond Central</t>
  </si>
  <si>
    <t>6186f9b8120d4c838196a634742ebe59</t>
  </si>
  <si>
    <t>e0f9844464a34803bd68870f3e03c302</t>
  </si>
  <si>
    <t>Apple Bill Ca Sbk</t>
  </si>
  <si>
    <t>7fc69f759b4c43288505889e3dc6f04a</t>
  </si>
  <si>
    <t>5d958c76d4844cac9f6e5ccf307ba704</t>
  </si>
  <si>
    <t>Panera Bread</t>
  </si>
  <si>
    <t>cdf007b9130e49df8087934a31002a71</t>
  </si>
  <si>
    <t>c977cc5bd38743bf9b0eaffa1b55e8f9</t>
  </si>
  <si>
    <t>Lowe's</t>
  </si>
  <si>
    <t>5ddd640eb68746c1917529215e97f199</t>
  </si>
  <si>
    <t>Cash App Engagetm</t>
  </si>
  <si>
    <t>b8e75004a04746048081044977b01ffd</t>
  </si>
  <si>
    <t>4d640685267b47d0971a49440091ae68</t>
  </si>
  <si>
    <t>80f1e233130a40f1a931fee7ef97a2e7</t>
  </si>
  <si>
    <t>Directpay Full Balance See</t>
  </si>
  <si>
    <t>fadf6f353bdf4f36a861538a9fd9f10a</t>
  </si>
  <si>
    <t>Rva Bike Share</t>
  </si>
  <si>
    <t>0f3caee31cfc48fdb177f97927bf653b</t>
  </si>
  <si>
    <t>952425c1a29c45f393a5e620c7d043b4</t>
  </si>
  <si>
    <t>606ede8b19ce4f52aa0956c6f314d499</t>
  </si>
  <si>
    <t>3082e78ed65f4ed7a06145bbdebdd00f</t>
  </si>
  <si>
    <t>1565f97e050f4af38f4fdfbacaed24be</t>
  </si>
  <si>
    <t>47613a1689e248138ae01e001cdd17b8</t>
  </si>
  <si>
    <t>992e8380998a4697a95a5178a18d7384</t>
  </si>
  <si>
    <t>647b6e9fcc5540b88606fa5f56310cb6</t>
  </si>
  <si>
    <t>ea6da108413342509ff99dfc0c923c5f</t>
  </si>
  <si>
    <t>Best Buy</t>
  </si>
  <si>
    <t>79057de2446f45179cf11b20b2112c9c</t>
  </si>
  <si>
    <t>Legends Brewing Co</t>
  </si>
  <si>
    <t>768d74b25d7f49e49712b6351b47a457</t>
  </si>
  <si>
    <t>054fbf43cec54a279631924dcbc93b97</t>
  </si>
  <si>
    <t>22a73705cea641acacd36776785822d9</t>
  </si>
  <si>
    <t>848cb5f92c56461aba83a1834d8f3c20</t>
  </si>
  <si>
    <t>487c2a96cc59426fa7dd2f856649269b</t>
  </si>
  <si>
    <t>216df33fa4a8411aa5f5203a5c905397</t>
  </si>
  <si>
    <t>5bc53c0181294118986012c1533002ed</t>
  </si>
  <si>
    <t>22dbe1437760432aa63c2928443a9294</t>
  </si>
  <si>
    <t>89fcf72578064338a75c74373ab9cb2f</t>
  </si>
  <si>
    <t>Mike Blendz Barbershop S</t>
  </si>
  <si>
    <t>7d770a0064b54eedbf5b79db79026e31</t>
  </si>
  <si>
    <t>2ef782bb976a477a9851febd017478f3</t>
  </si>
  <si>
    <t>152176935f134bb2b9234c07fefb8ffb</t>
  </si>
  <si>
    <t>4879a96e22bd4dc09f1fb0c4dcc26715</t>
  </si>
  <si>
    <t>Scalefast</t>
  </si>
  <si>
    <t>e3d670adcb9d499483ada9bb72660840</t>
  </si>
  <si>
    <t>cbfabc85ad2d4142bb9a3a57ee1d931a</t>
  </si>
  <si>
    <t>9e5e3ec9bd964334b76bf15190cf7d15</t>
  </si>
  <si>
    <t>f329f6fa4df54496a8a947980247d93c</t>
  </si>
  <si>
    <t>57c6c9f263a048bd9662b27806592d01</t>
  </si>
  <si>
    <t>Dri Nvidia Store Nvidia</t>
  </si>
  <si>
    <t>08a87fd36c6d41ccaa0e86271d788e79</t>
  </si>
  <si>
    <t>Apple Bill Ca D</t>
  </si>
  <si>
    <t>7ef50ba3538c424eb62b591bf4054608</t>
  </si>
  <si>
    <t>6cc1fbdc30d04ee1af7d0acc6cbb0148</t>
  </si>
  <si>
    <t>7e7802f1d1294802805797b3bbbde2c1</t>
  </si>
  <si>
    <t>1fda991ef9f241929ff944985e046fdf</t>
  </si>
  <si>
    <t>38b0bc3006b64c0b85e6bd36be6cc253</t>
  </si>
  <si>
    <t>b37f6afbb49b4a14bc38c4fb5706239e</t>
  </si>
  <si>
    <t>fcb578d6ad5c472b90b4f1b7f61a2c40</t>
  </si>
  <si>
    <t>8910e34d715b4369bfef3f14de5feff6</t>
  </si>
  <si>
    <t>3e593bde8657438e97fdd40abaf505b8</t>
  </si>
  <si>
    <t>ac089d6454ec48e78a9038e2b2e59693</t>
  </si>
  <si>
    <t>779b2f94d40249648f962b81b32e9b15</t>
  </si>
  <si>
    <t>1fcaf94c6637485ea1ba16e6e409ca44</t>
  </si>
  <si>
    <t>d1a825e2f8e84c5a8a0f8170d77bab3c</t>
  </si>
  <si>
    <t>Popeyes</t>
  </si>
  <si>
    <t>aaa5762e45f64b0ea9003bf73e2e1cd0</t>
  </si>
  <si>
    <t>9e9cf0999a7e46c6a4f1811aa1285e6d</t>
  </si>
  <si>
    <t>c3d6a7f6f1ea44e38740fdc161c57250</t>
  </si>
  <si>
    <t>Apple Bill Ca J</t>
  </si>
  <si>
    <t>ddd3c377a9374d7f8dadf88d7a9c98ab</t>
  </si>
  <si>
    <t>Havana 59</t>
  </si>
  <si>
    <t>fd2c56b0df6e4ab8bbfcfd63d84938e3</t>
  </si>
  <si>
    <t>Maymont Foundation Richmond Va</t>
  </si>
  <si>
    <t>3d9e80522d2c4d15b40c4a97a11e13c7</t>
  </si>
  <si>
    <t>E Z Pass Va</t>
  </si>
  <si>
    <t>6d1a57fd9cd34f9da4fa4faa07a6bb2d</t>
  </si>
  <si>
    <t>Venmo</t>
  </si>
  <si>
    <t>10a177cb085543119d4e4d0bd8ee49b6</t>
  </si>
  <si>
    <t>1205ade668864e5bae9f63fc5d0003fd</t>
  </si>
  <si>
    <t>851e0420630c4722806780d30073b1a8</t>
  </si>
  <si>
    <t>NStreet Market</t>
  </si>
  <si>
    <t>c71f420dbff84031b3ece08ed2238fc8</t>
  </si>
  <si>
    <t>3faf9605a88c4793b8a7a20176e15746</t>
  </si>
  <si>
    <t>776408187f7546f1891b90805e2a224d</t>
  </si>
  <si>
    <t>c209f08a98b04f719338af49328b4bbb</t>
  </si>
  <si>
    <t>Andar</t>
  </si>
  <si>
    <t>161de7eea5424e35a5fe9845aecfe660</t>
  </si>
  <si>
    <t>a142706188a6472ab345704de12db205</t>
  </si>
  <si>
    <t>71ba1d3d946f4c92858528c075d1e7b1</t>
  </si>
  <si>
    <t>Virginia Tech Transcript</t>
  </si>
  <si>
    <t>b03d940732f346b688ee8e381c75c005</t>
  </si>
  <si>
    <t>021145642f2b46ffab2978895bfb6e2e</t>
  </si>
  <si>
    <t>faa1ad32e3524214ac9e988589104aab</t>
  </si>
  <si>
    <t>5a5843f233524f87959214d44c756cad</t>
  </si>
  <si>
    <t>Office Depot</t>
  </si>
  <si>
    <t>24dbec02a5b243ae9ee111794317e7c5</t>
  </si>
  <si>
    <t>36654b83f31b451f92faacaf453d8b7b</t>
  </si>
  <si>
    <t>Newegg Inc City Of</t>
  </si>
  <si>
    <t>f3dc40d16b864c808e0489fb55cdc1b9</t>
  </si>
  <si>
    <t>Aramark</t>
  </si>
  <si>
    <t>64c7fd28ee714cc6b30af84f0710d02a</t>
  </si>
  <si>
    <t>Capitol Waffle Sho Richmond</t>
  </si>
  <si>
    <t>344133380bf34f9aaefa0ecbc50c5739</t>
  </si>
  <si>
    <t>09bb45ff916b486cb77ceea889f9ee70</t>
  </si>
  <si>
    <t>545cfa9a66724cb3b1be1886958c515f</t>
  </si>
  <si>
    <t>Usps Po Mpos Richmondva</t>
  </si>
  <si>
    <t>9b589c4b9f104637b2dc94bd82a8f783</t>
  </si>
  <si>
    <t>2d96bccee12d473494b55d7c41a388ad</t>
  </si>
  <si>
    <t>be5d71ee10bd42f98b54f5f0b0cce3cd</t>
  </si>
  <si>
    <t>Newegg Inc</t>
  </si>
  <si>
    <t>32c9a616a8ff4b1d962698400bdaea9d</t>
  </si>
  <si>
    <t>b9e71d21350d45cd880aa4522b9efbbb</t>
  </si>
  <si>
    <t>Professor Messer</t>
  </si>
  <si>
    <t>246f07cb04e04a87b80bc5d66ffc86f5</t>
  </si>
  <si>
    <t>Ardent Craft Ales</t>
  </si>
  <si>
    <t>307026940de74365b2e682aed9cde179</t>
  </si>
  <si>
    <t>Dipanshu</t>
  </si>
  <si>
    <t>987adf2a6633414c8b672f8fed4aa7a9</t>
  </si>
  <si>
    <t>983125aa272141f7835be4c0c919bf43</t>
  </si>
  <si>
    <t>Neweggcom</t>
  </si>
  <si>
    <t>6ae6527adfdb4159bf31e84895ec2821</t>
  </si>
  <si>
    <t>3136de2ffabf44e59660d767ae11bdbc</t>
  </si>
  <si>
    <t>Hot Chick</t>
  </si>
  <si>
    <t>ca8fe957dfaf40c7bb2ae7393f1b7fdb</t>
  </si>
  <si>
    <t>Alamobbq Richmond Va</t>
  </si>
  <si>
    <t>ce9ef574c813410395c641c767060ca9</t>
  </si>
  <si>
    <t>44f3d753f90d4be8906ac59c296897fc</t>
  </si>
  <si>
    <t>df764f4165c54802a9fb1e4acbe1acd5</t>
  </si>
  <si>
    <t>c7c5ef808d404639a8cc0c18c34bab32</t>
  </si>
  <si>
    <t>029a35856d9041c88d6ebdb07408484a</t>
  </si>
  <si>
    <t>f12b55757de94f4789bbc52b1f180a49</t>
  </si>
  <si>
    <t>07a8fdc80a01456fbbca35be821e015a</t>
  </si>
  <si>
    <t>dc68a91bcb424831a28a21df791e36fc</t>
  </si>
  <si>
    <t>Take 5 Oil Change</t>
  </si>
  <si>
    <t>b7514139a9034cb5be095cd7f41266c3</t>
  </si>
  <si>
    <t>e753b854ddee4b9a86c520c7f6b0dc3b</t>
  </si>
  <si>
    <t>4d36c1c7c4604cd4be869370a17f622f</t>
  </si>
  <si>
    <t>b4126d9f829c4b2ca404d58f35fb24db</t>
  </si>
  <si>
    <t>ed8eccdf9abd4a03ae665ff65264df2d</t>
  </si>
  <si>
    <t>Bp</t>
  </si>
  <si>
    <t>45934744b96b4e0ba6907ea4a05e3727</t>
  </si>
  <si>
    <t>b508cf328967405c8a86e209a38c5455</t>
  </si>
  <si>
    <t>7b89fde75baa423388da3393c708ca38</t>
  </si>
  <si>
    <t>6488c022a1ee47219f77c35a3066c177</t>
  </si>
  <si>
    <t>1 TheRuckersville Va</t>
  </si>
  <si>
    <t>93a083407be848af966544eba931fc63</t>
  </si>
  <si>
    <t>Apple Bill Ca Kx</t>
  </si>
  <si>
    <t>cb832be28c8f40f2a5a10e514fa1f177</t>
  </si>
  <si>
    <t>Dri Nvidia Store Orderfindmn</t>
  </si>
  <si>
    <t>4594cbefbbaa4542a18a1508c82f7aef</t>
  </si>
  <si>
    <t>bfc0bb00b3244559848e25f8a4da1f53</t>
  </si>
  <si>
    <t>Shenandoah Np Swiftrun E</t>
  </si>
  <si>
    <t>e2afc0369cae4b119d402215b9488361</t>
  </si>
  <si>
    <t>Shenandoah Retail Luray Va</t>
  </si>
  <si>
    <t>ebdcb0a5db154cf1840be4f6f3dbf0be</t>
  </si>
  <si>
    <t>The Ups Store Richmond</t>
  </si>
  <si>
    <t>9dbb5a366b1840249b2060fc7192d804</t>
  </si>
  <si>
    <t>511c5c4516c645f38a6a5f59681a8abb</t>
  </si>
  <si>
    <t>Wegmans</t>
  </si>
  <si>
    <t>73877bb3dfae4af5b213e491a98ae3f8</t>
  </si>
  <si>
    <t>f1d052f83700457ea4c6e28233b00375</t>
  </si>
  <si>
    <t>61416748134948a5a65972ab6a776e70</t>
  </si>
  <si>
    <t>dd759c5cf6304834966457644b27fcb3</t>
  </si>
  <si>
    <t>eca29ab3be1e4520a111184c9f8db613</t>
  </si>
  <si>
    <t>5cf60e171f064c01a208092dc3822564</t>
  </si>
  <si>
    <t>5d09c7e5c02e4383a59aa7093e3f3712</t>
  </si>
  <si>
    <t>Apple Bill Ca Mm</t>
  </si>
  <si>
    <t>156208c40bcd4111ab2a5685fb56c787</t>
  </si>
  <si>
    <t>09a0d7c32c1a478bbf2e62a2ff0a2015</t>
  </si>
  <si>
    <t>62d0f7474f114772b3393989a566274f</t>
  </si>
  <si>
    <t>fe74fb1f97d14cae8a7472d08c88709a</t>
  </si>
  <si>
    <t>1c236f6038304d1b897db267dcdbe57f</t>
  </si>
  <si>
    <t>211141609c8947a5b6ad16488fd00400</t>
  </si>
  <si>
    <t>a9f96d6d7b48409f99535d66dc5e5df8</t>
  </si>
  <si>
    <t>d22f578545164ea6af5930cf5882fad1</t>
  </si>
  <si>
    <t>3042c7b100a54e1397b7dd0565e7f520</t>
  </si>
  <si>
    <t>18f5ee9bad3f42018ec2c4a4d7b524b8</t>
  </si>
  <si>
    <t>629535bb14b046a691fdff38682e23f6</t>
  </si>
  <si>
    <t>Bolt Add Balance</t>
  </si>
  <si>
    <t>794697d7db6f47b89c1e3de5323ba370</t>
  </si>
  <si>
    <t>ed89a64e9b8f4ddabedc7fa99ba5b2f4</t>
  </si>
  <si>
    <t>7652a9270c5c44a09e51481bb9dc00c3</t>
  </si>
  <si>
    <t>39c017b9c7c84fc98f70539ec5617ee6</t>
  </si>
  <si>
    <t>0b33931901704cb9850f77bc2aa09e76</t>
  </si>
  <si>
    <t>12bd3b625bac4d91a8c22836a56f7243</t>
  </si>
  <si>
    <t>7e8664adb9394ab098bd22775ca9b52d</t>
  </si>
  <si>
    <t>e83bfed40a294888bdfa6af375ec19e1</t>
  </si>
  <si>
    <t>Julzcaggian</t>
  </si>
  <si>
    <t>2555dac7d0b54700b2f37b7417b24ab5</t>
  </si>
  <si>
    <t>Ny Times Nytime</t>
  </si>
  <si>
    <t>c04a8f10315944ccaa7bfe08aa4d53cc</t>
  </si>
  <si>
    <t>220cf5b26db4420181b3689f957330b2</t>
  </si>
  <si>
    <t>bb0f87673066457db3d65a6bc3cfe4d5</t>
  </si>
  <si>
    <t>9e2a2bce4aca4918b68be77da8e1e659</t>
  </si>
  <si>
    <t>Food Lion</t>
  </si>
  <si>
    <t>c2e542d69edf4012940c8e8f51704501</t>
  </si>
  <si>
    <t>4a157c31e2254e3d986bb0785a11d2e8</t>
  </si>
  <si>
    <t>3856f76024b345d78144e243965cbab8</t>
  </si>
  <si>
    <t>6d97e559889f4220b3c56bff625d8c89</t>
  </si>
  <si>
    <t>a39d08676ed24cbaaef4f40dde001df0</t>
  </si>
  <si>
    <t>72bcaae3e9fe4f94bc25a2c1822ab580</t>
  </si>
  <si>
    <t>Jimmy Johns</t>
  </si>
  <si>
    <t>cb3452136cc1497084bdc497da0d4fcb</t>
  </si>
  <si>
    <t>Bp Conven</t>
  </si>
  <si>
    <t>b87e2617a549485989ffa48e2ffdacd5</t>
  </si>
  <si>
    <t>0077405b74174c25a1e5f2c95b6e61a5</t>
  </si>
  <si>
    <t>Thdgodud</t>
  </si>
  <si>
    <t>285009708ed44e7793bebd325d0ec436</t>
  </si>
  <si>
    <t>97b9880fd8b649359627d98b3f93a3df</t>
  </si>
  <si>
    <t>9005d5da3731484eb8cb9f02405b1087</t>
  </si>
  <si>
    <t>5f7ed634e104473aaaee953bf5b83d0f</t>
  </si>
  <si>
    <t>Tio Pablo</t>
  </si>
  <si>
    <t>e5e881b3c57f4ab385cdaf095a26ea93</t>
  </si>
  <si>
    <t>Qdoba</t>
  </si>
  <si>
    <t>51a88b7459c14312bcba22ce5c751494</t>
  </si>
  <si>
    <t>6ba9221de1914c56b045bec21d707d9d</t>
  </si>
  <si>
    <t>ca8384bf2c904e5c90cc8e411cc8e27d</t>
  </si>
  <si>
    <t>39ef11fe7cc34716994b4813f7b83f93</t>
  </si>
  <si>
    <t>Sub Rosa Bakery Gosq</t>
  </si>
  <si>
    <t>7b5f8a3dd306468e8ebe0576f07d4038</t>
  </si>
  <si>
    <t>Tazza Kitchen</t>
  </si>
  <si>
    <t>fa6016667fe64ad1a6975e00e16d3c40</t>
  </si>
  <si>
    <t>1b1bde0910f94bf9a9e5679b55a9a90e</t>
  </si>
  <si>
    <t>7a6a199efe064ed59cca1912b6dd62f4</t>
  </si>
  <si>
    <t>41a63889871f4d8da5436f4ba64044c5</t>
  </si>
  <si>
    <t>0f021eedc2d94e74a615f18afb50ea8a</t>
  </si>
  <si>
    <t>bd632f2a8e9f40ddbae829332548951d</t>
  </si>
  <si>
    <t>9e562b4d5a054be1855c9d7d260806e6</t>
  </si>
  <si>
    <t>9454a5ef018f47b08c93db03f872a4bc</t>
  </si>
  <si>
    <t>Panda Express</t>
  </si>
  <si>
    <t>326e1986c1854b46be9a083d0181007e</t>
  </si>
  <si>
    <t>540625a93672495da35d3d9c6f56eb5c</t>
  </si>
  <si>
    <t>c79a7a3255d8469eb2ce74aef1258591</t>
  </si>
  <si>
    <t>Dick's Clothing&amp;Sporting</t>
  </si>
  <si>
    <t>36c17c326a214ec9b016fa1a0afb4476</t>
  </si>
  <si>
    <t>1d6e3d66485944d68f8c0c8d2599b975</t>
  </si>
  <si>
    <t>7cb641467c5041978b6d0d0fdba1e60d</t>
  </si>
  <si>
    <t>3526f7f36bbb4f50a7f1aebce6d05e63</t>
  </si>
  <si>
    <t>01de3852203d4fb1967821268dbeb421</t>
  </si>
  <si>
    <t>Shein United Statesil</t>
  </si>
  <si>
    <t>c1ecdf6c476f4848b96cab029a7db145</t>
  </si>
  <si>
    <t>cb2b7489004846b8beb075b87f476b19</t>
  </si>
  <si>
    <t>197453c0b48e4a6caf81b2339ba98a56</t>
  </si>
  <si>
    <t>0e4e5bd24541498b98e8d6c6454a33fd</t>
  </si>
  <si>
    <t>f5f738c6b1a84acd9aadf2c2df2d0104</t>
  </si>
  <si>
    <t>ce5b0065204f442dbc74e644daa9467b</t>
  </si>
  <si>
    <t>Yahoo Fin Prem Va</t>
  </si>
  <si>
    <t>9dfc38146fa94578a951f28d546c74b2</t>
  </si>
  <si>
    <t>aecbda8c10a54575b927a41ec44b442b</t>
  </si>
  <si>
    <t>469392ccaa7d43a48cc71270b2ef6862</t>
  </si>
  <si>
    <t>6b50a4d88a954190bfab581dd6c98f2a</t>
  </si>
  <si>
    <t>2f5ef2274cf2448a98c9dd12f57bafbd</t>
  </si>
  <si>
    <t>Crunchyroll</t>
  </si>
  <si>
    <t>c6da31c6caf04635a69059acf5e0da51</t>
  </si>
  <si>
    <t>745a225ae2d7436d9ef391d9ee717742</t>
  </si>
  <si>
    <t>ab7b31297f8349e3be6b2a1f3eb72a60</t>
  </si>
  <si>
    <t>Bev's Homemade Ice Richmond</t>
  </si>
  <si>
    <t>d94da7bfad1448fa988848dff8eabeb9</t>
  </si>
  <si>
    <t>Kroger</t>
  </si>
  <si>
    <t>ae94a7e9ff41496d9a5198e4071eadad</t>
  </si>
  <si>
    <t>Strangeways Brewin Richmond Va</t>
  </si>
  <si>
    <t>5129dae07fdc4057ab26f12156cc999c</t>
  </si>
  <si>
    <t>c390ec2b95b74f238a062793ee9b0556</t>
  </si>
  <si>
    <t>dbbffa22040f4c6898704bedc04adb4d</t>
  </si>
  <si>
    <t>Reg Shortpump</t>
  </si>
  <si>
    <t>5a6b345f03b446ed94e127d6c039b15d</t>
  </si>
  <si>
    <t>Staples</t>
  </si>
  <si>
    <t>e3d3ef46499f4e9ebb45f3be0363d16f</t>
  </si>
  <si>
    <t>bea9bde6f06b42bb839b516222c07073</t>
  </si>
  <si>
    <t>ab38dca36cb84e2b920cf27d40bbf591</t>
  </si>
  <si>
    <t>07b93b3015914dde8aea5ca88b63a335</t>
  </si>
  <si>
    <t>Dollar Tree</t>
  </si>
  <si>
    <t>1ad694e06a224969be4475e8f2321fd2</t>
  </si>
  <si>
    <t>3fc17f736a95417294a7b706cf4dc8b3</t>
  </si>
  <si>
    <t>6bfe0d410fb147a78676644e511a59e1</t>
  </si>
  <si>
    <t>4460ca6f22d14002be2d8e6a43e06a26</t>
  </si>
  <si>
    <t>ab08f2a23e7d4b939eb8b81e9f775387</t>
  </si>
  <si>
    <t>ff3262410e14478c824b0b23d63e2281</t>
  </si>
  <si>
    <t>Romwe United Statesil</t>
  </si>
  <si>
    <t>e6a4171f22804d39a5b5f1d0d70a6b7d</t>
  </si>
  <si>
    <t>149b5970dac44cbfbb0ef77f821377c1</t>
  </si>
  <si>
    <t>9181fb0c8e054dfd8bd22b437982567a</t>
  </si>
  <si>
    <t>118b099133414e71a33c719cc5e34b87</t>
  </si>
  <si>
    <t>Fandango</t>
  </si>
  <si>
    <t>9c7d96ddcb154285a6f301cb6cb2a64c</t>
  </si>
  <si>
    <t>254a6f65cba44604a5d39a688dbaccde</t>
  </si>
  <si>
    <t>a2506495da1a490e9a155725504cddf1</t>
  </si>
  <si>
    <t>7de95019ab27444ba4d29ca541ceb907</t>
  </si>
  <si>
    <t>Rapidaddresschange De</t>
  </si>
  <si>
    <t>c96141e87b974534975f03e79ae3ea8c</t>
  </si>
  <si>
    <t>157c6a2e43d94db48e36dbee96c4ff7b</t>
  </si>
  <si>
    <t>Bolt N 1 Tm</t>
  </si>
  <si>
    <t>63101d64a37047ad94be016cabc395f3</t>
  </si>
  <si>
    <t>435a711dd7544ad6b8a3a7cc6444a3a5</t>
  </si>
  <si>
    <t>520a61e2d9864658bfe60e7133e827bf</t>
  </si>
  <si>
    <t>9be90065bd734b07b818d2b893c031fb</t>
  </si>
  <si>
    <t>ad08f8b655764bdbbd3140f8b0f53685</t>
  </si>
  <si>
    <t>81ccebdc3eb74af28942da47c2256bad</t>
  </si>
  <si>
    <t>Apple Bill</t>
  </si>
  <si>
    <t>6ab33fb8da4f4aadbb10f90543c0f801</t>
  </si>
  <si>
    <t>3e4b85fed26c4fd3a01964f0d5615a19</t>
  </si>
  <si>
    <t>9d049d99a4454c1dbcf622432a22c7bb</t>
  </si>
  <si>
    <t>cee6f5c2c8de4d258b7d9827d80c2987</t>
  </si>
  <si>
    <t>4216b5b1e6bd4d0097ca3c97190c32a0</t>
  </si>
  <si>
    <t>fac0485c252c41c5ab8236d8b8ecc377</t>
  </si>
  <si>
    <t>1b8cfce9c22d4eb5929ef86d2b8ba7ae</t>
  </si>
  <si>
    <t>69b4a2a8361c407c9224487b6e8eb870</t>
  </si>
  <si>
    <t>6a5f7b2aa113435f85cac52e116a2ac1</t>
  </si>
  <si>
    <t>The Actuarial Bookstore</t>
  </si>
  <si>
    <t>e48e1433713d41d99ee55836b2d11be3</t>
  </si>
  <si>
    <t>54b8e245d03449a3baade4572f435c46</t>
  </si>
  <si>
    <t>a4ee397398564baea6f778c4cd9f22e2</t>
  </si>
  <si>
    <t>1d338c0f6b804f66b8adf4e9aab7e7ba</t>
  </si>
  <si>
    <t>Officemax</t>
  </si>
  <si>
    <t>534e97f2d5ad4a04ad5a100b698815ef</t>
  </si>
  <si>
    <t>f37a891a2c5f4599974d841b5f991c64</t>
  </si>
  <si>
    <t>Vcn D C Vital</t>
  </si>
  <si>
    <t>953a4bf4eb3f4e2cb15600539cc193e3</t>
  </si>
  <si>
    <t>bb5b0cf2cc564428a00dc6e2180d5451</t>
  </si>
  <si>
    <t>7cecbbe620654f7c9a969300739b5c29</t>
  </si>
  <si>
    <t>d0cd77f0cfce41cdb893e0824f5a72c5</t>
  </si>
  <si>
    <t>f4ef2654e4b64e47974ca2d3472bd6d5</t>
  </si>
  <si>
    <t>e382fc936ebb45d3ab94c99eef12c0f6</t>
  </si>
  <si>
    <t>c0b82430d3fc4fe5be71904159decfd8</t>
  </si>
  <si>
    <t>ade7e4f984e54ede987d7300b7603726</t>
  </si>
  <si>
    <t>Stafford Place O</t>
  </si>
  <si>
    <t>d7e54ddd04214c8898e889bded285726</t>
  </si>
  <si>
    <t>5d3c9eabc19f4ea89d0af5e0462cea91</t>
  </si>
  <si>
    <t>5666b8d73a96429d9d707fde73d7e272</t>
  </si>
  <si>
    <t>614195a09f1d49be81edce576edabe3a</t>
  </si>
  <si>
    <t>fbea9d39e7ee42bd8df501aaf7dc7adc</t>
  </si>
  <si>
    <t>Citgo</t>
  </si>
  <si>
    <t>0bd98d0a791b4780ac6cc759b0ca826c</t>
  </si>
  <si>
    <t>0470dbef563943f7a25b9d1f1e2156e9</t>
  </si>
  <si>
    <t>a4e356ca89c2484a9b9342088f8fc317</t>
  </si>
  <si>
    <t>Old Bridge Fastfuel</t>
  </si>
  <si>
    <t>16476b869f1e4e8ba5a136fa161499df</t>
  </si>
  <si>
    <t>2c22d0af00304b72b886b9532e175dfe</t>
  </si>
  <si>
    <t>ae24425ce7da4b0d84c20c2a73682da8</t>
  </si>
  <si>
    <t>80e52b4069434116b52a3b57b5cf64c3</t>
  </si>
  <si>
    <t>8ff800197a9e4978a9956179f05ee4d4</t>
  </si>
  <si>
    <t>We The Pizza</t>
  </si>
  <si>
    <t>f8312bd4d5614b40aec99911b79aeedd</t>
  </si>
  <si>
    <t>38b988c715674e14b662d648861f11e7</t>
  </si>
  <si>
    <t>96c0fc4119124a82874c1821e832996e</t>
  </si>
  <si>
    <t>6af5e6081fd540ab90c508f05cb6f754</t>
  </si>
  <si>
    <t>b48cb9f044204d1ea3e4b8a2d37e2188</t>
  </si>
  <si>
    <t>f089ec32c8a34aa19e6d22c934ab8239</t>
  </si>
  <si>
    <t>Cam?S Kettle Coffe Arlington</t>
  </si>
  <si>
    <t>7f288c20597d4e07af8b8f50fe2b7a8d</t>
  </si>
  <si>
    <t>Cava Grill Ballston</t>
  </si>
  <si>
    <t>44d2dcf510f74d899644d05785840672</t>
  </si>
  <si>
    <t>Market Place 14</t>
  </si>
  <si>
    <t>3763003e8ccd4f8f996b5ca08cadbd2b</t>
  </si>
  <si>
    <t>5063b99ad9994540aa0c206b169f7470</t>
  </si>
  <si>
    <t>e9badc8aef954daabc17b938ca0bde70</t>
  </si>
  <si>
    <t>2af90cf44ee8494b8281c70d78cd3540</t>
  </si>
  <si>
    <t>Cool Lane Express</t>
  </si>
  <si>
    <t>414eef1e2e31471ea38bb403de735b53</t>
  </si>
  <si>
    <t>f8759607181f41b5be229fe32b086b33</t>
  </si>
  <si>
    <t>bca1c1bccdfa4bf0a51c22b556d38ebc</t>
  </si>
  <si>
    <t>Returned Internet Pmt</t>
  </si>
  <si>
    <t>c92141f7ef214b00be20e84c4aff7360</t>
  </si>
  <si>
    <t>6f983d9bab7d4a88ac1d04239229f6f1</t>
  </si>
  <si>
    <t>9f6a3473d83946a1acae109f94b26ea1</t>
  </si>
  <si>
    <t>539f1ea46ba44a65865e4016db927162</t>
  </si>
  <si>
    <t>Represented Internet Payment</t>
  </si>
  <si>
    <t>970b82c0553247ec90c231c7137f4c49</t>
  </si>
  <si>
    <t>Returned Check Charge</t>
  </si>
  <si>
    <t>83dbb35913bb41858085b3e8190f260e</t>
  </si>
  <si>
    <t>1574d40cb8064577919834e276a457d9</t>
  </si>
  <si>
    <t>7 Eleven</t>
  </si>
  <si>
    <t>97a44a6c895d43378daaa01a43464641</t>
  </si>
  <si>
    <t>Cook Out</t>
  </si>
  <si>
    <t>b16efe9f4952440480aaa1cf86c27d5d</t>
  </si>
  <si>
    <t>5737a2826d4d4e8d99cd9aa09bf041f2</t>
  </si>
  <si>
    <t>Hardee's</t>
  </si>
  <si>
    <t>5e784ed2704e4663b531c710cb01d49a</t>
  </si>
  <si>
    <t>0fde95aae26b463899f01dffec6ee66a</t>
  </si>
  <si>
    <t>e5412312efae4a49ad515f2ea6323222</t>
  </si>
  <si>
    <t>Amazon R</t>
  </si>
  <si>
    <t>4bce15d6c56e4ec58f9c2aceee3ed26b</t>
  </si>
  <si>
    <t>4d13b1b26b70463a91135dd701686db8</t>
  </si>
  <si>
    <t>98233fa756e0456a999f18d3610a5e3b</t>
  </si>
  <si>
    <t>Usps Change Of Address</t>
  </si>
  <si>
    <t>4bcdaad2a6c1473eb747380f9dd6fb94</t>
  </si>
  <si>
    <t>Barnes &amp; Noble</t>
  </si>
  <si>
    <t>4fa274b24a4049a7a2ab8341e2ea6d9d</t>
  </si>
  <si>
    <t>51e17dd069654482a00a0096a2913fb4</t>
  </si>
  <si>
    <t>2aad5b8ba2fd4a449848d2514739994f</t>
  </si>
  <si>
    <t>Marathon P Fredericksburva</t>
  </si>
  <si>
    <t>dc0ce7a784464362b19e2ceded3dc2a6</t>
  </si>
  <si>
    <t>ac15bb8bf95044cf92d2357acfeb0a95</t>
  </si>
  <si>
    <t>6e4524843950465f8388b3f7639c9951</t>
  </si>
  <si>
    <t>34df3161b1474377bc33f533c679d8d9</t>
  </si>
  <si>
    <t>0e5365a020be40959566b360ef8dfdc4</t>
  </si>
  <si>
    <t>Woot Inc Woot Tx</t>
  </si>
  <si>
    <t>12040f4cd2e7477ca40deb3a70e44ceb</t>
  </si>
  <si>
    <t>07c5b7b2a5cc4b0c81f89bc0a6947547</t>
  </si>
  <si>
    <t>77c14551ad2845729c2b394b8e93ebfa</t>
  </si>
  <si>
    <t>0ab2c457db8f431d94cfeecec2b3f7a3</t>
  </si>
  <si>
    <t>Americas Best Wings</t>
  </si>
  <si>
    <t>1670b26e5790434185c8e3b1ce9eb827</t>
  </si>
  <si>
    <t>4e5d31ab5e1b413181d4cc72a4b4b8cc</t>
  </si>
  <si>
    <t>a7967eb1e4914c1a927255cb49878996</t>
  </si>
  <si>
    <t>f49c287845c9435c94724db77d789215</t>
  </si>
  <si>
    <t>Pupatella Wilson B Gosq</t>
  </si>
  <si>
    <t>c9b43b8b7a264f03aa2f388663eaa982</t>
  </si>
  <si>
    <t>f3a3ae24fe554fd8b7311b9e2997199d</t>
  </si>
  <si>
    <t>ae9f16e57a354227833a922d4d610d11</t>
  </si>
  <si>
    <t>River Run Dental</t>
  </si>
  <si>
    <t>579fc944d89840c29b457ad7d923c4a1</t>
  </si>
  <si>
    <t>789db36de6b94751a0ad70221226e3c0</t>
  </si>
  <si>
    <t>2df1dcccd4f5445c824e680eec4e4b87</t>
  </si>
  <si>
    <t>d4ee91bacf9944249cf4b89358c7082b</t>
  </si>
  <si>
    <t>3e765ea32f3948b0951e25f4cabefda6</t>
  </si>
  <si>
    <t>a2a34044f40c4b5e8212daa175ef020f</t>
  </si>
  <si>
    <t>5ee0d2c1ff5f475bbc384eaabf26dcb6</t>
  </si>
  <si>
    <t>0a981859d24f41d98a6ec106359556cb</t>
  </si>
  <si>
    <t>3eea9127edbd4f35a81487ba31ff8db0</t>
  </si>
  <si>
    <t>ddf7c26d483e4456b1f3325fa4b3ba89</t>
  </si>
  <si>
    <t>3ab2f32b4bb44ec7bd5576a62f211ca6</t>
  </si>
  <si>
    <t>a65966ea88ee47b48c41857d4a9b2817</t>
  </si>
  <si>
    <t>97122444fd784593941b2d28ee2e587f</t>
  </si>
  <si>
    <t>fc488de043ff4422bc80f85dd28c2c1b</t>
  </si>
  <si>
    <t>87ff07de00444a588d3930a637cb6db9</t>
  </si>
  <si>
    <t>6db524d3abf9491db53c716ab7c60772</t>
  </si>
  <si>
    <t>698bce36b083473a98820c2dc3071e02</t>
  </si>
  <si>
    <t>A Couple Cents</t>
  </si>
  <si>
    <t>8854451303c7400185f80190de54a955</t>
  </si>
  <si>
    <t>Lim Ride Cost</t>
  </si>
  <si>
    <t>26d0809609904e43ba6c2375ecb3f956</t>
  </si>
  <si>
    <t>853b6fd05e524be7aa38285b38424e0f</t>
  </si>
  <si>
    <t>7e0bb09d3d454e1c96cf265942db8410</t>
  </si>
  <si>
    <t>3b266ad0f1724332ac213b59aac7f990</t>
  </si>
  <si>
    <t>07fa51a10d2a4b45a5f288d95acf76e7</t>
  </si>
  <si>
    <t>82d0e4618e1443049d4dd5979bfaaaf3</t>
  </si>
  <si>
    <t>c3ac1c054bac47ad8a51f1785094dd20</t>
  </si>
  <si>
    <t>a7fdd9c4b56a4dd88a9c0b386315cb91</t>
  </si>
  <si>
    <t>ba8d4efa26c34fffbb480176516c0c5e</t>
  </si>
  <si>
    <t>b5b78b6bb7054b3184855206b95a9714</t>
  </si>
  <si>
    <t>Fas Mart 74</t>
  </si>
  <si>
    <t>6bd7482b8da44ac983b025e1056e7255</t>
  </si>
  <si>
    <t>Lidl Richmond Va</t>
  </si>
  <si>
    <t>22a1667e42ef41aaa72c7cf7734fa3ad</t>
  </si>
  <si>
    <t>6f5fb2e104d54c2090ccf291968b2b37</t>
  </si>
  <si>
    <t>a922dc62c548481fa9b75d6817ee5d6d</t>
  </si>
  <si>
    <t>1acf109514fb48e39e487bc368995776</t>
  </si>
  <si>
    <t>aae4bb20e89e4d02b067367a36809d3e</t>
  </si>
  <si>
    <t>Crunchyroll Auth Ca $</t>
  </si>
  <si>
    <t>5fbcca94712d45e1b301a620ab0aeaf2</t>
  </si>
  <si>
    <t>0db89cce9fcb4ba3aa759929ed3f6783</t>
  </si>
  <si>
    <t>Crunchyroll Auth Ca A</t>
  </si>
  <si>
    <t>0e9fda84023342d6b46941c31e6611fb</t>
  </si>
  <si>
    <t>290bd7ddf9b44693b81b65b1d4c6b2e5</t>
  </si>
  <si>
    <t>b7d49d183859463bb15ae5f11c9ccd9d</t>
  </si>
  <si>
    <t>4f876b47401b464ea33dc71047315183</t>
  </si>
  <si>
    <t>ebbab1c414ed42f29a1a7f53ca763366</t>
  </si>
  <si>
    <t>Amazon B</t>
  </si>
  <si>
    <t>495d7968fad2470ab01e514b8205d66a</t>
  </si>
  <si>
    <t>Remitonlinecom Rchmnd Pr Co</t>
  </si>
  <si>
    <t>f121fbfda37e4e01812a5b12c3b84b0f</t>
  </si>
  <si>
    <t>The Kabul</t>
  </si>
  <si>
    <t>5334898fe60e4b18bd7c1c8a63f3f996</t>
  </si>
  <si>
    <t>f38887d289c14fc18f22db6f6d3df321</t>
  </si>
  <si>
    <t>Crystal Car Wash</t>
  </si>
  <si>
    <t>9d699e647c0e432298d5946d579c32a3</t>
  </si>
  <si>
    <t>Harbor Park Garage Llc</t>
  </si>
  <si>
    <t>f03bd22f653b446fae950ad291277300</t>
  </si>
  <si>
    <t>6a0be3221b6a48329075abd2b5a4da7c</t>
  </si>
  <si>
    <t>62af708aa9b040b4bfccd5f90db95686</t>
  </si>
  <si>
    <t>0ba71c15d99548b690a803e765ea5c4b</t>
  </si>
  <si>
    <t>8f3d92aea6974252b89a3e3b67a33992</t>
  </si>
  <si>
    <t>5c07fcfef7df438e9d762aa28d5dbea1</t>
  </si>
  <si>
    <t>4b58de17fcf348ae92639cdeab4b347c</t>
  </si>
  <si>
    <t>8c169c1dc36e4271ac78803eca6c3f19</t>
  </si>
  <si>
    <t>460585fe5b574b949528ebf2542bf064</t>
  </si>
  <si>
    <t>Uber Eats</t>
  </si>
  <si>
    <t>a1c807c71fe14469be515153bbe63fc2</t>
  </si>
  <si>
    <t>af2dc43729684b5599b865c7fb982101</t>
  </si>
  <si>
    <t>Marathon P</t>
  </si>
  <si>
    <t>9e6cd0129b9f4ae2bab424ad99385c7b</t>
  </si>
  <si>
    <t>d66fb6db858949528c170db0c6e94304</t>
  </si>
  <si>
    <t>92b6190b394f4ce0ae0ca8fe10e4cc64</t>
  </si>
  <si>
    <t>ae06f9af74bb403aa08ef4ad8c9d85b7</t>
  </si>
  <si>
    <t>a37abf7d9f5a455b864b6c230eb4cf28</t>
  </si>
  <si>
    <t>e72e56c443f546d1a9c4ab99746f5780</t>
  </si>
  <si>
    <t>Chicanos Cocina Bar &amp;</t>
  </si>
  <si>
    <t>fdb8ad5c3e664b9780743a8f2ea368b9</t>
  </si>
  <si>
    <t>a634f318af6247a2ae1985ef789e5d4d</t>
  </si>
  <si>
    <t>Sine Irish Pub</t>
  </si>
  <si>
    <t>3521e90364704f26ae37c9638836be0a</t>
  </si>
  <si>
    <t>94abf17295eb48668dfa7c54f645740d</t>
  </si>
  <si>
    <t>bffbefa0095647938db207afe84405de</t>
  </si>
  <si>
    <t>Tu Transunion Ca</t>
  </si>
  <si>
    <t>a0518231020b4245b0922b378eba4b18</t>
  </si>
  <si>
    <t>33729f3c014649399be2de2834bb0fa6</t>
  </si>
  <si>
    <t>8a46b49626164093afe62ffe992a6e15</t>
  </si>
  <si>
    <t>b41c3b8294094e67883e6095e8953804</t>
  </si>
  <si>
    <t>00b7941751f54e289df1f552d43dc424</t>
  </si>
  <si>
    <t>4ac0ff48f52d4d87961cb9dcd9bdad93</t>
  </si>
  <si>
    <t>97af339c908140c5a756e1a9fc5dddca</t>
  </si>
  <si>
    <t>c3a52f2edf194744b96d62faa69d1604</t>
  </si>
  <si>
    <t>7395935bf39a412dac0ccb001fcb679b</t>
  </si>
  <si>
    <t>42f4d0cd422048d7902991fb444dd4e2</t>
  </si>
  <si>
    <t>Rich Rental</t>
  </si>
  <si>
    <t>bab5a3f03fa24cd197c0228f78137820</t>
  </si>
  <si>
    <t>d8898b0bbdd9484496f354e13ef02d3f</t>
  </si>
  <si>
    <t>Bp Bp</t>
  </si>
  <si>
    <t>fe186882cacf4d6e88ed0f8b44aa8708</t>
  </si>
  <si>
    <t>89aaa7717de2471694fb4ad110d16604</t>
  </si>
  <si>
    <t>35c9a6460227411fb6e624b8fbc49469</t>
  </si>
  <si>
    <t>16c8d88775e34511b1e1ba356327fa3c</t>
  </si>
  <si>
    <t>eb598ab319f6434da9e5104fc16a1daf</t>
  </si>
  <si>
    <t>6832e15fdc69402b90783abf04430ae9</t>
  </si>
  <si>
    <t>b9cf7a64cd49465cb10c48c01031ce87</t>
  </si>
  <si>
    <t>Lost Tribe Skin C</t>
  </si>
  <si>
    <t>0ba4769483ba494d9ed6aa740a955dc4</t>
  </si>
  <si>
    <t>db2e049d3901448297b5194e9f04b39e</t>
  </si>
  <si>
    <t>de56d6b6a7b44bd4a60d1ac7de4c9458</t>
  </si>
  <si>
    <t>c4e0d5d4cbad469db2397e3925482eeb</t>
  </si>
  <si>
    <t>dbe332ec3968425c988ceffb43205607</t>
  </si>
  <si>
    <t>bb0bca5aaf244b5db04d8f5ff082f70a</t>
  </si>
  <si>
    <t>Crazy Thai Fusion Restau</t>
  </si>
  <si>
    <t>2f6d78538a5e47d798a3e4fe4129229d</t>
  </si>
  <si>
    <t>cb33c11159fd4b0a8cf56b9f0deb04af</t>
  </si>
  <si>
    <t>612f7c0b01fd446089aad0eec5984ac4</t>
  </si>
  <si>
    <t>bcd5dd1e7d43487182c2650b963e1b2b</t>
  </si>
  <si>
    <t>98f24c165d9040f2adb91fb6d36dd222</t>
  </si>
  <si>
    <t>Tmobile Postpaid Pda Wa</t>
  </si>
  <si>
    <t>ee04c7734bd0409e84ffa502863ab654</t>
  </si>
  <si>
    <t>625f2577842841b2a396c1822425ae52</t>
  </si>
  <si>
    <t>0ca10c5946b44956842ad8078c6950f5</t>
  </si>
  <si>
    <t>Credit Balance Refund</t>
  </si>
  <si>
    <t>ddfffee247134934aa731cd2e980489c</t>
  </si>
  <si>
    <t>91e9f91a083c43d8b245380f2d6405c3</t>
  </si>
  <si>
    <t>3f945ff37b264c239a9fce6b62b38672</t>
  </si>
  <si>
    <t>50e84d457cb24a6685861cf242084544</t>
  </si>
  <si>
    <t>e9cdf33b7a414541afbee7c232c368f8</t>
  </si>
  <si>
    <t>Safeway</t>
  </si>
  <si>
    <t>409ed00ba2c3458f96f7b5ff1070bb2c</t>
  </si>
  <si>
    <t>LuckyRedwood Cityca</t>
  </si>
  <si>
    <t>80826c07f06b49d885392773fc2dc073</t>
  </si>
  <si>
    <t>333373743092466bbf905e3a0b306f96</t>
  </si>
  <si>
    <t>8e27eeacb7b74ad7b1f694399ae72d3d</t>
  </si>
  <si>
    <t>e7e302515fc04c8e8b445c5de8fdeba4</t>
  </si>
  <si>
    <t>La Baguette</t>
  </si>
  <si>
    <t>151bec6982f9497a8ed707636dff1063</t>
  </si>
  <si>
    <t>Urban Outfitters</t>
  </si>
  <si>
    <t>99e988b67ef74b55b73c623f5a3d1c1c</t>
  </si>
  <si>
    <t>fdcc9b42dd474ba0a02356b39abb24f0</t>
  </si>
  <si>
    <t>fc770bee2a9a40c6abe0742d4098fe1e</t>
  </si>
  <si>
    <t>fdbdf2d39b014de296b5a8dd9ccb67de</t>
  </si>
  <si>
    <t>ba00808b7d1d4646a126925c360670bf</t>
  </si>
  <si>
    <t>cee9548dcde7471284e5a8429b81f8db</t>
  </si>
  <si>
    <t>Shake Shack</t>
  </si>
  <si>
    <t>d22a0a49344f48019bbeeb3ecaa67b99</t>
  </si>
  <si>
    <t>d1db2fc27d5d49309d4433466f66186d</t>
  </si>
  <si>
    <t>b19c3151547040199679d66a7ff572dd</t>
  </si>
  <si>
    <t>Bp Pit St</t>
  </si>
  <si>
    <t>3024df567a2d4df7ab2aa1ce71a60484</t>
  </si>
  <si>
    <t>f5e29a76d5ea472a98b466362b8a66e7</t>
  </si>
  <si>
    <t>Wob Richmond Tampa Fl</t>
  </si>
  <si>
    <t>70047cb5f3864ef5b7d5e6d9e6da3767</t>
  </si>
  <si>
    <t>Aldi</t>
  </si>
  <si>
    <t>a7eb5ea7688147d2a81119829d598883</t>
  </si>
  <si>
    <t>Carytown Burgers &amp;</t>
  </si>
  <si>
    <t>f6e5f3baea0f4b0a941ff3df5a90b270</t>
  </si>
  <si>
    <t>Brunch</t>
  </si>
  <si>
    <t>d2c09aba086e413ea3582c3ff126a32a</t>
  </si>
  <si>
    <t>Sauce &amp; Toss 2</t>
  </si>
  <si>
    <t>0937308a6a4b413ba89917f1918a17b5</t>
  </si>
  <si>
    <t>Aromas Coffeehouse Nn</t>
  </si>
  <si>
    <t>2599f242c17a411c833056ed8f06edf6</t>
  </si>
  <si>
    <t>d67e504ce3114744a95d96f82f1f9167</t>
  </si>
  <si>
    <t>Gabriel Bros</t>
  </si>
  <si>
    <t>067e4ea7c83e4c45bc4177c794161e77</t>
  </si>
  <si>
    <t>b4f878519ca24af2902919e3e2b8eba9</t>
  </si>
  <si>
    <t>f2efc9f4521940d0bbda8188620c740a</t>
  </si>
  <si>
    <t>313db2d995f344378dea801073849c5e</t>
  </si>
  <si>
    <t>1490147d4d524c61b86a7f7b2b861457</t>
  </si>
  <si>
    <t>ab7fd57cf7d24bd79fa6dd7621382efa</t>
  </si>
  <si>
    <t>Allianz Travel Ins</t>
  </si>
  <si>
    <t>6fa4fff0ce7b4a2e8008a49705af68f2</t>
  </si>
  <si>
    <t>Jetblue</t>
  </si>
  <si>
    <t>2a5db50bae794b86872aa954525a237e</t>
  </si>
  <si>
    <t>dd79ca3ec41c4e829ad05d54e67a5b73</t>
  </si>
  <si>
    <t>177674bfdfb14097be6d8774408c30be</t>
  </si>
  <si>
    <t>Interest Charge On Cash</t>
  </si>
  <si>
    <t>148d5c409289410d8a9f4df7d7d812a2</t>
  </si>
  <si>
    <t>Boychik S Deli</t>
  </si>
  <si>
    <t>cc73f47ec9124b5b93ef92d0c51311e5</t>
  </si>
  <si>
    <t>Cmsvend Cv Richmond N</t>
  </si>
  <si>
    <t>d99bd1cec06846f6b1d8b90375be02ad</t>
  </si>
  <si>
    <t>afd886e1faae4f07b119cca65975c87d</t>
  </si>
  <si>
    <t>05fd44a110ea403cbfed8d396aeff2fe</t>
  </si>
  <si>
    <t>01b876d5820446aabfb44dca99b9a03b</t>
  </si>
  <si>
    <t>Dc Gov'T Payment Dc</t>
  </si>
  <si>
    <t>6cac614ddf624836b03aed0e32d97cd0</t>
  </si>
  <si>
    <t>3482a9c4fd284ad7af9e06be258595a2</t>
  </si>
  <si>
    <t>2bbc7be348bf44a4934f42d9d9e02714</t>
  </si>
  <si>
    <t>Cash Advance Fee</t>
  </si>
  <si>
    <t>8c096f65bb994441b2d0e1e4bed00bb1</t>
  </si>
  <si>
    <t>Cardtronics</t>
  </si>
  <si>
    <t>bb9b2e7ff7874f01ab2a8a1e42218359</t>
  </si>
  <si>
    <t>Dodson Pest</t>
  </si>
  <si>
    <t>c341f23a2df144efbb7c89e7a6c82f3d</t>
  </si>
  <si>
    <t>20cbf895edd6428db2853a3e3fb9831a</t>
  </si>
  <si>
    <t>6c3c4b73cf40499d8d04c46378b26cb6</t>
  </si>
  <si>
    <t>3d22538db35c403eb7667394a2dd6d82</t>
  </si>
  <si>
    <t>04145af436fd4b44b75c1d5d0545566a</t>
  </si>
  <si>
    <t>Jiffy Lube</t>
  </si>
  <si>
    <t>f8baa0639728471da81da1b50811dc47</t>
  </si>
  <si>
    <t>ca1f8f83640a41a7aebd88b92db0e8f4</t>
  </si>
  <si>
    <t>dcbf117aa8f44f6bb3e44279c24c96e7</t>
  </si>
  <si>
    <t>cb9686f8ba64435e8b1d8b4975a7a6b3</t>
  </si>
  <si>
    <t>Amk Capital One Arena</t>
  </si>
  <si>
    <t>abdd1d1f2a5e4627adf77c3bf8218278</t>
  </si>
  <si>
    <t>Dunkin' Donuts</t>
  </si>
  <si>
    <t>8e659d571c41428490f3a16dd626e563</t>
  </si>
  <si>
    <t>12cee94c8ee64cbab32ff948a34628be</t>
  </si>
  <si>
    <t>538f076d1caf40179f26029f017bb4ae</t>
  </si>
  <si>
    <t>cbe8d9312e44465dbc602da57b1950d9</t>
  </si>
  <si>
    <t>Eb Escape To The</t>
  </si>
  <si>
    <t>aa68e30a3f514ac2ac9ce2f0e0676e26</t>
  </si>
  <si>
    <t>3da920cf653b4a4c88d899771886d2f1</t>
  </si>
  <si>
    <t>1b054f06686547aeba7b27f3bf442977</t>
  </si>
  <si>
    <t>Usaa</t>
  </si>
  <si>
    <t>55e69a0eb32c4bc69b3b3471bb7bca86</t>
  </si>
  <si>
    <t>13b11fcafe5e45ad9964be44b7c8bbf8</t>
  </si>
  <si>
    <t>d976ca6a650540a7934b18ac7a776946</t>
  </si>
  <si>
    <t>5e06babfb2d3472b9c115918c73a9ad6</t>
  </si>
  <si>
    <t>Fas Mart 12</t>
  </si>
  <si>
    <t>9da1221db83b4172b81554f946e6d9f4</t>
  </si>
  <si>
    <t>Interest Charge On Purchases</t>
  </si>
  <si>
    <t>6e835e98a7f74da28433bc25d8343f3b</t>
  </si>
  <si>
    <t>41b103db7ca244f3adda2b00fb80cf45</t>
  </si>
  <si>
    <t>358cd6c04c5c49898ffe8b1fda6b024c</t>
  </si>
  <si>
    <t>7d08d07857e94cdc9f68898b4a36b3f3</t>
  </si>
  <si>
    <t>Noodles &amp; Company</t>
  </si>
  <si>
    <t>7af5c4bcb9b741c8bb79af36b63ea472</t>
  </si>
  <si>
    <t>0cb0361635da45c780c78a8c774e397e</t>
  </si>
  <si>
    <t>Mexico Restaurant Innsbr</t>
  </si>
  <si>
    <t>63648686230046038b689724046c30a6</t>
  </si>
  <si>
    <t>87f41ca2bf79448aa99c002081d3f4a8</t>
  </si>
  <si>
    <t>Tfi Ticketfly Events Ca</t>
  </si>
  <si>
    <t>76c80c3aec90481da01a73c811b3422b</t>
  </si>
  <si>
    <t>Bp Forest Bp District</t>
  </si>
  <si>
    <t>d64d9b6af6b8411ba397ca41fffe8862</t>
  </si>
  <si>
    <t>Union Stage</t>
  </si>
  <si>
    <t>f02df804e4c8417f9ca99f83f477c055</t>
  </si>
  <si>
    <t>5e5fb370471340858019db0ee777e79a</t>
  </si>
  <si>
    <t>30c6199be1934f85baab9277e4c600f3</t>
  </si>
  <si>
    <t>Blaze Pizza</t>
  </si>
  <si>
    <t>035a1f3f730349b49d2f75aa366181c6</t>
  </si>
  <si>
    <t>Usa Canteen Richmond Va</t>
  </si>
  <si>
    <t>fd6fc5dbe5a24c6b8ada529c0da8223f</t>
  </si>
  <si>
    <t>3a34b2c708384e38a49f0b092ed8d017</t>
  </si>
  <si>
    <t>10fa8a73f10a4bef8ab5a2f61c1d8aa9</t>
  </si>
  <si>
    <t>56a0b7d88c6b428bbe351079152f1424</t>
  </si>
  <si>
    <t>836c560ed3764982bf089e5890d72e92</t>
  </si>
  <si>
    <t>22409e1662f846d7930f9e2ac9800544</t>
  </si>
  <si>
    <t>Capital Beltway Expres Va</t>
  </si>
  <si>
    <t>b493765eb97640959656cafb70062a01</t>
  </si>
  <si>
    <t>E Zpass Md Mpc</t>
  </si>
  <si>
    <t>eb4e96d79b3b44fe8132f380713feb7e</t>
  </si>
  <si>
    <t>01113de3648b4941b64e73a58404e03e</t>
  </si>
  <si>
    <t>d5843711cdd543e39a6da359a81cf152</t>
  </si>
  <si>
    <t>0cfb677a852c461fabd94a5a6e14a8ba</t>
  </si>
  <si>
    <t>Directpay Minimum Payment See</t>
  </si>
  <si>
    <t>f049664d533240fc87809f49d0845fb7</t>
  </si>
  <si>
    <t>6d251fc4e6bc4b8fbd7f23600ba6e60e</t>
  </si>
  <si>
    <t>3907a085c8ee47ad8437349bb4790968</t>
  </si>
  <si>
    <t>b9fc3a37f83142f894c90ae5f9b1e817</t>
  </si>
  <si>
    <t>Ess A Bagel</t>
  </si>
  <si>
    <t>73da93775aee4034af7e1b1d843fd0b8</t>
  </si>
  <si>
    <t>The Infinite Actuary Llc</t>
  </si>
  <si>
    <t>8738ee3a35a2456684a40471f62aea13</t>
  </si>
  <si>
    <t>249ac67d28544e51a48c30e7277ec332</t>
  </si>
  <si>
    <t>7ec5353875554647b5b69d14a7b0d320</t>
  </si>
  <si>
    <t>8218ec6350834887a7d950691f9c5b2c</t>
  </si>
  <si>
    <t>Arbys</t>
  </si>
  <si>
    <t>c5462482d7ac40219301e3a88fa822c8</t>
  </si>
  <si>
    <t>FloydsBarbershop Gambrills Md</t>
  </si>
  <si>
    <t>0a23a512e3e34fd098a8b00842352244</t>
  </si>
  <si>
    <t>2eeecd668aa94790bf32c057110e48d9</t>
  </si>
  <si>
    <t>Asian Wok Cafe</t>
  </si>
  <si>
    <t>89cdd150452a44aa96ebeb6f9a174feb</t>
  </si>
  <si>
    <t>Five Below</t>
  </si>
  <si>
    <t>721ba34096284cf3b5ad9d4c7f51a532</t>
  </si>
  <si>
    <t>Parking Panda Il Apple</t>
  </si>
  <si>
    <t>f881276c123a4265ab7257444e67416a</t>
  </si>
  <si>
    <t>Target District Heigmd</t>
  </si>
  <si>
    <t>2afaf68a853b4c999d718a090d604d10</t>
  </si>
  <si>
    <t>Phone Payment</t>
  </si>
  <si>
    <t>1d90fd904a404f9e88a803d9b1a62811</t>
  </si>
  <si>
    <t>db5bacb890a8492ba84fbcded6ccb468</t>
  </si>
  <si>
    <t>Late Fee</t>
  </si>
  <si>
    <t>bb1122e9b82e4528abe058eb9879f555</t>
  </si>
  <si>
    <t>Conditional Courtesy Credit</t>
  </si>
  <si>
    <t>3b7ff150373047dc9b231eb981e5273b</t>
  </si>
  <si>
    <t>Interest Charge Refund</t>
  </si>
  <si>
    <t>bc74ea6e66a6471697c6a71f2e1c3fc9</t>
  </si>
  <si>
    <t>c9848eed09344023b147f28480bbe565</t>
  </si>
  <si>
    <t>399c6a6d2d234a70abe154bb2c4255c1</t>
  </si>
  <si>
    <t>1644c8e9641a4d548d01c6684a99766b</t>
  </si>
  <si>
    <t>73065dd04e6f46078e75fb905007c260</t>
  </si>
  <si>
    <t>d38a9779440444f69de03efb5a35e509</t>
  </si>
  <si>
    <t>65646575f6474bee9d45ba04ba18add9</t>
  </si>
  <si>
    <t>883e1e3c62784bec9221af1a4093077e</t>
  </si>
  <si>
    <t>Speedway 117</t>
  </si>
  <si>
    <t>846618665e1c4f03a6dcf74957121843</t>
  </si>
  <si>
    <t>Chsport&amp;Health Results</t>
  </si>
  <si>
    <t>7bddccc0037d44af83bc2a05af6d898c</t>
  </si>
  <si>
    <t>Bp Mart 127</t>
  </si>
  <si>
    <t>96a6cc76711b4c35b49ac903e1cdd298</t>
  </si>
  <si>
    <t>Subway</t>
  </si>
  <si>
    <t>c445ac6cbfa349aba8d2f48a3f2f2865</t>
  </si>
  <si>
    <t>a34e30d5e05846c9a0a4ad4eeecdb3e9</t>
  </si>
  <si>
    <t>Sport&amp; Health</t>
  </si>
  <si>
    <t>f33d8fed67ee4f44908f1f5b3bbfea0b</t>
  </si>
  <si>
    <t>Sonic</t>
  </si>
  <si>
    <t>4e5144ea2f974f768c3dd889b3e94d38</t>
  </si>
  <si>
    <t>58072ec0351045b98b9077fa4120c83c</t>
  </si>
  <si>
    <t>Pizzeria Orso</t>
  </si>
  <si>
    <t>7c3b25faaac7421789cc5d84faf9a30a</t>
  </si>
  <si>
    <t>eb6ee03855c64308a8e2875ba047b711</t>
  </si>
  <si>
    <t>Corners Liberty</t>
  </si>
  <si>
    <t>57f4036584a94c2299c52c8e94cac8e1</t>
  </si>
  <si>
    <t>6b70925ef0644db4b42d7d17dd5be89b</t>
  </si>
  <si>
    <t>5905be71d3684fa494461e84c7eea5bd</t>
  </si>
  <si>
    <t>Everyday Flowers A Redwood</t>
  </si>
  <si>
    <t>11f9fc5c62464b309f58e4a2988631dc</t>
  </si>
  <si>
    <t>Rams Head Live Bar</t>
  </si>
  <si>
    <t>afc569da4c4e4b6ebee02ce08f3a4561</t>
  </si>
  <si>
    <t>09877e3650d44656a8444cc1f289bc7a</t>
  </si>
  <si>
    <t>d2714a12db0b4499bc4aa0d8f0d0ca40</t>
  </si>
  <si>
    <t>Famous Anthony S</t>
  </si>
  <si>
    <t>50496e449f7044f096171062e50ad9a0</t>
  </si>
  <si>
    <t>The Village Grill</t>
  </si>
  <si>
    <t>4cbc28367391498eb12441667bc35de7</t>
  </si>
  <si>
    <t>6a3b9346b681470180aebbc5491a6e73</t>
  </si>
  <si>
    <t>4ee58b2b1e9143428edc401df3d2f9c6</t>
  </si>
  <si>
    <t>3c03a921e27e4e898ee444c00584b462</t>
  </si>
  <si>
    <t>Wells Fargo</t>
  </si>
  <si>
    <t>ee4c2d608f144f339a5005ee760bd0f9</t>
  </si>
  <si>
    <t>4636</t>
  </si>
  <si>
    <t>EVERYDAY CHECKING</t>
  </si>
  <si>
    <t>Discover E Payment Lewis</t>
  </si>
  <si>
    <t>Elephant Ins Payroll Lewis</t>
  </si>
  <si>
    <t>Money Transfer Authorized On</t>
  </si>
  <si>
    <t>Robinhood</t>
  </si>
  <si>
    <t>Va Dept Taxation Vasttaxrfd</t>
  </si>
  <si>
    <t>Avidia Bank Setl Lewis</t>
  </si>
  <si>
    <t>Cash App Jayelin L</t>
  </si>
  <si>
    <t>Irs TreasTax Ref Lewis</t>
  </si>
  <si>
    <t>Gasbuddy Gasbuddy</t>
  </si>
  <si>
    <t>Gasbuddy Gasbuddy Ivrvonzyl Sean</t>
  </si>
  <si>
    <t>Webull Financial Feb Sean</t>
  </si>
  <si>
    <t>Td Ameritrade In Pgb</t>
  </si>
  <si>
    <t>Cash App Don</t>
  </si>
  <si>
    <t>Credit Karma Transfer Sean</t>
  </si>
  <si>
    <t>Atm Check Deposit On</t>
  </si>
  <si>
    <t>Society Of Actuari</t>
  </si>
  <si>
    <t>Cash App</t>
  </si>
  <si>
    <t>Irs TreasXxta Lewis Sean</t>
  </si>
  <si>
    <t>Transfer To Lewis Sharon</t>
  </si>
  <si>
    <t>Google Wallet_Cas Sean E</t>
  </si>
  <si>
    <t>Synchrony Bank Cc Pymt</t>
  </si>
  <si>
    <t>Google Wallet_Top Sean E</t>
  </si>
  <si>
    <t>Square Inc Cash App</t>
  </si>
  <si>
    <t>Cou G W</t>
  </si>
  <si>
    <t>Investment</t>
  </si>
  <si>
    <t>Savings</t>
  </si>
  <si>
    <t>63ce88a532384b29bb84b6dda00d978b</t>
  </si>
  <si>
    <t>1047e720dc9c4e08a5a78dcd4ad86b97</t>
  </si>
  <si>
    <t>36960db26bba4391860647c82c94f97b</t>
  </si>
  <si>
    <t>4480</t>
  </si>
  <si>
    <t>Checking - 4480</t>
  </si>
  <si>
    <t>4e6bb00cf0324f5aa6b6988462123810</t>
  </si>
  <si>
    <t>Brokerage Account - 4480</t>
  </si>
  <si>
    <t>c60742cbe479452090063ae4417e0337</t>
  </si>
  <si>
    <t>3ad0d37dc3ad405d940793cf960b213a</t>
  </si>
  <si>
    <t>e5be5ddd3a464ce7be78c928e7d5c8fa</t>
  </si>
  <si>
    <t>c358f68e813745e2bc0231d7af599d41</t>
  </si>
  <si>
    <t>dc61d74c133944629c5d5d3b75fbd91b</t>
  </si>
  <si>
    <t>767132cd67e54bbd94995d6805f5df79</t>
  </si>
  <si>
    <t>609f3a2970634eb6938d2b3143b4e154</t>
  </si>
  <si>
    <t>78b67a3912f443dcaff06b8902c7a17c</t>
  </si>
  <si>
    <t>1ed3b67b0b23424888699b6909185058</t>
  </si>
  <si>
    <t>b33e570382ab4b78b04348cea056270a</t>
  </si>
  <si>
    <t>2832d1045b514320a2b4d2aa145745eb</t>
  </si>
  <si>
    <t>311f3dc49f7549368e7702595a33e4b6</t>
  </si>
  <si>
    <t>20617ce205524a1384038eecd696b8bd</t>
  </si>
  <si>
    <t>00da508859f6462e8e99986f53b45cf3</t>
  </si>
  <si>
    <t>94eaf5ea409a449d96f595e8f9a6d629</t>
  </si>
  <si>
    <t>8bea4ec256a4491cb9bcafd4029691c5</t>
  </si>
  <si>
    <t>3f579d95c4b947338c4b835b7035b14c</t>
  </si>
  <si>
    <t>86c9120060bc443b976f9dfa639cde3e</t>
  </si>
  <si>
    <t>305c0b224679483783723cbc2d849101</t>
  </si>
  <si>
    <t>1a87789f32b24be8a64964caf58d9c27</t>
  </si>
  <si>
    <t>Atm Withdrawal</t>
  </si>
  <si>
    <t>5b3f9ad5ea6e4fb1b00c5a123436bfcf</t>
  </si>
  <si>
    <t>b1c2a782318c49ef8b7554f99b9b68a8</t>
  </si>
  <si>
    <t>U S Post Office</t>
  </si>
  <si>
    <t>28f0027f227249fbbbb8dfc400694291</t>
  </si>
  <si>
    <t>498f58e5e0b840fab68c507e982efd72</t>
  </si>
  <si>
    <t>a8303b52abe649d19474323ab29c3f37</t>
  </si>
  <si>
    <t>37cb97e2b76c4e8690d56dac7cbc15a3</t>
  </si>
  <si>
    <t>96c07f5ae7254d3eb69a3f5e596cea24</t>
  </si>
  <si>
    <t>688197cad3f545eb8efa99a1b34a8969</t>
  </si>
  <si>
    <t>0155a98128c340a48e54aeda80376a7f</t>
  </si>
  <si>
    <t>6a05d2b63082471cb67b4a839189b904</t>
  </si>
  <si>
    <t>0244cfebcf5246fc867011245e0b0fa2</t>
  </si>
  <si>
    <t>e4a1df1d48774a71ac0076073fe6af2c</t>
  </si>
  <si>
    <t>65d501ed793f4188bdd9cdd2bbc82829</t>
  </si>
  <si>
    <t>Society Of Actuaries</t>
  </si>
  <si>
    <t>ffe951b2c44247c7a1be53ce978bf4fa</t>
  </si>
  <si>
    <t>67afff202f1e4ff0a10ce1f9e5732c8b</t>
  </si>
  <si>
    <t>14b14b01ab4c4fd3a4d2a1fc6893dcfa</t>
  </si>
  <si>
    <t>e48b9d6d2ef243df864d94998eb90e87</t>
  </si>
  <si>
    <t>bbd1b41b8b82463089b69e8f4a523768</t>
  </si>
  <si>
    <t>34cb9c0141bb4b158a35394e4005784d</t>
  </si>
  <si>
    <t>74cbf90c0d794c44939ac8b46558d42a</t>
  </si>
  <si>
    <t>3d04442c51a4425a8f99e9d501c88749</t>
  </si>
  <si>
    <t>708aa708ee0746ea99832703d069e12f</t>
  </si>
  <si>
    <t>Frequency</t>
  </si>
  <si>
    <t>YTD/Annual Cost</t>
  </si>
  <si>
    <t>Price Change $</t>
  </si>
  <si>
    <t>Last Date Paid</t>
  </si>
  <si>
    <t>Upcoming Pay Date</t>
  </si>
  <si>
    <t>Sum from Trans</t>
  </si>
  <si>
    <t>Upcoming Days</t>
  </si>
  <si>
    <t>Rank_Days</t>
  </si>
  <si>
    <t>Rank_Annual</t>
  </si>
  <si>
    <t>User Added</t>
  </si>
  <si>
    <t>Recurring Expenses</t>
  </si>
  <si>
    <t>Money in Excel automatically identifies which transactions are recurring. If any recurring expenses are missing, input them into empty rows.
Our system will use 1) Merchant, 2) Amount $, 3) and Frequency to search for these transactions in the future and monitor prices.</t>
  </si>
  <si>
    <t>Recurring Expenses Details</t>
  </si>
  <si>
    <t>Most Costly Recurring Expenses</t>
  </si>
  <si>
    <t>Annual Cost</t>
  </si>
  <si>
    <t>Upcoming Due Dates</t>
  </si>
  <si>
    <t>$ Amount</t>
  </si>
  <si>
    <t>Days to Pay</t>
  </si>
  <si>
    <t>FREQUENCY KEY</t>
  </si>
  <si>
    <t>Weekly</t>
  </si>
  <si>
    <t>Monthly</t>
  </si>
  <si>
    <t>Quarterly</t>
  </si>
  <si>
    <t>Annual</t>
  </si>
  <si>
    <t>923b96c46a29428498c0dbb51cd837d4</t>
  </si>
  <si>
    <t>4dcaf40237cc4ebf9b3b68b8fcba8b49</t>
  </si>
  <si>
    <t>45273c3cd4144ceab0951add86b63728</t>
  </si>
  <si>
    <t>6dcdb2a40ed04d4db40b46e6c675f219</t>
  </si>
  <si>
    <t>06a4c02c1ce14fabb08176240728730c</t>
  </si>
  <si>
    <t>Asset / Liability</t>
  </si>
  <si>
    <t>Account Category</t>
  </si>
  <si>
    <t>Net Worth</t>
  </si>
  <si>
    <t>Get the latest on your net worth, assets, liabilities, and every account balance. Track accounts manually by entering them into the table below.</t>
  </si>
  <si>
    <t>Account balances</t>
  </si>
  <si>
    <t>Total assets</t>
  </si>
  <si>
    <t>Total cash</t>
  </si>
  <si>
    <t>Total investments</t>
  </si>
  <si>
    <t>Total liabilities</t>
  </si>
  <si>
    <t>Total credit card</t>
  </si>
  <si>
    <t>Total other debt</t>
  </si>
  <si>
    <t>Your net worth is</t>
  </si>
  <si>
    <t>Net worth</t>
  </si>
  <si>
    <t>Cash</t>
  </si>
  <si>
    <t>Investments</t>
  </si>
  <si>
    <t>Credit Card</t>
  </si>
  <si>
    <t xml:space="preserve"> </t>
  </si>
  <si>
    <t xml:space="preserve">  </t>
  </si>
  <si>
    <t>Spent</t>
  </si>
  <si>
    <t xml:space="preserve">   </t>
  </si>
  <si>
    <t xml:space="preserve">    </t>
  </si>
  <si>
    <t xml:space="preserve">     </t>
  </si>
  <si>
    <t>Budget</t>
  </si>
  <si>
    <t xml:space="preserve">      </t>
  </si>
  <si>
    <t>Remaining</t>
  </si>
  <si>
    <t xml:space="preserve">       </t>
  </si>
  <si>
    <t xml:space="preserve">        </t>
  </si>
  <si>
    <t xml:space="preserve">         </t>
  </si>
  <si>
    <t xml:space="preserve">          </t>
  </si>
  <si>
    <t xml:space="preserve">           </t>
  </si>
  <si>
    <t>OneMonthAgoBudget</t>
  </si>
  <si>
    <t>TwoMonthsAgoBudget</t>
  </si>
  <si>
    <t>ThreeMonthsAgoBudget</t>
  </si>
  <si>
    <t>MonthsCount</t>
  </si>
  <si>
    <t>CategoryId</t>
  </si>
  <si>
    <t>Set and track your monthly budget. Add budget targets for each category to the Budget column; the Spent column updates automatically. To switch months, click the blue date box to the right.</t>
  </si>
  <si>
    <t>Income vs. spending</t>
  </si>
  <si>
    <t>Total income</t>
  </si>
  <si>
    <t>Total expenses</t>
  </si>
  <si>
    <t>Spending</t>
  </si>
  <si>
    <t>Spending over time</t>
  </si>
  <si>
    <t>MonthNum</t>
  </si>
  <si>
    <t>YearNum</t>
  </si>
  <si>
    <t>Total budget</t>
  </si>
  <si>
    <t>Favorite category budgets</t>
  </si>
  <si>
    <t>Manage your favorite categories by selecting the two you want to track closely</t>
  </si>
  <si>
    <t>Your monthly budget</t>
  </si>
  <si>
    <t>Raw dates</t>
  </si>
  <si>
    <t>Dates Text</t>
  </si>
  <si>
    <t>Dates</t>
  </si>
  <si>
    <t>Valid categories</t>
  </si>
  <si>
    <t>Valid persisted categories</t>
  </si>
  <si>
    <t>Used categories</t>
  </si>
  <si>
    <t>Unused categories</t>
  </si>
  <si>
    <t>Unused filtered categories</t>
  </si>
  <si>
    <t>0dc0f0c19da94e7199d1dbef4e83c264</t>
  </si>
  <si>
    <t>777213b669274691b1d70d662a76baec</t>
  </si>
  <si>
    <t>4e0d11e52f3145f3b4556de503bc3609</t>
  </si>
  <si>
    <t>9a9d8c287d8a42f294cdf475ea55eaff</t>
  </si>
  <si>
    <t>de35408df6354c989e3f694e469130b1</t>
  </si>
  <si>
    <t>ea5e81d8c31b4b70ada0bce511256cc8</t>
  </si>
  <si>
    <t>3313f9ebed7f444abc36771209f52312</t>
  </si>
  <si>
    <t>def4804d47b046fb8ed3685524d88df3</t>
  </si>
  <si>
    <t>9eb4f231734f40b48067b909e53a710a</t>
  </si>
  <si>
    <t>8e27de0d22ad488d870ec482bfb5e8d5</t>
  </si>
  <si>
    <t>51f0cb072df640dab4035fba61ebad92</t>
  </si>
  <si>
    <t>dca4df65cc254c45945bfe783f959bb1</t>
  </si>
  <si>
    <t>fff83355c9e9409ab8664d651375bbed</t>
  </si>
  <si>
    <t>609fd39c1de74788bb8090ec70336867</t>
  </si>
  <si>
    <t>4239a873e7584dacb6961fae6e85aab7</t>
  </si>
  <si>
    <t>d34ea4c51a594a00925eb801b1001bfd</t>
  </si>
  <si>
    <t>5b060640f9de40e3953f0a7aaa9e7c24</t>
  </si>
  <si>
    <t>6168186b997b4044b467d5eb15bba5c0</t>
  </si>
  <si>
    <t>56be59af670a426a8417bd017d1efbd3</t>
  </si>
  <si>
    <t>697c68e3b8894203a76680787be96017</t>
  </si>
  <si>
    <t>606a86540efd4288a44ffd65614da5be</t>
  </si>
  <si>
    <t>08136b2fdb494fa6a6d22ba6d112d381</t>
  </si>
  <si>
    <t>a0b4a0c2ff85476a88f87a89e63e2d5c</t>
  </si>
  <si>
    <t>61dcd4986196467d88fa9f5680e3cad1</t>
  </si>
  <si>
    <t>a7487d903c9e42f78cb0c65dbd06de4b</t>
  </si>
  <si>
    <t>55d421f5a1944449bdea8ab5dae6f207</t>
  </si>
  <si>
    <t>34e4b9ce2dcb4709bdd517797932bd5e</t>
  </si>
  <si>
    <t>6f44fcbaa1b94aae8e678c43ba5bbb1b</t>
  </si>
  <si>
    <t>c7c01faa0fd64a33ad1b5d2146721e20</t>
  </si>
  <si>
    <t>211562d6963e40e498ed997e1c56d0e3</t>
  </si>
  <si>
    <t>99867991891840c6bdfc77251a5e96e8</t>
  </si>
  <si>
    <t>c2d9e849cbe34c099a3deeb2c21e7b06</t>
  </si>
  <si>
    <t>975dcd9f88af417ea162def4968d5d90</t>
  </si>
  <si>
    <t>c3f2eb03026f4008acb9b8c3f47e62cd</t>
  </si>
  <si>
    <t>3be35960d2d64fb4a9ac798941a6b9bb</t>
  </si>
  <si>
    <t>95bf7ffe7ffe46f397b827851fb75029</t>
  </si>
  <si>
    <t>bd6af7f6ad104ebfa2f8f28fd62bd646</t>
  </si>
  <si>
    <t>19fd7de1f1bf4dfdb097a6d82d979606</t>
  </si>
  <si>
    <t>fc234106c70b41b480a994601c2362f8</t>
  </si>
  <si>
    <t>1fa28028cd1e4dc198b14a170055d692</t>
  </si>
  <si>
    <t>b0457fecf1c64c22975ef85ad15686bd</t>
  </si>
  <si>
    <t>e6b5de2bd4424f378467c17f9570b7a6</t>
  </si>
  <si>
    <t>5a26e67d109e49c8acce0ce9c4945c6e</t>
  </si>
  <si>
    <t>44c16ede7ce84af488ddeded3431a120</t>
  </si>
  <si>
    <t>1dd2e6280e8e4ac88a48fe0b97b98672</t>
  </si>
  <si>
    <t>30ca3d67dad34963b110b0fe3ae8ef50</t>
  </si>
  <si>
    <t>8c081d454449454b80818a2f880b2706</t>
  </si>
  <si>
    <t>29f6432265c94c3080598ac5396b5d24</t>
  </si>
  <si>
    <t>9fbbe0db67004ef49fcbff9ba75e835b</t>
  </si>
  <si>
    <t>78a0bf40e2a049b8a1888a69155c2f71</t>
  </si>
  <si>
    <t>fadb43aa8c98451db5b5509baf0bb234</t>
  </si>
  <si>
    <t>4a3e6060ff1047a197dcb3443dbcca65</t>
  </si>
  <si>
    <t>dc11dcf946334ec59ca0a82da93ae059</t>
  </si>
  <si>
    <t>73cb26361cc740e397f7e261f101b5b8</t>
  </si>
  <si>
    <t>f357e4c9b9664ba4b26b81db3f81bdcc</t>
  </si>
  <si>
    <t>a5cab44de6954e8289d5deb98aada07d</t>
  </si>
  <si>
    <t>e07fa08116844260b77900be91938c56</t>
  </si>
  <si>
    <t>717815557a454d679c6fde288e1f92b1</t>
  </si>
  <si>
    <t>aa6c12f0179b480587293dfa4aa41145</t>
  </si>
  <si>
    <t>d966628677e44925a51914623f020809</t>
  </si>
  <si>
    <t>5ae663f10be1428995f8fabbcaa06441</t>
  </si>
  <si>
    <t>3c7dc3feee8c47fc92af58b19ef9975e</t>
  </si>
  <si>
    <t>a7c5a6f932bf444cac8a2f974e458008</t>
  </si>
  <si>
    <t>d2f11d86b52642648a1b2b1d8cb71413</t>
  </si>
  <si>
    <t>81a6372f346f43b296917c8253135c53</t>
  </si>
  <si>
    <t>4ff9a86de331421aaf2a47bd881b3668</t>
  </si>
  <si>
    <t>7c95a9ed64034611bbd5f86c5b28fcfb</t>
  </si>
  <si>
    <t>41207fe3843c43dfb05751d7541e9c62</t>
  </si>
  <si>
    <t>ee2af8e5d59144aab4a4131f172f199c</t>
  </si>
  <si>
    <t>aead348852f34304900ba2d611667322</t>
  </si>
  <si>
    <t>909bc85a7911417d85bce2a94e4c6c28</t>
  </si>
  <si>
    <t>1b08961eac21443e9d6bbc8cf9bfcf9a</t>
  </si>
  <si>
    <t>6f38b07235a94d26a180cc2c7d0dd393</t>
  </si>
  <si>
    <t>b2066c870e764a20bce655d51c6a4cba</t>
  </si>
  <si>
    <t>09ec180aaf244e02bffe0baf87e12133</t>
  </si>
  <si>
    <t>7c01379d24bb4070b68ee8e224ef77f5</t>
  </si>
  <si>
    <t>a97ea4229c9d4849a8f421d5ce15461a</t>
  </si>
  <si>
    <t>e9cfa162a12944da91894786a130cd77</t>
  </si>
  <si>
    <t>327f63b5c11a469bbcac05f907d107d9</t>
  </si>
  <si>
    <t>8af5233db2744081ac747cea7c9c6862</t>
  </si>
  <si>
    <t>85b602bbb1b248a299e63af587f44e82</t>
  </si>
  <si>
    <t>bd68ad0029cf44cf9d5adf94beea06c2</t>
  </si>
  <si>
    <t>a938de1373704fdaa8593a86752c8698</t>
  </si>
  <si>
    <t>bc6ff484e8164939bca6e1b272742f28</t>
  </si>
  <si>
    <t>ea8f261b794a4a4994c01839174cb59f</t>
  </si>
  <si>
    <t>63be9faed8974f9fb815eeca9b335066</t>
  </si>
  <si>
    <t>aa2db20033c64056ba4ec1c2b6d39e9b</t>
  </si>
  <si>
    <t>e4eb8bb735dd476e88895d0db6b6e9b0</t>
  </si>
  <si>
    <t>375eec25455f45008891a2020c536acc</t>
  </si>
  <si>
    <t>9decb4ff4667403bbe7d32d95ac6763f</t>
  </si>
  <si>
    <t>7d3fd8dcc271408eb2e582ff6f1cc0b2</t>
  </si>
  <si>
    <t>91bf5e6b17814849bd0b3ca4341bab51</t>
  </si>
  <si>
    <t>de4c9b2e38294cf291449f36576240df</t>
  </si>
  <si>
    <t>34aabab6cfbc45c189d0b5207cc53c4c</t>
  </si>
  <si>
    <t>48f3e4b18b3f42f9a15f09dfdb7144ba</t>
  </si>
  <si>
    <t>8f0cdcb0e1074cc89692879f38017d70</t>
  </si>
  <si>
    <t>623eec302d29442d8c945f556e577d93</t>
  </si>
  <si>
    <t>13ec0f17d7c44976bd5e9f2865c9d8c0</t>
  </si>
  <si>
    <t>802a19bf90074d83971e1ca5bff56db6</t>
  </si>
  <si>
    <t>9d6edd7a808f4c09acaaa863724aaabf</t>
  </si>
  <si>
    <t>c2d8f9f0d88f44208852868b5350681f</t>
  </si>
  <si>
    <t>86defeb3f1324e7b993088a9fc5a402f</t>
  </si>
  <si>
    <t>6f7f8b471cc84b24ba0694541067498c</t>
  </si>
  <si>
    <t>Rtp From Paypal On</t>
  </si>
  <si>
    <t>487266edf0174589830e1424e26f5ba7</t>
  </si>
  <si>
    <t>3da66d25d09e4a2ea9f1cdcc93d27528</t>
  </si>
  <si>
    <t>120ac2a1d79f4d98957f389a2d360d15</t>
  </si>
  <si>
    <t>613b88f6f0d84f1d9c4fd2886f9e2341</t>
  </si>
  <si>
    <t>d43c02575f1d4dd48716fa919078ddb8</t>
  </si>
  <si>
    <t>cb09dca5a70e4f61b88f46130e745ccc</t>
  </si>
  <si>
    <t>e16beaf81d194e4aaa556836d6ab59e4</t>
  </si>
  <si>
    <t>3671c75e7f1b4636b01f7d8de7507f3a</t>
  </si>
  <si>
    <t>cf695b029ef942a0b30a6786cba83f6b</t>
  </si>
  <si>
    <t>b9c0069f051a461ba12dc7428e0bd122</t>
  </si>
  <si>
    <t>Septa Fare Machine</t>
  </si>
  <si>
    <t>bc934ff00b5441d2951d2da348bbe85d</t>
  </si>
  <si>
    <t>839fea203b2644e9b1ecb6124445b719</t>
  </si>
  <si>
    <t>Brave New Worlds</t>
  </si>
  <si>
    <t>3fd5058c407d42aa9262e2e6647dc487</t>
  </si>
  <si>
    <t>ed4ad4cbcfee45bc9734d686f3049697</t>
  </si>
  <si>
    <t>Atm Withdrawal Authorized On</t>
  </si>
  <si>
    <t>cf28c020ba674741a04558bfc4f02ec9</t>
  </si>
  <si>
    <t>5573cea830624d2ba7635e19db03a8df</t>
  </si>
  <si>
    <t>ac2f6d61e150466894235fd275ee5da6</t>
  </si>
  <si>
    <t>7d2629b05acd41499137ab5b3f3daaec</t>
  </si>
  <si>
    <t>b677cc7615b546d9b869e870cd5072d1</t>
  </si>
  <si>
    <t>f4f628b1b2ae4031bb41b4a051126768</t>
  </si>
  <si>
    <t>Ups 1</t>
  </si>
  <si>
    <t>d80018b0f7d44fadb62b234b9e48c370</t>
  </si>
  <si>
    <t>Purchase Return Authorized On</t>
  </si>
  <si>
    <t>20f350a4211b4653b494987966528720</t>
  </si>
  <si>
    <t>5caa260333d443879db4afa4080d5f4e</t>
  </si>
  <si>
    <t>ed396625a28c4ab09007e48d14b0de78</t>
  </si>
  <si>
    <t>56a7c8bd88084c7baaaf840733248b50</t>
  </si>
  <si>
    <t>Usps Po</t>
  </si>
  <si>
    <t>f7d885a4455a4b10aad528107137d790</t>
  </si>
  <si>
    <t>52eb6369e8c642d8b4e6d67ed3537fe5</t>
  </si>
  <si>
    <t>83daa25d6fb444a1ac83ee88144853a3</t>
  </si>
  <si>
    <t>c5770c99abe34f8bbf568322beac8383</t>
  </si>
  <si>
    <t>ac6f5db6393a4dd299b1304aed5e9415</t>
  </si>
  <si>
    <t>1af451366a55410095d29e3234f4e686</t>
  </si>
  <si>
    <t>Cash App Shevon Le</t>
  </si>
  <si>
    <t>dd0cc64fcb3c448bbe53fd2e531d3b94</t>
  </si>
  <si>
    <t>6b438aacf4e749928057076b69850230</t>
  </si>
  <si>
    <t>80bf30f453634c6781f30a165354d52b</t>
  </si>
  <si>
    <t>91edda9781ea4586b20d669c7f4e94f4</t>
  </si>
  <si>
    <t>c8470045bea44c868e8ff253dd0e2f1c</t>
  </si>
  <si>
    <t>2f485fd04d3841269bb4a48a0b244bc8</t>
  </si>
  <si>
    <t>bb80a084927b4998811c056bbf0ee4cd</t>
  </si>
  <si>
    <t>71e0cf8008bb4b8ea0a42014e00bc151</t>
  </si>
  <si>
    <t>66b4b6cbb5e54c2d820bc8b25a9dd030</t>
  </si>
  <si>
    <t>1b633f654c4a4b0db372917593a70d37</t>
  </si>
  <si>
    <t>Atm Cash Deposit On</t>
  </si>
  <si>
    <t>10e08aa49afb4db09c754910ff2844ea</t>
  </si>
  <si>
    <t>City Of Richmond Tax</t>
  </si>
  <si>
    <t>8a66cfc34dac418688b5da4b4ebfe3f7</t>
  </si>
  <si>
    <t>cb45d4ebd057464cb612a9574e407781</t>
  </si>
  <si>
    <t>Invoice Cloud Epaymentl Lewis</t>
  </si>
  <si>
    <t>2e3c4bc3acd5482896fde2b2b01331aa</t>
  </si>
  <si>
    <t>3cb41b863b43486ab73860fc3a4b68f8</t>
  </si>
  <si>
    <t>690fe7b8a5204227bba7d3d8f1678b7c</t>
  </si>
  <si>
    <t>e7bfbb40582845568a72d17f915658eb</t>
  </si>
  <si>
    <t>Crunch Fitness</t>
  </si>
  <si>
    <t>d7083f50b30942beb850338b5811a968</t>
  </si>
  <si>
    <t>6f1a2934822b4adbb9566f5acaeb7328</t>
  </si>
  <si>
    <t>18605ffaecb1464b8d8293f55cb3bd98</t>
  </si>
  <si>
    <t>d48a8836120a474d97ebe5572efc7715</t>
  </si>
  <si>
    <t>Va Dept Of Taxatio</t>
  </si>
  <si>
    <t>a7c6306897da44de877af5b311731287</t>
  </si>
  <si>
    <t>Virginia Departmen</t>
  </si>
  <si>
    <t>b99809ee533941ec87c5cb32df2d6948</t>
  </si>
  <si>
    <t>40d1e1299508461a8c8f90d4a98cf66d</t>
  </si>
  <si>
    <t>d84de778b2d648f29abf42cc91faead6</t>
  </si>
  <si>
    <t>58c977a6c1ec4800b6dfe7dc2988bb09</t>
  </si>
  <si>
    <t>Pump And Church Au</t>
  </si>
  <si>
    <t>0942b4f3bf214fb89a3a6ba3570c0420</t>
  </si>
  <si>
    <t>bda94baeb8334164866ea4bc47c9c953</t>
  </si>
  <si>
    <t>Dc Gov'T Payment</t>
  </si>
  <si>
    <t>98a509593d5f4e408b5183acb427d0fd</t>
  </si>
  <si>
    <t>Pticket Redwoo</t>
  </si>
  <si>
    <t>effa900cc4f2463db69afec285df37a4</t>
  </si>
  <si>
    <t>80f93e0b92c741a083c382ece25e39ba</t>
  </si>
  <si>
    <t>d60c30f5bfc045d8b2b8bca4753d662b</t>
  </si>
  <si>
    <t>13a0c0d0970c4b1aabf4f0e9178c369d</t>
  </si>
  <si>
    <t>8b2b3812e5ad4f12a4bdd93c1a85c008</t>
  </si>
  <si>
    <t>Webull Financial Sep Sean</t>
  </si>
  <si>
    <t>b0a22177818240299e996c42eb6fc12e</t>
  </si>
  <si>
    <t>142d39a80b524a5aa9906fd600893b72</t>
  </si>
  <si>
    <t>778d21f6615f4e31aab37438da922817</t>
  </si>
  <si>
    <t>ac87fe583561483e82354c6348b2f2b2</t>
  </si>
  <si>
    <t>d8a27f78ae684ea9b7118c324f264325</t>
  </si>
  <si>
    <t>b0ad2c87799c4ac1aec74ee18c4fdbf8</t>
  </si>
  <si>
    <t>e16b54de170b4fc38645f3311c0f87cf</t>
  </si>
  <si>
    <t>1650c136f07b48d1b29366eb1a0d7424</t>
  </si>
  <si>
    <t>54a42a62e2e045cc91f45a2936fc1d95</t>
  </si>
  <si>
    <t>29b1716f6b564fdfba8e98f6c34f0e1f</t>
  </si>
  <si>
    <t>5bdc60685d2c4f429f13983c117d9d83</t>
  </si>
  <si>
    <t>ba14029b1fad458988688cd462f2cc06</t>
  </si>
  <si>
    <t>ed262f1ac31b43cd8182ba4116424261</t>
  </si>
  <si>
    <t>9f5531b62ac04ea9b34f571c46a3c343</t>
  </si>
  <si>
    <t>24ff38133011410a9f6b5ec9ee6c2304</t>
  </si>
  <si>
    <t>Cash App Don Lewis</t>
  </si>
  <si>
    <t>4e32752e8e5f469792dbb99dd50d1d9b</t>
  </si>
  <si>
    <t>663ffef2b1544ae0ad23cb3b573579e8</t>
  </si>
  <si>
    <t>af2b4a9f51754f45922961c17ae1bed6</t>
  </si>
  <si>
    <t>b64f30bc9eda4778b12854b9828c2aa8</t>
  </si>
  <si>
    <t>326504a55a4647568de76870e91dfa1b</t>
  </si>
  <si>
    <t>55cfefd74d524833a385921a9f69840a</t>
  </si>
  <si>
    <t>d7c2dc8aa4ee4bba8f3b86dcbe4905c8</t>
  </si>
  <si>
    <t>Transfer From Lewis Sharon</t>
  </si>
  <si>
    <t>a44876cc2e864e70a65c84ab4b6f2e72</t>
  </si>
  <si>
    <t>012d8796b9224bc2a132eefeedf80e20</t>
  </si>
  <si>
    <t>fb43b2d85a4c493792a1d9cac643fdf3</t>
  </si>
  <si>
    <t>9456aeefb63b44cfa47e04242a3f4e8c</t>
  </si>
  <si>
    <t>2d6ebae06580431e9e99e17f2c544628</t>
  </si>
  <si>
    <t>393b566a5bc7443a9793a5f9fc50afc6</t>
  </si>
  <si>
    <t>1c7a071f55e44c30aae58461f3d2fe51</t>
  </si>
  <si>
    <t>b6c0e4837d8945a799e138861e10a4b0</t>
  </si>
  <si>
    <t>Dri Nvidia Store Orderfind</t>
  </si>
  <si>
    <t>63e0979e526144bf886c73aa0ed057c3</t>
  </si>
  <si>
    <t>0a42396cafdc4eb98f0c2e6e38927707</t>
  </si>
  <si>
    <t>ae195e75cd60443daa8949c4054facc4</t>
  </si>
  <si>
    <t>2d1d4208211c4b85979e4fe4818b105b</t>
  </si>
  <si>
    <t>5609bd110b80497496682a5056efc50e</t>
  </si>
  <si>
    <t>e9e65ec7893f43cb8a49cbb2a3f59818</t>
  </si>
  <si>
    <t>96eb9ec958534c97b4d0f30695b0c3ee</t>
  </si>
  <si>
    <t>66c0380b45f24d7293215cd684afd357</t>
  </si>
  <si>
    <t>cf2f43bbd4ed4232ba6c2af81925a2bd</t>
  </si>
  <si>
    <t>b39efafc871441f0ae902b1a46ab98ba</t>
  </si>
  <si>
    <t>Brueggers</t>
  </si>
  <si>
    <t>73bc05b7670b47c185fdaa68e6e442fd</t>
  </si>
  <si>
    <t>03afb0b7878d434888bb6501604252d3</t>
  </si>
  <si>
    <t>5adf3fdc72fd494488abb44c76e60066</t>
  </si>
  <si>
    <t>85dff6a2f52941809099aad68fc7aed2</t>
  </si>
  <si>
    <t>490cd0158ab946c7baff1528905001d4</t>
  </si>
  <si>
    <t>Taxing Authority Billpay Lewis</t>
  </si>
  <si>
    <t>9321f4c3de1a45f4a8f383ddb8e294e4</t>
  </si>
  <si>
    <t>Nates Bagels</t>
  </si>
  <si>
    <t>846df08d33474b8784e7eab2ae7f7a8e</t>
  </si>
  <si>
    <t>8ff48032586f41d4a4c93b423859ca2d</t>
  </si>
  <si>
    <t>f882cea593f94a4396ebb0d934e9529a</t>
  </si>
  <si>
    <t>b27b61c0dc8f4a85a4b8ea230d0e4c42</t>
  </si>
  <si>
    <t>b7ee9bfb124b4b3e88fb30594a13507e</t>
  </si>
  <si>
    <t>da3f660b06264ba5883fdf7bf123b850</t>
  </si>
  <si>
    <t>cf9dc694c3474f8cbc057a993ba86d9e</t>
  </si>
  <si>
    <t>Webull Financial Jul Sean</t>
  </si>
  <si>
    <t>68de6bd16dda444aa587acaf20cf44f1</t>
  </si>
  <si>
    <t>8845e8899e514974b695052f93d44fc5</t>
  </si>
  <si>
    <t>822393a915264652ab9e766244fc225c</t>
  </si>
  <si>
    <t>Engagetm</t>
  </si>
  <si>
    <t>283c0f5d68e24676966e859e5c888a95</t>
  </si>
  <si>
    <t>529a3c300d4d47e0a0baee3531d40b1f</t>
  </si>
  <si>
    <t>8e9fc338e1b74fe7bc25ea4224433d48</t>
  </si>
  <si>
    <t>4ff90c2ae35d4c8982b6679e7ad7eeae</t>
  </si>
  <si>
    <t>6134eb615d4546699f7f8ac4b962121d</t>
  </si>
  <si>
    <t>Cash App Malcom Ma</t>
  </si>
  <si>
    <t>79740f2a656b47e1947adc253e5e330e</t>
  </si>
  <si>
    <t>1962095c90a24672b10cec803cbbda01</t>
  </si>
  <si>
    <t>7e53a57184f04271b87e7dcfdb0bc11c</t>
  </si>
  <si>
    <t>e3a64deeeb454950ae29bba6862890c2</t>
  </si>
  <si>
    <t>Webull Financial Jun Sean</t>
  </si>
  <si>
    <t>3c33bca9efba4b5e9155ec1fb15cb111</t>
  </si>
  <si>
    <t>2a55d8479be845e894eb29b86642d01d</t>
  </si>
  <si>
    <t>0a4e29f88857408296567dff5bfae3a6</t>
  </si>
  <si>
    <t>9b62aa7be6674c089ed83ed9c6e18e67</t>
  </si>
  <si>
    <t>808e11966a334ea0b3768b8836c124f5</t>
  </si>
  <si>
    <t>6cd1a692b129455387523a3463531033</t>
  </si>
  <si>
    <t>b59177ef1b6345b8a3a4648423eaac01</t>
  </si>
  <si>
    <t>Chegg Order</t>
  </si>
  <si>
    <t>7a673d1679fa44968c36f8cafab77ab3</t>
  </si>
  <si>
    <t>b42743e3db3a474db226bd6e865e2318</t>
  </si>
  <si>
    <t>Equifax Consumer</t>
  </si>
  <si>
    <t>351ef577dc444314bdc5561378f1dfe9</t>
  </si>
  <si>
    <t>922e3f0f8fda405e8dade36561c9a454</t>
  </si>
  <si>
    <t>95ac53bdc41d48e0bd4e2275c7b8aab3</t>
  </si>
  <si>
    <t>a503079d381d4dcea8612e807c92d9e4</t>
  </si>
  <si>
    <t>f5195570ef7c48dd966df1a318351b1f</t>
  </si>
  <si>
    <t>eba0d660c12948ba82895b605bf93b07</t>
  </si>
  <si>
    <t>7bfefc2a7859494780761c1dc39bc203</t>
  </si>
  <si>
    <t>8e11051300854b8b9718c721b512b34f</t>
  </si>
  <si>
    <t>8e6eaf80157743c092cce6a2b9cfc86e</t>
  </si>
  <si>
    <t>725c5e9437b14c7aba6f559d26482f06</t>
  </si>
  <si>
    <t>Cash App Christoph</t>
  </si>
  <si>
    <t>541f9c4b3b574955b6104ca747e6d593</t>
  </si>
  <si>
    <t>f35aaf559f3a41f5838e294258de1856</t>
  </si>
  <si>
    <t>Albert Savings W Edi</t>
  </si>
  <si>
    <t>1339ce91e2a0409499bb0466c87e3f23</t>
  </si>
  <si>
    <t>Credit One Bank Payment</t>
  </si>
  <si>
    <t>60eb34cf333c428a8360d368be8f1949</t>
  </si>
  <si>
    <t>Simple Xfers Dr Lewis</t>
  </si>
  <si>
    <t>ddd7c8cd77d1486a9fd3bda6a0e2ba17</t>
  </si>
  <si>
    <t>74624812497b4adf8cf35e3713e21e09</t>
  </si>
  <si>
    <t>5e6b0de4b80947b3ae4910cf31823d1e</t>
  </si>
  <si>
    <t>ecb3ece35a064b4a97659baaef115b37</t>
  </si>
  <si>
    <t>73e72e1537ec41929fdeb12eb0473ce8</t>
  </si>
  <si>
    <t>da43828886074063832e27cd8e46ab4c</t>
  </si>
  <si>
    <t>ae6a08299b2a4eed8c2e06a39834354a</t>
  </si>
  <si>
    <t>37f438c8131b42679ac2e4a0da91a669</t>
  </si>
  <si>
    <t>Office Max Offi S</t>
  </si>
  <si>
    <t>880a7fd4dece411dae8144ba6e497f35</t>
  </si>
  <si>
    <t>Gofndme Diane Smi</t>
  </si>
  <si>
    <t>3559422a949648a5b67026d033889a71</t>
  </si>
  <si>
    <t>992ebfe419a74f32a0292750a0b12c6a</t>
  </si>
  <si>
    <t>Albert Savings D Edi</t>
  </si>
  <si>
    <t>c45b6ada96cd449fafca4d1368f71a3f</t>
  </si>
  <si>
    <t>af38e537aacb4519a573169dac95d1a9</t>
  </si>
  <si>
    <t>Fbpay Aram Kochar Pay</t>
  </si>
  <si>
    <t>6f243ce1fa904a99ab645255127ac025</t>
  </si>
  <si>
    <t>Fbpay Jonathan Y Pay</t>
  </si>
  <si>
    <t>9617332327d347b1b259a9ca175f040c</t>
  </si>
  <si>
    <t>52a981b9c9f847abaa7b47997319f870</t>
  </si>
  <si>
    <t>Great Lakes Student Ln</t>
  </si>
  <si>
    <t>9e5e9224087c4a6f83521457c1d0ed9c</t>
  </si>
  <si>
    <t>6b274b012235467f999c4a17cc6cbbea</t>
  </si>
  <si>
    <t>604e9f185c0348b8966fa5189016d207</t>
  </si>
  <si>
    <t>Zelle To Mutegi Fredrick</t>
  </si>
  <si>
    <t>6aca10d8b0044612a447494401ff7ef7</t>
  </si>
  <si>
    <t>eebe31125a2642818d8b3c58dd2c95dc</t>
  </si>
  <si>
    <t>1cbc7b9e2a674775be88e36857c1bde2</t>
  </si>
  <si>
    <t>c99a086af7d24e23b1c874d35e360deb</t>
  </si>
  <si>
    <t>Cash App Fredrick</t>
  </si>
  <si>
    <t>42777c10f4ba40c19dddeb78bd3d3b75</t>
  </si>
  <si>
    <t>b342038641864b9cb644b9f18b363ac1</t>
  </si>
  <si>
    <t>e93d3ad6ce3f4c73879f85552195bb38</t>
  </si>
  <si>
    <t>Capital Beltway Ex</t>
  </si>
  <si>
    <t>e070d98a6c904783afd9489d5ee34293</t>
  </si>
  <si>
    <t>Cash App Cairo Dan</t>
  </si>
  <si>
    <t>b8ee2d0ef50c4d898909dcd5216b5463</t>
  </si>
  <si>
    <t>bae26243f4724eb9844f3d83422c7aec</t>
  </si>
  <si>
    <t>cc28bb2ee8014ed198a62a5714abf90a</t>
  </si>
  <si>
    <t>9d6faf6a2463432b9d16bdebcdf07b57</t>
  </si>
  <si>
    <t>9a732d7fbee647b38309cfdd6cb4b292</t>
  </si>
  <si>
    <t>a61afaf2255b4be59da0d7f259dd8b0c</t>
  </si>
  <si>
    <t>e55c9e5719554152a8ac513a19302a4f</t>
  </si>
  <si>
    <t>Cvs In</t>
  </si>
  <si>
    <t>8f60b5e29e3c436988d6c9da0e878513</t>
  </si>
  <si>
    <t>81e19a0cde354d1aa1c84ed49432f7c4</t>
  </si>
  <si>
    <t>9b04b04622b740fe8a35d60dae119d9a</t>
  </si>
  <si>
    <t>Sfo Mills Cargo</t>
  </si>
  <si>
    <t>a4d4e4bf34aa45bf9ef9a363669a8bce</t>
  </si>
  <si>
    <t>dc1eadcffe11497e9d370c43fbcded3b</t>
  </si>
  <si>
    <t>American Airlines</t>
  </si>
  <si>
    <t>995e91968f7c4917a522988eb3f3fc44</t>
  </si>
  <si>
    <t>62807d793de544d8b947a458c89450a2</t>
  </si>
  <si>
    <t>5891ddb7d3544dcc8b49138b802b0ee8</t>
  </si>
  <si>
    <t>Redwood City Ma</t>
  </si>
  <si>
    <t>e575a5ec16df438893834ffaa275d1c5</t>
  </si>
  <si>
    <t>d49395dfb6c94285ba28b888887a617e</t>
  </si>
  <si>
    <t>f0ee16af54e54d4d98654eeb691e0506</t>
  </si>
  <si>
    <t>f22082758aeb434aadcf198f7acb59f5</t>
  </si>
  <si>
    <t>dd6dccb6e0a6476ea7adc531f4ee4cb9</t>
  </si>
  <si>
    <t>cca9a23de7124220b128f998aca79ff0</t>
  </si>
  <si>
    <t>a51c19e50ff747f897100a84c85c8666</t>
  </si>
  <si>
    <t>f46ae522b56e4255aba45c5916ad2351</t>
  </si>
  <si>
    <t>Coursehero</t>
  </si>
  <si>
    <t>a651e16143a645b79da7d6e0883e90b9</t>
  </si>
  <si>
    <t>bd865c1822de4adf94966a1c7410b425</t>
  </si>
  <si>
    <t>Square Enix</t>
  </si>
  <si>
    <t>c17401fc61f244f1b966d25b06c014eb</t>
  </si>
  <si>
    <t>c1c19b11699345d880da3ce6693e72da</t>
  </si>
  <si>
    <t>16efd1f0a6eb46029a6197cef5ab802e</t>
  </si>
  <si>
    <t>2783c9386aec421da9df77fb3c13815d</t>
  </si>
  <si>
    <t>dc278018c266441d8fa61161332484a5</t>
  </si>
  <si>
    <t>1924ca4f92f64d568ad1a1f0808a43bd</t>
  </si>
  <si>
    <t>Allianz Travel Ins Allianzins</t>
  </si>
  <si>
    <t>8f16622ad65c41e28efabcb8ca716b08</t>
  </si>
  <si>
    <t>daa45f757b57410880fbbae89cd9d666</t>
  </si>
  <si>
    <t>Pho Truong Long</t>
  </si>
  <si>
    <t>8e2f95310c5d4a0da4be74196f0543d7</t>
  </si>
  <si>
    <t>Schwab Brokerage Moneylink Sean</t>
  </si>
  <si>
    <t>7168579118024bfab2bb02eb05af3d6a</t>
  </si>
  <si>
    <t>Espn Plus</t>
  </si>
  <si>
    <t>b801d258d6c64ef5b4aca6822b38ff79</t>
  </si>
  <si>
    <t>Credit Sesame Prem</t>
  </si>
  <si>
    <t>8bc5ca62d84a463db5dda2e6950e79ab</t>
  </si>
  <si>
    <t>Dom Energyva Utility Sean</t>
  </si>
  <si>
    <t>e1ff0a5be0f4416c883bdfdc7bd1e820</t>
  </si>
  <si>
    <t>5d4877bf79104da8a229b6aaeaac0f4a</t>
  </si>
  <si>
    <t>22b05ce5e5614550ab4352083d7ecdb4</t>
  </si>
  <si>
    <t>Cash App Kaitlyn T</t>
  </si>
  <si>
    <t>7ac173be7dcc4d5b898de81c327706a4</t>
  </si>
  <si>
    <t>9c6ddf767c6f444bace846844c032908</t>
  </si>
  <si>
    <t>88713bd1a6e746a4a347b4a43ecfec2d</t>
  </si>
  <si>
    <t>30f698f9afdf4640a70194ee886d8022</t>
  </si>
  <si>
    <t>16320639d9a64c3d86a7b010efef6c09</t>
  </si>
  <si>
    <t>e888af6edb0c43fabbc7664172ecfe6b</t>
  </si>
  <si>
    <t>29226ba75d8545b4b1182d4ac49c9a28</t>
  </si>
  <si>
    <t>631d3f8c65d4453ebe8bb24f882e874b</t>
  </si>
  <si>
    <t>241f9bb1929f4cc899606d6668310397</t>
  </si>
  <si>
    <t>45eacf3ae6e34da7906d08972dff5b14</t>
  </si>
  <si>
    <t>8965b5b8b2c2440ea37a6b4c257c2160</t>
  </si>
  <si>
    <t>06644121d86243de83e2a519e1d719ea</t>
  </si>
  <si>
    <t>fd6b38f6ece3404e871f2f8d3114c4b9</t>
  </si>
  <si>
    <t>Irs TreasTax Ref Xxx</t>
  </si>
  <si>
    <t>4fe3a7832c554743b9d165c1ebb9758f</t>
  </si>
  <si>
    <t>c0bc8f461eaf4258b2ab5caa36915630</t>
  </si>
  <si>
    <t>44e7eda500ec4e78948badf60948257f</t>
  </si>
  <si>
    <t>49dab49f4bc445d1b0cfd0a8857d65b1</t>
  </si>
  <si>
    <t>12626abd64bd4979b9b21d98c390f20e</t>
  </si>
  <si>
    <t>56f873a768354deeb867752b72d73132</t>
  </si>
  <si>
    <t>8a51cdc9f0944c679cd33342beaab37e</t>
  </si>
  <si>
    <t>89a1d2db11ac49a982fb95cc699f664f</t>
  </si>
  <si>
    <t>24df476e9e6f47d382d76bcde9b0c1b7</t>
  </si>
  <si>
    <t>Va Dept Taxation Withdrawal</t>
  </si>
  <si>
    <t>8cb2af4a7a8046b189b618b18060f7e4</t>
  </si>
  <si>
    <t>accf46ef280f4c51b2368183adc20194</t>
  </si>
  <si>
    <t>Blizzard Entertainment</t>
  </si>
  <si>
    <t>935be01c08dc458aa966d3de5a4fb626</t>
  </si>
  <si>
    <t>Steamg</t>
  </si>
  <si>
    <t>6bd4e9dfa1a74001bc4f0d4d178dd001</t>
  </si>
  <si>
    <t>db5c8fda38d24ac0b0a222eb32cd001f</t>
  </si>
  <si>
    <t>ec77340c786e45f3ae9169886e3f44e6</t>
  </si>
  <si>
    <t>Comp Of Maryland Dir</t>
  </si>
  <si>
    <t>b88936bfe4ed450398b6664c3fae8e27</t>
  </si>
  <si>
    <t>aad9cfc53e304c54a173b771afecff1b</t>
  </si>
  <si>
    <t>a4132b8febfa41cea2711404ec08375a</t>
  </si>
  <si>
    <t>6ce6336936764b6d9a0df1951c9fb430</t>
  </si>
  <si>
    <t>d7f7b309225e495c98e846d9262832e8</t>
  </si>
  <si>
    <t>876ee311d34348bf86bdf070a9baadde</t>
  </si>
  <si>
    <t>bbb9afe8982d4acaa98f89cc3b937bd7</t>
  </si>
  <si>
    <t>8c3c7b1b929f48338a3e33636d32e0b0</t>
  </si>
  <si>
    <t>3e1a5874fa7c415597c80982a174b30a</t>
  </si>
  <si>
    <t>3ac0787c17554e2fbe1fa4a6f7fe6617</t>
  </si>
  <si>
    <t>b9ecea8b47fb4a97aa4906a8783d6ffb</t>
  </si>
  <si>
    <t>24120d358bcc42818d3efa97f44cd372</t>
  </si>
  <si>
    <t>d154b394de764109a30d13ff828a997a</t>
  </si>
  <si>
    <t>Go Fish Poke B</t>
  </si>
  <si>
    <t>4bbc5ec9d1e84534aa0a4ec8ec9970ef</t>
  </si>
  <si>
    <t>Orc Credit One</t>
  </si>
  <si>
    <t>3fca04cd85c44060a53c726f92810f0e</t>
  </si>
  <si>
    <t>ee776496711548ab98c50ba9bb4e00e8</t>
  </si>
  <si>
    <t>c0a997261c4d4967ac385645e5c787ee</t>
  </si>
  <si>
    <t>8e3911e6447849db860625139a262f9f</t>
  </si>
  <si>
    <t>668ccf9e409d4c5394284aaddfffadd8</t>
  </si>
  <si>
    <t>Stagnaro Bros Seaf</t>
  </si>
  <si>
    <t>2dc59c9f3e2e44ea9067f8afaf395a34</t>
  </si>
  <si>
    <t>825bf318737a4821bbc79241cba527f2</t>
  </si>
  <si>
    <t>bb8ad2bf4f884238ae87ec0996444cc0</t>
  </si>
  <si>
    <t>58dcf3c15e9f447d95742ad7f277a29a</t>
  </si>
  <si>
    <t>a5b7670c5fae4ca3b475687ee1cee10c</t>
  </si>
  <si>
    <t>b5565f64a87648129ecc8c119bb87d04</t>
  </si>
  <si>
    <t>b9cf020897e848ba84a727fea0abf665</t>
  </si>
  <si>
    <t>83b0c59134de47189816d1cf5b9e6d84</t>
  </si>
  <si>
    <t>3bc2c80a94f849bbaba3f26444aca483</t>
  </si>
  <si>
    <t>7e8763cac834460dbfb7fc24327a2c4b</t>
  </si>
  <si>
    <t>Cafelatartine</t>
  </si>
  <si>
    <t>35694984b9e84980a588965533f3596a</t>
  </si>
  <si>
    <t>Blue Line Pizza Sa</t>
  </si>
  <si>
    <t>2d2e5d814f014449b242cda7878444dd</t>
  </si>
  <si>
    <t>9008d1f0a86b4b16808d186385b37240</t>
  </si>
  <si>
    <t>Tmobile Postpaid P</t>
  </si>
  <si>
    <t>0462d5d2ce334eb8a7f8f78404481dc6</t>
  </si>
  <si>
    <t>4624a19bd09342c4b1f79f0f0d41585b</t>
  </si>
  <si>
    <t>99a9519acbfd4165a800daadf4dd040e</t>
  </si>
  <si>
    <t>979b34ecd875487eb8a7dd67dba74102</t>
  </si>
  <si>
    <t>I Dumpling</t>
  </si>
  <si>
    <t>bf63e8295d144471aff18ed7271bcd53</t>
  </si>
  <si>
    <t>ac7caa046388459887a561d717093ac0</t>
  </si>
  <si>
    <t>3967f7b11fde4c249597e404531a8e27</t>
  </si>
  <si>
    <t>e24ad41ea07943c5946451635910b22d</t>
  </si>
  <si>
    <t>Iguanas Downtown</t>
  </si>
  <si>
    <t>97ff3f0eb85c4c818f5dfa00b2485736</t>
  </si>
  <si>
    <t>49e586d72b8e4288a26b96d1462f7728</t>
  </si>
  <si>
    <t>2fea98c16d324e8e8ba8491b770a6016</t>
  </si>
  <si>
    <t>5b60c4b542264368ab4d911ee4d1f0e6</t>
  </si>
  <si>
    <t>54a730eb6a3f4229ab5abf858ac020fe</t>
  </si>
  <si>
    <t>bde6c0c838264c6d8da64ab33667a0f4</t>
  </si>
  <si>
    <t>5fa8eb738f664ed18491bc871f03c25c</t>
  </si>
  <si>
    <t>Bos Wahlburger 655</t>
  </si>
  <si>
    <t>1610eae80f8d4472beedbf7e096cf301</t>
  </si>
  <si>
    <t>436feb38796f475d831204759ef8fd93</t>
  </si>
  <si>
    <t>Richmond Airport</t>
  </si>
  <si>
    <t>9096e3e4f916485f920e1774a5b94228</t>
  </si>
  <si>
    <t>982f16cb87a043c794b8e4e6d48301d5</t>
  </si>
  <si>
    <t>En Su Boca</t>
  </si>
  <si>
    <t>1d7a6be59b2b415585b090bb8a0188cd</t>
  </si>
  <si>
    <t>f1fe1f1a9e5a4db7b80a5f6ab160894f</t>
  </si>
  <si>
    <t>5d68fc07b5b840a3820ad4ddf1612bd4</t>
  </si>
  <si>
    <t>c4a32678cb184cc4af0c8506bbb71a11</t>
  </si>
  <si>
    <t>Carytown Gyro</t>
  </si>
  <si>
    <t>436148f0782b498fa8d0a7f46371f8b7</t>
  </si>
  <si>
    <t>95f947efd5f54b29b2f4b6da4fe6b4d4</t>
  </si>
  <si>
    <t>02bed94e8ace4582a144c281114c2152</t>
  </si>
  <si>
    <t>ff2b29351e93493494f4b8c561dd78af</t>
  </si>
  <si>
    <t>19f76ba3fd1d4320b72a458b6031ce8d</t>
  </si>
  <si>
    <t>ac3d9fffd8cb40669318c0756efc155f</t>
  </si>
  <si>
    <t>Mary Angelas Pizze</t>
  </si>
  <si>
    <t>9cbdfb9d246e4373bd67b3e0d12fb201</t>
  </si>
  <si>
    <t>95ffafd62aa649a2a2c66f36b4fb3f1d</t>
  </si>
  <si>
    <t>67d94c3abc284927b989da594f6e995b</t>
  </si>
  <si>
    <t>101437a465f84c7c86aacdc4186670c3</t>
  </si>
  <si>
    <t>c092c93ddfdf4884b4989255441e34b7</t>
  </si>
  <si>
    <t>1b2580b02346456fb5a31f219e1a645e</t>
  </si>
  <si>
    <t>Va Dmv Hampton Csc</t>
  </si>
  <si>
    <t>57dbf66288aa4b92a9ae1c77247deb6d</t>
  </si>
  <si>
    <t>13c327aed15e4453b2a20034ed8496a9</t>
  </si>
  <si>
    <t>2ec697c0a7044def8042ab655dcf5b5d</t>
  </si>
  <si>
    <t>cfa39f70f1894046a146d7b581064616</t>
  </si>
  <si>
    <t>932af2daf5de4f098f7a2c0c271d4725</t>
  </si>
  <si>
    <t>Mike Blendz Barber</t>
  </si>
  <si>
    <t>9b771d2a26564108aede21e68364bc5e</t>
  </si>
  <si>
    <t>834518b5412f492d88ee21620b8b1e63</t>
  </si>
  <si>
    <t>2ef30cbba6824de0bf3f3a1dfc53c961</t>
  </si>
  <si>
    <t>c7701cdf552a43d9aa0c54f6833df4a1</t>
  </si>
  <si>
    <t>cc8e3daed7df4ef0870dccdf3dc88007</t>
  </si>
  <si>
    <t>83a9bc84edd644d4b41131ef59685ff3</t>
  </si>
  <si>
    <t>4296848108424eecaa7e8410bc7204a1</t>
  </si>
  <si>
    <t>Brent Manor Vineyards</t>
  </si>
  <si>
    <t>e06ea27666734e7ca78b8c1d07579a37</t>
  </si>
  <si>
    <t>1001b33c02cc40a4ac45bde1e3c2e72b</t>
  </si>
  <si>
    <t>Dr Hos Humble Pie</t>
  </si>
  <si>
    <t>fb97dac74c514de0b76220f86a0dc071</t>
  </si>
  <si>
    <t>Grace Estate Winer</t>
  </si>
  <si>
    <t>3e48adfd9b6549fca4940e1e82a98e9e</t>
  </si>
  <si>
    <t>903e966f0bf046e5a1e699f2657a683e</t>
  </si>
  <si>
    <t>0ee5f99b77124afeabad74b6ec5668fd</t>
  </si>
  <si>
    <t>China Panda Restau</t>
  </si>
  <si>
    <t>3d3b194f67324130a443cbcc413d630d</t>
  </si>
  <si>
    <t>b59d6b6b6c1c4490a102eb09e22bbe6d</t>
  </si>
  <si>
    <t>49bf52eead424facb5b3ea0e97bcf39c</t>
  </si>
  <si>
    <t>Autozone</t>
  </si>
  <si>
    <t>29275d38e43949fe8f74400dd086f2e6</t>
  </si>
  <si>
    <t>4bdff4cd8a4a4a4fb78351bf647acd47</t>
  </si>
  <si>
    <t>e354a05fa37b4d2abe4dc5852d45b48d</t>
  </si>
  <si>
    <t>bf992ae322bc48c2b47ae9b78f680e91</t>
  </si>
  <si>
    <t>d841d605064844ee9c53e0aa11a3f8bc</t>
  </si>
  <si>
    <t>Burgerworks</t>
  </si>
  <si>
    <t>d7c1d7c386ed478a87b3b54cd081b876</t>
  </si>
  <si>
    <t>74dcc5e6b5a74350a795685e069d3647</t>
  </si>
  <si>
    <t>Lulus Restaurant</t>
  </si>
  <si>
    <t>bc1cc91981aa494d8d2546d6937cb7f9</t>
  </si>
  <si>
    <t>e1b230442b8946518f5f050d31182376</t>
  </si>
  <si>
    <t>b285241771cc4c678fb563d6fb3a9a58</t>
  </si>
  <si>
    <t>3090f004adc4449fa29a693027586d5a</t>
  </si>
  <si>
    <t>Bingo</t>
  </si>
  <si>
    <t>e7379495316c457c9511bf56f872ded2</t>
  </si>
  <si>
    <t>9ebc6891842a423b8b4f94a379235eaf</t>
  </si>
  <si>
    <t>a1a323dd25a84880b29d7e4159126003</t>
  </si>
  <si>
    <t>Penny Lane Pub</t>
  </si>
  <si>
    <t>05b901b6bbff494abb2f26319c6ab616</t>
  </si>
  <si>
    <t>0b9a41c3445445468665e7771b4a7482</t>
  </si>
  <si>
    <t>585d6ed0aa974d82a85f1c89bbb75234</t>
  </si>
  <si>
    <t>13b186a7dccc4e53b93b6c4583a45f5b</t>
  </si>
  <si>
    <t>5f5fb5b2d54c4bdaa194173606089b1a</t>
  </si>
  <si>
    <t>Chanellos Pizza</t>
  </si>
  <si>
    <t>a53b0250ef064089a634ef96f24574d2</t>
  </si>
  <si>
    <t>4e6c5443e2d14fa58f243dbfe9118f08</t>
  </si>
  <si>
    <t>9c21ad3e1c904a8cb66d46b9e67b2130</t>
  </si>
  <si>
    <t>d7babc72604a41a9b4336b3fb48c21c8</t>
  </si>
  <si>
    <t>884854b6b8af44628970833d936a00e9</t>
  </si>
  <si>
    <t>23e2e604408443d8b53cfbfc171b85a9</t>
  </si>
  <si>
    <t>3b2efa6e29a74ab797287c4c7dad5d96</t>
  </si>
  <si>
    <t>2b1e9ad6f7d648558ec6a49159dcf49a</t>
  </si>
  <si>
    <t>Ariannas Italian G</t>
  </si>
  <si>
    <t>ed26988785104b0395885d616eea6025</t>
  </si>
  <si>
    <t>7416218d581a45c19086c75b8478a889</t>
  </si>
  <si>
    <t>Adobe</t>
  </si>
  <si>
    <t>e6d23db9c1684f52908da10a25712048</t>
  </si>
  <si>
    <t>81460c402b104edd91d4f259a80b3255</t>
  </si>
  <si>
    <t>c1fdbc5a53c945c19bd20f43baa96913</t>
  </si>
  <si>
    <t>008e882bdfb2414bb54cd1c357713a04</t>
  </si>
  <si>
    <t>Mcleans Restaurant</t>
  </si>
  <si>
    <t>f508976fc61c4b929c37c478d58c9259</t>
  </si>
  <si>
    <t>5e65887efd0e4ea98cb4c0f263e077bc</t>
  </si>
  <si>
    <t>db32aecdaa68468ab89fc98a1b6319d4</t>
  </si>
  <si>
    <t>dfe5f1edc04e42818eb99ca8f53de7be</t>
  </si>
  <si>
    <t>c45aa5520ac54095831221a108af32f8</t>
  </si>
  <si>
    <t>0a7626d21631436c9306c03e1d333663</t>
  </si>
  <si>
    <t>852d3dfa7f754934b97db6effa71332f</t>
  </si>
  <si>
    <t>288d882f96f34068b500f6a228ae802a</t>
  </si>
  <si>
    <t>Padowshamsanddeli</t>
  </si>
  <si>
    <t>f45eb55e91034128865095f5586e18e0</t>
  </si>
  <si>
    <t>Usps Change Of Add</t>
  </si>
  <si>
    <t>8212c78f9d664fe78d4524d78fe2c292</t>
  </si>
  <si>
    <t>e9f6f040160048d99fa4506c960fa9a5</t>
  </si>
  <si>
    <t>5b95ee4e1acb4f1fb84914b4dd78e406</t>
  </si>
  <si>
    <t>cee12dcac37848d9bdaa801ddc4f7e06</t>
  </si>
  <si>
    <t>626b42f5f8e143898ea56b6f355ba8ce</t>
  </si>
  <si>
    <t>34e405482f2749188562a56d4f39928f</t>
  </si>
  <si>
    <t>9d40c2efe005427c91267e95cdf19565</t>
  </si>
  <si>
    <t>f6878ae6b674496ebbe6747f7ad0ad1e</t>
  </si>
  <si>
    <t>51cbb2bc272a47dbaa134316b27d4fb5</t>
  </si>
  <si>
    <t>Potbelly Sandwich Shop</t>
  </si>
  <si>
    <t>e82b15db387d40a3b2b5312680e7da3c</t>
  </si>
  <si>
    <t>3fa8935fa6384642a9c470636c4c4f59</t>
  </si>
  <si>
    <t>94106aa3afde45ba9dd68f2bf9452763</t>
  </si>
  <si>
    <t>bc81ca36cee142fdb9da7ee3b8852732</t>
  </si>
  <si>
    <t>Crazy Greek</t>
  </si>
  <si>
    <t>b02cbbbe666d40718d6f5759b40c1c49</t>
  </si>
  <si>
    <t>4dfdc27b0ad248bb9f1be1e535e1cd45</t>
  </si>
  <si>
    <t>Azzuri Italian Res</t>
  </si>
  <si>
    <t>9073b57718344d25a50f76c218c73965</t>
  </si>
  <si>
    <t>480ce1f3d89445dc812696c649675032</t>
  </si>
  <si>
    <t>dc972fc86c8344c5907e0464aded420d</t>
  </si>
  <si>
    <t>78df516dc10247d3b4c08eb70116fec0</t>
  </si>
  <si>
    <t>84769895513d4dcf84e09bc7195f3aa8</t>
  </si>
  <si>
    <t>Xfinity Wifi</t>
  </si>
  <si>
    <t>e763d769dc3442589a7df5ae2b3a6091</t>
  </si>
  <si>
    <t>c6ca4d1662544dd3bc53a28cb3e42f6b</t>
  </si>
  <si>
    <t>Overdraft Fee For A</t>
  </si>
  <si>
    <t>a18c4c668a1d4b6cae22b99cd32a2994</t>
  </si>
  <si>
    <t>1a04182b9d5e436f863c3b5267998754</t>
  </si>
  <si>
    <t>Fb Keemo Aladura Pay</t>
  </si>
  <si>
    <t>1d896406cebd495689607c7e198e1f69</t>
  </si>
  <si>
    <t>ddec5ca9ca3a423db2e52acd440d6bf2</t>
  </si>
  <si>
    <t>3abcb70f11984d62a92fe7367eedd5ee</t>
  </si>
  <si>
    <t>db437758c83c4486af59e55ffe5abc76</t>
  </si>
  <si>
    <t>7dda8b4459dd4ea6ace1551977713b08</t>
  </si>
  <si>
    <t>Buddy's Place</t>
  </si>
  <si>
    <t>7ee5a9286f2143009b8f045cde305a97</t>
  </si>
  <si>
    <t>8e11728d33fe4393b69ee4b93496da63</t>
  </si>
  <si>
    <t>3c96c0127aa34d4ea57acdcb023f2c27</t>
  </si>
  <si>
    <t>9194fea7cccf486a8fed05430ed1d1ef</t>
  </si>
  <si>
    <t>Kai Feng Pan Ck</t>
  </si>
  <si>
    <t>09d290ce422a4eb88d9b9cc6ee3cb0bc</t>
  </si>
  <si>
    <t>1804c662bc604b15b14d6c00112dc2b1</t>
  </si>
  <si>
    <t>Cmsvend Cv Richmon N</t>
  </si>
  <si>
    <t>a100ee5c87f34cd39d708eaa499cde59</t>
  </si>
  <si>
    <t>bbc08db4aaab42579ec312da3db46811</t>
  </si>
  <si>
    <t>b1ea2f9d92a44bac903b4b1405c7845a</t>
  </si>
  <si>
    <t>f36f1b176cbb48afac1370c1de5ccff5</t>
  </si>
  <si>
    <t>c2c5ae67b50c42478b137bb651e667ee</t>
  </si>
  <si>
    <t>Pocahontas Parkway</t>
  </si>
  <si>
    <t>4d81aa3df7db4f4cbc25fa92a720af00</t>
  </si>
  <si>
    <t>a64ba4959892406db793db6af59d382b</t>
  </si>
  <si>
    <t>9ec72a81c4c24c719225d72a06859184</t>
  </si>
  <si>
    <t>5c0c04325d244e138848dc9ee450fb3c</t>
  </si>
  <si>
    <t>4b85d2689f15477facc450289ef0cec8</t>
  </si>
  <si>
    <t>d291a0e07add43cdb33593dc5160790b</t>
  </si>
  <si>
    <t>b9793d8de7d9441aa88a99d2cee6b42a</t>
  </si>
  <si>
    <t>Buffalo Wild Wings</t>
  </si>
  <si>
    <t>cc5e32f68a904f83a660f64555322714</t>
  </si>
  <si>
    <t>933c738e3afe40e5a5c8c9c27f4f74e5</t>
  </si>
  <si>
    <t>3ea1f44a36e548e8aa05998e5ed17920</t>
  </si>
  <si>
    <t>116bdf41447d45a1a01891ae22f44ec8</t>
  </si>
  <si>
    <t>de26028b0c09498cb2ababd68fe7ef2b</t>
  </si>
  <si>
    <t>f152fe6147724c49b4eab0e7631b0855</t>
  </si>
  <si>
    <t>Turmeric India</t>
  </si>
  <si>
    <t>98bd9575010f4fe98bba343ce6678fac</t>
  </si>
  <si>
    <t>39d5ed928031437296f7872f0e58580b</t>
  </si>
  <si>
    <t>fcf53ec0aa9e469696b97e325fc36ad1</t>
  </si>
  <si>
    <t>05d6dae06c4b498699dd14b32ca47c53</t>
  </si>
  <si>
    <t>Fuel Pizza F Str</t>
  </si>
  <si>
    <t>43a1b80f6a8c4102ab8082d1005195ec</t>
  </si>
  <si>
    <t>Parkmobile</t>
  </si>
  <si>
    <t>ca36ae03e28e4278b408e7ee469bc07a</t>
  </si>
  <si>
    <t>f12e08a9c6d4406fa651b025ed538152</t>
  </si>
  <si>
    <t>2125ed86c1394955ace5a499e120071f</t>
  </si>
  <si>
    <t>Mapco W Broad S</t>
  </si>
  <si>
    <t>32481cbd2b9e40d297d20401aff058fc</t>
  </si>
  <si>
    <t>Moore St Cafe</t>
  </si>
  <si>
    <t>f405d1078c054d9ca7b37bc22139ba52</t>
  </si>
  <si>
    <t>e40988153d294128836ef2be90629823</t>
  </si>
  <si>
    <t>e9e73f9ccbcd46c9a622c8430eb6137a</t>
  </si>
  <si>
    <t>9cba75bce9e24c6799039f65ac42cc70</t>
  </si>
  <si>
    <t>Ellwood Thompson 4 N</t>
  </si>
  <si>
    <t>221f89b9470f4b2c8d75b6bea25d2a24</t>
  </si>
  <si>
    <t>593287d7634045a78df3a7f1c96e683e</t>
  </si>
  <si>
    <t>d1229bf475e2443a95374c39b8e5ed5d</t>
  </si>
  <si>
    <t>Bp D</t>
  </si>
  <si>
    <t>9abf37ce6642491fb94c3d5b8c10a176</t>
  </si>
  <si>
    <t>cc53ea6c38f14c8ebceba5981d65a339</t>
  </si>
  <si>
    <t>15efc02200c14acc8ca0c6cd62406c8b</t>
  </si>
  <si>
    <t>Prime Video</t>
  </si>
  <si>
    <t>6714377bcc2f49c2b4d93fbddd4cb8b5</t>
  </si>
  <si>
    <t>28557f7c4e5542c098f5eecee763fbeb</t>
  </si>
  <si>
    <t>a3734253e08c42dbb9cf25d3328ed8f9</t>
  </si>
  <si>
    <t>8851fa480e38409792a7786a4a3f7bbe</t>
  </si>
  <si>
    <t>4f8dc6b2ac494843a3d7ceee62423bd3</t>
  </si>
  <si>
    <t>Mbi Setl Hsa Validation</t>
  </si>
  <si>
    <t>29df27a2ea5640dda15f25e054dafff0</t>
  </si>
  <si>
    <t>6021891f86a64de5894c53545b273d33</t>
  </si>
  <si>
    <t>54d21b2de843445e951439a05d6cee77</t>
  </si>
  <si>
    <t>Sally Beauty W</t>
  </si>
  <si>
    <t>378f10cec01f4368ba4b6adcbe25fd6a</t>
  </si>
  <si>
    <t>7428d0fac44a4aa5a6454dd69557acb5</t>
  </si>
  <si>
    <t>7797c98ab58c4d469045c473d3e3e99a</t>
  </si>
  <si>
    <t>Burger King</t>
  </si>
  <si>
    <t>fd7f84d8c06b4ebd8bac33d3e7c32594</t>
  </si>
  <si>
    <t>Ihop</t>
  </si>
  <si>
    <t>3fc6c057c3a94029baffc69a19cdec0d</t>
  </si>
  <si>
    <t>Auntie Anne's</t>
  </si>
  <si>
    <t>c1a1b294172448e0a4524f65381428d0</t>
  </si>
  <si>
    <t>2310343670144c519f12db123aced186</t>
  </si>
  <si>
    <t>511bdbe887e940b78013d3456612b158</t>
  </si>
  <si>
    <t>a963c4c9528141389224e81054ae772d</t>
  </si>
  <si>
    <t>0f276e6c0995406aae530fb324866b43</t>
  </si>
  <si>
    <t>45c08dba575b462787ebadbbe2485cab</t>
  </si>
  <si>
    <t>b7dae7cc925e4c78a8e9d92f0bb32cf9</t>
  </si>
  <si>
    <t>5fa66caff98749299aa566a524398bc7</t>
  </si>
  <si>
    <t>Genghis Grill</t>
  </si>
  <si>
    <t>77a11a02b8ba4f4a98964de7b2fc85db</t>
  </si>
  <si>
    <t>Reg Shortpump 14</t>
  </si>
  <si>
    <t>8e94f34789534117acff2c480f750e0e</t>
  </si>
  <si>
    <t>America's Best</t>
  </si>
  <si>
    <t>4b07081745894e04917dc01a42454c04</t>
  </si>
  <si>
    <t>e2ac132469484408be41ef8a1b3760bf</t>
  </si>
  <si>
    <t>4ecb0d4ca3154c338d440d2fe1e79ffc</t>
  </si>
  <si>
    <t>508bdc8c338e48a6ae9dbc6b69e71b9e</t>
  </si>
  <si>
    <t>3a8bcb867ff64a4cb6b69f24d654ce29</t>
  </si>
  <si>
    <t>390926d449414539b514bc3f61cf0d50</t>
  </si>
  <si>
    <t>Edeposit In Branch Store</t>
  </si>
  <si>
    <t>d0f40822916440f69b407a28b8e4f0d6</t>
  </si>
  <si>
    <t>185f5616738346e3baa05f5fc2613eab</t>
  </si>
  <si>
    <t>c5c387f7336d491fa2fe699e60e72e28</t>
  </si>
  <si>
    <t>87e3af61ac1145fc9c01e670c3cb5a24</t>
  </si>
  <si>
    <t>e2c6db7e0e294d7ea24a82cf37c2df7c</t>
  </si>
  <si>
    <t>7fdf690e117b4b519fa53049783cac7e</t>
  </si>
  <si>
    <t>Amk Allianz Cof Sh</t>
  </si>
  <si>
    <t>3cab55d18b5e4037839166cf1f3c320a</t>
  </si>
  <si>
    <t>e9ba9f4385124c178ca99450fcd5a348</t>
  </si>
  <si>
    <t>63ff2ab953a24e5cbc42816e86d36c0a</t>
  </si>
  <si>
    <t>0a6bb54f1d92448d82e42f67c84153e0</t>
  </si>
  <si>
    <t>b6e5628a1f2a4f6885d806f40fd1482f</t>
  </si>
  <si>
    <t>6cb34fa4507a46be9c65aa057ed2e359</t>
  </si>
  <si>
    <t>7f10f35ede7a4eb6b1d6dda45e8a49d3</t>
  </si>
  <si>
    <t>794b7aea74d64f46a8c4c2fe43dc5dae</t>
  </si>
  <si>
    <t>4b6729779ceb480883f3e477fa702748</t>
  </si>
  <si>
    <t>7f7c57f1508749bc82f1984938ac7f30</t>
  </si>
  <si>
    <t>2e129fc54de64b41afab69b33723199c</t>
  </si>
  <si>
    <t>Strawberry St Mark</t>
  </si>
  <si>
    <t>aa0d290a546545ed919208bd1bb33b8d</t>
  </si>
  <si>
    <t>02909e55170243e1aa96a9e9582f9f4a</t>
  </si>
  <si>
    <t>f9e87aea0611408dbd8b2c9b565c89fa</t>
  </si>
  <si>
    <t>dde95f7a39234dce9e5eff77c646037e</t>
  </si>
  <si>
    <t>Uhl Glen Allen Tru</t>
  </si>
  <si>
    <t>6118a9fc75414e8db1130ba32b84b097</t>
  </si>
  <si>
    <t>Fas Mart 72</t>
  </si>
  <si>
    <t>374fbf348a4f4e5fa3d41b58c1dc5634</t>
  </si>
  <si>
    <t>Movieland Boulevar</t>
  </si>
  <si>
    <t>673b052eb4eb40c59eefd7c2f47dfa2d</t>
  </si>
  <si>
    <t>06a9673359d6415aa43911704a7edbb1</t>
  </si>
  <si>
    <t>Punch Bowl Arlingt</t>
  </si>
  <si>
    <t>67d72b126df245c1a0d3f83fc2144135</t>
  </si>
  <si>
    <t>Ramen Spot Llc</t>
  </si>
  <si>
    <t>a28ec3b5686f4d989d4729ef5f60ee19</t>
  </si>
  <si>
    <t>e7d1c61487e046998839628ac0207790</t>
  </si>
  <si>
    <t>e51da6bb340d45579d06549a78d67d6e</t>
  </si>
  <si>
    <t>334661b073fb4970852a4f8e048ac4cc</t>
  </si>
  <si>
    <t>Cash App Emilsemel</t>
  </si>
  <si>
    <t>0f715672ce1f42f3be23348c9a4be53d</t>
  </si>
  <si>
    <t>129bf3fe9f2840b080f3dbae98f1bfd2</t>
  </si>
  <si>
    <t>Earnin Active Paymentret X</t>
  </si>
  <si>
    <t>40937382abf4473db5802e62d5b91196</t>
  </si>
  <si>
    <t>f235c958751f41beac94626d5501256e</t>
  </si>
  <si>
    <t>930631f1498e497d9f6944ca59f9b790</t>
  </si>
  <si>
    <t>de0fc992000e452da49e48449c4cacb9</t>
  </si>
  <si>
    <t>Vcu Recsports 974</t>
  </si>
  <si>
    <t>70dfb1d8334049e9a98d6196de1935e0</t>
  </si>
  <si>
    <t>Pho 1 Grill</t>
  </si>
  <si>
    <t>f6b48c39125c4c18bd7189329dcad76e</t>
  </si>
  <si>
    <t>32b44620efeb445f8b64d04b5acb0b68</t>
  </si>
  <si>
    <t>6a0985c6639045e5ad4384dbe224b8f8</t>
  </si>
  <si>
    <t>Earninactivehour Payment X Sean</t>
  </si>
  <si>
    <t>b792e1549b4a4010afa2cd47898fa6a4</t>
  </si>
  <si>
    <t>893f76733dff4ce7b125175aae5d6f2a</t>
  </si>
  <si>
    <t>679487b9240644daafb940634ed12b37</t>
  </si>
  <si>
    <t>Pho Sai Gon</t>
  </si>
  <si>
    <t>05345e236b604a8b8ecde807b2ad20ee</t>
  </si>
  <si>
    <t>Af Pollard &amp; Bagby</t>
  </si>
  <si>
    <t>2f65d127805442bfac80b244bdf87b8f</t>
  </si>
  <si>
    <t>98b9e5f648ba487e9a0a13718f843b3a</t>
  </si>
  <si>
    <t>9bbce33424c4460197322e9030e33a6e</t>
  </si>
  <si>
    <t>8d2752d2c0ff4d04bb22eb135e5c0851</t>
  </si>
  <si>
    <t>Mapco</t>
  </si>
  <si>
    <t>a3f41dcc09fe470d80d48d8497958bfc</t>
  </si>
  <si>
    <t>199950d95b2b4e8c95138fd890a46a47</t>
  </si>
  <si>
    <t>7a0f0a89e9cb4ffebca798c12ad6e407</t>
  </si>
  <si>
    <t>37f369b4da8146a3926d41d7915a922e</t>
  </si>
  <si>
    <t>Usps Kiosk</t>
  </si>
  <si>
    <t>3f099e348e5a4d2b8693c14957f8381e</t>
  </si>
  <si>
    <t>Harris Te Campbel</t>
  </si>
  <si>
    <t>683cfe84d7b342aeae19e146d3a8ae50</t>
  </si>
  <si>
    <t>c18973a515424e0d81e23228dcef0821</t>
  </si>
  <si>
    <t>f143c3e5229c4baea3864b233e0027d9</t>
  </si>
  <si>
    <t>bba56ba8ad734875bb4885c3abcfa0a3</t>
  </si>
  <si>
    <t>465fd5795a3f4cd79937058e23a4ec59</t>
  </si>
  <si>
    <t>3aede8da846b46b3a6c6a77c9b60eb9f</t>
  </si>
  <si>
    <t>6f00b14d5d64447cb13d16320b76611e</t>
  </si>
  <si>
    <t>cd5976c3b1a84c69843735da793a5789</t>
  </si>
  <si>
    <t>Sts Constanti</t>
  </si>
  <si>
    <t>9b59cea3e9f14f46a4033bd7ae5d2fc6</t>
  </si>
  <si>
    <t>95bdf9ccf52249e3b711338230726a5f</t>
  </si>
  <si>
    <t>Poke Sushi Bowl</t>
  </si>
  <si>
    <t>b62459e9f65d4e48af03b3d3caa3f52d</t>
  </si>
  <si>
    <t>Garden Grove B</t>
  </si>
  <si>
    <t>52bd745fcd6b457c8a4fe671e620be13</t>
  </si>
  <si>
    <t>47f1a87189ab427798c070d5df1fac31</t>
  </si>
  <si>
    <t>f11b284cf6b047e79e778d8d0e4c9b4f</t>
  </si>
  <si>
    <t>Philly Steak And G</t>
  </si>
  <si>
    <t>5e0c5a8e077044b8aa4825322b4dbe0c</t>
  </si>
  <si>
    <t>e97293e3f2004af0af5b986cff51a191</t>
  </si>
  <si>
    <t>Chicken Fiest</t>
  </si>
  <si>
    <t>b8bf76fa9cca4df783d128daaaec73a4</t>
  </si>
  <si>
    <t>cbbaf10d21bf41b0847e2bd36246e920</t>
  </si>
  <si>
    <t>d04b9640ca0d45a49efc38f09c8b2752</t>
  </si>
  <si>
    <t>8aac14a3f47a4e62b7df0aa7b529535d</t>
  </si>
  <si>
    <t>6f8abe75176f455b8f39d5cead926adf</t>
  </si>
  <si>
    <t>bdb856fad1cc467e9c787c26fa0f434e</t>
  </si>
  <si>
    <t>8cba24337ef3478d8956e15b377ddc60</t>
  </si>
  <si>
    <t>Smallcakes A Cupca</t>
  </si>
  <si>
    <t>253db357c100469bbdda75547c4f0f79</t>
  </si>
  <si>
    <t>e656b760d17144d7be47733bdd389c54</t>
  </si>
  <si>
    <t>Yannas Taverna</t>
  </si>
  <si>
    <t>822191cd718b45518534234a37b4a5bc</t>
  </si>
  <si>
    <t>df4e9d89213b47c7a828d55961649200</t>
  </si>
  <si>
    <t>e25100bd47de4651835bd83e87a41ac6</t>
  </si>
  <si>
    <t>28dbb5eae51e4dce8b741af0c44cea5c</t>
  </si>
  <si>
    <t>86c1f1070ff7496faf708d33bc71d486</t>
  </si>
  <si>
    <t>a1a5f1dd9a5e48f0981dee20e7148b2d</t>
  </si>
  <si>
    <t>94f1742a944848c8b9c26e5e9e6dba84</t>
  </si>
  <si>
    <t>Foot Locker</t>
  </si>
  <si>
    <t>fbb6abbc98d048cbb222cbb80e18b633</t>
  </si>
  <si>
    <t>53e85987a87943d9b62b7b5cf86949f9</t>
  </si>
  <si>
    <t>c1b4de02593c43a68be5ee81c0e4e999</t>
  </si>
  <si>
    <t>Crafted</t>
  </si>
  <si>
    <t>404d55eb8eed4e8da0ffbb8120311e18</t>
  </si>
  <si>
    <t>Ticketstoday Jeffe</t>
  </si>
  <si>
    <t>0f8f299bb3b64d958247384315328661</t>
  </si>
  <si>
    <t>f01b43dc4fce413a84a777c77198de88</t>
  </si>
  <si>
    <t>daad8f8331e04f8ea25182bef8e74fa6</t>
  </si>
  <si>
    <t>92a96e179c484bafb154a74a5726a6cf</t>
  </si>
  <si>
    <t>cbe9b9eb39f646e0841c2403156d1f76</t>
  </si>
  <si>
    <t>38d5c778761b45bb996ac8768c3195de</t>
  </si>
  <si>
    <t>4306d4250fa040338258bb78caf38fa0</t>
  </si>
  <si>
    <t>8c3cf1ae1bd1406b8a678252b260a196</t>
  </si>
  <si>
    <t>a047c6a1d0a542baa41805ffb4928bda</t>
  </si>
  <si>
    <t>aded85f91f614371a58adac408451bec</t>
  </si>
  <si>
    <t>Ac Moore Store</t>
  </si>
  <si>
    <t>e0c966dfd6eb4d4e93847538b46d0150</t>
  </si>
  <si>
    <t>c698b75fca54437cb0a651e05018dbbc</t>
  </si>
  <si>
    <t>Ups</t>
  </si>
  <si>
    <t>3be6512518de4671ade0a9ebfc08b6cf</t>
  </si>
  <si>
    <t>08a4fb95ae324661ae3553cac4bce733</t>
  </si>
  <si>
    <t>7858002542b0464c90f65ab6073b3305</t>
  </si>
  <si>
    <t>Greek On Cary</t>
  </si>
  <si>
    <t>13a8925b420c4199a563bf8bb40eb8a2</t>
  </si>
  <si>
    <t>Amazon Amzn Bill</t>
  </si>
  <si>
    <t>b02ae39865214593a8a3150e498b9fc6</t>
  </si>
  <si>
    <t>090d68ff008c4429884868d631542ce2</t>
  </si>
  <si>
    <t>Fb Don E Lewis</t>
  </si>
  <si>
    <t>70b7960493b2462889b26bc4bccb0251</t>
  </si>
  <si>
    <t>d806af8913534e93914acaa920db191a</t>
  </si>
  <si>
    <t>Cracker Barrel</t>
  </si>
  <si>
    <t>a0944237ed844b9caaf82abe2b327a9e</t>
  </si>
  <si>
    <t>Eaglebank Arena</t>
  </si>
  <si>
    <t>f9b8d2c4610740679e6f3e3e2647b1b2</t>
  </si>
  <si>
    <t>Gmu Patriot</t>
  </si>
  <si>
    <t>c65ea0a38ffa491bb4c15fdd7a4753d3</t>
  </si>
  <si>
    <t>Hbi Patriot Center</t>
  </si>
  <si>
    <t>8a4367ed770e488c848cb80cfe5b0c50</t>
  </si>
  <si>
    <t>Stop In Food St</t>
  </si>
  <si>
    <t>9932399b5655425aacbbc3ccfc3b4724</t>
  </si>
  <si>
    <t>b7cce2db28c142528a88255d86f2c3a6</t>
  </si>
  <si>
    <t>Cor Mobile App Met</t>
  </si>
  <si>
    <t>f6384cd9d65048d1a7bd29fe245881f1</t>
  </si>
  <si>
    <t>3c245a658de946f69db54b6fafffc6b4</t>
  </si>
  <si>
    <t>ee0e1b93223c42a9aa1e506138708247</t>
  </si>
  <si>
    <t>Metro Sound &amp; Music</t>
  </si>
  <si>
    <t>935a5260ef5a4010bf6c4342a14ef4f3</t>
  </si>
  <si>
    <t>Go Dragon Asian Gr</t>
  </si>
  <si>
    <t>4b7e6c578fca41678f0681897c7b9aa8</t>
  </si>
  <si>
    <t>d893cd070cd74330ab2d9a857972b7e2</t>
  </si>
  <si>
    <t>Galleykitchen</t>
  </si>
  <si>
    <t>49254135177d41f192a0af9bb9bec496</t>
  </si>
  <si>
    <t>6e6295636c0d47a3bdfde4673296d1f5</t>
  </si>
  <si>
    <t>Dodson Pest Richmo</t>
  </si>
  <si>
    <t>dca6ae1620d54df38dd547d5049e4ec3</t>
  </si>
  <si>
    <t>ccab0bfa9b7f49f8a10a200bbeffdc37</t>
  </si>
  <si>
    <t>69e892f6558e438e8f1f41944a918418</t>
  </si>
  <si>
    <t>d174c8c1e68949829d350b288a61e166</t>
  </si>
  <si>
    <t>6bcda3cef5ed4d3c89dcaf15ffe0dcb7</t>
  </si>
  <si>
    <t>9200f448d72e4866a35de1215e34855a</t>
  </si>
  <si>
    <t>Non Wells Fargo Atm</t>
  </si>
  <si>
    <t>209e814b049144f98b21db765b10b205</t>
  </si>
  <si>
    <t>Non Wf Atm Withdrawal</t>
  </si>
  <si>
    <t>e2adb6d1bf704824b415af63ea108a1d</t>
  </si>
  <si>
    <t>5c33c3ecbd9d4430a8e4560ca87e0076</t>
  </si>
  <si>
    <t>a333c6071d9e4af4b2f392cb6dd4f9ea</t>
  </si>
  <si>
    <t>9e32db29fea04eb7a788b14a9901923f</t>
  </si>
  <si>
    <t>9aba1cdf9cb0475ca343da236833abf8</t>
  </si>
  <si>
    <t>Dpj Maymont Founda</t>
  </si>
  <si>
    <t>26465e5ace03487db792f263c8bca770</t>
  </si>
  <si>
    <t>Burger Bach</t>
  </si>
  <si>
    <t>677e3d4e3e634950b339b6873aced47c</t>
  </si>
  <si>
    <t>d8d09675743047eebd5fb8f4cb607648</t>
  </si>
  <si>
    <t>b6d64bbcbed04de9841078801cb1805e</t>
  </si>
  <si>
    <t>2868ba9a61194e78b7e96974bad02be9</t>
  </si>
  <si>
    <t>98e662b9d65a41a2be6dd0cb0adecefe</t>
  </si>
  <si>
    <t>9d7e86bd3807403b8875dbe06019b008</t>
  </si>
  <si>
    <t>49c50850107845d09a13151ecd16ee1c</t>
  </si>
  <si>
    <t>59afe781c91440bbbbd01ba26bd55dbb</t>
  </si>
  <si>
    <t>a1f96855ec7a4671a06cbaf046f2ebea</t>
  </si>
  <si>
    <t>1f07d677aaf948778c2048a23619b25b</t>
  </si>
  <si>
    <t>Foo Dog</t>
  </si>
  <si>
    <t>93ebd933e8014b6684b2e62376351da3</t>
  </si>
  <si>
    <t>2e92da2fc16247d2abcf6dd6f842b827</t>
  </si>
  <si>
    <t>0896b31a61d242179d05db55b082a203</t>
  </si>
  <si>
    <t>1b9e082971b540aa9a86f4edec7056ee</t>
  </si>
  <si>
    <t>3f6023562a024675bbd21e34b1edf7cd</t>
  </si>
  <si>
    <t>ede06a070773416d9528acfb08e562c0</t>
  </si>
  <si>
    <t>Vz Wireless Ve E</t>
  </si>
  <si>
    <t>bc9824de63a140a68f102d8ed218e362</t>
  </si>
  <si>
    <t>75980319ba7243c7a84e828ea7c3ef3f</t>
  </si>
  <si>
    <t>b79b5d3457cd4c6498961193aae18215</t>
  </si>
  <si>
    <t>fd69b681ea864663ad391ffd2c3eee66</t>
  </si>
  <si>
    <t>Aago Indian Nepale</t>
  </si>
  <si>
    <t>520c6640c4c04d9a82e97da22663ff8e</t>
  </si>
  <si>
    <t>Viking Burger</t>
  </si>
  <si>
    <t>85f079b9b92a49bea0597026e762ed63</t>
  </si>
  <si>
    <t>969cf8eb381f49f4bcc6bf0f85bdab43</t>
  </si>
  <si>
    <t>3d7b8bc9662b422eb21c4ea0fe7749ce</t>
  </si>
  <si>
    <t>c734df75b15a4485b8be5d568f36663f</t>
  </si>
  <si>
    <t>36ff8526a6544852a3a848536ad1fa6e</t>
  </si>
  <si>
    <t>cc2b38df3dd04411b98697b6e6461c55</t>
  </si>
  <si>
    <t>267b2c7950004943bf903bbd430f9a13</t>
  </si>
  <si>
    <t>98f31c1a44574c208af34e036ab8cada</t>
  </si>
  <si>
    <t>baf93c97129043a58b8ad5846ee838ed</t>
  </si>
  <si>
    <t>d5cc933e42274872b115269e6cefdea3</t>
  </si>
  <si>
    <t>2c2c3917afcc42c0be195bd3befec5e4</t>
  </si>
  <si>
    <t>56da09813c6745ef9a07507735cdda8e</t>
  </si>
  <si>
    <t>f96e4a1ea77c4348b5c72c9f5274b079</t>
  </si>
  <si>
    <t>1ceec0430c284d809d152482596e5918</t>
  </si>
  <si>
    <t>5bcd3d9292fe432fb8edd4e152784121</t>
  </si>
  <si>
    <t>c375f7fbd4364ffd9022e6519453f2d0</t>
  </si>
  <si>
    <t>98fd03171d25479a8b7fbd1693facbc8</t>
  </si>
  <si>
    <t>4Th S</t>
  </si>
  <si>
    <t>15f5ba1f2dc04de09b74b04e0b05cb57</t>
  </si>
  <si>
    <t>2392f4f08d414212a7c0d12e4600e807</t>
  </si>
  <si>
    <t>553507aa518c4e27a16d8a6f89ca109c</t>
  </si>
  <si>
    <t>b0ca001079fb47a180db5b9633cc9c19</t>
  </si>
  <si>
    <t>f2f38a9282e3462b8257025a9d1d7fa8</t>
  </si>
  <si>
    <t>4b5b4ec286e945209f52d9c04aa1eac0</t>
  </si>
  <si>
    <t>377bb479cb0447a3ba02bf1bd2816cbc</t>
  </si>
  <si>
    <t>4d1c9ee9c70441398449afed9654f823</t>
  </si>
  <si>
    <t>Tobi Lou Llc</t>
  </si>
  <si>
    <t>d897f0292db748b485a9683880168dc6</t>
  </si>
  <si>
    <t>f678d97b229645ceb539d927b3318942</t>
  </si>
  <si>
    <t>580fb8357d524ac8b4a8e4b4303d4730</t>
  </si>
  <si>
    <t>ee15e5ac67764bbbb5ac68b5aaf5cea3</t>
  </si>
  <si>
    <t>0aeb0eb24e2f4980afb430bab217bd94</t>
  </si>
  <si>
    <t>a21a206b22134d7ea094bad43837ff3f</t>
  </si>
  <si>
    <t>Crossroads Coffee</t>
  </si>
  <si>
    <t>208c023376db49f3907b4e0189a553d4</t>
  </si>
  <si>
    <t>Belt Blvd Expr</t>
  </si>
  <si>
    <t>2a230e07d2ff4d8fa3be56c714a7d170</t>
  </si>
  <si>
    <t>Brewer's Cafe</t>
  </si>
  <si>
    <t>f5d63865cf7640c7ac80f2c61d02047d</t>
  </si>
  <si>
    <t>ef956819b0f74122b500ce17097a8946</t>
  </si>
  <si>
    <t>06ee01b041c24c5ca3dea8be3f6bff3a</t>
  </si>
  <si>
    <t>8a671320a2ef44e4abfde749de927772</t>
  </si>
  <si>
    <t>Crunch West E</t>
  </si>
  <si>
    <t>1a25674f37d240d194014b2a2cf35f94</t>
  </si>
  <si>
    <t>0234937915d449399c9b48a4678c4677</t>
  </si>
  <si>
    <t>1e5fab94919e42888c7d950c6c7e7bdb</t>
  </si>
  <si>
    <t>cb5155ba89f04682be449ecedb5ff51a</t>
  </si>
  <si>
    <t>73c47403d9674ad9a076f8b1090919d6</t>
  </si>
  <si>
    <t>Short Pump Stm 14</t>
  </si>
  <si>
    <t>2440c5258cec41bca492fbb830a79ab9</t>
  </si>
  <si>
    <t>Wob Richmond</t>
  </si>
  <si>
    <t>fa3768ad706b40a19f97e01c6db7e0e0</t>
  </si>
  <si>
    <t>9aa34230c71a41699cbfcf299c5e3d79</t>
  </si>
  <si>
    <t>Kreggers At Hand</t>
  </si>
  <si>
    <t>356fd18fa88c4a6a90ab2f35f2eb2bd1</t>
  </si>
  <si>
    <t>4ab3184a0ed54db7acdfc6ae2917016f</t>
  </si>
  <si>
    <t>4a3f33af13034218bfc504a5208d3790</t>
  </si>
  <si>
    <t>2ac0835264e74d8180e3c3af23cbce2f</t>
  </si>
  <si>
    <t>Parking Panda</t>
  </si>
  <si>
    <t>9d38a5630c15464588f979a3798dc21b</t>
  </si>
  <si>
    <t>U Street Music Hal</t>
  </si>
  <si>
    <t>786a0d8796d3493f8fc8415e2da58699</t>
  </si>
  <si>
    <t>2899c508b0d54ffcb9dfa63fe2e9a789</t>
  </si>
  <si>
    <t>50cb1ae4f1054601981248a4479110e8</t>
  </si>
  <si>
    <t>d91f57bd9793433abd1c76bb4dafa46e</t>
  </si>
  <si>
    <t>47d3646b868f41c5bb9bb298c6a5596f</t>
  </si>
  <si>
    <t>8d891267b1ab4682bf3c0d97680a550e</t>
  </si>
  <si>
    <t>cee58824852245a48ccd08a0fcb006c8</t>
  </si>
  <si>
    <t>a12040ed1fbc4bb9911bd00557ac7951</t>
  </si>
  <si>
    <t>fa8a7115860b4a949cf181b9a52c152c</t>
  </si>
  <si>
    <t>Pupatella Rva</t>
  </si>
  <si>
    <t>21fb5370eb9f4f9aafa30da2ceed7592</t>
  </si>
  <si>
    <t>Cafe Fili</t>
  </si>
  <si>
    <t>57e0bd79930d4cf692787774d73f6c2f</t>
  </si>
  <si>
    <t>Uhl Broad Street M</t>
  </si>
  <si>
    <t>5ea9aaa39bc240049c4ad1a1656322a4</t>
  </si>
  <si>
    <t>2c29566d9a1c4630aee7ddb367fa6164</t>
  </si>
  <si>
    <t>68a4e7f8993f4ef4b1988eaea86490c4</t>
  </si>
  <si>
    <t>b88f53f7b48d43ef998b6f116e766a45</t>
  </si>
  <si>
    <t>fcd2d9131f524a9e9781947991d86a27</t>
  </si>
  <si>
    <t>cfd724bafbe04b90908e42eef1c2101a</t>
  </si>
  <si>
    <t>86d0bb795ed540848cabc2c2bbc33fa6</t>
  </si>
  <si>
    <t>90d767e06c174a2598dc9d6b3b39bf95</t>
  </si>
  <si>
    <t>9935d27b92b44d72852d51afdb622c56</t>
  </si>
  <si>
    <t>a975a3d702ea425a8a549bef68da4132</t>
  </si>
  <si>
    <t>Six Flags</t>
  </si>
  <si>
    <t>62063c0eb76c43e797beac9fabae32ec</t>
  </si>
  <si>
    <t>8bb989433c8546f89af8ea11154b7d10</t>
  </si>
  <si>
    <t>Fas MartMechanicsvill</t>
  </si>
  <si>
    <t>384ad46697b24d38b92762763878b492</t>
  </si>
  <si>
    <t>a1d71512033b409c901ba6fd67d83cb0</t>
  </si>
  <si>
    <t>1bb5f0962fad463eacb9b8248a27876a</t>
  </si>
  <si>
    <t>34a2e2ce0539446daf240a50cdf11e9e</t>
  </si>
  <si>
    <t>Usa Elaut Usa Inc</t>
  </si>
  <si>
    <t>fd05e058db5546d2b91f24a773b5c29b</t>
  </si>
  <si>
    <t>32166325fa9842568c2eeea569415cbc</t>
  </si>
  <si>
    <t>Hardywood Rich</t>
  </si>
  <si>
    <t>8628e5ca93d644149b6e8063abba867a</t>
  </si>
  <si>
    <t>8c1419a3605741c7a0aa4df6a4d63f71</t>
  </si>
  <si>
    <t>La Bete</t>
  </si>
  <si>
    <t>5b876e4d2c6d48f3a76ffc87d74ad95c</t>
  </si>
  <si>
    <t>Capitol Waffle</t>
  </si>
  <si>
    <t>7e70199dd8b64c24b2248f5f2a3cfda9</t>
  </si>
  <si>
    <t>507b056ec32c46a28f1fe31bf6d9cfae</t>
  </si>
  <si>
    <t>906ece1e43ed429e858f9703e364bab8</t>
  </si>
  <si>
    <t>9b308e39fad4405e8a6681cbe964121b</t>
  </si>
  <si>
    <t>Gelati Celesti</t>
  </si>
  <si>
    <t>7659fc65d10e4ddba0c7a3033e5a5151</t>
  </si>
  <si>
    <t>Apple Store</t>
  </si>
  <si>
    <t>42238c0de03449b8a4ebb301daef9fa6</t>
  </si>
  <si>
    <t>54c6a6cb4e874fda8f5d9c64341b0d5b</t>
  </si>
  <si>
    <t>abb1e324d7984629af3ea063a7d44751</t>
  </si>
  <si>
    <t>c40b6dff46034f6284b6b216698a1018</t>
  </si>
  <si>
    <t>90bb019b232a41839a8b1ee417c22781</t>
  </si>
  <si>
    <t>TD Ameritrade</t>
  </si>
  <si>
    <t>21141238982c4fb29d514707963012ad</t>
  </si>
  <si>
    <t>4951</t>
  </si>
  <si>
    <t>Brokerage Account - 4951</t>
  </si>
  <si>
    <t>refund</t>
  </si>
  <si>
    <t>Education</t>
  </si>
  <si>
    <t>176bb18879794c26920d3f8de43e9847</t>
  </si>
  <si>
    <t>Government</t>
  </si>
  <si>
    <t>75e762f3a92a4fdc84f7e263d1d6f29a</t>
  </si>
  <si>
    <t>01a08ee0780d41da979351ef7694e331</t>
  </si>
  <si>
    <t>Gasbuddy Gasbuddy I Sean</t>
  </si>
  <si>
    <t>9a344c85d2da46aea3e821ddc498ca0d</t>
  </si>
  <si>
    <t>13c421aa822f4baeaa32cdb8037476dd</t>
  </si>
  <si>
    <t>99fcbd1cc5f148199a7635d3030caa09</t>
  </si>
  <si>
    <t>cc33692b843a41dcb4984cfa8ea31139</t>
  </si>
  <si>
    <t>Fubotv</t>
  </si>
  <si>
    <t>16933586343b44baa2d216c8d53e84b4</t>
  </si>
  <si>
    <t>5943758b2b02454590e07bad384f2f61</t>
  </si>
  <si>
    <t>89a8be464d0145b080a34dcd39d5b481</t>
  </si>
  <si>
    <t>a9b4a1f76fef41f38fd2624c8638f715</t>
  </si>
  <si>
    <t>b3da483f5df84ea3adf63a5e109923eb</t>
  </si>
  <si>
    <t>1382b516394e41389bb73446374cb62a</t>
  </si>
  <si>
    <t>bc88f5775b2b46ea95200a2e75c49d90</t>
  </si>
  <si>
    <t>2ce6ad7a2aa6454980491d33acf74039</t>
  </si>
  <si>
    <t>add987bc52c84e59b1f385cf4de5f6d3</t>
  </si>
  <si>
    <t>1ca9f6d2c6bf45c593832274fddd0342</t>
  </si>
  <si>
    <t>772663b38aaf4f1f8cd82c9a56ff8616</t>
  </si>
  <si>
    <t>March 2021</t>
  </si>
  <si>
    <t>Apps</t>
  </si>
  <si>
    <t>c0719b622f4546f1b497c50df9768cb0</t>
  </si>
  <si>
    <t>Fixed</t>
  </si>
  <si>
    <t>Variable</t>
  </si>
  <si>
    <t>a36684c6cc8a402e8c2cf99a8e29b8a0</t>
  </si>
  <si>
    <t>SubCategory Type</t>
  </si>
  <si>
    <t>ea384fdcbf004c91a2b37c336a74368a</t>
  </si>
  <si>
    <t>Principal Financial Group - Participant Logon</t>
  </si>
  <si>
    <t>febeaf892c0d42ca953f873555a77366</t>
  </si>
  <si>
    <t>5568</t>
  </si>
  <si>
    <t>Sean Lewis</t>
  </si>
  <si>
    <t>fcbfdd06456d4b7d9d6cf0b4667c7de2</t>
  </si>
  <si>
    <t>229b6a349cc4475a9b5c910a8a432dab</t>
  </si>
  <si>
    <t>Fersguide Llc</t>
  </si>
  <si>
    <t>bb7a0ea91fc246dcbdaf2b270d63a878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</si>
</sst>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6" formatCode="&quot;$&quot;#,##0_);[Red]\(&quot;$&quot;#,##0\)"/>
    <numFmt numFmtId="164" formatCode="&quot;$&quot;#,##0.00"/>
    <numFmt numFmtId="165" formatCode="_([$$-409]* #,##0_);_([$$-409]* \(#,##0\);_([$$-409]* &quot;-&quot;??_);_(@_)"/>
    <numFmt numFmtId="166" formatCode="mm/dd/yyyy"/>
    <numFmt numFmtId="167" formatCode="0000"/>
    <numFmt numFmtId="168" formatCode="[$-409]mmm\-yy;@"/>
    <numFmt numFmtId="169" formatCode="[$-409]mmmm\-yy;@"/>
    <numFmt numFmtId="170" formatCode="0.0%"/>
    <numFmt numFmtId="171" formatCode="&quot;$&quot;#,##0"/>
    <numFmt numFmtId="172" formatCode="mmmm\ yyyy"/>
    <numFmt numFmtId="173" formatCode="&quot;$&quot;#,###"/>
    <numFmt numFmtId="174" formatCode="[$-409]mmmm\ yyyy;@"/>
  </numFmts>
  <fonts count="4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28"/>
      <color theme="1" tint="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78D4"/>
      <name val="Calibri"/>
      <family val="2"/>
      <scheme val="minor"/>
    </font>
    <font>
      <sz val="11"/>
      <color rgb="FF7030A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24"/>
      <color rgb="FF2C7B50"/>
      <name val="Calibri"/>
      <family val="2"/>
      <scheme val="minor"/>
    </font>
    <font>
      <sz val="11"/>
      <color rgb="FF2C7B5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3078CD"/>
      <name val="Calibri"/>
      <family val="2"/>
      <scheme val="minor"/>
    </font>
    <font>
      <b/>
      <sz val="16"/>
      <color theme="1" tint="0.249977111117893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1"/>
      <color rgb="FF3078CD"/>
      <name val="Calibri"/>
      <family val="2"/>
      <scheme val="minor"/>
    </font>
    <font>
      <sz val="28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5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4"/>
      <color rgb="FF169B56"/>
      <name val="Calibri"/>
      <family val="2"/>
      <scheme val="minor"/>
    </font>
    <font>
      <sz val="11"/>
      <color rgb="FF59595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7"/>
      <color rgb="FF000000"/>
      <name val="Calibri"/>
      <family val="2"/>
      <scheme val="minor"/>
    </font>
    <font>
      <b/>
      <sz val="7"/>
      <color rgb="FF000000"/>
      <name val="Calibri"/>
      <family val="2"/>
      <scheme val="minor"/>
    </font>
    <font>
      <sz val="7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A0D7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AE5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D4E88"/>
        <bgColor indexed="64"/>
      </patternFill>
    </fill>
    <fill>
      <patternFill patternType="solid">
        <fgColor rgb="FF33A8B8"/>
        <bgColor indexed="64"/>
      </patternFill>
    </fill>
    <fill>
      <patternFill patternType="solid">
        <fgColor rgb="FF3078CD"/>
        <bgColor indexed="64"/>
      </patternFill>
    </fill>
    <fill>
      <patternFill patternType="solid">
        <fgColor rgb="FFF3AD59"/>
        <bgColor indexed="64"/>
      </patternFill>
    </fill>
    <fill>
      <patternFill patternType="solid">
        <fgColor rgb="FF668A95"/>
        <bgColor indexed="64"/>
      </patternFill>
    </fill>
    <fill>
      <patternFill patternType="solid">
        <fgColor rgb="FFB9D272"/>
        <bgColor indexed="64"/>
      </patternFill>
    </fill>
    <fill>
      <patternFill patternType="solid">
        <fgColor rgb="FFC9DFFA"/>
        <bgColor indexed="64"/>
      </patternFill>
    </fill>
    <fill>
      <patternFill patternType="solid">
        <fgColor rgb="FF4EAA5E"/>
        <bgColor indexed="64"/>
      </patternFill>
    </fill>
    <fill>
      <patternFill patternType="solid">
        <fgColor rgb="FFE1F0D9"/>
        <bgColor indexed="64"/>
      </patternFill>
    </fill>
    <fill>
      <patternFill patternType="solid">
        <fgColor rgb="FFD7EEE2"/>
        <bgColor indexed="64"/>
      </patternFill>
    </fill>
    <fill>
      <patternFill patternType="solid">
        <fgColor rgb="FFD1EBDE"/>
        <bgColor indexed="64"/>
      </patternFill>
    </fill>
    <fill>
      <patternFill patternType="solid">
        <fgColor rgb="FFF6EADE"/>
        <bgColor indexed="64"/>
      </patternFill>
    </fill>
    <fill>
      <patternFill patternType="solid">
        <fgColor rgb="FFDAE1F1"/>
        <bgColor indexed="64"/>
      </patternFill>
    </fill>
    <fill>
      <patternFill patternType="solid">
        <fgColor rgb="FFA9D08E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theme="0" tint="-0.34998626667073579"/>
      </bottom>
      <diagonal/>
    </border>
    <border>
      <left/>
      <right/>
      <top style="thick">
        <color theme="6"/>
      </top>
      <bottom/>
      <diagonal/>
    </border>
    <border>
      <left style="medium">
        <color rgb="FFD9D9D9"/>
      </left>
      <right/>
      <top style="medium">
        <color rgb="FFD9D9D9"/>
      </top>
      <bottom/>
      <diagonal/>
    </border>
    <border>
      <left/>
      <right/>
      <top style="medium">
        <color rgb="FFD9D9D9"/>
      </top>
      <bottom/>
      <diagonal/>
    </border>
    <border>
      <left/>
      <right style="medium">
        <color rgb="FFD9D9D9"/>
      </right>
      <top style="medium">
        <color rgb="FFD9D9D9"/>
      </top>
      <bottom/>
      <diagonal/>
    </border>
    <border>
      <left style="medium">
        <color rgb="FFD9D9D9"/>
      </left>
      <right/>
      <top/>
      <bottom/>
      <diagonal/>
    </border>
    <border>
      <left/>
      <right style="medium">
        <color rgb="FFD9D9D9"/>
      </right>
      <top/>
      <bottom/>
      <diagonal/>
    </border>
    <border>
      <left style="medium">
        <color rgb="FFD9D9D9"/>
      </left>
      <right/>
      <top/>
      <bottom style="medium">
        <color rgb="FFD9D9D9"/>
      </bottom>
      <diagonal/>
    </border>
    <border>
      <left/>
      <right/>
      <top/>
      <bottom style="medium">
        <color rgb="FFD9D9D9"/>
      </bottom>
      <diagonal/>
    </border>
    <border>
      <left/>
      <right style="medium">
        <color rgb="FFD9D9D9"/>
      </right>
      <top/>
      <bottom style="medium">
        <color rgb="FFD9D9D9"/>
      </bottom>
      <diagonal/>
    </border>
    <border>
      <left style="thick">
        <color rgb="FF75ADF0"/>
      </left>
      <right/>
      <top style="thick">
        <color rgb="FF75ADF0"/>
      </top>
      <bottom style="thick">
        <color rgb="FF75ADF0"/>
      </bottom>
      <diagonal/>
    </border>
    <border>
      <left/>
      <right/>
      <top style="thick">
        <color rgb="FF75ADF0"/>
      </top>
      <bottom style="thick">
        <color rgb="FF75ADF0"/>
      </bottom>
      <diagonal/>
    </border>
    <border>
      <left/>
      <right style="thick">
        <color rgb="FF75ADF0"/>
      </right>
      <top style="thick">
        <color rgb="FF75ADF0"/>
      </top>
      <bottom style="thick">
        <color rgb="FF75ADF0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Dashed">
        <color auto="1"/>
      </bottom>
      <diagonal/>
    </border>
    <border>
      <left/>
      <right style="thin">
        <color rgb="FFA6A6A6"/>
      </right>
      <top/>
      <bottom/>
      <diagonal/>
    </border>
    <border>
      <left/>
      <right/>
      <top/>
      <bottom style="medium">
        <color rgb="FFB7B7B7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B7B7B7"/>
      </top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000000"/>
      </bottom>
      <diagonal/>
    </border>
    <border>
      <left style="medium">
        <color rgb="FFB7B7B7"/>
      </left>
      <right/>
      <top/>
      <bottom/>
      <diagonal/>
    </border>
    <border>
      <left/>
      <right style="medium">
        <color rgb="FFB7B7B7"/>
      </right>
      <top style="medium">
        <color rgb="FFB7B7B7"/>
      </top>
      <bottom/>
      <diagonal/>
    </border>
    <border>
      <left/>
      <right style="medium">
        <color rgb="FFB7B7B7"/>
      </right>
      <top/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B7B7B7"/>
      </right>
      <top/>
      <bottom style="medium">
        <color rgb="FFB7B7B7"/>
      </bottom>
      <diagonal/>
    </border>
    <border>
      <left style="medium">
        <color rgb="FFB7B7B7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B7B7B7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A6A6A6"/>
      </bottom>
      <diagonal/>
    </border>
    <border>
      <left style="medium">
        <color rgb="FFA6A6A6"/>
      </left>
      <right/>
      <top/>
      <bottom style="medium">
        <color rgb="FFA6A6A6"/>
      </bottom>
      <diagonal/>
    </border>
    <border>
      <left style="medium">
        <color rgb="FFA6A6A6"/>
      </left>
      <right/>
      <top/>
      <bottom/>
      <diagonal/>
    </border>
    <border>
      <left/>
      <right style="medium">
        <color rgb="FFA6A6A6"/>
      </right>
      <top/>
      <bottom/>
      <diagonal/>
    </border>
    <border>
      <left/>
      <right style="medium">
        <color rgb="FFA6A6A6"/>
      </right>
      <top/>
      <bottom style="medium">
        <color rgb="FFA6A6A6"/>
      </bottom>
      <diagonal/>
    </border>
    <border>
      <left style="medium">
        <color rgb="FFA6A6A6"/>
      </left>
      <right/>
      <top style="medium">
        <color rgb="FFA6A6A6"/>
      </top>
      <bottom/>
      <diagonal/>
    </border>
    <border>
      <left/>
      <right/>
      <top style="medium">
        <color rgb="FFA6A6A6"/>
      </top>
      <bottom/>
      <diagonal/>
    </border>
    <border>
      <left/>
      <right style="medium">
        <color rgb="FFA6A6A6"/>
      </right>
      <top style="medium">
        <color rgb="FFA6A6A6"/>
      </top>
      <bottom/>
      <diagonal/>
    </border>
    <border>
      <left/>
      <right/>
      <top/>
      <bottom style="thick">
        <color rgb="FF70AD4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89">
    <xf numFmtId="0" fontId="0" fillId="0" borderId="0" xfId="0"/>
    <xf numFmtId="0" fontId="2" fillId="2" borderId="3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2" fillId="7" borderId="4" xfId="0" applyFont="1" applyFill="1" applyBorder="1" applyAlignment="1">
      <alignment vertical="center"/>
    </xf>
    <xf numFmtId="0" fontId="2" fillId="7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4" fillId="0" borderId="0" xfId="0" applyFont="1" applyAlignment="1">
      <alignment horizontal="centerContinuous" wrapText="1"/>
    </xf>
    <xf numFmtId="0" fontId="4" fillId="2" borderId="0" xfId="0" applyFont="1" applyFill="1" applyAlignment="1">
      <alignment horizontal="centerContinuous"/>
    </xf>
    <xf numFmtId="0" fontId="5" fillId="0" borderId="0" xfId="0" applyFont="1" applyAlignment="1">
      <alignment horizontal="center" wrapText="1"/>
    </xf>
    <xf numFmtId="14" fontId="0" fillId="2" borderId="0" xfId="0" applyNumberFormat="1" applyFont="1" applyFill="1"/>
    <xf numFmtId="0" fontId="0" fillId="2" borderId="0" xfId="0" applyFont="1" applyFill="1"/>
    <xf numFmtId="0" fontId="0" fillId="0" borderId="0" xfId="0" applyFont="1"/>
    <xf numFmtId="6" fontId="0" fillId="2" borderId="0" xfId="0" applyNumberFormat="1" applyFont="1" applyFill="1"/>
    <xf numFmtId="0" fontId="1" fillId="2" borderId="0" xfId="1" applyFont="1" applyFill="1"/>
    <xf numFmtId="172" fontId="4" fillId="2" borderId="0" xfId="0" applyNumberFormat="1" applyFont="1" applyFill="1"/>
    <xf numFmtId="0" fontId="0" fillId="2" borderId="0" xfId="0" applyFont="1" applyFill="1" applyAlignment="1">
      <alignment wrapText="1"/>
    </xf>
    <xf numFmtId="166" fontId="0" fillId="2" borderId="0" xfId="0" applyNumberFormat="1" applyFont="1" applyFill="1"/>
    <xf numFmtId="0" fontId="0" fillId="0" borderId="2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2" borderId="2" xfId="0" applyFont="1" applyFill="1" applyBorder="1"/>
    <xf numFmtId="0" fontId="7" fillId="2" borderId="0" xfId="0" applyFont="1" applyFill="1"/>
    <xf numFmtId="0" fontId="0" fillId="2" borderId="0" xfId="0" applyFont="1" applyFill="1" applyAlignment="1">
      <alignment horizontal="center"/>
    </xf>
    <xf numFmtId="0" fontId="0" fillId="10" borderId="0" xfId="0" applyFont="1" applyFill="1"/>
    <xf numFmtId="0" fontId="0" fillId="10" borderId="0" xfId="0" applyFont="1" applyFill="1" applyAlignment="1">
      <alignment horizontal="center"/>
    </xf>
    <xf numFmtId="169" fontId="0" fillId="10" borderId="0" xfId="0" applyNumberFormat="1" applyFont="1" applyFill="1"/>
    <xf numFmtId="165" fontId="0" fillId="10" borderId="0" xfId="0" applyNumberFormat="1" applyFont="1" applyFill="1"/>
    <xf numFmtId="165" fontId="0" fillId="2" borderId="0" xfId="0" applyNumberFormat="1" applyFont="1" applyFill="1"/>
    <xf numFmtId="14" fontId="0" fillId="10" borderId="0" xfId="0" applyNumberFormat="1" applyFont="1" applyFill="1"/>
    <xf numFmtId="6" fontId="0" fillId="10" borderId="0" xfId="0" applyNumberFormat="1" applyFont="1" applyFill="1"/>
    <xf numFmtId="171" fontId="2" fillId="10" borderId="0" xfId="0" applyNumberFormat="1" applyFont="1" applyFill="1"/>
    <xf numFmtId="0" fontId="0" fillId="2" borderId="14" xfId="0" applyFont="1" applyFill="1" applyBorder="1"/>
    <xf numFmtId="0" fontId="8" fillId="2" borderId="15" xfId="0" applyFont="1" applyFill="1" applyBorder="1"/>
    <xf numFmtId="0" fontId="0" fillId="2" borderId="15" xfId="0" applyFont="1" applyFill="1" applyBorder="1"/>
    <xf numFmtId="0" fontId="0" fillId="0" borderId="15" xfId="0" applyFont="1" applyBorder="1"/>
    <xf numFmtId="0" fontId="0" fillId="2" borderId="16" xfId="0" applyFont="1" applyFill="1" applyBorder="1"/>
    <xf numFmtId="169" fontId="0" fillId="9" borderId="0" xfId="0" applyNumberFormat="1" applyFont="1" applyFill="1"/>
    <xf numFmtId="169" fontId="0" fillId="0" borderId="0" xfId="0" applyNumberFormat="1" applyFont="1"/>
    <xf numFmtId="171" fontId="0" fillId="10" borderId="0" xfId="0" applyNumberFormat="1" applyFont="1" applyFill="1"/>
    <xf numFmtId="0" fontId="0" fillId="2" borderId="17" xfId="0" applyFont="1" applyFill="1" applyBorder="1"/>
    <xf numFmtId="0" fontId="9" fillId="2" borderId="0" xfId="0" applyFont="1" applyFill="1"/>
    <xf numFmtId="0" fontId="0" fillId="2" borderId="18" xfId="0" applyFont="1" applyFill="1" applyBorder="1"/>
    <xf numFmtId="0" fontId="0" fillId="11" borderId="0" xfId="0" applyFont="1" applyFill="1"/>
    <xf numFmtId="0" fontId="10" fillId="0" borderId="0" xfId="0" applyFont="1" applyAlignment="1">
      <alignment horizontal="left"/>
    </xf>
    <xf numFmtId="0" fontId="10" fillId="0" borderId="0" xfId="0" applyFont="1"/>
    <xf numFmtId="171" fontId="10" fillId="0" borderId="0" xfId="0" applyNumberFormat="1" applyFont="1"/>
    <xf numFmtId="0" fontId="11" fillId="0" borderId="0" xfId="0" applyFont="1"/>
    <xf numFmtId="0" fontId="8" fillId="0" borderId="0" xfId="0" applyFont="1" applyAlignment="1">
      <alignment vertical="center"/>
    </xf>
    <xf numFmtId="0" fontId="0" fillId="2" borderId="0" xfId="0" applyFont="1" applyFill="1" applyAlignment="1">
      <alignment horizontal="left"/>
    </xf>
    <xf numFmtId="171" fontId="0" fillId="0" borderId="0" xfId="0" applyNumberFormat="1" applyFont="1"/>
    <xf numFmtId="0" fontId="12" fillId="10" borderId="0" xfId="0" applyFont="1" applyFill="1"/>
    <xf numFmtId="165" fontId="13" fillId="10" borderId="0" xfId="0" applyNumberFormat="1" applyFont="1" applyFill="1"/>
    <xf numFmtId="0" fontId="0" fillId="12" borderId="0" xfId="0" applyFont="1" applyFill="1"/>
    <xf numFmtId="0" fontId="0" fillId="13" borderId="0" xfId="0" applyFont="1" applyFill="1"/>
    <xf numFmtId="0" fontId="4" fillId="0" borderId="0" xfId="0" applyFont="1"/>
    <xf numFmtId="0" fontId="14" fillId="0" borderId="0" xfId="0" applyFont="1"/>
    <xf numFmtId="0" fontId="8" fillId="0" borderId="0" xfId="0" applyFont="1"/>
    <xf numFmtId="170" fontId="15" fillId="0" borderId="0" xfId="1" applyNumberFormat="1" applyFont="1" applyFill="1" applyBorder="1" applyAlignment="1">
      <alignment horizontal="right" vertical="center"/>
    </xf>
    <xf numFmtId="0" fontId="4" fillId="2" borderId="0" xfId="0" applyFont="1" applyFill="1"/>
    <xf numFmtId="0" fontId="9" fillId="0" borderId="0" xfId="0" applyFont="1"/>
    <xf numFmtId="0" fontId="0" fillId="14" borderId="0" xfId="0" applyFont="1" applyFill="1"/>
    <xf numFmtId="171" fontId="0" fillId="2" borderId="0" xfId="0" applyNumberFormat="1" applyFont="1" applyFill="1"/>
    <xf numFmtId="0" fontId="15" fillId="0" borderId="0" xfId="1" applyFont="1" applyFill="1" applyBorder="1" applyAlignment="1">
      <alignment horizontal="right" vertical="center"/>
    </xf>
    <xf numFmtId="0" fontId="0" fillId="15" borderId="0" xfId="0" applyFont="1" applyFill="1"/>
    <xf numFmtId="0" fontId="8" fillId="0" borderId="0" xfId="0" applyFont="1" applyAlignment="1">
      <alignment horizontal="right" vertical="center"/>
    </xf>
    <xf numFmtId="0" fontId="0" fillId="16" borderId="0" xfId="0" applyFont="1" applyFill="1"/>
    <xf numFmtId="0" fontId="16" fillId="2" borderId="0" xfId="0" applyFont="1" applyFill="1"/>
    <xf numFmtId="171" fontId="16" fillId="2" borderId="0" xfId="0" applyNumberFormat="1" applyFont="1" applyFill="1"/>
    <xf numFmtId="0" fontId="15" fillId="0" borderId="0" xfId="1" applyFont="1" applyFill="1" applyBorder="1" applyAlignment="1"/>
    <xf numFmtId="0" fontId="0" fillId="2" borderId="19" xfId="0" applyFont="1" applyFill="1" applyBorder="1"/>
    <xf numFmtId="0" fontId="0" fillId="2" borderId="20" xfId="0" applyFont="1" applyFill="1" applyBorder="1"/>
    <xf numFmtId="0" fontId="0" fillId="2" borderId="21" xfId="0" applyFont="1" applyFill="1" applyBorder="1"/>
    <xf numFmtId="0" fontId="1" fillId="2" borderId="13" xfId="1" applyFont="1" applyFill="1" applyBorder="1"/>
    <xf numFmtId="0" fontId="0" fillId="2" borderId="13" xfId="0" applyFont="1" applyFill="1" applyBorder="1"/>
    <xf numFmtId="0" fontId="17" fillId="2" borderId="13" xfId="0" applyFont="1" applyFill="1" applyBorder="1" applyAlignment="1">
      <alignment horizontal="centerContinuous"/>
    </xf>
    <xf numFmtId="0" fontId="4" fillId="2" borderId="15" xfId="0" applyFont="1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right"/>
    </xf>
    <xf numFmtId="0" fontId="15" fillId="0" borderId="20" xfId="1" applyFont="1" applyFill="1" applyBorder="1" applyAlignment="1"/>
    <xf numFmtId="0" fontId="0" fillId="0" borderId="20" xfId="0" applyFont="1" applyBorder="1"/>
    <xf numFmtId="0" fontId="8" fillId="0" borderId="15" xfId="0" applyFont="1" applyBorder="1"/>
    <xf numFmtId="0" fontId="0" fillId="0" borderId="16" xfId="0" applyFont="1" applyBorder="1"/>
    <xf numFmtId="0" fontId="0" fillId="0" borderId="18" xfId="0" applyFont="1" applyBorder="1"/>
    <xf numFmtId="0" fontId="4" fillId="3" borderId="0" xfId="0" applyFont="1" applyFill="1"/>
    <xf numFmtId="0" fontId="4" fillId="3" borderId="0" xfId="0" applyFont="1" applyFill="1" applyAlignment="1">
      <alignment horizontal="right"/>
    </xf>
    <xf numFmtId="0" fontId="18" fillId="0" borderId="18" xfId="0" applyFont="1" applyBorder="1" applyAlignment="1">
      <alignment horizontal="right"/>
    </xf>
    <xf numFmtId="0" fontId="4" fillId="3" borderId="0" xfId="0" applyFont="1" applyFill="1" applyAlignment="1">
      <alignment horizontal="left"/>
    </xf>
    <xf numFmtId="0" fontId="4" fillId="0" borderId="18" xfId="0" applyFont="1" applyBorder="1" applyAlignment="1">
      <alignment horizontal="right"/>
    </xf>
    <xf numFmtId="0" fontId="10" fillId="2" borderId="0" xfId="0" applyFont="1" applyFill="1"/>
    <xf numFmtId="0" fontId="10" fillId="2" borderId="17" xfId="0" applyFont="1" applyFill="1" applyBorder="1"/>
    <xf numFmtId="0" fontId="0" fillId="0" borderId="1" xfId="0" applyFont="1" applyBorder="1"/>
    <xf numFmtId="171" fontId="0" fillId="0" borderId="1" xfId="0" applyNumberFormat="1" applyFont="1" applyBorder="1"/>
    <xf numFmtId="171" fontId="2" fillId="0" borderId="18" xfId="0" applyNumberFormat="1" applyFont="1" applyBorder="1"/>
    <xf numFmtId="0" fontId="0" fillId="0" borderId="1" xfId="0" applyFont="1" applyBorder="1" applyAlignment="1">
      <alignment horizontal="left"/>
    </xf>
    <xf numFmtId="171" fontId="0" fillId="0" borderId="18" xfId="0" applyNumberFormat="1" applyFont="1" applyBorder="1"/>
    <xf numFmtId="0" fontId="0" fillId="10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171" fontId="19" fillId="0" borderId="0" xfId="0" applyNumberFormat="1" applyFont="1" applyAlignment="1">
      <alignment vertical="center"/>
    </xf>
    <xf numFmtId="171" fontId="20" fillId="0" borderId="0" xfId="0" applyNumberFormat="1" applyFont="1" applyAlignment="1">
      <alignment vertical="center"/>
    </xf>
    <xf numFmtId="171" fontId="20" fillId="0" borderId="0" xfId="0" applyNumberFormat="1" applyFont="1"/>
    <xf numFmtId="0" fontId="2" fillId="0" borderId="3" xfId="0" applyFont="1" applyBorder="1" applyAlignment="1">
      <alignment vertical="center"/>
    </xf>
    <xf numFmtId="164" fontId="2" fillId="7" borderId="4" xfId="0" applyNumberFormat="1" applyFont="1" applyFill="1" applyBorder="1" applyAlignment="1">
      <alignment vertical="center"/>
    </xf>
    <xf numFmtId="0" fontId="2" fillId="7" borderId="4" xfId="0" applyFont="1" applyFill="1" applyBorder="1" applyAlignment="1">
      <alignment horizontal="right" vertical="center"/>
    </xf>
    <xf numFmtId="0" fontId="2" fillId="7" borderId="5" xfId="0" applyFont="1" applyFill="1" applyBorder="1" applyAlignment="1">
      <alignment vertical="center"/>
    </xf>
    <xf numFmtId="0" fontId="2" fillId="6" borderId="0" xfId="0" applyFont="1" applyFill="1" applyAlignment="1">
      <alignment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3" fillId="0" borderId="0" xfId="0" applyFont="1"/>
    <xf numFmtId="0" fontId="24" fillId="0" borderId="0" xfId="0" applyFont="1" applyAlignment="1" applyProtection="1">
      <alignment vertical="center"/>
      <protection locked="0"/>
    </xf>
    <xf numFmtId="14" fontId="0" fillId="0" borderId="0" xfId="0" applyNumberFormat="1" applyFont="1" applyAlignment="1">
      <alignment horizontal="left"/>
    </xf>
    <xf numFmtId="0" fontId="26" fillId="0" borderId="0" xfId="0" applyFont="1"/>
    <xf numFmtId="164" fontId="4" fillId="0" borderId="0" xfId="0" applyNumberFormat="1" applyFont="1"/>
    <xf numFmtId="0" fontId="6" fillId="0" borderId="0" xfId="0" applyFont="1" applyFill="1" applyAlignment="1" applyProtection="1">
      <alignment horizontal="left"/>
    </xf>
    <xf numFmtId="0" fontId="6" fillId="0" borderId="0" xfId="0" applyNumberFormat="1" applyFont="1" applyFill="1" applyAlignment="1" applyProtection="1">
      <alignment horizontal="left"/>
    </xf>
    <xf numFmtId="14" fontId="6" fillId="0" borderId="0" xfId="0" applyNumberFormat="1" applyFont="1" applyFill="1" applyAlignment="1" applyProtection="1">
      <alignment horizontal="left"/>
    </xf>
    <xf numFmtId="168" fontId="6" fillId="0" borderId="0" xfId="0" applyNumberFormat="1" applyFont="1" applyFill="1" applyAlignment="1" applyProtection="1">
      <alignment horizontal="left"/>
    </xf>
    <xf numFmtId="164" fontId="0" fillId="0" borderId="0" xfId="0" applyNumberFormat="1" applyFont="1"/>
    <xf numFmtId="0" fontId="25" fillId="0" borderId="0" xfId="0" applyFont="1"/>
    <xf numFmtId="0" fontId="29" fillId="4" borderId="12" xfId="0" applyFont="1" applyFill="1" applyBorder="1" applyProtection="1">
      <protection locked="0"/>
    </xf>
    <xf numFmtId="0" fontId="29" fillId="4" borderId="8" xfId="0" applyFont="1" applyFill="1" applyBorder="1" applyProtection="1">
      <protection locked="0"/>
    </xf>
    <xf numFmtId="0" fontId="30" fillId="0" borderId="0" xfId="0" applyFont="1"/>
    <xf numFmtId="0" fontId="29" fillId="4" borderId="9" xfId="0" applyFont="1" applyFill="1" applyBorder="1" applyProtection="1">
      <protection locked="0"/>
    </xf>
    <xf numFmtId="0" fontId="29" fillId="4" borderId="6" xfId="0" applyFont="1" applyFill="1" applyBorder="1" applyProtection="1">
      <protection locked="0"/>
    </xf>
    <xf numFmtId="0" fontId="29" fillId="4" borderId="25" xfId="0" applyFont="1" applyFill="1" applyBorder="1" applyProtection="1">
      <protection locked="0"/>
    </xf>
    <xf numFmtId="0" fontId="31" fillId="0" borderId="0" xfId="0" applyFont="1" applyAlignment="1" applyProtection="1">
      <alignment vertical="center"/>
      <protection locked="0"/>
    </xf>
    <xf numFmtId="0" fontId="6" fillId="0" borderId="0" xfId="0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horizontal="left" vertical="center"/>
    </xf>
    <xf numFmtId="168" fontId="6" fillId="0" borderId="0" xfId="0" applyNumberFormat="1" applyFont="1" applyFill="1" applyAlignment="1" applyProtection="1">
      <alignment horizontal="left" vertical="center"/>
    </xf>
    <xf numFmtId="166" fontId="24" fillId="0" borderId="0" xfId="0" applyNumberFormat="1" applyFont="1" applyAlignment="1" applyProtection="1">
      <alignment vertical="center"/>
    </xf>
    <xf numFmtId="166" fontId="6" fillId="0" borderId="0" xfId="0" applyNumberFormat="1" applyFont="1" applyAlignment="1" applyProtection="1">
      <alignment horizontal="left"/>
    </xf>
    <xf numFmtId="164" fontId="24" fillId="0" borderId="0" xfId="0" applyNumberFormat="1" applyFont="1" applyAlignment="1" applyProtection="1">
      <alignment horizontal="right" vertical="center" indent="2"/>
    </xf>
    <xf numFmtId="0" fontId="24" fillId="0" borderId="0" xfId="0" applyFont="1" applyAlignment="1" applyProtection="1">
      <alignment vertical="center"/>
    </xf>
    <xf numFmtId="167" fontId="24" fillId="0" borderId="0" xfId="0" applyNumberFormat="1" applyFont="1" applyAlignment="1" applyProtection="1">
      <alignment vertical="center"/>
    </xf>
    <xf numFmtId="167" fontId="6" fillId="0" borderId="0" xfId="0" applyNumberFormat="1" applyFont="1" applyAlignment="1" applyProtection="1">
      <alignment horizontal="left"/>
    </xf>
    <xf numFmtId="0" fontId="25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left" vertical="center"/>
    </xf>
    <xf numFmtId="49" fontId="0" fillId="0" borderId="0" xfId="0" applyNumberFormat="1"/>
    <xf numFmtId="0" fontId="3" fillId="6" borderId="0" xfId="0" applyFont="1" applyFill="1" applyAlignment="1">
      <alignment wrapText="1"/>
    </xf>
    <xf numFmtId="0" fontId="0" fillId="0" borderId="0" xfId="0" applyFont="1" applyAlignment="1">
      <alignment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vertical="center" wrapText="1"/>
    </xf>
    <xf numFmtId="0" fontId="2" fillId="7" borderId="4" xfId="0" applyFont="1" applyFill="1" applyBorder="1" applyAlignment="1" applyProtection="1">
      <alignment vertical="center"/>
      <protection locked="0"/>
    </xf>
    <xf numFmtId="0" fontId="0" fillId="2" borderId="0" xfId="0" applyFont="1" applyFill="1" applyProtection="1">
      <protection locked="0"/>
    </xf>
    <xf numFmtId="0" fontId="0" fillId="0" borderId="0" xfId="0" applyFont="1" applyProtection="1"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0" fillId="0" borderId="26" xfId="0" applyFont="1" applyBorder="1" applyAlignment="1" applyProtection="1">
      <alignment horizontal="centerContinuous"/>
      <protection locked="0"/>
    </xf>
    <xf numFmtId="0" fontId="25" fillId="0" borderId="0" xfId="0" applyFont="1" applyProtection="1">
      <protection locked="0"/>
    </xf>
    <xf numFmtId="0" fontId="22" fillId="0" borderId="0" xfId="0" applyFont="1" applyBorder="1" applyProtection="1">
      <protection locked="0"/>
    </xf>
    <xf numFmtId="0" fontId="22" fillId="0" borderId="0" xfId="0" applyFont="1" applyProtection="1">
      <protection locked="0"/>
    </xf>
    <xf numFmtId="0" fontId="10" fillId="0" borderId="0" xfId="0" applyFont="1" applyAlignment="1" applyProtection="1">
      <protection locked="0"/>
    </xf>
    <xf numFmtId="0" fontId="10" fillId="0" borderId="0" xfId="0" applyFont="1" applyProtection="1">
      <protection locked="0"/>
    </xf>
    <xf numFmtId="0" fontId="28" fillId="0" borderId="0" xfId="0" applyFont="1" applyProtection="1">
      <protection locked="0"/>
    </xf>
    <xf numFmtId="0" fontId="28" fillId="0" borderId="10" xfId="0" applyFont="1" applyBorder="1" applyProtection="1">
      <protection locked="0"/>
    </xf>
    <xf numFmtId="0" fontId="0" fillId="0" borderId="1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28" fillId="0" borderId="7" xfId="0" applyFont="1" applyBorder="1" applyProtection="1">
      <protection locked="0"/>
    </xf>
    <xf numFmtId="0" fontId="28" fillId="0" borderId="11" xfId="0" applyFont="1" applyBorder="1" applyProtection="1">
      <protection locked="0"/>
    </xf>
    <xf numFmtId="0" fontId="0" fillId="0" borderId="0" xfId="0" applyProtection="1">
      <protection locked="0"/>
    </xf>
    <xf numFmtId="0" fontId="0" fillId="18" borderId="0" xfId="0" applyFill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27" xfId="0" applyBorder="1" applyAlignment="1" applyProtection="1">
      <alignment vertical="center" indent="1"/>
      <protection locked="0"/>
    </xf>
    <xf numFmtId="0" fontId="0" fillId="0" borderId="0" xfId="0" applyAlignment="1" applyProtection="1">
      <alignment vertical="center" indent="1"/>
      <protection locked="0"/>
    </xf>
    <xf numFmtId="14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Alignment="1" applyProtection="1">
      <alignment vertical="center"/>
    </xf>
    <xf numFmtId="0" fontId="6" fillId="0" borderId="0" xfId="0" applyNumberFormat="1" applyFont="1" applyAlignment="1" applyProtection="1">
      <alignment horizontal="left"/>
    </xf>
    <xf numFmtId="0" fontId="0" fillId="0" borderId="0" xfId="0" applyNumberFormat="1" applyAlignment="1" applyProtection="1">
      <alignment vertical="center"/>
      <protection locked="0"/>
    </xf>
    <xf numFmtId="11" fontId="0" fillId="0" borderId="0" xfId="0" applyNumberFormat="1" applyAlignment="1" applyProtection="1">
      <alignment vertical="center"/>
      <protection locked="0"/>
    </xf>
    <xf numFmtId="11" fontId="10" fillId="0" borderId="0" xfId="0" applyNumberFormat="1" applyFont="1" applyAlignment="1" applyProtection="1">
      <alignment horizontal="left" vertical="center"/>
    </xf>
    <xf numFmtId="11" fontId="0" fillId="0" borderId="0" xfId="0" applyNumberFormat="1"/>
    <xf numFmtId="11" fontId="6" fillId="0" borderId="0" xfId="0" applyNumberFormat="1" applyFont="1" applyFill="1" applyAlignment="1" applyProtection="1">
      <alignment horizontal="left" vertical="center"/>
    </xf>
    <xf numFmtId="0" fontId="0" fillId="18" borderId="0" xfId="0" applyFill="1"/>
    <xf numFmtId="0" fontId="0" fillId="0" borderId="34" xfId="0" applyFont="1" applyBorder="1" applyAlignment="1" applyProtection="1">
      <alignment horizontal="left" vertical="center" indent="1"/>
      <protection locked="0"/>
    </xf>
    <xf numFmtId="0" fontId="0" fillId="0" borderId="33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0" xfId="0" applyFont="1" applyAlignment="1" applyProtection="1">
      <alignment horizontal="left" vertical="center" indent="1"/>
      <protection locked="0"/>
    </xf>
    <xf numFmtId="0" fontId="36" fillId="0" borderId="35" xfId="0" applyFont="1" applyBorder="1" applyAlignment="1" applyProtection="1">
      <alignment horizontal="left"/>
      <protection locked="0"/>
    </xf>
    <xf numFmtId="0" fontId="36" fillId="0" borderId="31" xfId="0" applyFont="1" applyBorder="1" applyAlignment="1" applyProtection="1">
      <alignment horizontal="left"/>
      <protection locked="0"/>
    </xf>
    <xf numFmtId="0" fontId="0" fillId="0" borderId="38" xfId="0" applyBorder="1" applyProtection="1">
      <protection locked="0"/>
    </xf>
    <xf numFmtId="164" fontId="0" fillId="0" borderId="0" xfId="0" applyNumberFormat="1" applyProtection="1">
      <protection locked="0"/>
    </xf>
    <xf numFmtId="173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37" fillId="0" borderId="36" xfId="0" applyNumberFormat="1" applyFont="1" applyBorder="1" applyAlignment="1" applyProtection="1">
      <alignment horizontal="left" indent="1"/>
      <protection locked="0"/>
    </xf>
    <xf numFmtId="164" fontId="37" fillId="0" borderId="0" xfId="0" applyNumberFormat="1" applyFont="1" applyBorder="1" applyAlignment="1" applyProtection="1">
      <alignment horizontal="left" indent="1"/>
      <protection locked="0"/>
    </xf>
    <xf numFmtId="0" fontId="0" fillId="0" borderId="39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40" xfId="0" applyBorder="1" applyProtection="1">
      <protection locked="0"/>
    </xf>
    <xf numFmtId="0" fontId="36" fillId="20" borderId="41" xfId="0" applyFont="1" applyFill="1" applyBorder="1" applyAlignment="1" applyProtection="1">
      <alignment horizontal="left" vertical="center" indent="1"/>
      <protection locked="0"/>
    </xf>
    <xf numFmtId="0" fontId="36" fillId="20" borderId="32" xfId="0" applyFont="1" applyFill="1" applyBorder="1" applyAlignment="1" applyProtection="1">
      <alignment horizontal="left" vertical="center" indent="1"/>
      <protection locked="0"/>
    </xf>
    <xf numFmtId="0" fontId="36" fillId="20" borderId="42" xfId="0" applyFont="1" applyFill="1" applyBorder="1" applyAlignment="1" applyProtection="1">
      <alignment horizontal="left" vertical="center" indent="1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34" fillId="0" borderId="36" xfId="0" applyNumberFormat="1" applyFont="1" applyBorder="1" applyAlignment="1" applyProtection="1">
      <alignment horizontal="left" indent="1"/>
      <protection locked="0"/>
    </xf>
    <xf numFmtId="164" fontId="34" fillId="0" borderId="0" xfId="0" applyNumberFormat="1" applyFont="1" applyBorder="1" applyAlignment="1" applyProtection="1">
      <alignment horizontal="left" indent="1"/>
      <protection locked="0"/>
    </xf>
    <xf numFmtId="0" fontId="34" fillId="0" borderId="38" xfId="0" applyNumberFormat="1" applyFont="1" applyBorder="1" applyAlignment="1" applyProtection="1">
      <alignment horizontal="left" indent="1"/>
      <protection locked="0"/>
    </xf>
    <xf numFmtId="0" fontId="34" fillId="0" borderId="39" xfId="0" applyNumberFormat="1" applyFont="1" applyBorder="1" applyAlignment="1" applyProtection="1">
      <alignment horizontal="left" indent="1"/>
      <protection locked="0"/>
    </xf>
    <xf numFmtId="164" fontId="34" fillId="0" borderId="28" xfId="0" applyNumberFormat="1" applyFont="1" applyBorder="1" applyAlignment="1" applyProtection="1">
      <alignment horizontal="left" indent="1"/>
      <protection locked="0"/>
    </xf>
    <xf numFmtId="0" fontId="34" fillId="0" borderId="40" xfId="0" applyNumberFormat="1" applyFont="1" applyBorder="1" applyAlignment="1" applyProtection="1">
      <alignment horizontal="left" indent="1"/>
      <protection locked="0"/>
    </xf>
    <xf numFmtId="0" fontId="0" fillId="0" borderId="34" xfId="0" applyBorder="1" applyProtection="1">
      <protection locked="0"/>
    </xf>
    <xf numFmtId="0" fontId="0" fillId="0" borderId="36" xfId="0" applyBorder="1" applyProtection="1">
      <protection locked="0"/>
    </xf>
    <xf numFmtId="0" fontId="38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73" fontId="0" fillId="0" borderId="0" xfId="0" applyNumberFormat="1" applyBorder="1" applyProtection="1">
      <protection locked="0"/>
    </xf>
    <xf numFmtId="173" fontId="37" fillId="21" borderId="0" xfId="0" applyNumberFormat="1" applyFont="1" applyFill="1" applyBorder="1" applyAlignment="1" applyProtection="1">
      <alignment horizontal="left" indent="1"/>
      <protection locked="0"/>
    </xf>
    <xf numFmtId="173" fontId="37" fillId="21" borderId="0" xfId="0" applyNumberFormat="1" applyFont="1" applyFill="1" applyBorder="1" applyAlignment="1" applyProtection="1">
      <alignment horizontal="right"/>
      <protection locked="0"/>
    </xf>
    <xf numFmtId="173" fontId="34" fillId="0" borderId="0" xfId="0" applyNumberFormat="1" applyFont="1" applyBorder="1" applyAlignment="1" applyProtection="1">
      <alignment horizontal="left" indent="2"/>
      <protection locked="0"/>
    </xf>
    <xf numFmtId="173" fontId="34" fillId="0" borderId="0" xfId="0" applyNumberFormat="1" applyFont="1" applyBorder="1" applyAlignment="1" applyProtection="1">
      <alignment horizontal="right"/>
      <protection locked="0"/>
    </xf>
    <xf numFmtId="173" fontId="37" fillId="22" borderId="0" xfId="0" applyNumberFormat="1" applyFont="1" applyFill="1" applyBorder="1" applyAlignment="1" applyProtection="1">
      <alignment horizontal="left" indent="1"/>
      <protection locked="0"/>
    </xf>
    <xf numFmtId="173" fontId="37" fillId="22" borderId="0" xfId="0" applyNumberFormat="1" applyFont="1" applyFill="1" applyBorder="1" applyAlignment="1" applyProtection="1">
      <alignment horizontal="right"/>
      <protection locked="0"/>
    </xf>
    <xf numFmtId="173" fontId="34" fillId="0" borderId="28" xfId="0" applyNumberFormat="1" applyFont="1" applyBorder="1" applyAlignment="1" applyProtection="1">
      <alignment horizontal="left" indent="2"/>
      <protection locked="0"/>
    </xf>
    <xf numFmtId="173" fontId="34" fillId="0" borderId="28" xfId="0" applyNumberFormat="1" applyFont="1" applyBorder="1" applyAlignment="1" applyProtection="1">
      <alignment horizontal="right"/>
      <protection locked="0"/>
    </xf>
    <xf numFmtId="0" fontId="0" fillId="24" borderId="51" xfId="0" applyFill="1" applyBorder="1"/>
    <xf numFmtId="174" fontId="0" fillId="0" borderId="0" xfId="0" applyNumberFormat="1"/>
    <xf numFmtId="0" fontId="37" fillId="0" borderId="0" xfId="0" applyFont="1" applyAlignment="1" applyProtection="1">
      <alignment horizontal="left" vertical="center"/>
      <protection locked="0"/>
    </xf>
    <xf numFmtId="164" fontId="37" fillId="0" borderId="0" xfId="0" applyNumberFormat="1" applyFont="1" applyAlignment="1" applyProtection="1">
      <alignment horizontal="right" vertical="center"/>
      <protection locked="0"/>
    </xf>
    <xf numFmtId="164" fontId="40" fillId="0" borderId="0" xfId="0" applyNumberFormat="1" applyFont="1" applyAlignment="1" applyProtection="1">
      <alignment horizontal="right" vertical="center"/>
      <protection locked="0"/>
    </xf>
    <xf numFmtId="0" fontId="42" fillId="0" borderId="0" xfId="0" applyFont="1" applyProtection="1">
      <protection locked="0"/>
    </xf>
    <xf numFmtId="164" fontId="37" fillId="8" borderId="0" xfId="0" applyNumberFormat="1" applyFont="1" applyFill="1" applyAlignment="1" applyProtection="1">
      <alignment horizontal="left" vertical="center"/>
      <protection locked="0"/>
    </xf>
    <xf numFmtId="164" fontId="42" fillId="0" borderId="0" xfId="0" applyNumberFormat="1" applyFont="1" applyProtection="1">
      <protection locked="0"/>
    </xf>
    <xf numFmtId="164" fontId="37" fillId="0" borderId="0" xfId="0" applyNumberFormat="1" applyFont="1" applyAlignment="1" applyProtection="1">
      <alignment horizontal="left" vertical="center"/>
      <protection locked="0"/>
    </xf>
    <xf numFmtId="0" fontId="0" fillId="24" borderId="51" xfId="0" applyFill="1" applyBorder="1" applyProtection="1">
      <protection locked="0"/>
    </xf>
    <xf numFmtId="0" fontId="0" fillId="0" borderId="48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50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46" xfId="0" applyBorder="1" applyProtection="1">
      <protection locked="0"/>
    </xf>
    <xf numFmtId="0" fontId="37" fillId="0" borderId="0" xfId="0" applyFont="1" applyBorder="1" applyAlignment="1" applyProtection="1">
      <alignment horizontal="right" vertical="center"/>
      <protection locked="0"/>
    </xf>
    <xf numFmtId="171" fontId="34" fillId="0" borderId="0" xfId="0" applyNumberFormat="1" applyFont="1" applyBorder="1" applyAlignment="1" applyProtection="1">
      <alignment horizontal="left" vertical="center"/>
      <protection locked="0"/>
    </xf>
    <xf numFmtId="0" fontId="46" fillId="0" borderId="0" xfId="0" applyFont="1" applyBorder="1" applyAlignment="1" applyProtection="1">
      <alignment horizontal="center"/>
      <protection locked="0"/>
    </xf>
    <xf numFmtId="0" fontId="46" fillId="0" borderId="0" xfId="0" applyFont="1" applyFill="1" applyBorder="1" applyAlignment="1" applyProtection="1">
      <alignment horizontal="center"/>
      <protection locked="0"/>
    </xf>
    <xf numFmtId="0" fontId="33" fillId="0" borderId="0" xfId="0" applyFont="1" applyBorder="1" applyAlignment="1" applyProtection="1">
      <alignment horizontal="left" vertical="center"/>
      <protection locked="0"/>
    </xf>
    <xf numFmtId="168" fontId="45" fillId="0" borderId="0" xfId="0" applyNumberFormat="1" applyFont="1" applyBorder="1" applyAlignment="1" applyProtection="1">
      <alignment horizontal="center" vertical="center"/>
      <protection locked="0"/>
    </xf>
    <xf numFmtId="171" fontId="45" fillId="0" borderId="0" xfId="0" applyNumberFormat="1" applyFont="1" applyBorder="1" applyAlignment="1" applyProtection="1">
      <alignment horizontal="center" vertical="center"/>
      <protection locked="0"/>
    </xf>
    <xf numFmtId="0" fontId="45" fillId="0" borderId="0" xfId="0" applyFont="1" applyBorder="1" applyAlignment="1" applyProtection="1">
      <alignment horizontal="center" vertical="center"/>
      <protection locked="0"/>
    </xf>
    <xf numFmtId="164" fontId="44" fillId="0" borderId="0" xfId="0" applyNumberFormat="1" applyFont="1" applyBorder="1" applyAlignment="1" applyProtection="1">
      <alignment horizontal="left" vertical="center"/>
      <protection locked="0"/>
    </xf>
    <xf numFmtId="164" fontId="33" fillId="0" borderId="0" xfId="0" applyNumberFormat="1" applyFont="1" applyBorder="1" applyAlignment="1" applyProtection="1">
      <alignment horizontal="left" vertical="center"/>
      <protection locked="0"/>
    </xf>
    <xf numFmtId="0" fontId="0" fillId="0" borderId="44" xfId="0" applyBorder="1" applyProtection="1">
      <protection locked="0"/>
    </xf>
    <xf numFmtId="0" fontId="0" fillId="0" borderId="43" xfId="0" applyBorder="1" applyProtection="1">
      <protection locked="0"/>
    </xf>
    <xf numFmtId="0" fontId="0" fillId="0" borderId="47" xfId="0" applyBorder="1" applyProtection="1">
      <protection locked="0"/>
    </xf>
    <xf numFmtId="0" fontId="34" fillId="0" borderId="0" xfId="0" applyFont="1" applyBorder="1" applyAlignment="1" applyProtection="1">
      <alignment horizontal="right" vertical="center"/>
      <protection locked="0"/>
    </xf>
    <xf numFmtId="9" fontId="42" fillId="0" borderId="0" xfId="0" applyNumberFormat="1" applyFont="1" applyBorder="1" applyAlignment="1" applyProtection="1">
      <alignment horizontal="center" vertical="center"/>
      <protection locked="0"/>
    </xf>
    <xf numFmtId="9" fontId="47" fillId="0" borderId="0" xfId="0" applyNumberFormat="1" applyFont="1" applyBorder="1" applyAlignment="1" applyProtection="1">
      <alignment horizontal="center" vertical="center"/>
      <protection locked="0"/>
    </xf>
    <xf numFmtId="0" fontId="34" fillId="0" borderId="0" xfId="0" applyFont="1" applyBorder="1" applyAlignment="1" applyProtection="1">
      <alignment horizontal="left" vertical="center"/>
      <protection locked="0"/>
    </xf>
    <xf numFmtId="0" fontId="48" fillId="0" borderId="32" xfId="0" applyFont="1" applyBorder="1" applyAlignment="1" applyProtection="1">
      <alignment horizontal="left" vertical="center"/>
      <protection locked="0"/>
    </xf>
    <xf numFmtId="164" fontId="48" fillId="0" borderId="32" xfId="0" applyNumberFormat="1" applyFont="1" applyBorder="1" applyAlignment="1" applyProtection="1">
      <alignment horizontal="right" vertical="center"/>
      <protection locked="0"/>
    </xf>
    <xf numFmtId="164" fontId="41" fillId="0" borderId="0" xfId="0" applyNumberFormat="1" applyFont="1" applyAlignment="1" applyProtection="1">
      <alignment horizontal="right" vertical="center"/>
      <protection locked="0"/>
    </xf>
    <xf numFmtId="0" fontId="0" fillId="0" borderId="0" xfId="0" applyNumberFormat="1" applyProtection="1">
      <protection locked="0"/>
    </xf>
    <xf numFmtId="0" fontId="0" fillId="8" borderId="0" xfId="0" applyFill="1" applyProtection="1"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0" fillId="0" borderId="32" xfId="0" applyBorder="1" applyProtection="1">
      <protection locked="0"/>
    </xf>
    <xf numFmtId="0" fontId="34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3" fillId="6" borderId="0" xfId="0" applyFont="1" applyFill="1" applyAlignment="1">
      <alignment wrapText="1"/>
    </xf>
    <xf numFmtId="0" fontId="0" fillId="0" borderId="0" xfId="0" applyFont="1" applyAlignment="1">
      <alignment wrapText="1"/>
    </xf>
    <xf numFmtId="172" fontId="6" fillId="17" borderId="22" xfId="0" applyNumberFormat="1" applyFont="1" applyFill="1" applyBorder="1" applyAlignment="1" applyProtection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6" fillId="6" borderId="0" xfId="0" applyFont="1" applyFill="1" applyAlignment="1">
      <alignment horizontal="left" vertical="center" wrapText="1"/>
    </xf>
    <xf numFmtId="0" fontId="0" fillId="0" borderId="0" xfId="0" applyFont="1" applyAlignment="1">
      <alignment vertical="center" wrapText="1"/>
    </xf>
    <xf numFmtId="0" fontId="27" fillId="8" borderId="0" xfId="0" applyFont="1" applyFill="1" applyAlignment="1" applyProtection="1">
      <alignment horizontal="left" vertical="top" wrapText="1"/>
      <protection locked="0"/>
    </xf>
    <xf numFmtId="0" fontId="27" fillId="8" borderId="0" xfId="0" applyFont="1" applyFill="1" applyAlignment="1" applyProtection="1">
      <alignment horizontal="left" vertical="top"/>
      <protection locked="0"/>
    </xf>
    <xf numFmtId="0" fontId="3" fillId="6" borderId="0" xfId="0" applyFont="1" applyFill="1" applyAlignment="1" applyProtection="1">
      <alignment wrapText="1"/>
      <protection locked="0"/>
    </xf>
    <xf numFmtId="0" fontId="0" fillId="6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horizontal="left" vertical="center" wrapText="1"/>
      <protection locked="0"/>
    </xf>
    <xf numFmtId="0" fontId="6" fillId="6" borderId="0" xfId="0" applyFont="1" applyFill="1" applyAlignment="1" applyProtection="1">
      <alignment vertical="center" wrapText="1"/>
      <protection locked="0"/>
    </xf>
    <xf numFmtId="0" fontId="27" fillId="5" borderId="9" xfId="0" applyFont="1" applyFill="1" applyBorder="1" applyAlignment="1" applyProtection="1">
      <alignment horizontal="left" vertical="top" wrapText="1"/>
      <protection locked="0"/>
    </xf>
    <xf numFmtId="0" fontId="27" fillId="5" borderId="0" xfId="0" applyFont="1" applyFill="1" applyAlignment="1" applyProtection="1">
      <alignment horizontal="left" vertical="top" wrapText="1"/>
      <protection locked="0"/>
    </xf>
    <xf numFmtId="0" fontId="0" fillId="0" borderId="0" xfId="0" applyFont="1" applyAlignment="1" applyProtection="1">
      <alignment vertical="top" wrapText="1"/>
      <protection locked="0"/>
    </xf>
    <xf numFmtId="0" fontId="32" fillId="0" borderId="0" xfId="0" applyFont="1" applyAlignment="1" applyProtection="1">
      <alignment horizontal="left" vertical="center"/>
      <protection locked="0"/>
    </xf>
    <xf numFmtId="0" fontId="33" fillId="0" borderId="28" xfId="0" applyFont="1" applyBorder="1" applyAlignment="1" applyProtection="1">
      <alignment horizontal="left" vertical="center" wrapText="1"/>
      <protection locked="0"/>
    </xf>
    <xf numFmtId="0" fontId="33" fillId="19" borderId="0" xfId="0" applyFont="1" applyFill="1" applyAlignment="1" applyProtection="1">
      <alignment horizontal="left" indent="1"/>
      <protection locked="0"/>
    </xf>
    <xf numFmtId="0" fontId="34" fillId="19" borderId="29" xfId="0" applyFont="1" applyFill="1" applyBorder="1" applyAlignment="1" applyProtection="1">
      <alignment horizontal="left" vertical="center" wrapText="1" indent="1"/>
      <protection locked="0"/>
    </xf>
    <xf numFmtId="0" fontId="0" fillId="6" borderId="0" xfId="0" applyFont="1" applyFill="1" applyAlignment="1">
      <alignment wrapText="1"/>
    </xf>
    <xf numFmtId="0" fontId="21" fillId="6" borderId="0" xfId="0" applyFont="1" applyFill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33" fillId="0" borderId="0" xfId="0" applyFont="1" applyAlignment="1" applyProtection="1">
      <alignment horizontal="left" vertical="center" wrapText="1"/>
      <protection locked="0"/>
    </xf>
    <xf numFmtId="0" fontId="0" fillId="8" borderId="0" xfId="0" applyFill="1" applyProtection="1">
      <protection locked="0"/>
    </xf>
    <xf numFmtId="0" fontId="34" fillId="0" borderId="0" xfId="0" applyFont="1" applyAlignment="1" applyProtection="1">
      <alignment horizontal="left" vertical="center" wrapText="1"/>
      <protection locked="0"/>
    </xf>
    <xf numFmtId="0" fontId="37" fillId="0" borderId="0" xfId="0" applyFont="1" applyAlignment="1" applyProtection="1">
      <alignment horizontal="center" vertical="center"/>
      <protection locked="0"/>
    </xf>
    <xf numFmtId="174" fontId="33" fillId="23" borderId="0" xfId="0" applyNumberFormat="1" applyFont="1" applyFill="1" applyAlignment="1" applyProtection="1">
      <alignment horizontal="center" vertical="center"/>
      <protection locked="0"/>
    </xf>
    <xf numFmtId="0" fontId="0" fillId="0" borderId="30" xfId="0" applyBorder="1" applyProtection="1">
      <protection locked="0"/>
    </xf>
    <xf numFmtId="0" fontId="0" fillId="0" borderId="32" xfId="0" applyBorder="1" applyProtection="1">
      <protection locked="0"/>
    </xf>
    <xf numFmtId="0" fontId="34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0" fillId="23" borderId="0" xfId="0" applyFont="1" applyFill="1" applyAlignment="1" applyProtection="1">
      <alignment horizontal="left" vertic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173" fontId="39" fillId="0" borderId="0" xfId="0" applyNumberFormat="1" applyFont="1" applyAlignment="1" applyProtection="1">
      <alignment horizontal="right" vertical="center"/>
      <protection locked="0"/>
    </xf>
  </cellXfs>
  <cellStyles count="2">
    <cellStyle name="Hyperlink" xfId="1" builtinId="8"/>
    <cellStyle name="Normal" xfId="0" builtinId="0"/>
  </cellStyles>
  <dxfs count="143">
    <dxf>
      <font>
        <color rgb="FFF25521"/>
      </font>
    </dxf>
    <dxf>
      <font>
        <color rgb="FF169B56"/>
      </font>
    </dxf>
    <dxf>
      <font>
        <color rgb="FF0078D4"/>
      </font>
    </dxf>
    <dxf>
      <font>
        <color rgb="FF0078D4"/>
      </font>
    </dxf>
    <dxf>
      <font>
        <color rgb="FFF25521"/>
      </font>
    </dxf>
    <dxf>
      <font>
        <color rgb="FF169B56"/>
      </font>
    </dxf>
    <dxf>
      <font>
        <color rgb="FF0078D4"/>
      </font>
    </dxf>
    <dxf>
      <font>
        <color rgb="FFB02318"/>
      </font>
    </dxf>
    <dxf>
      <font>
        <color rgb="FFB02318"/>
      </font>
    </dxf>
    <dxf>
      <font>
        <color rgb="FFB02318"/>
      </font>
    </dxf>
    <dxf>
      <font>
        <color rgb="FFB02318"/>
      </font>
    </dxf>
    <dxf>
      <font>
        <color rgb="FFB02318"/>
      </font>
    </dxf>
    <dxf>
      <font>
        <color rgb="FFB02318"/>
      </font>
    </dxf>
    <dxf>
      <font>
        <color rgb="FFB02318"/>
      </font>
    </dxf>
    <dxf>
      <fill>
        <patternFill patternType="solid">
          <fgColor indexed="64"/>
          <bgColor rgb="FFFFF0C5"/>
        </patternFill>
      </fill>
    </dxf>
    <dxf>
      <font>
        <color rgb="FF0078D4"/>
      </font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ont>
        <color rgb="FF0078D4"/>
      </font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ont>
        <color rgb="FF0078D4"/>
      </font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ont>
        <color rgb="FF0078D4"/>
      </font>
    </dxf>
    <dxf>
      <fill>
        <patternFill patternType="solid">
          <fgColor indexed="64"/>
          <bgColor rgb="FFFFF0C5"/>
        </patternFill>
      </fill>
    </dxf>
    <dxf>
      <border>
        <vertical/>
        <horizontal/>
      </border>
    </dxf>
    <dxf>
      <fill>
        <patternFill patternType="solid">
          <fgColor indexed="64"/>
          <bgColor rgb="FFFFF0C5"/>
        </patternFill>
      </fill>
    </dxf>
    <dxf>
      <font>
        <color rgb="FF45CD86"/>
      </font>
    </dxf>
    <dxf>
      <font>
        <color rgb="FF757171"/>
      </font>
      <fill>
        <patternFill patternType="solid">
          <fgColor indexed="64"/>
          <bgColor rgb="FFF1F2F2"/>
        </patternFill>
      </fill>
    </dxf>
    <dxf>
      <fill>
        <patternFill patternType="solid">
          <fgColor indexed="64"/>
          <bgColor rgb="FFFFF0C5"/>
        </patternFill>
      </fill>
    </dxf>
    <dxf>
      <font>
        <color rgb="FF757171"/>
      </font>
      <fill>
        <patternFill patternType="solid">
          <fgColor indexed="64"/>
          <bgColor rgb="FFF1F2F2"/>
        </patternFill>
      </fill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ont>
        <color rgb="FF757171"/>
      </font>
      <fill>
        <patternFill patternType="solid">
          <fgColor indexed="64"/>
          <bgColor rgb="FFF1F2F2"/>
        </patternFill>
      </fill>
    </dxf>
    <dxf>
      <fill>
        <patternFill patternType="solid">
          <fgColor indexed="64"/>
          <bgColor rgb="FFFFF0C5"/>
        </patternFill>
      </fill>
    </dxf>
    <dxf>
      <fill>
        <patternFill patternType="solid">
          <fgColor indexed="64"/>
          <bgColor rgb="FFFFF0C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0"/>
      </font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rgb="FFED7D31"/>
      </font>
    </dxf>
    <dxf>
      <font>
        <color rgb="FF45CD86"/>
      </font>
    </dxf>
    <dxf>
      <protection locked="0"/>
    </dxf>
    <dxf>
      <font>
        <b/>
        <color rgb="FF000000"/>
      </font>
      <alignment horizontal="left" vertical="center"/>
      <protection locked="0"/>
    </dxf>
    <dxf>
      <font>
        <b val="0"/>
        <sz val="9"/>
        <name val="Calibri"/>
      </font>
      <protection locked="0"/>
    </dxf>
    <dxf>
      <font>
        <b val="0"/>
        <sz val="9"/>
        <name val="Calibri"/>
      </font>
      <protection locked="0"/>
    </dxf>
    <dxf>
      <font>
        <b val="0"/>
        <sz val="9"/>
        <name val="Calibri"/>
      </font>
      <numFmt numFmtId="164" formatCode="&quot;$&quot;#,##0.00"/>
      <protection locked="0"/>
    </dxf>
    <dxf>
      <font>
        <b val="0"/>
        <sz val="9"/>
        <name val="Calibri"/>
      </font>
      <numFmt numFmtId="164" formatCode="&quot;$&quot;#,##0.00"/>
      <protection locked="0"/>
    </dxf>
    <dxf>
      <font>
        <b val="0"/>
        <sz val="9"/>
        <name val="Calibri"/>
      </font>
      <numFmt numFmtId="164" formatCode="&quot;$&quot;#,##0.00"/>
      <protection locked="0"/>
    </dxf>
    <dxf>
      <font>
        <b val="0"/>
        <sz val="9"/>
        <name val="Calibri"/>
      </font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b val="0"/>
        <sz val="11"/>
        <color rgb="FF595959"/>
        <name val="Calibri"/>
      </font>
      <numFmt numFmtId="164" formatCode="&quot;$&quot;#,##0.00"/>
      <alignment horizontal="right" vertical="center"/>
      <protection locked="0"/>
    </dxf>
    <dxf>
      <protection locked="0"/>
    </dxf>
    <dxf>
      <font>
        <b/>
        <sz val="11"/>
        <color rgb="FF0070C0"/>
        <name val="Calibri"/>
      </font>
      <numFmt numFmtId="164" formatCode="&quot;$&quot;#,##0.00"/>
      <alignment horizontal="right" vertical="center"/>
      <protection locked="0"/>
    </dxf>
    <dxf>
      <protection locked="0"/>
    </dxf>
    <dxf>
      <protection locked="0"/>
    </dxf>
    <dxf>
      <protection locked="0"/>
    </dxf>
    <dxf>
      <font>
        <b val="0"/>
        <sz val="11"/>
        <color rgb="FF595959"/>
        <name val="Calibri"/>
      </font>
      <numFmt numFmtId="164" formatCode="&quot;$&quot;#,##0.00"/>
      <alignment horizontal="right" vertical="center"/>
      <protection locked="0"/>
    </dxf>
    <dxf>
      <protection locked="0"/>
    </dxf>
    <dxf>
      <protection locked="0"/>
    </dxf>
    <dxf>
      <font>
        <b val="0"/>
        <sz val="11"/>
        <color rgb="FF000000"/>
        <name val="Calibri"/>
      </font>
      <alignment horizontal="left" vertical="center"/>
      <protection locked="0"/>
    </dxf>
    <dxf>
      <protection locked="0"/>
    </dxf>
    <dxf>
      <protection locked="0"/>
    </dxf>
    <dxf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0" formatCode="General"/>
      <protection locked="0"/>
    </dxf>
    <dxf>
      <numFmt numFmtId="173" formatCode="&quot;$&quot;#,###"/>
      <protection locked="0"/>
    </dxf>
    <dxf>
      <numFmt numFmtId="19" formatCode="m/d/yyyy"/>
      <protection locked="0"/>
    </dxf>
    <dxf>
      <numFmt numFmtId="19" formatCode="m/d/yyyy"/>
      <protection locked="0"/>
    </dxf>
    <dxf>
      <numFmt numFmtId="173" formatCode="&quot;$&quot;#,###"/>
      <protection locked="0"/>
    </dxf>
    <dxf>
      <numFmt numFmtId="164" formatCode="&quot;$&quot;#,##0.00"/>
      <protection locked="0"/>
    </dxf>
    <dxf>
      <protection locked="0"/>
    </dxf>
    <dxf>
      <numFmt numFmtId="164" formatCode="&quot;$&quot;#,##0.00"/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73" formatCode="&quot;$&quot;#,###"/>
      <protection locked="0"/>
    </dxf>
    <dxf>
      <protection locked="0"/>
    </dxf>
    <dxf>
      <numFmt numFmtId="0" formatCode="General"/>
      <protection locked="0"/>
    </dxf>
    <dxf>
      <numFmt numFmtId="0" formatCode="General"/>
      <protection locked="0"/>
    </dxf>
    <dxf>
      <protection locked="0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8" formatCode="[$-409]mmm\-yy;@"/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alignment horizontal="left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numFmt numFmtId="167" formatCode="0000"/>
      <alignment horizontal="left" vertical="bottom" textRotation="0" wrapText="0" indent="0" justifyLastLine="0" shrinkToFit="0" readingOrder="0"/>
      <protection locked="1"/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protection locked="1"/>
    </dxf>
    <dxf>
      <font>
        <b/>
        <strike val="0"/>
        <outline val="0"/>
        <shadow val="0"/>
        <u val="none"/>
        <vertAlign val="baseline"/>
        <name val="Calibri"/>
        <family val="2"/>
        <scheme val="minor"/>
      </font>
      <numFmt numFmtId="164" formatCode="&quot;$&quot;#,##0.00"/>
      <protection locked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078CD"/>
        <name val="Calibri"/>
        <family val="2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3078CD"/>
        <name val="Calibri"/>
        <family val="2"/>
        <scheme val="minor"/>
      </font>
      <protection locked="0"/>
    </dxf>
    <dxf>
      <font>
        <strike val="0"/>
        <outline val="0"/>
        <shadow val="0"/>
        <u val="none"/>
        <vertAlign val="baseline"/>
        <sz val="11"/>
        <color rgb="FF3078CD"/>
        <name val="Calibri"/>
        <family val="2"/>
        <scheme val="minor"/>
      </font>
      <protection locked="0"/>
    </dxf>
    <dxf>
      <font>
        <b val="0"/>
        <strike val="0"/>
        <outline val="0"/>
        <shadow val="0"/>
        <u val="none"/>
        <vertAlign val="baseline"/>
        <name val="Calibri"/>
        <family val="2"/>
        <scheme val="minor"/>
      </font>
      <numFmt numFmtId="166" formatCode="mm/dd/yyyy"/>
      <alignment horizontal="left" vertical="bottom" textRotation="0" wrapText="0" indent="0" justifyLastLine="0" shrinkToFit="0" readingOrder="0"/>
      <protection locked="1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outline="0">
        <left style="thin">
          <color rgb="FF757171"/>
        </left>
        <right style="thin">
          <color rgb="FF757171"/>
        </right>
        <top/>
        <bottom/>
      </border>
    </dxf>
    <dxf>
      <numFmt numFmtId="30" formatCode="@"/>
    </dxf>
    <dxf>
      <numFmt numFmtId="0" formatCode="General"/>
      <protection locked="0"/>
    </dxf>
    <dxf>
      <alignment indent="1"/>
      <protection locked="0"/>
    </dxf>
    <dxf>
      <alignment indent="1"/>
      <border diagonalUp="0" diagonalDown="0">
        <left/>
        <right style="thin">
          <color rgb="FFA6A6A6"/>
        </right>
        <top/>
        <bottom/>
        <vertical/>
        <horizontal/>
      </border>
      <protection locked="0"/>
    </dxf>
    <dxf>
      <protection locked="0"/>
    </dxf>
    <dxf>
      <protection locked="0"/>
    </dxf>
    <dxf>
      <alignment vertical="center"/>
      <protection locked="0"/>
    </dxf>
    <dxf>
      <protection locked="0"/>
    </dxf>
    <dxf>
      <alignment indent="1"/>
      <protection locked="0"/>
    </dxf>
    <dxf>
      <alignment indent="1"/>
      <border diagonalUp="0" diagonalDown="0">
        <left/>
        <right style="thin">
          <color rgb="FFA6A6A6"/>
        </right>
        <top/>
        <bottom/>
        <vertical/>
        <horizontal/>
      </border>
      <protection locked="0"/>
    </dxf>
    <dxf>
      <protection locked="0"/>
    </dxf>
    <dxf>
      <protection locked="0"/>
    </dxf>
    <dxf>
      <alignment vertical="center"/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Calibri"/>
        <family val="2"/>
        <scheme val="minor"/>
      </font>
      <fill>
        <patternFill patternType="solid">
          <fgColor indexed="64"/>
          <bgColor rgb="FFF0F8FF"/>
        </patternFill>
      </fill>
      <border diagonalUp="0" diagonalDown="0">
        <left/>
        <right/>
        <top style="thin">
          <color theme="0" tint="-0.34998626667073579"/>
        </top>
        <bottom style="thin">
          <color theme="0" tint="-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Calibri"/>
        <family val="2"/>
        <scheme val="minor"/>
      </font>
      <fill>
        <patternFill patternType="solid">
          <fgColor indexed="64"/>
          <bgColor rgb="FFF0F8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theme="0" tint="-0.34998626667073579"/>
        </top>
        <bottom style="thin">
          <color theme="0" tint="-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Calibri"/>
        <family val="2"/>
        <scheme val="minor"/>
      </font>
      <fill>
        <patternFill patternType="solid">
          <fgColor indexed="64"/>
          <bgColor rgb="FFF0F8FF"/>
        </patternFill>
      </fill>
      <border diagonalUp="0" diagonalDown="0">
        <left/>
        <right style="thin">
          <color indexed="64"/>
        </right>
        <top style="thin">
          <color theme="0" tint="-0.34998626667073579"/>
        </top>
        <bottom style="thin">
          <color theme="0" tint="-0.34998626667073579"/>
        </bottom>
      </border>
      <protection locked="0" hidden="0"/>
    </dxf>
    <dxf>
      <border diagonalUp="0" diagonalDown="0">
        <left style="thin">
          <color indexed="64"/>
        </left>
        <right/>
        <top/>
        <bottom style="thin">
          <color theme="0" tint="-0.34998626667073579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2"/>
        <color theme="1" tint="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color theme="1" tint="0.24994659260841701"/>
      </font>
      <fill>
        <patternFill>
          <bgColor rgb="FFF2F2F2"/>
        </patternFill>
      </fill>
    </dxf>
    <dxf>
      <font>
        <color theme="1" tint="0.24994659260841701"/>
      </font>
    </dxf>
    <dxf>
      <font>
        <b/>
        <i val="0"/>
        <color theme="1" tint="0.24994659260841701"/>
      </font>
      <fill>
        <patternFill>
          <bgColor rgb="FFD9D9D9"/>
        </patternFill>
      </fill>
    </dxf>
    <dxf>
      <font>
        <color theme="1" tint="0.24994659260841701"/>
      </font>
      <border>
        <bottom style="medium">
          <color auto="1"/>
        </bottom>
      </border>
    </dxf>
  </dxfs>
  <tableStyles count="1" defaultTableStyle="TableStyleMedium2" defaultPivotStyle="PivotStyleLight16">
    <tableStyle name="Money" pivot="0" count="4" xr9:uid="{6228888A-2780-43A9-88A7-521EB3AA6695}">
      <tableStyleElement type="wholeTable" dxfId="142"/>
      <tableStyleElement type="headerRow" dxfId="141"/>
      <tableStyleElement type="firstRowStripe" dxfId="140"/>
      <tableStyleElement type="secondRowStripe" dxfId="139"/>
    </tableStyle>
  </tableStyles>
  <colors>
    <mruColors>
      <color rgb="FF96A6AA"/>
      <color rgb="FF3078CD"/>
      <color rgb="FF45CD86"/>
      <color rgb="FF75ADF0"/>
      <color rgb="FFC9DFFA"/>
      <color rgb="FFD9D9D9"/>
      <color rgb="FFB9D272"/>
      <color rgb="FF668A95"/>
      <color rgb="FFF3AD59"/>
      <color rgb="FF33A8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5CD86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96A6A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147-4A4C-8379-B8608511BA9D}"/>
              </c:ext>
            </c:extLst>
          </c:dPt>
          <c:dPt>
            <c:idx val="1"/>
            <c:invertIfNegative val="0"/>
            <c:bubble3D val="0"/>
            <c:spPr>
              <a:solidFill>
                <a:srgbClr val="3078C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147-4A4C-8379-B8608511BA9D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Snapshot!$Y$7:$Y$8</c:f>
              <c:strCache>
                <c:ptCount val="2"/>
                <c:pt idx="0">
                  <c:v>February</c:v>
                </c:pt>
                <c:pt idx="1">
                  <c:v>March</c:v>
                </c:pt>
              </c:strCache>
            </c:strRef>
          </c:cat>
          <c:val>
            <c:numRef>
              <c:f>Snapshot!$Z$7:$Z$8</c:f>
              <c:numCache>
                <c:formatCode>"$"#,##0</c:formatCode>
                <c:ptCount val="2"/>
                <c:pt idx="0">
                  <c:v>2783.6500000000005</c:v>
                </c:pt>
                <c:pt idx="1">
                  <c:v>1616.0100000000002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3C-4646-85C8-B43ECEDFDB6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2140615712"/>
        <c:axId val="1714516704"/>
      </c:barChart>
      <c:catAx>
        <c:axId val="214061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714516704"/>
        <c:crosses val="autoZero"/>
        <c:auto val="1"/>
        <c:lblAlgn val="ctr"/>
        <c:lblOffset val="100"/>
        <c:noMultiLvlLbl val="1"/>
      </c:catAx>
      <c:valAx>
        <c:axId val="1714516704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1406157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>
          <a:latin typeface="+mn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916705406325925E-2"/>
          <c:y val="4.8958988406005077E-3"/>
          <c:w val="0.80579227002812803"/>
          <c:h val="0.969636791022500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D4E8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71-4877-9346-4178E7D4C2A5}"/>
              </c:ext>
            </c:extLst>
          </c:dPt>
          <c:dPt>
            <c:idx val="1"/>
            <c:bubble3D val="0"/>
            <c:spPr>
              <a:solidFill>
                <a:srgbClr val="33A8B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71-4877-9346-4178E7D4C2A5}"/>
              </c:ext>
            </c:extLst>
          </c:dPt>
          <c:dPt>
            <c:idx val="2"/>
            <c:bubble3D val="0"/>
            <c:spPr>
              <a:solidFill>
                <a:srgbClr val="3078C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171-4877-9346-4178E7D4C2A5}"/>
              </c:ext>
            </c:extLst>
          </c:dPt>
          <c:dPt>
            <c:idx val="3"/>
            <c:bubble3D val="0"/>
            <c:spPr>
              <a:solidFill>
                <a:srgbClr val="F3AD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171-4877-9346-4178E7D4C2A5}"/>
              </c:ext>
            </c:extLst>
          </c:dPt>
          <c:dPt>
            <c:idx val="4"/>
            <c:bubble3D val="0"/>
            <c:spPr>
              <a:solidFill>
                <a:srgbClr val="668A9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171-4877-9346-4178E7D4C2A5}"/>
              </c:ext>
            </c:extLst>
          </c:dPt>
          <c:dPt>
            <c:idx val="5"/>
            <c:bubble3D val="0"/>
            <c:spPr>
              <a:solidFill>
                <a:srgbClr val="B9D27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171-4877-9346-4178E7D4C2A5}"/>
              </c:ext>
            </c:extLst>
          </c:dPt>
          <c:dLbls>
            <c:delete val="1"/>
          </c:dLbls>
          <c:cat>
            <c:strRef>
              <c:f>Snapshot!$AG$6:$AG$11</c:f>
              <c:strCache>
                <c:ptCount val="6"/>
                <c:pt idx="0">
                  <c:v>Bills/Utilities</c:v>
                </c:pt>
                <c:pt idx="1">
                  <c:v>Education</c:v>
                </c:pt>
                <c:pt idx="2">
                  <c:v>Auto/Transport</c:v>
                </c:pt>
                <c:pt idx="3">
                  <c:v>Restaurants/Dining</c:v>
                </c:pt>
                <c:pt idx="4">
                  <c:v>Apps</c:v>
                </c:pt>
                <c:pt idx="5">
                  <c:v>All Other Categories</c:v>
                </c:pt>
              </c:strCache>
            </c:strRef>
          </c:cat>
          <c:val>
            <c:numRef>
              <c:f>Snapshot!$AH$6:$AH$11</c:f>
              <c:numCache>
                <c:formatCode>_([$$-409]* #,##0_);_([$$-409]* \(#,##0\);_([$$-409]* "-"??_);_(@_)</c:formatCode>
                <c:ptCount val="6"/>
                <c:pt idx="0">
                  <c:v>518.97</c:v>
                </c:pt>
                <c:pt idx="1">
                  <c:v>350</c:v>
                </c:pt>
                <c:pt idx="2">
                  <c:v>270.84000000000003</c:v>
                </c:pt>
                <c:pt idx="3">
                  <c:v>188.81</c:v>
                </c:pt>
                <c:pt idx="4">
                  <c:v>166.36</c:v>
                </c:pt>
                <c:pt idx="5">
                  <c:v>121.0300000000002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171-4877-9346-4178E7D4C2A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3777191337166094E-2"/>
          <c:y val="5.8818873237538989E-2"/>
          <c:w val="0.90139033187959261"/>
          <c:h val="0.70032731418793748"/>
        </c:manualLayout>
      </c:layout>
      <c:lineChart>
        <c:grouping val="standard"/>
        <c:varyColors val="0"/>
        <c:ser>
          <c:idx val="0"/>
          <c:order val="0"/>
          <c:tx>
            <c:strRef>
              <c:f>Snapshot!$AM$4</c:f>
              <c:strCache>
                <c:ptCount val="1"/>
                <c:pt idx="0">
                  <c:v>March Spending</c:v>
                </c:pt>
              </c:strCache>
            </c:strRef>
          </c:tx>
          <c:spPr>
            <a:ln w="28575" cap="rnd">
              <a:solidFill>
                <a:srgbClr val="3078CD"/>
              </a:solidFill>
              <a:round/>
            </a:ln>
            <a:effectLst/>
          </c:spPr>
          <c:marker>
            <c:symbol val="none"/>
          </c:marker>
          <c:cat>
            <c:numRef>
              <c:f>Snapshot!$AJ$6:$AJ$36</c:f>
              <c:numCache>
                <c:formatCode>m/d/yyyy</c:formatCode>
                <c:ptCount val="31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</c:numCache>
            </c:numRef>
          </c:cat>
          <c:val>
            <c:numRef>
              <c:f>Snapshot!$AM$6:$AM$36</c:f>
              <c:numCache>
                <c:formatCode>"$"#,##0_);[Red]\("$"#,##0\)</c:formatCode>
                <c:ptCount val="31"/>
                <c:pt idx="0">
                  <c:v>83.97999999999999</c:v>
                </c:pt>
                <c:pt idx="1">
                  <c:v>93.969999999999985</c:v>
                </c:pt>
                <c:pt idx="2">
                  <c:v>93.969999999999985</c:v>
                </c:pt>
                <c:pt idx="3">
                  <c:v>185.75</c:v>
                </c:pt>
                <c:pt idx="4">
                  <c:v>535.75</c:v>
                </c:pt>
                <c:pt idx="5">
                  <c:v>605.75</c:v>
                </c:pt>
                <c:pt idx="6">
                  <c:v>696.13</c:v>
                </c:pt>
                <c:pt idx="7">
                  <c:v>751.13</c:v>
                </c:pt>
                <c:pt idx="8">
                  <c:v>1009.63</c:v>
                </c:pt>
                <c:pt idx="9">
                  <c:v>1172.3499999999999</c:v>
                </c:pt>
                <c:pt idx="10">
                  <c:v>1214.4599999999998</c:v>
                </c:pt>
                <c:pt idx="11">
                  <c:v>1262.4299999999998</c:v>
                </c:pt>
                <c:pt idx="12">
                  <c:v>1294.5999999999999</c:v>
                </c:pt>
                <c:pt idx="13">
                  <c:v>1570.4399999999998</c:v>
                </c:pt>
                <c:pt idx="14">
                  <c:v>1590.4399999999998</c:v>
                </c:pt>
                <c:pt idx="15">
                  <c:v>1616.0099999999998</c:v>
                </c:pt>
                <c:pt idx="16">
                  <c:v>1616.0099999999998</c:v>
                </c:pt>
                <c:pt idx="17">
                  <c:v>1616.0099999999998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B-4D69-8A8E-9D43558EF6A5}"/>
            </c:ext>
          </c:extLst>
        </c:ser>
        <c:ser>
          <c:idx val="1"/>
          <c:order val="1"/>
          <c:tx>
            <c:strRef>
              <c:f>Snapshot!$AQ$4</c:f>
              <c:strCache>
                <c:ptCount val="1"/>
                <c:pt idx="0">
                  <c:v>February Spending</c:v>
                </c:pt>
              </c:strCache>
            </c:strRef>
          </c:tx>
          <c:spPr>
            <a:ln w="28575" cap="rnd">
              <a:solidFill>
                <a:srgbClr val="96A6AA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Snapshot!$AJ$6:$AJ$36</c:f>
              <c:numCache>
                <c:formatCode>m/d/yyyy</c:formatCode>
                <c:ptCount val="31"/>
                <c:pt idx="0">
                  <c:v>36526</c:v>
                </c:pt>
                <c:pt idx="1">
                  <c:v>36527</c:v>
                </c:pt>
                <c:pt idx="2">
                  <c:v>36528</c:v>
                </c:pt>
                <c:pt idx="3">
                  <c:v>36529</c:v>
                </c:pt>
                <c:pt idx="4">
                  <c:v>36530</c:v>
                </c:pt>
                <c:pt idx="5">
                  <c:v>36531</c:v>
                </c:pt>
                <c:pt idx="6">
                  <c:v>36532</c:v>
                </c:pt>
                <c:pt idx="7">
                  <c:v>36533</c:v>
                </c:pt>
                <c:pt idx="8">
                  <c:v>36534</c:v>
                </c:pt>
                <c:pt idx="9">
                  <c:v>36535</c:v>
                </c:pt>
                <c:pt idx="10">
                  <c:v>36536</c:v>
                </c:pt>
                <c:pt idx="11">
                  <c:v>36537</c:v>
                </c:pt>
                <c:pt idx="12">
                  <c:v>36538</c:v>
                </c:pt>
                <c:pt idx="13">
                  <c:v>36539</c:v>
                </c:pt>
                <c:pt idx="14">
                  <c:v>36540</c:v>
                </c:pt>
                <c:pt idx="15">
                  <c:v>36541</c:v>
                </c:pt>
                <c:pt idx="16">
                  <c:v>36542</c:v>
                </c:pt>
                <c:pt idx="17">
                  <c:v>36543</c:v>
                </c:pt>
                <c:pt idx="18">
                  <c:v>36544</c:v>
                </c:pt>
                <c:pt idx="19">
                  <c:v>36545</c:v>
                </c:pt>
                <c:pt idx="20">
                  <c:v>36546</c:v>
                </c:pt>
                <c:pt idx="21">
                  <c:v>36547</c:v>
                </c:pt>
                <c:pt idx="22">
                  <c:v>36548</c:v>
                </c:pt>
                <c:pt idx="23">
                  <c:v>36549</c:v>
                </c:pt>
                <c:pt idx="24">
                  <c:v>36550</c:v>
                </c:pt>
                <c:pt idx="25">
                  <c:v>36551</c:v>
                </c:pt>
                <c:pt idx="26">
                  <c:v>36552</c:v>
                </c:pt>
                <c:pt idx="27">
                  <c:v>36553</c:v>
                </c:pt>
                <c:pt idx="28">
                  <c:v>36554</c:v>
                </c:pt>
                <c:pt idx="29">
                  <c:v>36555</c:v>
                </c:pt>
                <c:pt idx="30">
                  <c:v>36556</c:v>
                </c:pt>
              </c:numCache>
            </c:numRef>
          </c:cat>
          <c:val>
            <c:numRef>
              <c:f>Snapshot!$AQ$6:$AQ$36</c:f>
              <c:numCache>
                <c:formatCode>"$"#,##0_);[Red]\("$"#,##0\)</c:formatCode>
                <c:ptCount val="31"/>
                <c:pt idx="0">
                  <c:v>39.9</c:v>
                </c:pt>
                <c:pt idx="1">
                  <c:v>724.75</c:v>
                </c:pt>
                <c:pt idx="2">
                  <c:v>989.08999999999992</c:v>
                </c:pt>
                <c:pt idx="3">
                  <c:v>989.08999999999992</c:v>
                </c:pt>
                <c:pt idx="4">
                  <c:v>993.17</c:v>
                </c:pt>
                <c:pt idx="5">
                  <c:v>993.17</c:v>
                </c:pt>
                <c:pt idx="6">
                  <c:v>1002.53</c:v>
                </c:pt>
                <c:pt idx="7">
                  <c:v>1002.53</c:v>
                </c:pt>
                <c:pt idx="8">
                  <c:v>1002.53</c:v>
                </c:pt>
                <c:pt idx="9">
                  <c:v>1011.25</c:v>
                </c:pt>
                <c:pt idx="10">
                  <c:v>1026.25</c:v>
                </c:pt>
                <c:pt idx="11">
                  <c:v>1028.24</c:v>
                </c:pt>
                <c:pt idx="12">
                  <c:v>1028.24</c:v>
                </c:pt>
                <c:pt idx="13">
                  <c:v>1099.69</c:v>
                </c:pt>
                <c:pt idx="14">
                  <c:v>1099.69</c:v>
                </c:pt>
                <c:pt idx="15">
                  <c:v>1099.69</c:v>
                </c:pt>
                <c:pt idx="16">
                  <c:v>1175.99</c:v>
                </c:pt>
                <c:pt idx="17">
                  <c:v>1175.99</c:v>
                </c:pt>
                <c:pt idx="18">
                  <c:v>1216.4100000000001</c:v>
                </c:pt>
                <c:pt idx="19">
                  <c:v>1455.64</c:v>
                </c:pt>
                <c:pt idx="20">
                  <c:v>1560.0800000000002</c:v>
                </c:pt>
                <c:pt idx="21">
                  <c:v>1641.4</c:v>
                </c:pt>
                <c:pt idx="22">
                  <c:v>1643.39</c:v>
                </c:pt>
                <c:pt idx="23">
                  <c:v>1858.39</c:v>
                </c:pt>
                <c:pt idx="24">
                  <c:v>1858.39</c:v>
                </c:pt>
                <c:pt idx="25">
                  <c:v>2579.0500000000002</c:v>
                </c:pt>
                <c:pt idx="26">
                  <c:v>2623.8100000000004</c:v>
                </c:pt>
                <c:pt idx="27">
                  <c:v>2783.6500000000005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B-4D69-8A8E-9D43558EF6A5}"/>
            </c:ext>
          </c:extLst>
        </c:ser>
        <c:ser>
          <c:idx val="2"/>
          <c:order val="2"/>
          <c:tx>
            <c:v>PrevMonthMax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96A6AA"/>
              </a:solidFill>
              <a:ln w="9525">
                <a:noFill/>
              </a:ln>
              <a:effectLst/>
            </c:spPr>
          </c:marker>
          <c:dPt>
            <c:idx val="30"/>
            <c:marker>
              <c:symbol val="circle"/>
              <c:size val="6"/>
              <c:spPr>
                <a:solidFill>
                  <a:srgbClr val="96A6AA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5A-48F8-A1C0-21994C26477C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Snapshot!$AR$6:$AR$36</c:f>
              <c:numCache>
                <c:formatCode>"$"#,##0_);[Red]\("$"#,##0\)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2783.6500000000005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85-4A3C-8799-07EFC094EA01}"/>
            </c:ext>
          </c:extLst>
        </c:ser>
        <c:ser>
          <c:idx val="3"/>
          <c:order val="3"/>
          <c:tx>
            <c:v>CurrentMonthMax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3078CD"/>
              </a:solidFill>
              <a:ln w="9525">
                <a:noFill/>
              </a:ln>
              <a:effectLst/>
            </c:spPr>
          </c:marker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Snapshot!$AN$6:$AN$36</c:f>
              <c:numCache>
                <c:formatCode>"$"#,##0_);[Red]\("$"#,##0\)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1616.0099999999998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85-4A3C-8799-07EFC094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276639"/>
        <c:axId val="850507775"/>
      </c:lineChart>
      <c:dateAx>
        <c:axId val="990276639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50507775"/>
        <c:crosses val="autoZero"/>
        <c:auto val="0"/>
        <c:lblOffset val="100"/>
        <c:baseTimeUnit val="days"/>
        <c:majorUnit val="2"/>
        <c:majorTimeUnit val="days"/>
      </c:dateAx>
      <c:valAx>
        <c:axId val="85050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9027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noFill/>
      <a:round/>
    </a:ln>
    <a:effectLst/>
  </c:spPr>
  <c:txPr>
    <a:bodyPr/>
    <a:lstStyle/>
    <a:p>
      <a:pPr>
        <a:defRPr>
          <a:latin typeface="+mn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A818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A2-4705-B14A-62ABDDA41A77}"/>
              </c:ext>
            </c:extLst>
          </c:dPt>
          <c:dPt>
            <c:idx val="1"/>
            <c:invertIfNegative val="0"/>
            <c:bubble3D val="0"/>
            <c:spPr>
              <a:solidFill>
                <a:srgbClr val="3A818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EA2-4705-B14A-62ABDDA41A77}"/>
              </c:ext>
            </c:extLst>
          </c:dPt>
          <c:dPt>
            <c:idx val="2"/>
            <c:invertIfNegative val="0"/>
            <c:bubble3D val="0"/>
            <c:spPr>
              <a:solidFill>
                <a:srgbClr val="3A818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A2-4705-B14A-62ABDDA41A77}"/>
              </c:ext>
            </c:extLst>
          </c:dPt>
          <c:dPt>
            <c:idx val="3"/>
            <c:invertIfNegative val="0"/>
            <c:bubble3D val="0"/>
            <c:spPr>
              <a:solidFill>
                <a:srgbClr val="3A818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EA2-4705-B14A-62ABDDA41A77}"/>
              </c:ext>
            </c:extLst>
          </c:dPt>
          <c:dPt>
            <c:idx val="4"/>
            <c:invertIfNegative val="0"/>
            <c:bubble3D val="0"/>
            <c:spPr>
              <a:solidFill>
                <a:srgbClr val="3A818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EA2-4705-B14A-62ABDDA41A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RecurringExpenses!$C$9:$C$13</c:f>
              <c:strCache>
                <c:ptCount val="5"/>
                <c:pt idx="0">
                  <c:v>State Farm</c:v>
                </c:pt>
                <c:pt idx="1">
                  <c:v>T Mobile</c:v>
                </c:pt>
                <c:pt idx="2">
                  <c:v>Apple Bill Ca Apple</c:v>
                </c:pt>
                <c:pt idx="3">
                  <c:v>Netflix</c:v>
                </c:pt>
                <c:pt idx="4">
                  <c:v>Spotify</c:v>
                </c:pt>
              </c:strCache>
            </c:strRef>
          </c:cat>
          <c:val>
            <c:numRef>
              <c:f>RecurringExpenses!$D$9:$D$13</c:f>
              <c:numCache>
                <c:formatCode>"$"#,##0.00</c:formatCode>
                <c:ptCount val="5"/>
                <c:pt idx="0">
                  <c:v>275.34000000000003</c:v>
                </c:pt>
                <c:pt idx="1">
                  <c:v>172.5</c:v>
                </c:pt>
                <c:pt idx="2">
                  <c:v>130.93999999999997</c:v>
                </c:pt>
                <c:pt idx="3">
                  <c:v>41.97</c:v>
                </c:pt>
                <c:pt idx="4">
                  <c:v>29.97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2-4705-B14A-62ABDDA41A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2133256095"/>
        <c:axId val="2133256511"/>
      </c:barChart>
      <c:catAx>
        <c:axId val="213325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Heading"/>
                <a:ea typeface="+Heading"/>
                <a:cs typeface="+Heading"/>
              </a:defRPr>
            </a:pPr>
            <a:endParaRPr lang="en-US"/>
          </a:p>
        </c:txPr>
        <c:crossAx val="2133256511"/>
        <c:crosses val="autoZero"/>
        <c:auto val="1"/>
        <c:lblAlgn val="ctr"/>
        <c:lblOffset val="100"/>
        <c:noMultiLvlLbl val="0"/>
      </c:catAx>
      <c:valAx>
        <c:axId val="2133256511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21332560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857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8F-470C-A63F-BF6C1F2672EC}"/>
              </c:ext>
            </c:extLst>
          </c:dPt>
          <c:dPt>
            <c:idx val="1"/>
            <c:invertIfNegative val="0"/>
            <c:bubble3D val="0"/>
            <c:spPr>
              <a:solidFill>
                <a:srgbClr val="A9D08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08F-470C-A63F-BF6C1F2672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Budget!$C$10:$C$11</c:f>
              <c:strCache>
                <c:ptCount val="2"/>
                <c:pt idx="0">
                  <c:v>Income</c:v>
                </c:pt>
                <c:pt idx="1">
                  <c:v>Spending</c:v>
                </c:pt>
              </c:strCache>
            </c:strRef>
          </c:cat>
          <c:val>
            <c:numRef>
              <c:f>Budget!$D$10:$D$11</c:f>
              <c:numCache>
                <c:formatCode>"$"#,##0</c:formatCode>
                <c:ptCount val="2"/>
                <c:pt idx="0">
                  <c:v>1459.64</c:v>
                </c:pt>
                <c:pt idx="1">
                  <c:v>1616.0100000000002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8F-470C-A63F-BF6C1F2672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59972192"/>
        <c:axId val="259968032"/>
      </c:barChart>
      <c:catAx>
        <c:axId val="25997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968032"/>
        <c:crosses val="autoZero"/>
        <c:auto val="1"/>
        <c:lblAlgn val="ctr"/>
        <c:lblOffset val="100"/>
        <c:noMultiLvlLbl val="0"/>
      </c:catAx>
      <c:valAx>
        <c:axId val="25996803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5997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Budget!$K$11</c:f>
              <c:strCache>
                <c:ptCount val="1"/>
                <c:pt idx="0">
                  <c:v>Spending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</c:spPr>
          <c:invertIfNegative val="0"/>
          <c:trendline>
            <c:name>Trend line</c:name>
            <c:spPr>
              <a:ln w="19050" cap="rnd">
                <a:solidFill>
                  <a:srgbClr val="000000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Budget!$J$12:$J$17</c:f>
              <c:numCache>
                <c:formatCode>[$-409]mmm\-yy;@</c:formatCode>
                <c:ptCount val="6"/>
                <c:pt idx="0">
                  <c:v>44256</c:v>
                </c:pt>
                <c:pt idx="1">
                  <c:v>44255</c:v>
                </c:pt>
                <c:pt idx="2">
                  <c:v>44227</c:v>
                </c:pt>
                <c:pt idx="3">
                  <c:v>44196</c:v>
                </c:pt>
                <c:pt idx="4">
                  <c:v>44165</c:v>
                </c:pt>
                <c:pt idx="5">
                  <c:v>44135</c:v>
                </c:pt>
              </c:numCache>
            </c:numRef>
          </c:cat>
          <c:val>
            <c:numRef>
              <c:f>Budget!$K$12:$K$17</c:f>
              <c:numCache>
                <c:formatCode>"$"#,##0</c:formatCode>
                <c:ptCount val="6"/>
                <c:pt idx="0">
                  <c:v>1616.0100000000002</c:v>
                </c:pt>
                <c:pt idx="1">
                  <c:v>2783.6500000000005</c:v>
                </c:pt>
                <c:pt idx="2">
                  <c:v>2175.4299999999994</c:v>
                </c:pt>
                <c:pt idx="3">
                  <c:v>4059.1399999999976</c:v>
                </c:pt>
                <c:pt idx="4">
                  <c:v>2000.6800000000003</c:v>
                </c:pt>
                <c:pt idx="5">
                  <c:v>2815.8099999999981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61-47CD-9E16-2360FE638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978016"/>
        <c:axId val="259983008"/>
      </c:barChart>
      <c:dateAx>
        <c:axId val="259978016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983008"/>
        <c:crosses val="autoZero"/>
        <c:auto val="1"/>
        <c:lblOffset val="100"/>
        <c:baseTimeUnit val="months"/>
      </c:dateAx>
      <c:valAx>
        <c:axId val="25998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97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.24444444444444444"/>
          <c:w val="1"/>
          <c:h val="0.51111111111111107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A9D18E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Budget!$C$27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6-4798-B992-0B5367AD382E}"/>
            </c:ext>
          </c:extLst>
        </c:ser>
        <c:ser>
          <c:idx val="1"/>
          <c:order val="1"/>
          <c:spPr>
            <a:solidFill>
              <a:srgbClr val="FFFFFF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Budget!$D$27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6-4798-B992-0B5367AD382E}"/>
            </c:ext>
          </c:extLst>
        </c:ser>
        <c:ser>
          <c:idx val="2"/>
          <c:order val="2"/>
          <c:spPr>
            <a:solidFill>
              <a:srgbClr val="B85F29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Budget!$E$27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36-4798-B992-0B5367AD3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60006720"/>
        <c:axId val="259993824"/>
      </c:barChart>
      <c:catAx>
        <c:axId val="260006720"/>
        <c:scaling>
          <c:orientation val="minMax"/>
        </c:scaling>
        <c:delete val="1"/>
        <c:axPos val="l"/>
        <c:majorTickMark val="none"/>
        <c:minorTickMark val="none"/>
        <c:tickLblPos val="nextTo"/>
        <c:crossAx val="259993824"/>
        <c:crosses val="autoZero"/>
        <c:auto val="1"/>
        <c:lblAlgn val="ctr"/>
        <c:lblOffset val="100"/>
        <c:noMultiLvlLbl val="0"/>
      </c:catAx>
      <c:valAx>
        <c:axId val="259993824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26000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.24444444444444444"/>
          <c:w val="1"/>
          <c:h val="0.51111111111111107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A9D18E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Budget!$J$27</c:f>
              <c:numCache>
                <c:formatCode>0%</c:formatCode>
                <c:ptCount val="1"/>
                <c:pt idx="0">
                  <c:v>0.12663333333333338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7-4834-8253-2A3E5611318B}"/>
            </c:ext>
          </c:extLst>
        </c:ser>
        <c:ser>
          <c:idx val="1"/>
          <c:order val="1"/>
          <c:spPr>
            <a:solidFill>
              <a:srgbClr val="FFFFFF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Budget!$K$27</c:f>
              <c:numCache>
                <c:formatCode>0%</c:formatCode>
                <c:ptCount val="1"/>
                <c:pt idx="0">
                  <c:v>0.87336666666666662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97-4834-8253-2A3E5611318B}"/>
            </c:ext>
          </c:extLst>
        </c:ser>
        <c:ser>
          <c:idx val="2"/>
          <c:order val="2"/>
          <c:spPr>
            <a:solidFill>
              <a:srgbClr val="B85F29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Budget!$L$27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97-4834-8253-2A3E56113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59995904"/>
        <c:axId val="259996736"/>
      </c:barChart>
      <c:catAx>
        <c:axId val="259995904"/>
        <c:scaling>
          <c:orientation val="minMax"/>
        </c:scaling>
        <c:delete val="1"/>
        <c:axPos val="l"/>
        <c:majorTickMark val="none"/>
        <c:minorTickMark val="none"/>
        <c:tickLblPos val="nextTo"/>
        <c:crossAx val="259996736"/>
        <c:crosses val="autoZero"/>
        <c:auto val="1"/>
        <c:lblAlgn val="ctr"/>
        <c:lblOffset val="100"/>
        <c:noMultiLvlLbl val="0"/>
      </c:catAx>
      <c:valAx>
        <c:axId val="259996736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2599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.24444444444444444"/>
          <c:w val="1"/>
          <c:h val="0.51111111111111107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A9D18E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Budget!$O$27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AB-43C1-B712-F6E30AB4D528}"/>
            </c:ext>
          </c:extLst>
        </c:ser>
        <c:ser>
          <c:idx val="1"/>
          <c:order val="1"/>
          <c:spPr>
            <a:solidFill>
              <a:srgbClr val="FFFFFF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Budget!$P$27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AB-43C1-B712-F6E30AB4D528}"/>
            </c:ext>
          </c:extLst>
        </c:ser>
        <c:ser>
          <c:idx val="2"/>
          <c:order val="2"/>
          <c:spPr>
            <a:solidFill>
              <a:srgbClr val="B85F29"/>
            </a:solidFill>
            <a:ln>
              <a:solidFill>
                <a:srgbClr val="A6A6A6"/>
              </a:solidFill>
              <a:prstDash val="solid"/>
            </a:ln>
            <a:effectLst/>
          </c:spPr>
          <c:invertIfNegative val="0"/>
          <c:val>
            <c:numRef>
              <c:f>Budget!$Q$27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AB-43C1-B712-F6E30AB4D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59899808"/>
        <c:axId val="259903136"/>
      </c:barChart>
      <c:catAx>
        <c:axId val="259899808"/>
        <c:scaling>
          <c:orientation val="minMax"/>
        </c:scaling>
        <c:delete val="1"/>
        <c:axPos val="l"/>
        <c:majorTickMark val="none"/>
        <c:minorTickMark val="none"/>
        <c:tickLblPos val="nextTo"/>
        <c:crossAx val="259903136"/>
        <c:crosses val="autoZero"/>
        <c:auto val="1"/>
        <c:lblAlgn val="ctr"/>
        <c:lblOffset val="100"/>
        <c:noMultiLvlLbl val="0"/>
      </c:catAx>
      <c:valAx>
        <c:axId val="259903136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2598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5CD8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37-4D19-A738-53ADF2877483}"/>
              </c:ext>
            </c:extLst>
          </c:dPt>
          <c:dPt>
            <c:idx val="1"/>
            <c:invertIfNegative val="0"/>
            <c:bubble3D val="0"/>
            <c:spPr>
              <a:solidFill>
                <a:srgbClr val="45CD8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37-4D19-A738-53ADF2877483}"/>
              </c:ext>
            </c:extLst>
          </c:dPt>
          <c:dPt>
            <c:idx val="2"/>
            <c:invertIfNegative val="0"/>
            <c:bubble3D val="0"/>
            <c:spPr>
              <a:solidFill>
                <a:srgbClr val="45CD8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237-4D19-A738-53ADF28774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NetWorth!$C$11:$C$13</c:f>
              <c:strCache>
                <c:ptCount val="3"/>
                <c:pt idx="0">
                  <c:v>Total assets</c:v>
                </c:pt>
                <c:pt idx="1">
                  <c:v>Total liabilities</c:v>
                </c:pt>
                <c:pt idx="2">
                  <c:v>Net worth</c:v>
                </c:pt>
              </c:strCache>
            </c:strRef>
          </c:cat>
          <c:val>
            <c:numRef>
              <c:f>NetWorth!$D$11:$D$13</c:f>
              <c:numCache>
                <c:formatCode>"$"#,###</c:formatCode>
                <c:ptCount val="3"/>
                <c:pt idx="0">
                  <c:v>7639.86</c:v>
                </c:pt>
                <c:pt idx="2">
                  <c:v>7619.86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7-4D19-A738-53ADF287748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D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37-4D19-A738-53ADF28774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NetWorth!$C$11:$C$13</c:f>
              <c:strCache>
                <c:ptCount val="3"/>
                <c:pt idx="0">
                  <c:v>Total assets</c:v>
                </c:pt>
                <c:pt idx="1">
                  <c:v>Total liabilities</c:v>
                </c:pt>
                <c:pt idx="2">
                  <c:v>Net worth</c:v>
                </c:pt>
              </c:strCache>
            </c:strRef>
          </c:cat>
          <c:val>
            <c:numRef>
              <c:f>NetWorth!$E$11:$E$13</c:f>
              <c:numCache>
                <c:formatCode>"$"#,###</c:formatCode>
                <c:ptCount val="3"/>
                <c:pt idx="1">
                  <c:v>-20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7-4D19-A738-53ADF28774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100"/>
        <c:axId val="1739370368"/>
        <c:axId val="1739382848"/>
      </c:barChart>
      <c:catAx>
        <c:axId val="173937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Heading"/>
                <a:ea typeface="+Heading"/>
                <a:cs typeface="+Heading"/>
              </a:defRPr>
            </a:pPr>
            <a:endParaRPr lang="en-US"/>
          </a:p>
        </c:txPr>
        <c:crossAx val="1739382848"/>
        <c:crosses val="autoZero"/>
        <c:auto val="1"/>
        <c:lblAlgn val="ctr"/>
        <c:lblOffset val="100"/>
        <c:noMultiLvlLbl val="0"/>
      </c:catAx>
      <c:valAx>
        <c:axId val="1739382848"/>
        <c:scaling>
          <c:orientation val="minMax"/>
        </c:scaling>
        <c:delete val="1"/>
        <c:axPos val="l"/>
        <c:numFmt formatCode="&quot;$&quot;#,###" sourceLinked="1"/>
        <c:majorTickMark val="none"/>
        <c:minorTickMark val="none"/>
        <c:tickLblPos val="nextTo"/>
        <c:crossAx val="173937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84475</xdr:rowOff>
    </xdr:from>
    <xdr:to>
      <xdr:col>8</xdr:col>
      <xdr:colOff>800378</xdr:colOff>
      <xdr:row>21</xdr:row>
      <xdr:rowOff>67235</xdr:rowOff>
    </xdr:to>
    <xdr:graphicFrame macro="">
      <xdr:nvGraphicFramePr>
        <xdr:cNvPr id="2" name="Chart 1" descr="Monthly Income vs. Spend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87674</xdr:colOff>
      <xdr:row>9</xdr:row>
      <xdr:rowOff>33337</xdr:rowOff>
    </xdr:from>
    <xdr:to>
      <xdr:col>15</xdr:col>
      <xdr:colOff>152399</xdr:colOff>
      <xdr:row>20</xdr:row>
      <xdr:rowOff>84335</xdr:rowOff>
    </xdr:to>
    <xdr:graphicFrame macro="">
      <xdr:nvGraphicFramePr>
        <xdr:cNvPr id="4" name="Chart 3" descr="Month's Top Spending Categories&#10;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EA4B61A0-993A-412D-B4E8-1DCB15DF5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28</xdr:row>
      <xdr:rowOff>85723</xdr:rowOff>
    </xdr:from>
    <xdr:to>
      <xdr:col>19</xdr:col>
      <xdr:colOff>95250</xdr:colOff>
      <xdr:row>41</xdr:row>
      <xdr:rowOff>57149</xdr:rowOff>
    </xdr:to>
    <xdr:graphicFrame macro="">
      <xdr:nvGraphicFramePr>
        <xdr:cNvPr id="3" name="Chart 2" descr="Cumulative Spending Throughout Mon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0.37278</cdr:x>
      <cdr:y>0.38161</cdr:y>
    </cdr:from>
    <cdr:to>
      <cdr:x>0.63129</cdr:x>
      <cdr:y>0.57244</cdr:y>
    </cdr:to>
    <cdr:sp macro="" textlink="Snapshot!$AH$12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5C1457A-F0F2-4C50-B24F-1B3F9811CE14}"/>
            </a:ext>
          </a:extLst>
        </cdr:cNvPr>
        <cdr:cNvSpPr txBox="1"/>
      </cdr:nvSpPr>
      <cdr:spPr>
        <a:xfrm xmlns:a="http://schemas.openxmlformats.org/drawingml/2006/main">
          <a:off x="947830" y="813749"/>
          <a:ext cx="657291" cy="406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fld id="{69F04872-0FD4-4F54-9235-FD976F8554FF}" type="TxLink">
            <a:rPr lang="en-US" sz="12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Arial" panose="020B0604020202020204" pitchFamily="34" charset="0"/>
            </a:rPr>
            <a:pPr algn="ctr"/>
            <a:t> $1,616 </a:t>
          </a:fld>
          <a:endParaRPr lang="en-US" sz="1200" b="0">
            <a:solidFill>
              <a:schemeClr val="tx1">
                <a:lumMod val="75000"/>
                <a:lumOff val="25000"/>
              </a:schemeClr>
            </a:solidFill>
            <a:latin typeface="+mn-lt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5</xdr:col>
      <xdr:colOff>0</xdr:colOff>
      <xdr:row>14</xdr:row>
      <xdr:rowOff>0</xdr:rowOff>
    </xdr:to>
    <xdr:graphicFrame macro="">
      <xdr:nvGraphicFramePr>
        <xdr:cNvPr id="2" name="mostRecentRecurringExpensesChart">
          <a:extLst>
            <a:ext uri="{FF2B5EF4-FFF2-40B4-BE49-F238E27FC236}">
              <a16:creationId xmlns:a16="http://schemas.microsoft.com/office/drawing/2014/main" id="{53048970-4C62-414B-AB9E-F14DE1933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9</xdr:row>
      <xdr:rowOff>0</xdr:rowOff>
    </xdr:from>
    <xdr:to>
      <xdr:col>5</xdr:col>
      <xdr:colOff>1</xdr:colOff>
      <xdr:row>18</xdr:row>
      <xdr:rowOff>0</xdr:rowOff>
    </xdr:to>
    <xdr:graphicFrame macro="">
      <xdr:nvGraphicFramePr>
        <xdr:cNvPr id="2" name="IncomeVsSpendingChart">
          <a:extLst>
            <a:ext uri="{FF2B5EF4-FFF2-40B4-BE49-F238E27FC236}">
              <a16:creationId xmlns:a16="http://schemas.microsoft.com/office/drawing/2014/main" id="{014C8BCE-AA18-4E42-B2DB-AFF410D49B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9</xdr:row>
      <xdr:rowOff>1</xdr:rowOff>
    </xdr:from>
    <xdr:to>
      <xdr:col>17</xdr:col>
      <xdr:colOff>0</xdr:colOff>
      <xdr:row>18</xdr:row>
      <xdr:rowOff>149353</xdr:rowOff>
    </xdr:to>
    <xdr:graphicFrame macro="">
      <xdr:nvGraphicFramePr>
        <xdr:cNvPr id="3" name="SpendingOverTimeChart">
          <a:extLst>
            <a:ext uri="{FF2B5EF4-FFF2-40B4-BE49-F238E27FC236}">
              <a16:creationId xmlns:a16="http://schemas.microsoft.com/office/drawing/2014/main" id="{16C17EA2-7153-4581-972C-4D1776C585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0</xdr:colOff>
      <xdr:row>28</xdr:row>
      <xdr:rowOff>0</xdr:rowOff>
    </xdr:to>
    <xdr:graphicFrame macro="">
      <xdr:nvGraphicFramePr>
        <xdr:cNvPr id="4" name="TotalBudgetChart">
          <a:extLst>
            <a:ext uri="{FF2B5EF4-FFF2-40B4-BE49-F238E27FC236}">
              <a16:creationId xmlns:a16="http://schemas.microsoft.com/office/drawing/2014/main" id="{4EED1C44-C613-4B36-B601-1AC07CE55C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25</xdr:row>
      <xdr:rowOff>0</xdr:rowOff>
    </xdr:from>
    <xdr:to>
      <xdr:col>12</xdr:col>
      <xdr:colOff>0</xdr:colOff>
      <xdr:row>28</xdr:row>
      <xdr:rowOff>0</xdr:rowOff>
    </xdr:to>
    <xdr:graphicFrame macro="">
      <xdr:nvGraphicFramePr>
        <xdr:cNvPr id="5" name="Category1BudgetChart">
          <a:extLst>
            <a:ext uri="{FF2B5EF4-FFF2-40B4-BE49-F238E27FC236}">
              <a16:creationId xmlns:a16="http://schemas.microsoft.com/office/drawing/2014/main" id="{54EB34A3-65AA-4E47-A9B7-A74593EFCB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17</xdr:col>
      <xdr:colOff>0</xdr:colOff>
      <xdr:row>28</xdr:row>
      <xdr:rowOff>0</xdr:rowOff>
    </xdr:to>
    <xdr:graphicFrame macro="">
      <xdr:nvGraphicFramePr>
        <xdr:cNvPr id="6" name="Category2BudgetChart">
          <a:extLst>
            <a:ext uri="{FF2B5EF4-FFF2-40B4-BE49-F238E27FC236}">
              <a16:creationId xmlns:a16="http://schemas.microsoft.com/office/drawing/2014/main" id="{FC5FD317-EE26-4D9C-9E36-7C602E2808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5</xdr:col>
      <xdr:colOff>0</xdr:colOff>
      <xdr:row>24</xdr:row>
      <xdr:rowOff>0</xdr:rowOff>
    </xdr:to>
    <xdr:graphicFrame macro="">
      <xdr:nvGraphicFramePr>
        <xdr:cNvPr id="2" name="summaryChart">
          <a:extLst>
            <a:ext uri="{FF2B5EF4-FFF2-40B4-BE49-F238E27FC236}">
              <a16:creationId xmlns:a16="http://schemas.microsoft.com/office/drawing/2014/main" id="{D947C4BA-FDBB-497C-BFBC-FB9920A156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ABC79-9C59-4E23-92A7-75F31BA5D235}" name="Table2" displayName="Table2" ref="C6:E44" totalsRowShown="0" headerRowDxfId="138" dataDxfId="137" tableBorderDxfId="136">
  <autoFilter ref="C6:E44" xr:uid="{E630DDAD-569F-40E5-B0AD-F309D146F27A}"/>
  <tableColumns count="3">
    <tableColumn id="1" xr3:uid="{A1F04B03-8670-4C22-8F71-51FEA2D87954}" name="Id" dataDxfId="135"/>
    <tableColumn id="5" xr3:uid="{04FE7142-476D-C746-BA4C-B7000645E008}" name="Category Name" dataDxfId="134"/>
    <tableColumn id="2" xr3:uid="{164B46D0-D949-4187-9448-0A4C615EBE4E}" name="Category Type" dataDxfId="133"/>
  </tableColumns>
  <tableStyleInfo name="Money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214A6F6-0DD5-5A41-8A04-736B82407D47}" name="CategoriesTable" displayName="CategoriesTable" ref="B7:E193" totalsRowShown="0" headerRowDxfId="132" dataDxfId="131">
  <autoFilter ref="B7:E193" xr:uid="{B3DC8D2A-FAFE-DD48-915A-0EE0BB47DE43}"/>
  <tableColumns count="4">
    <tableColumn id="1" xr3:uid="{50A6BF5C-A42C-3D4C-9D02-11C014F66B7C}" name="ID" dataDxfId="130"/>
    <tableColumn id="2" xr3:uid="{733CA2DE-3260-5B4C-B3FA-3B24EE70656B}" name="Category name" dataDxfId="129"/>
    <tableColumn id="3" xr3:uid="{6426D870-AE11-994C-B9DB-472A7F781B47}" name="Category type" dataDxfId="128"/>
    <tableColumn id="4" xr3:uid="{9A4A5794-2BC0-A341-8D1D-56BD41073385}" name="Default" dataDxfId="127"/>
  </tableColumns>
  <tableStyleInfo name="Money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464EDC-6766-F647-8A58-D572226DD58E}" name="SubcategoriesTable" displayName="SubcategoriesTable" ref="G7:J100" totalsRowShown="0" headerRowDxfId="126" dataDxfId="125">
  <autoFilter ref="G7:J100" xr:uid="{1D1562FA-5000-C64E-A69E-E6B991A2A56D}"/>
  <tableColumns count="4">
    <tableColumn id="1" xr3:uid="{72868950-F01A-E44D-9B56-C3FAF1E98937}" name="ID" dataDxfId="124"/>
    <tableColumn id="2" xr3:uid="{D2AD50BB-A2C6-7141-A591-FAD1BCB50F38}" name="Category name" dataDxfId="123"/>
    <tableColumn id="3" xr3:uid="{3AAABA99-3AB7-514F-B68D-1E4E094AD20D}" name="Subcategory name" dataDxfId="122"/>
    <tableColumn id="4" xr3:uid="{105A99CC-66D7-B747-BC3A-69A7401AF587}" name="Category ID" dataDxfId="121">
      <calculatedColumnFormula>IF(NOT(_xlfn.XLOOKUP(SubcategoriesTable[[#This Row],[Category name]],CategoriesTable[Category name],CategoriesTable[ID])=0),_xlfn.XLOOKUP(SubcategoriesTable[[#This Row],[Category name]],CategoriesTable[Category name],CategoriesTable[ID]),"")</calculatedColumnFormula>
    </tableColumn>
  </tableColumns>
  <tableStyleInfo name="Money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B60AC0A-D20D-5142-A91B-50A733AFA7BA}" name="Institutions" displayName="Institutions" ref="A1:C11" totalsRowShown="0">
  <autoFilter ref="A1:C11" xr:uid="{8DDC56AC-4C8F-344A-AC35-DC2BCE373824}"/>
  <tableColumns count="3">
    <tableColumn id="1" xr3:uid="{F8F00E7C-8F20-944A-A003-C2E0D132D0CC}" name="ID"/>
    <tableColumn id="2" xr3:uid="{1CF7E431-29B2-0542-BCD6-BB99F26C573E}" name="Institution name"/>
    <tableColumn id="3" xr3:uid="{AEB05183-AE93-4A40-B032-81FBD8652435}" name="Institution nicknam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EE1CB7C-1C37-8D49-A606-32D437989B68}" name="Accounts" displayName="Accounts" ref="E1:I12" totalsRowShown="0">
  <autoFilter ref="E1:I12" xr:uid="{DBAD4FF5-5D9B-BF4C-8495-1EAFEB48B5A2}"/>
  <tableColumns count="5">
    <tableColumn id="1" xr3:uid="{5687EA0E-F77A-2E4D-9D1D-6FE2410DA79E}" name="ID"/>
    <tableColumn id="2" xr3:uid="{DFB54C1C-3C19-0E40-B99B-98D3218F9866}" name="Institution ID"/>
    <tableColumn id="3" xr3:uid="{EBEA3053-AC2F-4A4E-A1B9-6470BE7AC771}" name="Account#" dataDxfId="120"/>
    <tableColumn id="4" xr3:uid="{808ED94C-F242-3A4F-848B-5B890D3F77A5}" name="Account name"/>
    <tableColumn id="5" xr3:uid="{9B2B6C07-884E-C449-9650-CC23BAADC366}" name="Account nicknam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CD3EA0-E4E7-414E-AED7-82FDC31C791D}" name="Table1" displayName="Table1" ref="B6:S1669" totalsRowShown="0" headerRowDxfId="119" dataDxfId="118">
  <autoFilter ref="B6:S1669" xr:uid="{1E93EEF5-853E-42BB-A4F2-89A98C13F990}"/>
  <sortState xmlns:xlrd2="http://schemas.microsoft.com/office/spreadsheetml/2017/richdata2" ref="B7:S1669">
    <sortCondition descending="1" ref="B7:B1669"/>
  </sortState>
  <tableColumns count="18">
    <tableColumn id="1" xr3:uid="{EE6ED09F-F28E-459A-8607-99055584CDBE}" name="Date" dataDxfId="117"/>
    <tableColumn id="2" xr3:uid="{D76EC5B3-A626-48A8-A996-E3B80A2D3FA4}" name="Merchant" dataDxfId="116"/>
    <tableColumn id="3" xr3:uid="{4B7E9E3C-3E46-4B70-AE02-A4D7CF3853EC}" name="Category" dataDxfId="115"/>
    <tableColumn id="17" xr3:uid="{317C8378-88C4-6548-9039-CB14E163E0EF}" name="Subcategory" dataDxfId="114"/>
    <tableColumn id="4" xr3:uid="{B5C0445C-239E-43A5-B227-C3C3F4255C9B}" name="Amount $" dataDxfId="113"/>
    <tableColumn id="5" xr3:uid="{D96AF5FB-B219-4E87-90E5-1F89CA4F1921}" name="Account" dataDxfId="112">
      <calculatedColumnFormula>_xlfn.XLOOKUP(Table1[[#This Row],[Account_ID]], Accounts[ID], Accounts[Account nickname], "Unknown")</calculatedColumnFormula>
    </tableColumn>
    <tableColumn id="6" xr3:uid="{4EDA5FD9-4393-4FEA-915F-33B320335813}" name="Account Number" dataDxfId="111">
      <calculatedColumnFormula>_xlfn.XLOOKUP(Table1[[#This Row],[Account_ID]], Accounts[ID], Accounts[Account'#], "Unknown")</calculatedColumnFormula>
    </tableColumn>
    <tableColumn id="7" xr3:uid="{81BC73AB-869E-4F12-8D56-326E275BA234}" name="Institution" dataDxfId="110">
      <calculatedColumnFormula>_xlfn.XLOOKUP(Table1[[#This Row],[Institution_ID]], Institutions[ID], Institutions[Institution nickname], "Unknown")</calculatedColumnFormula>
    </tableColumn>
    <tableColumn id="14" xr3:uid="{20218ADD-5EE2-405E-AF73-890CF1361427}" name="Transaction_ID" dataDxfId="109"/>
    <tableColumn id="13" xr3:uid="{0C9D6E6C-7960-412E-A0B8-9C48ADB8BF9E}" name="Account_ID" dataDxfId="108"/>
    <tableColumn id="15" xr3:uid="{4C8D2200-E378-40E0-9425-67E53F82CCE4}" name="Institution_ID" dataDxfId="107"/>
    <tableColumn id="16" xr3:uid="{6F75B681-920E-42D4-965A-992DD52CE145}" name="Category Type" dataDxfId="106">
      <calculatedColumnFormula array="1">IFERROR(INDEX(CategoriesTable[Category type],MATCH(Table1[[#This Row],[Category]],CategoriesTable[Category name],0),0),"")</calculatedColumnFormula>
    </tableColumn>
    <tableColumn id="19" xr3:uid="{74B0BFA8-7D7D-4100-9EAC-9C181E3E44EC}" name="SubCategory Type" dataDxfId="105">
      <calculatedColumnFormula array="1">IFERROR(INDEX(SubcategoriesTable[Subcategory name],MATCH(Table1[[#This Row],[Category]],SubcategoriesTable[Category name],0),0),"")</calculatedColumnFormula>
    </tableColumn>
    <tableColumn id="8" xr3:uid="{E89A31A0-3B8F-415C-A20F-F7D6E65F3692}" name="Date_Day" dataDxfId="104">
      <calculatedColumnFormula>DAY(Table1[[#This Row],[Date]])</calculatedColumnFormula>
    </tableColumn>
    <tableColumn id="9" xr3:uid="{5E9632CC-9B9D-4C42-A498-0EB7B2A784B4}" name="Date_Month" dataDxfId="103">
      <calculatedColumnFormula>MONTH(Table1[[#This Row],[Date]])</calculatedColumnFormula>
    </tableColumn>
    <tableColumn id="10" xr3:uid="{97D39170-DF53-42AA-8F04-83FB5831E028}" name="Date_Year" dataDxfId="102">
      <calculatedColumnFormula>YEAR(Table1[[#This Row],[Date]])</calculatedColumnFormula>
    </tableColumn>
    <tableColumn id="11" xr3:uid="{126135E5-55E0-4ADD-95EE-77FBF80CE9F9}" name="Beginning of Week" dataDxfId="101">
      <calculatedColumnFormula>IF(ISBLANK(Table1[[#This Row],[Date]]),"",Table1[[#This Row],[Date]]-WEEKDAY(Table1[[#This Row],[Date]],2)+1)</calculatedColumnFormula>
    </tableColumn>
    <tableColumn id="12" xr3:uid="{2AAEBDD8-703F-435B-AB5F-735EF64E5EA7}" name="Month" dataDxfId="100">
      <calculatedColumnFormula>IF(ISBLANK(Table1[[#This Row],[Date]]),"",DATE(Table1[[#This Row],[Date_Year]],Table1[[#This Row],[Date_Month]],1))</calculatedColumnFormula>
    </tableColumn>
  </tableColumns>
  <tableStyleInfo name="Money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E3536-6DB3-43C5-877E-8BB25EE8C801}" name="RecurringExp" displayName="RecurringExp" ref="G8:S29" totalsRowShown="0" headerRowDxfId="79" dataDxfId="78">
  <autoFilter ref="G8:S29" xr:uid="{B83AE637-8F8C-41B0-BF33-85344023668E}"/>
  <sortState xmlns:xlrd2="http://schemas.microsoft.com/office/spreadsheetml/2017/richdata2" ref="G9:S29">
    <sortCondition ref="S9:S29"/>
    <sortCondition descending="1" ref="I9:I29"/>
  </sortState>
  <tableColumns count="13">
    <tableColumn id="1" xr3:uid="{0939F42D-E965-4C6A-BABB-A5EA535563CA}" name="Id" dataDxfId="92"/>
    <tableColumn id="2" xr3:uid="{9728D8F4-3BDD-4D04-9F45-0CD5C63E5958}" name="Merchant" dataDxfId="91"/>
    <tableColumn id="3" xr3:uid="{E6585547-5563-4D44-8769-58A727EFCD9B}" name="Amount $" dataDxfId="90"/>
    <tableColumn id="4" xr3:uid="{B60BCF4C-4080-4287-8E22-C29D7EDDD0AA}" name="Frequency" dataDxfId="89"/>
    <tableColumn id="5" xr3:uid="{1CD6F681-AD00-4BE8-AA50-54BCEA4D45E8}" name="YTD/Annual Cost" dataDxfId="88">
      <calculatedColumnFormula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calculatedColumnFormula>
    </tableColumn>
    <tableColumn id="6" xr3:uid="{025CC3B0-11FB-4EC5-B99B-AC6276B2BE5B}" name="Price Change $" dataDxfId="87"/>
    <tableColumn id="7" xr3:uid="{644E9442-E94A-44FE-943D-1C94DE8C0D9A}" name="Last Date Paid" dataDxfId="86"/>
    <tableColumn id="8" xr3:uid="{90AFCB5B-D822-4670-9AB4-2A701CCE6BCC}" name="Upcoming Pay Date" dataDxfId="85"/>
    <tableColumn id="9" xr3:uid="{DD2D3EF1-4F1C-4A46-A7AE-580DE600094B}" name="Sum from Trans" dataDxfId="84">
      <calculatedColumnFormula>IF(SUMIFS(Table1[Amount $],Table1[Merchant],RecurringExp[[#This Row],[Merchant]],Table1[Date_Year],YEAR(TODAY()))*-1=0,"",SUMIFS(Table1[Amount $],Table1[Merchant],RecurringExp[[#This Row],[Merchant]],Table1[Date_Year],YEAR(TODAY()))*-1)</calculatedColumnFormula>
    </tableColumn>
    <tableColumn id="10" xr3:uid="{4256B2D9-FE24-4265-9D9B-390A280A1107}" name="Upcoming Days" dataDxfId="83">
      <calculatedColumnFormula>IF(ISBLANK(RecurringExp[[#This Row],[Upcoming Pay Date]]),"",IF(RecurringExp[[#This Row],[Upcoming Pay Date]]-TODAY()&lt;0,"",IF(RecurringExp[[#This Row],[Upcoming Pay Date]]-TODAY()&gt;30,"",RecurringExp[[#This Row],[Upcoming Pay Date]]-TODAY())))</calculatedColumnFormula>
    </tableColumn>
    <tableColumn id="11" xr3:uid="{ED29B473-C0F8-42BB-B52A-D81915FB2318}" name="Rank_Days" dataDxfId="82">
      <calculatedColumnFormula>IFERROR(RANK(RecurringExp[[#This Row],[Upcoming Days]],RecurringExp[Upcoming Days],1)+COUNTIF(RecurringExp[[#This Row],[Upcoming Days]]:RecurringExp[[#This Row],[Upcoming Days]],RecurringExp[[#This Row],[Upcoming Days]])-1,"")</calculatedColumnFormula>
    </tableColumn>
    <tableColumn id="12" xr3:uid="{8F482F15-AEF8-4977-B12C-78AEB26D703E}" name="Rank_Annual" dataDxfId="81">
      <calculatedColumnFormula>IFERROR(RANK(RecurringExp[[#This Row],[YTD/Annual Cost]],RecurringExp[YTD/Annual Cost],0)+COUNTIF(RecurringExp[[#This Row],[YTD/Annual Cost]]:RecurringExp[[#This Row],[YTD/Annual Cost]],RecurringExp[[#This Row],[YTD/Annual Cost]])-1,"")</calculatedColumnFormula>
    </tableColumn>
    <tableColumn id="13" xr3:uid="{1CCBE868-829D-433A-B956-3A8CFB25388E}" name="User Added" dataDxfId="80"/>
  </tableColumns>
  <tableStyleInfo name="Money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627215E-52DA-4E35-A97E-F99B798CE0C8}" name="BudgetsTable" displayName="BudgetsTable" ref="C35:W237" totalsRowShown="0" headerRowDxfId="56" dataDxfId="55">
  <autoFilter ref="C35:W237" xr:uid="{826723D0-7834-4F33-9FA3-2EB83ED6EBB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C15D9B32-84D0-49CA-8FC8-BB201B25B1E3}" name="Category" dataDxfId="77"/>
    <tableColumn id="2" xr3:uid="{B4420EB5-4EC1-40A9-A9BD-A523D23D1FE6}" name=" " dataDxfId="76"/>
    <tableColumn id="3" xr3:uid="{2B467319-F205-45AF-ADD8-101DF43F49CD}" name="  " dataDxfId="75"/>
    <tableColumn id="4" xr3:uid="{9FB106BF-4553-44C3-808F-E9DBD7CC7933}" name="Spent" dataDxfId="74">
      <calculatedColumnFormula>IF(OR(ISBLANK(BudgetsTable[[#This Row],[Category]]),BudgetsTable[[#This Row],[Category]]=""),"",(SUMIFS(Table1[Amount $],Table1[Category Type],"Expense",Table1[SubCategory Type],"Variable",Table1[Date_Month],MONTH(BudgetsDate),Table1[Date_Year],YEAR(BudgetsDate),Table1[Category],BudgetsTable[[#This Row],[Category]]))*(-1))</calculatedColumnFormula>
    </tableColumn>
    <tableColumn id="5" xr3:uid="{0C2DFF7F-268B-4B86-9514-4AD9F8815581}" name="   " dataDxfId="73"/>
    <tableColumn id="6" xr3:uid="{6E3C1858-A03E-4104-861B-AC648B5C6016}" name="    " dataDxfId="72"/>
    <tableColumn id="7" xr3:uid="{EC33CA5E-DA51-4676-B49E-F3517AAA7614}" name="     " dataDxfId="71"/>
    <tableColumn id="8" xr3:uid="{DBEA4317-BDF2-4291-81CB-70FF9B8BFC1E}" name="Budget" dataDxfId="70"/>
    <tableColumn id="9" xr3:uid="{4B7D195D-6CB3-4EAF-A9C6-94A85511FBC0}" name="      " dataDxfId="69"/>
    <tableColumn id="10" xr3:uid="{0B0F7505-1C2A-4DE9-9950-AECC07AC8421}" name="Remaining" dataDxfId="68"/>
    <tableColumn id="11" xr3:uid="{A94C42D7-E4AC-49E1-A09F-437B97DBF7DB}" name="       " dataDxfId="67"/>
    <tableColumn id="12" xr3:uid="{0B45057A-CF0D-411D-A4FB-CBC71C20EB18}" name="        " dataDxfId="66"/>
    <tableColumn id="13" xr3:uid="{17137569-D8B7-4024-A064-14C433530531}" name="         " dataDxfId="65"/>
    <tableColumn id="14" xr3:uid="{911EBFEF-40BB-4CFC-9985-32DF8BDD58F2}" name="          " dataDxfId="64"/>
    <tableColumn id="15" xr3:uid="{891951DF-9E1C-41A4-9688-FF86C93BD918}" name="           " dataDxfId="63"/>
    <tableColumn id="16" xr3:uid="{7D02777B-B63B-4C06-922D-8B462A7DAE28}" name="Id" dataDxfId="62"/>
    <tableColumn id="17" xr3:uid="{F1AFA596-BC0F-42C9-BBB9-252CAC26C344}" name="OneMonthAgoBudget" dataDxfId="61"/>
    <tableColumn id="18" xr3:uid="{3180D3EB-E1B7-4739-AD41-043A060B9661}" name="TwoMonthsAgoBudget" dataDxfId="60"/>
    <tableColumn id="19" xr3:uid="{05DB80FE-D035-4CF4-9298-AFB09E325040}" name="ThreeMonthsAgoBudget" dataDxfId="59"/>
    <tableColumn id="20" xr3:uid="{67A624D1-5490-40BB-8698-25BBF3D74C27}" name="MonthsCount" dataDxfId="58"/>
    <tableColumn id="21" xr3:uid="{DA871421-506A-4E33-9B3A-177DE3926192}" name="CategoryId" dataDxfId="57"/>
  </tableColumns>
  <tableStyleInfo name="Money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030E855-9E57-4180-8D74-2C9FA8D67830}" name="AccountsTable" displayName="AccountsTable" ref="H8:L15" totalsRowShown="0" headerRowDxfId="94" dataDxfId="93">
  <autoFilter ref="H8:L15" xr:uid="{B4ACA8C1-1868-4847-A932-DCA6A1C0E54B}"/>
  <sortState xmlns:xlrd2="http://schemas.microsoft.com/office/spreadsheetml/2017/richdata2" ref="H9:L15">
    <sortCondition descending="1" ref="J9:J15"/>
    <sortCondition descending="1" ref="K9:K15"/>
    <sortCondition descending="1" ref="L9:L15"/>
    <sortCondition descending="1" ref="H9:H15"/>
  </sortState>
  <tableColumns count="5">
    <tableColumn id="1" xr3:uid="{58BB68D0-B4CE-475A-A54C-638FCF0368AD}" name="Id" dataDxfId="99"/>
    <tableColumn id="2" xr3:uid="{0AA31242-A0F1-4E7F-AC84-206786734477}" name="Account" dataDxfId="98">
      <calculatedColumnFormula>IF(NOT(ISBLANK(AccountsTable[[#This Row],[Id]])),CONCATENATE(_xlfn.XLOOKUP(AccountsTable[[#This Row],[Id]], Accounts[ID], Accounts[Account nickname], "Unknown"), " (", _xlfn.XLOOKUP(AccountsTable[[#This Row],[Id]], Accounts[ID], Accounts[Account'#], "000"), ")"), "")</calculatedColumnFormula>
    </tableColumn>
    <tableColumn id="3" xr3:uid="{38B8E3BC-5629-43EF-AAF8-3AB6589B94ED}" name="Asset / Liability" dataDxfId="97">
      <calculatedColumnFormula>IF(ISBLANK(AccountsTable[[#This Row],[Account Category]]),"",IF(OR(AccountsTable[[#This Row],[Account Category]]="investments",AccountsTable[[#This Row],[Account Category]]="cash"),"Asset","Liability"))</calculatedColumnFormula>
    </tableColumn>
    <tableColumn id="4" xr3:uid="{658954FF-1F01-480A-8141-CED88385E00B}" name="Account Category" dataDxfId="96"/>
    <tableColumn id="5" xr3:uid="{65D6F9EC-96CE-45C6-AEC6-14D66C50FFC0}" name="Amount $" dataDxfId="95"/>
  </tableColumns>
  <tableStyleInfo name="Money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C588499-CA36-40D8-8ECA-1F3AB0185D4A}">
  <we:reference id="wa200001306" version="2.0.0.0" store="en-US" storeType="OMEX"/>
  <we:alternateReferences>
    <we:reference id="wa200001306" version="2.0.0.0" store="WA200001306" storeType="OMEX"/>
  </we:alternateReferences>
  <we:properties>
    <we:property name="Office.AutoShowTaskpaneWithDocument" value="true"/>
    <we:property name="a468cf335986495cbe44eb4c4c212bb6" value="&quot;[[\&quot;lastSyncTimestamp\&quot;,1616123426965]]&quot;"/>
    <we:property name="migrations" value="[&quot;b3a48a58-0c34-4d38-a965-2a6529d517de&quot;,&quot;8ce1ea5d-3a50-4835-82d3-bfef0588ea03&quot;,&quot;8ce1ea5d-3a50-4835-88d3-bfef0588ea03&quot;]"/>
    <we:property name="populated" value="true"/>
    <we:property name="templateVersion" value="&quot;2.2.0&quot;"/>
  </we:properties>
  <we:bindings>
    <we:binding id="NotificationCategoryPrimer" type="matrix" appref="{8FA9F014-A7FB-41FF-9790-796DCB0FBA5B}"/>
    <we:binding id="NotificationCategoryCustom" type="matrix" appref="{C5048987-A91E-4F9F-8296-B538AEB65388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71E34-955C-4F80-B554-59820120072A}">
  <dimension ref="A1:AY200"/>
  <sheetViews>
    <sheetView showGridLines="0" zoomScaleNormal="100" workbookViewId="0">
      <pane ySplit="5" topLeftCell="A6" activePane="bottomLeft" state="frozen"/>
      <selection pane="bottomLeft" activeCell="U9" sqref="U9"/>
    </sheetView>
  </sheetViews>
  <sheetFormatPr defaultColWidth="11.28515625" defaultRowHeight="15" outlineLevelCol="1" x14ac:dyDescent="0.25"/>
  <cols>
    <col min="1" max="1" width="3.42578125" style="13" customWidth="1"/>
    <col min="2" max="2" width="0.28515625" style="13" hidden="1" customWidth="1" outlineLevel="1"/>
    <col min="3" max="3" width="1.42578125" style="13" customWidth="1" collapsed="1"/>
    <col min="4" max="4" width="11.28515625" style="13" customWidth="1"/>
    <col min="5" max="6" width="11.28515625" style="13"/>
    <col min="7" max="7" width="11.28515625" style="13" bestFit="1" customWidth="1"/>
    <col min="8" max="8" width="11.28515625" style="13"/>
    <col min="9" max="9" width="10.28515625" style="13" customWidth="1"/>
    <col min="10" max="10" width="1.42578125" style="13" customWidth="1"/>
    <col min="11" max="11" width="2.42578125" style="13" customWidth="1"/>
    <col min="12" max="12" width="1.42578125" style="13" customWidth="1"/>
    <col min="13" max="14" width="11.28515625" style="13"/>
    <col min="15" max="15" width="8.28515625" style="13" customWidth="1"/>
    <col min="16" max="16" width="3.42578125" style="13" customWidth="1"/>
    <col min="17" max="17" width="11.42578125" style="13" customWidth="1"/>
    <col min="18" max="18" width="11.28515625" style="13"/>
    <col min="19" max="19" width="10.28515625" style="13" customWidth="1"/>
    <col min="20" max="20" width="2.28515625" style="13" customWidth="1"/>
    <col min="21" max="21" width="11.28515625" style="13" customWidth="1"/>
    <col min="22" max="22" width="12.28515625" style="13" hidden="1" customWidth="1" outlineLevel="1"/>
    <col min="23" max="23" width="14.42578125" style="13" hidden="1" customWidth="1" outlineLevel="1"/>
    <col min="24" max="24" width="1.42578125" style="14" hidden="1" customWidth="1" outlineLevel="1"/>
    <col min="25" max="27" width="11.28515625" style="13" hidden="1" customWidth="1" outlineLevel="1"/>
    <col min="28" max="28" width="1.42578125" style="14" hidden="1" customWidth="1" outlineLevel="1"/>
    <col min="29" max="34" width="11.28515625" style="13" hidden="1" customWidth="1" outlineLevel="1"/>
    <col min="35" max="35" width="1.42578125" style="13" hidden="1" customWidth="1" outlineLevel="1"/>
    <col min="36" max="36" width="10" style="13" hidden="1" customWidth="1" outlineLevel="1"/>
    <col min="37" max="44" width="11.28515625" style="13" hidden="1" customWidth="1" outlineLevel="1"/>
    <col min="45" max="45" width="1.42578125" style="13" hidden="1" customWidth="1" outlineLevel="1"/>
    <col min="46" max="50" width="11.28515625" style="13" hidden="1" customWidth="1" outlineLevel="1"/>
    <col min="51" max="51" width="11.28515625" style="13" collapsed="1"/>
    <col min="52" max="16384" width="11.28515625" style="13"/>
  </cols>
  <sheetData>
    <row r="1" spans="1:50" s="5" customFormat="1" ht="5.0999999999999996" customHeight="1" x14ac:dyDescent="0.25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X1" s="6"/>
      <c r="AB1" s="6"/>
    </row>
    <row r="2" spans="1:50" ht="40.5" customHeight="1" x14ac:dyDescent="0.55000000000000004">
      <c r="A2" s="7"/>
      <c r="B2" s="8"/>
      <c r="C2" s="254" t="s">
        <v>0</v>
      </c>
      <c r="D2" s="255"/>
      <c r="E2" s="255"/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5"/>
      <c r="Q2" s="9" t="s">
        <v>1</v>
      </c>
      <c r="R2" s="10"/>
      <c r="S2" s="10"/>
      <c r="T2" s="11"/>
      <c r="U2" s="8"/>
      <c r="V2" s="12"/>
      <c r="AK2" s="12"/>
      <c r="AM2" s="15"/>
      <c r="AN2" s="15"/>
      <c r="AO2" s="16"/>
    </row>
    <row r="3" spans="1:50" ht="4.3499999999999996" customHeight="1" thickBot="1" x14ac:dyDescent="0.6">
      <c r="A3" s="7"/>
      <c r="B3" s="8"/>
      <c r="C3" s="141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T3" s="11"/>
      <c r="U3" s="8"/>
      <c r="AK3" s="12"/>
      <c r="AM3" s="15"/>
      <c r="AN3" s="15"/>
      <c r="AO3" s="16"/>
    </row>
    <row r="4" spans="1:50" ht="40.5" customHeight="1" thickTop="1" thickBot="1" x14ac:dyDescent="0.35">
      <c r="A4" s="7"/>
      <c r="B4" s="8"/>
      <c r="C4" s="259" t="s">
        <v>2</v>
      </c>
      <c r="D4" s="260"/>
      <c r="E4" s="260"/>
      <c r="F4" s="260"/>
      <c r="G4" s="260"/>
      <c r="H4" s="260"/>
      <c r="I4" s="255"/>
      <c r="J4" s="255"/>
      <c r="K4" s="255"/>
      <c r="L4" s="255"/>
      <c r="M4" s="255"/>
      <c r="N4" s="255"/>
      <c r="O4" s="255"/>
      <c r="Q4" s="256" t="s">
        <v>2391</v>
      </c>
      <c r="R4" s="257"/>
      <c r="S4" s="258"/>
      <c r="T4" s="11"/>
      <c r="U4" s="142"/>
      <c r="W4" s="17">
        <f>_xlfn.XLOOKUP(TEXT(Q4,"mmmm yyyy"),$V$7:$V$200,$W$7:$W$200)</f>
        <v>44256</v>
      </c>
      <c r="Y4" s="13" t="s">
        <v>3</v>
      </c>
      <c r="AC4" s="13" t="s">
        <v>4</v>
      </c>
      <c r="AD4" s="13" t="s">
        <v>5</v>
      </c>
      <c r="AE4" s="13" t="s">
        <v>6</v>
      </c>
      <c r="AF4" s="13" t="s">
        <v>7</v>
      </c>
      <c r="AG4" s="13" t="s">
        <v>4</v>
      </c>
      <c r="AH4" s="13" t="s">
        <v>8</v>
      </c>
      <c r="AJ4" s="18" t="s">
        <v>9</v>
      </c>
      <c r="AK4" s="18" t="s">
        <v>10</v>
      </c>
      <c r="AL4" s="18" t="s">
        <v>8</v>
      </c>
      <c r="AM4" s="18" t="str">
        <f>TEXT(AK6,"MMMM")&amp;" Spending"</f>
        <v>March Spending</v>
      </c>
      <c r="AN4" s="18" t="s">
        <v>11</v>
      </c>
      <c r="AO4" s="18" t="s">
        <v>12</v>
      </c>
      <c r="AP4" s="18" t="s">
        <v>8</v>
      </c>
      <c r="AQ4" s="18" t="str">
        <f>TEXT(AO6,"MMMM")&amp;" Spending"</f>
        <v>February Spending</v>
      </c>
      <c r="AR4" s="18" t="s">
        <v>11</v>
      </c>
      <c r="AS4" s="19"/>
      <c r="AT4" s="13" t="s">
        <v>13</v>
      </c>
      <c r="AU4" s="13" t="s">
        <v>8</v>
      </c>
      <c r="AV4" s="13" t="s">
        <v>14</v>
      </c>
      <c r="AW4" s="13" t="s">
        <v>15</v>
      </c>
      <c r="AX4" s="13" t="s">
        <v>16</v>
      </c>
    </row>
    <row r="5" spans="1:50" s="14" customFormat="1" ht="4.3499999999999996" customHeight="1" thickTop="1" x14ac:dyDescent="0.25">
      <c r="A5" s="20"/>
      <c r="B5" s="21"/>
      <c r="C5" s="21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21"/>
    </row>
    <row r="6" spans="1:50" ht="14.85" customHeight="1" thickBot="1" x14ac:dyDescent="0.3">
      <c r="A6" s="22"/>
      <c r="G6" s="23"/>
      <c r="V6" s="24" t="s">
        <v>17</v>
      </c>
      <c r="W6" s="24" t="s">
        <v>18</v>
      </c>
      <c r="Y6" s="25" t="str">
        <f>TEXT(ABS(Z9),"$#,##0")&amp;" "&amp;IF(Z7&gt;Z8,"less was spent compared to last month","more was spent compared to last month")</f>
        <v>$1,168 less was spent compared to last month</v>
      </c>
      <c r="Z6" s="26"/>
      <c r="AA6" s="26"/>
      <c r="AC6" s="27" t="str" cm="1">
        <f t="array" ref="AC6:AC23">_xlfn.UNIQUE(INDEX(_xlfn._xlws.FILTER(CategoriesTable[],(CategoriesTable[Category type]="expense")*(NOT(CategoriesTable[ID]=0)),""),0,2),FALSE)</f>
        <v>Auto/Transport</v>
      </c>
      <c r="AD6" s="28">
        <f>SUMIFS(Table1[Amount $],Table1[Category],Snapshot!AC6,Table1[Month],Snapshot!$W$4)*-1</f>
        <v>270.84000000000003</v>
      </c>
      <c r="AE6" s="25">
        <f>RANK(AD6,$AD$6:$AD$35,0)+COUNTIF(AD6:$AD$6,AD6)-1</f>
        <v>3</v>
      </c>
      <c r="AF6" s="25">
        <v>1</v>
      </c>
      <c r="AG6" s="25" t="str" cm="1">
        <f t="array" ref="AG6">IF(INDEX($AD$6:$AD$35,MATCH(AF6,$AE$6:$AE$35,0),0)=0,"",INDEX($AC$6:$AC$35,MATCH(AF6,$AE$6:$AE$35,0),0))</f>
        <v>Bills/Utilities</v>
      </c>
      <c r="AH6" s="28" cm="1">
        <f t="array" ref="AH6">IF(INDEX($AD$6:$AD$35,MATCH(AF6,$AE$6:$AE$35,0),0)=0,0,INDEX($AD$6:$AD$35,MATCH(AF6,$AE$6:$AE$35,0),0))</f>
        <v>518.97</v>
      </c>
      <c r="AI6" s="29"/>
      <c r="AJ6" s="30">
        <f>DATE(2000,1,1)</f>
        <v>36526</v>
      </c>
      <c r="AK6" s="30">
        <f>DATE(YEAR(W4),MONTH(W4),DAY(W4))</f>
        <v>44256</v>
      </c>
      <c r="AL6" s="31">
        <f>SUMIFS(Table1[Amount $],Table1[Category Type],"Expense",Table1[Date],Snapshot!AK6)*-1</f>
        <v>83.97999999999999</v>
      </c>
      <c r="AM6" s="31">
        <f ca="1">IF(AK6&gt;TODAY(),NA(),SUM(AL6:$AL$6))</f>
        <v>83.97999999999999</v>
      </c>
      <c r="AN6" s="31" t="e">
        <f ca="1">IF(OR(AK6=EOMONTH($AK$6,0),AK6=TODAY()),AM6,NA())</f>
        <v>#N/A</v>
      </c>
      <c r="AO6" s="30">
        <f>DATE(YEAR(AK6),MONTH(AK6)-1,DAY(AK6))</f>
        <v>44228</v>
      </c>
      <c r="AP6" s="31">
        <f>SUMIFS(Table1[Amount $],Table1[Category Type],"Expense",Table1[Date],Snapshot!AO6)*-1</f>
        <v>39.9</v>
      </c>
      <c r="AQ6" s="31">
        <f>IF(AO6&lt;=EOMONTH($AO$6,0),SUM(AP$6:$AP6),NA())</f>
        <v>39.9</v>
      </c>
      <c r="AR6" s="31" t="e">
        <f>IF(AO6=EOMONTH($AO$6,0),AQ6,NA())</f>
        <v>#N/A</v>
      </c>
      <c r="AT6" s="25" t="str" cm="1">
        <f t="array" ref="AT6:AT33">_xlfn.UNIQUE(_xlfn._xlws.FILTER(Table1[Merchant],(Table1[Merchant]&lt;&gt;"")*(Table1[Amount $]&lt;0)*(Table1[Month]=Snapshot!$W$4)*(Table1[Category Type]="Expense")))</f>
        <v>Gasbuddy Gasbuddy I Sean</v>
      </c>
      <c r="AU6" s="32">
        <f>IF(ISBLANK(AT6),"",SUMIFS(Table1[Amount $],Table1[Merchant],Snapshot!AT6,Table1[Month],Snapshot!$W$4)*-1)</f>
        <v>25.57</v>
      </c>
      <c r="AV6" s="25">
        <f>IF(ISBLANK(AT6),"",COUNTIFS(Table1[Merchant],Snapshot!AT6,Table1[Month],Snapshot!$W$4))</f>
        <v>1</v>
      </c>
      <c r="AW6" s="25">
        <f>IFERROR(RANK(AV6,$AV$6:$AV$200)+COUNTIF($AV$6:AV6,AV6)-1,"")</f>
        <v>9</v>
      </c>
      <c r="AX6" s="25">
        <f>IFERROR(RANK(AU6,$AU$6:$AU$200)+COUNTIF($AU$6:AU6,AU6)-1,"")</f>
        <v>15</v>
      </c>
    </row>
    <row r="7" spans="1:50" ht="20.100000000000001" customHeight="1" x14ac:dyDescent="0.3">
      <c r="A7" s="22"/>
      <c r="C7" s="33"/>
      <c r="D7" s="34" t="s">
        <v>19</v>
      </c>
      <c r="E7" s="35"/>
      <c r="F7" s="35"/>
      <c r="G7" s="35"/>
      <c r="H7" s="36"/>
      <c r="I7" s="35"/>
      <c r="J7" s="37"/>
      <c r="L7" s="33"/>
      <c r="M7" s="34" t="s">
        <v>20</v>
      </c>
      <c r="N7" s="35"/>
      <c r="O7" s="35"/>
      <c r="P7" s="35"/>
      <c r="Q7" s="35"/>
      <c r="R7" s="35"/>
      <c r="S7" s="35"/>
      <c r="T7" s="37"/>
      <c r="V7" s="38" t="str">
        <f t="shared" ref="V7:V8" si="0">IF(ISBLANK(W7),"--",TEXT(W7,"mmmm")&amp;" "&amp;TEXT(W7,"YYYY"))</f>
        <v>March 2021</v>
      </c>
      <c r="W7" s="38" cm="1">
        <f t="array" ref="W7:W31">_xlfn._xlws.SORT(_xlfn.UNIQUE(_xlfn._xlws.FILTER(Table1[Month],Table1[Month]&lt;&gt;"",)),1,-1)</f>
        <v>44256</v>
      </c>
      <c r="X7" s="39"/>
      <c r="Y7" s="27" t="str">
        <f>IFERROR(TEXT(AO6,"mmmm"),"--")</f>
        <v>February</v>
      </c>
      <c r="Z7" s="40">
        <f>SUMIFS(Table1[Amount $],Table1[Category Type],"Expense",Table1[Month],DATE(YEAR(Snapshot!$W$4),MONTH(Snapshot!$W$4)-1,DAY(Snapshot!$W$4)))*-1</f>
        <v>2783.6500000000005</v>
      </c>
      <c r="AA7" s="40"/>
      <c r="AB7" s="39"/>
      <c r="AC7" s="27" t="str">
        <v>Bills/Utilities</v>
      </c>
      <c r="AD7" s="28">
        <f>SUMIFS(Table1[Amount $],Table1[Category],Snapshot!AC7,Table1[Month],Snapshot!$W$4)*-1</f>
        <v>518.97</v>
      </c>
      <c r="AE7" s="25">
        <f>RANK(AD7,$AD$6:$AD$35,0)+COUNTIF(AD$6:$AD7,AD7)-1</f>
        <v>1</v>
      </c>
      <c r="AF7" s="25">
        <v>2</v>
      </c>
      <c r="AG7" s="25" t="str" cm="1">
        <f t="array" ref="AG7">IF(INDEX($AD$6:$AD$35,MATCH(AF7,$AE$6:$AE$35,0),0)=0,"",INDEX($AC$6:$AC$35,MATCH(AF7,$AE$6:$AE$35,0),0))</f>
        <v>Education</v>
      </c>
      <c r="AH7" s="28" cm="1">
        <f t="array" ref="AH7">IF(INDEX($AD$6:$AD$35,MATCH(AF7,$AE$6:$AE$35,0),0)=0,0,INDEX($AD$6:$AD$35,MATCH(AF7,$AE$6:$AE$35,0),0))</f>
        <v>350</v>
      </c>
      <c r="AI7" s="29"/>
      <c r="AJ7" s="30">
        <f>DATE(YEAR(AJ6),MONTH(AJ6),DAY(AJ6)+1)</f>
        <v>36527</v>
      </c>
      <c r="AK7" s="30">
        <f>IF(MONTH(AK6)=MONTH(DATE(YEAR(AK6),MONTH(AK6),DAY(AK6)+1)),DATE(YEAR(AK6),MONTH(AK6),DAY(AK6)+1),NA())</f>
        <v>44257</v>
      </c>
      <c r="AL7" s="31">
        <f>SUMIFS(Table1[Amount $],Table1[Category Type],"Expense",Table1[Date],Snapshot!AK7)*-1</f>
        <v>9.99</v>
      </c>
      <c r="AM7" s="31">
        <f ca="1">IF(AK7&gt;TODAY(),NA(),SUM(AL$6:$AL7))</f>
        <v>93.969999999999985</v>
      </c>
      <c r="AN7" s="31" t="e">
        <f t="shared" ref="AN7:AN36" ca="1" si="1">IF(OR(AK7=EOMONTH($AK$6,0),AK7=TODAY()),AM7,NA())</f>
        <v>#N/A</v>
      </c>
      <c r="AO7" s="30">
        <f>IF(MONTH(AO6)=MONTH(DATE(YEAR(AO6),MONTH(AO6),DAY(AO6)+1)),DATE(YEAR(AO6),MONTH(AO6),DAY(AO6)+1),NA())</f>
        <v>44229</v>
      </c>
      <c r="AP7" s="31">
        <f>SUMIFS(Table1[Amount $],Table1[Category Type],"Expense",Table1[Date],Snapshot!AO7)*-1</f>
        <v>684.85</v>
      </c>
      <c r="AQ7" s="31">
        <f>IF(AO7&lt;=EOMONTH($AO$6,0),SUM(AP$6:$AP7),NA())</f>
        <v>724.75</v>
      </c>
      <c r="AR7" s="31" t="e">
        <f t="shared" ref="AR7:AR36" si="2">IF(AO7=EOMONTH($AO$6,0),AQ7,NA())</f>
        <v>#N/A</v>
      </c>
      <c r="AT7" s="25" t="str">
        <v>Fersguide Llc</v>
      </c>
      <c r="AU7" s="32">
        <f>IF(ISBLANK(AT7),"",SUMIFS(Table1[Amount $],Table1[Merchant],Snapshot!AT7,Table1[Month],Snapshot!$W$4)*-1)</f>
        <v>20</v>
      </c>
      <c r="AV7" s="25">
        <f>IF(ISBLANK(AT7),"",COUNTIFS(Table1[Merchant],Snapshot!AT7,Table1[Month],Snapshot!$W$4))</f>
        <v>1</v>
      </c>
      <c r="AW7" s="25">
        <f>IFERROR(RANK(AV7,$AV$6:$AV$200)+COUNTIF($AV$6:AV7,AV7)-1,"")</f>
        <v>10</v>
      </c>
      <c r="AX7" s="25">
        <f>IFERROR(RANK(AU7,$AU$6:$AU$200)+COUNTIF($AU$6:AU7,AU7)-1,"")</f>
        <v>17</v>
      </c>
    </row>
    <row r="8" spans="1:50" ht="14.85" customHeight="1" x14ac:dyDescent="0.25">
      <c r="A8" s="22"/>
      <c r="C8" s="41"/>
      <c r="D8" s="42" t="str">
        <f>Y6</f>
        <v>$1,168 less was spent compared to last month</v>
      </c>
      <c r="H8" s="14"/>
      <c r="J8" s="43"/>
      <c r="L8" s="41"/>
      <c r="M8" s="42" t="str">
        <f>Q10&amp;" accounts for "&amp;TEXT(S10/S22,"0%")&amp;" of money spent this month"</f>
        <v>Bills/Utilities accounts for 32% of money spent this month</v>
      </c>
      <c r="T8" s="43"/>
      <c r="V8" s="38" t="str">
        <f t="shared" si="0"/>
        <v>February 2021</v>
      </c>
      <c r="W8" s="38">
        <v>44228</v>
      </c>
      <c r="X8" s="39"/>
      <c r="Y8" s="25" t="str">
        <f>IFERROR(TEXT(AK6,"mmmm"),"--")</f>
        <v>March</v>
      </c>
      <c r="Z8" s="40">
        <f>SUMIFS(Table1[Amount $],Table1[Category Type],"Expense",Table1[Month],Snapshot!$W$4)*-1</f>
        <v>1616.0100000000002</v>
      </c>
      <c r="AA8" s="40"/>
      <c r="AB8" s="39"/>
      <c r="AC8" s="27" t="str">
        <v>Entertainment</v>
      </c>
      <c r="AD8" s="28">
        <f>SUMIFS(Table1[Amount $],Table1[Category],Snapshot!AC8,Table1[Month],Snapshot!$W$4)*-1</f>
        <v>0</v>
      </c>
      <c r="AE8" s="25">
        <f>RANK(AD8,$AD$6:$AD$35,0)+COUNTIF(AD$6:$AD8,AD8)-1</f>
        <v>8</v>
      </c>
      <c r="AF8" s="25">
        <v>3</v>
      </c>
      <c r="AG8" s="25" t="str" cm="1">
        <f t="array" ref="AG8">IF(INDEX($AD$6:$AD$35,MATCH(AF8,$AE$6:$AE$35,0),0)=0,"",INDEX($AC$6:$AC$35,MATCH(AF8,$AE$6:$AE$35,0),0))</f>
        <v>Auto/Transport</v>
      </c>
      <c r="AH8" s="28" cm="1">
        <f t="array" ref="AH8">IF(INDEX($AD$6:$AD$35,MATCH(AF8,$AE$6:$AE$35,0),0)=0,0,INDEX($AD$6:$AD$35,MATCH(AF8,$AE$6:$AE$35,0),0))</f>
        <v>270.84000000000003</v>
      </c>
      <c r="AI8" s="29"/>
      <c r="AJ8" s="30">
        <f t="shared" ref="AJ8:AJ36" si="3">DATE(YEAR(AJ7),MONTH(AJ7),DAY(AJ7)+1)</f>
        <v>36528</v>
      </c>
      <c r="AK8" s="30">
        <f t="shared" ref="AK8:AK36" si="4">IF(MONTH(AK7)=MONTH(DATE(YEAR(AK7),MONTH(AK7),DAY(AK7)+1)),DATE(YEAR(AK7),MONTH(AK7),DAY(AK7)+1),NA())</f>
        <v>44258</v>
      </c>
      <c r="AL8" s="31">
        <f>SUMIFS(Table1[Amount $],Table1[Category Type],"Expense",Table1[Date],Snapshot!AK8)*-1</f>
        <v>0</v>
      </c>
      <c r="AM8" s="31">
        <f ca="1">IF(AK8&gt;TODAY(),NA(),SUM(AL$6:$AL8))</f>
        <v>93.969999999999985</v>
      </c>
      <c r="AN8" s="31" t="e">
        <f t="shared" ca="1" si="1"/>
        <v>#N/A</v>
      </c>
      <c r="AO8" s="30">
        <f t="shared" ref="AO8:AO36" si="5">IF(MONTH(AO7)=MONTH(DATE(YEAR(AO7),MONTH(AO7),DAY(AO7)+1)),DATE(YEAR(AO7),MONTH(AO7),DAY(AO7)+1),NA())</f>
        <v>44230</v>
      </c>
      <c r="AP8" s="31">
        <f>SUMIFS(Table1[Amount $],Table1[Category Type],"Expense",Table1[Date],Snapshot!AO8)*-1</f>
        <v>264.33999999999997</v>
      </c>
      <c r="AQ8" s="31">
        <f>IF(AO8&lt;=EOMONTH($AO$6,0),SUM(AP$6:$AP8),NA())</f>
        <v>989.08999999999992</v>
      </c>
      <c r="AR8" s="31" t="e">
        <f t="shared" si="2"/>
        <v>#N/A</v>
      </c>
      <c r="AT8" s="25" t="str">
        <v>Apple Bill Ca Apple</v>
      </c>
      <c r="AU8" s="32">
        <f>IF(ISBLANK(AT8),"",SUMIFS(Table1[Amount $],Table1[Merchant],Snapshot!AT8,Table1[Month],Snapshot!$W$4)*-1)</f>
        <v>94.97999999999999</v>
      </c>
      <c r="AV8" s="25">
        <f>IF(ISBLANK(AT8),"",COUNTIFS(Table1[Merchant],Snapshot!AT8,Table1[Month],Snapshot!$W$4))</f>
        <v>2</v>
      </c>
      <c r="AW8" s="25">
        <f>IFERROR(RANK(AV8,$AV$6:$AV$200)+COUNTIF($AV$6:AV8,AV8)-1,"")</f>
        <v>3</v>
      </c>
      <c r="AX8" s="25">
        <f>IFERROR(RANK(AU8,$AU$6:$AU$200)+COUNTIF($AU$6:AU8,AU8)-1,"")</f>
        <v>4</v>
      </c>
    </row>
    <row r="9" spans="1:50" ht="14.85" customHeight="1" x14ac:dyDescent="0.25">
      <c r="A9" s="22"/>
      <c r="C9" s="41"/>
      <c r="H9" s="14"/>
      <c r="J9" s="43"/>
      <c r="L9" s="41"/>
      <c r="O9" s="14"/>
      <c r="T9" s="43"/>
      <c r="V9" s="38" t="str">
        <f>IF(ISBLANK(W9),"--",TEXT(W9,"mmmm")&amp;" "&amp;TEXT(W9,"YYYY"))</f>
        <v>January 2021</v>
      </c>
      <c r="W9" s="38">
        <v>44197</v>
      </c>
      <c r="X9" s="39"/>
      <c r="Y9" s="25" t="s">
        <v>21</v>
      </c>
      <c r="Z9" s="40">
        <f>Z8-Z7</f>
        <v>-1167.6400000000003</v>
      </c>
      <c r="AA9" s="40"/>
      <c r="AB9" s="39"/>
      <c r="AC9" s="27" t="str">
        <v>Fees/Charges</v>
      </c>
      <c r="AD9" s="28">
        <f>SUMIFS(Table1[Amount $],Table1[Category],Snapshot!AC9,Table1[Month],Snapshot!$W$4)*-1</f>
        <v>0</v>
      </c>
      <c r="AE9" s="25">
        <f>RANK(AD9,$AD$6:$AD$35,0)+COUNTIF(AD$6:$AD9,AD9)-1</f>
        <v>9</v>
      </c>
      <c r="AF9" s="25">
        <v>4</v>
      </c>
      <c r="AG9" s="25" t="str" cm="1">
        <f t="array" ref="AG9">IF(INDEX($AD$6:$AD$35,MATCH(AF9,$AE$6:$AE$35,0),0)=0,"",INDEX($AC$6:$AC$35,MATCH(AF9,$AE$6:$AE$35,0),0))</f>
        <v>Restaurants/Dining</v>
      </c>
      <c r="AH9" s="28" cm="1">
        <f t="array" ref="AH9">IF(INDEX($AD$6:$AD$35,MATCH(AF9,$AE$6:$AE$35,0),0)=0,0,INDEX($AD$6:$AD$35,MATCH(AF9,$AE$6:$AE$35,0),0))</f>
        <v>188.81</v>
      </c>
      <c r="AJ9" s="30">
        <f t="shared" si="3"/>
        <v>36529</v>
      </c>
      <c r="AK9" s="30">
        <f t="shared" si="4"/>
        <v>44259</v>
      </c>
      <c r="AL9" s="31">
        <f>SUMIFS(Table1[Amount $],Table1[Category Type],"Expense",Table1[Date],Snapshot!AK9)*-1</f>
        <v>91.78</v>
      </c>
      <c r="AM9" s="31">
        <f ca="1">IF(AK9&gt;TODAY(),NA(),SUM(AL$6:$AL9))</f>
        <v>185.75</v>
      </c>
      <c r="AN9" s="31" t="e">
        <f t="shared" ca="1" si="1"/>
        <v>#N/A</v>
      </c>
      <c r="AO9" s="30">
        <f t="shared" si="5"/>
        <v>44231</v>
      </c>
      <c r="AP9" s="31">
        <f>SUMIFS(Table1[Amount $],Table1[Category Type],"Expense",Table1[Date],Snapshot!AO9)*-1</f>
        <v>0</v>
      </c>
      <c r="AQ9" s="31">
        <f>IF(AO9&lt;=EOMONTH($AO$6,0),SUM(AP$6:$AP9),NA())</f>
        <v>989.08999999999992</v>
      </c>
      <c r="AR9" s="31" t="e">
        <f t="shared" si="2"/>
        <v>#N/A</v>
      </c>
      <c r="AT9" s="25" t="str">
        <v>Fubotv</v>
      </c>
      <c r="AU9" s="32">
        <f>IF(ISBLANK(AT9),"",SUMIFS(Table1[Amount $],Table1[Merchant],Snapshot!AT9,Table1[Month],Snapshot!$W$4)*-1)</f>
        <v>75.98</v>
      </c>
      <c r="AV9" s="25">
        <f>IF(ISBLANK(AT9),"",COUNTIFS(Table1[Merchant],Snapshot!AT9,Table1[Month],Snapshot!$W$4))</f>
        <v>1</v>
      </c>
      <c r="AW9" s="25">
        <f>IFERROR(RANK(AV9,$AV$6:$AV$200)+COUNTIF($AV$6:AV9,AV9)-1,"")</f>
        <v>11</v>
      </c>
      <c r="AX9" s="25">
        <f>IFERROR(RANK(AU9,$AU$6:$AU$200)+COUNTIF($AU$6:AU9,AU9)-1,"")</f>
        <v>8</v>
      </c>
    </row>
    <row r="10" spans="1:50" ht="14.85" customHeight="1" x14ac:dyDescent="0.25">
      <c r="A10" s="22"/>
      <c r="C10" s="41"/>
      <c r="D10" s="142"/>
      <c r="E10" s="142"/>
      <c r="F10" s="142"/>
      <c r="G10" s="142"/>
      <c r="H10" s="14"/>
      <c r="J10" s="43"/>
      <c r="L10" s="41"/>
      <c r="O10" s="14"/>
      <c r="P10" s="44"/>
      <c r="Q10" s="45" t="str" cm="1">
        <f t="array" ref="Q10">INDEX($AG$6:$AG$11,MATCH(1,$AF$6:$AF$11,0),0)</f>
        <v>Bills/Utilities</v>
      </c>
      <c r="R10" s="46"/>
      <c r="S10" s="47" cm="1">
        <f t="array" ref="S10">INDEX($AH$6:$AH$11,MATCH(1,$AF$6:$AF$11,0),0)</f>
        <v>518.97</v>
      </c>
      <c r="T10" s="43"/>
      <c r="V10" s="38" t="str">
        <f t="shared" ref="V10:V64" si="6">IF(ISBLANK(W10),"--",TEXT(W10,"mmmm")&amp;" "&amp;TEXT(W10,"YYYY"))</f>
        <v>December 2020</v>
      </c>
      <c r="W10" s="38">
        <v>44166</v>
      </c>
      <c r="X10" s="39"/>
      <c r="Z10" s="14"/>
      <c r="AA10" s="14"/>
      <c r="AB10" s="39"/>
      <c r="AC10" s="27" t="str">
        <v>Groceries</v>
      </c>
      <c r="AD10" s="28">
        <f>SUMIFS(Table1[Amount $],Table1[Category],Snapshot!AC10,Table1[Month],Snapshot!$W$4)*-1</f>
        <v>37.989999999999995</v>
      </c>
      <c r="AE10" s="25">
        <f>RANK(AD10,$AD$6:$AD$35,0)+COUNTIF(AD$6:$AD10,AD10)-1</f>
        <v>7</v>
      </c>
      <c r="AF10" s="25">
        <v>5</v>
      </c>
      <c r="AG10" s="25" t="str" cm="1">
        <f t="array" ref="AG10">IF(INDEX($AD$6:$AD$35,MATCH(AF10,$AE$6:$AE$35,0),0)=0,"",INDEX($AC$6:$AC$35,MATCH(AF10,$AE$6:$AE$35,0),0))</f>
        <v>Apps</v>
      </c>
      <c r="AH10" s="28" cm="1">
        <f t="array" ref="AH10">IF(INDEX($AD$6:$AD$35,MATCH(AF10,$AE$6:$AE$35,0),0)=0,0,INDEX($AD$6:$AD$35,MATCH(AF10,$AE$6:$AE$35,0),0))</f>
        <v>166.36</v>
      </c>
      <c r="AJ10" s="30">
        <f t="shared" si="3"/>
        <v>36530</v>
      </c>
      <c r="AK10" s="30">
        <f t="shared" si="4"/>
        <v>44260</v>
      </c>
      <c r="AL10" s="31">
        <f>SUMIFS(Table1[Amount $],Table1[Category Type],"Expense",Table1[Date],Snapshot!AK10)*-1</f>
        <v>350</v>
      </c>
      <c r="AM10" s="31">
        <f ca="1">IF(AK10&gt;TODAY(),NA(),SUM(AL$6:$AL10))</f>
        <v>535.75</v>
      </c>
      <c r="AN10" s="31" t="e">
        <f t="shared" ca="1" si="1"/>
        <v>#N/A</v>
      </c>
      <c r="AO10" s="30">
        <f t="shared" si="5"/>
        <v>44232</v>
      </c>
      <c r="AP10" s="31">
        <f>SUMIFS(Table1[Amount $],Table1[Category Type],"Expense",Table1[Date],Snapshot!AO10)*-1</f>
        <v>4.08</v>
      </c>
      <c r="AQ10" s="31">
        <f>IF(AO10&lt;=EOMONTH($AO$6,0),SUM(AP$6:$AP10),NA())</f>
        <v>993.17</v>
      </c>
      <c r="AR10" s="31" t="e">
        <f t="shared" si="2"/>
        <v>#N/A</v>
      </c>
      <c r="AT10" s="25" t="str">
        <v>Exxonmobil</v>
      </c>
      <c r="AU10" s="32">
        <f>IF(ISBLANK(AT10),"",SUMIFS(Table1[Amount $],Table1[Merchant],Snapshot!AT10,Table1[Month],Snapshot!$W$4)*-1)</f>
        <v>60.069999999999993</v>
      </c>
      <c r="AV10" s="25">
        <f>IF(ISBLANK(AT10),"",COUNTIFS(Table1[Merchant],Snapshot!AT10,Table1[Month],Snapshot!$W$4))</f>
        <v>3</v>
      </c>
      <c r="AW10" s="25">
        <f>IFERROR(RANK(AV10,$AV$6:$AV$200)+COUNTIF($AV$6:AV10,AV10)-1,"")</f>
        <v>2</v>
      </c>
      <c r="AX10" s="25">
        <f>IFERROR(RANK(AU10,$AU$6:$AU$200)+COUNTIF($AU$6:AU10,AU10)-1,"")</f>
        <v>12</v>
      </c>
    </row>
    <row r="11" spans="1:50" ht="14.85" customHeight="1" x14ac:dyDescent="0.3">
      <c r="A11" s="22"/>
      <c r="C11" s="41"/>
      <c r="D11" s="48"/>
      <c r="E11" s="48"/>
      <c r="F11" s="48"/>
      <c r="G11" s="49"/>
      <c r="H11" s="14"/>
      <c r="J11" s="43"/>
      <c r="L11" s="41"/>
      <c r="O11" s="14"/>
      <c r="Q11" s="50"/>
      <c r="T11" s="43"/>
      <c r="V11" s="38" t="str">
        <f t="shared" si="6"/>
        <v>November 2020</v>
      </c>
      <c r="W11" s="38">
        <v>44136</v>
      </c>
      <c r="X11" s="39"/>
      <c r="Y11" s="51"/>
      <c r="Z11" s="14"/>
      <c r="AA11" s="14"/>
      <c r="AB11" s="39"/>
      <c r="AC11" s="27" t="str">
        <v>Health/Fitness</v>
      </c>
      <c r="AD11" s="28">
        <f>SUMIFS(Table1[Amount $],Table1[Category],Snapshot!AC11,Table1[Month],Snapshot!$W$4)*-1</f>
        <v>0</v>
      </c>
      <c r="AE11" s="25">
        <f>RANK(AD11,$AD$6:$AD$35,0)+COUNTIF(AD$6:$AD11,AD11)-1</f>
        <v>10</v>
      </c>
      <c r="AF11" s="25">
        <v>6</v>
      </c>
      <c r="AG11" s="52" t="str">
        <f>IF(SUM(AH6:AH10)=SUM(AD6:AD35),"","All Other Categories")</f>
        <v>All Other Categories</v>
      </c>
      <c r="AH11" s="53">
        <f>SUM(AD6:AD35)-SUM(AH6:AH10)</f>
        <v>121.0300000000002</v>
      </c>
      <c r="AJ11" s="30">
        <f t="shared" si="3"/>
        <v>36531</v>
      </c>
      <c r="AK11" s="30">
        <f t="shared" si="4"/>
        <v>44261</v>
      </c>
      <c r="AL11" s="31">
        <f>SUMIFS(Table1[Amount $],Table1[Category Type],"Expense",Table1[Date],Snapshot!AK11)*-1</f>
        <v>70</v>
      </c>
      <c r="AM11" s="31">
        <f ca="1">IF(AK11&gt;TODAY(),NA(),SUM(AL$6:$AL11))</f>
        <v>605.75</v>
      </c>
      <c r="AN11" s="31" t="e">
        <f t="shared" ca="1" si="1"/>
        <v>#N/A</v>
      </c>
      <c r="AO11" s="30">
        <f t="shared" si="5"/>
        <v>44233</v>
      </c>
      <c r="AP11" s="31">
        <f>SUMIFS(Table1[Amount $],Table1[Category Type],"Expense",Table1[Date],Snapshot!AO11)*-1</f>
        <v>0</v>
      </c>
      <c r="AQ11" s="31">
        <f>IF(AO11&lt;=EOMONTH($AO$6,0),SUM(AP$6:$AP11),NA())</f>
        <v>993.17</v>
      </c>
      <c r="AR11" s="31" t="e">
        <f t="shared" si="2"/>
        <v>#N/A</v>
      </c>
      <c r="AT11" s="25" t="str">
        <v>T Mobile</v>
      </c>
      <c r="AU11" s="32">
        <f>IF(ISBLANK(AT11),"",SUMIFS(Table1[Amount $],Table1[Merchant],Snapshot!AT11,Table1[Month],Snapshot!$W$4)*-1)</f>
        <v>86.25</v>
      </c>
      <c r="AV11" s="25">
        <f>IF(ISBLANK(AT11),"",COUNTIFS(Table1[Merchant],Snapshot!AT11,Table1[Month],Snapshot!$W$4))</f>
        <v>1</v>
      </c>
      <c r="AW11" s="25">
        <f>IFERROR(RANK(AV11,$AV$6:$AV$200)+COUNTIF($AV$6:AV11,AV11)-1,"")</f>
        <v>12</v>
      </c>
      <c r="AX11" s="25">
        <f>IFERROR(RANK(AU11,$AU$6:$AU$200)+COUNTIF($AU$6:AU11,AU11)-1,"")</f>
        <v>6</v>
      </c>
    </row>
    <row r="12" spans="1:50" ht="14.85" customHeight="1" x14ac:dyDescent="0.25">
      <c r="A12" s="22"/>
      <c r="C12" s="41"/>
      <c r="H12" s="14"/>
      <c r="J12" s="43"/>
      <c r="L12" s="41"/>
      <c r="O12" s="14"/>
      <c r="P12" s="54"/>
      <c r="Q12" s="45" t="str" cm="1">
        <f t="array" ref="Q12">INDEX($AG$6:$AG$11,MATCH(2,$AF$6:$AF$11,0),0)</f>
        <v>Education</v>
      </c>
      <c r="R12" s="46"/>
      <c r="S12" s="47" cm="1">
        <f t="array" ref="S12">INDEX($AH$6:$AH$11,MATCH(2,$AF$6:$AF$11,0),0)</f>
        <v>350</v>
      </c>
      <c r="T12" s="43"/>
      <c r="V12" s="38" t="str">
        <f t="shared" si="6"/>
        <v>October 2020</v>
      </c>
      <c r="W12" s="38">
        <v>44105</v>
      </c>
      <c r="X12" s="39"/>
      <c r="Y12" s="14"/>
      <c r="Z12" s="14"/>
      <c r="AA12" s="14"/>
      <c r="AB12" s="39"/>
      <c r="AC12" s="27" t="str">
        <v>Home</v>
      </c>
      <c r="AD12" s="28">
        <f>SUMIFS(Table1[Amount $],Table1[Category],Snapshot!AC12,Table1[Month],Snapshot!$W$4)*-1</f>
        <v>0</v>
      </c>
      <c r="AE12" s="25">
        <f>RANK(AD12,$AD$6:$AD$35,0)+COUNTIF(AD$6:$AD12,AD12)-1</f>
        <v>11</v>
      </c>
      <c r="AF12" s="25"/>
      <c r="AG12" s="25" t="s">
        <v>22</v>
      </c>
      <c r="AH12" s="28">
        <f>SUM(AH6:AH11)</f>
        <v>1616.0100000000002</v>
      </c>
      <c r="AJ12" s="30">
        <f t="shared" si="3"/>
        <v>36532</v>
      </c>
      <c r="AK12" s="30">
        <f t="shared" si="4"/>
        <v>44262</v>
      </c>
      <c r="AL12" s="31">
        <f>SUMIFS(Table1[Amount $],Table1[Category Type],"Expense",Table1[Date],Snapshot!AK12)*-1</f>
        <v>90.38</v>
      </c>
      <c r="AM12" s="31">
        <f ca="1">IF(AK12&gt;TODAY(),NA(),SUM(AL$6:$AL12))</f>
        <v>696.13</v>
      </c>
      <c r="AN12" s="31" t="e">
        <f t="shared" ca="1" si="1"/>
        <v>#N/A</v>
      </c>
      <c r="AO12" s="30">
        <f t="shared" si="5"/>
        <v>44234</v>
      </c>
      <c r="AP12" s="31">
        <f>SUMIFS(Table1[Amount $],Table1[Category Type],"Expense",Table1[Date],Snapshot!AO12)*-1</f>
        <v>9.36</v>
      </c>
      <c r="AQ12" s="31">
        <f>IF(AO12&lt;=EOMONTH($AO$6,0),SUM(AP$6:$AP12),NA())</f>
        <v>1002.53</v>
      </c>
      <c r="AR12" s="31" t="e">
        <f t="shared" si="2"/>
        <v>#N/A</v>
      </c>
      <c r="AT12" s="25" t="str">
        <v>Amtrak</v>
      </c>
      <c r="AU12" s="32">
        <f>IF(ISBLANK(AT12),"",SUMIFS(Table1[Amount $],Table1[Merchant],Snapshot!AT12,Table1[Month],Snapshot!$W$4)*-1)</f>
        <v>17</v>
      </c>
      <c r="AV12" s="25">
        <f>IF(ISBLANK(AT12),"",COUNTIFS(Table1[Merchant],Snapshot!AT12,Table1[Month],Snapshot!$W$4))</f>
        <v>1</v>
      </c>
      <c r="AW12" s="25">
        <f>IFERROR(RANK(AV12,$AV$6:$AV$200)+COUNTIF($AV$6:AV12,AV12)-1,"")</f>
        <v>13</v>
      </c>
      <c r="AX12" s="25">
        <f>IFERROR(RANK(AU12,$AU$6:$AU$200)+COUNTIF($AU$6:AU12,AU12)-1,"")</f>
        <v>19</v>
      </c>
    </row>
    <row r="13" spans="1:50" ht="14.85" customHeight="1" x14ac:dyDescent="0.25">
      <c r="A13" s="22"/>
      <c r="C13" s="41"/>
      <c r="H13" s="14"/>
      <c r="J13" s="43"/>
      <c r="L13" s="41"/>
      <c r="O13" s="14"/>
      <c r="Q13" s="50"/>
      <c r="T13" s="43"/>
      <c r="V13" s="38" t="str">
        <f t="shared" si="6"/>
        <v>September 2020</v>
      </c>
      <c r="W13" s="38">
        <v>44075</v>
      </c>
      <c r="X13" s="39"/>
      <c r="Y13" s="14"/>
      <c r="Z13" s="14"/>
      <c r="AA13" s="14"/>
      <c r="AB13" s="39"/>
      <c r="AC13" s="27" t="str">
        <v>Misc</v>
      </c>
      <c r="AD13" s="28">
        <f>SUMIFS(Table1[Amount $],Table1[Category],Snapshot!AC13,Table1[Month],Snapshot!$W$4)*-1</f>
        <v>0</v>
      </c>
      <c r="AE13" s="25">
        <f>RANK(AD13,$AD$6:$AD$35,0)+COUNTIF(AD$6:$AD13,AD13)-1</f>
        <v>12</v>
      </c>
      <c r="AF13" s="25"/>
      <c r="AG13" s="25"/>
      <c r="AH13" s="25"/>
      <c r="AJ13" s="30">
        <f t="shared" si="3"/>
        <v>36533</v>
      </c>
      <c r="AK13" s="30">
        <f t="shared" si="4"/>
        <v>44263</v>
      </c>
      <c r="AL13" s="31">
        <f>SUMIFS(Table1[Amount $],Table1[Category Type],"Expense",Table1[Date],Snapshot!AK13)*-1</f>
        <v>55</v>
      </c>
      <c r="AM13" s="31">
        <f ca="1">IF(AK13&gt;TODAY(),NA(),SUM(AL$6:$AL13))</f>
        <v>751.13</v>
      </c>
      <c r="AN13" s="31" t="e">
        <f t="shared" ca="1" si="1"/>
        <v>#N/A</v>
      </c>
      <c r="AO13" s="30">
        <f t="shared" si="5"/>
        <v>44235</v>
      </c>
      <c r="AP13" s="31">
        <f>SUMIFS(Table1[Amount $],Table1[Category Type],"Expense",Table1[Date],Snapshot!AO13)*-1</f>
        <v>0</v>
      </c>
      <c r="AQ13" s="31">
        <f>IF(AO13&lt;=EOMONTH($AO$6,0),SUM(AP$6:$AP13),NA())</f>
        <v>1002.53</v>
      </c>
      <c r="AR13" s="31" t="e">
        <f t="shared" si="2"/>
        <v>#N/A</v>
      </c>
      <c r="AT13" s="25" t="str">
        <v>Hardee's</v>
      </c>
      <c r="AU13" s="32">
        <f>IF(ISBLANK(AT13),"",SUMIFS(Table1[Amount $],Table1[Merchant],Snapshot!AT13,Table1[Month],Snapshot!$W$4)*-1)</f>
        <v>10.17</v>
      </c>
      <c r="AV13" s="25">
        <f>IF(ISBLANK(AT13),"",COUNTIFS(Table1[Merchant],Snapshot!AT13,Table1[Month],Snapshot!$W$4))</f>
        <v>1</v>
      </c>
      <c r="AW13" s="25">
        <f>IFERROR(RANK(AV13,$AV$6:$AV$200)+COUNTIF($AV$6:AV13,AV13)-1,"")</f>
        <v>14</v>
      </c>
      <c r="AX13" s="25">
        <f>IFERROR(RANK(AU13,$AU$6:$AU$200)+COUNTIF($AU$6:AU13,AU13)-1,"")</f>
        <v>23</v>
      </c>
    </row>
    <row r="14" spans="1:50" ht="14.85" customHeight="1" x14ac:dyDescent="0.25">
      <c r="A14" s="22"/>
      <c r="C14" s="41"/>
      <c r="H14" s="14"/>
      <c r="J14" s="43"/>
      <c r="L14" s="41"/>
      <c r="O14" s="14"/>
      <c r="P14" s="55"/>
      <c r="Q14" s="45" t="str" cm="1">
        <f t="array" ref="Q14">INDEX($AG$6:$AG$11,MATCH(3,$AF$6:$AF$11,0),0)</f>
        <v>Auto/Transport</v>
      </c>
      <c r="R14" s="46"/>
      <c r="S14" s="47" cm="1">
        <f t="array" ref="S14">INDEX($AH$6:$AH$11,MATCH(3,$AF$6:$AF$11,0),0)</f>
        <v>270.84000000000003</v>
      </c>
      <c r="T14" s="43"/>
      <c r="V14" s="38" t="str">
        <f t="shared" si="6"/>
        <v>August 2020</v>
      </c>
      <c r="W14" s="38">
        <v>44044</v>
      </c>
      <c r="X14" s="39"/>
      <c r="Y14" s="56"/>
      <c r="Z14" s="14"/>
      <c r="AA14" s="14"/>
      <c r="AB14" s="39"/>
      <c r="AC14" s="27" t="str">
        <v>Mortgage/Rent</v>
      </c>
      <c r="AD14" s="28">
        <f>SUMIFS(Table1[Amount $],Table1[Category],Snapshot!AC14,Table1[Month],Snapshot!$W$4)*-1</f>
        <v>0</v>
      </c>
      <c r="AE14" s="25">
        <f>RANK(AD14,$AD$6:$AD$35,0)+COUNTIF(AD$6:$AD14,AD14)-1</f>
        <v>13</v>
      </c>
      <c r="AF14" s="25"/>
      <c r="AG14" s="25"/>
      <c r="AH14" s="25"/>
      <c r="AJ14" s="30">
        <f t="shared" si="3"/>
        <v>36534</v>
      </c>
      <c r="AK14" s="30">
        <f t="shared" si="4"/>
        <v>44264</v>
      </c>
      <c r="AL14" s="31">
        <f>SUMIFS(Table1[Amount $],Table1[Category Type],"Expense",Table1[Date],Snapshot!AK14)*-1</f>
        <v>258.5</v>
      </c>
      <c r="AM14" s="31">
        <f ca="1">IF(AK14&gt;TODAY(),NA(),SUM(AL$6:$AL14))</f>
        <v>1009.63</v>
      </c>
      <c r="AN14" s="31" t="e">
        <f t="shared" ca="1" si="1"/>
        <v>#N/A</v>
      </c>
      <c r="AO14" s="30">
        <f t="shared" si="5"/>
        <v>44236</v>
      </c>
      <c r="AP14" s="31">
        <f>SUMIFS(Table1[Amount $],Table1[Category Type],"Expense",Table1[Date],Snapshot!AO14)*-1</f>
        <v>0</v>
      </c>
      <c r="AQ14" s="31">
        <f>IF(AO14&lt;=EOMONTH($AO$6,0),SUM(AP$6:$AP14),NA())</f>
        <v>1002.53</v>
      </c>
      <c r="AR14" s="31" t="e">
        <f t="shared" si="2"/>
        <v>#N/A</v>
      </c>
      <c r="AT14" s="25" t="str">
        <v>Steam Games</v>
      </c>
      <c r="AU14" s="32">
        <f>IF(ISBLANK(AT14),"",SUMIFS(Table1[Amount $],Table1[Merchant],Snapshot!AT14,Table1[Month],Snapshot!$W$4)*-1)</f>
        <v>24.79</v>
      </c>
      <c r="AV14" s="25">
        <f>IF(ISBLANK(AT14),"",COUNTIFS(Table1[Merchant],Snapshot!AT14,Table1[Month],Snapshot!$W$4))</f>
        <v>2</v>
      </c>
      <c r="AW14" s="25">
        <f>IFERROR(RANK(AV14,$AV$6:$AV$200)+COUNTIF($AV$6:AV14,AV14)-1,"")</f>
        <v>4</v>
      </c>
      <c r="AX14" s="25">
        <f>IFERROR(RANK(AU14,$AU$6:$AU$200)+COUNTIF($AU$6:AU14,AU14)-1,"")</f>
        <v>16</v>
      </c>
    </row>
    <row r="15" spans="1:50" ht="14.85" customHeight="1" x14ac:dyDescent="0.3">
      <c r="A15" s="22"/>
      <c r="C15" s="41"/>
      <c r="D15" s="57"/>
      <c r="E15" s="58"/>
      <c r="F15" s="58"/>
      <c r="G15" s="59"/>
      <c r="H15" s="14"/>
      <c r="J15" s="43"/>
      <c r="L15" s="41"/>
      <c r="O15" s="60"/>
      <c r="Q15" s="50"/>
      <c r="T15" s="43"/>
      <c r="V15" s="38" t="str">
        <f t="shared" si="6"/>
        <v>July 2020</v>
      </c>
      <c r="W15" s="38">
        <v>44013</v>
      </c>
      <c r="X15" s="39"/>
      <c r="Y15" s="39"/>
      <c r="Z15" s="51"/>
      <c r="AA15" s="51"/>
      <c r="AB15" s="39"/>
      <c r="AC15" s="27" t="str">
        <v>Payment</v>
      </c>
      <c r="AD15" s="28">
        <f>SUMIFS(Table1[Amount $],Table1[Category],Snapshot!AC15,Table1[Month],Snapshot!$W$4)*-1</f>
        <v>0</v>
      </c>
      <c r="AE15" s="25">
        <f>RANK(AD15,$AD$6:$AD$35,0)+COUNTIF(AD$6:$AD15,AD15)-1</f>
        <v>14</v>
      </c>
      <c r="AF15" s="25"/>
      <c r="AG15" s="25"/>
      <c r="AH15" s="25"/>
      <c r="AJ15" s="30">
        <f t="shared" si="3"/>
        <v>36535</v>
      </c>
      <c r="AK15" s="30">
        <f t="shared" si="4"/>
        <v>44265</v>
      </c>
      <c r="AL15" s="31">
        <f>SUMIFS(Table1[Amount $],Table1[Category Type],"Expense",Table1[Date],Snapshot!AK15)*-1</f>
        <v>162.72</v>
      </c>
      <c r="AM15" s="31">
        <f ca="1">IF(AK15&gt;TODAY(),NA(),SUM(AL$6:$AL15))</f>
        <v>1172.3499999999999</v>
      </c>
      <c r="AN15" s="31" t="e">
        <f t="shared" ca="1" si="1"/>
        <v>#N/A</v>
      </c>
      <c r="AO15" s="30">
        <f t="shared" si="5"/>
        <v>44237</v>
      </c>
      <c r="AP15" s="31">
        <f>SUMIFS(Table1[Amount $],Table1[Category Type],"Expense",Table1[Date],Snapshot!AO15)*-1</f>
        <v>8.7200000000000006</v>
      </c>
      <c r="AQ15" s="31">
        <f>IF(AO15&lt;=EOMONTH($AO$6,0),SUM(AP$6:$AP15),NA())</f>
        <v>1011.25</v>
      </c>
      <c r="AR15" s="31" t="e">
        <f t="shared" si="2"/>
        <v>#N/A</v>
      </c>
      <c r="AT15" s="25" t="str">
        <v>Panda Express</v>
      </c>
      <c r="AU15" s="32">
        <f>IF(ISBLANK(AT15),"",SUMIFS(Table1[Amount $],Table1[Merchant],Snapshot!AT15,Table1[Month],Snapshot!$W$4)*-1)</f>
        <v>11</v>
      </c>
      <c r="AV15" s="25">
        <f>IF(ISBLANK(AT15),"",COUNTIFS(Table1[Merchant],Snapshot!AT15,Table1[Month],Snapshot!$W$4))</f>
        <v>1</v>
      </c>
      <c r="AW15" s="25">
        <f>IFERROR(RANK(AV15,$AV$6:$AV$200)+COUNTIF($AV$6:AV15,AV15)-1,"")</f>
        <v>15</v>
      </c>
      <c r="AX15" s="25">
        <f>IFERROR(RANK(AU15,$AU$6:$AU$200)+COUNTIF($AU$6:AU15,AU15)-1,"")</f>
        <v>22</v>
      </c>
    </row>
    <row r="16" spans="1:50" ht="14.85" customHeight="1" x14ac:dyDescent="0.3">
      <c r="A16" s="22"/>
      <c r="C16" s="41"/>
      <c r="D16" s="61"/>
      <c r="E16" s="58"/>
      <c r="F16" s="58"/>
      <c r="G16" s="49"/>
      <c r="J16" s="43"/>
      <c r="L16" s="41"/>
      <c r="P16" s="62"/>
      <c r="Q16" s="45" t="str" cm="1">
        <f t="array" ref="Q16">INDEX($AG$6:$AG$11,MATCH(4,$AF$6:$AF$11,0),0)</f>
        <v>Restaurants/Dining</v>
      </c>
      <c r="R16" s="46"/>
      <c r="S16" s="47" cm="1">
        <f t="array" ref="S16">INDEX($AH$6:$AH$11,MATCH(4,$AF$6:$AF$11,0),0)</f>
        <v>188.81</v>
      </c>
      <c r="T16" s="43"/>
      <c r="V16" s="38" t="str">
        <f t="shared" si="6"/>
        <v>June 2020</v>
      </c>
      <c r="W16" s="38">
        <v>43983</v>
      </c>
      <c r="X16" s="39"/>
      <c r="Y16" s="14"/>
      <c r="Z16" s="51"/>
      <c r="AA16" s="51"/>
      <c r="AB16" s="39"/>
      <c r="AC16" s="27" t="str">
        <v>Professional Services</v>
      </c>
      <c r="AD16" s="28">
        <f>SUMIFS(Table1[Amount $],Table1[Category],Snapshot!AC16,Table1[Month],Snapshot!$W$4)*-1</f>
        <v>0</v>
      </c>
      <c r="AE16" s="25">
        <f>RANK(AD16,$AD$6:$AD$35,0)+COUNTIF(AD$6:$AD16,AD16)-1</f>
        <v>15</v>
      </c>
      <c r="AF16" s="25"/>
      <c r="AG16" s="25"/>
      <c r="AH16" s="25"/>
      <c r="AJ16" s="30">
        <f t="shared" si="3"/>
        <v>36536</v>
      </c>
      <c r="AK16" s="30">
        <f t="shared" si="4"/>
        <v>44266</v>
      </c>
      <c r="AL16" s="31">
        <f>SUMIFS(Table1[Amount $],Table1[Category Type],"Expense",Table1[Date],Snapshot!AK16)*-1</f>
        <v>42.11</v>
      </c>
      <c r="AM16" s="31">
        <f ca="1">IF(AK16&gt;TODAY(),NA(),SUM(AL$6:$AL16))</f>
        <v>1214.4599999999998</v>
      </c>
      <c r="AN16" s="31" t="e">
        <f t="shared" ca="1" si="1"/>
        <v>#N/A</v>
      </c>
      <c r="AO16" s="30">
        <f t="shared" si="5"/>
        <v>44238</v>
      </c>
      <c r="AP16" s="31">
        <f>SUMIFS(Table1[Amount $],Table1[Category Type],"Expense",Table1[Date],Snapshot!AO16)*-1</f>
        <v>15</v>
      </c>
      <c r="AQ16" s="31">
        <f>IF(AO16&lt;=EOMONTH($AO$6,0),SUM(AP$6:$AP16),NA())</f>
        <v>1026.25</v>
      </c>
      <c r="AR16" s="31" t="e">
        <f t="shared" si="2"/>
        <v>#N/A</v>
      </c>
      <c r="AT16" s="25" t="str">
        <v>Sheetz</v>
      </c>
      <c r="AU16" s="32">
        <f>IF(ISBLANK(AT16),"",SUMIFS(Table1[Amount $],Table1[Merchant],Snapshot!AT16,Table1[Month],Snapshot!$W$4)*-1)</f>
        <v>19.989999999999998</v>
      </c>
      <c r="AV16" s="25">
        <f>IF(ISBLANK(AT16),"",COUNTIFS(Table1[Merchant],Snapshot!AT16,Table1[Month],Snapshot!$W$4))</f>
        <v>1</v>
      </c>
      <c r="AW16" s="25">
        <f>IFERROR(RANK(AV16,$AV$6:$AV$200)+COUNTIF($AV$6:AV16,AV16)-1,"")</f>
        <v>16</v>
      </c>
      <c r="AX16" s="25">
        <f>IFERROR(RANK(AU16,$AU$6:$AU$200)+COUNTIF($AU$6:AU16,AU16)-1,"")</f>
        <v>18</v>
      </c>
    </row>
    <row r="17" spans="1:50" ht="14.85" customHeight="1" x14ac:dyDescent="0.3">
      <c r="A17" s="22"/>
      <c r="C17" s="41"/>
      <c r="D17" s="61"/>
      <c r="E17" s="58"/>
      <c r="F17" s="58"/>
      <c r="G17" s="49"/>
      <c r="J17" s="43"/>
      <c r="L17" s="41"/>
      <c r="Q17" s="50"/>
      <c r="T17" s="43"/>
      <c r="U17" s="63"/>
      <c r="V17" s="38" t="str">
        <f t="shared" si="6"/>
        <v>May 2020</v>
      </c>
      <c r="W17" s="38">
        <v>43952</v>
      </c>
      <c r="X17" s="39"/>
      <c r="Y17" s="14"/>
      <c r="Z17" s="51"/>
      <c r="AA17" s="51"/>
      <c r="AB17" s="39"/>
      <c r="AC17" s="27" t="str">
        <v>Restaurants/Dining</v>
      </c>
      <c r="AD17" s="28">
        <f>SUMIFS(Table1[Amount $],Table1[Category],Snapshot!AC17,Table1[Month],Snapshot!$W$4)*-1</f>
        <v>188.81</v>
      </c>
      <c r="AE17" s="25">
        <f>RANK(AD17,$AD$6:$AD$35,0)+COUNTIF(AD$6:$AD17,AD17)-1</f>
        <v>4</v>
      </c>
      <c r="AF17" s="25"/>
      <c r="AG17" s="25"/>
      <c r="AH17" s="25"/>
      <c r="AJ17" s="30">
        <f t="shared" si="3"/>
        <v>36537</v>
      </c>
      <c r="AK17" s="30">
        <f t="shared" si="4"/>
        <v>44267</v>
      </c>
      <c r="AL17" s="31">
        <f>SUMIFS(Table1[Amount $],Table1[Category Type],"Expense",Table1[Date],Snapshot!AK17)*-1</f>
        <v>47.970000000000006</v>
      </c>
      <c r="AM17" s="31">
        <f ca="1">IF(AK17&gt;TODAY(),NA(),SUM(AL$6:$AL17))</f>
        <v>1262.4299999999998</v>
      </c>
      <c r="AN17" s="31" t="e">
        <f t="shared" ca="1" si="1"/>
        <v>#N/A</v>
      </c>
      <c r="AO17" s="30">
        <f t="shared" si="5"/>
        <v>44239</v>
      </c>
      <c r="AP17" s="31">
        <f>SUMIFS(Table1[Amount $],Table1[Category Type],"Expense",Table1[Date],Snapshot!AO17)*-1</f>
        <v>1.99</v>
      </c>
      <c r="AQ17" s="31">
        <f>IF(AO17&lt;=EOMONTH($AO$6,0),SUM(AP$6:$AP17),NA())</f>
        <v>1028.24</v>
      </c>
      <c r="AR17" s="31" t="e">
        <f t="shared" si="2"/>
        <v>#N/A</v>
      </c>
      <c r="AT17" s="25" t="str">
        <v>Vizmediallc</v>
      </c>
      <c r="AU17" s="32">
        <f>IF(ISBLANK(AT17),"",SUMIFS(Table1[Amount $],Table1[Merchant],Snapshot!AT17,Table1[Month],Snapshot!$W$4)*-1)</f>
        <v>1.99</v>
      </c>
      <c r="AV17" s="25">
        <f>IF(ISBLANK(AT17),"",COUNTIFS(Table1[Merchant],Snapshot!AT17,Table1[Month],Snapshot!$W$4))</f>
        <v>1</v>
      </c>
      <c r="AW17" s="25">
        <f>IFERROR(RANK(AV17,$AV$6:$AV$200)+COUNTIF($AV$6:AV17,AV17)-1,"")</f>
        <v>17</v>
      </c>
      <c r="AX17" s="25">
        <f>IFERROR(RANK(AU17,$AU$6:$AU$200)+COUNTIF($AU$6:AU17,AU17)-1,"")</f>
        <v>26</v>
      </c>
    </row>
    <row r="18" spans="1:50" ht="14.85" customHeight="1" x14ac:dyDescent="0.3">
      <c r="A18" s="22"/>
      <c r="C18" s="41"/>
      <c r="D18" s="57"/>
      <c r="E18" s="58"/>
      <c r="F18" s="58"/>
      <c r="G18" s="64"/>
      <c r="J18" s="43"/>
      <c r="L18" s="41"/>
      <c r="P18" s="65"/>
      <c r="Q18" s="45" t="str" cm="1">
        <f t="array" ref="Q18">INDEX($AG$6:$AG$11,MATCH(5,$AF$6:$AF$11,0),0)</f>
        <v>Apps</v>
      </c>
      <c r="R18" s="46"/>
      <c r="S18" s="47" cm="1">
        <f t="array" ref="S18">INDEX($AH$6:$AH$11,MATCH(5,$AF$6:$AF$11,0),0)</f>
        <v>166.36</v>
      </c>
      <c r="T18" s="43"/>
      <c r="V18" s="38" t="str">
        <f t="shared" si="6"/>
        <v>April 2020</v>
      </c>
      <c r="W18" s="38">
        <v>43922</v>
      </c>
      <c r="X18" s="39"/>
      <c r="Y18" s="14"/>
      <c r="Z18" s="14"/>
      <c r="AA18" s="14"/>
      <c r="AB18" s="39"/>
      <c r="AC18" s="27" t="str">
        <v>Shopping</v>
      </c>
      <c r="AD18" s="28">
        <f>SUMIFS(Table1[Amount $],Table1[Category],Snapshot!AC18,Table1[Month],Snapshot!$W$4)*-1</f>
        <v>83.039999999999992</v>
      </c>
      <c r="AE18" s="25">
        <f>RANK(AD18,$AD$6:$AD$35,0)+COUNTIF(AD$6:$AD18,AD18)-1</f>
        <v>6</v>
      </c>
      <c r="AF18" s="25"/>
      <c r="AG18" s="25"/>
      <c r="AH18" s="25"/>
      <c r="AJ18" s="30">
        <f t="shared" si="3"/>
        <v>36538</v>
      </c>
      <c r="AK18" s="30">
        <f t="shared" si="4"/>
        <v>44268</v>
      </c>
      <c r="AL18" s="31">
        <f>SUMIFS(Table1[Amount $],Table1[Category Type],"Expense",Table1[Date],Snapshot!AK18)*-1</f>
        <v>32.17</v>
      </c>
      <c r="AM18" s="31">
        <f ca="1">IF(AK18&gt;TODAY(),NA(),SUM(AL$6:$AL18))</f>
        <v>1294.5999999999999</v>
      </c>
      <c r="AN18" s="31" t="e">
        <f t="shared" ca="1" si="1"/>
        <v>#N/A</v>
      </c>
      <c r="AO18" s="30">
        <f t="shared" si="5"/>
        <v>44240</v>
      </c>
      <c r="AP18" s="31">
        <f>SUMIFS(Table1[Amount $],Table1[Category Type],"Expense",Table1[Date],Snapshot!AO18)*-1</f>
        <v>0</v>
      </c>
      <c r="AQ18" s="31">
        <f>IF(AO18&lt;=EOMONTH($AO$6,0),SUM(AP$6:$AP18),NA())</f>
        <v>1028.24</v>
      </c>
      <c r="AR18" s="31" t="e">
        <f t="shared" si="2"/>
        <v>#N/A</v>
      </c>
      <c r="AT18" s="25" t="str">
        <v>Walmart</v>
      </c>
      <c r="AU18" s="32">
        <f>IF(ISBLANK(AT18),"",SUMIFS(Table1[Amount $],Table1[Merchant],Snapshot!AT18,Table1[Month],Snapshot!$W$4)*-1)</f>
        <v>128.37</v>
      </c>
      <c r="AV18" s="25">
        <f>IF(ISBLANK(AT18),"",COUNTIFS(Table1[Merchant],Snapshot!AT18,Table1[Month],Snapshot!$W$4))</f>
        <v>4</v>
      </c>
      <c r="AW18" s="25">
        <f>IFERROR(RANK(AV18,$AV$6:$AV$200)+COUNTIF($AV$6:AV18,AV18)-1,"")</f>
        <v>1</v>
      </c>
      <c r="AX18" s="25">
        <f>IFERROR(RANK(AU18,$AU$6:$AU$200)+COUNTIF($AU$6:AU18,AU18)-1,"")</f>
        <v>3</v>
      </c>
    </row>
    <row r="19" spans="1:50" ht="14.85" customHeight="1" x14ac:dyDescent="0.3">
      <c r="A19" s="22"/>
      <c r="C19" s="41"/>
      <c r="D19" s="61"/>
      <c r="E19" s="58"/>
      <c r="F19" s="58"/>
      <c r="G19" s="66"/>
      <c r="J19" s="43"/>
      <c r="L19" s="41"/>
      <c r="Q19" s="50"/>
      <c r="T19" s="43"/>
      <c r="U19" s="63"/>
      <c r="V19" s="38" t="str">
        <f t="shared" si="6"/>
        <v>March 2020</v>
      </c>
      <c r="W19" s="38">
        <v>43891</v>
      </c>
      <c r="X19" s="39"/>
      <c r="Y19" s="14"/>
      <c r="Z19" s="14"/>
      <c r="AA19" s="14"/>
      <c r="AB19" s="39"/>
      <c r="AC19" s="27" t="str">
        <v>Travel</v>
      </c>
      <c r="AD19" s="28">
        <f>SUMIFS(Table1[Amount $],Table1[Category],Snapshot!AC19,Table1[Month],Snapshot!$W$4)*-1</f>
        <v>0</v>
      </c>
      <c r="AE19" s="25">
        <f>RANK(AD19,$AD$6:$AD$35,0)+COUNTIF(AD$6:$AD19,AD19)-1</f>
        <v>16</v>
      </c>
      <c r="AF19" s="25"/>
      <c r="AG19" s="25"/>
      <c r="AH19" s="25"/>
      <c r="AJ19" s="30">
        <f t="shared" si="3"/>
        <v>36539</v>
      </c>
      <c r="AK19" s="30">
        <f t="shared" si="4"/>
        <v>44269</v>
      </c>
      <c r="AL19" s="31">
        <f>SUMIFS(Table1[Amount $],Table1[Category Type],"Expense",Table1[Date],Snapshot!AK19)*-1</f>
        <v>275.83999999999997</v>
      </c>
      <c r="AM19" s="31">
        <f ca="1">IF(AK19&gt;TODAY(),NA(),SUM(AL$6:$AL19))</f>
        <v>1570.4399999999998</v>
      </c>
      <c r="AN19" s="31" t="e">
        <f t="shared" ca="1" si="1"/>
        <v>#N/A</v>
      </c>
      <c r="AO19" s="30">
        <f t="shared" si="5"/>
        <v>44241</v>
      </c>
      <c r="AP19" s="31">
        <f>SUMIFS(Table1[Amount $],Table1[Category Type],"Expense",Table1[Date],Snapshot!AO19)*-1</f>
        <v>71.45</v>
      </c>
      <c r="AQ19" s="31">
        <f>IF(AO19&lt;=EOMONTH($AO$6,0),SUM(AP$6:$AP19),NA())</f>
        <v>1099.69</v>
      </c>
      <c r="AR19" s="31" t="e">
        <f t="shared" si="2"/>
        <v>#N/A</v>
      </c>
      <c r="AT19" s="25" t="str">
        <v>Firehouse Subs</v>
      </c>
      <c r="AU19" s="32">
        <f>IF(ISBLANK(AT19),"",SUMIFS(Table1[Amount $],Table1[Merchant],Snapshot!AT19,Table1[Month],Snapshot!$W$4)*-1)</f>
        <v>13.45</v>
      </c>
      <c r="AV19" s="25">
        <f>IF(ISBLANK(AT19),"",COUNTIFS(Table1[Merchant],Snapshot!AT19,Table1[Month],Snapshot!$W$4))</f>
        <v>1</v>
      </c>
      <c r="AW19" s="25">
        <f>IFERROR(RANK(AV19,$AV$6:$AV$200)+COUNTIF($AV$6:AV19,AV19)-1,"")</f>
        <v>18</v>
      </c>
      <c r="AX19" s="25">
        <f>IFERROR(RANK(AU19,$AU$6:$AU$200)+COUNTIF($AU$6:AU19,AU19)-1,"")</f>
        <v>21</v>
      </c>
    </row>
    <row r="20" spans="1:50" ht="14.85" customHeight="1" x14ac:dyDescent="0.25">
      <c r="A20" s="22"/>
      <c r="C20" s="41"/>
      <c r="D20" s="14"/>
      <c r="E20" s="14"/>
      <c r="F20" s="14"/>
      <c r="G20" s="14"/>
      <c r="J20" s="43"/>
      <c r="L20" s="41"/>
      <c r="P20" s="67"/>
      <c r="Q20" s="45" t="str" cm="1">
        <f t="array" ref="Q20">INDEX($AG$6:$AG$11,MATCH(6,$AF$6:$AF$11,0),0)</f>
        <v>All Other Categories</v>
      </c>
      <c r="R20" s="46"/>
      <c r="S20" s="47" cm="1">
        <f t="array" ref="S20">INDEX($AH$6:$AH$11,MATCH(6,$AF$6:$AF$11,0),0)</f>
        <v>121.0300000000002</v>
      </c>
      <c r="T20" s="43"/>
      <c r="V20" s="38" t="str">
        <f t="shared" si="6"/>
        <v>February 2020</v>
      </c>
      <c r="W20" s="38">
        <v>43862</v>
      </c>
      <c r="X20" s="39"/>
      <c r="Y20" s="56"/>
      <c r="Z20" s="14"/>
      <c r="AA20" s="14"/>
      <c r="AB20" s="39"/>
      <c r="AC20" s="27" t="str">
        <v>Uncategorized</v>
      </c>
      <c r="AD20" s="28">
        <f>SUMIFS(Table1[Amount $],Table1[Category],Snapshot!AC20,Table1[Month],Snapshot!$W$4)*-1</f>
        <v>0</v>
      </c>
      <c r="AE20" s="25">
        <f>RANK(AD20,$AD$6:$AD$35,0)+COUNTIF(AD$6:$AD20,AD20)-1</f>
        <v>17</v>
      </c>
      <c r="AF20" s="25"/>
      <c r="AG20" s="25"/>
      <c r="AH20" s="25"/>
      <c r="AJ20" s="30">
        <f t="shared" si="3"/>
        <v>36540</v>
      </c>
      <c r="AK20" s="30">
        <f t="shared" si="4"/>
        <v>44270</v>
      </c>
      <c r="AL20" s="31">
        <f>SUMIFS(Table1[Amount $],Table1[Category Type],"Expense",Table1[Date],Snapshot!AK20)*-1</f>
        <v>20</v>
      </c>
      <c r="AM20" s="31">
        <f ca="1">IF(AK20&gt;TODAY(),NA(),SUM(AL$6:$AL20))</f>
        <v>1590.4399999999998</v>
      </c>
      <c r="AN20" s="31" t="e">
        <f t="shared" ca="1" si="1"/>
        <v>#N/A</v>
      </c>
      <c r="AO20" s="30">
        <f t="shared" si="5"/>
        <v>44242</v>
      </c>
      <c r="AP20" s="31">
        <f>SUMIFS(Table1[Amount $],Table1[Category Type],"Expense",Table1[Date],Snapshot!AO20)*-1</f>
        <v>0</v>
      </c>
      <c r="AQ20" s="31">
        <f>IF(AO20&lt;=EOMONTH($AO$6,0),SUM(AP$6:$AP20),NA())</f>
        <v>1099.69</v>
      </c>
      <c r="AR20" s="31" t="e">
        <f t="shared" si="2"/>
        <v>#N/A</v>
      </c>
      <c r="AT20" s="25" t="str">
        <v>Lyft</v>
      </c>
      <c r="AU20" s="32">
        <f>IF(ISBLANK(AT20),"",SUMIFS(Table1[Amount $],Table1[Merchant],Snapshot!AT20,Table1[Month],Snapshot!$W$4)*-1)</f>
        <v>62.040000000000006</v>
      </c>
      <c r="AV20" s="25">
        <f>IF(ISBLANK(AT20),"",COUNTIFS(Table1[Merchant],Snapshot!AT20,Table1[Month],Snapshot!$W$4))</f>
        <v>2</v>
      </c>
      <c r="AW20" s="25">
        <f>IFERROR(RANK(AV20,$AV$6:$AV$200)+COUNTIF($AV$6:AV20,AV20)-1,"")</f>
        <v>5</v>
      </c>
      <c r="AX20" s="25">
        <f>IFERROR(RANK(AU20,$AU$6:$AU$200)+COUNTIF($AU$6:AU20,AU20)-1,"")</f>
        <v>11</v>
      </c>
    </row>
    <row r="21" spans="1:50" ht="14.85" customHeight="1" x14ac:dyDescent="0.25">
      <c r="A21" s="22"/>
      <c r="C21" s="41"/>
      <c r="D21" s="57"/>
      <c r="E21" s="14"/>
      <c r="F21" s="14"/>
      <c r="G21" s="64"/>
      <c r="J21" s="43"/>
      <c r="L21" s="41"/>
      <c r="T21" s="43"/>
      <c r="V21" s="38" t="str">
        <f t="shared" si="6"/>
        <v>January 2020</v>
      </c>
      <c r="W21" s="38">
        <v>43831</v>
      </c>
      <c r="X21" s="39"/>
      <c r="Y21" s="39"/>
      <c r="Z21" s="51"/>
      <c r="AA21" s="51"/>
      <c r="AB21" s="39"/>
      <c r="AC21" s="27" t="str">
        <v>Education</v>
      </c>
      <c r="AD21" s="28">
        <f>SUMIFS(Table1[Amount $],Table1[Category],Snapshot!AC21,Table1[Month],Snapshot!$W$4)*-1</f>
        <v>350</v>
      </c>
      <c r="AE21" s="25">
        <f>RANK(AD21,$AD$6:$AD$35,0)+COUNTIF(AD$6:$AD21,AD21)-1</f>
        <v>2</v>
      </c>
      <c r="AF21" s="25"/>
      <c r="AG21" s="25"/>
      <c r="AH21" s="25"/>
      <c r="AJ21" s="30">
        <f t="shared" si="3"/>
        <v>36541</v>
      </c>
      <c r="AK21" s="30">
        <f t="shared" si="4"/>
        <v>44271</v>
      </c>
      <c r="AL21" s="31">
        <f>SUMIFS(Table1[Amount $],Table1[Category Type],"Expense",Table1[Date],Snapshot!AK21)*-1</f>
        <v>25.57</v>
      </c>
      <c r="AM21" s="31">
        <f ca="1">IF(AK21&gt;TODAY(),NA(),SUM(AL$6:$AL21))</f>
        <v>1616.0099999999998</v>
      </c>
      <c r="AN21" s="31" t="e">
        <f t="shared" ca="1" si="1"/>
        <v>#N/A</v>
      </c>
      <c r="AO21" s="30">
        <f t="shared" si="5"/>
        <v>44243</v>
      </c>
      <c r="AP21" s="31">
        <f>SUMIFS(Table1[Amount $],Table1[Category Type],"Expense",Table1[Date],Snapshot!AO21)*-1</f>
        <v>0</v>
      </c>
      <c r="AQ21" s="31">
        <f>IF(AO21&lt;=EOMONTH($AO$6,0),SUM(AP$6:$AP21),NA())</f>
        <v>1099.69</v>
      </c>
      <c r="AR21" s="31" t="e">
        <f t="shared" si="2"/>
        <v>#N/A</v>
      </c>
      <c r="AT21" s="25" t="str">
        <v>Micro Center Fairfax</v>
      </c>
      <c r="AU21" s="32">
        <f>IF(ISBLANK(AT21),"",SUMIFS(Table1[Amount $],Table1[Merchant],Snapshot!AT21,Table1[Month],Snapshot!$W$4)*-1)</f>
        <v>58.25</v>
      </c>
      <c r="AV21" s="25">
        <f>IF(ISBLANK(AT21),"",COUNTIFS(Table1[Merchant],Snapshot!AT21,Table1[Month],Snapshot!$W$4))</f>
        <v>2</v>
      </c>
      <c r="AW21" s="25">
        <f>IFERROR(RANK(AV21,$AV$6:$AV$200)+COUNTIF($AV$6:AV21,AV21)-1,"")</f>
        <v>6</v>
      </c>
      <c r="AX21" s="25">
        <f>IFERROR(RANK(AU21,$AU$6:$AU$200)+COUNTIF($AU$6:AU21,AU21)-1,"")</f>
        <v>13</v>
      </c>
    </row>
    <row r="22" spans="1:50" ht="14.85" customHeight="1" x14ac:dyDescent="0.25">
      <c r="A22" s="22"/>
      <c r="C22" s="41"/>
      <c r="D22" s="14"/>
      <c r="E22" s="14"/>
      <c r="F22" s="14"/>
      <c r="G22" s="14"/>
      <c r="J22" s="43"/>
      <c r="L22" s="41"/>
      <c r="P22" s="68" t="s">
        <v>23</v>
      </c>
      <c r="Q22" s="68"/>
      <c r="R22" s="68"/>
      <c r="S22" s="69">
        <f>S10+S12+S14+S16+S18+S20</f>
        <v>1616.0100000000002</v>
      </c>
      <c r="T22" s="43"/>
      <c r="V22" s="38" t="str">
        <f t="shared" si="6"/>
        <v>December 2019</v>
      </c>
      <c r="W22" s="38">
        <v>43800</v>
      </c>
      <c r="X22" s="39"/>
      <c r="Y22" s="39"/>
      <c r="Z22" s="51"/>
      <c r="AA22" s="51"/>
      <c r="AB22" s="39"/>
      <c r="AC22" s="27" t="str">
        <v>Government</v>
      </c>
      <c r="AD22" s="28">
        <f>SUMIFS(Table1[Amount $],Table1[Category],Snapshot!AC22,Table1[Month],Snapshot!$W$4)*-1</f>
        <v>0</v>
      </c>
      <c r="AE22" s="25">
        <f>RANK(AD22,$AD$6:$AD$35,0)+COUNTIF(AD$6:$AD22,AD22)-1</f>
        <v>18</v>
      </c>
      <c r="AF22" s="25"/>
      <c r="AG22" s="25"/>
      <c r="AH22" s="25"/>
      <c r="AJ22" s="30">
        <f t="shared" si="3"/>
        <v>36542</v>
      </c>
      <c r="AK22" s="30">
        <f t="shared" si="4"/>
        <v>44272</v>
      </c>
      <c r="AL22" s="31">
        <f>SUMIFS(Table1[Amount $],Table1[Category Type],"Expense",Table1[Date],Snapshot!AK22)*-1</f>
        <v>0</v>
      </c>
      <c r="AM22" s="31">
        <f ca="1">IF(AK22&gt;TODAY(),NA(),SUM(AL$6:$AL22))</f>
        <v>1616.0099999999998</v>
      </c>
      <c r="AN22" s="31" t="e">
        <f t="shared" ca="1" si="1"/>
        <v>#N/A</v>
      </c>
      <c r="AO22" s="30">
        <f t="shared" si="5"/>
        <v>44244</v>
      </c>
      <c r="AP22" s="31">
        <f>SUMIFS(Table1[Amount $],Table1[Category Type],"Expense",Table1[Date],Snapshot!AO22)*-1</f>
        <v>76.3</v>
      </c>
      <c r="AQ22" s="31">
        <f>IF(AO22&lt;=EOMONTH($AO$6,0),SUM(AP$6:$AP22),NA())</f>
        <v>1175.99</v>
      </c>
      <c r="AR22" s="31" t="e">
        <f t="shared" si="2"/>
        <v>#N/A</v>
      </c>
      <c r="AT22" s="25" t="str">
        <v>Mcdonald's</v>
      </c>
      <c r="AU22" s="32">
        <f>IF(ISBLANK(AT22),"",SUMIFS(Table1[Amount $],Table1[Merchant],Snapshot!AT22,Table1[Month],Snapshot!$W$4)*-1)</f>
        <v>9.19</v>
      </c>
      <c r="AV22" s="25">
        <f>IF(ISBLANK(AT22),"",COUNTIFS(Table1[Merchant],Snapshot!AT22,Table1[Month],Snapshot!$W$4))</f>
        <v>1</v>
      </c>
      <c r="AW22" s="25">
        <f>IFERROR(RANK(AV22,$AV$6:$AV$200)+COUNTIF($AV$6:AV22,AV22)-1,"")</f>
        <v>19</v>
      </c>
      <c r="AX22" s="25">
        <f>IFERROR(RANK(AU22,$AU$6:$AU$200)+COUNTIF($AU$6:AU22,AU22)-1,"")</f>
        <v>25</v>
      </c>
    </row>
    <row r="23" spans="1:50" ht="14.85" customHeight="1" x14ac:dyDescent="0.25">
      <c r="A23" s="22"/>
      <c r="C23" s="41"/>
      <c r="J23" s="43"/>
      <c r="L23" s="41"/>
      <c r="M23" s="70"/>
      <c r="N23" s="14"/>
      <c r="T23" s="43"/>
      <c r="V23" s="38" t="str">
        <f t="shared" si="6"/>
        <v>November 2019</v>
      </c>
      <c r="W23" s="38">
        <v>43770</v>
      </c>
      <c r="X23" s="39"/>
      <c r="Y23" s="14"/>
      <c r="Z23" s="51"/>
      <c r="AA23" s="51"/>
      <c r="AB23" s="39"/>
      <c r="AC23" s="27" t="str">
        <v>Apps</v>
      </c>
      <c r="AD23" s="28">
        <f>SUMIFS(Table1[Amount $],Table1[Category],Snapshot!AC23,Table1[Month],Snapshot!$W$4)*-1</f>
        <v>166.36</v>
      </c>
      <c r="AE23" s="25">
        <f>RANK(AD23,$AD$6:$AD$35,0)+COUNTIF(AD$6:$AD23,AD23)-1</f>
        <v>5</v>
      </c>
      <c r="AF23" s="25"/>
      <c r="AG23" s="25"/>
      <c r="AH23" s="25"/>
      <c r="AJ23" s="30">
        <f t="shared" si="3"/>
        <v>36543</v>
      </c>
      <c r="AK23" s="30">
        <f t="shared" si="4"/>
        <v>44273</v>
      </c>
      <c r="AL23" s="31">
        <f>SUMIFS(Table1[Amount $],Table1[Category Type],"Expense",Table1[Date],Snapshot!AK23)*-1</f>
        <v>0</v>
      </c>
      <c r="AM23" s="31">
        <f ca="1">IF(AK23&gt;TODAY(),NA(),SUM(AL$6:$AL23))</f>
        <v>1616.0099999999998</v>
      </c>
      <c r="AN23" s="31">
        <f t="shared" ca="1" si="1"/>
        <v>1616.0099999999998</v>
      </c>
      <c r="AO23" s="30">
        <f t="shared" si="5"/>
        <v>44245</v>
      </c>
      <c r="AP23" s="31">
        <f>SUMIFS(Table1[Amount $],Table1[Category Type],"Expense",Table1[Date],Snapshot!AO23)*-1</f>
        <v>0</v>
      </c>
      <c r="AQ23" s="31">
        <f>IF(AO23&lt;=EOMONTH($AO$6,0),SUM(AP$6:$AP23),NA())</f>
        <v>1175.99</v>
      </c>
      <c r="AR23" s="31" t="e">
        <f t="shared" si="2"/>
        <v>#N/A</v>
      </c>
      <c r="AT23" s="25" t="str">
        <v>Venmo</v>
      </c>
      <c r="AU23" s="32">
        <f>IF(ISBLANK(AT23),"",SUMIFS(Table1[Amount $],Table1[Merchant],Snapshot!AT23,Table1[Month],Snapshot!$W$4)*-1)</f>
        <v>150</v>
      </c>
      <c r="AV23" s="25">
        <f>IF(ISBLANK(AT23),"",COUNTIFS(Table1[Merchant],Snapshot!AT23,Table1[Month],Snapshot!$W$4))</f>
        <v>1</v>
      </c>
      <c r="AW23" s="25">
        <f>IFERROR(RANK(AV23,$AV$6:$AV$200)+COUNTIF($AV$6:AV23,AV23)-1,"")</f>
        <v>20</v>
      </c>
      <c r="AX23" s="25">
        <f>IFERROR(RANK(AU23,$AU$6:$AU$200)+COUNTIF($AU$6:AU23,AU23)-1,"")</f>
        <v>2</v>
      </c>
    </row>
    <row r="24" spans="1:50" ht="14.85" customHeight="1" thickBot="1" x14ac:dyDescent="0.3">
      <c r="A24" s="22"/>
      <c r="C24" s="71"/>
      <c r="D24" s="72"/>
      <c r="E24" s="72"/>
      <c r="F24" s="72"/>
      <c r="G24" s="72"/>
      <c r="H24" s="72"/>
      <c r="I24" s="72"/>
      <c r="J24" s="73"/>
      <c r="L24" s="71"/>
      <c r="M24" s="72"/>
      <c r="N24" s="72"/>
      <c r="O24" s="72"/>
      <c r="P24" s="72"/>
      <c r="Q24" s="72"/>
      <c r="R24" s="72"/>
      <c r="S24" s="72"/>
      <c r="T24" s="73"/>
      <c r="V24" s="38" t="str">
        <f t="shared" si="6"/>
        <v>October 2019</v>
      </c>
      <c r="W24" s="38">
        <v>43739</v>
      </c>
      <c r="X24" s="39"/>
      <c r="Y24" s="14"/>
      <c r="Z24" s="14"/>
      <c r="AA24" s="14"/>
      <c r="AB24" s="39"/>
      <c r="AC24" s="27"/>
      <c r="AD24" s="28">
        <f>SUMIFS(Table1[Amount $],Table1[Category],Snapshot!AC24,Table1[Month],Snapshot!$W$4)*-1</f>
        <v>0</v>
      </c>
      <c r="AE24" s="25">
        <f>RANK(AD24,$AD$6:$AD$35,0)+COUNTIF(AD$6:$AD24,AD24)-1</f>
        <v>19</v>
      </c>
      <c r="AF24" s="25"/>
      <c r="AG24" s="25"/>
      <c r="AH24" s="25"/>
      <c r="AJ24" s="30">
        <f t="shared" si="3"/>
        <v>36544</v>
      </c>
      <c r="AK24" s="30">
        <f t="shared" si="4"/>
        <v>44274</v>
      </c>
      <c r="AL24" s="31">
        <f>SUMIFS(Table1[Amount $],Table1[Category Type],"Expense",Table1[Date],Snapshot!AK24)*-1</f>
        <v>0</v>
      </c>
      <c r="AM24" s="31" t="e">
        <f ca="1">IF(AK24&gt;TODAY(),NA(),SUM(AL$6:$AL24))</f>
        <v>#N/A</v>
      </c>
      <c r="AN24" s="31" t="e">
        <f t="shared" ca="1" si="1"/>
        <v>#N/A</v>
      </c>
      <c r="AO24" s="30">
        <f t="shared" si="5"/>
        <v>44246</v>
      </c>
      <c r="AP24" s="31">
        <f>SUMIFS(Table1[Amount $],Table1[Category Type],"Expense",Table1[Date],Snapshot!AO24)*-1</f>
        <v>40.42</v>
      </c>
      <c r="AQ24" s="31">
        <f>IF(AO24&lt;=EOMONTH($AO$6,0),SUM(AP$6:$AP24),NA())</f>
        <v>1216.4100000000001</v>
      </c>
      <c r="AR24" s="31" t="e">
        <f t="shared" si="2"/>
        <v>#N/A</v>
      </c>
      <c r="AT24" s="25" t="str">
        <v>Take 5 232</v>
      </c>
      <c r="AU24" s="32">
        <f>IF(ISBLANK(AT24),"",SUMIFS(Table1[Amount $],Table1[Merchant],Snapshot!AT24,Table1[Month],Snapshot!$W$4)*-1)</f>
        <v>86.17</v>
      </c>
      <c r="AV24" s="25">
        <f>IF(ISBLANK(AT24),"",COUNTIFS(Table1[Merchant],Snapshot!AT24,Table1[Month],Snapshot!$W$4))</f>
        <v>1</v>
      </c>
      <c r="AW24" s="25">
        <f>IFERROR(RANK(AV24,$AV$6:$AV$200)+COUNTIF($AV$6:AV24,AV24)-1,"")</f>
        <v>21</v>
      </c>
      <c r="AX24" s="25">
        <f>IFERROR(RANK(AU24,$AU$6:$AU$200)+COUNTIF($AU$6:AU24,AU24)-1,"")</f>
        <v>7</v>
      </c>
    </row>
    <row r="25" spans="1:50" ht="14.85" customHeight="1" thickBot="1" x14ac:dyDescent="0.3">
      <c r="A25" s="22"/>
      <c r="V25" s="38" t="str">
        <f t="shared" si="6"/>
        <v>September 2019</v>
      </c>
      <c r="W25" s="38">
        <v>43709</v>
      </c>
      <c r="X25" s="39"/>
      <c r="Y25" s="14"/>
      <c r="Z25" s="14"/>
      <c r="AA25" s="14"/>
      <c r="AB25" s="39"/>
      <c r="AC25" s="27"/>
      <c r="AD25" s="28">
        <f>SUMIFS(Table1[Amount $],Table1[Category],Snapshot!AC25,Table1[Month],Snapshot!$W$4)*-1</f>
        <v>0</v>
      </c>
      <c r="AE25" s="25">
        <f>RANK(AD25,$AD$6:$AD$35,0)+COUNTIF(AD$6:$AD25,AD25)-1</f>
        <v>20</v>
      </c>
      <c r="AF25" s="25"/>
      <c r="AG25" s="25"/>
      <c r="AH25" s="25"/>
      <c r="AJ25" s="30">
        <f t="shared" si="3"/>
        <v>36545</v>
      </c>
      <c r="AK25" s="30">
        <f t="shared" si="4"/>
        <v>44275</v>
      </c>
      <c r="AL25" s="31">
        <f>SUMIFS(Table1[Amount $],Table1[Category Type],"Expense",Table1[Date],Snapshot!AK25)*-1</f>
        <v>0</v>
      </c>
      <c r="AM25" s="31" t="e">
        <f ca="1">IF(AK25&gt;TODAY(),NA(),SUM(AL$6:$AL25))</f>
        <v>#N/A</v>
      </c>
      <c r="AN25" s="31" t="e">
        <f t="shared" ca="1" si="1"/>
        <v>#N/A</v>
      </c>
      <c r="AO25" s="30">
        <f t="shared" si="5"/>
        <v>44247</v>
      </c>
      <c r="AP25" s="31">
        <f>SUMIFS(Table1[Amount $],Table1[Category Type],"Expense",Table1[Date],Snapshot!AO25)*-1</f>
        <v>239.23000000000002</v>
      </c>
      <c r="AQ25" s="31">
        <f>IF(AO25&lt;=EOMONTH($AO$6,0),SUM(AP$6:$AP25),NA())</f>
        <v>1455.64</v>
      </c>
      <c r="AR25" s="31" t="e">
        <f t="shared" si="2"/>
        <v>#N/A</v>
      </c>
      <c r="AT25" s="25" t="str">
        <v>Bottoms Up Pizza</v>
      </c>
      <c r="AU25" s="32">
        <f>IF(ISBLANK(AT25),"",SUMIFS(Table1[Amount $],Table1[Merchant],Snapshot!AT25,Table1[Month],Snapshot!$W$4)*-1)</f>
        <v>55</v>
      </c>
      <c r="AV25" s="25">
        <f>IF(ISBLANK(AT25),"",COUNTIFS(Table1[Merchant],Snapshot!AT25,Table1[Month],Snapshot!$W$4))</f>
        <v>1</v>
      </c>
      <c r="AW25" s="25">
        <f>IFERROR(RANK(AV25,$AV$6:$AV$200)+COUNTIF($AV$6:AV25,AV25)-1,"")</f>
        <v>22</v>
      </c>
      <c r="AX25" s="25">
        <f>IFERROR(RANK(AU25,$AU$6:$AU$200)+COUNTIF($AU$6:AU25,AU25)-1,"")</f>
        <v>14</v>
      </c>
    </row>
    <row r="26" spans="1:50" ht="14.85" customHeight="1" thickTop="1" thickBot="1" x14ac:dyDescent="0.3">
      <c r="A26" s="22"/>
      <c r="C26" s="74"/>
      <c r="D26" s="74"/>
      <c r="E26" s="75"/>
      <c r="F26" s="75"/>
      <c r="G26" s="75"/>
      <c r="H26" s="75"/>
      <c r="I26" s="76"/>
      <c r="J26" s="76"/>
      <c r="K26" s="76"/>
      <c r="L26" s="76"/>
      <c r="M26" s="76"/>
      <c r="N26" s="75"/>
      <c r="O26" s="75"/>
      <c r="P26" s="75"/>
      <c r="Q26" s="75"/>
      <c r="R26" s="75"/>
      <c r="S26" s="75"/>
      <c r="T26" s="75"/>
      <c r="V26" s="38" t="str">
        <f t="shared" si="6"/>
        <v>August 2019</v>
      </c>
      <c r="W26" s="38">
        <v>43678</v>
      </c>
      <c r="X26" s="39"/>
      <c r="Y26" s="14"/>
      <c r="Z26" s="14"/>
      <c r="AA26" s="14"/>
      <c r="AB26" s="39"/>
      <c r="AC26" s="27"/>
      <c r="AD26" s="28">
        <f>SUMIFS(Table1[Amount $],Table1[Category],Snapshot!AC26,Table1[Month],Snapshot!$W$4)*-1</f>
        <v>0</v>
      </c>
      <c r="AE26" s="25">
        <f>RANK(AD26,$AD$6:$AD$35,0)+COUNTIF(AD$6:$AD26,AD26)-1</f>
        <v>21</v>
      </c>
      <c r="AF26" s="25"/>
      <c r="AG26" s="25"/>
      <c r="AH26" s="25"/>
      <c r="AJ26" s="30">
        <f t="shared" si="3"/>
        <v>36546</v>
      </c>
      <c r="AK26" s="30">
        <f t="shared" si="4"/>
        <v>44276</v>
      </c>
      <c r="AL26" s="31">
        <f>SUMIFS(Table1[Amount $],Table1[Category Type],"Expense",Table1[Date],Snapshot!AK26)*-1</f>
        <v>0</v>
      </c>
      <c r="AM26" s="31" t="e">
        <f ca="1">IF(AK26&gt;TODAY(),NA(),SUM(AL$6:$AL26))</f>
        <v>#N/A</v>
      </c>
      <c r="AN26" s="31" t="e">
        <f t="shared" ca="1" si="1"/>
        <v>#N/A</v>
      </c>
      <c r="AO26" s="30">
        <f t="shared" si="5"/>
        <v>44248</v>
      </c>
      <c r="AP26" s="31">
        <f>SUMIFS(Table1[Amount $],Table1[Category Type],"Expense",Table1[Date],Snapshot!AO26)*-1</f>
        <v>104.44000000000001</v>
      </c>
      <c r="AQ26" s="31">
        <f>IF(AO26&lt;=EOMONTH($AO$6,0),SUM(AP$6:$AP26),NA())</f>
        <v>1560.0800000000002</v>
      </c>
      <c r="AR26" s="31" t="e">
        <f t="shared" si="2"/>
        <v>#N/A</v>
      </c>
      <c r="AT26" s="25" t="str">
        <v>Google Google Youtub</v>
      </c>
      <c r="AU26" s="32">
        <f>IF(ISBLANK(AT26),"",SUMIFS(Table1[Amount $],Table1[Merchant],Snapshot!AT26,Table1[Month],Snapshot!$W$4)*-1)</f>
        <v>0</v>
      </c>
      <c r="AV26" s="25">
        <f>IF(ISBLANK(AT26),"",COUNTIFS(Table1[Merchant],Snapshot!AT26,Table1[Month],Snapshot!$W$4))</f>
        <v>2</v>
      </c>
      <c r="AW26" s="25">
        <f>IFERROR(RANK(AV26,$AV$6:$AV$200)+COUNTIF($AV$6:AV26,AV26)-1,"")</f>
        <v>7</v>
      </c>
      <c r="AX26" s="25">
        <f>IFERROR(RANK(AU26,$AU$6:$AU$200)+COUNTIF($AU$6:AU26,AU26)-1,"")</f>
        <v>27</v>
      </c>
    </row>
    <row r="27" spans="1:50" ht="20.100000000000001" customHeight="1" x14ac:dyDescent="0.3">
      <c r="A27" s="22"/>
      <c r="C27" s="33"/>
      <c r="D27" s="34" t="s">
        <v>24</v>
      </c>
      <c r="E27" s="77"/>
      <c r="F27" s="77"/>
      <c r="G27" s="77"/>
      <c r="H27" s="77"/>
      <c r="I27" s="77"/>
      <c r="J27" s="77"/>
      <c r="K27" s="35"/>
      <c r="L27" s="35"/>
      <c r="M27" s="35"/>
      <c r="N27" s="35"/>
      <c r="O27" s="35"/>
      <c r="P27" s="35"/>
      <c r="Q27" s="35"/>
      <c r="R27" s="35"/>
      <c r="S27" s="35"/>
      <c r="T27" s="37"/>
      <c r="V27" s="38" t="str">
        <f t="shared" si="6"/>
        <v>July 2019</v>
      </c>
      <c r="W27" s="38">
        <v>43647</v>
      </c>
      <c r="X27" s="39"/>
      <c r="Y27" s="14"/>
      <c r="Z27" s="14"/>
      <c r="AA27" s="14"/>
      <c r="AB27" s="39"/>
      <c r="AC27" s="27"/>
      <c r="AD27" s="28">
        <f>SUMIFS(Table1[Amount $],Table1[Category],Snapshot!AC27,Table1[Month],Snapshot!$W$4)*-1</f>
        <v>0</v>
      </c>
      <c r="AE27" s="25">
        <f>RANK(AD27,$AD$6:$AD$35,0)+COUNTIF(AD$6:$AD27,AD27)-1</f>
        <v>22</v>
      </c>
      <c r="AF27" s="25"/>
      <c r="AG27" s="25"/>
      <c r="AH27" s="25"/>
      <c r="AJ27" s="30">
        <f t="shared" si="3"/>
        <v>36547</v>
      </c>
      <c r="AK27" s="30">
        <f t="shared" si="4"/>
        <v>44277</v>
      </c>
      <c r="AL27" s="31">
        <f>SUMIFS(Table1[Amount $],Table1[Category Type],"Expense",Table1[Date],Snapshot!AK27)*-1</f>
        <v>0</v>
      </c>
      <c r="AM27" s="31" t="e">
        <f ca="1">IF(AK27&gt;TODAY(),NA(),SUM(AL$6:$AL27))</f>
        <v>#N/A</v>
      </c>
      <c r="AN27" s="31" t="e">
        <f t="shared" ca="1" si="1"/>
        <v>#N/A</v>
      </c>
      <c r="AO27" s="30">
        <f t="shared" si="5"/>
        <v>44249</v>
      </c>
      <c r="AP27" s="31">
        <f>SUMIFS(Table1[Amount $],Table1[Category Type],"Expense",Table1[Date],Snapshot!AO27)*-1</f>
        <v>81.319999999999993</v>
      </c>
      <c r="AQ27" s="31">
        <f>IF(AO27&lt;=EOMONTH($AO$6,0),SUM(AP$6:$AP27),NA())</f>
        <v>1641.4</v>
      </c>
      <c r="AR27" s="31" t="e">
        <f t="shared" si="2"/>
        <v>#N/A</v>
      </c>
      <c r="AT27" s="25" t="str">
        <v>Google Youtube Subsc</v>
      </c>
      <c r="AU27" s="32">
        <f>IF(ISBLANK(AT27),"",SUMIFS(Table1[Amount $],Table1[Merchant],Snapshot!AT27,Table1[Month],Snapshot!$W$4)*-1)</f>
        <v>0</v>
      </c>
      <c r="AV27" s="25">
        <f>IF(ISBLANK(AT27),"",COUNTIFS(Table1[Merchant],Snapshot!AT27,Table1[Month],Snapshot!$W$4))</f>
        <v>2</v>
      </c>
      <c r="AW27" s="25">
        <f>IFERROR(RANK(AV27,$AV$6:$AV$200)+COUNTIF($AV$6:AV27,AV27)-1,"")</f>
        <v>8</v>
      </c>
      <c r="AX27" s="25">
        <f>IFERROR(RANK(AU27,$AU$6:$AU$200)+COUNTIF($AU$6:AU27,AU27)-1,"")</f>
        <v>28</v>
      </c>
    </row>
    <row r="28" spans="1:50" ht="14.85" customHeight="1" x14ac:dyDescent="0.25">
      <c r="A28" s="22"/>
      <c r="C28" s="41"/>
      <c r="D28" s="42" t="str">
        <f ca="1">IFERROR(IF(AND(MONTH(W4)=MONTH(TODAY()),YEAR(W4)=YEAR(TODAY())),AK39,AK42),"")</f>
        <v>Spent $440 more than this time last month</v>
      </c>
      <c r="T28" s="43"/>
      <c r="V28" s="38" t="str">
        <f t="shared" si="6"/>
        <v>June 2019</v>
      </c>
      <c r="W28" s="38">
        <v>43617</v>
      </c>
      <c r="X28" s="39"/>
      <c r="Y28" s="14"/>
      <c r="Z28" s="14"/>
      <c r="AA28" s="14"/>
      <c r="AB28" s="39"/>
      <c r="AC28" s="27"/>
      <c r="AD28" s="28">
        <f>SUMIFS(Table1[Amount $],Table1[Category],Snapshot!AC28,Table1[Month],Snapshot!$W$4)*-1</f>
        <v>0</v>
      </c>
      <c r="AE28" s="25">
        <f>RANK(AD28,$AD$6:$AD$35,0)+COUNTIF(AD$6:$AD28,AD28)-1</f>
        <v>23</v>
      </c>
      <c r="AF28" s="25"/>
      <c r="AG28" s="25"/>
      <c r="AH28" s="25"/>
      <c r="AJ28" s="30">
        <f t="shared" si="3"/>
        <v>36548</v>
      </c>
      <c r="AK28" s="30">
        <f t="shared" si="4"/>
        <v>44278</v>
      </c>
      <c r="AL28" s="31">
        <f>SUMIFS(Table1[Amount $],Table1[Category Type],"Expense",Table1[Date],Snapshot!AK28)*-1</f>
        <v>0</v>
      </c>
      <c r="AM28" s="31" t="e">
        <f ca="1">IF(AK28&gt;TODAY(),NA(),SUM(AL$6:$AL28))</f>
        <v>#N/A</v>
      </c>
      <c r="AN28" s="31" t="e">
        <f t="shared" ca="1" si="1"/>
        <v>#N/A</v>
      </c>
      <c r="AO28" s="30">
        <f t="shared" si="5"/>
        <v>44250</v>
      </c>
      <c r="AP28" s="31">
        <f>SUMIFS(Table1[Amount $],Table1[Category Type],"Expense",Table1[Date],Snapshot!AO28)*-1</f>
        <v>1.99</v>
      </c>
      <c r="AQ28" s="31">
        <f>IF(AO28&lt;=EOMONTH($AO$6,0),SUM(AP$6:$AP28),NA())</f>
        <v>1643.39</v>
      </c>
      <c r="AR28" s="31" t="e">
        <f t="shared" si="2"/>
        <v>#N/A</v>
      </c>
      <c r="AT28" s="25" t="str">
        <v>Mellow Mushroom</v>
      </c>
      <c r="AU28" s="32">
        <f>IF(ISBLANK(AT28),"",SUMIFS(Table1[Amount $],Table1[Merchant],Snapshot!AT28,Table1[Month],Snapshot!$W$4)*-1)</f>
        <v>70</v>
      </c>
      <c r="AV28" s="25">
        <f>IF(ISBLANK(AT28),"",COUNTIFS(Table1[Merchant],Snapshot!AT28,Table1[Month],Snapshot!$W$4))</f>
        <v>1</v>
      </c>
      <c r="AW28" s="25">
        <f>IFERROR(RANK(AV28,$AV$6:$AV$200)+COUNTIF($AV$6:AV28,AV28)-1,"")</f>
        <v>23</v>
      </c>
      <c r="AX28" s="25">
        <f>IFERROR(RANK(AU28,$AU$6:$AU$200)+COUNTIF($AU$6:AU28,AU28)-1,"")</f>
        <v>9</v>
      </c>
    </row>
    <row r="29" spans="1:50" ht="14.85" customHeight="1" x14ac:dyDescent="0.25">
      <c r="A29" s="22"/>
      <c r="C29" s="41"/>
      <c r="T29" s="43"/>
      <c r="V29" s="38" t="str">
        <f t="shared" si="6"/>
        <v>May 2019</v>
      </c>
      <c r="W29" s="38">
        <v>43586</v>
      </c>
      <c r="X29" s="39"/>
      <c r="Y29" s="14"/>
      <c r="Z29" s="14"/>
      <c r="AA29" s="14"/>
      <c r="AB29" s="39"/>
      <c r="AC29" s="27"/>
      <c r="AD29" s="28">
        <f>SUMIFS(Table1[Amount $],Table1[Category],Snapshot!AC29,Table1[Month],Snapshot!$W$4)*-1</f>
        <v>0</v>
      </c>
      <c r="AE29" s="25">
        <f>RANK(AD29,$AD$6:$AD$35,0)+COUNTIF(AD$6:$AD29,AD29)-1</f>
        <v>24</v>
      </c>
      <c r="AF29" s="25"/>
      <c r="AG29" s="25"/>
      <c r="AH29" s="25"/>
      <c r="AJ29" s="30">
        <f t="shared" si="3"/>
        <v>36549</v>
      </c>
      <c r="AK29" s="30">
        <f t="shared" si="4"/>
        <v>44279</v>
      </c>
      <c r="AL29" s="31">
        <f>SUMIFS(Table1[Amount $],Table1[Category Type],"Expense",Table1[Date],Snapshot!AK29)*-1</f>
        <v>0</v>
      </c>
      <c r="AM29" s="31" t="e">
        <f ca="1">IF(AK29&gt;TODAY(),NA(),SUM(AL$6:$AL29))</f>
        <v>#N/A</v>
      </c>
      <c r="AN29" s="31" t="e">
        <f t="shared" ca="1" si="1"/>
        <v>#N/A</v>
      </c>
      <c r="AO29" s="30">
        <f t="shared" si="5"/>
        <v>44251</v>
      </c>
      <c r="AP29" s="31">
        <f>SUMIFS(Table1[Amount $],Table1[Category Type],"Expense",Table1[Date],Snapshot!AO29)*-1</f>
        <v>215</v>
      </c>
      <c r="AQ29" s="31">
        <f>IF(AO29&lt;=EOMONTH($AO$6,0),SUM(AP$6:$AP29),NA())</f>
        <v>1858.39</v>
      </c>
      <c r="AR29" s="31" t="e">
        <f t="shared" si="2"/>
        <v>#N/A</v>
      </c>
      <c r="AT29" s="25" t="str">
        <v>Interactive</v>
      </c>
      <c r="AU29" s="32">
        <f>IF(ISBLANK(AT29),"",SUMIFS(Table1[Amount $],Table1[Merchant],Snapshot!AT29,Table1[Month],Snapshot!$W$4)*-1)</f>
        <v>350</v>
      </c>
      <c r="AV29" s="25">
        <f>IF(ISBLANK(AT29),"",COUNTIFS(Table1[Merchant],Snapshot!AT29,Table1[Month],Snapshot!$W$4))</f>
        <v>1</v>
      </c>
      <c r="AW29" s="25">
        <f>IFERROR(RANK(AV29,$AV$6:$AV$200)+COUNTIF($AV$6:AV29,AV29)-1,"")</f>
        <v>24</v>
      </c>
      <c r="AX29" s="25">
        <f>IFERROR(RANK(AU29,$AU$6:$AU$200)+COUNTIF($AU$6:AU29,AU29)-1,"")</f>
        <v>1</v>
      </c>
    </row>
    <row r="30" spans="1:50" ht="14.85" customHeight="1" x14ac:dyDescent="0.25">
      <c r="A30" s="22"/>
      <c r="C30" s="41"/>
      <c r="D30" s="78"/>
      <c r="E30" s="78"/>
      <c r="F30" s="79"/>
      <c r="T30" s="43"/>
      <c r="V30" s="38" t="str">
        <f t="shared" si="6"/>
        <v>April 2019</v>
      </c>
      <c r="W30" s="38">
        <v>43556</v>
      </c>
      <c r="X30" s="39"/>
      <c r="Y30" s="14"/>
      <c r="Z30" s="14"/>
      <c r="AA30" s="14"/>
      <c r="AB30" s="39"/>
      <c r="AC30" s="27"/>
      <c r="AD30" s="28">
        <f>SUMIFS(Table1[Amount $],Table1[Category],Snapshot!AC30,Table1[Month],Snapshot!$W$4)*-1</f>
        <v>0</v>
      </c>
      <c r="AE30" s="25">
        <f>RANK(AD30,$AD$6:$AD$35,0)+COUNTIF(AD$6:$AD30,AD30)-1</f>
        <v>25</v>
      </c>
      <c r="AF30" s="25"/>
      <c r="AG30" s="25"/>
      <c r="AH30" s="25"/>
      <c r="AJ30" s="30">
        <f t="shared" si="3"/>
        <v>36550</v>
      </c>
      <c r="AK30" s="30">
        <f t="shared" si="4"/>
        <v>44280</v>
      </c>
      <c r="AL30" s="31">
        <f>SUMIFS(Table1[Amount $],Table1[Category Type],"Expense",Table1[Date],Snapshot!AK30)*-1</f>
        <v>0</v>
      </c>
      <c r="AM30" s="31" t="e">
        <f ca="1">IF(AK30&gt;TODAY(),NA(),SUM(AL$6:$AL30))</f>
        <v>#N/A</v>
      </c>
      <c r="AN30" s="31" t="e">
        <f t="shared" ca="1" si="1"/>
        <v>#N/A</v>
      </c>
      <c r="AO30" s="30">
        <f t="shared" si="5"/>
        <v>44252</v>
      </c>
      <c r="AP30" s="31">
        <f>SUMIFS(Table1[Amount $],Table1[Category Type],"Expense",Table1[Date],Snapshot!AO30)*-1</f>
        <v>0</v>
      </c>
      <c r="AQ30" s="31">
        <f>IF(AO30&lt;=EOMONTH($AO$6,0),SUM(AP$6:$AP30),NA())</f>
        <v>1858.39</v>
      </c>
      <c r="AR30" s="31" t="e">
        <f t="shared" si="2"/>
        <v>#N/A</v>
      </c>
      <c r="AT30" s="25" t="str">
        <v>State Farm</v>
      </c>
      <c r="AU30" s="32">
        <f>IF(ISBLANK(AT30),"",SUMIFS(Table1[Amount $],Table1[Merchant],Snapshot!AT30,Table1[Month],Snapshot!$W$4)*-1)</f>
        <v>91.78</v>
      </c>
      <c r="AV30" s="25">
        <f>IF(ISBLANK(AT30),"",COUNTIFS(Table1[Merchant],Snapshot!AT30,Table1[Month],Snapshot!$W$4))</f>
        <v>1</v>
      </c>
      <c r="AW30" s="25">
        <f>IFERROR(RANK(AV30,$AV$6:$AV$200)+COUNTIF($AV$6:AV30,AV30)-1,"")</f>
        <v>25</v>
      </c>
      <c r="AX30" s="25">
        <f>IFERROR(RANK(AU30,$AU$6:$AU$200)+COUNTIF($AU$6:AU30,AU30)-1,"")</f>
        <v>5</v>
      </c>
    </row>
    <row r="31" spans="1:50" ht="14.85" customHeight="1" x14ac:dyDescent="0.25">
      <c r="A31" s="22"/>
      <c r="C31" s="41"/>
      <c r="T31" s="43"/>
      <c r="V31" s="38" t="str">
        <f t="shared" si="6"/>
        <v>March 2019</v>
      </c>
      <c r="W31" s="38">
        <v>43525</v>
      </c>
      <c r="X31" s="39"/>
      <c r="Y31" s="14"/>
      <c r="Z31" s="14"/>
      <c r="AA31" s="14"/>
      <c r="AB31" s="39"/>
      <c r="AC31" s="27"/>
      <c r="AD31" s="28">
        <f>SUMIFS(Table1[Amount $],Table1[Category],Snapshot!AC31,Table1[Month],Snapshot!$W$4)*-1</f>
        <v>0</v>
      </c>
      <c r="AE31" s="25">
        <f>RANK(AD31,$AD$6:$AD$35,0)+COUNTIF(AD$6:$AD31,AD31)-1</f>
        <v>26</v>
      </c>
      <c r="AF31" s="25"/>
      <c r="AG31" s="25"/>
      <c r="AH31" s="25"/>
      <c r="AJ31" s="30">
        <f t="shared" si="3"/>
        <v>36551</v>
      </c>
      <c r="AK31" s="30">
        <f t="shared" si="4"/>
        <v>44281</v>
      </c>
      <c r="AL31" s="31">
        <f>SUMIFS(Table1[Amount $],Table1[Category Type],"Expense",Table1[Date],Snapshot!AK31)*-1</f>
        <v>0</v>
      </c>
      <c r="AM31" s="31" t="e">
        <f ca="1">IF(AK31&gt;TODAY(),NA(),SUM(AL$6:$AL31))</f>
        <v>#N/A</v>
      </c>
      <c r="AN31" s="31" t="e">
        <f t="shared" ca="1" si="1"/>
        <v>#N/A</v>
      </c>
      <c r="AO31" s="30">
        <f t="shared" si="5"/>
        <v>44253</v>
      </c>
      <c r="AP31" s="31">
        <f>SUMIFS(Table1[Amount $],Table1[Category Type],"Expense",Table1[Date],Snapshot!AO31)*-1</f>
        <v>720.66</v>
      </c>
      <c r="AQ31" s="31">
        <f>IF(AO31&lt;=EOMONTH($AO$6,0),SUM(AP$6:$AP31),NA())</f>
        <v>2579.0500000000002</v>
      </c>
      <c r="AR31" s="31" t="e">
        <f t="shared" si="2"/>
        <v>#N/A</v>
      </c>
      <c r="AT31" s="25" t="str">
        <v>Spotify</v>
      </c>
      <c r="AU31" s="32">
        <f>IF(ISBLANK(AT31),"",SUMIFS(Table1[Amount $],Table1[Merchant],Snapshot!AT31,Table1[Month],Snapshot!$W$4)*-1)</f>
        <v>9.99</v>
      </c>
      <c r="AV31" s="25">
        <f>IF(ISBLANK(AT31),"",COUNTIFS(Table1[Merchant],Snapshot!AT31,Table1[Month],Snapshot!$W$4))</f>
        <v>1</v>
      </c>
      <c r="AW31" s="25">
        <f>IFERROR(RANK(AV31,$AV$6:$AV$200)+COUNTIF($AV$6:AV31,AV31)-1,"")</f>
        <v>26</v>
      </c>
      <c r="AX31" s="25">
        <f>IFERROR(RANK(AU31,$AU$6:$AU$200)+COUNTIF($AU$6:AU31,AU31)-1,"")</f>
        <v>24</v>
      </c>
    </row>
    <row r="32" spans="1:50" ht="14.85" customHeight="1" x14ac:dyDescent="0.25">
      <c r="A32" s="22"/>
      <c r="C32" s="41"/>
      <c r="T32" s="43"/>
      <c r="V32" s="38" t="str">
        <f t="shared" si="6"/>
        <v>--</v>
      </c>
      <c r="W32" s="38"/>
      <c r="X32" s="39"/>
      <c r="Y32" s="14"/>
      <c r="Z32" s="14"/>
      <c r="AA32" s="14"/>
      <c r="AB32" s="39"/>
      <c r="AC32" s="27"/>
      <c r="AD32" s="28">
        <f>SUMIFS(Table1[Amount $],Table1[Category],Snapshot!AC32,Table1[Month],Snapshot!$W$4)*-1</f>
        <v>0</v>
      </c>
      <c r="AE32" s="25">
        <f>RANK(AD32,$AD$6:$AD$35,0)+COUNTIF(AD$6:$AD32,AD32)-1</f>
        <v>27</v>
      </c>
      <c r="AF32" s="25"/>
      <c r="AG32" s="25"/>
      <c r="AH32" s="25"/>
      <c r="AJ32" s="30">
        <f t="shared" si="3"/>
        <v>36552</v>
      </c>
      <c r="AK32" s="30">
        <f t="shared" si="4"/>
        <v>44282</v>
      </c>
      <c r="AL32" s="31">
        <f>SUMIFS(Table1[Amount $],Table1[Category Type],"Expense",Table1[Date],Snapshot!AK32)*-1</f>
        <v>0</v>
      </c>
      <c r="AM32" s="31" t="e">
        <f ca="1">IF(AK32&gt;TODAY(),NA(),SUM(AL$6:$AL32))</f>
        <v>#N/A</v>
      </c>
      <c r="AN32" s="31" t="e">
        <f t="shared" ca="1" si="1"/>
        <v>#N/A</v>
      </c>
      <c r="AO32" s="30">
        <f t="shared" si="5"/>
        <v>44254</v>
      </c>
      <c r="AP32" s="31">
        <f>SUMIFS(Table1[Amount $],Table1[Category Type],"Expense",Table1[Date],Snapshot!AO32)*-1</f>
        <v>44.76</v>
      </c>
      <c r="AQ32" s="31">
        <f>IF(AO32&lt;=EOMONTH($AO$6,0),SUM(AP$6:$AP32),NA())</f>
        <v>2623.8100000000004</v>
      </c>
      <c r="AR32" s="31" t="e">
        <f t="shared" si="2"/>
        <v>#N/A</v>
      </c>
      <c r="AT32" s="25" t="str">
        <v>Disneyplus Ca Disneyplus</v>
      </c>
      <c r="AU32" s="32">
        <f>IF(ISBLANK(AT32),"",SUMIFS(Table1[Amount $],Table1[Merchant],Snapshot!AT32,Table1[Month],Snapshot!$W$4)*-1)</f>
        <v>69.989999999999995</v>
      </c>
      <c r="AV32" s="25">
        <f>IF(ISBLANK(AT32),"",COUNTIFS(Table1[Merchant],Snapshot!AT32,Table1[Month],Snapshot!$W$4))</f>
        <v>1</v>
      </c>
      <c r="AW32" s="25">
        <f>IFERROR(RANK(AV32,$AV$6:$AV$200)+COUNTIF($AV$6:AV32,AV32)-1,"")</f>
        <v>27</v>
      </c>
      <c r="AX32" s="25">
        <f>IFERROR(RANK(AU32,$AU$6:$AU$200)+COUNTIF($AU$6:AU32,AU32)-1,"")</f>
        <v>10</v>
      </c>
    </row>
    <row r="33" spans="2:50" ht="14.85" customHeight="1" x14ac:dyDescent="0.25">
      <c r="C33" s="41"/>
      <c r="T33" s="43"/>
      <c r="V33" s="38" t="str">
        <f t="shared" si="6"/>
        <v>--</v>
      </c>
      <c r="W33" s="38"/>
      <c r="X33" s="39"/>
      <c r="Y33" s="14"/>
      <c r="Z33" s="14"/>
      <c r="AA33" s="14"/>
      <c r="AB33" s="39"/>
      <c r="AC33" s="27"/>
      <c r="AD33" s="28">
        <f>SUMIFS(Table1[Amount $],Table1[Category],Snapshot!AC33,Table1[Month],Snapshot!$W$4)*-1</f>
        <v>0</v>
      </c>
      <c r="AE33" s="25">
        <f>RANK(AD33,$AD$6:$AD$35,0)+COUNTIF(AD$6:$AD33,AD33)-1</f>
        <v>28</v>
      </c>
      <c r="AF33" s="25"/>
      <c r="AG33" s="25"/>
      <c r="AH33" s="25"/>
      <c r="AJ33" s="30">
        <f t="shared" si="3"/>
        <v>36553</v>
      </c>
      <c r="AK33" s="30">
        <f t="shared" si="4"/>
        <v>44283</v>
      </c>
      <c r="AL33" s="31">
        <f>SUMIFS(Table1[Amount $],Table1[Category Type],"Expense",Table1[Date],Snapshot!AK33)*-1</f>
        <v>0</v>
      </c>
      <c r="AM33" s="31" t="e">
        <f ca="1">IF(AK33&gt;TODAY(),NA(),SUM(AL$6:$AL33))</f>
        <v>#N/A</v>
      </c>
      <c r="AN33" s="31" t="e">
        <f t="shared" ca="1" si="1"/>
        <v>#N/A</v>
      </c>
      <c r="AO33" s="30">
        <f t="shared" si="5"/>
        <v>44255</v>
      </c>
      <c r="AP33" s="31">
        <f>SUMIFS(Table1[Amount $],Table1[Category Type],"Expense",Table1[Date],Snapshot!AO33)*-1</f>
        <v>159.83999999999997</v>
      </c>
      <c r="AQ33" s="31">
        <f>IF(AO33&lt;=EOMONTH($AO$6,0),SUM(AP$6:$AP33),NA())</f>
        <v>2783.6500000000005</v>
      </c>
      <c r="AR33" s="31">
        <f t="shared" si="2"/>
        <v>2783.6500000000005</v>
      </c>
      <c r="AT33" s="25" t="str">
        <v>Netflix</v>
      </c>
      <c r="AU33" s="32">
        <f>IF(ISBLANK(AT33),"",SUMIFS(Table1[Amount $],Table1[Merchant],Snapshot!AT33,Table1[Month],Snapshot!$W$4)*-1)</f>
        <v>13.99</v>
      </c>
      <c r="AV33" s="25">
        <f>IF(ISBLANK(AT33),"",COUNTIFS(Table1[Merchant],Snapshot!AT33,Table1[Month],Snapshot!$W$4))</f>
        <v>1</v>
      </c>
      <c r="AW33" s="25">
        <f>IFERROR(RANK(AV33,$AV$6:$AV$200)+COUNTIF($AV$6:AV33,AV33)-1,"")</f>
        <v>28</v>
      </c>
      <c r="AX33" s="25">
        <f>IFERROR(RANK(AU33,$AU$6:$AU$200)+COUNTIF($AU$6:AU33,AU33)-1,"")</f>
        <v>20</v>
      </c>
    </row>
    <row r="34" spans="2:50" ht="14.85" customHeight="1" x14ac:dyDescent="0.25">
      <c r="C34" s="41"/>
      <c r="T34" s="43"/>
      <c r="V34" s="38" t="str">
        <f t="shared" si="6"/>
        <v>--</v>
      </c>
      <c r="W34" s="38"/>
      <c r="X34" s="39"/>
      <c r="Y34" s="14"/>
      <c r="Z34" s="14"/>
      <c r="AA34" s="14"/>
      <c r="AB34" s="39"/>
      <c r="AC34" s="27"/>
      <c r="AD34" s="28">
        <f>SUMIFS(Table1[Amount $],Table1[Category],Snapshot!AC34,Table1[Month],Snapshot!$W$4)*-1</f>
        <v>0</v>
      </c>
      <c r="AE34" s="25">
        <f>RANK(AD34,$AD$6:$AD$35,0)+COUNTIF(AD$6:$AD34,AD34)-1</f>
        <v>29</v>
      </c>
      <c r="AF34" s="25"/>
      <c r="AG34" s="25"/>
      <c r="AH34" s="25"/>
      <c r="AJ34" s="30">
        <f t="shared" si="3"/>
        <v>36554</v>
      </c>
      <c r="AK34" s="30">
        <f t="shared" si="4"/>
        <v>44284</v>
      </c>
      <c r="AL34" s="31">
        <f>SUMIFS(Table1[Amount $],Table1[Category Type],"Expense",Table1[Date],Snapshot!AK34)*-1</f>
        <v>0</v>
      </c>
      <c r="AM34" s="31" t="e">
        <f ca="1">IF(AK34&gt;TODAY(),NA(),SUM(AL$6:$AL34))</f>
        <v>#N/A</v>
      </c>
      <c r="AN34" s="31" t="e">
        <f t="shared" ca="1" si="1"/>
        <v>#N/A</v>
      </c>
      <c r="AO34" s="30" t="e">
        <f t="shared" si="5"/>
        <v>#N/A</v>
      </c>
      <c r="AP34" s="31">
        <f>SUMIFS(Table1[Amount $],Table1[Category Type],"Expense",Table1[Date],Snapshot!AO34)*-1</f>
        <v>0</v>
      </c>
      <c r="AQ34" s="31" t="e">
        <f>IF(AO34&lt;=EOMONTH($AO$6,0),SUM(AP$6:$AP34),NA())</f>
        <v>#N/A</v>
      </c>
      <c r="AR34" s="31" t="e">
        <f t="shared" si="2"/>
        <v>#N/A</v>
      </c>
      <c r="AT34" s="25"/>
      <c r="AU34" s="32" t="str">
        <f>IF(ISBLANK(AT34),"",SUMIFS(Table1[Amount $],Table1[Merchant],Snapshot!AT34,Table1[Month],Snapshot!$W$4)*-1)</f>
        <v/>
      </c>
      <c r="AV34" s="25" t="str">
        <f>IF(ISBLANK(AT34),"",COUNTIFS(Table1[Merchant],Snapshot!AT34,Table1[Month],Snapshot!$W$4))</f>
        <v/>
      </c>
      <c r="AW34" s="25" t="str">
        <f>IFERROR(RANK(AV34,$AV$6:$AV$200)+COUNTIF($AV$6:AV34,AV34)-1,"")</f>
        <v/>
      </c>
      <c r="AX34" s="25" t="str">
        <f>IFERROR(RANK(AU34,$AU$6:$AU$200)+COUNTIF($AU$6:AU34,AU34)-1,"")</f>
        <v/>
      </c>
    </row>
    <row r="35" spans="2:50" ht="14.85" customHeight="1" x14ac:dyDescent="0.25">
      <c r="C35" s="41"/>
      <c r="T35" s="43"/>
      <c r="V35" s="38" t="str">
        <f t="shared" si="6"/>
        <v>--</v>
      </c>
      <c r="W35" s="38"/>
      <c r="X35" s="39"/>
      <c r="Y35" s="14"/>
      <c r="Z35" s="14"/>
      <c r="AA35" s="14"/>
      <c r="AB35" s="39"/>
      <c r="AC35" s="27"/>
      <c r="AD35" s="28">
        <f>SUMIFS(Table1[Amount $],Table1[Category],Snapshot!AC35,Table1[Month],Snapshot!$W$4)*-1</f>
        <v>0</v>
      </c>
      <c r="AE35" s="25">
        <f>RANK(AD35,$AD$6:$AD$35,0)+COUNTIF(AD$6:$AD35,AD35)-1</f>
        <v>30</v>
      </c>
      <c r="AF35" s="25"/>
      <c r="AG35" s="25"/>
      <c r="AH35" s="25"/>
      <c r="AJ35" s="30">
        <f t="shared" si="3"/>
        <v>36555</v>
      </c>
      <c r="AK35" s="30">
        <f t="shared" si="4"/>
        <v>44285</v>
      </c>
      <c r="AL35" s="31">
        <f>SUMIFS(Table1[Amount $],Table1[Category Type],"Expense",Table1[Date],Snapshot!AK35)*-1</f>
        <v>0</v>
      </c>
      <c r="AM35" s="31" t="e">
        <f ca="1">IF(AK35&gt;TODAY(),NA(),SUM(AL$6:$AL35))</f>
        <v>#N/A</v>
      </c>
      <c r="AN35" s="31" t="e">
        <f t="shared" ca="1" si="1"/>
        <v>#N/A</v>
      </c>
      <c r="AO35" s="30" t="e">
        <f t="shared" si="5"/>
        <v>#N/A</v>
      </c>
      <c r="AP35" s="31">
        <f>SUMIFS(Table1[Amount $],Table1[Category Type],"Expense",Table1[Date],Snapshot!AO35)*-1</f>
        <v>0</v>
      </c>
      <c r="AQ35" s="31" t="e">
        <f>IF(AO35&lt;=EOMONTH($AO$6,0),SUM(AP$6:$AP35),NA())</f>
        <v>#N/A</v>
      </c>
      <c r="AR35" s="31" t="e">
        <f t="shared" si="2"/>
        <v>#N/A</v>
      </c>
      <c r="AT35" s="25"/>
      <c r="AU35" s="32" t="str">
        <f>IF(ISBLANK(AT35),"",SUMIFS(Table1[Amount $],Table1[Merchant],Snapshot!AT35,Table1[Month],Snapshot!$W$4)*-1)</f>
        <v/>
      </c>
      <c r="AV35" s="25" t="str">
        <f>IF(ISBLANK(AT35),"",COUNTIFS(Table1[Merchant],Snapshot!AT35,Table1[Month],Snapshot!$W$4))</f>
        <v/>
      </c>
      <c r="AW35" s="25" t="str">
        <f>IFERROR(RANK(AV35,$AV$6:$AV$200)+COUNTIF($AV$6:AV35,AV35)-1,"")</f>
        <v/>
      </c>
      <c r="AX35" s="25" t="str">
        <f>IFERROR(RANK(AU35,$AU$6:$AU$200)+COUNTIF($AU$6:AU35,AU35)-1,"")</f>
        <v/>
      </c>
    </row>
    <row r="36" spans="2:50" ht="14.85" customHeight="1" x14ac:dyDescent="0.25">
      <c r="C36" s="41"/>
      <c r="T36" s="43"/>
      <c r="V36" s="38" t="str">
        <f t="shared" si="6"/>
        <v>--</v>
      </c>
      <c r="W36" s="38"/>
      <c r="X36" s="39"/>
      <c r="Y36" s="14"/>
      <c r="Z36" s="14"/>
      <c r="AA36" s="14"/>
      <c r="AB36" s="39"/>
      <c r="AC36" s="14"/>
      <c r="AD36" s="14"/>
      <c r="AE36" s="14"/>
      <c r="AF36" s="14"/>
      <c r="AG36" s="14"/>
      <c r="AH36" s="14"/>
      <c r="AJ36" s="30">
        <f t="shared" si="3"/>
        <v>36556</v>
      </c>
      <c r="AK36" s="30">
        <f t="shared" si="4"/>
        <v>44286</v>
      </c>
      <c r="AL36" s="31">
        <f>SUMIFS(Table1[Amount $],Table1[Category Type],"Expense",Table1[Date],Snapshot!AK36)*-1</f>
        <v>0</v>
      </c>
      <c r="AM36" s="31" t="e">
        <f ca="1">IF(AK36&gt;TODAY(),NA(),SUM(AL$6:$AL36))</f>
        <v>#N/A</v>
      </c>
      <c r="AN36" s="31" t="e">
        <f t="shared" ca="1" si="1"/>
        <v>#N/A</v>
      </c>
      <c r="AO36" s="30" t="e">
        <f t="shared" si="5"/>
        <v>#N/A</v>
      </c>
      <c r="AP36" s="31">
        <f>SUMIFS(Table1[Amount $],Table1[Category Type],"Expense",Table1[Date],Snapshot!AO36)*-1</f>
        <v>0</v>
      </c>
      <c r="AQ36" s="31" t="e">
        <f>IF(AO36&lt;=EOMONTH($AO$6,0),SUM(AP$6:$AP36),NA())</f>
        <v>#N/A</v>
      </c>
      <c r="AR36" s="31" t="e">
        <f t="shared" si="2"/>
        <v>#N/A</v>
      </c>
      <c r="AT36" s="25"/>
      <c r="AU36" s="32" t="str">
        <f>IF(ISBLANK(AT36),"",SUMIFS(Table1[Amount $],Table1[Merchant],Snapshot!AT36,Table1[Month],Snapshot!$W$4)*-1)</f>
        <v/>
      </c>
      <c r="AV36" s="25" t="str">
        <f>IF(ISBLANK(AT36),"",COUNTIFS(Table1[Merchant],Snapshot!AT36,Table1[Month],Snapshot!$W$4))</f>
        <v/>
      </c>
      <c r="AW36" s="25" t="str">
        <f>IFERROR(RANK(AV36,$AV$6:$AV$200)+COUNTIF($AV$6:AV36,AV36)-1,"")</f>
        <v/>
      </c>
      <c r="AX36" s="25" t="str">
        <f>IFERROR(RANK(AU36,$AU$6:$AU$200)+COUNTIF($AU$6:AU36,AU36)-1,"")</f>
        <v/>
      </c>
    </row>
    <row r="37" spans="2:50" ht="14.85" customHeight="1" x14ac:dyDescent="0.25">
      <c r="C37" s="41"/>
      <c r="T37" s="43"/>
      <c r="V37" s="38" t="str">
        <f t="shared" si="6"/>
        <v>--</v>
      </c>
      <c r="W37" s="38"/>
      <c r="X37" s="39"/>
      <c r="AB37" s="39"/>
      <c r="AJ37" s="25"/>
      <c r="AK37" s="25"/>
      <c r="AL37" s="25"/>
      <c r="AM37" s="25"/>
      <c r="AN37" s="25"/>
      <c r="AO37" s="25"/>
      <c r="AP37" s="25"/>
      <c r="AQ37" s="25"/>
      <c r="AR37" s="25"/>
      <c r="AT37" s="25"/>
      <c r="AU37" s="32" t="str">
        <f>IF(ISBLANK(AT37),"",SUMIFS(Table1[Amount $],Table1[Merchant],Snapshot!AT37,Table1[Month],Snapshot!$W$4)*-1)</f>
        <v/>
      </c>
      <c r="AV37" s="25" t="str">
        <f>IF(ISBLANK(AT37),"",COUNTIFS(Table1[Merchant],Snapshot!AT37,Table1[Month],Snapshot!$W$4))</f>
        <v/>
      </c>
      <c r="AW37" s="25" t="str">
        <f>IFERROR(RANK(AV37,$AV$6:$AV$200)+COUNTIF($AV$6:AV37,AV37)-1,"")</f>
        <v/>
      </c>
      <c r="AX37" s="25" t="str">
        <f>IFERROR(RANK(AU37,$AU$6:$AU$200)+COUNTIF($AU$6:AU37,AU37)-1,"")</f>
        <v/>
      </c>
    </row>
    <row r="38" spans="2:50" ht="14.85" customHeight="1" x14ac:dyDescent="0.25">
      <c r="C38" s="41"/>
      <c r="T38" s="43"/>
      <c r="V38" s="38" t="str">
        <f t="shared" si="6"/>
        <v>--</v>
      </c>
      <c r="W38" s="38"/>
      <c r="X38" s="39"/>
      <c r="AB38" s="39"/>
      <c r="AJ38" s="25"/>
      <c r="AK38" s="30">
        <f ca="1">TODAY()</f>
        <v>44273</v>
      </c>
      <c r="AL38" s="25"/>
      <c r="AM38" s="28" cm="1">
        <f t="array" aca="1" ref="AM38" ca="1">INDEX(AM6:AM36,MATCH(AK38,AK6:AK36,0),0)</f>
        <v>1616.0099999999998</v>
      </c>
      <c r="AN38" s="28"/>
      <c r="AO38" s="30">
        <f ca="1">DATE(YEAR(AK38),MONTH(AK38)-1,DAY(AK38))</f>
        <v>44245</v>
      </c>
      <c r="AP38" s="25"/>
      <c r="AQ38" s="28" cm="1">
        <f t="array" aca="1" ref="AQ38" ca="1">INDEX(AQ6:AQ36,MATCH(AO38,AO6:AO36,0),0)</f>
        <v>1175.99</v>
      </c>
      <c r="AR38" s="28"/>
      <c r="AT38" s="25"/>
      <c r="AU38" s="32" t="str">
        <f>IF(ISBLANK(AT38),"",SUMIFS(Table1[Amount $],Table1[Merchant],Snapshot!AT38,Table1[Month],Snapshot!$W$4)*-1)</f>
        <v/>
      </c>
      <c r="AV38" s="25" t="str">
        <f>IF(ISBLANK(AT38),"",COUNTIFS(Table1[Merchant],Snapshot!AT38,Table1[Month],Snapshot!$W$4))</f>
        <v/>
      </c>
      <c r="AW38" s="25" t="str">
        <f>IFERROR(RANK(AV38,$AV$6:$AV$200)+COUNTIF($AV$6:AV38,AV38)-1,"")</f>
        <v/>
      </c>
      <c r="AX38" s="25" t="str">
        <f>IFERROR(RANK(AU38,$AU$6:$AU$200)+COUNTIF($AU$6:AU38,AU38)-1,"")</f>
        <v/>
      </c>
    </row>
    <row r="39" spans="2:50" ht="14.85" customHeight="1" x14ac:dyDescent="0.25">
      <c r="C39" s="41"/>
      <c r="T39" s="43"/>
      <c r="V39" s="38" t="str">
        <f t="shared" si="6"/>
        <v>--</v>
      </c>
      <c r="W39" s="38"/>
      <c r="X39" s="39"/>
      <c r="AB39" s="39"/>
      <c r="AJ39" s="25"/>
      <c r="AK39" s="30" t="str">
        <f ca="1">IF(AM38&gt;AQ38,"Spent "&amp;TEXT(AM38-AQ38,"$#,##0")&amp;" more","Spent "&amp;TEXT((AM38-AQ38)*-1,"$#,##0")&amp;" less")&amp;" than this time last month"</f>
        <v>Spent $440 more than this time last month</v>
      </c>
      <c r="AL39" s="25"/>
      <c r="AM39" s="25"/>
      <c r="AN39" s="25"/>
      <c r="AO39" s="25"/>
      <c r="AP39" s="25"/>
      <c r="AQ39" s="25"/>
      <c r="AR39" s="25"/>
      <c r="AT39" s="25"/>
      <c r="AU39" s="32" t="str">
        <f>IF(ISBLANK(AT39),"",SUMIFS(Table1[Amount $],Table1[Merchant],Snapshot!AT39,Table1[Month],Snapshot!$W$4)*-1)</f>
        <v/>
      </c>
      <c r="AV39" s="25" t="str">
        <f>IF(ISBLANK(AT39),"",COUNTIFS(Table1[Merchant],Snapshot!AT39,Table1[Month],Snapshot!$W$4))</f>
        <v/>
      </c>
      <c r="AW39" s="25" t="str">
        <f>IFERROR(RANK(AV39,$AV$6:$AV$200)+COUNTIF($AV$6:AV39,AV39)-1,"")</f>
        <v/>
      </c>
      <c r="AX39" s="25" t="str">
        <f>IFERROR(RANK(AU39,$AU$6:$AU$200)+COUNTIF($AU$6:AU39,AU39)-1,"")</f>
        <v/>
      </c>
    </row>
    <row r="40" spans="2:50" ht="14.85" customHeight="1" x14ac:dyDescent="0.25">
      <c r="C40" s="41"/>
      <c r="T40" s="43"/>
      <c r="V40" s="38" t="str">
        <f t="shared" si="6"/>
        <v>--</v>
      </c>
      <c r="W40" s="38"/>
      <c r="X40" s="39"/>
      <c r="AB40" s="39"/>
      <c r="AJ40" s="25"/>
      <c r="AK40" s="30"/>
      <c r="AL40" s="25"/>
      <c r="AM40" s="25"/>
      <c r="AN40" s="25"/>
      <c r="AO40" s="25"/>
      <c r="AP40" s="25"/>
      <c r="AQ40" s="25"/>
      <c r="AR40" s="25"/>
      <c r="AT40" s="25"/>
      <c r="AU40" s="32" t="str">
        <f>IF(ISBLANK(AT40),"",SUMIFS(Table1[Amount $],Table1[Merchant],Snapshot!AT40,Table1[Month],Snapshot!$W$4)*-1)</f>
        <v/>
      </c>
      <c r="AV40" s="25" t="str">
        <f>IF(ISBLANK(AT40),"",COUNTIFS(Table1[Merchant],Snapshot!AT40,Table1[Month],Snapshot!$W$4))</f>
        <v/>
      </c>
      <c r="AW40" s="25" t="str">
        <f>IFERROR(RANK(AV40,$AV$6:$AV$200)+COUNTIF($AV$6:AV40,AV40)-1,"")</f>
        <v/>
      </c>
      <c r="AX40" s="25" t="str">
        <f>IFERROR(RANK(AU40,$AU$6:$AU$200)+COUNTIF($AU$6:AU40,AU40)-1,"")</f>
        <v/>
      </c>
    </row>
    <row r="41" spans="2:50" ht="14.85" customHeight="1" x14ac:dyDescent="0.25">
      <c r="C41" s="41"/>
      <c r="T41" s="43"/>
      <c r="V41" s="38" t="str">
        <f t="shared" si="6"/>
        <v>--</v>
      </c>
      <c r="W41" s="38"/>
      <c r="AJ41" s="25"/>
      <c r="AK41" s="30">
        <f>IFERROR(MAX(AK6:AK36),IFERROR(AK35,IF(AK34,AK33)))</f>
        <v>44286</v>
      </c>
      <c r="AL41" s="25"/>
      <c r="AM41" s="28" t="e" cm="1">
        <f t="array" aca="1" ref="AM41" ca="1">INDEX(AM6:AM36,MATCH(AK41,AK6:AK36,0),0)</f>
        <v>#N/A</v>
      </c>
      <c r="AN41" s="28"/>
      <c r="AO41" s="30" t="e">
        <f>IFERROR(MAX(AO6:AO36),IFERROR(AO35,IF(AO34,AO33)))</f>
        <v>#N/A</v>
      </c>
      <c r="AP41" s="25"/>
      <c r="AQ41" s="28" t="e" cm="1">
        <f t="array" ref="AQ41">INDEX(AQ6:AQ36,MATCH(AO41,AO6:AO36,0),0)</f>
        <v>#N/A</v>
      </c>
      <c r="AR41" s="28"/>
      <c r="AT41" s="25"/>
      <c r="AU41" s="32" t="str">
        <f>IF(ISBLANK(AT41),"",SUMIFS(Table1[Amount $],Table1[Merchant],Snapshot!AT41,Table1[Month],Snapshot!$W$4)*-1)</f>
        <v/>
      </c>
      <c r="AV41" s="25" t="str">
        <f>IF(ISBLANK(AT41),"",COUNTIFS(Table1[Merchant],Snapshot!AT41,Table1[Month],Snapshot!$W$4))</f>
        <v/>
      </c>
      <c r="AW41" s="25" t="str">
        <f>IFERROR(RANK(AV41,$AV$6:$AV$200)+COUNTIF($AV$6:AV41,AV41)-1,"")</f>
        <v/>
      </c>
      <c r="AX41" s="25" t="str">
        <f>IFERROR(RANK(AU41,$AU$6:$AU$200)+COUNTIF($AU$6:AU41,AU41)-1,"")</f>
        <v/>
      </c>
    </row>
    <row r="42" spans="2:50" ht="14.85" customHeight="1" thickBot="1" x14ac:dyDescent="0.3">
      <c r="C42" s="71"/>
      <c r="D42" s="80"/>
      <c r="E42" s="81"/>
      <c r="F42" s="72"/>
      <c r="G42" s="72"/>
      <c r="H42" s="72"/>
      <c r="I42" s="72"/>
      <c r="J42" s="72"/>
      <c r="K42" s="72"/>
      <c r="L42" s="72"/>
      <c r="M42" s="72"/>
      <c r="N42" s="81"/>
      <c r="O42" s="72"/>
      <c r="P42" s="72"/>
      <c r="Q42" s="72"/>
      <c r="R42" s="72"/>
      <c r="S42" s="72"/>
      <c r="T42" s="73"/>
      <c r="V42" s="38" t="str">
        <f t="shared" si="6"/>
        <v>--</v>
      </c>
      <c r="W42" s="38"/>
      <c r="AJ42" s="25"/>
      <c r="AK42" s="30" t="e">
        <f ca="1">"Compared to "&amp;TEXT(AO6,"mmmm")&amp;", you "&amp;IF(AM41&gt;AQ41,"spent "&amp;TEXT(AM41-AQ41,"$#,##0")&amp;" more","spent "&amp;TEXT((AM41-AQ41)*-1,"$#,##0")&amp;" less")</f>
        <v>#N/A</v>
      </c>
      <c r="AL42" s="25"/>
      <c r="AM42" s="25"/>
      <c r="AN42" s="25"/>
      <c r="AO42" s="25"/>
      <c r="AP42" s="25"/>
      <c r="AQ42" s="25"/>
      <c r="AR42" s="25"/>
      <c r="AT42" s="25"/>
      <c r="AU42" s="32" t="str">
        <f>IF(ISBLANK(AT42),"",SUMIFS(Table1[Amount $],Table1[Merchant],Snapshot!AT42,Table1[Month],Snapshot!$W$4)*-1)</f>
        <v/>
      </c>
      <c r="AV42" s="25" t="str">
        <f>IF(ISBLANK(AT42),"",COUNTIFS(Table1[Merchant],Snapshot!AT42,Table1[Month],Snapshot!$W$4))</f>
        <v/>
      </c>
      <c r="AW42" s="25" t="str">
        <f>IFERROR(RANK(AV42,$AV$6:$AV$200)+COUNTIF($AV$6:AV42,AV42)-1,"")</f>
        <v/>
      </c>
      <c r="AX42" s="25" t="str">
        <f>IFERROR(RANK(AU42,$AU$6:$AU$200)+COUNTIF($AU$6:AU42,AU42)-1,"")</f>
        <v/>
      </c>
    </row>
    <row r="43" spans="2:50" ht="14.85" customHeight="1" thickBot="1" x14ac:dyDescent="0.3">
      <c r="V43" s="38" t="str">
        <f t="shared" si="6"/>
        <v>--</v>
      </c>
      <c r="W43" s="38"/>
      <c r="AK43" s="12"/>
      <c r="AM43" s="14"/>
      <c r="AN43" s="14"/>
      <c r="AO43" s="14"/>
      <c r="AP43" s="14"/>
      <c r="AT43" s="25"/>
      <c r="AU43" s="32" t="str">
        <f>IF(ISBLANK(AT43),"",SUMIFS(Table1[Amount $],Table1[Merchant],Snapshot!AT43,Table1[Month],Snapshot!$W$4)*-1)</f>
        <v/>
      </c>
      <c r="AV43" s="25" t="str">
        <f>IF(ISBLANK(AT43),"",COUNTIFS(Table1[Merchant],Snapshot!AT43,Table1[Month],Snapshot!$W$4))</f>
        <v/>
      </c>
      <c r="AW43" s="25" t="str">
        <f>IFERROR(RANK(AV43,$AV$6:$AV$200)+COUNTIF($AV$6:AV43,AV43)-1,"")</f>
        <v/>
      </c>
      <c r="AX43" s="25" t="str">
        <f>IFERROR(RANK(AU43,$AU$6:$AU$200)+COUNTIF($AU$6:AU43,AU43)-1,"")</f>
        <v/>
      </c>
    </row>
    <row r="44" spans="2:50" ht="20.100000000000001" customHeight="1" x14ac:dyDescent="0.3">
      <c r="C44" s="33"/>
      <c r="D44" s="82" t="s">
        <v>25</v>
      </c>
      <c r="E44" s="36"/>
      <c r="F44" s="36"/>
      <c r="G44" s="36"/>
      <c r="H44" s="36"/>
      <c r="I44" s="36"/>
      <c r="J44" s="83"/>
      <c r="L44" s="33"/>
      <c r="M44" s="82" t="s">
        <v>26</v>
      </c>
      <c r="N44" s="36"/>
      <c r="O44" s="36"/>
      <c r="P44" s="36"/>
      <c r="Q44" s="36"/>
      <c r="R44" s="36"/>
      <c r="S44" s="36"/>
      <c r="T44" s="83"/>
      <c r="V44" s="38" t="str">
        <f t="shared" si="6"/>
        <v>--</v>
      </c>
      <c r="W44" s="38"/>
      <c r="AK44" s="12"/>
      <c r="AM44" s="14"/>
      <c r="AN44" s="14"/>
      <c r="AO44" s="14"/>
      <c r="AP44" s="14"/>
      <c r="AT44" s="25"/>
      <c r="AU44" s="32" t="str">
        <f>IF(ISBLANK(AT44),"",SUMIFS(Table1[Amount $],Table1[Merchant],Snapshot!AT44,Table1[Month],Snapshot!$W$4)*-1)</f>
        <v/>
      </c>
      <c r="AV44" s="25" t="str">
        <f>IF(ISBLANK(AT44),"",COUNTIFS(Table1[Merchant],Snapshot!AT44,Table1[Month],Snapshot!$W$4))</f>
        <v/>
      </c>
      <c r="AW44" s="25" t="str">
        <f>IFERROR(RANK(AV44,$AV$6:$AV$200)+COUNTIF($AV$6:AV44,AV44)-1,"")</f>
        <v/>
      </c>
      <c r="AX44" s="25" t="str">
        <f>IFERROR(RANK(AU44,$AU$6:$AU$200)+COUNTIF($AU$6:AU44,AU44)-1,"")</f>
        <v/>
      </c>
    </row>
    <row r="45" spans="2:50" ht="14.85" customHeight="1" x14ac:dyDescent="0.25">
      <c r="C45" s="41"/>
      <c r="J45" s="43"/>
      <c r="L45" s="41"/>
      <c r="T45" s="84"/>
      <c r="V45" s="38" t="str">
        <f t="shared" si="6"/>
        <v>--</v>
      </c>
      <c r="W45" s="38"/>
      <c r="AK45" s="12"/>
      <c r="AM45" s="14"/>
      <c r="AN45" s="14"/>
      <c r="AO45" s="14"/>
      <c r="AP45" s="14"/>
      <c r="AT45" s="25"/>
      <c r="AU45" s="32" t="str">
        <f>IF(ISBLANK(AT45),"",SUMIFS(Table1[Amount $],Table1[Merchant],Snapshot!AT45,Table1[Month],Snapshot!$W$4)*-1)</f>
        <v/>
      </c>
      <c r="AV45" s="25" t="str">
        <f>IF(ISBLANK(AT45),"",COUNTIFS(Table1[Merchant],Snapshot!AT45,Table1[Month],Snapshot!$W$4))</f>
        <v/>
      </c>
      <c r="AW45" s="25" t="str">
        <f>IFERROR(RANK(AV45,$AV$6:$AV$200)+COUNTIF($AV$6:AV45,AV45)-1,"")</f>
        <v/>
      </c>
      <c r="AX45" s="25" t="str">
        <f>IFERROR(RANK(AU45,$AU$6:$AU$200)+COUNTIF($AU$6:AU45,AU45)-1,"")</f>
        <v/>
      </c>
    </row>
    <row r="46" spans="2:50" ht="14.85" customHeight="1" x14ac:dyDescent="0.25">
      <c r="C46" s="41"/>
      <c r="D46" s="85" t="s">
        <v>27</v>
      </c>
      <c r="E46" s="85"/>
      <c r="F46" s="85"/>
      <c r="G46" s="86" t="s">
        <v>5</v>
      </c>
      <c r="H46" s="86"/>
      <c r="I46" s="86" t="s">
        <v>28</v>
      </c>
      <c r="J46" s="87"/>
      <c r="L46" s="41"/>
      <c r="M46" s="85" t="s">
        <v>27</v>
      </c>
      <c r="N46" s="85"/>
      <c r="O46" s="85"/>
      <c r="P46" s="85"/>
      <c r="Q46" s="88" t="s">
        <v>4</v>
      </c>
      <c r="R46" s="86"/>
      <c r="S46" s="86" t="s">
        <v>28</v>
      </c>
      <c r="T46" s="89"/>
      <c r="V46" s="38" t="str">
        <f t="shared" si="6"/>
        <v>--</v>
      </c>
      <c r="W46" s="38"/>
      <c r="AK46" s="12"/>
      <c r="AM46" s="14"/>
      <c r="AN46" s="14"/>
      <c r="AO46" s="14"/>
      <c r="AP46" s="14"/>
      <c r="AT46" s="25"/>
      <c r="AU46" s="32" t="str">
        <f>IF(ISBLANK(AT46),"",SUMIFS(Table1[Amount $],Table1[Merchant],Snapshot!AT46,Table1[Month],Snapshot!$W$4)*-1)</f>
        <v/>
      </c>
      <c r="AV46" s="25" t="str">
        <f>IF(ISBLANK(AT46),"",COUNTIFS(Table1[Merchant],Snapshot!AT46,Table1[Month],Snapshot!$W$4))</f>
        <v/>
      </c>
      <c r="AW46" s="25" t="str">
        <f>IFERROR(RANK(AV46,$AV$6:$AV$200)+COUNTIF($AV$6:AV46,AV46)-1,"")</f>
        <v/>
      </c>
      <c r="AX46" s="25" t="str">
        <f>IFERROR(RANK(AU46,$AU$6:$AU$200)+COUNTIF($AU$6:AU46,AU46)-1,"")</f>
        <v/>
      </c>
    </row>
    <row r="47" spans="2:50" ht="14.85" customHeight="1" x14ac:dyDescent="0.25">
      <c r="B47" s="90">
        <v>1</v>
      </c>
      <c r="C47" s="91"/>
      <c r="D47" s="92" t="str" cm="1">
        <f t="array" ref="D47">IFERROR(INDEX($AT:$AT,MATCH($B47,$AW:$AW,0),0),"")</f>
        <v>Walmart</v>
      </c>
      <c r="E47" s="92"/>
      <c r="F47" s="92"/>
      <c r="G47" s="92" cm="1">
        <f t="array" ref="G47">IF(IFERROR(INDEX($AV:$AV,MATCH($B47,$AW:$AW,0),0),"")=0,"",IFERROR(INDEX($AV:$AV,MATCH($B47,$AW:$AW,0),0),""))</f>
        <v>4</v>
      </c>
      <c r="H47" s="92"/>
      <c r="I47" s="93" cm="1">
        <f t="array" ref="I47">IF(IFERROR(INDEX($AU:$AU,MATCH($B47,$AW:$AW,0),0),"")=0,"",IFERROR(INDEX($AU:$AU,MATCH($B47,$AW:$AW,0),0),""))</f>
        <v>128.37</v>
      </c>
      <c r="J47" s="94"/>
      <c r="L47" s="41"/>
      <c r="M47" s="92" t="str" cm="1">
        <f t="array" ref="M47">IFERROR(INDEX($AT:$AT,MATCH($B47,$AX:$AX,0),0),"")</f>
        <v>Interactive</v>
      </c>
      <c r="N47" s="92"/>
      <c r="O47" s="92"/>
      <c r="P47" s="92"/>
      <c r="Q47" s="95" t="str" cm="1">
        <f t="array" ref="Q47">IFERROR(INDEX(Table1[Category],MATCH(Snapshot!M47,Table1[Merchant],0),0),"")</f>
        <v>Education</v>
      </c>
      <c r="R47" s="92"/>
      <c r="S47" s="93" cm="1">
        <f t="array" ref="S47">IF(IFERROR(INDEX($AU:$AU,MATCH($B47,$AX:$AX,0),0),"")=0,"",IFERROR(INDEX($AU:$AU,MATCH($B47,$AX:$AX,0),0),""))</f>
        <v>350</v>
      </c>
      <c r="T47" s="96"/>
      <c r="U47" s="14"/>
      <c r="V47" s="38" t="str">
        <f t="shared" si="6"/>
        <v>--</v>
      </c>
      <c r="W47" s="38"/>
      <c r="AK47" s="12"/>
      <c r="AM47" s="14"/>
      <c r="AN47" s="14"/>
      <c r="AO47" s="14"/>
      <c r="AP47" s="14"/>
      <c r="AT47" s="25"/>
      <c r="AU47" s="32" t="str">
        <f>IF(ISBLANK(AT47),"",SUMIFS(Table1[Amount $],Table1[Merchant],Snapshot!AT47,Table1[Month],Snapshot!$W$4)*-1)</f>
        <v/>
      </c>
      <c r="AV47" s="25" t="str">
        <f>IF(ISBLANK(AT47),"",COUNTIFS(Table1[Merchant],Snapshot!AT47,Table1[Month],Snapshot!$W$4))</f>
        <v/>
      </c>
      <c r="AW47" s="25" t="str">
        <f>IFERROR(RANK(AV47,$AV$6:$AV$200)+COUNTIF($AV$6:AV47,AV47)-1,"")</f>
        <v/>
      </c>
      <c r="AX47" s="25" t="str">
        <f>IFERROR(RANK(AU47,$AU$6:$AU$200)+COUNTIF($AU$6:AU47,AU47)-1,"")</f>
        <v/>
      </c>
    </row>
    <row r="48" spans="2:50" ht="14.85" customHeight="1" x14ac:dyDescent="0.25">
      <c r="B48" s="90">
        <f>B47+1</f>
        <v>2</v>
      </c>
      <c r="C48" s="91"/>
      <c r="D48" s="25" t="str" cm="1">
        <f t="array" ref="D48">IFERROR(INDEX($AT:$AT,MATCH($B48,$AW:$AW,0),0),"")</f>
        <v>Exxonmobil</v>
      </c>
      <c r="E48" s="25"/>
      <c r="F48" s="25"/>
      <c r="G48" s="25" cm="1">
        <f t="array" ref="G48">IF(IFERROR(INDEX($AV:$AV,MATCH($B48,$AW:$AW,0),0),"")=0,"",IFERROR(INDEX($AV:$AV,MATCH($B48,$AW:$AW,0),0),""))</f>
        <v>3</v>
      </c>
      <c r="H48" s="25"/>
      <c r="I48" s="40" cm="1">
        <f t="array" ref="I48">IF(IFERROR(INDEX($AU:$AU,MATCH($B48,$AW:$AW,0),0),"")=0,"",IFERROR(INDEX($AU:$AU,MATCH($B48,$AW:$AW,0),0),""))</f>
        <v>60.069999999999993</v>
      </c>
      <c r="J48" s="94"/>
      <c r="L48" s="41"/>
      <c r="M48" s="25" t="str" cm="1">
        <f t="array" ref="M48">IFERROR(INDEX($AT:$AT,MATCH($B48,$AX:$AX,0),0),"")</f>
        <v>Venmo</v>
      </c>
      <c r="N48" s="25"/>
      <c r="O48" s="25"/>
      <c r="P48" s="25"/>
      <c r="Q48" s="97" t="str" cm="1">
        <f t="array" ref="Q48">IFERROR(INDEX(Table1[Category],MATCH(Snapshot!M48,Table1[Merchant],0),0),"")</f>
        <v>Bills/Utilities</v>
      </c>
      <c r="R48" s="25"/>
      <c r="S48" s="40" cm="1">
        <f t="array" ref="S48">IF(IFERROR(INDEX($AU:$AU,MATCH($B48,$AX:$AX,0),0),"")=0,"",IFERROR(INDEX($AU:$AU,MATCH($B48,$AX:$AX,0),0),""))</f>
        <v>150</v>
      </c>
      <c r="T48" s="96"/>
      <c r="V48" s="38" t="str">
        <f t="shared" si="6"/>
        <v>--</v>
      </c>
      <c r="W48" s="38"/>
      <c r="AK48" s="12"/>
      <c r="AM48" s="14"/>
      <c r="AN48" s="14"/>
      <c r="AO48" s="14"/>
      <c r="AP48" s="14"/>
      <c r="AT48" s="25"/>
      <c r="AU48" s="32" t="str">
        <f>IF(ISBLANK(AT48),"",SUMIFS(Table1[Amount $],Table1[Merchant],Snapshot!AT48,Table1[Month],Snapshot!$W$4)*-1)</f>
        <v/>
      </c>
      <c r="AV48" s="25" t="str">
        <f>IF(ISBLANK(AT48),"",COUNTIFS(Table1[Merchant],Snapshot!AT48,Table1[Month],Snapshot!$W$4))</f>
        <v/>
      </c>
      <c r="AW48" s="25" t="str">
        <f>IFERROR(RANK(AV48,$AV$6:$AV$200)+COUNTIF($AV$6:AV48,AV48)-1,"")</f>
        <v/>
      </c>
      <c r="AX48" s="25" t="str">
        <f>IFERROR(RANK(AU48,$AU$6:$AU$200)+COUNTIF($AU$6:AU48,AU48)-1,"")</f>
        <v/>
      </c>
    </row>
    <row r="49" spans="2:50" ht="14.85" customHeight="1" x14ac:dyDescent="0.25">
      <c r="B49" s="90">
        <f t="shared" ref="B49:B56" si="7">B48+1</f>
        <v>3</v>
      </c>
      <c r="C49" s="91"/>
      <c r="D49" s="14" t="str" cm="1">
        <f t="array" ref="D49">IFERROR(INDEX($AT:$AT,MATCH($B49,$AW:$AW,0),0),"")</f>
        <v>Apple Bill Ca Apple</v>
      </c>
      <c r="E49" s="14"/>
      <c r="F49" s="14"/>
      <c r="G49" s="14" cm="1">
        <f t="array" ref="G49">IF(IFERROR(INDEX($AV:$AV,MATCH($B49,$AW:$AW,0),0),"")=0,"",IFERROR(INDEX($AV:$AV,MATCH($B49,$AW:$AW,0),0),""))</f>
        <v>2</v>
      </c>
      <c r="H49" s="14"/>
      <c r="I49" s="51" cm="1">
        <f t="array" ref="I49">IF(IFERROR(INDEX($AU:$AU,MATCH($B49,$AW:$AW,0),0),"")=0,"",IFERROR(INDEX($AU:$AU,MATCH($B49,$AW:$AW,0),0),""))</f>
        <v>94.97999999999999</v>
      </c>
      <c r="J49" s="94"/>
      <c r="L49" s="41"/>
      <c r="M49" s="14" t="str" cm="1">
        <f t="array" ref="M49">IFERROR(INDEX($AT:$AT,MATCH($B49,$AX:$AX,0),0),"")</f>
        <v>Walmart</v>
      </c>
      <c r="N49" s="14"/>
      <c r="O49" s="14"/>
      <c r="P49" s="14"/>
      <c r="Q49" s="98" t="str" cm="1">
        <f t="array" ref="Q49">IFERROR(INDEX(Table1[Category],MATCH(Snapshot!M49,Table1[Merchant],0),0),"")</f>
        <v>Groceries</v>
      </c>
      <c r="R49" s="14"/>
      <c r="S49" s="51" cm="1">
        <f t="array" ref="S49">IF(IFERROR(INDEX($AU:$AU,MATCH($B49,$AX:$AX,0),0),"")=0,"",IFERROR(INDEX($AU:$AU,MATCH($B49,$AX:$AX,0),0),""))</f>
        <v>128.37</v>
      </c>
      <c r="T49" s="96"/>
      <c r="V49" s="38" t="str">
        <f t="shared" si="6"/>
        <v>--</v>
      </c>
      <c r="W49" s="38"/>
      <c r="AK49" s="12"/>
      <c r="AM49" s="14"/>
      <c r="AN49" s="14"/>
      <c r="AO49" s="14"/>
      <c r="AP49" s="14"/>
      <c r="AT49" s="25"/>
      <c r="AU49" s="32" t="str">
        <f>IF(ISBLANK(AT49),"",SUMIFS(Table1[Amount $],Table1[Merchant],Snapshot!AT49,Table1[Month],Snapshot!$W$4)*-1)</f>
        <v/>
      </c>
      <c r="AV49" s="25" t="str">
        <f>IF(ISBLANK(AT49),"",COUNTIFS(Table1[Merchant],Snapshot!AT49,Table1[Month],Snapshot!$W$4))</f>
        <v/>
      </c>
      <c r="AW49" s="25" t="str">
        <f>IFERROR(RANK(AV49,$AV$6:$AV$200)+COUNTIF($AV$6:AV49,AV49)-1,"")</f>
        <v/>
      </c>
      <c r="AX49" s="25" t="str">
        <f>IFERROR(RANK(AU49,$AU$6:$AU$200)+COUNTIF($AU$6:AU49,AU49)-1,"")</f>
        <v/>
      </c>
    </row>
    <row r="50" spans="2:50" ht="14.85" customHeight="1" x14ac:dyDescent="0.25">
      <c r="B50" s="90">
        <f t="shared" si="7"/>
        <v>4</v>
      </c>
      <c r="C50" s="91"/>
      <c r="D50" s="25" t="str" cm="1">
        <f t="array" ref="D50">IFERROR(INDEX($AT:$AT,MATCH($B50,$AW:$AW,0),0),"")</f>
        <v>Steam Games</v>
      </c>
      <c r="E50" s="25"/>
      <c r="F50" s="25"/>
      <c r="G50" s="25" cm="1">
        <f t="array" ref="G50">IF(IFERROR(INDEX($AV:$AV,MATCH($B50,$AW:$AW,0),0),"")=0,"",IFERROR(INDEX($AV:$AV,MATCH($B50,$AW:$AW,0),0),""))</f>
        <v>2</v>
      </c>
      <c r="H50" s="25"/>
      <c r="I50" s="40" cm="1">
        <f t="array" ref="I50">IF(IFERROR(INDEX($AU:$AU,MATCH($B50,$AW:$AW,0),0),"")=0,"",IFERROR(INDEX($AU:$AU,MATCH($B50,$AW:$AW,0),0),""))</f>
        <v>24.79</v>
      </c>
      <c r="J50" s="94"/>
      <c r="L50" s="41"/>
      <c r="M50" s="25" t="str" cm="1">
        <f t="array" ref="M50">IFERROR(INDEX($AT:$AT,MATCH($B50,$AX:$AX,0),0),"")</f>
        <v>Apple Bill Ca Apple</v>
      </c>
      <c r="N50" s="25"/>
      <c r="O50" s="25"/>
      <c r="P50" s="25"/>
      <c r="Q50" s="97" t="str" cm="1">
        <f t="array" ref="Q50">IFERROR(INDEX(Table1[Category],MATCH(Snapshot!M50,Table1[Merchant],0),0),"")</f>
        <v>Bills/Utilities</v>
      </c>
      <c r="R50" s="25"/>
      <c r="S50" s="40" cm="1">
        <f t="array" ref="S50">IF(IFERROR(INDEX($AU:$AU,MATCH($B50,$AX:$AX,0),0),"")=0,"",IFERROR(INDEX($AU:$AU,MATCH($B50,$AX:$AX,0),0),""))</f>
        <v>94.97999999999999</v>
      </c>
      <c r="T50" s="96"/>
      <c r="V50" s="38" t="str">
        <f t="shared" si="6"/>
        <v>--</v>
      </c>
      <c r="W50" s="38"/>
      <c r="AK50" s="12"/>
      <c r="AM50" s="14"/>
      <c r="AN50" s="14"/>
      <c r="AO50" s="14"/>
      <c r="AP50" s="14"/>
      <c r="AT50" s="25"/>
      <c r="AU50" s="32" t="str">
        <f>IF(ISBLANK(AT50),"",SUMIFS(Table1[Amount $],Table1[Merchant],Snapshot!AT50,Table1[Month],Snapshot!$W$4)*-1)</f>
        <v/>
      </c>
      <c r="AV50" s="25" t="str">
        <f>IF(ISBLANK(AT50),"",COUNTIFS(Table1[Merchant],Snapshot!AT50,Table1[Month],Snapshot!$W$4))</f>
        <v/>
      </c>
      <c r="AW50" s="25" t="str">
        <f>IFERROR(RANK(AV50,$AV$6:$AV$200)+COUNTIF($AV$6:AV50,AV50)-1,"")</f>
        <v/>
      </c>
      <c r="AX50" s="25" t="str">
        <f>IFERROR(RANK(AU50,$AU$6:$AU$200)+COUNTIF($AU$6:AU50,AU50)-1,"")</f>
        <v/>
      </c>
    </row>
    <row r="51" spans="2:50" ht="14.85" customHeight="1" x14ac:dyDescent="0.25">
      <c r="B51" s="90">
        <f t="shared" si="7"/>
        <v>5</v>
      </c>
      <c r="C51" s="91"/>
      <c r="D51" s="14" t="str" cm="1">
        <f t="array" ref="D51">IFERROR(INDEX($AT:$AT,MATCH($B51,$AW:$AW,0),0),"")</f>
        <v>Lyft</v>
      </c>
      <c r="E51" s="14"/>
      <c r="F51" s="14"/>
      <c r="G51" s="14" cm="1">
        <f t="array" ref="G51">IF(IFERROR(INDEX($AV:$AV,MATCH($B51,$AW:$AW,0),0),"")=0,"",IFERROR(INDEX($AV:$AV,MATCH($B51,$AW:$AW,0),0),""))</f>
        <v>2</v>
      </c>
      <c r="H51" s="14"/>
      <c r="I51" s="51" cm="1">
        <f t="array" ref="I51">IF(IFERROR(INDEX($AU:$AU,MATCH($B51,$AW:$AW,0),0),"")=0,"",IFERROR(INDEX($AU:$AU,MATCH($B51,$AW:$AW,0),0),""))</f>
        <v>62.040000000000006</v>
      </c>
      <c r="J51" s="94"/>
      <c r="L51" s="41"/>
      <c r="M51" s="14" t="str" cm="1">
        <f t="array" ref="M51">IFERROR(INDEX($AT:$AT,MATCH($B51,$AX:$AX,0),0),"")</f>
        <v>State Farm</v>
      </c>
      <c r="N51" s="14"/>
      <c r="O51" s="14"/>
      <c r="P51" s="14"/>
      <c r="Q51" s="98" t="str" cm="1">
        <f t="array" ref="Q51">IFERROR(INDEX(Table1[Category],MATCH(Snapshot!M51,Table1[Merchant],0),0),"")</f>
        <v>Bills/Utilities</v>
      </c>
      <c r="R51" s="14"/>
      <c r="S51" s="51" cm="1">
        <f t="array" ref="S51">IF(IFERROR(INDEX($AU:$AU,MATCH($B51,$AX:$AX,0),0),"")=0,"",IFERROR(INDEX($AU:$AU,MATCH($B51,$AX:$AX,0),0),""))</f>
        <v>91.78</v>
      </c>
      <c r="T51" s="96"/>
      <c r="V51" s="38" t="str">
        <f t="shared" si="6"/>
        <v>--</v>
      </c>
      <c r="W51" s="38"/>
      <c r="AM51" s="14"/>
      <c r="AN51" s="14"/>
      <c r="AO51" s="14"/>
      <c r="AP51" s="14"/>
      <c r="AT51" s="25"/>
      <c r="AU51" s="32" t="str">
        <f>IF(ISBLANK(AT51),"",SUMIFS(Table1[Amount $],Table1[Merchant],Snapshot!AT51,Table1[Month],Snapshot!$W$4)*-1)</f>
        <v/>
      </c>
      <c r="AV51" s="25" t="str">
        <f>IF(ISBLANK(AT51),"",COUNTIFS(Table1[Merchant],Snapshot!AT51,Table1[Month],Snapshot!$W$4))</f>
        <v/>
      </c>
      <c r="AW51" s="25" t="str">
        <f>IFERROR(RANK(AV51,$AV$6:$AV$200)+COUNTIF($AV$6:AV51,AV51)-1,"")</f>
        <v/>
      </c>
      <c r="AX51" s="25" t="str">
        <f>IFERROR(RANK(AU51,$AU$6:$AU$200)+COUNTIF($AU$6:AU51,AU51)-1,"")</f>
        <v/>
      </c>
    </row>
    <row r="52" spans="2:50" x14ac:dyDescent="0.25">
      <c r="B52" s="90">
        <f t="shared" si="7"/>
        <v>6</v>
      </c>
      <c r="C52" s="91"/>
      <c r="D52" s="25" t="str" cm="1">
        <f t="array" ref="D52">IFERROR(INDEX($AT:$AT,MATCH($B52,$AW:$AW,0),0),"")</f>
        <v>Micro Center Fairfax</v>
      </c>
      <c r="E52" s="25"/>
      <c r="F52" s="25"/>
      <c r="G52" s="25" cm="1">
        <f t="array" ref="G52">IF(IFERROR(INDEX($AV:$AV,MATCH($B52,$AW:$AW,0),0),"")=0,"",IFERROR(INDEX($AV:$AV,MATCH($B52,$AW:$AW,0),0),""))</f>
        <v>2</v>
      </c>
      <c r="H52" s="25"/>
      <c r="I52" s="40" cm="1">
        <f t="array" ref="I52">IF(IFERROR(INDEX($AU:$AU,MATCH($B52,$AW:$AW,0),0),"")=0,"",IFERROR(INDEX($AU:$AU,MATCH($B52,$AW:$AW,0),0),""))</f>
        <v>58.25</v>
      </c>
      <c r="J52" s="94"/>
      <c r="L52" s="41"/>
      <c r="M52" s="25" t="str" cm="1">
        <f t="array" ref="M52">IFERROR(INDEX($AT:$AT,MATCH($B52,$AX:$AX,0),0),"")</f>
        <v>T Mobile</v>
      </c>
      <c r="N52" s="25"/>
      <c r="O52" s="25"/>
      <c r="P52" s="25"/>
      <c r="Q52" s="97" t="str" cm="1">
        <f t="array" ref="Q52">IFERROR(INDEX(Table1[Category],MATCH(Snapshot!M52,Table1[Merchant],0),0),"")</f>
        <v>Bills/Utilities</v>
      </c>
      <c r="R52" s="25"/>
      <c r="S52" s="40" cm="1">
        <f t="array" ref="S52">IF(IFERROR(INDEX($AU:$AU,MATCH($B52,$AX:$AX,0),0),"")=0,"",IFERROR(INDEX($AU:$AU,MATCH($B52,$AX:$AX,0),0),""))</f>
        <v>86.25</v>
      </c>
      <c r="T52" s="96"/>
      <c r="V52" s="38" t="str">
        <f t="shared" si="6"/>
        <v>--</v>
      </c>
      <c r="W52" s="38"/>
      <c r="AM52" s="14"/>
      <c r="AN52" s="14"/>
      <c r="AO52" s="14"/>
      <c r="AP52" s="14"/>
      <c r="AT52" s="25"/>
      <c r="AU52" s="32" t="str">
        <f>IF(ISBLANK(AT52),"",SUMIFS(Table1[Amount $],Table1[Merchant],Snapshot!AT52,Table1[Month],Snapshot!$W$4)*-1)</f>
        <v/>
      </c>
      <c r="AV52" s="25" t="str">
        <f>IF(ISBLANK(AT52),"",COUNTIFS(Table1[Merchant],Snapshot!AT52,Table1[Month],Snapshot!$W$4))</f>
        <v/>
      </c>
      <c r="AW52" s="25" t="str">
        <f>IFERROR(RANK(AV52,$AV$6:$AV$200)+COUNTIF($AV$6:AV52,AV52)-1,"")</f>
        <v/>
      </c>
      <c r="AX52" s="25" t="str">
        <f>IFERROR(RANK(AU52,$AU$6:$AU$200)+COUNTIF($AU$6:AU52,AU52)-1,"")</f>
        <v/>
      </c>
    </row>
    <row r="53" spans="2:50" x14ac:dyDescent="0.25">
      <c r="B53" s="90">
        <f t="shared" si="7"/>
        <v>7</v>
      </c>
      <c r="C53" s="91"/>
      <c r="D53" s="14" t="str" cm="1">
        <f t="array" ref="D53">IFERROR(INDEX($AT:$AT,MATCH($B53,$AW:$AW,0),0),"")</f>
        <v>Google Google Youtub</v>
      </c>
      <c r="E53" s="14"/>
      <c r="F53" s="14"/>
      <c r="G53" s="14" cm="1">
        <f t="array" ref="G53">IF(IFERROR(INDEX($AV:$AV,MATCH($B53,$AW:$AW,0),0),"")=0,"",IFERROR(INDEX($AV:$AV,MATCH($B53,$AW:$AW,0),0),""))</f>
        <v>2</v>
      </c>
      <c r="H53" s="14"/>
      <c r="I53" s="51" t="str" cm="1">
        <f t="array" ref="I53">IF(IFERROR(INDEX($AU:$AU,MATCH($B53,$AW:$AW,0),0),"")=0,"",IFERROR(INDEX($AU:$AU,MATCH($B53,$AW:$AW,0),0),""))</f>
        <v/>
      </c>
      <c r="J53" s="94"/>
      <c r="L53" s="41"/>
      <c r="M53" s="14" t="str" cm="1">
        <f t="array" ref="M53">IFERROR(INDEX($AT:$AT,MATCH($B53,$AX:$AX,0),0),"")</f>
        <v>Take 5 232</v>
      </c>
      <c r="N53" s="14"/>
      <c r="O53" s="14"/>
      <c r="P53" s="14"/>
      <c r="Q53" s="98" t="str" cm="1">
        <f t="array" ref="Q53">IFERROR(INDEX(Table1[Category],MATCH(Snapshot!M53,Table1[Merchant],0),0),"")</f>
        <v>Auto/Transport</v>
      </c>
      <c r="R53" s="14"/>
      <c r="S53" s="51" cm="1">
        <f t="array" ref="S53">IF(IFERROR(INDEX($AU:$AU,MATCH($B53,$AX:$AX,0),0),"")=0,"",IFERROR(INDEX($AU:$AU,MATCH($B53,$AX:$AX,0),0),""))</f>
        <v>86.17</v>
      </c>
      <c r="T53" s="96"/>
      <c r="V53" s="38" t="str">
        <f t="shared" si="6"/>
        <v>--</v>
      </c>
      <c r="W53" s="38"/>
      <c r="AM53" s="14"/>
      <c r="AN53" s="14"/>
      <c r="AO53" s="14"/>
      <c r="AP53" s="14"/>
      <c r="AT53" s="25"/>
      <c r="AU53" s="32" t="str">
        <f>IF(ISBLANK(AT53),"",SUMIFS(Table1[Amount $],Table1[Merchant],Snapshot!AT53,Table1[Month],Snapshot!$W$4)*-1)</f>
        <v/>
      </c>
      <c r="AV53" s="25" t="str">
        <f>IF(ISBLANK(AT53),"",COUNTIFS(Table1[Merchant],Snapshot!AT53,Table1[Month],Snapshot!$W$4))</f>
        <v/>
      </c>
      <c r="AW53" s="25" t="str">
        <f>IFERROR(RANK(AV53,$AV$6:$AV$200)+COUNTIF($AV$6:AV53,AV53)-1,"")</f>
        <v/>
      </c>
      <c r="AX53" s="25" t="str">
        <f>IFERROR(RANK(AU53,$AU$6:$AU$200)+COUNTIF($AU$6:AU53,AU53)-1,"")</f>
        <v/>
      </c>
    </row>
    <row r="54" spans="2:50" x14ac:dyDescent="0.25">
      <c r="B54" s="90">
        <f t="shared" si="7"/>
        <v>8</v>
      </c>
      <c r="C54" s="91"/>
      <c r="D54" s="25" t="str" cm="1">
        <f t="array" ref="D54">IFERROR(INDEX($AT:$AT,MATCH($B54,$AW:$AW,0),0),"")</f>
        <v>Google Youtube Subsc</v>
      </c>
      <c r="E54" s="25"/>
      <c r="F54" s="25"/>
      <c r="G54" s="25" cm="1">
        <f t="array" ref="G54">IF(IFERROR(INDEX($AV:$AV,MATCH($B54,$AW:$AW,0),0),"")=0,"",IFERROR(INDEX($AV:$AV,MATCH($B54,$AW:$AW,0),0),""))</f>
        <v>2</v>
      </c>
      <c r="H54" s="25"/>
      <c r="I54" s="40" t="str" cm="1">
        <f t="array" ref="I54">IF(IFERROR(INDEX($AU:$AU,MATCH($B54,$AW:$AW,0),0),"")=0,"",IFERROR(INDEX($AU:$AU,MATCH($B54,$AW:$AW,0),0),""))</f>
        <v/>
      </c>
      <c r="J54" s="94"/>
      <c r="L54" s="41"/>
      <c r="M54" s="25" t="str" cm="1">
        <f t="array" ref="M54">IFERROR(INDEX($AT:$AT,MATCH($B54,$AX:$AX,0),0),"")</f>
        <v>Fubotv</v>
      </c>
      <c r="N54" s="25"/>
      <c r="O54" s="25"/>
      <c r="P54" s="25"/>
      <c r="Q54" s="97" t="str" cm="1">
        <f t="array" ref="Q54">IFERROR(INDEX(Table1[Category],MATCH(Snapshot!M54,Table1[Merchant],0),0),"")</f>
        <v>Apps</v>
      </c>
      <c r="R54" s="25"/>
      <c r="S54" s="40" cm="1">
        <f t="array" ref="S54">IF(IFERROR(INDEX($AU:$AU,MATCH($B54,$AX:$AX,0),0),"")=0,"",IFERROR(INDEX($AU:$AU,MATCH($B54,$AX:$AX,0),0),""))</f>
        <v>75.98</v>
      </c>
      <c r="T54" s="96"/>
      <c r="V54" s="38" t="str">
        <f t="shared" si="6"/>
        <v>--</v>
      </c>
      <c r="W54" s="38"/>
      <c r="AM54" s="14"/>
      <c r="AN54" s="14"/>
      <c r="AO54" s="14"/>
      <c r="AP54" s="14"/>
      <c r="AT54" s="25"/>
      <c r="AU54" s="32" t="str">
        <f>IF(ISBLANK(AT54),"",SUMIFS(Table1[Amount $],Table1[Merchant],Snapshot!AT54,Table1[Month],Snapshot!$W$4)*-1)</f>
        <v/>
      </c>
      <c r="AV54" s="25" t="str">
        <f>IF(ISBLANK(AT54),"",COUNTIFS(Table1[Merchant],Snapshot!AT54,Table1[Month],Snapshot!$W$4))</f>
        <v/>
      </c>
      <c r="AW54" s="25" t="str">
        <f>IFERROR(RANK(AV54,$AV$6:$AV$200)+COUNTIF($AV$6:AV54,AV54)-1,"")</f>
        <v/>
      </c>
      <c r="AX54" s="25" t="str">
        <f>IFERROR(RANK(AU54,$AU$6:$AU$200)+COUNTIF($AU$6:AU54,AU54)-1,"")</f>
        <v/>
      </c>
    </row>
    <row r="55" spans="2:50" x14ac:dyDescent="0.25">
      <c r="B55" s="90">
        <f t="shared" si="7"/>
        <v>9</v>
      </c>
      <c r="C55" s="91"/>
      <c r="D55" s="14" t="str" cm="1">
        <f t="array" ref="D55">IFERROR(INDEX($AT:$AT,MATCH($B55,$AW:$AW,0),0),"")</f>
        <v>Gasbuddy Gasbuddy I Sean</v>
      </c>
      <c r="E55" s="14"/>
      <c r="F55" s="14"/>
      <c r="G55" s="14" cm="1">
        <f t="array" ref="G55">IF(IFERROR(INDEX($AV:$AV,MATCH($B55,$AW:$AW,0),0),"")=0,"",IFERROR(INDEX($AV:$AV,MATCH($B55,$AW:$AW,0),0),""))</f>
        <v>1</v>
      </c>
      <c r="H55" s="14"/>
      <c r="I55" s="51" cm="1">
        <f t="array" ref="I55">IF(IFERROR(INDEX($AU:$AU,MATCH($B55,$AW:$AW,0),0),"")=0,"",IFERROR(INDEX($AU:$AU,MATCH($B55,$AW:$AW,0),0),""))</f>
        <v>25.57</v>
      </c>
      <c r="J55" s="94"/>
      <c r="L55" s="41"/>
      <c r="M55" s="14" t="str" cm="1">
        <f t="array" ref="M55">IFERROR(INDEX($AT:$AT,MATCH($B55,$AX:$AX,0),0),"")</f>
        <v>Mellow Mushroom</v>
      </c>
      <c r="N55" s="14"/>
      <c r="O55" s="14"/>
      <c r="P55" s="14"/>
      <c r="Q55" s="98" t="str" cm="1">
        <f t="array" ref="Q55">IFERROR(INDEX(Table1[Category],MATCH(Snapshot!M55,Table1[Merchant],0),0),"")</f>
        <v>Restaurants/Dining</v>
      </c>
      <c r="R55" s="14"/>
      <c r="S55" s="51" cm="1">
        <f t="array" ref="S55">IF(IFERROR(INDEX($AU:$AU,MATCH($B55,$AX:$AX,0),0),"")=0,"",IFERROR(INDEX($AU:$AU,MATCH($B55,$AX:$AX,0),0),""))</f>
        <v>70</v>
      </c>
      <c r="T55" s="96"/>
      <c r="V55" s="38" t="str">
        <f t="shared" si="6"/>
        <v>--</v>
      </c>
      <c r="W55" s="38"/>
      <c r="AM55" s="14"/>
      <c r="AN55" s="14"/>
      <c r="AO55" s="14"/>
      <c r="AP55" s="14"/>
      <c r="AT55" s="25"/>
      <c r="AU55" s="32" t="str">
        <f>IF(ISBLANK(AT55),"",SUMIFS(Table1[Amount $],Table1[Merchant],Snapshot!AT55,Table1[Month],Snapshot!$W$4)*-1)</f>
        <v/>
      </c>
      <c r="AV55" s="25" t="str">
        <f>IF(ISBLANK(AT55),"",COUNTIFS(Table1[Merchant],Snapshot!AT55,Table1[Month],Snapshot!$W$4))</f>
        <v/>
      </c>
      <c r="AW55" s="25" t="str">
        <f>IFERROR(RANK(AV55,$AV$6:$AV$200)+COUNTIF($AV$6:AV55,AV55)-1,"")</f>
        <v/>
      </c>
      <c r="AX55" s="25" t="str">
        <f>IFERROR(RANK(AU55,$AU$6:$AU$200)+COUNTIF($AU$6:AU55,AU55)-1,"")</f>
        <v/>
      </c>
    </row>
    <row r="56" spans="2:50" x14ac:dyDescent="0.25">
      <c r="B56" s="90">
        <f t="shared" si="7"/>
        <v>10</v>
      </c>
      <c r="C56" s="91"/>
      <c r="D56" s="25" t="str" cm="1">
        <f t="array" ref="D56">IFERROR(INDEX($AT:$AT,MATCH($B56,$AW:$AW,0),0),"")</f>
        <v>Fersguide Llc</v>
      </c>
      <c r="E56" s="25"/>
      <c r="F56" s="25"/>
      <c r="G56" s="25" cm="1">
        <f t="array" ref="G56">IF(IFERROR(INDEX($AV:$AV,MATCH($B56,$AW:$AW,0),0),"")=0,"",IFERROR(INDEX($AV:$AV,MATCH($B56,$AW:$AW,0),0),""))</f>
        <v>1</v>
      </c>
      <c r="H56" s="25"/>
      <c r="I56" s="40" cm="1">
        <f t="array" ref="I56">IF(IFERROR(INDEX($AU:$AU,MATCH($B56,$AW:$AW,0),0),"")=0,"",IFERROR(INDEX($AU:$AU,MATCH($B56,$AW:$AW,0),0),""))</f>
        <v>20</v>
      </c>
      <c r="J56" s="94"/>
      <c r="L56" s="41"/>
      <c r="M56" s="25" t="str" cm="1">
        <f t="array" ref="M56">IFERROR(INDEX($AT:$AT,MATCH($B56,$AX:$AX,0),0),"")</f>
        <v>Disneyplus Ca Disneyplus</v>
      </c>
      <c r="N56" s="25"/>
      <c r="O56" s="25"/>
      <c r="P56" s="25"/>
      <c r="Q56" s="97" t="str" cm="1">
        <f t="array" ref="Q56">IFERROR(INDEX(Table1[Category],MATCH(Snapshot!M56,Table1[Merchant],0),0),"")</f>
        <v>Bills/Utilities</v>
      </c>
      <c r="R56" s="25"/>
      <c r="S56" s="40" cm="1">
        <f t="array" ref="S56">IF(IFERROR(INDEX($AU:$AU,MATCH($B56,$AX:$AX,0),0),"")=0,"",IFERROR(INDEX($AU:$AU,MATCH($B56,$AX:$AX,0),0),""))</f>
        <v>69.989999999999995</v>
      </c>
      <c r="T56" s="96"/>
      <c r="V56" s="38" t="str">
        <f t="shared" si="6"/>
        <v>--</v>
      </c>
      <c r="W56" s="38"/>
      <c r="AM56" s="14"/>
      <c r="AN56" s="14"/>
      <c r="AO56" s="14"/>
      <c r="AP56" s="14"/>
      <c r="AT56" s="25"/>
      <c r="AU56" s="32" t="str">
        <f>IF(ISBLANK(AT56),"",SUMIFS(Table1[Amount $],Table1[Merchant],Snapshot!AT56,Table1[Month],Snapshot!$W$4)*-1)</f>
        <v/>
      </c>
      <c r="AV56" s="25" t="str">
        <f>IF(ISBLANK(AT56),"",COUNTIFS(Table1[Merchant],Snapshot!AT56,Table1[Month],Snapshot!$W$4))</f>
        <v/>
      </c>
      <c r="AW56" s="25" t="str">
        <f>IFERROR(RANK(AV56,$AV$6:$AV$200)+COUNTIF($AV$6:AV56,AV56)-1,"")</f>
        <v/>
      </c>
      <c r="AX56" s="25" t="str">
        <f>IFERROR(RANK(AU56,$AU$6:$AU$200)+COUNTIF($AU$6:AU56,AU56)-1,"")</f>
        <v/>
      </c>
    </row>
    <row r="57" spans="2:50" ht="16.350000000000001" customHeight="1" thickBot="1" x14ac:dyDescent="0.3">
      <c r="C57" s="71"/>
      <c r="D57" s="72"/>
      <c r="E57" s="72"/>
      <c r="F57" s="72"/>
      <c r="G57" s="72"/>
      <c r="H57" s="72"/>
      <c r="I57" s="72"/>
      <c r="J57" s="73"/>
      <c r="L57" s="71"/>
      <c r="M57" s="72"/>
      <c r="N57" s="72"/>
      <c r="O57" s="72"/>
      <c r="P57" s="72"/>
      <c r="Q57" s="72"/>
      <c r="R57" s="72"/>
      <c r="S57" s="72"/>
      <c r="T57" s="73"/>
      <c r="V57" s="38" t="str">
        <f t="shared" si="6"/>
        <v>--</v>
      </c>
      <c r="W57" s="38"/>
      <c r="X57" s="99"/>
      <c r="Y57" s="61"/>
      <c r="Z57" s="100"/>
      <c r="AA57" s="101"/>
      <c r="AM57" s="14"/>
      <c r="AN57" s="14"/>
      <c r="AO57" s="14"/>
      <c r="AP57" s="14"/>
      <c r="AT57" s="25"/>
      <c r="AU57" s="32" t="str">
        <f>IF(ISBLANK(AT57),"",SUMIFS(Table1[Amount $],Table1[Merchant],Snapshot!AT57,Table1[Month],Snapshot!$W$4)*-1)</f>
        <v/>
      </c>
      <c r="AV57" s="25" t="str">
        <f>IF(ISBLANK(AT57),"",COUNTIFS(Table1[Merchant],Snapshot!AT57,Table1[Month],Snapshot!$W$4))</f>
        <v/>
      </c>
      <c r="AW57" s="25" t="str">
        <f>IFERROR(RANK(AV57,$AV$6:$AV$200)+COUNTIF($AV$6:AV57,AV57)-1,"")</f>
        <v/>
      </c>
      <c r="AX57" s="25" t="str">
        <f>IFERROR(RANK(AU57,$AU$6:$AU$200)+COUNTIF($AU$6:AU57,AU57)-1,"")</f>
        <v/>
      </c>
    </row>
    <row r="58" spans="2:50" ht="15.75" x14ac:dyDescent="0.25">
      <c r="V58" s="38" t="str">
        <f t="shared" si="6"/>
        <v>--</v>
      </c>
      <c r="W58" s="38"/>
      <c r="X58" s="61"/>
      <c r="Y58" s="61"/>
      <c r="Z58" s="101"/>
      <c r="AA58" s="101"/>
      <c r="AM58" s="14"/>
      <c r="AN58" s="14"/>
      <c r="AO58" s="14"/>
      <c r="AP58" s="14"/>
      <c r="AT58" s="25"/>
      <c r="AU58" s="32" t="str">
        <f>IF(ISBLANK(AT58),"",SUMIFS(Table1[Amount $],Table1[Merchant],Snapshot!AT58,Table1[Month],Snapshot!$W$4)*-1)</f>
        <v/>
      </c>
      <c r="AV58" s="25" t="str">
        <f>IF(ISBLANK(AT58),"",COUNTIFS(Table1[Merchant],Snapshot!AT58,Table1[Month],Snapshot!$W$4))</f>
        <v/>
      </c>
      <c r="AW58" s="25" t="str">
        <f>IFERROR(RANK(AV58,$AV$6:$AV$200)+COUNTIF($AV$6:AV58,AV58)-1,"")</f>
        <v/>
      </c>
      <c r="AX58" s="25" t="str">
        <f>IFERROR(RANK(AU58,$AU$6:$AU$200)+COUNTIF($AU$6:AU58,AU58)-1,"")</f>
        <v/>
      </c>
    </row>
    <row r="59" spans="2:50" x14ac:dyDescent="0.25">
      <c r="D59" s="14"/>
      <c r="V59" s="38" t="str">
        <f t="shared" si="6"/>
        <v>--</v>
      </c>
      <c r="W59" s="38"/>
      <c r="Y59" s="14"/>
      <c r="Z59" s="102"/>
      <c r="AA59" s="102"/>
      <c r="AM59" s="14"/>
      <c r="AN59" s="14"/>
      <c r="AO59" s="14"/>
      <c r="AP59" s="14"/>
      <c r="AT59" s="25"/>
      <c r="AU59" s="32" t="str">
        <f>IF(ISBLANK(AT59),"",SUMIFS(Table1[Amount $],Table1[Merchant],Snapshot!AT59,Table1[Month],Snapshot!$W$4)*-1)</f>
        <v/>
      </c>
      <c r="AV59" s="25" t="str">
        <f>IF(ISBLANK(AT59),"",COUNTIFS(Table1[Merchant],Snapshot!AT59,Table1[Month],Snapshot!$W$4))</f>
        <v/>
      </c>
      <c r="AW59" s="25" t="str">
        <f>IFERROR(RANK(AV59,$AV$6:$AV$200)+COUNTIF($AV$6:AV59,AV59)-1,"")</f>
        <v/>
      </c>
      <c r="AX59" s="25" t="str">
        <f>IFERROR(RANK(AU59,$AU$6:$AU$200)+COUNTIF($AU$6:AU59,AU59)-1,"")</f>
        <v/>
      </c>
    </row>
    <row r="60" spans="2:50" x14ac:dyDescent="0.25">
      <c r="D60" s="14"/>
      <c r="V60" s="38" t="str">
        <f t="shared" si="6"/>
        <v>--</v>
      </c>
      <c r="W60" s="38"/>
      <c r="AM60" s="14"/>
      <c r="AN60" s="14"/>
      <c r="AO60" s="14"/>
      <c r="AP60" s="14"/>
      <c r="AT60" s="25"/>
      <c r="AU60" s="32" t="str">
        <f>IF(ISBLANK(AT60),"",SUMIFS(Table1[Amount $],Table1[Merchant],Snapshot!AT60,Table1[Month],Snapshot!$W$4)*-1)</f>
        <v/>
      </c>
      <c r="AV60" s="25" t="str">
        <f>IF(ISBLANK(AT60),"",COUNTIFS(Table1[Merchant],Snapshot!AT60,Table1[Month],Snapshot!$W$4))</f>
        <v/>
      </c>
      <c r="AW60" s="25" t="str">
        <f>IFERROR(RANK(AV60,$AV$6:$AV$200)+COUNTIF($AV$6:AV60,AV60)-1,"")</f>
        <v/>
      </c>
      <c r="AX60" s="25" t="str">
        <f>IFERROR(RANK(AU60,$AU$6:$AU$200)+COUNTIF($AU$6:AU60,AU60)-1,"")</f>
        <v/>
      </c>
    </row>
    <row r="61" spans="2:50" x14ac:dyDescent="0.25">
      <c r="D61" s="14"/>
      <c r="V61" s="38" t="str">
        <f t="shared" si="6"/>
        <v>--</v>
      </c>
      <c r="W61" s="38"/>
      <c r="AM61" s="14"/>
      <c r="AN61" s="14"/>
      <c r="AO61" s="14"/>
      <c r="AP61" s="14"/>
      <c r="AT61" s="25"/>
      <c r="AU61" s="32" t="str">
        <f>IF(ISBLANK(AT61),"",SUMIFS(Table1[Amount $],Table1[Merchant],Snapshot!AT61,Table1[Month],Snapshot!$W$4)*-1)</f>
        <v/>
      </c>
      <c r="AV61" s="25" t="str">
        <f>IF(ISBLANK(AT61),"",COUNTIFS(Table1[Merchant],Snapshot!AT61,Table1[Month],Snapshot!$W$4))</f>
        <v/>
      </c>
      <c r="AW61" s="25" t="str">
        <f>IFERROR(RANK(AV61,$AV$6:$AV$200)+COUNTIF($AV$6:AV61,AV61)-1,"")</f>
        <v/>
      </c>
      <c r="AX61" s="25" t="str">
        <f>IFERROR(RANK(AU61,$AU$6:$AU$200)+COUNTIF($AU$6:AU61,AU61)-1,"")</f>
        <v/>
      </c>
    </row>
    <row r="62" spans="2:50" x14ac:dyDescent="0.25">
      <c r="D62" s="14"/>
      <c r="V62" s="38" t="str">
        <f t="shared" si="6"/>
        <v>--</v>
      </c>
      <c r="W62" s="38"/>
      <c r="AM62" s="14"/>
      <c r="AN62" s="14"/>
      <c r="AO62" s="14"/>
      <c r="AP62" s="14"/>
      <c r="AT62" s="25"/>
      <c r="AU62" s="32" t="str">
        <f>IF(ISBLANK(AT62),"",SUMIFS(Table1[Amount $],Table1[Merchant],Snapshot!AT62,Table1[Month],Snapshot!$W$4)*-1)</f>
        <v/>
      </c>
      <c r="AV62" s="25" t="str">
        <f>IF(ISBLANK(AT62),"",COUNTIFS(Table1[Merchant],Snapshot!AT62,Table1[Month],Snapshot!$W$4))</f>
        <v/>
      </c>
      <c r="AW62" s="25" t="str">
        <f>IFERROR(RANK(AV62,$AV$6:$AV$200)+COUNTIF($AV$6:AV62,AV62)-1,"")</f>
        <v/>
      </c>
      <c r="AX62" s="25" t="str">
        <f>IFERROR(RANK(AU62,$AU$6:$AU$200)+COUNTIF($AU$6:AU62,AU62)-1,"")</f>
        <v/>
      </c>
    </row>
    <row r="63" spans="2:50" x14ac:dyDescent="0.25">
      <c r="D63" s="14"/>
      <c r="V63" s="38" t="str">
        <f t="shared" si="6"/>
        <v>--</v>
      </c>
      <c r="W63" s="38"/>
      <c r="AM63" s="14"/>
      <c r="AN63" s="14"/>
      <c r="AO63" s="14"/>
      <c r="AP63" s="14"/>
      <c r="AT63" s="25"/>
      <c r="AU63" s="32" t="str">
        <f>IF(ISBLANK(AT63),"",SUMIFS(Table1[Amount $],Table1[Merchant],Snapshot!AT63,Table1[Month],Snapshot!$W$4)*-1)</f>
        <v/>
      </c>
      <c r="AV63" s="25" t="str">
        <f>IF(ISBLANK(AT63),"",COUNTIFS(Table1[Merchant],Snapshot!AT63,Table1[Month],Snapshot!$W$4))</f>
        <v/>
      </c>
      <c r="AW63" s="25" t="str">
        <f>IFERROR(RANK(AV63,$AV$6:$AV$200)+COUNTIF($AV$6:AV63,AV63)-1,"")</f>
        <v/>
      </c>
      <c r="AX63" s="25" t="str">
        <f>IFERROR(RANK(AU63,$AU$6:$AU$200)+COUNTIF($AU$6:AU63,AU63)-1,"")</f>
        <v/>
      </c>
    </row>
    <row r="64" spans="2:50" x14ac:dyDescent="0.25">
      <c r="D64" s="14"/>
      <c r="V64" s="38" t="str">
        <f t="shared" si="6"/>
        <v>--</v>
      </c>
      <c r="W64" s="38"/>
      <c r="AM64" s="14"/>
      <c r="AN64" s="14"/>
      <c r="AO64" s="14"/>
      <c r="AP64" s="14"/>
      <c r="AT64" s="25"/>
      <c r="AU64" s="32" t="str">
        <f>IF(ISBLANK(AT64),"",SUMIFS(Table1[Amount $],Table1[Merchant],Snapshot!AT64,Table1[Month],Snapshot!$W$4)*-1)</f>
        <v/>
      </c>
      <c r="AV64" s="25" t="str">
        <f>IF(ISBLANK(AT64),"",COUNTIFS(Table1[Merchant],Snapshot!AT64,Table1[Month],Snapshot!$W$4))</f>
        <v/>
      </c>
      <c r="AW64" s="25" t="str">
        <f>IFERROR(RANK(AV64,$AV$6:$AV$200)+COUNTIF($AV$6:AV64,AV64)-1,"")</f>
        <v/>
      </c>
      <c r="AX64" s="25" t="str">
        <f>IFERROR(RANK(AU64,$AU$6:$AU$200)+COUNTIF($AU$6:AU64,AU64)-1,"")</f>
        <v/>
      </c>
    </row>
    <row r="65" spans="4:50" x14ac:dyDescent="0.25">
      <c r="D65" s="14"/>
      <c r="V65" s="38" t="str">
        <f t="shared" ref="V65:V99" si="8">IF(ISBLANK(W65),"--",TEXT(W65,"mmmm")&amp;" "&amp;TEXT(W65,"YYYY"))</f>
        <v>--</v>
      </c>
      <c r="W65" s="38"/>
      <c r="AM65" s="14"/>
      <c r="AN65" s="14"/>
      <c r="AO65" s="14"/>
      <c r="AP65" s="14"/>
      <c r="AT65" s="25"/>
      <c r="AU65" s="32" t="str">
        <f>IF(ISBLANK(AT65),"",SUMIFS(Table1[Amount $],Table1[Merchant],Snapshot!AT65,Table1[Month],Snapshot!$W$4)*-1)</f>
        <v/>
      </c>
      <c r="AV65" s="25" t="str">
        <f>IF(ISBLANK(AT65),"",COUNTIFS(Table1[Merchant],Snapshot!AT65,Table1[Month],Snapshot!$W$4))</f>
        <v/>
      </c>
      <c r="AW65" s="25" t="str">
        <f>IFERROR(RANK(AV65,$AV$6:$AV$200)+COUNTIF($AV$6:AV65,AV65)-1,"")</f>
        <v/>
      </c>
      <c r="AX65" s="25" t="str">
        <f>IFERROR(RANK(AU65,$AU$6:$AU$200)+COUNTIF($AU$6:AU65,AU65)-1,"")</f>
        <v/>
      </c>
    </row>
    <row r="66" spans="4:50" x14ac:dyDescent="0.25">
      <c r="D66" s="14"/>
      <c r="V66" s="38" t="str">
        <f t="shared" si="8"/>
        <v>--</v>
      </c>
      <c r="W66" s="38"/>
      <c r="AM66" s="14"/>
      <c r="AN66" s="14"/>
      <c r="AO66" s="14"/>
      <c r="AP66" s="14"/>
      <c r="AT66" s="25"/>
      <c r="AU66" s="32" t="str">
        <f>IF(ISBLANK(AT66),"",SUMIFS(Table1[Amount $],Table1[Merchant],Snapshot!AT66,Table1[Month],Snapshot!$W$4)*-1)</f>
        <v/>
      </c>
      <c r="AV66" s="25" t="str">
        <f>IF(ISBLANK(AT66),"",COUNTIFS(Table1[Merchant],Snapshot!AT66,Table1[Month],Snapshot!$W$4))</f>
        <v/>
      </c>
      <c r="AW66" s="25" t="str">
        <f>IFERROR(RANK(AV66,$AV$6:$AV$200)+COUNTIF($AV$6:AV66,AV66)-1,"")</f>
        <v/>
      </c>
      <c r="AX66" s="25" t="str">
        <f>IFERROR(RANK(AU66,$AU$6:$AU$200)+COUNTIF($AU$6:AU66,AU66)-1,"")</f>
        <v/>
      </c>
    </row>
    <row r="67" spans="4:50" x14ac:dyDescent="0.25">
      <c r="D67" s="14"/>
      <c r="V67" s="38" t="str">
        <f t="shared" si="8"/>
        <v>--</v>
      </c>
      <c r="W67" s="38"/>
      <c r="AM67" s="14"/>
      <c r="AN67" s="14"/>
      <c r="AO67" s="14"/>
      <c r="AP67" s="14"/>
      <c r="AT67" s="25"/>
      <c r="AU67" s="32" t="str">
        <f>IF(ISBLANK(AT67),"",SUMIFS(Table1[Amount $],Table1[Merchant],Snapshot!AT67,Table1[Month],Snapshot!$W$4)*-1)</f>
        <v/>
      </c>
      <c r="AV67" s="25" t="str">
        <f>IF(ISBLANK(AT67),"",COUNTIFS(Table1[Merchant],Snapshot!AT67,Table1[Month],Snapshot!$W$4))</f>
        <v/>
      </c>
      <c r="AW67" s="25" t="str">
        <f>IFERROR(RANK(AV67,$AV$6:$AV$200)+COUNTIF($AV$6:AV67,AV67)-1,"")</f>
        <v/>
      </c>
      <c r="AX67" s="25" t="str">
        <f>IFERROR(RANK(AU67,$AU$6:$AU$200)+COUNTIF($AU$6:AU67,AU67)-1,"")</f>
        <v/>
      </c>
    </row>
    <row r="68" spans="4:50" x14ac:dyDescent="0.25">
      <c r="D68" s="14"/>
      <c r="V68" s="38" t="str">
        <f t="shared" si="8"/>
        <v>--</v>
      </c>
      <c r="W68" s="38"/>
      <c r="AM68" s="14"/>
      <c r="AN68" s="14"/>
      <c r="AO68" s="14"/>
      <c r="AP68" s="14"/>
      <c r="AT68" s="25"/>
      <c r="AU68" s="32" t="str">
        <f>IF(ISBLANK(AT68),"",SUMIFS(Table1[Amount $],Table1[Merchant],Snapshot!AT68,Table1[Month],Snapshot!$W$4)*-1)</f>
        <v/>
      </c>
      <c r="AV68" s="25" t="str">
        <f>IF(ISBLANK(AT68),"",COUNTIFS(Table1[Merchant],Snapshot!AT68,Table1[Month],Snapshot!$W$4))</f>
        <v/>
      </c>
      <c r="AW68" s="25" t="str">
        <f>IFERROR(RANK(AV68,$AV$6:$AV$200)+COUNTIF($AV$6:AV68,AV68)-1,"")</f>
        <v/>
      </c>
      <c r="AX68" s="25" t="str">
        <f>IFERROR(RANK(AU68,$AU$6:$AU$200)+COUNTIF($AU$6:AU68,AU68)-1,"")</f>
        <v/>
      </c>
    </row>
    <row r="69" spans="4:50" x14ac:dyDescent="0.25">
      <c r="D69" s="14"/>
      <c r="V69" s="38" t="str">
        <f t="shared" si="8"/>
        <v>--</v>
      </c>
      <c r="W69" s="38"/>
      <c r="AT69" s="25"/>
      <c r="AU69" s="32" t="str">
        <f>IF(ISBLANK(AT69),"",SUMIFS(Table1[Amount $],Table1[Merchant],Snapshot!AT69,Table1[Month],Snapshot!$W$4)*-1)</f>
        <v/>
      </c>
      <c r="AV69" s="25" t="str">
        <f>IF(ISBLANK(AT69),"",COUNTIFS(Table1[Merchant],Snapshot!AT69,Table1[Month],Snapshot!$W$4))</f>
        <v/>
      </c>
      <c r="AW69" s="25" t="str">
        <f>IFERROR(RANK(AV69,$AV$6:$AV$200)+COUNTIF($AV$6:AV69,AV69)-1,"")</f>
        <v/>
      </c>
      <c r="AX69" s="25" t="str">
        <f>IFERROR(RANK(AU69,$AU$6:$AU$200)+COUNTIF($AU$6:AU69,AU69)-1,"")</f>
        <v/>
      </c>
    </row>
    <row r="70" spans="4:50" x14ac:dyDescent="0.25">
      <c r="D70" s="14"/>
      <c r="V70" s="38" t="str">
        <f t="shared" si="8"/>
        <v>--</v>
      </c>
      <c r="W70" s="38"/>
      <c r="AT70" s="25"/>
      <c r="AU70" s="32" t="str">
        <f>IF(ISBLANK(AT70),"",SUMIFS(Table1[Amount $],Table1[Merchant],Snapshot!AT70,Table1[Month],Snapshot!$W$4)*-1)</f>
        <v/>
      </c>
      <c r="AV70" s="25" t="str">
        <f>IF(ISBLANK(AT70),"",COUNTIFS(Table1[Merchant],Snapshot!AT70,Table1[Month],Snapshot!$W$4))</f>
        <v/>
      </c>
      <c r="AW70" s="25" t="str">
        <f>IFERROR(RANK(AV70,$AV$6:$AV$200)+COUNTIF($AV$6:AV70,AV70)-1,"")</f>
        <v/>
      </c>
      <c r="AX70" s="25" t="str">
        <f>IFERROR(RANK(AU70,$AU$6:$AU$200)+COUNTIF($AU$6:AU70,AU70)-1,"")</f>
        <v/>
      </c>
    </row>
    <row r="71" spans="4:50" x14ac:dyDescent="0.25">
      <c r="D71" s="14"/>
      <c r="V71" s="38" t="str">
        <f t="shared" si="8"/>
        <v>--</v>
      </c>
      <c r="W71" s="38"/>
      <c r="AT71" s="25"/>
      <c r="AU71" s="32" t="str">
        <f>IF(ISBLANK(AT71),"",SUMIFS(Table1[Amount $],Table1[Merchant],Snapshot!AT71,Table1[Month],Snapshot!$W$4)*-1)</f>
        <v/>
      </c>
      <c r="AV71" s="25" t="str">
        <f>IF(ISBLANK(AT71),"",COUNTIFS(Table1[Merchant],Snapshot!AT71,Table1[Month],Snapshot!$W$4))</f>
        <v/>
      </c>
      <c r="AW71" s="25" t="str">
        <f>IFERROR(RANK(AV71,$AV$6:$AV$200)+COUNTIF($AV$6:AV71,AV71)-1,"")</f>
        <v/>
      </c>
      <c r="AX71" s="25" t="str">
        <f>IFERROR(RANK(AU71,$AU$6:$AU$200)+COUNTIF($AU$6:AU71,AU71)-1,"")</f>
        <v/>
      </c>
    </row>
    <row r="72" spans="4:50" x14ac:dyDescent="0.25">
      <c r="V72" s="38" t="str">
        <f t="shared" si="8"/>
        <v>--</v>
      </c>
      <c r="W72" s="38"/>
      <c r="AT72" s="25"/>
      <c r="AU72" s="32" t="str">
        <f>IF(ISBLANK(AT72),"",SUMIFS(Table1[Amount $],Table1[Merchant],Snapshot!AT72,Table1[Month],Snapshot!$W$4)*-1)</f>
        <v/>
      </c>
      <c r="AV72" s="25" t="str">
        <f>IF(ISBLANK(AT72),"",COUNTIFS(Table1[Merchant],Snapshot!AT72,Table1[Month],Snapshot!$W$4))</f>
        <v/>
      </c>
      <c r="AW72" s="25" t="str">
        <f>IFERROR(RANK(AV72,$AV$6:$AV$200)+COUNTIF($AV$6:AV72,AV72)-1,"")</f>
        <v/>
      </c>
      <c r="AX72" s="25" t="str">
        <f>IFERROR(RANK(AU72,$AU$6:$AU$200)+COUNTIF($AU$6:AU72,AU72)-1,"")</f>
        <v/>
      </c>
    </row>
    <row r="73" spans="4:50" x14ac:dyDescent="0.25">
      <c r="V73" s="38" t="str">
        <f t="shared" si="8"/>
        <v>--</v>
      </c>
      <c r="W73" s="38"/>
      <c r="AT73" s="25"/>
      <c r="AU73" s="32" t="str">
        <f>IF(ISBLANK(AT73),"",SUMIFS(Table1[Amount $],Table1[Merchant],Snapshot!AT73,Table1[Month],Snapshot!$W$4)*-1)</f>
        <v/>
      </c>
      <c r="AV73" s="25" t="str">
        <f>IF(ISBLANK(AT73),"",COUNTIFS(Table1[Merchant],Snapshot!AT73,Table1[Month],Snapshot!$W$4))</f>
        <v/>
      </c>
      <c r="AW73" s="25" t="str">
        <f>IFERROR(RANK(AV73,$AV$6:$AV$200)+COUNTIF($AV$6:AV73,AV73)-1,"")</f>
        <v/>
      </c>
      <c r="AX73" s="25" t="str">
        <f>IFERROR(RANK(AU73,$AU$6:$AU$200)+COUNTIF($AU$6:AU73,AU73)-1,"")</f>
        <v/>
      </c>
    </row>
    <row r="74" spans="4:50" x14ac:dyDescent="0.25">
      <c r="V74" s="38" t="str">
        <f t="shared" si="8"/>
        <v>--</v>
      </c>
      <c r="W74" s="38"/>
      <c r="AT74" s="25"/>
      <c r="AU74" s="32" t="str">
        <f>IF(ISBLANK(AT74),"",SUMIFS(Table1[Amount $],Table1[Merchant],Snapshot!AT74,Table1[Month],Snapshot!$W$4)*-1)</f>
        <v/>
      </c>
      <c r="AV74" s="25" t="str">
        <f>IF(ISBLANK(AT74),"",COUNTIFS(Table1[Merchant],Snapshot!AT74,Table1[Month],Snapshot!$W$4))</f>
        <v/>
      </c>
      <c r="AW74" s="25" t="str">
        <f>IFERROR(RANK(AV74,$AV$6:$AV$200)+COUNTIF($AV$6:AV74,AV74)-1,"")</f>
        <v/>
      </c>
      <c r="AX74" s="25" t="str">
        <f>IFERROR(RANK(AU74,$AU$6:$AU$200)+COUNTIF($AU$6:AU74,AU74)-1,"")</f>
        <v/>
      </c>
    </row>
    <row r="75" spans="4:50" x14ac:dyDescent="0.25">
      <c r="V75" s="38" t="str">
        <f t="shared" si="8"/>
        <v>--</v>
      </c>
      <c r="W75" s="38"/>
      <c r="AT75" s="25"/>
      <c r="AU75" s="32" t="str">
        <f>IF(ISBLANK(AT75),"",SUMIFS(Table1[Amount $],Table1[Merchant],Snapshot!AT75,Table1[Month],Snapshot!$W$4)*-1)</f>
        <v/>
      </c>
      <c r="AV75" s="25" t="str">
        <f>IF(ISBLANK(AT75),"",COUNTIFS(Table1[Merchant],Snapshot!AT75,Table1[Month],Snapshot!$W$4))</f>
        <v/>
      </c>
      <c r="AW75" s="25" t="str">
        <f>IFERROR(RANK(AV75,$AV$6:$AV$200)+COUNTIF($AV$6:AV75,AV75)-1,"")</f>
        <v/>
      </c>
      <c r="AX75" s="25" t="str">
        <f>IFERROR(RANK(AU75,$AU$6:$AU$200)+COUNTIF($AU$6:AU75,AU75)-1,"")</f>
        <v/>
      </c>
    </row>
    <row r="76" spans="4:50" x14ac:dyDescent="0.25">
      <c r="V76" s="38" t="str">
        <f t="shared" si="8"/>
        <v>--</v>
      </c>
      <c r="W76" s="38"/>
      <c r="AT76" s="25"/>
      <c r="AU76" s="32" t="str">
        <f>IF(ISBLANK(AT76),"",SUMIFS(Table1[Amount $],Table1[Merchant],Snapshot!AT76,Table1[Month],Snapshot!$W$4)*-1)</f>
        <v/>
      </c>
      <c r="AV76" s="25" t="str">
        <f>IF(ISBLANK(AT76),"",COUNTIFS(Table1[Merchant],Snapshot!AT76,Table1[Month],Snapshot!$W$4))</f>
        <v/>
      </c>
      <c r="AW76" s="25" t="str">
        <f>IFERROR(RANK(AV76,$AV$6:$AV$200)+COUNTIF($AV$6:AV76,AV76)-1,"")</f>
        <v/>
      </c>
      <c r="AX76" s="25" t="str">
        <f>IFERROR(RANK(AU76,$AU$6:$AU$200)+COUNTIF($AU$6:AU76,AU76)-1,"")</f>
        <v/>
      </c>
    </row>
    <row r="77" spans="4:50" x14ac:dyDescent="0.25">
      <c r="V77" s="38" t="str">
        <f t="shared" si="8"/>
        <v>--</v>
      </c>
      <c r="W77" s="38"/>
      <c r="AT77" s="25"/>
      <c r="AU77" s="32" t="str">
        <f>IF(ISBLANK(AT77),"",SUMIFS(Table1[Amount $],Table1[Merchant],Snapshot!AT77,Table1[Month],Snapshot!$W$4)*-1)</f>
        <v/>
      </c>
      <c r="AV77" s="25" t="str">
        <f>IF(ISBLANK(AT77),"",COUNTIFS(Table1[Merchant],Snapshot!AT77,Table1[Month],Snapshot!$W$4))</f>
        <v/>
      </c>
      <c r="AW77" s="25" t="str">
        <f>IFERROR(RANK(AV77,$AV$6:$AV$200)+COUNTIF($AV$6:AV77,AV77)-1,"")</f>
        <v/>
      </c>
      <c r="AX77" s="25" t="str">
        <f>IFERROR(RANK(AU77,$AU$6:$AU$200)+COUNTIF($AU$6:AU77,AU77)-1,"")</f>
        <v/>
      </c>
    </row>
    <row r="78" spans="4:50" x14ac:dyDescent="0.25">
      <c r="V78" s="38" t="str">
        <f t="shared" si="8"/>
        <v>--</v>
      </c>
      <c r="W78" s="38"/>
      <c r="AT78" s="25"/>
      <c r="AU78" s="32" t="str">
        <f>IF(ISBLANK(AT78),"",SUMIFS(Table1[Amount $],Table1[Merchant],Snapshot!AT78,Table1[Month],Snapshot!$W$4)*-1)</f>
        <v/>
      </c>
      <c r="AV78" s="25" t="str">
        <f>IF(ISBLANK(AT78),"",COUNTIFS(Table1[Merchant],Snapshot!AT78,Table1[Month],Snapshot!$W$4))</f>
        <v/>
      </c>
      <c r="AW78" s="25" t="str">
        <f>IFERROR(RANK(AV78,$AV$6:$AV$200)+COUNTIF($AV$6:AV78,AV78)-1,"")</f>
        <v/>
      </c>
      <c r="AX78" s="25" t="str">
        <f>IFERROR(RANK(AU78,$AU$6:$AU$200)+COUNTIF($AU$6:AU78,AU78)-1,"")</f>
        <v/>
      </c>
    </row>
    <row r="79" spans="4:50" x14ac:dyDescent="0.25">
      <c r="V79" s="38" t="str">
        <f t="shared" si="8"/>
        <v>--</v>
      </c>
      <c r="W79" s="38"/>
      <c r="AT79" s="25"/>
      <c r="AU79" s="32" t="str">
        <f>IF(ISBLANK(AT79),"",SUMIFS(Table1[Amount $],Table1[Merchant],Snapshot!AT79,Table1[Month],Snapshot!$W$4)*-1)</f>
        <v/>
      </c>
      <c r="AV79" s="25" t="str">
        <f>IF(ISBLANK(AT79),"",COUNTIFS(Table1[Merchant],Snapshot!AT79,Table1[Month],Snapshot!$W$4))</f>
        <v/>
      </c>
      <c r="AW79" s="25" t="str">
        <f>IFERROR(RANK(AV79,$AV$6:$AV$200)+COUNTIF($AV$6:AV79,AV79)-1,"")</f>
        <v/>
      </c>
      <c r="AX79" s="25" t="str">
        <f>IFERROR(RANK(AU79,$AU$6:$AU$200)+COUNTIF($AU$6:AU79,AU79)-1,"")</f>
        <v/>
      </c>
    </row>
    <row r="80" spans="4:50" x14ac:dyDescent="0.25">
      <c r="V80" s="38" t="str">
        <f t="shared" si="8"/>
        <v>--</v>
      </c>
      <c r="W80" s="38"/>
      <c r="AT80" s="25"/>
      <c r="AU80" s="32" t="str">
        <f>IF(ISBLANK(AT80),"",SUMIFS(Table1[Amount $],Table1[Merchant],Snapshot!AT80,Table1[Month],Snapshot!$W$4)*-1)</f>
        <v/>
      </c>
      <c r="AV80" s="25" t="str">
        <f>IF(ISBLANK(AT80),"",COUNTIFS(Table1[Merchant],Snapshot!AT80,Table1[Month],Snapshot!$W$4))</f>
        <v/>
      </c>
      <c r="AW80" s="25" t="str">
        <f>IFERROR(RANK(AV80,$AV$6:$AV$200)+COUNTIF($AV$6:AV80,AV80)-1,"")</f>
        <v/>
      </c>
      <c r="AX80" s="25" t="str">
        <f>IFERROR(RANK(AU80,$AU$6:$AU$200)+COUNTIF($AU$6:AU80,AU80)-1,"")</f>
        <v/>
      </c>
    </row>
    <row r="81" spans="22:50" x14ac:dyDescent="0.25">
      <c r="V81" s="38" t="str">
        <f t="shared" si="8"/>
        <v>--</v>
      </c>
      <c r="W81" s="38"/>
      <c r="AT81" s="25"/>
      <c r="AU81" s="32" t="str">
        <f>IF(ISBLANK(AT81),"",SUMIFS(Table1[Amount $],Table1[Merchant],Snapshot!AT81,Table1[Month],Snapshot!$W$4)*-1)</f>
        <v/>
      </c>
      <c r="AV81" s="25" t="str">
        <f>IF(ISBLANK(AT81),"",COUNTIFS(Table1[Merchant],Snapshot!AT81,Table1[Month],Snapshot!$W$4))</f>
        <v/>
      </c>
      <c r="AW81" s="25" t="str">
        <f>IFERROR(RANK(AV81,$AV$6:$AV$200)+COUNTIF($AV$6:AV81,AV81)-1,"")</f>
        <v/>
      </c>
      <c r="AX81" s="25" t="str">
        <f>IFERROR(RANK(AU81,$AU$6:$AU$200)+COUNTIF($AU$6:AU81,AU81)-1,"")</f>
        <v/>
      </c>
    </row>
    <row r="82" spans="22:50" x14ac:dyDescent="0.25">
      <c r="V82" s="38" t="str">
        <f t="shared" si="8"/>
        <v>--</v>
      </c>
      <c r="W82" s="38"/>
      <c r="AT82" s="25"/>
      <c r="AU82" s="32" t="str">
        <f>IF(ISBLANK(AT82),"",SUMIFS(Table1[Amount $],Table1[Merchant],Snapshot!AT82,Table1[Month],Snapshot!$W$4)*-1)</f>
        <v/>
      </c>
      <c r="AV82" s="25" t="str">
        <f>IF(ISBLANK(AT82),"",COUNTIFS(Table1[Merchant],Snapshot!AT82,Table1[Month],Snapshot!$W$4))</f>
        <v/>
      </c>
      <c r="AW82" s="25" t="str">
        <f>IFERROR(RANK(AV82,$AV$6:$AV$200)+COUNTIF($AV$6:AV82,AV82)-1,"")</f>
        <v/>
      </c>
      <c r="AX82" s="25" t="str">
        <f>IFERROR(RANK(AU82,$AU$6:$AU$200)+COUNTIF($AU$6:AU82,AU82)-1,"")</f>
        <v/>
      </c>
    </row>
    <row r="83" spans="22:50" x14ac:dyDescent="0.25">
      <c r="V83" s="38" t="str">
        <f t="shared" si="8"/>
        <v>--</v>
      </c>
      <c r="W83" s="38"/>
      <c r="AT83" s="25"/>
      <c r="AU83" s="32" t="str">
        <f>IF(ISBLANK(AT83),"",SUMIFS(Table1[Amount $],Table1[Merchant],Snapshot!AT83,Table1[Month],Snapshot!$W$4)*-1)</f>
        <v/>
      </c>
      <c r="AV83" s="25" t="str">
        <f>IF(ISBLANK(AT83),"",COUNTIFS(Table1[Merchant],Snapshot!AT83,Table1[Month],Snapshot!$W$4))</f>
        <v/>
      </c>
      <c r="AW83" s="25" t="str">
        <f>IFERROR(RANK(AV83,$AV$6:$AV$200)+COUNTIF($AV$6:AV83,AV83)-1,"")</f>
        <v/>
      </c>
      <c r="AX83" s="25" t="str">
        <f>IFERROR(RANK(AU83,$AU$6:$AU$200)+COUNTIF($AU$6:AU83,AU83)-1,"")</f>
        <v/>
      </c>
    </row>
    <row r="84" spans="22:50" x14ac:dyDescent="0.25">
      <c r="V84" s="38" t="str">
        <f t="shared" si="8"/>
        <v>--</v>
      </c>
      <c r="W84" s="38"/>
      <c r="AT84" s="25"/>
      <c r="AU84" s="32" t="str">
        <f>IF(ISBLANK(AT84),"",SUMIFS(Table1[Amount $],Table1[Merchant],Snapshot!AT84,Table1[Month],Snapshot!$W$4)*-1)</f>
        <v/>
      </c>
      <c r="AV84" s="25" t="str">
        <f>IF(ISBLANK(AT84),"",COUNTIFS(Table1[Merchant],Snapshot!AT84,Table1[Month],Snapshot!$W$4))</f>
        <v/>
      </c>
      <c r="AW84" s="25" t="str">
        <f>IFERROR(RANK(AV84,$AV$6:$AV$200)+COUNTIF($AV$6:AV84,AV84)-1,"")</f>
        <v/>
      </c>
      <c r="AX84" s="25" t="str">
        <f>IFERROR(RANK(AU84,$AU$6:$AU$200)+COUNTIF($AU$6:AU84,AU84)-1,"")</f>
        <v/>
      </c>
    </row>
    <row r="85" spans="22:50" x14ac:dyDescent="0.25">
      <c r="V85" s="38" t="str">
        <f t="shared" si="8"/>
        <v>--</v>
      </c>
      <c r="W85" s="38"/>
      <c r="AT85" s="25"/>
      <c r="AU85" s="32" t="str">
        <f>IF(ISBLANK(AT85),"",SUMIFS(Table1[Amount $],Table1[Merchant],Snapshot!AT85,Table1[Month],Snapshot!$W$4)*-1)</f>
        <v/>
      </c>
      <c r="AV85" s="25" t="str">
        <f>IF(ISBLANK(AT85),"",COUNTIFS(Table1[Merchant],Snapshot!AT85,Table1[Month],Snapshot!$W$4))</f>
        <v/>
      </c>
      <c r="AW85" s="25" t="str">
        <f>IFERROR(RANK(AV85,$AV$6:$AV$200)+COUNTIF($AV$6:AV85,AV85)-1,"")</f>
        <v/>
      </c>
      <c r="AX85" s="25" t="str">
        <f>IFERROR(RANK(AU85,$AU$6:$AU$200)+COUNTIF($AU$6:AU85,AU85)-1,"")</f>
        <v/>
      </c>
    </row>
    <row r="86" spans="22:50" x14ac:dyDescent="0.25">
      <c r="V86" s="38" t="str">
        <f t="shared" si="8"/>
        <v>--</v>
      </c>
      <c r="W86" s="38"/>
      <c r="AT86" s="25"/>
      <c r="AU86" s="32" t="str">
        <f>IF(ISBLANK(AT86),"",SUMIFS(Table1[Amount $],Table1[Merchant],Snapshot!AT86,Table1[Month],Snapshot!$W$4)*-1)</f>
        <v/>
      </c>
      <c r="AV86" s="25" t="str">
        <f>IF(ISBLANK(AT86),"",COUNTIFS(Table1[Merchant],Snapshot!AT86,Table1[Month],Snapshot!$W$4))</f>
        <v/>
      </c>
      <c r="AW86" s="25" t="str">
        <f>IFERROR(RANK(AV86,$AV$6:$AV$200)+COUNTIF($AV$6:AV86,AV86)-1,"")</f>
        <v/>
      </c>
      <c r="AX86" s="25" t="str">
        <f>IFERROR(RANK(AU86,$AU$6:$AU$200)+COUNTIF($AU$6:AU86,AU86)-1,"")</f>
        <v/>
      </c>
    </row>
    <row r="87" spans="22:50" x14ac:dyDescent="0.25">
      <c r="V87" s="38" t="str">
        <f t="shared" si="8"/>
        <v>--</v>
      </c>
      <c r="W87" s="38"/>
      <c r="AT87" s="25"/>
      <c r="AU87" s="32" t="str">
        <f>IF(ISBLANK(AT87),"",SUMIFS(Table1[Amount $],Table1[Merchant],Snapshot!AT87,Table1[Month],Snapshot!$W$4)*-1)</f>
        <v/>
      </c>
      <c r="AV87" s="25" t="str">
        <f>IF(ISBLANK(AT87),"",COUNTIFS(Table1[Merchant],Snapshot!AT87,Table1[Month],Snapshot!$W$4))</f>
        <v/>
      </c>
      <c r="AW87" s="25" t="str">
        <f>IFERROR(RANK(AV87,$AV$6:$AV$200)+COUNTIF($AV$6:AV87,AV87)-1,"")</f>
        <v/>
      </c>
      <c r="AX87" s="25" t="str">
        <f>IFERROR(RANK(AU87,$AU$6:$AU$200)+COUNTIF($AU$6:AU87,AU87)-1,"")</f>
        <v/>
      </c>
    </row>
    <row r="88" spans="22:50" x14ac:dyDescent="0.25">
      <c r="V88" s="38" t="str">
        <f t="shared" si="8"/>
        <v>--</v>
      </c>
      <c r="W88" s="38"/>
      <c r="AT88" s="25"/>
      <c r="AU88" s="32" t="str">
        <f>IF(ISBLANK(AT88),"",SUMIFS(Table1[Amount $],Table1[Merchant],Snapshot!AT88,Table1[Month],Snapshot!$W$4)*-1)</f>
        <v/>
      </c>
      <c r="AV88" s="25" t="str">
        <f>IF(ISBLANK(AT88),"",COUNTIFS(Table1[Merchant],Snapshot!AT88,Table1[Month],Snapshot!$W$4))</f>
        <v/>
      </c>
      <c r="AW88" s="25" t="str">
        <f>IFERROR(RANK(AV88,$AV$6:$AV$200)+COUNTIF($AV$6:AV88,AV88)-1,"")</f>
        <v/>
      </c>
      <c r="AX88" s="25" t="str">
        <f>IFERROR(RANK(AU88,$AU$6:$AU$200)+COUNTIF($AU$6:AU88,AU88)-1,"")</f>
        <v/>
      </c>
    </row>
    <row r="89" spans="22:50" x14ac:dyDescent="0.25">
      <c r="V89" s="38" t="str">
        <f t="shared" si="8"/>
        <v>--</v>
      </c>
      <c r="W89" s="38"/>
      <c r="AT89" s="25"/>
      <c r="AU89" s="32" t="str">
        <f>IF(ISBLANK(AT89),"",SUMIFS(Table1[Amount $],Table1[Merchant],Snapshot!AT89,Table1[Month],Snapshot!$W$4)*-1)</f>
        <v/>
      </c>
      <c r="AV89" s="25" t="str">
        <f>IF(ISBLANK(AT89),"",COUNTIFS(Table1[Merchant],Snapshot!AT89,Table1[Month],Snapshot!$W$4))</f>
        <v/>
      </c>
      <c r="AW89" s="25" t="str">
        <f>IFERROR(RANK(AV89,$AV$6:$AV$200)+COUNTIF($AV$6:AV89,AV89)-1,"")</f>
        <v/>
      </c>
      <c r="AX89" s="25" t="str">
        <f>IFERROR(RANK(AU89,$AU$6:$AU$200)+COUNTIF($AU$6:AU89,AU89)-1,"")</f>
        <v/>
      </c>
    </row>
    <row r="90" spans="22:50" x14ac:dyDescent="0.25">
      <c r="V90" s="38" t="str">
        <f t="shared" si="8"/>
        <v>--</v>
      </c>
      <c r="W90" s="38"/>
      <c r="AT90" s="25"/>
      <c r="AU90" s="32" t="str">
        <f>IF(ISBLANK(AT90),"",SUMIFS(Table1[Amount $],Table1[Merchant],Snapshot!AT90,Table1[Month],Snapshot!$W$4)*-1)</f>
        <v/>
      </c>
      <c r="AV90" s="25" t="str">
        <f>IF(ISBLANK(AT90),"",COUNTIFS(Table1[Merchant],Snapshot!AT90,Table1[Month],Snapshot!$W$4))</f>
        <v/>
      </c>
      <c r="AW90" s="25" t="str">
        <f>IFERROR(RANK(AV90,$AV$6:$AV$200)+COUNTIF($AV$6:AV90,AV90)-1,"")</f>
        <v/>
      </c>
      <c r="AX90" s="25" t="str">
        <f>IFERROR(RANK(AU90,$AU$6:$AU$200)+COUNTIF($AU$6:AU90,AU90)-1,"")</f>
        <v/>
      </c>
    </row>
    <row r="91" spans="22:50" x14ac:dyDescent="0.25">
      <c r="V91" s="38" t="str">
        <f t="shared" si="8"/>
        <v>--</v>
      </c>
      <c r="W91" s="38"/>
      <c r="AT91" s="25"/>
      <c r="AU91" s="32" t="str">
        <f>IF(ISBLANK(AT91),"",SUMIFS(Table1[Amount $],Table1[Merchant],Snapshot!AT91,Table1[Month],Snapshot!$W$4)*-1)</f>
        <v/>
      </c>
      <c r="AV91" s="25" t="str">
        <f>IF(ISBLANK(AT91),"",COUNTIFS(Table1[Merchant],Snapshot!AT91,Table1[Month],Snapshot!$W$4))</f>
        <v/>
      </c>
      <c r="AW91" s="25" t="str">
        <f>IFERROR(RANK(AV91,$AV$6:$AV$200)+COUNTIF($AV$6:AV91,AV91)-1,"")</f>
        <v/>
      </c>
      <c r="AX91" s="25" t="str">
        <f>IFERROR(RANK(AU91,$AU$6:$AU$200)+COUNTIF($AU$6:AU91,AU91)-1,"")</f>
        <v/>
      </c>
    </row>
    <row r="92" spans="22:50" x14ac:dyDescent="0.25">
      <c r="V92" s="38" t="str">
        <f t="shared" si="8"/>
        <v>--</v>
      </c>
      <c r="W92" s="38"/>
      <c r="AT92" s="25"/>
      <c r="AU92" s="32" t="str">
        <f>IF(ISBLANK(AT92),"",SUMIFS(Table1[Amount $],Table1[Merchant],Snapshot!AT92,Table1[Month],Snapshot!$W$4)*-1)</f>
        <v/>
      </c>
      <c r="AV92" s="25" t="str">
        <f>IF(ISBLANK(AT92),"",COUNTIFS(Table1[Merchant],Snapshot!AT92,Table1[Month],Snapshot!$W$4))</f>
        <v/>
      </c>
      <c r="AW92" s="25" t="str">
        <f>IFERROR(RANK(AV92,$AV$6:$AV$200)+COUNTIF($AV$6:AV92,AV92)-1,"")</f>
        <v/>
      </c>
      <c r="AX92" s="25" t="str">
        <f>IFERROR(RANK(AU92,$AU$6:$AU$200)+COUNTIF($AU$6:AU92,AU92)-1,"")</f>
        <v/>
      </c>
    </row>
    <row r="93" spans="22:50" x14ac:dyDescent="0.25">
      <c r="V93" s="38" t="str">
        <f t="shared" si="8"/>
        <v>--</v>
      </c>
      <c r="W93" s="38"/>
      <c r="AT93" s="25"/>
      <c r="AU93" s="32" t="str">
        <f>IF(ISBLANK(AT93),"",SUMIFS(Table1[Amount $],Table1[Merchant],Snapshot!AT93,Table1[Month],Snapshot!$W$4)*-1)</f>
        <v/>
      </c>
      <c r="AV93" s="25" t="str">
        <f>IF(ISBLANK(AT93),"",COUNTIFS(Table1[Merchant],Snapshot!AT93,Table1[Month],Snapshot!$W$4))</f>
        <v/>
      </c>
      <c r="AW93" s="25" t="str">
        <f>IFERROR(RANK(AV93,$AV$6:$AV$200)+COUNTIF($AV$6:AV93,AV93)-1,"")</f>
        <v/>
      </c>
      <c r="AX93" s="25" t="str">
        <f>IFERROR(RANK(AU93,$AU$6:$AU$200)+COUNTIF($AU$6:AU93,AU93)-1,"")</f>
        <v/>
      </c>
    </row>
    <row r="94" spans="22:50" x14ac:dyDescent="0.25">
      <c r="V94" s="38" t="str">
        <f t="shared" si="8"/>
        <v>--</v>
      </c>
      <c r="W94" s="38"/>
      <c r="AT94" s="25"/>
      <c r="AU94" s="32" t="str">
        <f>IF(ISBLANK(AT94),"",SUMIFS(Table1[Amount $],Table1[Merchant],Snapshot!AT94,Table1[Month],Snapshot!$W$4)*-1)</f>
        <v/>
      </c>
      <c r="AV94" s="25" t="str">
        <f>IF(ISBLANK(AT94),"",COUNTIFS(Table1[Merchant],Snapshot!AT94,Table1[Month],Snapshot!$W$4))</f>
        <v/>
      </c>
      <c r="AW94" s="25" t="str">
        <f>IFERROR(RANK(AV94,$AV$6:$AV$200)+COUNTIF($AV$6:AV94,AV94)-1,"")</f>
        <v/>
      </c>
      <c r="AX94" s="25" t="str">
        <f>IFERROR(RANK(AU94,$AU$6:$AU$200)+COUNTIF($AU$6:AU94,AU94)-1,"")</f>
        <v/>
      </c>
    </row>
    <row r="95" spans="22:50" x14ac:dyDescent="0.25">
      <c r="V95" s="38" t="str">
        <f t="shared" si="8"/>
        <v>--</v>
      </c>
      <c r="W95" s="38"/>
      <c r="AT95" s="25"/>
      <c r="AU95" s="32" t="str">
        <f>IF(ISBLANK(AT95),"",SUMIFS(Table1[Amount $],Table1[Merchant],Snapshot!AT95,Table1[Month],Snapshot!$W$4)*-1)</f>
        <v/>
      </c>
      <c r="AV95" s="25" t="str">
        <f>IF(ISBLANK(AT95),"",COUNTIFS(Table1[Merchant],Snapshot!AT95,Table1[Month],Snapshot!$W$4))</f>
        <v/>
      </c>
      <c r="AW95" s="25" t="str">
        <f>IFERROR(RANK(AV95,$AV$6:$AV$200)+COUNTIF($AV$6:AV95,AV95)-1,"")</f>
        <v/>
      </c>
      <c r="AX95" s="25" t="str">
        <f>IFERROR(RANK(AU95,$AU$6:$AU$200)+COUNTIF($AU$6:AU95,AU95)-1,"")</f>
        <v/>
      </c>
    </row>
    <row r="96" spans="22:50" x14ac:dyDescent="0.25">
      <c r="V96" s="38" t="str">
        <f t="shared" si="8"/>
        <v>--</v>
      </c>
      <c r="W96" s="38"/>
      <c r="AT96" s="25"/>
      <c r="AU96" s="32" t="str">
        <f>IF(ISBLANK(AT96),"",SUMIFS(Table1[Amount $],Table1[Merchant],Snapshot!AT96,Table1[Month],Snapshot!$W$4)*-1)</f>
        <v/>
      </c>
      <c r="AV96" s="25" t="str">
        <f>IF(ISBLANK(AT96),"",COUNTIFS(Table1[Merchant],Snapshot!AT96,Table1[Month],Snapshot!$W$4))</f>
        <v/>
      </c>
      <c r="AW96" s="25" t="str">
        <f>IFERROR(RANK(AV96,$AV$6:$AV$200)+COUNTIF($AV$6:AV96,AV96)-1,"")</f>
        <v/>
      </c>
      <c r="AX96" s="25" t="str">
        <f>IFERROR(RANK(AU96,$AU$6:$AU$200)+COUNTIF($AU$6:AU96,AU96)-1,"")</f>
        <v/>
      </c>
    </row>
    <row r="97" spans="22:50" x14ac:dyDescent="0.25">
      <c r="V97" s="38" t="str">
        <f t="shared" si="8"/>
        <v>--</v>
      </c>
      <c r="W97" s="38"/>
      <c r="AT97" s="25"/>
      <c r="AU97" s="32" t="str">
        <f>IF(ISBLANK(AT97),"",SUMIFS(Table1[Amount $],Table1[Merchant],Snapshot!AT97,Table1[Month],Snapshot!$W$4)*-1)</f>
        <v/>
      </c>
      <c r="AV97" s="25" t="str">
        <f>IF(ISBLANK(AT97),"",COUNTIFS(Table1[Merchant],Snapshot!AT97,Table1[Month],Snapshot!$W$4))</f>
        <v/>
      </c>
      <c r="AW97" s="25" t="str">
        <f>IFERROR(RANK(AV97,$AV$6:$AV$200)+COUNTIF($AV$6:AV97,AV97)-1,"")</f>
        <v/>
      </c>
      <c r="AX97" s="25" t="str">
        <f>IFERROR(RANK(AU97,$AU$6:$AU$200)+COUNTIF($AU$6:AU97,AU97)-1,"")</f>
        <v/>
      </c>
    </row>
    <row r="98" spans="22:50" x14ac:dyDescent="0.25">
      <c r="V98" s="38" t="str">
        <f t="shared" si="8"/>
        <v>--</v>
      </c>
      <c r="W98" s="38"/>
      <c r="AT98" s="25"/>
      <c r="AU98" s="32" t="str">
        <f>IF(ISBLANK(AT98),"",SUMIFS(Table1[Amount $],Table1[Merchant],Snapshot!AT98,Table1[Month],Snapshot!$W$4)*-1)</f>
        <v/>
      </c>
      <c r="AV98" s="25" t="str">
        <f>IF(ISBLANK(AT98),"",COUNTIFS(Table1[Merchant],Snapshot!AT98,Table1[Month],Snapshot!$W$4))</f>
        <v/>
      </c>
      <c r="AW98" s="25" t="str">
        <f>IFERROR(RANK(AV98,$AV$6:$AV$200)+COUNTIF($AV$6:AV98,AV98)-1,"")</f>
        <v/>
      </c>
      <c r="AX98" s="25" t="str">
        <f>IFERROR(RANK(AU98,$AU$6:$AU$200)+COUNTIF($AU$6:AU98,AU98)-1,"")</f>
        <v/>
      </c>
    </row>
    <row r="99" spans="22:50" x14ac:dyDescent="0.25">
      <c r="V99" s="38" t="str">
        <f t="shared" si="8"/>
        <v>--</v>
      </c>
      <c r="W99" s="38"/>
      <c r="AT99" s="25"/>
      <c r="AU99" s="32" t="str">
        <f>IF(ISBLANK(AT99),"",SUMIFS(Table1[Amount $],Table1[Merchant],Snapshot!AT99,Table1[Month],Snapshot!$W$4)*-1)</f>
        <v/>
      </c>
      <c r="AV99" s="25" t="str">
        <f>IF(ISBLANK(AT99),"",COUNTIFS(Table1[Merchant],Snapshot!AT99,Table1[Month],Snapshot!$W$4))</f>
        <v/>
      </c>
      <c r="AW99" s="25" t="str">
        <f>IFERROR(RANK(AV99,$AV$6:$AV$200)+COUNTIF($AV$6:AV99,AV99)-1,"")</f>
        <v/>
      </c>
      <c r="AX99" s="25" t="str">
        <f>IFERROR(RANK(AU99,$AU$6:$AU$200)+COUNTIF($AU$6:AU99,AU99)-1,"")</f>
        <v/>
      </c>
    </row>
    <row r="100" spans="22:50" x14ac:dyDescent="0.25">
      <c r="V100" s="38" t="str">
        <f t="shared" ref="V100:V105" si="9">IF(ISBLANK(W100),"--",TEXT(W100,"mmmm")&amp;" "&amp;TEXT(W100,"YYYY"))</f>
        <v>--</v>
      </c>
      <c r="W100" s="38"/>
      <c r="AT100" s="25"/>
      <c r="AU100" s="32" t="str">
        <f>IF(ISBLANK(AT100),"",SUMIFS(Table1[Amount $],Table1[Merchant],Snapshot!AT100,Table1[Month],Snapshot!$W$4)*-1)</f>
        <v/>
      </c>
      <c r="AV100" s="25" t="str">
        <f>IF(ISBLANK(AT100),"",COUNTIFS(Table1[Merchant],Snapshot!AT100,Table1[Month],Snapshot!$W$4))</f>
        <v/>
      </c>
      <c r="AW100" s="25" t="str">
        <f>IFERROR(RANK(AV100,$AV$6:$AV$200)+COUNTIF($AV$6:AV100,AV100)-1,"")</f>
        <v/>
      </c>
      <c r="AX100" s="25" t="str">
        <f>IFERROR(RANK(AU100,$AU$6:$AU$200)+COUNTIF($AU$6:AU100,AU100)-1,"")</f>
        <v/>
      </c>
    </row>
    <row r="101" spans="22:50" x14ac:dyDescent="0.25">
      <c r="V101" s="38" t="str">
        <f t="shared" si="9"/>
        <v>--</v>
      </c>
      <c r="W101" s="38"/>
      <c r="AT101" s="25"/>
      <c r="AU101" s="32" t="str">
        <f>IF(ISBLANK(AT101),"",SUMIFS(Table1[Amount $],Table1[Merchant],Snapshot!AT101,Table1[Month],Snapshot!$W$4)*-1)</f>
        <v/>
      </c>
      <c r="AV101" s="25" t="str">
        <f>IF(ISBLANK(AT101),"",COUNTIFS(Table1[Merchant],Snapshot!AT101,Table1[Month],Snapshot!$W$4))</f>
        <v/>
      </c>
      <c r="AW101" s="25" t="str">
        <f>IFERROR(RANK(AV101,$AV$6:$AV$200)+COUNTIF($AV$6:AV101,AV101)-1,"")</f>
        <v/>
      </c>
      <c r="AX101" s="25" t="str">
        <f>IFERROR(RANK(AU101,$AU$6:$AU$200)+COUNTIF($AU$6:AU101,AU101)-1,"")</f>
        <v/>
      </c>
    </row>
    <row r="102" spans="22:50" x14ac:dyDescent="0.25">
      <c r="V102" s="38" t="str">
        <f t="shared" si="9"/>
        <v>--</v>
      </c>
      <c r="W102" s="38"/>
      <c r="AT102" s="25"/>
      <c r="AU102" s="32" t="str">
        <f>IF(ISBLANK(AT102),"",SUMIFS(Table1[Amount $],Table1[Merchant],Snapshot!AT102,Table1[Month],Snapshot!$W$4)*-1)</f>
        <v/>
      </c>
      <c r="AV102" s="25" t="str">
        <f>IF(ISBLANK(AT102),"",COUNTIFS(Table1[Merchant],Snapshot!AT102,Table1[Month],Snapshot!$W$4))</f>
        <v/>
      </c>
      <c r="AW102" s="25" t="str">
        <f>IFERROR(RANK(AV102,$AV$6:$AV$200)+COUNTIF($AV$6:AV102,AV102)-1,"")</f>
        <v/>
      </c>
      <c r="AX102" s="25" t="str">
        <f>IFERROR(RANK(AU102,$AU$6:$AU$200)+COUNTIF($AU$6:AU102,AU102)-1,"")</f>
        <v/>
      </c>
    </row>
    <row r="103" spans="22:50" x14ac:dyDescent="0.25">
      <c r="V103" s="38" t="str">
        <f t="shared" si="9"/>
        <v>--</v>
      </c>
      <c r="W103" s="38"/>
      <c r="AT103" s="25"/>
      <c r="AU103" s="32" t="str">
        <f>IF(ISBLANK(AT103),"",SUMIFS(Table1[Amount $],Table1[Merchant],Snapshot!AT103,Table1[Month],Snapshot!$W$4)*-1)</f>
        <v/>
      </c>
      <c r="AV103" s="25" t="str">
        <f>IF(ISBLANK(AT103),"",COUNTIFS(Table1[Merchant],Snapshot!AT103,Table1[Month],Snapshot!$W$4))</f>
        <v/>
      </c>
      <c r="AW103" s="25" t="str">
        <f>IFERROR(RANK(AV103,$AV$6:$AV$200)+COUNTIF($AV$6:AV103,AV103)-1,"")</f>
        <v/>
      </c>
      <c r="AX103" s="25" t="str">
        <f>IFERROR(RANK(AU103,$AU$6:$AU$200)+COUNTIF($AU$6:AU103,AU103)-1,"")</f>
        <v/>
      </c>
    </row>
    <row r="104" spans="22:50" x14ac:dyDescent="0.25">
      <c r="V104" s="38" t="str">
        <f t="shared" si="9"/>
        <v>--</v>
      </c>
      <c r="W104" s="38"/>
      <c r="AT104" s="25"/>
      <c r="AU104" s="32" t="str">
        <f>IF(ISBLANK(AT104),"",SUMIFS(Table1[Amount $],Table1[Merchant],Snapshot!AT104,Table1[Month],Snapshot!$W$4)*-1)</f>
        <v/>
      </c>
      <c r="AV104" s="25" t="str">
        <f>IF(ISBLANK(AT104),"",COUNTIFS(Table1[Merchant],Snapshot!AT104,Table1[Month],Snapshot!$W$4))</f>
        <v/>
      </c>
      <c r="AW104" s="25" t="str">
        <f>IFERROR(RANK(AV104,$AV$6:$AV$200)+COUNTIF($AV$6:AV104,AV104)-1,"")</f>
        <v/>
      </c>
      <c r="AX104" s="25" t="str">
        <f>IFERROR(RANK(AU104,$AU$6:$AU$200)+COUNTIF($AU$6:AU104,AU104)-1,"")</f>
        <v/>
      </c>
    </row>
    <row r="105" spans="22:50" x14ac:dyDescent="0.25">
      <c r="V105" s="38" t="str">
        <f t="shared" si="9"/>
        <v>--</v>
      </c>
      <c r="W105" s="38"/>
      <c r="AT105" s="25"/>
      <c r="AU105" s="32" t="str">
        <f>IF(ISBLANK(AT105),"",SUMIFS(Table1[Amount $],Table1[Merchant],Snapshot!AT105,Table1[Month],Snapshot!$W$4)*-1)</f>
        <v/>
      </c>
      <c r="AV105" s="25" t="str">
        <f>IF(ISBLANK(AT105),"",COUNTIFS(Table1[Merchant],Snapshot!AT105,Table1[Month],Snapshot!$W$4))</f>
        <v/>
      </c>
      <c r="AW105" s="25" t="str">
        <f>IFERROR(RANK(AV105,$AV$6:$AV$200)+COUNTIF($AV$6:AV105,AV105)-1,"")</f>
        <v/>
      </c>
      <c r="AX105" s="25" t="str">
        <f>IFERROR(RANK(AU105,$AU$6:$AU$200)+COUNTIF($AU$6:AU105,AU105)-1,"")</f>
        <v/>
      </c>
    </row>
    <row r="106" spans="22:50" x14ac:dyDescent="0.25">
      <c r="V106" s="38" t="str">
        <f t="shared" ref="V106:V169" si="10">IF(ISBLANK(W106),"--",TEXT(W106,"mmmm")&amp;" "&amp;TEXT(W106,"YYYY"))</f>
        <v>--</v>
      </c>
      <c r="W106" s="38"/>
      <c r="AT106" s="25"/>
      <c r="AU106" s="32" t="str">
        <f>IF(ISBLANK(AT106),"",SUMIFS(Table1[Amount $],Table1[Merchant],Snapshot!AT106,Table1[Month],Snapshot!$W$4)*-1)</f>
        <v/>
      </c>
      <c r="AV106" s="25" t="str">
        <f>IF(ISBLANK(AT106),"",COUNTIFS(Table1[Merchant],Snapshot!AT106,Table1[Month],Snapshot!$W$4))</f>
        <v/>
      </c>
      <c r="AW106" s="25" t="str">
        <f>IFERROR(RANK(AV106,$AV$6:$AV$200)+COUNTIF($AV$6:AV106,AV106)-1,"")</f>
        <v/>
      </c>
      <c r="AX106" s="25" t="str">
        <f>IFERROR(RANK(AU106,$AU$6:$AU$200)+COUNTIF($AU$6:AU106,AU106)-1,"")</f>
        <v/>
      </c>
    </row>
    <row r="107" spans="22:50" x14ac:dyDescent="0.25">
      <c r="V107" s="38" t="str">
        <f t="shared" si="10"/>
        <v>--</v>
      </c>
      <c r="W107" s="38"/>
      <c r="AT107" s="25"/>
      <c r="AU107" s="32" t="str">
        <f>IF(ISBLANK(AT107),"",SUMIFS(Table1[Amount $],Table1[Merchant],Snapshot!AT107,Table1[Month],Snapshot!$W$4)*-1)</f>
        <v/>
      </c>
      <c r="AV107" s="25" t="str">
        <f>IF(ISBLANK(AT107),"",COUNTIFS(Table1[Merchant],Snapshot!AT107,Table1[Month],Snapshot!$W$4))</f>
        <v/>
      </c>
      <c r="AW107" s="25" t="str">
        <f>IFERROR(RANK(AV107,$AV$6:$AV$200)+COUNTIF($AV$6:AV107,AV107)-1,"")</f>
        <v/>
      </c>
      <c r="AX107" s="25" t="str">
        <f>IFERROR(RANK(AU107,$AU$6:$AU$200)+COUNTIF($AU$6:AU107,AU107)-1,"")</f>
        <v/>
      </c>
    </row>
    <row r="108" spans="22:50" x14ac:dyDescent="0.25">
      <c r="V108" s="38" t="str">
        <f t="shared" si="10"/>
        <v>--</v>
      </c>
      <c r="W108" s="38"/>
      <c r="AT108" s="25"/>
      <c r="AU108" s="32" t="str">
        <f>IF(ISBLANK(AT108),"",SUMIFS(Table1[Amount $],Table1[Merchant],Snapshot!AT108,Table1[Month],Snapshot!$W$4)*-1)</f>
        <v/>
      </c>
      <c r="AV108" s="25" t="str">
        <f>IF(ISBLANK(AT108),"",COUNTIFS(Table1[Merchant],Snapshot!AT108,Table1[Month],Snapshot!$W$4))</f>
        <v/>
      </c>
      <c r="AW108" s="25" t="str">
        <f>IFERROR(RANK(AV108,$AV$6:$AV$200)+COUNTIF($AV$6:AV108,AV108)-1,"")</f>
        <v/>
      </c>
      <c r="AX108" s="25" t="str">
        <f>IFERROR(RANK(AU108,$AU$6:$AU$200)+COUNTIF($AU$6:AU108,AU108)-1,"")</f>
        <v/>
      </c>
    </row>
    <row r="109" spans="22:50" x14ac:dyDescent="0.25">
      <c r="V109" s="38" t="str">
        <f t="shared" si="10"/>
        <v>--</v>
      </c>
      <c r="W109" s="38"/>
      <c r="AT109" s="25"/>
      <c r="AU109" s="32" t="str">
        <f>IF(ISBLANK(AT109),"",SUMIFS(Table1[Amount $],Table1[Merchant],Snapshot!AT109,Table1[Month],Snapshot!$W$4)*-1)</f>
        <v/>
      </c>
      <c r="AV109" s="25" t="str">
        <f>IF(ISBLANK(AT109),"",COUNTIFS(Table1[Merchant],Snapshot!AT109,Table1[Month],Snapshot!$W$4))</f>
        <v/>
      </c>
      <c r="AW109" s="25" t="str">
        <f>IFERROR(RANK(AV109,$AV$6:$AV$200)+COUNTIF($AV$6:AV109,AV109)-1,"")</f>
        <v/>
      </c>
      <c r="AX109" s="25" t="str">
        <f>IFERROR(RANK(AU109,$AU$6:$AU$200)+COUNTIF($AU$6:AU109,AU109)-1,"")</f>
        <v/>
      </c>
    </row>
    <row r="110" spans="22:50" x14ac:dyDescent="0.25">
      <c r="V110" s="38" t="str">
        <f t="shared" si="10"/>
        <v>--</v>
      </c>
      <c r="W110" s="38"/>
      <c r="AT110" s="25"/>
      <c r="AU110" s="32" t="str">
        <f>IF(ISBLANK(AT110),"",SUMIFS(Table1[Amount $],Table1[Merchant],Snapshot!AT110,Table1[Month],Snapshot!$W$4)*-1)</f>
        <v/>
      </c>
      <c r="AV110" s="25" t="str">
        <f>IF(ISBLANK(AT110),"",COUNTIFS(Table1[Merchant],Snapshot!AT110,Table1[Month],Snapshot!$W$4))</f>
        <v/>
      </c>
      <c r="AW110" s="25" t="str">
        <f>IFERROR(RANK(AV110,$AV$6:$AV$200)+COUNTIF($AV$6:AV110,AV110)-1,"")</f>
        <v/>
      </c>
      <c r="AX110" s="25" t="str">
        <f>IFERROR(RANK(AU110,$AU$6:$AU$200)+COUNTIF($AU$6:AU110,AU110)-1,"")</f>
        <v/>
      </c>
    </row>
    <row r="111" spans="22:50" x14ac:dyDescent="0.25">
      <c r="V111" s="38" t="str">
        <f t="shared" si="10"/>
        <v>--</v>
      </c>
      <c r="W111" s="38"/>
      <c r="AT111" s="25"/>
      <c r="AU111" s="32" t="str">
        <f>IF(ISBLANK(AT111),"",SUMIFS(Table1[Amount $],Table1[Merchant],Snapshot!AT111,Table1[Month],Snapshot!$W$4)*-1)</f>
        <v/>
      </c>
      <c r="AV111" s="25" t="str">
        <f>IF(ISBLANK(AT111),"",COUNTIFS(Table1[Merchant],Snapshot!AT111,Table1[Month],Snapshot!$W$4))</f>
        <v/>
      </c>
      <c r="AW111" s="25" t="str">
        <f>IFERROR(RANK(AV111,$AV$6:$AV$200)+COUNTIF($AV$6:AV111,AV111)-1,"")</f>
        <v/>
      </c>
      <c r="AX111" s="25" t="str">
        <f>IFERROR(RANK(AU111,$AU$6:$AU$200)+COUNTIF($AU$6:AU111,AU111)-1,"")</f>
        <v/>
      </c>
    </row>
    <row r="112" spans="22:50" x14ac:dyDescent="0.25">
      <c r="V112" s="38" t="str">
        <f t="shared" si="10"/>
        <v>--</v>
      </c>
      <c r="W112" s="38"/>
      <c r="AT112" s="25"/>
      <c r="AU112" s="32" t="str">
        <f>IF(ISBLANK(AT112),"",SUMIFS(Table1[Amount $],Table1[Merchant],Snapshot!AT112,Table1[Month],Snapshot!$W$4)*-1)</f>
        <v/>
      </c>
      <c r="AV112" s="25" t="str">
        <f>IF(ISBLANK(AT112),"",COUNTIFS(Table1[Merchant],Snapshot!AT112,Table1[Month],Snapshot!$W$4))</f>
        <v/>
      </c>
      <c r="AW112" s="25" t="str">
        <f>IFERROR(RANK(AV112,$AV$6:$AV$200)+COUNTIF($AV$6:AV112,AV112)-1,"")</f>
        <v/>
      </c>
      <c r="AX112" s="25" t="str">
        <f>IFERROR(RANK(AU112,$AU$6:$AU$200)+COUNTIF($AU$6:AU112,AU112)-1,"")</f>
        <v/>
      </c>
    </row>
    <row r="113" spans="22:50" x14ac:dyDescent="0.25">
      <c r="V113" s="38" t="str">
        <f t="shared" si="10"/>
        <v>--</v>
      </c>
      <c r="W113" s="38"/>
      <c r="AT113" s="25"/>
      <c r="AU113" s="32" t="str">
        <f>IF(ISBLANK(AT113),"",SUMIFS(Table1[Amount $],Table1[Merchant],Snapshot!AT113,Table1[Month],Snapshot!$W$4)*-1)</f>
        <v/>
      </c>
      <c r="AV113" s="25" t="str">
        <f>IF(ISBLANK(AT113),"",COUNTIFS(Table1[Merchant],Snapshot!AT113,Table1[Month],Snapshot!$W$4))</f>
        <v/>
      </c>
      <c r="AW113" s="25" t="str">
        <f>IFERROR(RANK(AV113,$AV$6:$AV$200)+COUNTIF($AV$6:AV113,AV113)-1,"")</f>
        <v/>
      </c>
      <c r="AX113" s="25" t="str">
        <f>IFERROR(RANK(AU113,$AU$6:$AU$200)+COUNTIF($AU$6:AU113,AU113)-1,"")</f>
        <v/>
      </c>
    </row>
    <row r="114" spans="22:50" x14ac:dyDescent="0.25">
      <c r="V114" s="38" t="str">
        <f t="shared" si="10"/>
        <v>--</v>
      </c>
      <c r="W114" s="38"/>
      <c r="AT114" s="25"/>
      <c r="AU114" s="32" t="str">
        <f>IF(ISBLANK(AT114),"",SUMIFS(Table1[Amount $],Table1[Merchant],Snapshot!AT114,Table1[Month],Snapshot!$W$4)*-1)</f>
        <v/>
      </c>
      <c r="AV114" s="25" t="str">
        <f>IF(ISBLANK(AT114),"",COUNTIFS(Table1[Merchant],Snapshot!AT114,Table1[Month],Snapshot!$W$4))</f>
        <v/>
      </c>
      <c r="AW114" s="25" t="str">
        <f>IFERROR(RANK(AV114,$AV$6:$AV$200)+COUNTIF($AV$6:AV114,AV114)-1,"")</f>
        <v/>
      </c>
      <c r="AX114" s="25" t="str">
        <f>IFERROR(RANK(AU114,$AU$6:$AU$200)+COUNTIF($AU$6:AU114,AU114)-1,"")</f>
        <v/>
      </c>
    </row>
    <row r="115" spans="22:50" x14ac:dyDescent="0.25">
      <c r="V115" s="38" t="str">
        <f t="shared" si="10"/>
        <v>--</v>
      </c>
      <c r="W115" s="38"/>
      <c r="AT115" s="25"/>
      <c r="AU115" s="32" t="str">
        <f>IF(ISBLANK(AT115),"",SUMIFS(Table1[Amount $],Table1[Merchant],Snapshot!AT115,Table1[Month],Snapshot!$W$4)*-1)</f>
        <v/>
      </c>
      <c r="AV115" s="25" t="str">
        <f>IF(ISBLANK(AT115),"",COUNTIFS(Table1[Merchant],Snapshot!AT115,Table1[Month],Snapshot!$W$4))</f>
        <v/>
      </c>
      <c r="AW115" s="25" t="str">
        <f>IFERROR(RANK(AV115,$AV$6:$AV$200)+COUNTIF($AV$6:AV115,AV115)-1,"")</f>
        <v/>
      </c>
      <c r="AX115" s="25" t="str">
        <f>IFERROR(RANK(AU115,$AU$6:$AU$200)+COUNTIF($AU$6:AU115,AU115)-1,"")</f>
        <v/>
      </c>
    </row>
    <row r="116" spans="22:50" x14ac:dyDescent="0.25">
      <c r="V116" s="38" t="str">
        <f t="shared" si="10"/>
        <v>--</v>
      </c>
      <c r="W116" s="38"/>
      <c r="AT116" s="25"/>
      <c r="AU116" s="32" t="str">
        <f>IF(ISBLANK(AT116),"",SUMIFS(Table1[Amount $],Table1[Merchant],Snapshot!AT116,Table1[Month],Snapshot!$W$4)*-1)</f>
        <v/>
      </c>
      <c r="AV116" s="25" t="str">
        <f>IF(ISBLANK(AT116),"",COUNTIFS(Table1[Merchant],Snapshot!AT116,Table1[Month],Snapshot!$W$4))</f>
        <v/>
      </c>
      <c r="AW116" s="25" t="str">
        <f>IFERROR(RANK(AV116,$AV$6:$AV$200)+COUNTIF($AV$6:AV116,AV116)-1,"")</f>
        <v/>
      </c>
      <c r="AX116" s="25" t="str">
        <f>IFERROR(RANK(AU116,$AU$6:$AU$200)+COUNTIF($AU$6:AU116,AU116)-1,"")</f>
        <v/>
      </c>
    </row>
    <row r="117" spans="22:50" x14ac:dyDescent="0.25">
      <c r="V117" s="38" t="str">
        <f t="shared" si="10"/>
        <v>--</v>
      </c>
      <c r="W117" s="38"/>
      <c r="AT117" s="25"/>
      <c r="AU117" s="32" t="str">
        <f>IF(ISBLANK(AT117),"",SUMIFS(Table1[Amount $],Table1[Merchant],Snapshot!AT117,Table1[Month],Snapshot!$W$4)*-1)</f>
        <v/>
      </c>
      <c r="AV117" s="25" t="str">
        <f>IF(ISBLANK(AT117),"",COUNTIFS(Table1[Merchant],Snapshot!AT117,Table1[Month],Snapshot!$W$4))</f>
        <v/>
      </c>
      <c r="AW117" s="25" t="str">
        <f>IFERROR(RANK(AV117,$AV$6:$AV$200)+COUNTIF($AV$6:AV117,AV117)-1,"")</f>
        <v/>
      </c>
      <c r="AX117" s="25" t="str">
        <f>IFERROR(RANK(AU117,$AU$6:$AU$200)+COUNTIF($AU$6:AU117,AU117)-1,"")</f>
        <v/>
      </c>
    </row>
    <row r="118" spans="22:50" x14ac:dyDescent="0.25">
      <c r="V118" s="38" t="str">
        <f t="shared" si="10"/>
        <v>--</v>
      </c>
      <c r="W118" s="38"/>
      <c r="AT118" s="25"/>
      <c r="AU118" s="32" t="str">
        <f>IF(ISBLANK(AT118),"",SUMIFS(Table1[Amount $],Table1[Merchant],Snapshot!AT118,Table1[Month],Snapshot!$W$4)*-1)</f>
        <v/>
      </c>
      <c r="AV118" s="25" t="str">
        <f>IF(ISBLANK(AT118),"",COUNTIFS(Table1[Merchant],Snapshot!AT118,Table1[Month],Snapshot!$W$4))</f>
        <v/>
      </c>
      <c r="AW118" s="25" t="str">
        <f>IFERROR(RANK(AV118,$AV$6:$AV$200)+COUNTIF($AV$6:AV118,AV118)-1,"")</f>
        <v/>
      </c>
      <c r="AX118" s="25" t="str">
        <f>IFERROR(RANK(AU118,$AU$6:$AU$200)+COUNTIF($AU$6:AU118,AU118)-1,"")</f>
        <v/>
      </c>
    </row>
    <row r="119" spans="22:50" x14ac:dyDescent="0.25">
      <c r="V119" s="38" t="str">
        <f t="shared" si="10"/>
        <v>--</v>
      </c>
      <c r="W119" s="38"/>
      <c r="AT119" s="25"/>
      <c r="AU119" s="32" t="str">
        <f>IF(ISBLANK(AT119),"",SUMIFS(Table1[Amount $],Table1[Merchant],Snapshot!AT119,Table1[Month],Snapshot!$W$4)*-1)</f>
        <v/>
      </c>
      <c r="AV119" s="25" t="str">
        <f>IF(ISBLANK(AT119),"",COUNTIFS(Table1[Merchant],Snapshot!AT119,Table1[Month],Snapshot!$W$4))</f>
        <v/>
      </c>
      <c r="AW119" s="25" t="str">
        <f>IFERROR(RANK(AV119,$AV$6:$AV$200)+COUNTIF($AV$6:AV119,AV119)-1,"")</f>
        <v/>
      </c>
      <c r="AX119" s="25" t="str">
        <f>IFERROR(RANK(AU119,$AU$6:$AU$200)+COUNTIF($AU$6:AU119,AU119)-1,"")</f>
        <v/>
      </c>
    </row>
    <row r="120" spans="22:50" x14ac:dyDescent="0.25">
      <c r="V120" s="38" t="str">
        <f t="shared" si="10"/>
        <v>--</v>
      </c>
      <c r="W120" s="38"/>
      <c r="AT120" s="25"/>
      <c r="AU120" s="32" t="str">
        <f>IF(ISBLANK(AT120),"",SUMIFS(Table1[Amount $],Table1[Merchant],Snapshot!AT120,Table1[Month],Snapshot!$W$4)*-1)</f>
        <v/>
      </c>
      <c r="AV120" s="25" t="str">
        <f>IF(ISBLANK(AT120),"",COUNTIFS(Table1[Merchant],Snapshot!AT120,Table1[Month],Snapshot!$W$4))</f>
        <v/>
      </c>
      <c r="AW120" s="25" t="str">
        <f>IFERROR(RANK(AV120,$AV$6:$AV$200)+COUNTIF($AV$6:AV120,AV120)-1,"")</f>
        <v/>
      </c>
      <c r="AX120" s="25" t="str">
        <f>IFERROR(RANK(AU120,$AU$6:$AU$200)+COUNTIF($AU$6:AU120,AU120)-1,"")</f>
        <v/>
      </c>
    </row>
    <row r="121" spans="22:50" x14ac:dyDescent="0.25">
      <c r="V121" s="38" t="str">
        <f t="shared" si="10"/>
        <v>--</v>
      </c>
      <c r="W121" s="38"/>
      <c r="AT121" s="25"/>
      <c r="AU121" s="32" t="str">
        <f>IF(ISBLANK(AT121),"",SUMIFS(Table1[Amount $],Table1[Merchant],Snapshot!AT121,Table1[Month],Snapshot!$W$4)*-1)</f>
        <v/>
      </c>
      <c r="AV121" s="25" t="str">
        <f>IF(ISBLANK(AT121),"",COUNTIFS(Table1[Merchant],Snapshot!AT121,Table1[Month],Snapshot!$W$4))</f>
        <v/>
      </c>
      <c r="AW121" s="25" t="str">
        <f>IFERROR(RANK(AV121,$AV$6:$AV$200)+COUNTIF($AV$6:AV121,AV121)-1,"")</f>
        <v/>
      </c>
      <c r="AX121" s="25" t="str">
        <f>IFERROR(RANK(AU121,$AU$6:$AU$200)+COUNTIF($AU$6:AU121,AU121)-1,"")</f>
        <v/>
      </c>
    </row>
    <row r="122" spans="22:50" x14ac:dyDescent="0.25">
      <c r="V122" s="38" t="str">
        <f t="shared" si="10"/>
        <v>--</v>
      </c>
      <c r="W122" s="38"/>
      <c r="AT122" s="25"/>
      <c r="AU122" s="32" t="str">
        <f>IF(ISBLANK(AT122),"",SUMIFS(Table1[Amount $],Table1[Merchant],Snapshot!AT122,Table1[Month],Snapshot!$W$4)*-1)</f>
        <v/>
      </c>
      <c r="AV122" s="25" t="str">
        <f>IF(ISBLANK(AT122),"",COUNTIFS(Table1[Merchant],Snapshot!AT122,Table1[Month],Snapshot!$W$4))</f>
        <v/>
      </c>
      <c r="AW122" s="25" t="str">
        <f>IFERROR(RANK(AV122,$AV$6:$AV$200)+COUNTIF($AV$6:AV122,AV122)-1,"")</f>
        <v/>
      </c>
      <c r="AX122" s="25" t="str">
        <f>IFERROR(RANK(AU122,$AU$6:$AU$200)+COUNTIF($AU$6:AU122,AU122)-1,"")</f>
        <v/>
      </c>
    </row>
    <row r="123" spans="22:50" x14ac:dyDescent="0.25">
      <c r="V123" s="38" t="str">
        <f t="shared" si="10"/>
        <v>--</v>
      </c>
      <c r="W123" s="38"/>
      <c r="AT123" s="25"/>
      <c r="AU123" s="32" t="str">
        <f>IF(ISBLANK(AT123),"",SUMIFS(Table1[Amount $],Table1[Merchant],Snapshot!AT123,Table1[Month],Snapshot!$W$4)*-1)</f>
        <v/>
      </c>
      <c r="AV123" s="25" t="str">
        <f>IF(ISBLANK(AT123),"",COUNTIFS(Table1[Merchant],Snapshot!AT123,Table1[Month],Snapshot!$W$4))</f>
        <v/>
      </c>
      <c r="AW123" s="25" t="str">
        <f>IFERROR(RANK(AV123,$AV$6:$AV$200)+COUNTIF($AV$6:AV123,AV123)-1,"")</f>
        <v/>
      </c>
      <c r="AX123" s="25" t="str">
        <f>IFERROR(RANK(AU123,$AU$6:$AU$200)+COUNTIF($AU$6:AU123,AU123)-1,"")</f>
        <v/>
      </c>
    </row>
    <row r="124" spans="22:50" x14ac:dyDescent="0.25">
      <c r="V124" s="38" t="str">
        <f t="shared" si="10"/>
        <v>--</v>
      </c>
      <c r="W124" s="38"/>
      <c r="AT124" s="25"/>
      <c r="AU124" s="32" t="str">
        <f>IF(ISBLANK(AT124),"",SUMIFS(Table1[Amount $],Table1[Merchant],Snapshot!AT124,Table1[Month],Snapshot!$W$4)*-1)</f>
        <v/>
      </c>
      <c r="AV124" s="25" t="str">
        <f>IF(ISBLANK(AT124),"",COUNTIFS(Table1[Merchant],Snapshot!AT124,Table1[Month],Snapshot!$W$4))</f>
        <v/>
      </c>
      <c r="AW124" s="25" t="str">
        <f>IFERROR(RANK(AV124,$AV$6:$AV$200)+COUNTIF($AV$6:AV124,AV124)-1,"")</f>
        <v/>
      </c>
      <c r="AX124" s="25" t="str">
        <f>IFERROR(RANK(AU124,$AU$6:$AU$200)+COUNTIF($AU$6:AU124,AU124)-1,"")</f>
        <v/>
      </c>
    </row>
    <row r="125" spans="22:50" x14ac:dyDescent="0.25">
      <c r="V125" s="38" t="str">
        <f t="shared" si="10"/>
        <v>--</v>
      </c>
      <c r="W125" s="38"/>
      <c r="AT125" s="25"/>
      <c r="AU125" s="32" t="str">
        <f>IF(ISBLANK(AT125),"",SUMIFS(Table1[Amount $],Table1[Merchant],Snapshot!AT125,Table1[Month],Snapshot!$W$4)*-1)</f>
        <v/>
      </c>
      <c r="AV125" s="25" t="str">
        <f>IF(ISBLANK(AT125),"",COUNTIFS(Table1[Merchant],Snapshot!AT125,Table1[Month],Snapshot!$W$4))</f>
        <v/>
      </c>
      <c r="AW125" s="25" t="str">
        <f>IFERROR(RANK(AV125,$AV$6:$AV$200)+COUNTIF($AV$6:AV125,AV125)-1,"")</f>
        <v/>
      </c>
      <c r="AX125" s="25" t="str">
        <f>IFERROR(RANK(AU125,$AU$6:$AU$200)+COUNTIF($AU$6:AU125,AU125)-1,"")</f>
        <v/>
      </c>
    </row>
    <row r="126" spans="22:50" x14ac:dyDescent="0.25">
      <c r="V126" s="38" t="str">
        <f t="shared" si="10"/>
        <v>--</v>
      </c>
      <c r="W126" s="38"/>
      <c r="AT126" s="25"/>
      <c r="AU126" s="32" t="str">
        <f>IF(ISBLANK(AT126),"",SUMIFS(Table1[Amount $],Table1[Merchant],Snapshot!AT126,Table1[Month],Snapshot!$W$4)*-1)</f>
        <v/>
      </c>
      <c r="AV126" s="25" t="str">
        <f>IF(ISBLANK(AT126),"",COUNTIFS(Table1[Merchant],Snapshot!AT126,Table1[Month],Snapshot!$W$4))</f>
        <v/>
      </c>
      <c r="AW126" s="25" t="str">
        <f>IFERROR(RANK(AV126,$AV$6:$AV$200)+COUNTIF($AV$6:AV126,AV126)-1,"")</f>
        <v/>
      </c>
      <c r="AX126" s="25" t="str">
        <f>IFERROR(RANK(AU126,$AU$6:$AU$200)+COUNTIF($AU$6:AU126,AU126)-1,"")</f>
        <v/>
      </c>
    </row>
    <row r="127" spans="22:50" x14ac:dyDescent="0.25">
      <c r="V127" s="38" t="str">
        <f t="shared" si="10"/>
        <v>--</v>
      </c>
      <c r="W127" s="38"/>
      <c r="AT127" s="25"/>
      <c r="AU127" s="32" t="str">
        <f>IF(ISBLANK(AT127),"",SUMIFS(Table1[Amount $],Table1[Merchant],Snapshot!AT127,Table1[Month],Snapshot!$W$4)*-1)</f>
        <v/>
      </c>
      <c r="AV127" s="25" t="str">
        <f>IF(ISBLANK(AT127),"",COUNTIFS(Table1[Merchant],Snapshot!AT127,Table1[Month],Snapshot!$W$4))</f>
        <v/>
      </c>
      <c r="AW127" s="25" t="str">
        <f>IFERROR(RANK(AV127,$AV$6:$AV$200)+COUNTIF($AV$6:AV127,AV127)-1,"")</f>
        <v/>
      </c>
      <c r="AX127" s="25" t="str">
        <f>IFERROR(RANK(AU127,$AU$6:$AU$200)+COUNTIF($AU$6:AU127,AU127)-1,"")</f>
        <v/>
      </c>
    </row>
    <row r="128" spans="22:50" x14ac:dyDescent="0.25">
      <c r="V128" s="38" t="str">
        <f t="shared" si="10"/>
        <v>--</v>
      </c>
      <c r="W128" s="38"/>
      <c r="AT128" s="25"/>
      <c r="AU128" s="32" t="str">
        <f>IF(ISBLANK(AT128),"",SUMIFS(Table1[Amount $],Table1[Merchant],Snapshot!AT128,Table1[Month],Snapshot!$W$4)*-1)</f>
        <v/>
      </c>
      <c r="AV128" s="25" t="str">
        <f>IF(ISBLANK(AT128),"",COUNTIFS(Table1[Merchant],Snapshot!AT128,Table1[Month],Snapshot!$W$4))</f>
        <v/>
      </c>
      <c r="AW128" s="25" t="str">
        <f>IFERROR(RANK(AV128,$AV$6:$AV$200)+COUNTIF($AV$6:AV128,AV128)-1,"")</f>
        <v/>
      </c>
      <c r="AX128" s="25" t="str">
        <f>IFERROR(RANK(AU128,$AU$6:$AU$200)+COUNTIF($AU$6:AU128,AU128)-1,"")</f>
        <v/>
      </c>
    </row>
    <row r="129" spans="22:50" x14ac:dyDescent="0.25">
      <c r="V129" s="38" t="str">
        <f t="shared" si="10"/>
        <v>--</v>
      </c>
      <c r="W129" s="38"/>
      <c r="AT129" s="25"/>
      <c r="AU129" s="32" t="str">
        <f>IF(ISBLANK(AT129),"",SUMIFS(Table1[Amount $],Table1[Merchant],Snapshot!AT129,Table1[Month],Snapshot!$W$4)*-1)</f>
        <v/>
      </c>
      <c r="AV129" s="25" t="str">
        <f>IF(ISBLANK(AT129),"",COUNTIFS(Table1[Merchant],Snapshot!AT129,Table1[Month],Snapshot!$W$4))</f>
        <v/>
      </c>
      <c r="AW129" s="25" t="str">
        <f>IFERROR(RANK(AV129,$AV$6:$AV$200)+COUNTIF($AV$6:AV129,AV129)-1,"")</f>
        <v/>
      </c>
      <c r="AX129" s="25" t="str">
        <f>IFERROR(RANK(AU129,$AU$6:$AU$200)+COUNTIF($AU$6:AU129,AU129)-1,"")</f>
        <v/>
      </c>
    </row>
    <row r="130" spans="22:50" x14ac:dyDescent="0.25">
      <c r="V130" s="38" t="str">
        <f t="shared" si="10"/>
        <v>--</v>
      </c>
      <c r="W130" s="38"/>
      <c r="AT130" s="25"/>
      <c r="AU130" s="32" t="str">
        <f>IF(ISBLANK(AT130),"",SUMIFS(Table1[Amount $],Table1[Merchant],Snapshot!AT130,Table1[Month],Snapshot!$W$4)*-1)</f>
        <v/>
      </c>
      <c r="AV130" s="25" t="str">
        <f>IF(ISBLANK(AT130),"",COUNTIFS(Table1[Merchant],Snapshot!AT130,Table1[Month],Snapshot!$W$4))</f>
        <v/>
      </c>
      <c r="AW130" s="25" t="str">
        <f>IFERROR(RANK(AV130,$AV$6:$AV$200)+COUNTIF($AV$6:AV130,AV130)-1,"")</f>
        <v/>
      </c>
      <c r="AX130" s="25" t="str">
        <f>IFERROR(RANK(AU130,$AU$6:$AU$200)+COUNTIF($AU$6:AU130,AU130)-1,"")</f>
        <v/>
      </c>
    </row>
    <row r="131" spans="22:50" x14ac:dyDescent="0.25">
      <c r="V131" s="38" t="str">
        <f t="shared" si="10"/>
        <v>--</v>
      </c>
      <c r="W131" s="38"/>
      <c r="AT131" s="25"/>
      <c r="AU131" s="32" t="str">
        <f>IF(ISBLANK(AT131),"",SUMIFS(Table1[Amount $],Table1[Merchant],Snapshot!AT131,Table1[Month],Snapshot!$W$4)*-1)</f>
        <v/>
      </c>
      <c r="AV131" s="25" t="str">
        <f>IF(ISBLANK(AT131),"",COUNTIFS(Table1[Merchant],Snapshot!AT131,Table1[Month],Snapshot!$W$4))</f>
        <v/>
      </c>
      <c r="AW131" s="25" t="str">
        <f>IFERROR(RANK(AV131,$AV$6:$AV$200)+COUNTIF($AV$6:AV131,AV131)-1,"")</f>
        <v/>
      </c>
      <c r="AX131" s="25" t="str">
        <f>IFERROR(RANK(AU131,$AU$6:$AU$200)+COUNTIF($AU$6:AU131,AU131)-1,"")</f>
        <v/>
      </c>
    </row>
    <row r="132" spans="22:50" x14ac:dyDescent="0.25">
      <c r="V132" s="38" t="str">
        <f t="shared" si="10"/>
        <v>--</v>
      </c>
      <c r="W132" s="38"/>
      <c r="AT132" s="25"/>
      <c r="AU132" s="32" t="str">
        <f>IF(ISBLANK(AT132),"",SUMIFS(Table1[Amount $],Table1[Merchant],Snapshot!AT132,Table1[Month],Snapshot!$W$4)*-1)</f>
        <v/>
      </c>
      <c r="AV132" s="25" t="str">
        <f>IF(ISBLANK(AT132),"",COUNTIFS(Table1[Merchant],Snapshot!AT132,Table1[Month],Snapshot!$W$4))</f>
        <v/>
      </c>
      <c r="AW132" s="25" t="str">
        <f>IFERROR(RANK(AV132,$AV$6:$AV$200)+COUNTIF($AV$6:AV132,AV132)-1,"")</f>
        <v/>
      </c>
      <c r="AX132" s="25" t="str">
        <f>IFERROR(RANK(AU132,$AU$6:$AU$200)+COUNTIF($AU$6:AU132,AU132)-1,"")</f>
        <v/>
      </c>
    </row>
    <row r="133" spans="22:50" x14ac:dyDescent="0.25">
      <c r="V133" s="38" t="str">
        <f t="shared" si="10"/>
        <v>--</v>
      </c>
      <c r="W133" s="38"/>
      <c r="AT133" s="25"/>
      <c r="AU133" s="32" t="str">
        <f>IF(ISBLANK(AT133),"",SUMIFS(Table1[Amount $],Table1[Merchant],Snapshot!AT133,Table1[Month],Snapshot!$W$4)*-1)</f>
        <v/>
      </c>
      <c r="AV133" s="25" t="str">
        <f>IF(ISBLANK(AT133),"",COUNTIFS(Table1[Merchant],Snapshot!AT133,Table1[Month],Snapshot!$W$4))</f>
        <v/>
      </c>
      <c r="AW133" s="25" t="str">
        <f>IFERROR(RANK(AV133,$AV$6:$AV$200)+COUNTIF($AV$6:AV133,AV133)-1,"")</f>
        <v/>
      </c>
      <c r="AX133" s="25" t="str">
        <f>IFERROR(RANK(AU133,$AU$6:$AU$200)+COUNTIF($AU$6:AU133,AU133)-1,"")</f>
        <v/>
      </c>
    </row>
    <row r="134" spans="22:50" x14ac:dyDescent="0.25">
      <c r="V134" s="38" t="str">
        <f t="shared" si="10"/>
        <v>--</v>
      </c>
      <c r="W134" s="38"/>
      <c r="AT134" s="25"/>
      <c r="AU134" s="32" t="str">
        <f>IF(ISBLANK(AT134),"",SUMIFS(Table1[Amount $],Table1[Merchant],Snapshot!AT134,Table1[Month],Snapshot!$W$4)*-1)</f>
        <v/>
      </c>
      <c r="AV134" s="25" t="str">
        <f>IF(ISBLANK(AT134),"",COUNTIFS(Table1[Merchant],Snapshot!AT134,Table1[Month],Snapshot!$W$4))</f>
        <v/>
      </c>
      <c r="AW134" s="25" t="str">
        <f>IFERROR(RANK(AV134,$AV$6:$AV$200)+COUNTIF($AV$6:AV134,AV134)-1,"")</f>
        <v/>
      </c>
      <c r="AX134" s="25" t="str">
        <f>IFERROR(RANK(AU134,$AU$6:$AU$200)+COUNTIF($AU$6:AU134,AU134)-1,"")</f>
        <v/>
      </c>
    </row>
    <row r="135" spans="22:50" x14ac:dyDescent="0.25">
      <c r="V135" s="38" t="str">
        <f t="shared" si="10"/>
        <v>--</v>
      </c>
      <c r="W135" s="38"/>
      <c r="AT135" s="25"/>
      <c r="AU135" s="32" t="str">
        <f>IF(ISBLANK(AT135),"",SUMIFS(Table1[Amount $],Table1[Merchant],Snapshot!AT135,Table1[Month],Snapshot!$W$4)*-1)</f>
        <v/>
      </c>
      <c r="AV135" s="25" t="str">
        <f>IF(ISBLANK(AT135),"",COUNTIFS(Table1[Merchant],Snapshot!AT135,Table1[Month],Snapshot!$W$4))</f>
        <v/>
      </c>
      <c r="AW135" s="25" t="str">
        <f>IFERROR(RANK(AV135,$AV$6:$AV$200)+COUNTIF($AV$6:AV135,AV135)-1,"")</f>
        <v/>
      </c>
      <c r="AX135" s="25" t="str">
        <f>IFERROR(RANK(AU135,$AU$6:$AU$200)+COUNTIF($AU$6:AU135,AU135)-1,"")</f>
        <v/>
      </c>
    </row>
    <row r="136" spans="22:50" x14ac:dyDescent="0.25">
      <c r="V136" s="38" t="str">
        <f t="shared" si="10"/>
        <v>--</v>
      </c>
      <c r="W136" s="38"/>
      <c r="AT136" s="25"/>
      <c r="AU136" s="32" t="str">
        <f>IF(ISBLANK(AT136),"",SUMIFS(Table1[Amount $],Table1[Merchant],Snapshot!AT136,Table1[Month],Snapshot!$W$4)*-1)</f>
        <v/>
      </c>
      <c r="AV136" s="25" t="str">
        <f>IF(ISBLANK(AT136),"",COUNTIFS(Table1[Merchant],Snapshot!AT136,Table1[Month],Snapshot!$W$4))</f>
        <v/>
      </c>
      <c r="AW136" s="25" t="str">
        <f>IFERROR(RANK(AV136,$AV$6:$AV$200)+COUNTIF($AV$6:AV136,AV136)-1,"")</f>
        <v/>
      </c>
      <c r="AX136" s="25" t="str">
        <f>IFERROR(RANK(AU136,$AU$6:$AU$200)+COUNTIF($AU$6:AU136,AU136)-1,"")</f>
        <v/>
      </c>
    </row>
    <row r="137" spans="22:50" x14ac:dyDescent="0.25">
      <c r="V137" s="38" t="str">
        <f t="shared" si="10"/>
        <v>--</v>
      </c>
      <c r="W137" s="38"/>
      <c r="AT137" s="25"/>
      <c r="AU137" s="32" t="str">
        <f>IF(ISBLANK(AT137),"",SUMIFS(Table1[Amount $],Table1[Merchant],Snapshot!AT137,Table1[Month],Snapshot!$W$4)*-1)</f>
        <v/>
      </c>
      <c r="AV137" s="25" t="str">
        <f>IF(ISBLANK(AT137),"",COUNTIFS(Table1[Merchant],Snapshot!AT137,Table1[Month],Snapshot!$W$4))</f>
        <v/>
      </c>
      <c r="AW137" s="25" t="str">
        <f>IFERROR(RANK(AV137,$AV$6:$AV$200)+COUNTIF($AV$6:AV137,AV137)-1,"")</f>
        <v/>
      </c>
      <c r="AX137" s="25" t="str">
        <f>IFERROR(RANK(AU137,$AU$6:$AU$200)+COUNTIF($AU$6:AU137,AU137)-1,"")</f>
        <v/>
      </c>
    </row>
    <row r="138" spans="22:50" x14ac:dyDescent="0.25">
      <c r="V138" s="38" t="str">
        <f t="shared" si="10"/>
        <v>--</v>
      </c>
      <c r="W138" s="38"/>
      <c r="AT138" s="25"/>
      <c r="AU138" s="32" t="str">
        <f>IF(ISBLANK(AT138),"",SUMIFS(Table1[Amount $],Table1[Merchant],Snapshot!AT138,Table1[Month],Snapshot!$W$4)*-1)</f>
        <v/>
      </c>
      <c r="AV138" s="25" t="str">
        <f>IF(ISBLANK(AT138),"",COUNTIFS(Table1[Merchant],Snapshot!AT138,Table1[Month],Snapshot!$W$4))</f>
        <v/>
      </c>
      <c r="AW138" s="25" t="str">
        <f>IFERROR(RANK(AV138,$AV$6:$AV$200)+COUNTIF($AV$6:AV138,AV138)-1,"")</f>
        <v/>
      </c>
      <c r="AX138" s="25" t="str">
        <f>IFERROR(RANK(AU138,$AU$6:$AU$200)+COUNTIF($AU$6:AU138,AU138)-1,"")</f>
        <v/>
      </c>
    </row>
    <row r="139" spans="22:50" x14ac:dyDescent="0.25">
      <c r="V139" s="38" t="str">
        <f t="shared" si="10"/>
        <v>--</v>
      </c>
      <c r="W139" s="38"/>
      <c r="AT139" s="25"/>
      <c r="AU139" s="32" t="str">
        <f>IF(ISBLANK(AT139),"",SUMIFS(Table1[Amount $],Table1[Merchant],Snapshot!AT139,Table1[Month],Snapshot!$W$4)*-1)</f>
        <v/>
      </c>
      <c r="AV139" s="25" t="str">
        <f>IF(ISBLANK(AT139),"",COUNTIFS(Table1[Merchant],Snapshot!AT139,Table1[Month],Snapshot!$W$4))</f>
        <v/>
      </c>
      <c r="AW139" s="25" t="str">
        <f>IFERROR(RANK(AV139,$AV$6:$AV$200)+COUNTIF($AV$6:AV139,AV139)-1,"")</f>
        <v/>
      </c>
      <c r="AX139" s="25" t="str">
        <f>IFERROR(RANK(AU139,$AU$6:$AU$200)+COUNTIF($AU$6:AU139,AU139)-1,"")</f>
        <v/>
      </c>
    </row>
    <row r="140" spans="22:50" x14ac:dyDescent="0.25">
      <c r="V140" s="38" t="str">
        <f t="shared" si="10"/>
        <v>--</v>
      </c>
      <c r="W140" s="38"/>
      <c r="AT140" s="25"/>
      <c r="AU140" s="32" t="str">
        <f>IF(ISBLANK(AT140),"",SUMIFS(Table1[Amount $],Table1[Merchant],Snapshot!AT140,Table1[Month],Snapshot!$W$4)*-1)</f>
        <v/>
      </c>
      <c r="AV140" s="25" t="str">
        <f>IF(ISBLANK(AT140),"",COUNTIFS(Table1[Merchant],Snapshot!AT140,Table1[Month],Snapshot!$W$4))</f>
        <v/>
      </c>
      <c r="AW140" s="25" t="str">
        <f>IFERROR(RANK(AV140,$AV$6:$AV$200)+COUNTIF($AV$6:AV140,AV140)-1,"")</f>
        <v/>
      </c>
      <c r="AX140" s="25" t="str">
        <f>IFERROR(RANK(AU140,$AU$6:$AU$200)+COUNTIF($AU$6:AU140,AU140)-1,"")</f>
        <v/>
      </c>
    </row>
    <row r="141" spans="22:50" x14ac:dyDescent="0.25">
      <c r="V141" s="38" t="str">
        <f t="shared" si="10"/>
        <v>--</v>
      </c>
      <c r="W141" s="38"/>
      <c r="AT141" s="25"/>
      <c r="AU141" s="32" t="str">
        <f>IF(ISBLANK(AT141),"",SUMIFS(Table1[Amount $],Table1[Merchant],Snapshot!AT141,Table1[Month],Snapshot!$W$4)*-1)</f>
        <v/>
      </c>
      <c r="AV141" s="25" t="str">
        <f>IF(ISBLANK(AT141),"",COUNTIFS(Table1[Merchant],Snapshot!AT141,Table1[Month],Snapshot!$W$4))</f>
        <v/>
      </c>
      <c r="AW141" s="25" t="str">
        <f>IFERROR(RANK(AV141,$AV$6:$AV$200)+COUNTIF($AV$6:AV141,AV141)-1,"")</f>
        <v/>
      </c>
      <c r="AX141" s="25" t="str">
        <f>IFERROR(RANK(AU141,$AU$6:$AU$200)+COUNTIF($AU$6:AU141,AU141)-1,"")</f>
        <v/>
      </c>
    </row>
    <row r="142" spans="22:50" x14ac:dyDescent="0.25">
      <c r="V142" s="38" t="str">
        <f t="shared" si="10"/>
        <v>--</v>
      </c>
      <c r="W142" s="38"/>
      <c r="AT142" s="25"/>
      <c r="AU142" s="32" t="str">
        <f>IF(ISBLANK(AT142),"",SUMIFS(Table1[Amount $],Table1[Merchant],Snapshot!AT142,Table1[Month],Snapshot!$W$4)*-1)</f>
        <v/>
      </c>
      <c r="AV142" s="25" t="str">
        <f>IF(ISBLANK(AT142),"",COUNTIFS(Table1[Merchant],Snapshot!AT142,Table1[Month],Snapshot!$W$4))</f>
        <v/>
      </c>
      <c r="AW142" s="25" t="str">
        <f>IFERROR(RANK(AV142,$AV$6:$AV$200)+COUNTIF($AV$6:AV142,AV142)-1,"")</f>
        <v/>
      </c>
      <c r="AX142" s="25" t="str">
        <f>IFERROR(RANK(AU142,$AU$6:$AU$200)+COUNTIF($AU$6:AU142,AU142)-1,"")</f>
        <v/>
      </c>
    </row>
    <row r="143" spans="22:50" x14ac:dyDescent="0.25">
      <c r="V143" s="38" t="str">
        <f t="shared" si="10"/>
        <v>--</v>
      </c>
      <c r="W143" s="38"/>
      <c r="AT143" s="25"/>
      <c r="AU143" s="32" t="str">
        <f>IF(ISBLANK(AT143),"",SUMIFS(Table1[Amount $],Table1[Merchant],Snapshot!AT143,Table1[Month],Snapshot!$W$4)*-1)</f>
        <v/>
      </c>
      <c r="AV143" s="25" t="str">
        <f>IF(ISBLANK(AT143),"",COUNTIFS(Table1[Merchant],Snapshot!AT143,Table1[Month],Snapshot!$W$4))</f>
        <v/>
      </c>
      <c r="AW143" s="25" t="str">
        <f>IFERROR(RANK(AV143,$AV$6:$AV$200)+COUNTIF($AV$6:AV143,AV143)-1,"")</f>
        <v/>
      </c>
      <c r="AX143" s="25" t="str">
        <f>IFERROR(RANK(AU143,$AU$6:$AU$200)+COUNTIF($AU$6:AU143,AU143)-1,"")</f>
        <v/>
      </c>
    </row>
    <row r="144" spans="22:50" x14ac:dyDescent="0.25">
      <c r="V144" s="38" t="str">
        <f t="shared" si="10"/>
        <v>--</v>
      </c>
      <c r="W144" s="38"/>
      <c r="AT144" s="25"/>
      <c r="AU144" s="32" t="str">
        <f>IF(ISBLANK(AT144),"",SUMIFS(Table1[Amount $],Table1[Merchant],Snapshot!AT144,Table1[Month],Snapshot!$W$4)*-1)</f>
        <v/>
      </c>
      <c r="AV144" s="25" t="str">
        <f>IF(ISBLANK(AT144),"",COUNTIFS(Table1[Merchant],Snapshot!AT144,Table1[Month],Snapshot!$W$4))</f>
        <v/>
      </c>
      <c r="AW144" s="25" t="str">
        <f>IFERROR(RANK(AV144,$AV$6:$AV$200)+COUNTIF($AV$6:AV144,AV144)-1,"")</f>
        <v/>
      </c>
      <c r="AX144" s="25" t="str">
        <f>IFERROR(RANK(AU144,$AU$6:$AU$200)+COUNTIF($AU$6:AU144,AU144)-1,"")</f>
        <v/>
      </c>
    </row>
    <row r="145" spans="22:50" x14ac:dyDescent="0.25">
      <c r="V145" s="38" t="str">
        <f t="shared" si="10"/>
        <v>--</v>
      </c>
      <c r="W145" s="38"/>
      <c r="AT145" s="25"/>
      <c r="AU145" s="32" t="str">
        <f>IF(ISBLANK(AT145),"",SUMIFS(Table1[Amount $],Table1[Merchant],Snapshot!AT145,Table1[Month],Snapshot!$W$4)*-1)</f>
        <v/>
      </c>
      <c r="AV145" s="25" t="str">
        <f>IF(ISBLANK(AT145),"",COUNTIFS(Table1[Merchant],Snapshot!AT145,Table1[Month],Snapshot!$W$4))</f>
        <v/>
      </c>
      <c r="AW145" s="25" t="str">
        <f>IFERROR(RANK(AV145,$AV$6:$AV$200)+COUNTIF($AV$6:AV145,AV145)-1,"")</f>
        <v/>
      </c>
      <c r="AX145" s="25" t="str">
        <f>IFERROR(RANK(AU145,$AU$6:$AU$200)+COUNTIF($AU$6:AU145,AU145)-1,"")</f>
        <v/>
      </c>
    </row>
    <row r="146" spans="22:50" x14ac:dyDescent="0.25">
      <c r="V146" s="38" t="str">
        <f t="shared" si="10"/>
        <v>--</v>
      </c>
      <c r="W146" s="38"/>
      <c r="AT146" s="25"/>
      <c r="AU146" s="32" t="str">
        <f>IF(ISBLANK(AT146),"",SUMIFS(Table1[Amount $],Table1[Merchant],Snapshot!AT146,Table1[Month],Snapshot!$W$4)*-1)</f>
        <v/>
      </c>
      <c r="AV146" s="25" t="str">
        <f>IF(ISBLANK(AT146),"",COUNTIFS(Table1[Merchant],Snapshot!AT146,Table1[Month],Snapshot!$W$4))</f>
        <v/>
      </c>
      <c r="AW146" s="25" t="str">
        <f>IFERROR(RANK(AV146,$AV$6:$AV$200)+COUNTIF($AV$6:AV146,AV146)-1,"")</f>
        <v/>
      </c>
      <c r="AX146" s="25" t="str">
        <f>IFERROR(RANK(AU146,$AU$6:$AU$200)+COUNTIF($AU$6:AU146,AU146)-1,"")</f>
        <v/>
      </c>
    </row>
    <row r="147" spans="22:50" x14ac:dyDescent="0.25">
      <c r="V147" s="38" t="str">
        <f t="shared" si="10"/>
        <v>--</v>
      </c>
      <c r="W147" s="38"/>
      <c r="AT147" s="25"/>
      <c r="AU147" s="32" t="str">
        <f>IF(ISBLANK(AT147),"",SUMIFS(Table1[Amount $],Table1[Merchant],Snapshot!AT147,Table1[Month],Snapshot!$W$4)*-1)</f>
        <v/>
      </c>
      <c r="AV147" s="25" t="str">
        <f>IF(ISBLANK(AT147),"",COUNTIFS(Table1[Merchant],Snapshot!AT147,Table1[Month],Snapshot!$W$4))</f>
        <v/>
      </c>
      <c r="AW147" s="25" t="str">
        <f>IFERROR(RANK(AV147,$AV$6:$AV$200)+COUNTIF($AV$6:AV147,AV147)-1,"")</f>
        <v/>
      </c>
      <c r="AX147" s="25" t="str">
        <f>IFERROR(RANK(AU147,$AU$6:$AU$200)+COUNTIF($AU$6:AU147,AU147)-1,"")</f>
        <v/>
      </c>
    </row>
    <row r="148" spans="22:50" x14ac:dyDescent="0.25">
      <c r="V148" s="38" t="str">
        <f t="shared" si="10"/>
        <v>--</v>
      </c>
      <c r="W148" s="38"/>
      <c r="AT148" s="25"/>
      <c r="AU148" s="32" t="str">
        <f>IF(ISBLANK(AT148),"",SUMIFS(Table1[Amount $],Table1[Merchant],Snapshot!AT148,Table1[Month],Snapshot!$W$4)*-1)</f>
        <v/>
      </c>
      <c r="AV148" s="25" t="str">
        <f>IF(ISBLANK(AT148),"",COUNTIFS(Table1[Merchant],Snapshot!AT148,Table1[Month],Snapshot!$W$4))</f>
        <v/>
      </c>
      <c r="AW148" s="25" t="str">
        <f>IFERROR(RANK(AV148,$AV$6:$AV$200)+COUNTIF($AV$6:AV148,AV148)-1,"")</f>
        <v/>
      </c>
      <c r="AX148" s="25" t="str">
        <f>IFERROR(RANK(AU148,$AU$6:$AU$200)+COUNTIF($AU$6:AU148,AU148)-1,"")</f>
        <v/>
      </c>
    </row>
    <row r="149" spans="22:50" x14ac:dyDescent="0.25">
      <c r="V149" s="38" t="str">
        <f t="shared" si="10"/>
        <v>--</v>
      </c>
      <c r="W149" s="38"/>
      <c r="AT149" s="25"/>
      <c r="AU149" s="32" t="str">
        <f>IF(ISBLANK(AT149),"",SUMIFS(Table1[Amount $],Table1[Merchant],Snapshot!AT149,Table1[Month],Snapshot!$W$4)*-1)</f>
        <v/>
      </c>
      <c r="AV149" s="25" t="str">
        <f>IF(ISBLANK(AT149),"",COUNTIFS(Table1[Merchant],Snapshot!AT149,Table1[Month],Snapshot!$W$4))</f>
        <v/>
      </c>
      <c r="AW149" s="25" t="str">
        <f>IFERROR(RANK(AV149,$AV$6:$AV$200)+COUNTIF($AV$6:AV149,AV149)-1,"")</f>
        <v/>
      </c>
      <c r="AX149" s="25" t="str">
        <f>IFERROR(RANK(AU149,$AU$6:$AU$200)+COUNTIF($AU$6:AU149,AU149)-1,"")</f>
        <v/>
      </c>
    </row>
    <row r="150" spans="22:50" x14ac:dyDescent="0.25">
      <c r="V150" s="38" t="str">
        <f t="shared" si="10"/>
        <v>--</v>
      </c>
      <c r="W150" s="38"/>
      <c r="AT150" s="25"/>
      <c r="AU150" s="32" t="str">
        <f>IF(ISBLANK(AT150),"",SUMIFS(Table1[Amount $],Table1[Merchant],Snapshot!AT150,Table1[Month],Snapshot!$W$4)*-1)</f>
        <v/>
      </c>
      <c r="AV150" s="25" t="str">
        <f>IF(ISBLANK(AT150),"",COUNTIFS(Table1[Merchant],Snapshot!AT150,Table1[Month],Snapshot!$W$4))</f>
        <v/>
      </c>
      <c r="AW150" s="25" t="str">
        <f>IFERROR(RANK(AV150,$AV$6:$AV$200)+COUNTIF($AV$6:AV150,AV150)-1,"")</f>
        <v/>
      </c>
      <c r="AX150" s="25" t="str">
        <f>IFERROR(RANK(AU150,$AU$6:$AU$200)+COUNTIF($AU$6:AU150,AU150)-1,"")</f>
        <v/>
      </c>
    </row>
    <row r="151" spans="22:50" x14ac:dyDescent="0.25">
      <c r="V151" s="38" t="str">
        <f t="shared" si="10"/>
        <v>--</v>
      </c>
      <c r="W151" s="38"/>
      <c r="AT151" s="25"/>
      <c r="AU151" s="32" t="str">
        <f>IF(ISBLANK(AT151),"",SUMIFS(Table1[Amount $],Table1[Merchant],Snapshot!AT151,Table1[Month],Snapshot!$W$4)*-1)</f>
        <v/>
      </c>
      <c r="AV151" s="25" t="str">
        <f>IF(ISBLANK(AT151),"",COUNTIFS(Table1[Merchant],Snapshot!AT151,Table1[Month],Snapshot!$W$4))</f>
        <v/>
      </c>
      <c r="AW151" s="25" t="str">
        <f>IFERROR(RANK(AV151,$AV$6:$AV$200)+COUNTIF($AV$6:AV151,AV151)-1,"")</f>
        <v/>
      </c>
      <c r="AX151" s="25" t="str">
        <f>IFERROR(RANK(AU151,$AU$6:$AU$200)+COUNTIF($AU$6:AU151,AU151)-1,"")</f>
        <v/>
      </c>
    </row>
    <row r="152" spans="22:50" x14ac:dyDescent="0.25">
      <c r="V152" s="38" t="str">
        <f t="shared" si="10"/>
        <v>--</v>
      </c>
      <c r="W152" s="38"/>
      <c r="AT152" s="25"/>
      <c r="AU152" s="32" t="str">
        <f>IF(ISBLANK(AT152),"",SUMIFS(Table1[Amount $],Table1[Merchant],Snapshot!AT152,Table1[Month],Snapshot!$W$4)*-1)</f>
        <v/>
      </c>
      <c r="AV152" s="25" t="str">
        <f>IF(ISBLANK(AT152),"",COUNTIFS(Table1[Merchant],Snapshot!AT152,Table1[Month],Snapshot!$W$4))</f>
        <v/>
      </c>
      <c r="AW152" s="25" t="str">
        <f>IFERROR(RANK(AV152,$AV$6:$AV$200)+COUNTIF($AV$6:AV152,AV152)-1,"")</f>
        <v/>
      </c>
      <c r="AX152" s="25" t="str">
        <f>IFERROR(RANK(AU152,$AU$6:$AU$200)+COUNTIF($AU$6:AU152,AU152)-1,"")</f>
        <v/>
      </c>
    </row>
    <row r="153" spans="22:50" x14ac:dyDescent="0.25">
      <c r="V153" s="38" t="str">
        <f t="shared" si="10"/>
        <v>--</v>
      </c>
      <c r="W153" s="38"/>
      <c r="AT153" s="25"/>
      <c r="AU153" s="32" t="str">
        <f>IF(ISBLANK(AT153),"",SUMIFS(Table1[Amount $],Table1[Merchant],Snapshot!AT153,Table1[Month],Snapshot!$W$4)*-1)</f>
        <v/>
      </c>
      <c r="AV153" s="25" t="str">
        <f>IF(ISBLANK(AT153),"",COUNTIFS(Table1[Merchant],Snapshot!AT153,Table1[Month],Snapshot!$W$4))</f>
        <v/>
      </c>
      <c r="AW153" s="25" t="str">
        <f>IFERROR(RANK(AV153,$AV$6:$AV$200)+COUNTIF($AV$6:AV153,AV153)-1,"")</f>
        <v/>
      </c>
      <c r="AX153" s="25" t="str">
        <f>IFERROR(RANK(AU153,$AU$6:$AU$200)+COUNTIF($AU$6:AU153,AU153)-1,"")</f>
        <v/>
      </c>
    </row>
    <row r="154" spans="22:50" x14ac:dyDescent="0.25">
      <c r="V154" s="38" t="str">
        <f t="shared" si="10"/>
        <v>--</v>
      </c>
      <c r="W154" s="38"/>
      <c r="AT154" s="25"/>
      <c r="AU154" s="32" t="str">
        <f>IF(ISBLANK(AT154),"",SUMIFS(Table1[Amount $],Table1[Merchant],Snapshot!AT154,Table1[Month],Snapshot!$W$4)*-1)</f>
        <v/>
      </c>
      <c r="AV154" s="25" t="str">
        <f>IF(ISBLANK(AT154),"",COUNTIFS(Table1[Merchant],Snapshot!AT154,Table1[Month],Snapshot!$W$4))</f>
        <v/>
      </c>
      <c r="AW154" s="25" t="str">
        <f>IFERROR(RANK(AV154,$AV$6:$AV$200)+COUNTIF($AV$6:AV154,AV154)-1,"")</f>
        <v/>
      </c>
      <c r="AX154" s="25" t="str">
        <f>IFERROR(RANK(AU154,$AU$6:$AU$200)+COUNTIF($AU$6:AU154,AU154)-1,"")</f>
        <v/>
      </c>
    </row>
    <row r="155" spans="22:50" x14ac:dyDescent="0.25">
      <c r="V155" s="38" t="str">
        <f t="shared" si="10"/>
        <v>--</v>
      </c>
      <c r="W155" s="38"/>
      <c r="AT155" s="25"/>
      <c r="AU155" s="32" t="str">
        <f>IF(ISBLANK(AT155),"",SUMIFS(Table1[Amount $],Table1[Merchant],Snapshot!AT155,Table1[Month],Snapshot!$W$4)*-1)</f>
        <v/>
      </c>
      <c r="AV155" s="25" t="str">
        <f>IF(ISBLANK(AT155),"",COUNTIFS(Table1[Merchant],Snapshot!AT155,Table1[Month],Snapshot!$W$4))</f>
        <v/>
      </c>
      <c r="AW155" s="25" t="str">
        <f>IFERROR(RANK(AV155,$AV$6:$AV$200)+COUNTIF($AV$6:AV155,AV155)-1,"")</f>
        <v/>
      </c>
      <c r="AX155" s="25" t="str">
        <f>IFERROR(RANK(AU155,$AU$6:$AU$200)+COUNTIF($AU$6:AU155,AU155)-1,"")</f>
        <v/>
      </c>
    </row>
    <row r="156" spans="22:50" x14ac:dyDescent="0.25">
      <c r="V156" s="38" t="str">
        <f t="shared" si="10"/>
        <v>--</v>
      </c>
      <c r="W156" s="38"/>
      <c r="AT156" s="25"/>
      <c r="AU156" s="32" t="str">
        <f>IF(ISBLANK(AT156),"",SUMIFS(Table1[Amount $],Table1[Merchant],Snapshot!AT156,Table1[Month],Snapshot!$W$4)*-1)</f>
        <v/>
      </c>
      <c r="AV156" s="25" t="str">
        <f>IF(ISBLANK(AT156),"",COUNTIFS(Table1[Merchant],Snapshot!AT156,Table1[Month],Snapshot!$W$4))</f>
        <v/>
      </c>
      <c r="AW156" s="25" t="str">
        <f>IFERROR(RANK(AV156,$AV$6:$AV$200)+COUNTIF($AV$6:AV156,AV156)-1,"")</f>
        <v/>
      </c>
      <c r="AX156" s="25" t="str">
        <f>IFERROR(RANK(AU156,$AU$6:$AU$200)+COUNTIF($AU$6:AU156,AU156)-1,"")</f>
        <v/>
      </c>
    </row>
    <row r="157" spans="22:50" x14ac:dyDescent="0.25">
      <c r="V157" s="38" t="str">
        <f t="shared" si="10"/>
        <v>--</v>
      </c>
      <c r="W157" s="38"/>
      <c r="AT157" s="25"/>
      <c r="AU157" s="32" t="str">
        <f>IF(ISBLANK(AT157),"",SUMIFS(Table1[Amount $],Table1[Merchant],Snapshot!AT157,Table1[Month],Snapshot!$W$4)*-1)</f>
        <v/>
      </c>
      <c r="AV157" s="25" t="str">
        <f>IF(ISBLANK(AT157),"",COUNTIFS(Table1[Merchant],Snapshot!AT157,Table1[Month],Snapshot!$W$4))</f>
        <v/>
      </c>
      <c r="AW157" s="25" t="str">
        <f>IFERROR(RANK(AV157,$AV$6:$AV$200)+COUNTIF($AV$6:AV157,AV157)-1,"")</f>
        <v/>
      </c>
      <c r="AX157" s="25" t="str">
        <f>IFERROR(RANK(AU157,$AU$6:$AU$200)+COUNTIF($AU$6:AU157,AU157)-1,"")</f>
        <v/>
      </c>
    </row>
    <row r="158" spans="22:50" x14ac:dyDescent="0.25">
      <c r="V158" s="38" t="str">
        <f t="shared" si="10"/>
        <v>--</v>
      </c>
      <c r="W158" s="38"/>
      <c r="AT158" s="25"/>
      <c r="AU158" s="32" t="str">
        <f>IF(ISBLANK(AT158),"",SUMIFS(Table1[Amount $],Table1[Merchant],Snapshot!AT158,Table1[Month],Snapshot!$W$4)*-1)</f>
        <v/>
      </c>
      <c r="AV158" s="25" t="str">
        <f>IF(ISBLANK(AT158),"",COUNTIFS(Table1[Merchant],Snapshot!AT158,Table1[Month],Snapshot!$W$4))</f>
        <v/>
      </c>
      <c r="AW158" s="25" t="str">
        <f>IFERROR(RANK(AV158,$AV$6:$AV$200)+COUNTIF($AV$6:AV158,AV158)-1,"")</f>
        <v/>
      </c>
      <c r="AX158" s="25" t="str">
        <f>IFERROR(RANK(AU158,$AU$6:$AU$200)+COUNTIF($AU$6:AU158,AU158)-1,"")</f>
        <v/>
      </c>
    </row>
    <row r="159" spans="22:50" x14ac:dyDescent="0.25">
      <c r="V159" s="38" t="str">
        <f t="shared" si="10"/>
        <v>--</v>
      </c>
      <c r="W159" s="38"/>
      <c r="AT159" s="25"/>
      <c r="AU159" s="32" t="str">
        <f>IF(ISBLANK(AT159),"",SUMIFS(Table1[Amount $],Table1[Merchant],Snapshot!AT159,Table1[Month],Snapshot!$W$4)*-1)</f>
        <v/>
      </c>
      <c r="AV159" s="25" t="str">
        <f>IF(ISBLANK(AT159),"",COUNTIFS(Table1[Merchant],Snapshot!AT159,Table1[Month],Snapshot!$W$4))</f>
        <v/>
      </c>
      <c r="AW159" s="25" t="str">
        <f>IFERROR(RANK(AV159,$AV$6:$AV$200)+COUNTIF($AV$6:AV159,AV159)-1,"")</f>
        <v/>
      </c>
      <c r="AX159" s="25" t="str">
        <f>IFERROR(RANK(AU159,$AU$6:$AU$200)+COUNTIF($AU$6:AU159,AU159)-1,"")</f>
        <v/>
      </c>
    </row>
    <row r="160" spans="22:50" x14ac:dyDescent="0.25">
      <c r="V160" s="38" t="str">
        <f t="shared" si="10"/>
        <v>--</v>
      </c>
      <c r="W160" s="38"/>
      <c r="AT160" s="25"/>
      <c r="AU160" s="32" t="str">
        <f>IF(ISBLANK(AT160),"",SUMIFS(Table1[Amount $],Table1[Merchant],Snapshot!AT160,Table1[Month],Snapshot!$W$4)*-1)</f>
        <v/>
      </c>
      <c r="AV160" s="25" t="str">
        <f>IF(ISBLANK(AT160),"",COUNTIFS(Table1[Merchant],Snapshot!AT160,Table1[Month],Snapshot!$W$4))</f>
        <v/>
      </c>
      <c r="AW160" s="25" t="str">
        <f>IFERROR(RANK(AV160,$AV$6:$AV$200)+COUNTIF($AV$6:AV160,AV160)-1,"")</f>
        <v/>
      </c>
      <c r="AX160" s="25" t="str">
        <f>IFERROR(RANK(AU160,$AU$6:$AU$200)+COUNTIF($AU$6:AU160,AU160)-1,"")</f>
        <v/>
      </c>
    </row>
    <row r="161" spans="22:50" x14ac:dyDescent="0.25">
      <c r="V161" s="38" t="str">
        <f t="shared" si="10"/>
        <v>--</v>
      </c>
      <c r="W161" s="38"/>
      <c r="AT161" s="25"/>
      <c r="AU161" s="32" t="str">
        <f>IF(ISBLANK(AT161),"",SUMIFS(Table1[Amount $],Table1[Merchant],Snapshot!AT161,Table1[Month],Snapshot!$W$4)*-1)</f>
        <v/>
      </c>
      <c r="AV161" s="25" t="str">
        <f>IF(ISBLANK(AT161),"",COUNTIFS(Table1[Merchant],Snapshot!AT161,Table1[Month],Snapshot!$W$4))</f>
        <v/>
      </c>
      <c r="AW161" s="25" t="str">
        <f>IFERROR(RANK(AV161,$AV$6:$AV$200)+COUNTIF($AV$6:AV161,AV161)-1,"")</f>
        <v/>
      </c>
      <c r="AX161" s="25" t="str">
        <f>IFERROR(RANK(AU161,$AU$6:$AU$200)+COUNTIF($AU$6:AU161,AU161)-1,"")</f>
        <v/>
      </c>
    </row>
    <row r="162" spans="22:50" x14ac:dyDescent="0.25">
      <c r="V162" s="38" t="str">
        <f t="shared" si="10"/>
        <v>--</v>
      </c>
      <c r="W162" s="38"/>
      <c r="AT162" s="25"/>
      <c r="AU162" s="32" t="str">
        <f>IF(ISBLANK(AT162),"",SUMIFS(Table1[Amount $],Table1[Merchant],Snapshot!AT162,Table1[Month],Snapshot!$W$4)*-1)</f>
        <v/>
      </c>
      <c r="AV162" s="25" t="str">
        <f>IF(ISBLANK(AT162),"",COUNTIFS(Table1[Merchant],Snapshot!AT162,Table1[Month],Snapshot!$W$4))</f>
        <v/>
      </c>
      <c r="AW162" s="25" t="str">
        <f>IFERROR(RANK(AV162,$AV$6:$AV$200)+COUNTIF($AV$6:AV162,AV162)-1,"")</f>
        <v/>
      </c>
      <c r="AX162" s="25" t="str">
        <f>IFERROR(RANK(AU162,$AU$6:$AU$200)+COUNTIF($AU$6:AU162,AU162)-1,"")</f>
        <v/>
      </c>
    </row>
    <row r="163" spans="22:50" x14ac:dyDescent="0.25">
      <c r="V163" s="38" t="str">
        <f t="shared" si="10"/>
        <v>--</v>
      </c>
      <c r="W163" s="38"/>
      <c r="AT163" s="25"/>
      <c r="AU163" s="32" t="str">
        <f>IF(ISBLANK(AT163),"",SUMIFS(Table1[Amount $],Table1[Merchant],Snapshot!AT163,Table1[Month],Snapshot!$W$4)*-1)</f>
        <v/>
      </c>
      <c r="AV163" s="25" t="str">
        <f>IF(ISBLANK(AT163),"",COUNTIFS(Table1[Merchant],Snapshot!AT163,Table1[Month],Snapshot!$W$4))</f>
        <v/>
      </c>
      <c r="AW163" s="25" t="str">
        <f>IFERROR(RANK(AV163,$AV$6:$AV$200)+COUNTIF($AV$6:AV163,AV163)-1,"")</f>
        <v/>
      </c>
      <c r="AX163" s="25" t="str">
        <f>IFERROR(RANK(AU163,$AU$6:$AU$200)+COUNTIF($AU$6:AU163,AU163)-1,"")</f>
        <v/>
      </c>
    </row>
    <row r="164" spans="22:50" x14ac:dyDescent="0.25">
      <c r="V164" s="38" t="str">
        <f t="shared" si="10"/>
        <v>--</v>
      </c>
      <c r="W164" s="38"/>
      <c r="AT164" s="25"/>
      <c r="AU164" s="32" t="str">
        <f>IF(ISBLANK(AT164),"",SUMIFS(Table1[Amount $],Table1[Merchant],Snapshot!AT164,Table1[Month],Snapshot!$W$4)*-1)</f>
        <v/>
      </c>
      <c r="AV164" s="25" t="str">
        <f>IF(ISBLANK(AT164),"",COUNTIFS(Table1[Merchant],Snapshot!AT164,Table1[Month],Snapshot!$W$4))</f>
        <v/>
      </c>
      <c r="AW164" s="25" t="str">
        <f>IFERROR(RANK(AV164,$AV$6:$AV$200)+COUNTIF($AV$6:AV164,AV164)-1,"")</f>
        <v/>
      </c>
      <c r="AX164" s="25" t="str">
        <f>IFERROR(RANK(AU164,$AU$6:$AU$200)+COUNTIF($AU$6:AU164,AU164)-1,"")</f>
        <v/>
      </c>
    </row>
    <row r="165" spans="22:50" x14ac:dyDescent="0.25">
      <c r="V165" s="38" t="str">
        <f t="shared" si="10"/>
        <v>--</v>
      </c>
      <c r="W165" s="38"/>
      <c r="AT165" s="25"/>
      <c r="AU165" s="32" t="str">
        <f>IF(ISBLANK(AT165),"",SUMIFS(Table1[Amount $],Table1[Merchant],Snapshot!AT165,Table1[Month],Snapshot!$W$4)*-1)</f>
        <v/>
      </c>
      <c r="AV165" s="25" t="str">
        <f>IF(ISBLANK(AT165),"",COUNTIFS(Table1[Merchant],Snapshot!AT165,Table1[Month],Snapshot!$W$4))</f>
        <v/>
      </c>
      <c r="AW165" s="25" t="str">
        <f>IFERROR(RANK(AV165,$AV$6:$AV$200)+COUNTIF($AV$6:AV165,AV165)-1,"")</f>
        <v/>
      </c>
      <c r="AX165" s="25" t="str">
        <f>IFERROR(RANK(AU165,$AU$6:$AU$200)+COUNTIF($AU$6:AU165,AU165)-1,"")</f>
        <v/>
      </c>
    </row>
    <row r="166" spans="22:50" x14ac:dyDescent="0.25">
      <c r="V166" s="38" t="str">
        <f t="shared" si="10"/>
        <v>--</v>
      </c>
      <c r="W166" s="38"/>
      <c r="AT166" s="25"/>
      <c r="AU166" s="32" t="str">
        <f>IF(ISBLANK(AT166),"",SUMIFS(Table1[Amount $],Table1[Merchant],Snapshot!AT166,Table1[Month],Snapshot!$W$4)*-1)</f>
        <v/>
      </c>
      <c r="AV166" s="25" t="str">
        <f>IF(ISBLANK(AT166),"",COUNTIFS(Table1[Merchant],Snapshot!AT166,Table1[Month],Snapshot!$W$4))</f>
        <v/>
      </c>
      <c r="AW166" s="25" t="str">
        <f>IFERROR(RANK(AV166,$AV$6:$AV$200)+COUNTIF($AV$6:AV166,AV166)-1,"")</f>
        <v/>
      </c>
      <c r="AX166" s="25" t="str">
        <f>IFERROR(RANK(AU166,$AU$6:$AU$200)+COUNTIF($AU$6:AU166,AU166)-1,"")</f>
        <v/>
      </c>
    </row>
    <row r="167" spans="22:50" x14ac:dyDescent="0.25">
      <c r="V167" s="38" t="str">
        <f t="shared" si="10"/>
        <v>--</v>
      </c>
      <c r="W167" s="38"/>
      <c r="AT167" s="25"/>
      <c r="AU167" s="32" t="str">
        <f>IF(ISBLANK(AT167),"",SUMIFS(Table1[Amount $],Table1[Merchant],Snapshot!AT167,Table1[Month],Snapshot!$W$4)*-1)</f>
        <v/>
      </c>
      <c r="AV167" s="25" t="str">
        <f>IF(ISBLANK(AT167),"",COUNTIFS(Table1[Merchant],Snapshot!AT167,Table1[Month],Snapshot!$W$4))</f>
        <v/>
      </c>
      <c r="AW167" s="25" t="str">
        <f>IFERROR(RANK(AV167,$AV$6:$AV$200)+COUNTIF($AV$6:AV167,AV167)-1,"")</f>
        <v/>
      </c>
      <c r="AX167" s="25" t="str">
        <f>IFERROR(RANK(AU167,$AU$6:$AU$200)+COUNTIF($AU$6:AU167,AU167)-1,"")</f>
        <v/>
      </c>
    </row>
    <row r="168" spans="22:50" x14ac:dyDescent="0.25">
      <c r="V168" s="38" t="str">
        <f t="shared" si="10"/>
        <v>--</v>
      </c>
      <c r="W168" s="38"/>
      <c r="AT168" s="25"/>
      <c r="AU168" s="32" t="str">
        <f>IF(ISBLANK(AT168),"",SUMIFS(Table1[Amount $],Table1[Merchant],Snapshot!AT168,Table1[Month],Snapshot!$W$4)*-1)</f>
        <v/>
      </c>
      <c r="AV168" s="25" t="str">
        <f>IF(ISBLANK(AT168),"",COUNTIFS(Table1[Merchant],Snapshot!AT168,Table1[Month],Snapshot!$W$4))</f>
        <v/>
      </c>
      <c r="AW168" s="25" t="str">
        <f>IFERROR(RANK(AV168,$AV$6:$AV$200)+COUNTIF($AV$6:AV168,AV168)-1,"")</f>
        <v/>
      </c>
      <c r="AX168" s="25" t="str">
        <f>IFERROR(RANK(AU168,$AU$6:$AU$200)+COUNTIF($AU$6:AU168,AU168)-1,"")</f>
        <v/>
      </c>
    </row>
    <row r="169" spans="22:50" x14ac:dyDescent="0.25">
      <c r="V169" s="38" t="str">
        <f t="shared" si="10"/>
        <v>--</v>
      </c>
      <c r="W169" s="38"/>
      <c r="AT169" s="25"/>
      <c r="AU169" s="32" t="str">
        <f>IF(ISBLANK(AT169),"",SUMIFS(Table1[Amount $],Table1[Merchant],Snapshot!AT169,Table1[Month],Snapshot!$W$4)*-1)</f>
        <v/>
      </c>
      <c r="AV169" s="25" t="str">
        <f>IF(ISBLANK(AT169),"",COUNTIFS(Table1[Merchant],Snapshot!AT169,Table1[Month],Snapshot!$W$4))</f>
        <v/>
      </c>
      <c r="AW169" s="25" t="str">
        <f>IFERROR(RANK(AV169,$AV$6:$AV$200)+COUNTIF($AV$6:AV169,AV169)-1,"")</f>
        <v/>
      </c>
      <c r="AX169" s="25" t="str">
        <f>IFERROR(RANK(AU169,$AU$6:$AU$200)+COUNTIF($AU$6:AU169,AU169)-1,"")</f>
        <v/>
      </c>
    </row>
    <row r="170" spans="22:50" x14ac:dyDescent="0.25">
      <c r="V170" s="38" t="str">
        <f t="shared" ref="V170:V199" si="11">IF(ISBLANK(W170),"--",TEXT(W170,"mmmm")&amp;" "&amp;TEXT(W170,"YYYY"))</f>
        <v>--</v>
      </c>
      <c r="W170" s="38"/>
      <c r="AT170" s="25"/>
      <c r="AU170" s="32" t="str">
        <f>IF(ISBLANK(AT170),"",SUMIFS(Table1[Amount $],Table1[Merchant],Snapshot!AT170,Table1[Month],Snapshot!$W$4)*-1)</f>
        <v/>
      </c>
      <c r="AV170" s="25" t="str">
        <f>IF(ISBLANK(AT170),"",COUNTIFS(Table1[Merchant],Snapshot!AT170,Table1[Month],Snapshot!$W$4))</f>
        <v/>
      </c>
      <c r="AW170" s="25" t="str">
        <f>IFERROR(RANK(AV170,$AV$6:$AV$200)+COUNTIF($AV$6:AV170,AV170)-1,"")</f>
        <v/>
      </c>
      <c r="AX170" s="25" t="str">
        <f>IFERROR(RANK(AU170,$AU$6:$AU$200)+COUNTIF($AU$6:AU170,AU170)-1,"")</f>
        <v/>
      </c>
    </row>
    <row r="171" spans="22:50" x14ac:dyDescent="0.25">
      <c r="V171" s="38" t="str">
        <f t="shared" si="11"/>
        <v>--</v>
      </c>
      <c r="W171" s="38"/>
      <c r="AT171" s="25"/>
      <c r="AU171" s="32" t="str">
        <f>IF(ISBLANK(AT171),"",SUMIFS(Table1[Amount $],Table1[Merchant],Snapshot!AT171,Table1[Month],Snapshot!$W$4)*-1)</f>
        <v/>
      </c>
      <c r="AV171" s="25" t="str">
        <f>IF(ISBLANK(AT171),"",COUNTIFS(Table1[Merchant],Snapshot!AT171,Table1[Month],Snapshot!$W$4))</f>
        <v/>
      </c>
      <c r="AW171" s="25" t="str">
        <f>IFERROR(RANK(AV171,$AV$6:$AV$200)+COUNTIF($AV$6:AV171,AV171)-1,"")</f>
        <v/>
      </c>
      <c r="AX171" s="25" t="str">
        <f>IFERROR(RANK(AU171,$AU$6:$AU$200)+COUNTIF($AU$6:AU171,AU171)-1,"")</f>
        <v/>
      </c>
    </row>
    <row r="172" spans="22:50" x14ac:dyDescent="0.25">
      <c r="V172" s="38" t="str">
        <f t="shared" si="11"/>
        <v>--</v>
      </c>
      <c r="W172" s="38"/>
      <c r="AT172" s="25"/>
      <c r="AU172" s="32" t="str">
        <f>IF(ISBLANK(AT172),"",SUMIFS(Table1[Amount $],Table1[Merchant],Snapshot!AT172,Table1[Month],Snapshot!$W$4)*-1)</f>
        <v/>
      </c>
      <c r="AV172" s="25" t="str">
        <f>IF(ISBLANK(AT172),"",COUNTIFS(Table1[Merchant],Snapshot!AT172,Table1[Month],Snapshot!$W$4))</f>
        <v/>
      </c>
      <c r="AW172" s="25" t="str">
        <f>IFERROR(RANK(AV172,$AV$6:$AV$200)+COUNTIF($AV$6:AV172,AV172)-1,"")</f>
        <v/>
      </c>
      <c r="AX172" s="25" t="str">
        <f>IFERROR(RANK(AU172,$AU$6:$AU$200)+COUNTIF($AU$6:AU172,AU172)-1,"")</f>
        <v/>
      </c>
    </row>
    <row r="173" spans="22:50" x14ac:dyDescent="0.25">
      <c r="V173" s="38" t="str">
        <f t="shared" si="11"/>
        <v>--</v>
      </c>
      <c r="W173" s="38"/>
      <c r="AT173" s="25"/>
      <c r="AU173" s="32" t="str">
        <f>IF(ISBLANK(AT173),"",SUMIFS(Table1[Amount $],Table1[Merchant],Snapshot!AT173,Table1[Month],Snapshot!$W$4)*-1)</f>
        <v/>
      </c>
      <c r="AV173" s="25" t="str">
        <f>IF(ISBLANK(AT173),"",COUNTIFS(Table1[Merchant],Snapshot!AT173,Table1[Month],Snapshot!$W$4))</f>
        <v/>
      </c>
      <c r="AW173" s="25" t="str">
        <f>IFERROR(RANK(AV173,$AV$6:$AV$200)+COUNTIF($AV$6:AV173,AV173)-1,"")</f>
        <v/>
      </c>
      <c r="AX173" s="25" t="str">
        <f>IFERROR(RANK(AU173,$AU$6:$AU$200)+COUNTIF($AU$6:AU173,AU173)-1,"")</f>
        <v/>
      </c>
    </row>
    <row r="174" spans="22:50" x14ac:dyDescent="0.25">
      <c r="V174" s="38" t="str">
        <f t="shared" si="11"/>
        <v>--</v>
      </c>
      <c r="W174" s="38"/>
      <c r="AT174" s="25"/>
      <c r="AU174" s="32" t="str">
        <f>IF(ISBLANK(AT174),"",SUMIFS(Table1[Amount $],Table1[Merchant],Snapshot!AT174,Table1[Month],Snapshot!$W$4)*-1)</f>
        <v/>
      </c>
      <c r="AV174" s="25" t="str">
        <f>IF(ISBLANK(AT174),"",COUNTIFS(Table1[Merchant],Snapshot!AT174,Table1[Month],Snapshot!$W$4))</f>
        <v/>
      </c>
      <c r="AW174" s="25" t="str">
        <f>IFERROR(RANK(AV174,$AV$6:$AV$200)+COUNTIF($AV$6:AV174,AV174)-1,"")</f>
        <v/>
      </c>
      <c r="AX174" s="25" t="str">
        <f>IFERROR(RANK(AU174,$AU$6:$AU$200)+COUNTIF($AU$6:AU174,AU174)-1,"")</f>
        <v/>
      </c>
    </row>
    <row r="175" spans="22:50" x14ac:dyDescent="0.25">
      <c r="V175" s="38" t="str">
        <f t="shared" si="11"/>
        <v>--</v>
      </c>
      <c r="W175" s="38"/>
      <c r="AT175" s="25"/>
      <c r="AU175" s="32" t="str">
        <f>IF(ISBLANK(AT175),"",SUMIFS(Table1[Amount $],Table1[Merchant],Snapshot!AT175,Table1[Month],Snapshot!$W$4)*-1)</f>
        <v/>
      </c>
      <c r="AV175" s="25" t="str">
        <f>IF(ISBLANK(AT175),"",COUNTIFS(Table1[Merchant],Snapshot!AT175,Table1[Month],Snapshot!$W$4))</f>
        <v/>
      </c>
      <c r="AW175" s="25" t="str">
        <f>IFERROR(RANK(AV175,$AV$6:$AV$200)+COUNTIF($AV$6:AV175,AV175)-1,"")</f>
        <v/>
      </c>
      <c r="AX175" s="25" t="str">
        <f>IFERROR(RANK(AU175,$AU$6:$AU$200)+COUNTIF($AU$6:AU175,AU175)-1,"")</f>
        <v/>
      </c>
    </row>
    <row r="176" spans="22:50" x14ac:dyDescent="0.25">
      <c r="V176" s="38" t="str">
        <f t="shared" si="11"/>
        <v>--</v>
      </c>
      <c r="W176" s="38"/>
      <c r="AT176" s="25"/>
      <c r="AU176" s="32" t="str">
        <f>IF(ISBLANK(AT176),"",SUMIFS(Table1[Amount $],Table1[Merchant],Snapshot!AT176,Table1[Month],Snapshot!$W$4)*-1)</f>
        <v/>
      </c>
      <c r="AV176" s="25" t="str">
        <f>IF(ISBLANK(AT176),"",COUNTIFS(Table1[Merchant],Snapshot!AT176,Table1[Month],Snapshot!$W$4))</f>
        <v/>
      </c>
      <c r="AW176" s="25" t="str">
        <f>IFERROR(RANK(AV176,$AV$6:$AV$200)+COUNTIF($AV$6:AV176,AV176)-1,"")</f>
        <v/>
      </c>
      <c r="AX176" s="25" t="str">
        <f>IFERROR(RANK(AU176,$AU$6:$AU$200)+COUNTIF($AU$6:AU176,AU176)-1,"")</f>
        <v/>
      </c>
    </row>
    <row r="177" spans="22:50" x14ac:dyDescent="0.25">
      <c r="V177" s="38" t="str">
        <f t="shared" si="11"/>
        <v>--</v>
      </c>
      <c r="W177" s="38"/>
      <c r="AT177" s="25"/>
      <c r="AU177" s="32" t="str">
        <f>IF(ISBLANK(AT177),"",SUMIFS(Table1[Amount $],Table1[Merchant],Snapshot!AT177,Table1[Month],Snapshot!$W$4)*-1)</f>
        <v/>
      </c>
      <c r="AV177" s="25" t="str">
        <f>IF(ISBLANK(AT177),"",COUNTIFS(Table1[Merchant],Snapshot!AT177,Table1[Month],Snapshot!$W$4))</f>
        <v/>
      </c>
      <c r="AW177" s="25" t="str">
        <f>IFERROR(RANK(AV177,$AV$6:$AV$200)+COUNTIF($AV$6:AV177,AV177)-1,"")</f>
        <v/>
      </c>
      <c r="AX177" s="25" t="str">
        <f>IFERROR(RANK(AU177,$AU$6:$AU$200)+COUNTIF($AU$6:AU177,AU177)-1,"")</f>
        <v/>
      </c>
    </row>
    <row r="178" spans="22:50" x14ac:dyDescent="0.25">
      <c r="V178" s="38" t="str">
        <f t="shared" si="11"/>
        <v>--</v>
      </c>
      <c r="W178" s="38"/>
      <c r="AT178" s="25"/>
      <c r="AU178" s="32" t="str">
        <f>IF(ISBLANK(AT178),"",SUMIFS(Table1[Amount $],Table1[Merchant],Snapshot!AT178,Table1[Month],Snapshot!$W$4)*-1)</f>
        <v/>
      </c>
      <c r="AV178" s="25" t="str">
        <f>IF(ISBLANK(AT178),"",COUNTIFS(Table1[Merchant],Snapshot!AT178,Table1[Month],Snapshot!$W$4))</f>
        <v/>
      </c>
      <c r="AW178" s="25" t="str">
        <f>IFERROR(RANK(AV178,$AV$6:$AV$200)+COUNTIF($AV$6:AV178,AV178)-1,"")</f>
        <v/>
      </c>
      <c r="AX178" s="25" t="str">
        <f>IFERROR(RANK(AU178,$AU$6:$AU$200)+COUNTIF($AU$6:AU178,AU178)-1,"")</f>
        <v/>
      </c>
    </row>
    <row r="179" spans="22:50" x14ac:dyDescent="0.25">
      <c r="V179" s="38" t="str">
        <f t="shared" si="11"/>
        <v>--</v>
      </c>
      <c r="W179" s="38"/>
      <c r="AT179" s="25"/>
      <c r="AU179" s="32" t="str">
        <f>IF(ISBLANK(AT179),"",SUMIFS(Table1[Amount $],Table1[Merchant],Snapshot!AT179,Table1[Month],Snapshot!$W$4)*-1)</f>
        <v/>
      </c>
      <c r="AV179" s="25" t="str">
        <f>IF(ISBLANK(AT179),"",COUNTIFS(Table1[Merchant],Snapshot!AT179,Table1[Month],Snapshot!$W$4))</f>
        <v/>
      </c>
      <c r="AW179" s="25" t="str">
        <f>IFERROR(RANK(AV179,$AV$6:$AV$200)+COUNTIF($AV$6:AV179,AV179)-1,"")</f>
        <v/>
      </c>
      <c r="AX179" s="25" t="str">
        <f>IFERROR(RANK(AU179,$AU$6:$AU$200)+COUNTIF($AU$6:AU179,AU179)-1,"")</f>
        <v/>
      </c>
    </row>
    <row r="180" spans="22:50" x14ac:dyDescent="0.25">
      <c r="V180" s="38" t="str">
        <f t="shared" si="11"/>
        <v>--</v>
      </c>
      <c r="W180" s="38"/>
      <c r="AT180" s="25"/>
      <c r="AU180" s="32" t="str">
        <f>IF(ISBLANK(AT180),"",SUMIFS(Table1[Amount $],Table1[Merchant],Snapshot!AT180,Table1[Month],Snapshot!$W$4)*-1)</f>
        <v/>
      </c>
      <c r="AV180" s="25" t="str">
        <f>IF(ISBLANK(AT180),"",COUNTIFS(Table1[Merchant],Snapshot!AT180,Table1[Month],Snapshot!$W$4))</f>
        <v/>
      </c>
      <c r="AW180" s="25" t="str">
        <f>IFERROR(RANK(AV180,$AV$6:$AV$200)+COUNTIF($AV$6:AV180,AV180)-1,"")</f>
        <v/>
      </c>
      <c r="AX180" s="25" t="str">
        <f>IFERROR(RANK(AU180,$AU$6:$AU$200)+COUNTIF($AU$6:AU180,AU180)-1,"")</f>
        <v/>
      </c>
    </row>
    <row r="181" spans="22:50" x14ac:dyDescent="0.25">
      <c r="V181" s="38" t="str">
        <f t="shared" si="11"/>
        <v>--</v>
      </c>
      <c r="W181" s="38"/>
      <c r="AT181" s="25"/>
      <c r="AU181" s="32" t="str">
        <f>IF(ISBLANK(AT181),"",SUMIFS(Table1[Amount $],Table1[Merchant],Snapshot!AT181,Table1[Month],Snapshot!$W$4)*-1)</f>
        <v/>
      </c>
      <c r="AV181" s="25" t="str">
        <f>IF(ISBLANK(AT181),"",COUNTIFS(Table1[Merchant],Snapshot!AT181,Table1[Month],Snapshot!$W$4))</f>
        <v/>
      </c>
      <c r="AW181" s="25" t="str">
        <f>IFERROR(RANK(AV181,$AV$6:$AV$200)+COUNTIF($AV$6:AV181,AV181)-1,"")</f>
        <v/>
      </c>
      <c r="AX181" s="25" t="str">
        <f>IFERROR(RANK(AU181,$AU$6:$AU$200)+COUNTIF($AU$6:AU181,AU181)-1,"")</f>
        <v/>
      </c>
    </row>
    <row r="182" spans="22:50" x14ac:dyDescent="0.25">
      <c r="V182" s="38" t="str">
        <f t="shared" si="11"/>
        <v>--</v>
      </c>
      <c r="W182" s="38"/>
      <c r="AT182" s="25"/>
      <c r="AU182" s="32" t="str">
        <f>IF(ISBLANK(AT182),"",SUMIFS(Table1[Amount $],Table1[Merchant],Snapshot!AT182,Table1[Month],Snapshot!$W$4)*-1)</f>
        <v/>
      </c>
      <c r="AV182" s="25" t="str">
        <f>IF(ISBLANK(AT182),"",COUNTIFS(Table1[Merchant],Snapshot!AT182,Table1[Month],Snapshot!$W$4))</f>
        <v/>
      </c>
      <c r="AW182" s="25" t="str">
        <f>IFERROR(RANK(AV182,$AV$6:$AV$200)+COUNTIF($AV$6:AV182,AV182)-1,"")</f>
        <v/>
      </c>
      <c r="AX182" s="25" t="str">
        <f>IFERROR(RANK(AU182,$AU$6:$AU$200)+COUNTIF($AU$6:AU182,AU182)-1,"")</f>
        <v/>
      </c>
    </row>
    <row r="183" spans="22:50" x14ac:dyDescent="0.25">
      <c r="V183" s="38" t="str">
        <f t="shared" si="11"/>
        <v>--</v>
      </c>
      <c r="W183" s="38"/>
      <c r="AT183" s="25"/>
      <c r="AU183" s="32" t="str">
        <f>IF(ISBLANK(AT183),"",SUMIFS(Table1[Amount $],Table1[Merchant],Snapshot!AT183,Table1[Month],Snapshot!$W$4)*-1)</f>
        <v/>
      </c>
      <c r="AV183" s="25" t="str">
        <f>IF(ISBLANK(AT183),"",COUNTIFS(Table1[Merchant],Snapshot!AT183,Table1[Month],Snapshot!$W$4))</f>
        <v/>
      </c>
      <c r="AW183" s="25" t="str">
        <f>IFERROR(RANK(AV183,$AV$6:$AV$200)+COUNTIF($AV$6:AV183,AV183)-1,"")</f>
        <v/>
      </c>
      <c r="AX183" s="25" t="str">
        <f>IFERROR(RANK(AU183,$AU$6:$AU$200)+COUNTIF($AU$6:AU183,AU183)-1,"")</f>
        <v/>
      </c>
    </row>
    <row r="184" spans="22:50" x14ac:dyDescent="0.25">
      <c r="V184" s="38" t="str">
        <f t="shared" si="11"/>
        <v>--</v>
      </c>
      <c r="W184" s="38"/>
      <c r="AT184" s="25"/>
      <c r="AU184" s="32" t="str">
        <f>IF(ISBLANK(AT184),"",SUMIFS(Table1[Amount $],Table1[Merchant],Snapshot!AT184,Table1[Month],Snapshot!$W$4)*-1)</f>
        <v/>
      </c>
      <c r="AV184" s="25" t="str">
        <f>IF(ISBLANK(AT184),"",COUNTIFS(Table1[Merchant],Snapshot!AT184,Table1[Month],Snapshot!$W$4))</f>
        <v/>
      </c>
      <c r="AW184" s="25" t="str">
        <f>IFERROR(RANK(AV184,$AV$6:$AV$200)+COUNTIF($AV$6:AV184,AV184)-1,"")</f>
        <v/>
      </c>
      <c r="AX184" s="25" t="str">
        <f>IFERROR(RANK(AU184,$AU$6:$AU$200)+COUNTIF($AU$6:AU184,AU184)-1,"")</f>
        <v/>
      </c>
    </row>
    <row r="185" spans="22:50" x14ac:dyDescent="0.25">
      <c r="V185" s="38" t="str">
        <f t="shared" si="11"/>
        <v>--</v>
      </c>
      <c r="W185" s="38"/>
      <c r="AT185" s="25"/>
      <c r="AU185" s="32" t="str">
        <f>IF(ISBLANK(AT185),"",SUMIFS(Table1[Amount $],Table1[Merchant],Snapshot!AT185,Table1[Month],Snapshot!$W$4)*-1)</f>
        <v/>
      </c>
      <c r="AV185" s="25" t="str">
        <f>IF(ISBLANK(AT185),"",COUNTIFS(Table1[Merchant],Snapshot!AT185,Table1[Month],Snapshot!$W$4))</f>
        <v/>
      </c>
      <c r="AW185" s="25" t="str">
        <f>IFERROR(RANK(AV185,$AV$6:$AV$200)+COUNTIF($AV$6:AV185,AV185)-1,"")</f>
        <v/>
      </c>
      <c r="AX185" s="25" t="str">
        <f>IFERROR(RANK(AU185,$AU$6:$AU$200)+COUNTIF($AU$6:AU185,AU185)-1,"")</f>
        <v/>
      </c>
    </row>
    <row r="186" spans="22:50" x14ac:dyDescent="0.25">
      <c r="V186" s="38" t="str">
        <f t="shared" si="11"/>
        <v>--</v>
      </c>
      <c r="W186" s="38"/>
      <c r="AT186" s="25"/>
      <c r="AU186" s="32" t="str">
        <f>IF(ISBLANK(AT186),"",SUMIFS(Table1[Amount $],Table1[Merchant],Snapshot!AT186,Table1[Month],Snapshot!$W$4)*-1)</f>
        <v/>
      </c>
      <c r="AV186" s="25" t="str">
        <f>IF(ISBLANK(AT186),"",COUNTIFS(Table1[Merchant],Snapshot!AT186,Table1[Month],Snapshot!$W$4))</f>
        <v/>
      </c>
      <c r="AW186" s="25" t="str">
        <f>IFERROR(RANK(AV186,$AV$6:$AV$200)+COUNTIF($AV$6:AV186,AV186)-1,"")</f>
        <v/>
      </c>
      <c r="AX186" s="25" t="str">
        <f>IFERROR(RANK(AU186,$AU$6:$AU$200)+COUNTIF($AU$6:AU186,AU186)-1,"")</f>
        <v/>
      </c>
    </row>
    <row r="187" spans="22:50" x14ac:dyDescent="0.25">
      <c r="V187" s="38" t="str">
        <f t="shared" si="11"/>
        <v>--</v>
      </c>
      <c r="W187" s="38"/>
      <c r="AT187" s="25"/>
      <c r="AU187" s="32" t="str">
        <f>IF(ISBLANK(AT187),"",SUMIFS(Table1[Amount $],Table1[Merchant],Snapshot!AT187,Table1[Month],Snapshot!$W$4)*-1)</f>
        <v/>
      </c>
      <c r="AV187" s="25" t="str">
        <f>IF(ISBLANK(AT187),"",COUNTIFS(Table1[Merchant],Snapshot!AT187,Table1[Month],Snapshot!$W$4))</f>
        <v/>
      </c>
      <c r="AW187" s="25" t="str">
        <f>IFERROR(RANK(AV187,$AV$6:$AV$200)+COUNTIF($AV$6:AV187,AV187)-1,"")</f>
        <v/>
      </c>
      <c r="AX187" s="25" t="str">
        <f>IFERROR(RANK(AU187,$AU$6:$AU$200)+COUNTIF($AU$6:AU187,AU187)-1,"")</f>
        <v/>
      </c>
    </row>
    <row r="188" spans="22:50" x14ac:dyDescent="0.25">
      <c r="V188" s="38" t="str">
        <f t="shared" si="11"/>
        <v>--</v>
      </c>
      <c r="W188" s="38"/>
      <c r="AT188" s="25"/>
      <c r="AU188" s="32" t="str">
        <f>IF(ISBLANK(AT188),"",SUMIFS(Table1[Amount $],Table1[Merchant],Snapshot!AT188,Table1[Month],Snapshot!$W$4)*-1)</f>
        <v/>
      </c>
      <c r="AV188" s="25" t="str">
        <f>IF(ISBLANK(AT188),"",COUNTIFS(Table1[Merchant],Snapshot!AT188,Table1[Month],Snapshot!$W$4))</f>
        <v/>
      </c>
      <c r="AW188" s="25" t="str">
        <f>IFERROR(RANK(AV188,$AV$6:$AV$200)+COUNTIF($AV$6:AV188,AV188)-1,"")</f>
        <v/>
      </c>
      <c r="AX188" s="25" t="str">
        <f>IFERROR(RANK(AU188,$AU$6:$AU$200)+COUNTIF($AU$6:AU188,AU188)-1,"")</f>
        <v/>
      </c>
    </row>
    <row r="189" spans="22:50" x14ac:dyDescent="0.25">
      <c r="V189" s="38" t="str">
        <f t="shared" si="11"/>
        <v>--</v>
      </c>
      <c r="W189" s="38"/>
      <c r="AT189" s="25"/>
      <c r="AU189" s="32" t="str">
        <f>IF(ISBLANK(AT189),"",SUMIFS(Table1[Amount $],Table1[Merchant],Snapshot!AT189,Table1[Month],Snapshot!$W$4)*-1)</f>
        <v/>
      </c>
      <c r="AV189" s="25" t="str">
        <f>IF(ISBLANK(AT189),"",COUNTIFS(Table1[Merchant],Snapshot!AT189,Table1[Month],Snapshot!$W$4))</f>
        <v/>
      </c>
      <c r="AW189" s="25" t="str">
        <f>IFERROR(RANK(AV189,$AV$6:$AV$200)+COUNTIF($AV$6:AV189,AV189)-1,"")</f>
        <v/>
      </c>
      <c r="AX189" s="25" t="str">
        <f>IFERROR(RANK(AU189,$AU$6:$AU$200)+COUNTIF($AU$6:AU189,AU189)-1,"")</f>
        <v/>
      </c>
    </row>
    <row r="190" spans="22:50" x14ac:dyDescent="0.25">
      <c r="V190" s="38" t="str">
        <f t="shared" si="11"/>
        <v>--</v>
      </c>
      <c r="W190" s="38"/>
      <c r="AT190" s="25"/>
      <c r="AU190" s="32" t="str">
        <f>IF(ISBLANK(AT190),"",SUMIFS(Table1[Amount $],Table1[Merchant],Snapshot!AT190,Table1[Month],Snapshot!$W$4)*-1)</f>
        <v/>
      </c>
      <c r="AV190" s="25" t="str">
        <f>IF(ISBLANK(AT190),"",COUNTIFS(Table1[Merchant],Snapshot!AT190,Table1[Month],Snapshot!$W$4))</f>
        <v/>
      </c>
      <c r="AW190" s="25" t="str">
        <f>IFERROR(RANK(AV190,$AV$6:$AV$200)+COUNTIF($AV$6:AV190,AV190)-1,"")</f>
        <v/>
      </c>
      <c r="AX190" s="25" t="str">
        <f>IFERROR(RANK(AU190,$AU$6:$AU$200)+COUNTIF($AU$6:AU190,AU190)-1,"")</f>
        <v/>
      </c>
    </row>
    <row r="191" spans="22:50" x14ac:dyDescent="0.25">
      <c r="V191" s="38" t="str">
        <f t="shared" si="11"/>
        <v>--</v>
      </c>
      <c r="W191" s="38"/>
      <c r="AT191" s="25"/>
      <c r="AU191" s="32" t="str">
        <f>IF(ISBLANK(AT191),"",SUMIFS(Table1[Amount $],Table1[Merchant],Snapshot!AT191,Table1[Month],Snapshot!$W$4)*-1)</f>
        <v/>
      </c>
      <c r="AV191" s="25" t="str">
        <f>IF(ISBLANK(AT191),"",COUNTIFS(Table1[Merchant],Snapshot!AT191,Table1[Month],Snapshot!$W$4))</f>
        <v/>
      </c>
      <c r="AW191" s="25" t="str">
        <f>IFERROR(RANK(AV191,$AV$6:$AV$200)+COUNTIF($AV$6:AV191,AV191)-1,"")</f>
        <v/>
      </c>
      <c r="AX191" s="25" t="str">
        <f>IFERROR(RANK(AU191,$AU$6:$AU$200)+COUNTIF($AU$6:AU191,AU191)-1,"")</f>
        <v/>
      </c>
    </row>
    <row r="192" spans="22:50" x14ac:dyDescent="0.25">
      <c r="V192" s="38" t="str">
        <f t="shared" si="11"/>
        <v>--</v>
      </c>
      <c r="W192" s="38"/>
      <c r="AT192" s="25"/>
      <c r="AU192" s="32" t="str">
        <f>IF(ISBLANK(AT192),"",SUMIFS(Table1[Amount $],Table1[Merchant],Snapshot!AT192,Table1[Month],Snapshot!$W$4)*-1)</f>
        <v/>
      </c>
      <c r="AV192" s="25" t="str">
        <f>IF(ISBLANK(AT192),"",COUNTIFS(Table1[Merchant],Snapshot!AT192,Table1[Month],Snapshot!$W$4))</f>
        <v/>
      </c>
      <c r="AW192" s="25" t="str">
        <f>IFERROR(RANK(AV192,$AV$6:$AV$200)+COUNTIF($AV$6:AV192,AV192)-1,"")</f>
        <v/>
      </c>
      <c r="AX192" s="25" t="str">
        <f>IFERROR(RANK(AU192,$AU$6:$AU$200)+COUNTIF($AU$6:AU192,AU192)-1,"")</f>
        <v/>
      </c>
    </row>
    <row r="193" spans="22:50" x14ac:dyDescent="0.25">
      <c r="V193" s="38" t="str">
        <f t="shared" si="11"/>
        <v>--</v>
      </c>
      <c r="W193" s="38"/>
      <c r="AT193" s="25"/>
      <c r="AU193" s="32" t="str">
        <f>IF(ISBLANK(AT193),"",SUMIFS(Table1[Amount $],Table1[Merchant],Snapshot!AT193,Table1[Month],Snapshot!$W$4)*-1)</f>
        <v/>
      </c>
      <c r="AV193" s="25" t="str">
        <f>IF(ISBLANK(AT193),"",COUNTIFS(Table1[Merchant],Snapshot!AT193,Table1[Month],Snapshot!$W$4))</f>
        <v/>
      </c>
      <c r="AW193" s="25" t="str">
        <f>IFERROR(RANK(AV193,$AV$6:$AV$200)+COUNTIF($AV$6:AV193,AV193)-1,"")</f>
        <v/>
      </c>
      <c r="AX193" s="25" t="str">
        <f>IFERROR(RANK(AU193,$AU$6:$AU$200)+COUNTIF($AU$6:AU193,AU193)-1,"")</f>
        <v/>
      </c>
    </row>
    <row r="194" spans="22:50" x14ac:dyDescent="0.25">
      <c r="V194" s="38" t="str">
        <f t="shared" si="11"/>
        <v>--</v>
      </c>
      <c r="W194" s="38"/>
      <c r="AT194" s="25"/>
      <c r="AU194" s="32" t="str">
        <f>IF(ISBLANK(AT194),"",SUMIFS(Table1[Amount $],Table1[Merchant],Snapshot!AT194,Table1[Month],Snapshot!$W$4)*-1)</f>
        <v/>
      </c>
      <c r="AV194" s="25" t="str">
        <f>IF(ISBLANK(AT194),"",COUNTIFS(Table1[Merchant],Snapshot!AT194,Table1[Month],Snapshot!$W$4))</f>
        <v/>
      </c>
      <c r="AW194" s="25" t="str">
        <f>IFERROR(RANK(AV194,$AV$6:$AV$200)+COUNTIF($AV$6:AV194,AV194)-1,"")</f>
        <v/>
      </c>
      <c r="AX194" s="25" t="str">
        <f>IFERROR(RANK(AU194,$AU$6:$AU$200)+COUNTIF($AU$6:AU194,AU194)-1,"")</f>
        <v/>
      </c>
    </row>
    <row r="195" spans="22:50" x14ac:dyDescent="0.25">
      <c r="V195" s="38" t="str">
        <f t="shared" si="11"/>
        <v>--</v>
      </c>
      <c r="W195" s="38"/>
      <c r="AT195" s="25"/>
      <c r="AU195" s="32" t="str">
        <f>IF(ISBLANK(AT195),"",SUMIFS(Table1[Amount $],Table1[Merchant],Snapshot!AT195,Table1[Month],Snapshot!$W$4)*-1)</f>
        <v/>
      </c>
      <c r="AV195" s="25" t="str">
        <f>IF(ISBLANK(AT195),"",COUNTIFS(Table1[Merchant],Snapshot!AT195,Table1[Month],Snapshot!$W$4))</f>
        <v/>
      </c>
      <c r="AW195" s="25" t="str">
        <f>IFERROR(RANK(AV195,$AV$6:$AV$200)+COUNTIF($AV$6:AV195,AV195)-1,"")</f>
        <v/>
      </c>
      <c r="AX195" s="25" t="str">
        <f>IFERROR(RANK(AU195,$AU$6:$AU$200)+COUNTIF($AU$6:AU195,AU195)-1,"")</f>
        <v/>
      </c>
    </row>
    <row r="196" spans="22:50" x14ac:dyDescent="0.25">
      <c r="V196" s="38" t="str">
        <f t="shared" si="11"/>
        <v>--</v>
      </c>
      <c r="W196" s="38"/>
      <c r="AT196" s="25"/>
      <c r="AU196" s="32" t="str">
        <f>IF(ISBLANK(AT196),"",SUMIFS(Table1[Amount $],Table1[Merchant],Snapshot!AT196,Table1[Month],Snapshot!$W$4)*-1)</f>
        <v/>
      </c>
      <c r="AV196" s="25" t="str">
        <f>IF(ISBLANK(AT196),"",COUNTIFS(Table1[Merchant],Snapshot!AT196,Table1[Month],Snapshot!$W$4))</f>
        <v/>
      </c>
      <c r="AW196" s="25" t="str">
        <f>IFERROR(RANK(AV196,$AV$6:$AV$200)+COUNTIF($AV$6:AV196,AV196)-1,"")</f>
        <v/>
      </c>
      <c r="AX196" s="25" t="str">
        <f>IFERROR(RANK(AU196,$AU$6:$AU$200)+COUNTIF($AU$6:AU196,AU196)-1,"")</f>
        <v/>
      </c>
    </row>
    <row r="197" spans="22:50" x14ac:dyDescent="0.25">
      <c r="V197" s="38" t="str">
        <f t="shared" si="11"/>
        <v>--</v>
      </c>
      <c r="W197" s="38"/>
      <c r="AT197" s="25"/>
      <c r="AU197" s="32" t="str">
        <f>IF(ISBLANK(AT197),"",SUMIFS(Table1[Amount $],Table1[Merchant],Snapshot!AT197,Table1[Month],Snapshot!$W$4)*-1)</f>
        <v/>
      </c>
      <c r="AV197" s="25" t="str">
        <f>IF(ISBLANK(AT197),"",COUNTIFS(Table1[Merchant],Snapshot!AT197,Table1[Month],Snapshot!$W$4))</f>
        <v/>
      </c>
      <c r="AW197" s="25" t="str">
        <f>IFERROR(RANK(AV197,$AV$6:$AV$200)+COUNTIF($AV$6:AV197,AV197)-1,"")</f>
        <v/>
      </c>
      <c r="AX197" s="25" t="str">
        <f>IFERROR(RANK(AU197,$AU$6:$AU$200)+COUNTIF($AU$6:AU197,AU197)-1,"")</f>
        <v/>
      </c>
    </row>
    <row r="198" spans="22:50" x14ac:dyDescent="0.25">
      <c r="V198" s="38" t="str">
        <f t="shared" si="11"/>
        <v>--</v>
      </c>
      <c r="W198" s="38"/>
      <c r="AT198" s="25"/>
      <c r="AU198" s="32" t="str">
        <f>IF(ISBLANK(AT198),"",SUMIFS(Table1[Amount $],Table1[Merchant],Snapshot!AT198,Table1[Month],Snapshot!$W$4)*-1)</f>
        <v/>
      </c>
      <c r="AV198" s="25" t="str">
        <f>IF(ISBLANK(AT198),"",COUNTIFS(Table1[Merchant],Snapshot!AT198,Table1[Month],Snapshot!$W$4))</f>
        <v/>
      </c>
      <c r="AW198" s="25" t="str">
        <f>IFERROR(RANK(AV198,$AV$6:$AV$200)+COUNTIF($AV$6:AV198,AV198)-1,"")</f>
        <v/>
      </c>
      <c r="AX198" s="25" t="str">
        <f>IFERROR(RANK(AU198,$AU$6:$AU$200)+COUNTIF($AU$6:AU198,AU198)-1,"")</f>
        <v/>
      </c>
    </row>
    <row r="199" spans="22:50" x14ac:dyDescent="0.25">
      <c r="V199" s="38" t="str">
        <f t="shared" si="11"/>
        <v>--</v>
      </c>
      <c r="W199" s="38"/>
      <c r="AT199" s="25"/>
      <c r="AU199" s="32" t="str">
        <f>IF(ISBLANK(AT199),"",SUMIFS(Table1[Amount $],Table1[Merchant],Snapshot!AT199,Table1[Month],Snapshot!$W$4)*-1)</f>
        <v/>
      </c>
      <c r="AV199" s="25" t="str">
        <f>IF(ISBLANK(AT199),"",COUNTIFS(Table1[Merchant],Snapshot!AT199,Table1[Month],Snapshot!$W$4))</f>
        <v/>
      </c>
      <c r="AW199" s="25" t="str">
        <f>IFERROR(RANK(AV199,$AV$6:$AV$200)+COUNTIF($AV$6:AV199,AV199)-1,"")</f>
        <v/>
      </c>
      <c r="AX199" s="25" t="str">
        <f>IFERROR(RANK(AU199,$AU$6:$AU$200)+COUNTIF($AU$6:AU199,AU199)-1,"")</f>
        <v/>
      </c>
    </row>
    <row r="200" spans="22:50" x14ac:dyDescent="0.25">
      <c r="V200" s="38" t="str">
        <f t="shared" ref="V200" si="12">IF(ISBLANK(W200),"--",TEXT(W200,"mmmm")&amp;" "&amp;TEXT(W200,"YYYY"))</f>
        <v>--</v>
      </c>
      <c r="W200" s="38"/>
      <c r="AT200" s="25"/>
      <c r="AU200" s="32" t="str">
        <f>IF(ISBLANK(AT200),"",SUMIFS(Table1[Amount $],Table1[Merchant],Snapshot!AT200,Table1[Month],Snapshot!$W$4)*-1)</f>
        <v/>
      </c>
      <c r="AV200" s="25" t="str">
        <f>IF(ISBLANK(AT200),"",COUNTIFS(Table1[Merchant],Snapshot!AT200,Table1[Month],Snapshot!$W$4))</f>
        <v/>
      </c>
      <c r="AW200" s="25" t="str">
        <f>IFERROR(RANK(AV200,$AV$6:$AV$200)+COUNTIF($AV$6:AV200,AV200)-1,"")</f>
        <v/>
      </c>
      <c r="AX200" s="25" t="str">
        <f>IFERROR(RANK(AU200,$AU$6:$AU$200)+COUNTIF($AU$6:AU200,AU200)-1,"")</f>
        <v/>
      </c>
    </row>
  </sheetData>
  <mergeCells count="3">
    <mergeCell ref="C2:P2"/>
    <mergeCell ref="Q4:S4"/>
    <mergeCell ref="C4:O4"/>
  </mergeCells>
  <conditionalFormatting sqref="Z57">
    <cfRule type="expression" dxfId="54" priority="14">
      <formula>$Z$57&gt;=0</formula>
    </cfRule>
    <cfRule type="expression" dxfId="53" priority="16">
      <formula>$Z$57&lt;0</formula>
    </cfRule>
  </conditionalFormatting>
  <conditionalFormatting sqref="P20">
    <cfRule type="expression" dxfId="52" priority="13">
      <formula>$S20=0</formula>
    </cfRule>
  </conditionalFormatting>
  <conditionalFormatting sqref="P18">
    <cfRule type="expression" dxfId="51" priority="12">
      <formula>$S$18=0</formula>
    </cfRule>
  </conditionalFormatting>
  <conditionalFormatting sqref="P16">
    <cfRule type="expression" dxfId="50" priority="11">
      <formula>$S$16=0</formula>
    </cfRule>
  </conditionalFormatting>
  <conditionalFormatting sqref="P14">
    <cfRule type="expression" dxfId="49" priority="10">
      <formula>$S$14=0</formula>
    </cfRule>
  </conditionalFormatting>
  <conditionalFormatting sqref="P12">
    <cfRule type="expression" dxfId="48" priority="9">
      <formula>$S$12=0</formula>
    </cfRule>
  </conditionalFormatting>
  <conditionalFormatting sqref="S20">
    <cfRule type="expression" dxfId="47" priority="8">
      <formula>$S$20=0</formula>
    </cfRule>
  </conditionalFormatting>
  <conditionalFormatting sqref="S18">
    <cfRule type="expression" dxfId="46" priority="7">
      <formula>$S$18=0</formula>
    </cfRule>
  </conditionalFormatting>
  <conditionalFormatting sqref="S16">
    <cfRule type="expression" dxfId="45" priority="6">
      <formula>$S$16=0</formula>
    </cfRule>
  </conditionalFormatting>
  <conditionalFormatting sqref="S14">
    <cfRule type="expression" dxfId="44" priority="5">
      <formula>$S$14=0</formula>
    </cfRule>
  </conditionalFormatting>
  <conditionalFormatting sqref="S12">
    <cfRule type="expression" dxfId="43" priority="4">
      <formula>$S$12=0</formula>
    </cfRule>
  </conditionalFormatting>
  <conditionalFormatting sqref="S10">
    <cfRule type="expression" dxfId="42" priority="3">
      <formula>$S$10=0</formula>
    </cfRule>
  </conditionalFormatting>
  <conditionalFormatting sqref="P10">
    <cfRule type="expression" dxfId="41" priority="2">
      <formula>$S$10=0</formula>
    </cfRule>
  </conditionalFormatting>
  <conditionalFormatting sqref="M8">
    <cfRule type="expression" dxfId="40" priority="1">
      <formula>$S$22=0</formula>
    </cfRule>
  </conditionalFormatting>
  <dataValidations count="2">
    <dataValidation type="list" allowBlank="1" showInputMessage="1" showErrorMessage="1" sqref="Q4" xr:uid="{3FE88EC2-B73E-4CDE-AC6E-4A65F4D75E2F}">
      <formula1>Months</formula1>
    </dataValidation>
    <dataValidation allowBlank="1" showErrorMessage="1" sqref="A1:A1048576" xr:uid="{AD28699A-4E1A-E04E-A68C-3F4D09AAB508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20F90-4AD9-4F49-B460-31106E4C7BB8}">
  <dimension ref="A1:A496"/>
  <sheetViews>
    <sheetView workbookViewId="0">
      <selection activeCell="B1" sqref="B1"/>
    </sheetView>
  </sheetViews>
  <sheetFormatPr defaultRowHeight="15" x14ac:dyDescent="0.25"/>
  <cols>
    <col min="1" max="1" width="32.7109375" bestFit="1" customWidth="1"/>
  </cols>
  <sheetData>
    <row r="1" spans="1:1" x14ac:dyDescent="0.25">
      <c r="A1" t="str" cm="1">
        <f t="array" ref="A1:A496">_xlfn.UNIQUE(Table1[Merchant])</f>
        <v>Cashback Bonus Redemption Pymt</v>
      </c>
    </row>
    <row r="2" spans="1:1" x14ac:dyDescent="0.25">
      <c r="A2" t="str">
        <v>Internet Payment</v>
      </c>
    </row>
    <row r="3" spans="1:1" x14ac:dyDescent="0.25">
      <c r="A3" t="str">
        <v>Gasbuddy Gasbuddy I Sean</v>
      </c>
    </row>
    <row r="4" spans="1:1" x14ac:dyDescent="0.25">
      <c r="A4" t="str">
        <v>Fersguide Llc</v>
      </c>
    </row>
    <row r="5" spans="1:1" x14ac:dyDescent="0.25">
      <c r="A5" t="str">
        <v>Apple Bill Ca Apple</v>
      </c>
    </row>
    <row r="6" spans="1:1" x14ac:dyDescent="0.25">
      <c r="A6" t="str">
        <v>Fubotv</v>
      </c>
    </row>
    <row r="7" spans="1:1" x14ac:dyDescent="0.25">
      <c r="A7" t="str">
        <v>Exxonmobil</v>
      </c>
    </row>
    <row r="8" spans="1:1" x14ac:dyDescent="0.25">
      <c r="A8" t="str">
        <v>T Mobile</v>
      </c>
    </row>
    <row r="9" spans="1:1" x14ac:dyDescent="0.25">
      <c r="A9" t="str">
        <v>Amtrak</v>
      </c>
    </row>
    <row r="10" spans="1:1" x14ac:dyDescent="0.25">
      <c r="A10" t="str">
        <v>Hardee's</v>
      </c>
    </row>
    <row r="11" spans="1:1" x14ac:dyDescent="0.25">
      <c r="A11" t="str">
        <v>Steam Games</v>
      </c>
    </row>
    <row r="12" spans="1:1" x14ac:dyDescent="0.25">
      <c r="A12" t="str">
        <v>Panda Express</v>
      </c>
    </row>
    <row r="13" spans="1:1" x14ac:dyDescent="0.25">
      <c r="A13" t="str">
        <v>Sheetz</v>
      </c>
    </row>
    <row r="14" spans="1:1" x14ac:dyDescent="0.25">
      <c r="A14" t="str">
        <v>Vizmediallc</v>
      </c>
    </row>
    <row r="15" spans="1:1" x14ac:dyDescent="0.25">
      <c r="A15" t="str">
        <v>Discover E Payment Lewis</v>
      </c>
    </row>
    <row r="16" spans="1:1" x14ac:dyDescent="0.25">
      <c r="A16" t="str">
        <v>Elephant Ins Payroll Lewis</v>
      </c>
    </row>
    <row r="17" spans="1:1" x14ac:dyDescent="0.25">
      <c r="A17" t="str">
        <v>Walmart</v>
      </c>
    </row>
    <row r="18" spans="1:1" x14ac:dyDescent="0.25">
      <c r="A18" t="str">
        <v>Money Transfer Authorized On</v>
      </c>
    </row>
    <row r="19" spans="1:1" x14ac:dyDescent="0.25">
      <c r="A19" t="str">
        <v>Robinhood</v>
      </c>
    </row>
    <row r="20" spans="1:1" x14ac:dyDescent="0.25">
      <c r="A20" t="str">
        <v>Firehouse Subs</v>
      </c>
    </row>
    <row r="21" spans="1:1" x14ac:dyDescent="0.25">
      <c r="A21" t="str">
        <v>Lyft</v>
      </c>
    </row>
    <row r="22" spans="1:1" x14ac:dyDescent="0.25">
      <c r="A22" t="str">
        <v>Micro Center Fairfax</v>
      </c>
    </row>
    <row r="23" spans="1:1" x14ac:dyDescent="0.25">
      <c r="A23" t="str">
        <v>Mcdonald's</v>
      </c>
    </row>
    <row r="24" spans="1:1" x14ac:dyDescent="0.25">
      <c r="A24" t="str">
        <v>Transfer</v>
      </c>
    </row>
    <row r="25" spans="1:1" x14ac:dyDescent="0.25">
      <c r="A25" t="str">
        <v>Va Dept Taxation Vasttaxrfd</v>
      </c>
    </row>
    <row r="26" spans="1:1" x14ac:dyDescent="0.25">
      <c r="A26" t="str">
        <v>Venmo</v>
      </c>
    </row>
    <row r="27" spans="1:1" x14ac:dyDescent="0.25">
      <c r="A27" t="str">
        <v>Take 5 232</v>
      </c>
    </row>
    <row r="28" spans="1:1" x14ac:dyDescent="0.25">
      <c r="A28" t="str">
        <v>Bottoms Up Pizza</v>
      </c>
    </row>
    <row r="29" spans="1:1" x14ac:dyDescent="0.25">
      <c r="A29" t="str">
        <v>Google Google Youtub</v>
      </c>
    </row>
    <row r="30" spans="1:1" x14ac:dyDescent="0.25">
      <c r="A30" t="str">
        <v>Google Youtube Subsc</v>
      </c>
    </row>
    <row r="31" spans="1:1" x14ac:dyDescent="0.25">
      <c r="A31" t="str">
        <v>Mellow Mushroom</v>
      </c>
    </row>
    <row r="32" spans="1:1" x14ac:dyDescent="0.25">
      <c r="A32" t="str">
        <v>Interactive</v>
      </c>
    </row>
    <row r="33" spans="1:1" x14ac:dyDescent="0.25">
      <c r="A33" t="str">
        <v>Avidia Bank Setl Lewis</v>
      </c>
    </row>
    <row r="34" spans="1:1" x14ac:dyDescent="0.25">
      <c r="A34" t="str">
        <v>State Farm</v>
      </c>
    </row>
    <row r="35" spans="1:1" x14ac:dyDescent="0.25">
      <c r="A35" t="str">
        <v>Spotify</v>
      </c>
    </row>
    <row r="36" spans="1:1" x14ac:dyDescent="0.25">
      <c r="A36" t="str">
        <v>Disneyplus Ca Disneyplus</v>
      </c>
    </row>
    <row r="37" spans="1:1" x14ac:dyDescent="0.25">
      <c r="A37" t="str">
        <v>Netflix</v>
      </c>
    </row>
    <row r="38" spans="1:1" x14ac:dyDescent="0.25">
      <c r="A38" t="str">
        <v>Crunch Fitness Va Crunch</v>
      </c>
    </row>
    <row r="39" spans="1:1" x14ac:dyDescent="0.25">
      <c r="A39" t="str">
        <v>Bp Mile Bp</v>
      </c>
    </row>
    <row r="40" spans="1:1" x14ac:dyDescent="0.25">
      <c r="A40" t="str">
        <v>Del Sauce Llc</v>
      </c>
    </row>
    <row r="41" spans="1:1" x14ac:dyDescent="0.25">
      <c r="A41" t="str">
        <v>Department Motor Vehicle</v>
      </c>
    </row>
    <row r="42" spans="1:1" x14ac:dyDescent="0.25">
      <c r="A42" t="str">
        <v>Cash App Jayelin L</v>
      </c>
    </row>
    <row r="43" spans="1:1" x14ac:dyDescent="0.25">
      <c r="A43" t="str">
        <v>Couplecents</v>
      </c>
    </row>
    <row r="44" spans="1:1" x14ac:dyDescent="0.25">
      <c r="A44" t="str">
        <v>Taco Bell</v>
      </c>
    </row>
    <row r="45" spans="1:1" x14ac:dyDescent="0.25">
      <c r="A45" t="str">
        <v>Cvs</v>
      </c>
    </row>
    <row r="46" spans="1:1" x14ac:dyDescent="0.25">
      <c r="A46" t="str">
        <v>Irs TreasTax Ref Lewis</v>
      </c>
    </row>
    <row r="47" spans="1:1" x14ac:dyDescent="0.25">
      <c r="A47" t="str">
        <v>Coaching Actuaries</v>
      </c>
    </row>
    <row r="48" spans="1:1" x14ac:dyDescent="0.25">
      <c r="A48" t="str">
        <v>Gasbuddy Gasbuddy</v>
      </c>
    </row>
    <row r="49" spans="1:1" x14ac:dyDescent="0.25">
      <c r="A49" t="str">
        <v>Gasbuddy Gasbuddy Ivrvonzyl Sean</v>
      </c>
    </row>
    <row r="50" spans="1:1" x14ac:dyDescent="0.25">
      <c r="A50" t="str">
        <v>Webull Tech</v>
      </c>
    </row>
    <row r="51" spans="1:1" x14ac:dyDescent="0.25">
      <c r="A51" t="str">
        <v>Chipotle Mexican Grill</v>
      </c>
    </row>
    <row r="52" spans="1:1" x14ac:dyDescent="0.25">
      <c r="A52" t="str">
        <v>Kingsisle Pi Tx</v>
      </c>
    </row>
    <row r="53" spans="1:1" x14ac:dyDescent="0.25">
      <c r="A53" t="str">
        <v>Pp Roku For Crunchyr</v>
      </c>
    </row>
    <row r="54" spans="1:1" x14ac:dyDescent="0.25">
      <c r="A54" t="str">
        <v>Sunoco</v>
      </c>
    </row>
    <row r="55" spans="1:1" x14ac:dyDescent="0.25">
      <c r="A55" t="str">
        <v>Publix</v>
      </c>
    </row>
    <row r="56" spans="1:1" x14ac:dyDescent="0.25">
      <c r="A56" t="str">
        <v>The Market</v>
      </c>
    </row>
    <row r="57" spans="1:1" x14ac:dyDescent="0.25">
      <c r="A57" t="str">
        <v>Wolframalpha</v>
      </c>
    </row>
    <row r="58" spans="1:1" x14ac:dyDescent="0.25">
      <c r="A58" t="str">
        <v>Pupatella 2</v>
      </c>
    </row>
    <row r="59" spans="1:1" x14ac:dyDescent="0.25">
      <c r="A59" t="str">
        <v>Webull Financial Feb Sean</v>
      </c>
    </row>
    <row r="60" spans="1:1" x14ac:dyDescent="0.25">
      <c r="A60" t="str">
        <v>Target</v>
      </c>
    </row>
    <row r="61" spans="1:1" x14ac:dyDescent="0.25">
      <c r="A61" t="str">
        <v>Td Ameritrade In Pgb</v>
      </c>
    </row>
    <row r="62" spans="1:1" x14ac:dyDescent="0.25">
      <c r="A62" t="str">
        <v>Bird App</v>
      </c>
    </row>
    <row r="63" spans="1:1" x14ac:dyDescent="0.25">
      <c r="A63" t="str">
        <v>Best Buy</v>
      </c>
    </row>
    <row r="64" spans="1:1" x14ac:dyDescent="0.25">
      <c r="A64" t="str">
        <v>Cash App Don</v>
      </c>
    </row>
    <row r="65" spans="1:1" x14ac:dyDescent="0.25">
      <c r="A65" t="str">
        <v>Credit Karma Transfer Sean</v>
      </c>
    </row>
    <row r="66" spans="1:1" x14ac:dyDescent="0.25">
      <c r="A66" t="str">
        <v>Dayneinvest</v>
      </c>
    </row>
    <row r="67" spans="1:1" x14ac:dyDescent="0.25">
      <c r="A67" t="str">
        <v>Dc Charbroiled Chicken</v>
      </c>
    </row>
    <row r="68" spans="1:1" x14ac:dyDescent="0.25">
      <c r="A68" t="str">
        <v>Atm Check Deposit On</v>
      </c>
    </row>
    <row r="69" spans="1:1" x14ac:dyDescent="0.25">
      <c r="A69" t="str">
        <v>Whole Foods</v>
      </c>
    </row>
    <row r="70" spans="1:1" x14ac:dyDescent="0.25">
      <c r="A70" t="str">
        <v>Bedbath&amp;Beyond</v>
      </c>
    </row>
    <row r="71" spans="1:1" x14ac:dyDescent="0.25">
      <c r="A71" t="str">
        <v>Cityparking Inc Va Apple</v>
      </c>
    </row>
    <row r="72" spans="1:1" x14ac:dyDescent="0.25">
      <c r="A72" t="str">
        <v>521 Biscuits &amp; Waff</v>
      </c>
    </row>
    <row r="73" spans="1:1" x14ac:dyDescent="0.25">
      <c r="A73" t="str">
        <v>Society Of Actuari</v>
      </c>
    </row>
    <row r="74" spans="1:1" x14ac:dyDescent="0.25">
      <c r="A74" t="str">
        <v>Cash App</v>
      </c>
    </row>
    <row r="75" spans="1:1" x14ac:dyDescent="0.25">
      <c r="A75" t="str">
        <v>Ilf Llc</v>
      </c>
    </row>
    <row r="76" spans="1:1" x14ac:dyDescent="0.25">
      <c r="A76" t="str">
        <v>Amazon</v>
      </c>
    </row>
    <row r="77" spans="1:1" x14ac:dyDescent="0.25">
      <c r="A77" t="str">
        <v>Directpay Full Balance</v>
      </c>
    </row>
    <row r="78" spans="1:1" x14ac:dyDescent="0.25">
      <c r="A78" t="str">
        <v>Walgreens</v>
      </c>
    </row>
    <row r="79" spans="1:1" x14ac:dyDescent="0.25">
      <c r="A79" t="str">
        <v>Family Dollar</v>
      </c>
    </row>
    <row r="80" spans="1:1" x14ac:dyDescent="0.25">
      <c r="A80" t="str">
        <v>Cash App Shevon Lew</v>
      </c>
    </row>
    <row r="81" spans="1:1" x14ac:dyDescent="0.25">
      <c r="A81" t="str">
        <v>Etchedactua</v>
      </c>
    </row>
    <row r="82" spans="1:1" x14ac:dyDescent="0.25">
      <c r="A82" t="str">
        <v>Fedex</v>
      </c>
    </row>
    <row r="83" spans="1:1" x14ac:dyDescent="0.25">
      <c r="A83" t="str">
        <v>Bingo Beer Co Games</v>
      </c>
    </row>
    <row r="84" spans="1:1" x14ac:dyDescent="0.25">
      <c r="A84" t="str">
        <v>Labcorp Pscc 2 Nc</v>
      </c>
    </row>
    <row r="85" spans="1:1" x14ac:dyDescent="0.25">
      <c r="A85" t="str">
        <v>America's Best Wings</v>
      </c>
    </row>
    <row r="86" spans="1:1" x14ac:dyDescent="0.25">
      <c r="A86" t="str">
        <v>Go Dragon Asian Grill</v>
      </c>
    </row>
    <row r="87" spans="1:1" x14ac:dyDescent="0.25">
      <c r="A87" t="str">
        <v>Livecareer Pr</v>
      </c>
    </row>
    <row r="88" spans="1:1" x14ac:dyDescent="0.25">
      <c r="A88" t="str">
        <v>River Run Short Pump</v>
      </c>
    </row>
    <row r="89" spans="1:1" x14ac:dyDescent="0.25">
      <c r="A89" t="str">
        <v>Myfico Com</v>
      </c>
    </row>
    <row r="90" spans="1:1" x14ac:dyDescent="0.25">
      <c r="A90" t="str">
        <v>Irs TreasXxta Lewis Sean</v>
      </c>
    </row>
    <row r="91" spans="1:1" x14ac:dyDescent="0.25">
      <c r="A91" t="str">
        <v>Wawa</v>
      </c>
    </row>
    <row r="92" spans="1:1" x14ac:dyDescent="0.25">
      <c r="A92" t="str">
        <v>Transfer To Lewis Sharon</v>
      </c>
    </row>
    <row r="93" spans="1:1" x14ac:dyDescent="0.25">
      <c r="A93" t="str">
        <v>Amazon Prime</v>
      </c>
    </row>
    <row r="94" spans="1:1" x14ac:dyDescent="0.25">
      <c r="A94" t="str">
        <v>Google Wallet_Cas Sean E</v>
      </c>
    </row>
    <row r="95" spans="1:1" x14ac:dyDescent="0.25">
      <c r="A95" t="str">
        <v>Microsoft Microsoft 36</v>
      </c>
    </row>
    <row r="96" spans="1:1" x14ac:dyDescent="0.25">
      <c r="A96" t="str">
        <v>Dick's Sporting Goods</v>
      </c>
    </row>
    <row r="97" spans="1:1" x14ac:dyDescent="0.25">
      <c r="A97" t="str">
        <v>Synchrony Bank Cc Pymt</v>
      </c>
    </row>
    <row r="98" spans="1:1" x14ac:dyDescent="0.25">
      <c r="A98" t="str">
        <v>Scott Motor Company</v>
      </c>
    </row>
    <row r="99" spans="1:1" x14ac:dyDescent="0.25">
      <c r="A99" t="str">
        <v>Zaxby's</v>
      </c>
    </row>
    <row r="100" spans="1:1" x14ac:dyDescent="0.25">
      <c r="A100" t="str">
        <v>Yahoofantas Fan</v>
      </c>
    </row>
    <row r="101" spans="1:1" x14ac:dyDescent="0.25">
      <c r="A101" t="str">
        <v>Burlington</v>
      </c>
    </row>
    <row r="102" spans="1:1" x14ac:dyDescent="0.25">
      <c r="A102" t="str">
        <v>Uber</v>
      </c>
    </row>
    <row r="103" spans="1:1" x14ac:dyDescent="0.25">
      <c r="A103" t="str">
        <v>Zorba's Greek Italian</v>
      </c>
    </row>
    <row r="104" spans="1:1" x14ac:dyDescent="0.25">
      <c r="A104" t="str">
        <v>Google Wallet_Top Sean E</v>
      </c>
    </row>
    <row r="105" spans="1:1" x14ac:dyDescent="0.25">
      <c r="A105" t="str">
        <v>Square Inc Cash App</v>
      </c>
    </row>
    <row r="106" spans="1:1" x14ac:dyDescent="0.25">
      <c r="A106" t="str">
        <v>Chick Fil A</v>
      </c>
    </row>
    <row r="107" spans="1:1" x14ac:dyDescent="0.25">
      <c r="A107" t="str">
        <v>Amazon Amzn Billwa</v>
      </c>
    </row>
    <row r="108" spans="1:1" x14ac:dyDescent="0.25">
      <c r="A108" t="str">
        <v>Cou G W</v>
      </c>
    </row>
    <row r="109" spans="1:1" x14ac:dyDescent="0.25">
      <c r="A109" t="str">
        <v>Square Enix Ca Square</v>
      </c>
    </row>
    <row r="110" spans="1:1" x14ac:dyDescent="0.25">
      <c r="A110" t="str">
        <v>Hart Nissan Mechanicsvillva</v>
      </c>
    </row>
    <row r="111" spans="1:1" x14ac:dyDescent="0.25">
      <c r="A111" t="str">
        <v>Ezpassva Auto Replenish</v>
      </c>
    </row>
    <row r="112" spans="1:1" x14ac:dyDescent="0.25">
      <c r="A112" t="str">
        <v>Cash App Engagetm</v>
      </c>
    </row>
    <row r="113" spans="1:1" x14ac:dyDescent="0.25">
      <c r="A113" t="str">
        <v>Apple Bill Ca Y</v>
      </c>
    </row>
    <row r="114" spans="1:1" x14ac:dyDescent="0.25">
      <c r="A114" t="str">
        <v>Five Guys</v>
      </c>
    </row>
    <row r="115" spans="1:1" x14ac:dyDescent="0.25">
      <c r="A115" t="str">
        <v>Apple Bill Ca</v>
      </c>
    </row>
    <row r="116" spans="1:1" x14ac:dyDescent="0.25">
      <c r="A116" t="str">
        <v>Apple Bill Ca M</v>
      </c>
    </row>
    <row r="117" spans="1:1" x14ac:dyDescent="0.25">
      <c r="A117" t="str">
        <v>Alamo Bbq</v>
      </c>
    </row>
    <row r="118" spans="1:1" x14ac:dyDescent="0.25">
      <c r="A118" t="str">
        <v>Union Market Gosq Va</v>
      </c>
    </row>
    <row r="119" spans="1:1" x14ac:dyDescent="0.25">
      <c r="A119" t="str">
        <v>Starbucks</v>
      </c>
    </row>
    <row r="120" spans="1:1" x14ac:dyDescent="0.25">
      <c r="A120" t="str">
        <v>Home Depot</v>
      </c>
    </row>
    <row r="121" spans="1:1" x14ac:dyDescent="0.25">
      <c r="A121" t="str">
        <v>Neemb Llc Distill Io</v>
      </c>
    </row>
    <row r="122" spans="1:1" x14ac:dyDescent="0.25">
      <c r="A122" t="str">
        <v>Nissan Of Richmond</v>
      </c>
    </row>
    <row r="123" spans="1:1" x14ac:dyDescent="0.25">
      <c r="A123" t="str">
        <v>Advance Auto Parts</v>
      </c>
    </row>
    <row r="124" spans="1:1" x14ac:dyDescent="0.25">
      <c r="A124" t="str">
        <v>Shell</v>
      </c>
    </row>
    <row r="125" spans="1:1" x14ac:dyDescent="0.25">
      <c r="A125" t="str">
        <v>Va Dmv Richmond Central</v>
      </c>
    </row>
    <row r="126" spans="1:1" x14ac:dyDescent="0.25">
      <c r="A126" t="str">
        <v>Apple Bill Ca Sbk</v>
      </c>
    </row>
    <row r="127" spans="1:1" x14ac:dyDescent="0.25">
      <c r="A127" t="str">
        <v>Panera Bread</v>
      </c>
    </row>
    <row r="128" spans="1:1" x14ac:dyDescent="0.25">
      <c r="A128" t="str">
        <v>Lowe's</v>
      </c>
    </row>
    <row r="129" spans="1:1" x14ac:dyDescent="0.25">
      <c r="A129" t="str">
        <v>Directpay Full Balance See</v>
      </c>
    </row>
    <row r="130" spans="1:1" x14ac:dyDescent="0.25">
      <c r="A130" t="str">
        <v>Rva Bike Share</v>
      </c>
    </row>
    <row r="131" spans="1:1" x14ac:dyDescent="0.25">
      <c r="A131" t="str">
        <v>Rtp From Paypal On</v>
      </c>
    </row>
    <row r="132" spans="1:1" x14ac:dyDescent="0.25">
      <c r="A132" t="str">
        <v>Legends Brewing Co</v>
      </c>
    </row>
    <row r="133" spans="1:1" x14ac:dyDescent="0.25">
      <c r="A133" t="str">
        <v>Mike Blendz Barbershop S</v>
      </c>
    </row>
    <row r="134" spans="1:1" x14ac:dyDescent="0.25">
      <c r="A134" t="str">
        <v>Scalefast</v>
      </c>
    </row>
    <row r="135" spans="1:1" x14ac:dyDescent="0.25">
      <c r="A135" t="str">
        <v>Septa Fare Machine</v>
      </c>
    </row>
    <row r="136" spans="1:1" x14ac:dyDescent="0.25">
      <c r="A136" t="str">
        <v>Dri Nvidia Store Nvidia</v>
      </c>
    </row>
    <row r="137" spans="1:1" x14ac:dyDescent="0.25">
      <c r="A137" t="str">
        <v>Apple Bill Ca D</v>
      </c>
    </row>
    <row r="138" spans="1:1" x14ac:dyDescent="0.25">
      <c r="A138" t="str">
        <v>Brave New Worlds</v>
      </c>
    </row>
    <row r="139" spans="1:1" x14ac:dyDescent="0.25">
      <c r="A139" t="str">
        <v>Atm Withdrawal Authorized On</v>
      </c>
    </row>
    <row r="140" spans="1:1" x14ac:dyDescent="0.25">
      <c r="A140" t="str">
        <v>Ups 1</v>
      </c>
    </row>
    <row r="141" spans="1:1" x14ac:dyDescent="0.25">
      <c r="A141" t="str">
        <v>Purchase Return Authorized On</v>
      </c>
    </row>
    <row r="142" spans="1:1" x14ac:dyDescent="0.25">
      <c r="A142" t="str">
        <v>Popeyes</v>
      </c>
    </row>
    <row r="143" spans="1:1" x14ac:dyDescent="0.25">
      <c r="A143" t="str">
        <v>Apple Bill Ca J</v>
      </c>
    </row>
    <row r="144" spans="1:1" x14ac:dyDescent="0.25">
      <c r="A144" t="str">
        <v>Havana 59</v>
      </c>
    </row>
    <row r="145" spans="1:1" x14ac:dyDescent="0.25">
      <c r="A145" t="str">
        <v>Maymont Foundation Richmond Va</v>
      </c>
    </row>
    <row r="146" spans="1:1" x14ac:dyDescent="0.25">
      <c r="A146" t="str">
        <v>Staples</v>
      </c>
    </row>
    <row r="147" spans="1:1" x14ac:dyDescent="0.25">
      <c r="A147" t="str">
        <v>E Z Pass Va</v>
      </c>
    </row>
    <row r="148" spans="1:1" x14ac:dyDescent="0.25">
      <c r="A148" t="str">
        <v>NStreet Market</v>
      </c>
    </row>
    <row r="149" spans="1:1" x14ac:dyDescent="0.25">
      <c r="A149" t="str">
        <v>Usps Po</v>
      </c>
    </row>
    <row r="150" spans="1:1" x14ac:dyDescent="0.25">
      <c r="A150" t="str">
        <v>Andar</v>
      </c>
    </row>
    <row r="151" spans="1:1" x14ac:dyDescent="0.25">
      <c r="A151" t="str">
        <v>Virginia Tech Transcript</v>
      </c>
    </row>
    <row r="152" spans="1:1" x14ac:dyDescent="0.25">
      <c r="A152" t="str">
        <v>Office Depot</v>
      </c>
    </row>
    <row r="153" spans="1:1" x14ac:dyDescent="0.25">
      <c r="A153" t="str">
        <v>Newegg Inc City Of</v>
      </c>
    </row>
    <row r="154" spans="1:1" x14ac:dyDescent="0.25">
      <c r="A154" t="str">
        <v>Aramark</v>
      </c>
    </row>
    <row r="155" spans="1:1" x14ac:dyDescent="0.25">
      <c r="A155" t="str">
        <v>Capitol Waffle Sho Richmond</v>
      </c>
    </row>
    <row r="156" spans="1:1" x14ac:dyDescent="0.25">
      <c r="A156" t="str">
        <v>Usps Po Mpos Richmondva</v>
      </c>
    </row>
    <row r="157" spans="1:1" x14ac:dyDescent="0.25">
      <c r="A157" t="str">
        <v>Cash App Shevon Le</v>
      </c>
    </row>
    <row r="158" spans="1:1" x14ac:dyDescent="0.25">
      <c r="A158" t="str">
        <v>Newegg Inc</v>
      </c>
    </row>
    <row r="159" spans="1:1" x14ac:dyDescent="0.25">
      <c r="A159" t="str">
        <v>Professor Messer</v>
      </c>
    </row>
    <row r="160" spans="1:1" x14ac:dyDescent="0.25">
      <c r="A160" t="str">
        <v>Ardent Craft Ales</v>
      </c>
    </row>
    <row r="161" spans="1:1" x14ac:dyDescent="0.25">
      <c r="A161" t="str">
        <v>Dipanshu</v>
      </c>
    </row>
    <row r="162" spans="1:1" x14ac:dyDescent="0.25">
      <c r="A162" t="str">
        <v>Neweggcom</v>
      </c>
    </row>
    <row r="163" spans="1:1" x14ac:dyDescent="0.25">
      <c r="A163" t="str">
        <v>Hot Chick</v>
      </c>
    </row>
    <row r="164" spans="1:1" x14ac:dyDescent="0.25">
      <c r="A164" t="str">
        <v>Alamobbq Richmond Va</v>
      </c>
    </row>
    <row r="165" spans="1:1" x14ac:dyDescent="0.25">
      <c r="A165" t="str">
        <v>Take 5 Oil Change</v>
      </c>
    </row>
    <row r="166" spans="1:1" x14ac:dyDescent="0.25">
      <c r="A166" t="str">
        <v>Bp</v>
      </c>
    </row>
    <row r="167" spans="1:1" x14ac:dyDescent="0.25">
      <c r="A167" t="str">
        <v>1 TheRuckersville Va</v>
      </c>
    </row>
    <row r="168" spans="1:1" x14ac:dyDescent="0.25">
      <c r="A168" t="str">
        <v>Apple Bill Ca Kx</v>
      </c>
    </row>
    <row r="169" spans="1:1" x14ac:dyDescent="0.25">
      <c r="A169" t="str">
        <v>Dri Nvidia Store Orderfindmn</v>
      </c>
    </row>
    <row r="170" spans="1:1" x14ac:dyDescent="0.25">
      <c r="A170" t="str">
        <v>Shenandoah Np Swiftrun E</v>
      </c>
    </row>
    <row r="171" spans="1:1" x14ac:dyDescent="0.25">
      <c r="A171" t="str">
        <v>Shenandoah Retail Luray Va</v>
      </c>
    </row>
    <row r="172" spans="1:1" x14ac:dyDescent="0.25">
      <c r="A172" t="str">
        <v>The Ups Store Richmond</v>
      </c>
    </row>
    <row r="173" spans="1:1" x14ac:dyDescent="0.25">
      <c r="A173" t="str">
        <v>Wegmans</v>
      </c>
    </row>
    <row r="174" spans="1:1" x14ac:dyDescent="0.25">
      <c r="A174" t="str">
        <v>Apple Bill Ca Mm</v>
      </c>
    </row>
    <row r="175" spans="1:1" x14ac:dyDescent="0.25">
      <c r="A175" t="str">
        <v>Atm Cash Deposit On</v>
      </c>
    </row>
    <row r="176" spans="1:1" x14ac:dyDescent="0.25">
      <c r="A176" t="str">
        <v>City Of Richmond Tax</v>
      </c>
    </row>
    <row r="177" spans="1:1" x14ac:dyDescent="0.25">
      <c r="A177" t="str">
        <v>Invoice Cloud Epaymentl Lewis</v>
      </c>
    </row>
    <row r="178" spans="1:1" x14ac:dyDescent="0.25">
      <c r="A178" t="str">
        <v>Atm Withdrawal</v>
      </c>
    </row>
    <row r="179" spans="1:1" x14ac:dyDescent="0.25">
      <c r="A179" t="str">
        <v>Bolt Add Balance</v>
      </c>
    </row>
    <row r="180" spans="1:1" x14ac:dyDescent="0.25">
      <c r="A180" t="str">
        <v>Julzcaggian</v>
      </c>
    </row>
    <row r="181" spans="1:1" x14ac:dyDescent="0.25">
      <c r="A181" t="str">
        <v>Crunch Fitness</v>
      </c>
    </row>
    <row r="182" spans="1:1" x14ac:dyDescent="0.25">
      <c r="A182" t="str">
        <v>Ny Times Nytime</v>
      </c>
    </row>
    <row r="183" spans="1:1" x14ac:dyDescent="0.25">
      <c r="A183" t="str">
        <v>Food Lion</v>
      </c>
    </row>
    <row r="184" spans="1:1" x14ac:dyDescent="0.25">
      <c r="A184" t="str">
        <v>Va Dept Of Taxatio</v>
      </c>
    </row>
    <row r="185" spans="1:1" x14ac:dyDescent="0.25">
      <c r="A185" t="str">
        <v>Virginia Departmen</v>
      </c>
    </row>
    <row r="186" spans="1:1" x14ac:dyDescent="0.25">
      <c r="A186" t="str">
        <v>Pump And Church Au</v>
      </c>
    </row>
    <row r="187" spans="1:1" x14ac:dyDescent="0.25">
      <c r="A187" t="str">
        <v>Jimmy Johns</v>
      </c>
    </row>
    <row r="188" spans="1:1" x14ac:dyDescent="0.25">
      <c r="A188" t="str">
        <v>Bp Conven</v>
      </c>
    </row>
    <row r="189" spans="1:1" x14ac:dyDescent="0.25">
      <c r="A189" t="str">
        <v>Thdgodud</v>
      </c>
    </row>
    <row r="190" spans="1:1" x14ac:dyDescent="0.25">
      <c r="A190" t="str">
        <v>Tio Pablo</v>
      </c>
    </row>
    <row r="191" spans="1:1" x14ac:dyDescent="0.25">
      <c r="A191" t="str">
        <v>Qdoba</v>
      </c>
    </row>
    <row r="192" spans="1:1" x14ac:dyDescent="0.25">
      <c r="A192" t="str">
        <v>Sub Rosa Bakery Gosq</v>
      </c>
    </row>
    <row r="193" spans="1:1" x14ac:dyDescent="0.25">
      <c r="A193" t="str">
        <v>Tazza Kitchen</v>
      </c>
    </row>
    <row r="194" spans="1:1" x14ac:dyDescent="0.25">
      <c r="A194" t="str">
        <v>Dc Gov'T Payment</v>
      </c>
    </row>
    <row r="195" spans="1:1" x14ac:dyDescent="0.25">
      <c r="A195" t="str">
        <v>Pticket Redwoo</v>
      </c>
    </row>
    <row r="196" spans="1:1" x14ac:dyDescent="0.25">
      <c r="A196" t="str">
        <v>U S Post Office</v>
      </c>
    </row>
    <row r="197" spans="1:1" x14ac:dyDescent="0.25">
      <c r="A197" t="str">
        <v>Dick's Clothing&amp;Sporting</v>
      </c>
    </row>
    <row r="198" spans="1:1" x14ac:dyDescent="0.25">
      <c r="A198" t="str">
        <v>Shein United Statesil</v>
      </c>
    </row>
    <row r="199" spans="1:1" x14ac:dyDescent="0.25">
      <c r="A199" t="str">
        <v>Yahoo Fin Prem Va</v>
      </c>
    </row>
    <row r="200" spans="1:1" x14ac:dyDescent="0.25">
      <c r="A200" t="str">
        <v>Crunchyroll</v>
      </c>
    </row>
    <row r="201" spans="1:1" x14ac:dyDescent="0.25">
      <c r="A201" t="str">
        <v>Bev's Homemade Ice Richmond</v>
      </c>
    </row>
    <row r="202" spans="1:1" x14ac:dyDescent="0.25">
      <c r="A202" t="str">
        <v>Kroger</v>
      </c>
    </row>
    <row r="203" spans="1:1" x14ac:dyDescent="0.25">
      <c r="A203" t="str">
        <v>Strangeways Brewin Richmond Va</v>
      </c>
    </row>
    <row r="204" spans="1:1" x14ac:dyDescent="0.25">
      <c r="A204" t="str">
        <v>Reg Shortpump</v>
      </c>
    </row>
    <row r="205" spans="1:1" x14ac:dyDescent="0.25">
      <c r="A205" t="str">
        <v>Dollar Tree</v>
      </c>
    </row>
    <row r="206" spans="1:1" x14ac:dyDescent="0.25">
      <c r="A206" t="str">
        <v>Webull Financial Sep Sean</v>
      </c>
    </row>
    <row r="207" spans="1:1" x14ac:dyDescent="0.25">
      <c r="A207" t="str">
        <v>Romwe United Statesil</v>
      </c>
    </row>
    <row r="208" spans="1:1" x14ac:dyDescent="0.25">
      <c r="A208" t="str">
        <v>Fandango</v>
      </c>
    </row>
    <row r="209" spans="1:1" x14ac:dyDescent="0.25">
      <c r="A209" t="str">
        <v>Rapidaddresschange De</v>
      </c>
    </row>
    <row r="210" spans="1:1" x14ac:dyDescent="0.25">
      <c r="A210" t="str">
        <v>Bolt N 1 Tm</v>
      </c>
    </row>
    <row r="211" spans="1:1" x14ac:dyDescent="0.25">
      <c r="A211" t="str">
        <v>Apple Bill</v>
      </c>
    </row>
    <row r="212" spans="1:1" x14ac:dyDescent="0.25">
      <c r="A212" t="str">
        <v>The Actuarial Bookstore</v>
      </c>
    </row>
    <row r="213" spans="1:1" x14ac:dyDescent="0.25">
      <c r="A213" t="str">
        <v>Officemax</v>
      </c>
    </row>
    <row r="214" spans="1:1" x14ac:dyDescent="0.25">
      <c r="A214" t="str">
        <v>Vcn D C Vital</v>
      </c>
    </row>
    <row r="215" spans="1:1" x14ac:dyDescent="0.25">
      <c r="A215" t="str">
        <v>Stafford Place O</v>
      </c>
    </row>
    <row r="216" spans="1:1" x14ac:dyDescent="0.25">
      <c r="A216" t="str">
        <v>Citgo</v>
      </c>
    </row>
    <row r="217" spans="1:1" x14ac:dyDescent="0.25">
      <c r="A217" t="str">
        <v>Old Bridge Fastfuel</v>
      </c>
    </row>
    <row r="218" spans="1:1" x14ac:dyDescent="0.25">
      <c r="A218" t="str">
        <v>We The Pizza</v>
      </c>
    </row>
    <row r="219" spans="1:1" x14ac:dyDescent="0.25">
      <c r="A219" t="str">
        <v>Market Place 14</v>
      </c>
    </row>
    <row r="220" spans="1:1" x14ac:dyDescent="0.25">
      <c r="A220" t="str">
        <v>Cam?S Kettle Coffe Arlington</v>
      </c>
    </row>
    <row r="221" spans="1:1" x14ac:dyDescent="0.25">
      <c r="A221" t="str">
        <v>Cava Grill Ballston</v>
      </c>
    </row>
    <row r="222" spans="1:1" x14ac:dyDescent="0.25">
      <c r="A222" t="str">
        <v>Cash App Don Lewis</v>
      </c>
    </row>
    <row r="223" spans="1:1" x14ac:dyDescent="0.25">
      <c r="A223" t="str">
        <v>Transfer From Lewis Sharon</v>
      </c>
    </row>
    <row r="224" spans="1:1" x14ac:dyDescent="0.25">
      <c r="A224" t="str">
        <v>Cool Lane Express</v>
      </c>
    </row>
    <row r="225" spans="1:1" x14ac:dyDescent="0.25">
      <c r="A225" t="str">
        <v>Returned Internet Pmt</v>
      </c>
    </row>
    <row r="226" spans="1:1" x14ac:dyDescent="0.25">
      <c r="A226" t="str">
        <v>Represented Internet Payment</v>
      </c>
    </row>
    <row r="227" spans="1:1" x14ac:dyDescent="0.25">
      <c r="A227" t="str">
        <v>Returned Check Charge</v>
      </c>
    </row>
    <row r="228" spans="1:1" x14ac:dyDescent="0.25">
      <c r="A228" t="str">
        <v>7 Eleven</v>
      </c>
    </row>
    <row r="229" spans="1:1" x14ac:dyDescent="0.25">
      <c r="A229" t="str">
        <v>Cook Out</v>
      </c>
    </row>
    <row r="230" spans="1:1" x14ac:dyDescent="0.25">
      <c r="A230" t="str">
        <v>Amazon R</v>
      </c>
    </row>
    <row r="231" spans="1:1" x14ac:dyDescent="0.25">
      <c r="A231" t="str">
        <v>Usps Change Of Address</v>
      </c>
    </row>
    <row r="232" spans="1:1" x14ac:dyDescent="0.25">
      <c r="A232" t="str">
        <v>Barnes &amp; Noble</v>
      </c>
    </row>
    <row r="233" spans="1:1" x14ac:dyDescent="0.25">
      <c r="A233" t="str">
        <v>Marathon P Fredericksburva</v>
      </c>
    </row>
    <row r="234" spans="1:1" x14ac:dyDescent="0.25">
      <c r="A234" t="str">
        <v>Dri Nvidia Store Orderfind</v>
      </c>
    </row>
    <row r="235" spans="1:1" x14ac:dyDescent="0.25">
      <c r="A235" t="str">
        <v>Woot Inc Woot Tx</v>
      </c>
    </row>
    <row r="236" spans="1:1" x14ac:dyDescent="0.25">
      <c r="A236" t="str">
        <v>Americas Best Wings</v>
      </c>
    </row>
    <row r="237" spans="1:1" x14ac:dyDescent="0.25">
      <c r="A237" t="str">
        <v>Brueggers</v>
      </c>
    </row>
    <row r="238" spans="1:1" x14ac:dyDescent="0.25">
      <c r="A238" t="str">
        <v>Pupatella Wilson B Gosq</v>
      </c>
    </row>
    <row r="239" spans="1:1" x14ac:dyDescent="0.25">
      <c r="A239" t="str">
        <v>River Run Dental</v>
      </c>
    </row>
    <row r="240" spans="1:1" x14ac:dyDescent="0.25">
      <c r="A240" t="str">
        <v>Taxing Authority Billpay Lewis</v>
      </c>
    </row>
    <row r="241" spans="1:1" x14ac:dyDescent="0.25">
      <c r="A241" t="str">
        <v>Nates Bagels</v>
      </c>
    </row>
    <row r="242" spans="1:1" x14ac:dyDescent="0.25">
      <c r="A242" t="str">
        <v>Webull Financial Jul Sean</v>
      </c>
    </row>
    <row r="243" spans="1:1" x14ac:dyDescent="0.25">
      <c r="A243" t="str">
        <v>Society Of Actuaries</v>
      </c>
    </row>
    <row r="244" spans="1:1" x14ac:dyDescent="0.25">
      <c r="A244" t="str">
        <v>A Couple Cents</v>
      </c>
    </row>
    <row r="245" spans="1:1" x14ac:dyDescent="0.25">
      <c r="A245" t="str">
        <v>Lim Ride Cost</v>
      </c>
    </row>
    <row r="246" spans="1:1" x14ac:dyDescent="0.25">
      <c r="A246" t="str">
        <v>Engagetm</v>
      </c>
    </row>
    <row r="247" spans="1:1" x14ac:dyDescent="0.25">
      <c r="A247" t="str">
        <v>Cash App Malcom Ma</v>
      </c>
    </row>
    <row r="248" spans="1:1" x14ac:dyDescent="0.25">
      <c r="A248" t="str">
        <v>Fas Mart 74</v>
      </c>
    </row>
    <row r="249" spans="1:1" x14ac:dyDescent="0.25">
      <c r="A249" t="str">
        <v>Lidl Richmond Va</v>
      </c>
    </row>
    <row r="250" spans="1:1" x14ac:dyDescent="0.25">
      <c r="A250" t="str">
        <v>Crunchyroll Auth Ca $</v>
      </c>
    </row>
    <row r="251" spans="1:1" x14ac:dyDescent="0.25">
      <c r="A251" t="str">
        <v>Crunchyroll Auth Ca A</v>
      </c>
    </row>
    <row r="252" spans="1:1" x14ac:dyDescent="0.25">
      <c r="A252" t="str">
        <v>Webull Financial Jun Sean</v>
      </c>
    </row>
    <row r="253" spans="1:1" x14ac:dyDescent="0.25">
      <c r="A253" t="str">
        <v>Amazon B</v>
      </c>
    </row>
    <row r="254" spans="1:1" x14ac:dyDescent="0.25">
      <c r="A254" t="str">
        <v>Remitonlinecom Rchmnd Pr Co</v>
      </c>
    </row>
    <row r="255" spans="1:1" x14ac:dyDescent="0.25">
      <c r="A255" t="str">
        <v>The Kabul</v>
      </c>
    </row>
    <row r="256" spans="1:1" x14ac:dyDescent="0.25">
      <c r="A256" t="str">
        <v>Crystal Car Wash</v>
      </c>
    </row>
    <row r="257" spans="1:1" x14ac:dyDescent="0.25">
      <c r="A257" t="str">
        <v>Harbor Park Garage Llc</v>
      </c>
    </row>
    <row r="258" spans="1:1" x14ac:dyDescent="0.25">
      <c r="A258" t="str">
        <v>Chegg Order</v>
      </c>
    </row>
    <row r="259" spans="1:1" x14ac:dyDescent="0.25">
      <c r="A259" t="str">
        <v>Uber Eats</v>
      </c>
    </row>
    <row r="260" spans="1:1" x14ac:dyDescent="0.25">
      <c r="A260" t="str">
        <v>Marathon P</v>
      </c>
    </row>
    <row r="261" spans="1:1" x14ac:dyDescent="0.25">
      <c r="A261" t="str">
        <v>Equifax Consumer</v>
      </c>
    </row>
    <row r="262" spans="1:1" x14ac:dyDescent="0.25">
      <c r="A262" t="str">
        <v>Chicanos Cocina Bar &amp;</v>
      </c>
    </row>
    <row r="263" spans="1:1" x14ac:dyDescent="0.25">
      <c r="A263" t="str">
        <v>Cash App Christoph</v>
      </c>
    </row>
    <row r="264" spans="1:1" x14ac:dyDescent="0.25">
      <c r="A264" t="str">
        <v>Sine Irish Pub</v>
      </c>
    </row>
    <row r="265" spans="1:1" x14ac:dyDescent="0.25">
      <c r="A265" t="str">
        <v>Albert Savings W Edi</v>
      </c>
    </row>
    <row r="266" spans="1:1" x14ac:dyDescent="0.25">
      <c r="A266" t="str">
        <v>Credit One Bank Payment</v>
      </c>
    </row>
    <row r="267" spans="1:1" x14ac:dyDescent="0.25">
      <c r="A267" t="str">
        <v>Simple Xfers Dr Lewis</v>
      </c>
    </row>
    <row r="268" spans="1:1" x14ac:dyDescent="0.25">
      <c r="A268" t="str">
        <v>Tu Transunion Ca</v>
      </c>
    </row>
    <row r="269" spans="1:1" x14ac:dyDescent="0.25">
      <c r="A269" t="str">
        <v>Office Max Offi S</v>
      </c>
    </row>
    <row r="270" spans="1:1" x14ac:dyDescent="0.25">
      <c r="A270" t="str">
        <v>Rich Rental</v>
      </c>
    </row>
    <row r="271" spans="1:1" x14ac:dyDescent="0.25">
      <c r="A271" t="str">
        <v>Gofndme Diane Smi</v>
      </c>
    </row>
    <row r="272" spans="1:1" x14ac:dyDescent="0.25">
      <c r="A272" t="str">
        <v>Bp Bp</v>
      </c>
    </row>
    <row r="273" spans="1:1" x14ac:dyDescent="0.25">
      <c r="A273" t="str">
        <v>Albert Savings D Edi</v>
      </c>
    </row>
    <row r="274" spans="1:1" x14ac:dyDescent="0.25">
      <c r="A274" t="str">
        <v>Fbpay Aram Kochar Pay</v>
      </c>
    </row>
    <row r="275" spans="1:1" x14ac:dyDescent="0.25">
      <c r="A275" t="str">
        <v>Fbpay Jonathan Y Pay</v>
      </c>
    </row>
    <row r="276" spans="1:1" x14ac:dyDescent="0.25">
      <c r="A276" t="str">
        <v>Great Lakes Student Ln</v>
      </c>
    </row>
    <row r="277" spans="1:1" x14ac:dyDescent="0.25">
      <c r="A277" t="str">
        <v>Lost Tribe Skin C</v>
      </c>
    </row>
    <row r="278" spans="1:1" x14ac:dyDescent="0.25">
      <c r="A278" t="str">
        <v>Zelle To Mutegi Fredrick</v>
      </c>
    </row>
    <row r="279" spans="1:1" x14ac:dyDescent="0.25">
      <c r="A279" t="str">
        <v>Cash App Fredrick</v>
      </c>
    </row>
    <row r="280" spans="1:1" x14ac:dyDescent="0.25">
      <c r="A280" t="str">
        <v>Capital Beltway Ex</v>
      </c>
    </row>
    <row r="281" spans="1:1" x14ac:dyDescent="0.25">
      <c r="A281" t="str">
        <v>Cash App Cairo Dan</v>
      </c>
    </row>
    <row r="282" spans="1:1" x14ac:dyDescent="0.25">
      <c r="A282" t="str">
        <v>Crazy Thai Fusion Restau</v>
      </c>
    </row>
    <row r="283" spans="1:1" x14ac:dyDescent="0.25">
      <c r="A283" t="str">
        <v>Cvs In</v>
      </c>
    </row>
    <row r="284" spans="1:1" x14ac:dyDescent="0.25">
      <c r="A284" t="str">
        <v>Tmobile Postpaid Pda Wa</v>
      </c>
    </row>
    <row r="285" spans="1:1" x14ac:dyDescent="0.25">
      <c r="A285" t="str">
        <v>Sfo Mills Cargo</v>
      </c>
    </row>
    <row r="286" spans="1:1" x14ac:dyDescent="0.25">
      <c r="A286" t="str">
        <v>American Airlines</v>
      </c>
    </row>
    <row r="287" spans="1:1" x14ac:dyDescent="0.25">
      <c r="A287" t="str">
        <v>Redwood City Ma</v>
      </c>
    </row>
    <row r="288" spans="1:1" x14ac:dyDescent="0.25">
      <c r="A288" t="str">
        <v>Coursehero</v>
      </c>
    </row>
    <row r="289" spans="1:1" x14ac:dyDescent="0.25">
      <c r="A289" t="str">
        <v>Square Enix</v>
      </c>
    </row>
    <row r="290" spans="1:1" x14ac:dyDescent="0.25">
      <c r="A290" t="str">
        <v>Credit Balance Refund</v>
      </c>
    </row>
    <row r="291" spans="1:1" x14ac:dyDescent="0.25">
      <c r="A291" t="str">
        <v>Allianz Travel Ins Allianzins</v>
      </c>
    </row>
    <row r="292" spans="1:1" x14ac:dyDescent="0.25">
      <c r="A292" t="str">
        <v>Pho Truong Long</v>
      </c>
    </row>
    <row r="293" spans="1:1" x14ac:dyDescent="0.25">
      <c r="A293" t="str">
        <v>Schwab Brokerage Moneylink Sean</v>
      </c>
    </row>
    <row r="294" spans="1:1" x14ac:dyDescent="0.25">
      <c r="A294" t="str">
        <v>Espn Plus</v>
      </c>
    </row>
    <row r="295" spans="1:1" x14ac:dyDescent="0.25">
      <c r="A295" t="str">
        <v>Credit Sesame Prem</v>
      </c>
    </row>
    <row r="296" spans="1:1" x14ac:dyDescent="0.25">
      <c r="A296" t="str">
        <v>Dom Energyva Utility Sean</v>
      </c>
    </row>
    <row r="297" spans="1:1" x14ac:dyDescent="0.25">
      <c r="A297" t="str">
        <v>Cash App Kaitlyn T</v>
      </c>
    </row>
    <row r="298" spans="1:1" x14ac:dyDescent="0.25">
      <c r="A298" t="str">
        <v>Irs TreasTax Ref Xxx</v>
      </c>
    </row>
    <row r="299" spans="1:1" x14ac:dyDescent="0.25">
      <c r="A299" t="str">
        <v>Va Dept Taxation Withdrawal</v>
      </c>
    </row>
    <row r="300" spans="1:1" x14ac:dyDescent="0.25">
      <c r="A300" t="str">
        <v>Safeway</v>
      </c>
    </row>
    <row r="301" spans="1:1" x14ac:dyDescent="0.25">
      <c r="A301" t="str">
        <v>Blizzard Entertainment</v>
      </c>
    </row>
    <row r="302" spans="1:1" x14ac:dyDescent="0.25">
      <c r="A302" t="str">
        <v>Steamg</v>
      </c>
    </row>
    <row r="303" spans="1:1" x14ac:dyDescent="0.25">
      <c r="A303" t="str">
        <v>Comp Of Maryland Dir</v>
      </c>
    </row>
    <row r="304" spans="1:1" x14ac:dyDescent="0.25">
      <c r="A304" t="str">
        <v>Go Fish Poke B</v>
      </c>
    </row>
    <row r="305" spans="1:1" x14ac:dyDescent="0.25">
      <c r="A305" t="str">
        <v>Orc Credit One</v>
      </c>
    </row>
    <row r="306" spans="1:1" x14ac:dyDescent="0.25">
      <c r="A306" t="str">
        <v>LuckyRedwood Cityca</v>
      </c>
    </row>
    <row r="307" spans="1:1" x14ac:dyDescent="0.25">
      <c r="A307" t="str">
        <v>Stagnaro Bros Seaf</v>
      </c>
    </row>
    <row r="308" spans="1:1" x14ac:dyDescent="0.25">
      <c r="A308" t="str">
        <v>Cafelatartine</v>
      </c>
    </row>
    <row r="309" spans="1:1" x14ac:dyDescent="0.25">
      <c r="A309" t="str">
        <v>Blue Line Pizza Sa</v>
      </c>
    </row>
    <row r="310" spans="1:1" x14ac:dyDescent="0.25">
      <c r="A310" t="str">
        <v>Tmobile Postpaid P</v>
      </c>
    </row>
    <row r="311" spans="1:1" x14ac:dyDescent="0.25">
      <c r="A311" t="str">
        <v>La Baguette</v>
      </c>
    </row>
    <row r="312" spans="1:1" x14ac:dyDescent="0.25">
      <c r="A312" t="str">
        <v>Urban Outfitters</v>
      </c>
    </row>
    <row r="313" spans="1:1" x14ac:dyDescent="0.25">
      <c r="A313" t="str">
        <v>I Dumpling</v>
      </c>
    </row>
    <row r="314" spans="1:1" x14ac:dyDescent="0.25">
      <c r="A314" t="str">
        <v>Iguanas Downtown</v>
      </c>
    </row>
    <row r="315" spans="1:1" x14ac:dyDescent="0.25">
      <c r="A315" t="str">
        <v>Jetblue</v>
      </c>
    </row>
    <row r="316" spans="1:1" x14ac:dyDescent="0.25">
      <c r="A316" t="str">
        <v>Bos Wahlburger 655</v>
      </c>
    </row>
    <row r="317" spans="1:1" x14ac:dyDescent="0.25">
      <c r="A317" t="str">
        <v>Richmond Airport</v>
      </c>
    </row>
    <row r="318" spans="1:1" x14ac:dyDescent="0.25">
      <c r="A318" t="str">
        <v>En Su Boca</v>
      </c>
    </row>
    <row r="319" spans="1:1" x14ac:dyDescent="0.25">
      <c r="A319" t="str">
        <v>Noodles &amp; Company</v>
      </c>
    </row>
    <row r="320" spans="1:1" x14ac:dyDescent="0.25">
      <c r="A320" t="str">
        <v>Carytown Gyro</v>
      </c>
    </row>
    <row r="321" spans="1:1" x14ac:dyDescent="0.25">
      <c r="A321" t="str">
        <v>Shake Shack</v>
      </c>
    </row>
    <row r="322" spans="1:1" x14ac:dyDescent="0.25">
      <c r="A322" t="str">
        <v>Mary Angelas Pizze</v>
      </c>
    </row>
    <row r="323" spans="1:1" x14ac:dyDescent="0.25">
      <c r="A323" t="str">
        <v>Bp Pit St</v>
      </c>
    </row>
    <row r="324" spans="1:1" x14ac:dyDescent="0.25">
      <c r="A324" t="str">
        <v>Wob Richmond Tampa Fl</v>
      </c>
    </row>
    <row r="325" spans="1:1" x14ac:dyDescent="0.25">
      <c r="A325" t="str">
        <v>Aldi</v>
      </c>
    </row>
    <row r="326" spans="1:1" x14ac:dyDescent="0.25">
      <c r="A326" t="str">
        <v>Carytown Burgers &amp;</v>
      </c>
    </row>
    <row r="327" spans="1:1" x14ac:dyDescent="0.25">
      <c r="A327" t="str">
        <v>Brunch</v>
      </c>
    </row>
    <row r="328" spans="1:1" x14ac:dyDescent="0.25">
      <c r="A328" t="str">
        <v>Sauce &amp; Toss 2</v>
      </c>
    </row>
    <row r="329" spans="1:1" x14ac:dyDescent="0.25">
      <c r="A329" t="str">
        <v>Va Dmv Hampton Csc</v>
      </c>
    </row>
    <row r="330" spans="1:1" x14ac:dyDescent="0.25">
      <c r="A330" t="str">
        <v>Aromas Coffeehouse Nn</v>
      </c>
    </row>
    <row r="331" spans="1:1" x14ac:dyDescent="0.25">
      <c r="A331" t="str">
        <v>Gabriel Bros</v>
      </c>
    </row>
    <row r="332" spans="1:1" x14ac:dyDescent="0.25">
      <c r="A332" t="str">
        <v>Mike Blendz Barber</v>
      </c>
    </row>
    <row r="333" spans="1:1" x14ac:dyDescent="0.25">
      <c r="A333" t="str">
        <v>Subway</v>
      </c>
    </row>
    <row r="334" spans="1:1" x14ac:dyDescent="0.25">
      <c r="A334" t="str">
        <v>Brent Manor Vineyards</v>
      </c>
    </row>
    <row r="335" spans="1:1" x14ac:dyDescent="0.25">
      <c r="A335" t="str">
        <v>Dr Hos Humble Pie</v>
      </c>
    </row>
    <row r="336" spans="1:1" x14ac:dyDescent="0.25">
      <c r="A336" t="str">
        <v>Grace Estate Winer</v>
      </c>
    </row>
    <row r="337" spans="1:1" x14ac:dyDescent="0.25">
      <c r="A337" t="str">
        <v>China Panda Restau</v>
      </c>
    </row>
    <row r="338" spans="1:1" x14ac:dyDescent="0.25">
      <c r="A338" t="str">
        <v>Autozone</v>
      </c>
    </row>
    <row r="339" spans="1:1" x14ac:dyDescent="0.25">
      <c r="A339" t="str">
        <v>Burgerworks</v>
      </c>
    </row>
    <row r="340" spans="1:1" x14ac:dyDescent="0.25">
      <c r="A340" t="str">
        <v>Lulus Restaurant</v>
      </c>
    </row>
    <row r="341" spans="1:1" x14ac:dyDescent="0.25">
      <c r="A341" t="str">
        <v>Bingo</v>
      </c>
    </row>
    <row r="342" spans="1:1" x14ac:dyDescent="0.25">
      <c r="A342" t="str">
        <v>Penny Lane Pub</v>
      </c>
    </row>
    <row r="343" spans="1:1" x14ac:dyDescent="0.25">
      <c r="A343" t="str">
        <v>Chanellos Pizza</v>
      </c>
    </row>
    <row r="344" spans="1:1" x14ac:dyDescent="0.25">
      <c r="A344" t="str">
        <v>Blaze Pizza</v>
      </c>
    </row>
    <row r="345" spans="1:1" x14ac:dyDescent="0.25">
      <c r="A345" t="str">
        <v>Ariannas Italian G</v>
      </c>
    </row>
    <row r="346" spans="1:1" x14ac:dyDescent="0.25">
      <c r="A346" t="str">
        <v>Adobe</v>
      </c>
    </row>
    <row r="347" spans="1:1" x14ac:dyDescent="0.25">
      <c r="A347" t="str">
        <v>Mcleans Restaurant</v>
      </c>
    </row>
    <row r="348" spans="1:1" x14ac:dyDescent="0.25">
      <c r="A348" t="str">
        <v>Allianz Travel Ins</v>
      </c>
    </row>
    <row r="349" spans="1:1" x14ac:dyDescent="0.25">
      <c r="A349" t="str">
        <v>Padowshamsanddeli</v>
      </c>
    </row>
    <row r="350" spans="1:1" x14ac:dyDescent="0.25">
      <c r="A350" t="str">
        <v>Usps Change Of Add</v>
      </c>
    </row>
    <row r="351" spans="1:1" x14ac:dyDescent="0.25">
      <c r="A351" t="str">
        <v>Potbelly Sandwich Shop</v>
      </c>
    </row>
    <row r="352" spans="1:1" x14ac:dyDescent="0.25">
      <c r="A352" t="str">
        <v>Interest Charge On Cash</v>
      </c>
    </row>
    <row r="353" spans="1:1" x14ac:dyDescent="0.25">
      <c r="A353" t="str">
        <v>Crazy Greek</v>
      </c>
    </row>
    <row r="354" spans="1:1" x14ac:dyDescent="0.25">
      <c r="A354" t="str">
        <v>Azzuri Italian Res</v>
      </c>
    </row>
    <row r="355" spans="1:1" x14ac:dyDescent="0.25">
      <c r="A355" t="str">
        <v>Xfinity Wifi</v>
      </c>
    </row>
    <row r="356" spans="1:1" x14ac:dyDescent="0.25">
      <c r="A356" t="str">
        <v>Boychik S Deli</v>
      </c>
    </row>
    <row r="357" spans="1:1" x14ac:dyDescent="0.25">
      <c r="A357" t="str">
        <v>Cmsvend Cv Richmond N</v>
      </c>
    </row>
    <row r="358" spans="1:1" x14ac:dyDescent="0.25">
      <c r="A358" t="str">
        <v>Dc Gov'T Payment Dc</v>
      </c>
    </row>
    <row r="359" spans="1:1" x14ac:dyDescent="0.25">
      <c r="A359" t="str">
        <v>Overdraft Fee For A</v>
      </c>
    </row>
    <row r="360" spans="1:1" x14ac:dyDescent="0.25">
      <c r="A360" t="str">
        <v>Fb Keemo Aladura Pay</v>
      </c>
    </row>
    <row r="361" spans="1:1" x14ac:dyDescent="0.25">
      <c r="A361" t="str">
        <v>Cash Advance Fee</v>
      </c>
    </row>
    <row r="362" spans="1:1" x14ac:dyDescent="0.25">
      <c r="A362" t="str">
        <v>Cardtronics</v>
      </c>
    </row>
    <row r="363" spans="1:1" x14ac:dyDescent="0.25">
      <c r="A363" t="str">
        <v>Dodson Pest</v>
      </c>
    </row>
    <row r="364" spans="1:1" x14ac:dyDescent="0.25">
      <c r="A364" t="str">
        <v>Buddy's Place</v>
      </c>
    </row>
    <row r="365" spans="1:1" x14ac:dyDescent="0.25">
      <c r="A365" t="str">
        <v>Kai Feng Pan Ck</v>
      </c>
    </row>
    <row r="366" spans="1:1" x14ac:dyDescent="0.25">
      <c r="A366" t="str">
        <v>Cmsvend Cv Richmon N</v>
      </c>
    </row>
    <row r="367" spans="1:1" x14ac:dyDescent="0.25">
      <c r="A367" t="str">
        <v>Pocahontas Parkway</v>
      </c>
    </row>
    <row r="368" spans="1:1" x14ac:dyDescent="0.25">
      <c r="A368" t="str">
        <v>Buffalo Wild Wings</v>
      </c>
    </row>
    <row r="369" spans="1:1" x14ac:dyDescent="0.25">
      <c r="A369" t="str">
        <v>Jiffy Lube</v>
      </c>
    </row>
    <row r="370" spans="1:1" x14ac:dyDescent="0.25">
      <c r="A370" t="str">
        <v>Turmeric India</v>
      </c>
    </row>
    <row r="371" spans="1:1" x14ac:dyDescent="0.25">
      <c r="A371" t="str">
        <v>Fuel Pizza F Str</v>
      </c>
    </row>
    <row r="372" spans="1:1" x14ac:dyDescent="0.25">
      <c r="A372" t="str">
        <v>Parkmobile</v>
      </c>
    </row>
    <row r="373" spans="1:1" x14ac:dyDescent="0.25">
      <c r="A373" t="str">
        <v>Amk Capital One Arena</v>
      </c>
    </row>
    <row r="374" spans="1:1" x14ac:dyDescent="0.25">
      <c r="A374" t="str">
        <v>Dunkin' Donuts</v>
      </c>
    </row>
    <row r="375" spans="1:1" x14ac:dyDescent="0.25">
      <c r="A375" t="str">
        <v>Eb Escape To The</v>
      </c>
    </row>
    <row r="376" spans="1:1" x14ac:dyDescent="0.25">
      <c r="A376" t="str">
        <v>Mapco W Broad S</v>
      </c>
    </row>
    <row r="377" spans="1:1" x14ac:dyDescent="0.25">
      <c r="A377" t="str">
        <v>Moore St Cafe</v>
      </c>
    </row>
    <row r="378" spans="1:1" x14ac:dyDescent="0.25">
      <c r="A378" t="str">
        <v>Usaa</v>
      </c>
    </row>
    <row r="379" spans="1:1" x14ac:dyDescent="0.25">
      <c r="A379" t="str">
        <v>Ellwood Thompson 4 N</v>
      </c>
    </row>
    <row r="380" spans="1:1" x14ac:dyDescent="0.25">
      <c r="A380" t="str">
        <v>Bp D</v>
      </c>
    </row>
    <row r="381" spans="1:1" x14ac:dyDescent="0.25">
      <c r="A381" t="str">
        <v>Prime Video</v>
      </c>
    </row>
    <row r="382" spans="1:1" x14ac:dyDescent="0.25">
      <c r="A382" t="str">
        <v>Mbi Setl Hsa Validation</v>
      </c>
    </row>
    <row r="383" spans="1:1" x14ac:dyDescent="0.25">
      <c r="A383" t="str">
        <v>Sally Beauty W</v>
      </c>
    </row>
    <row r="384" spans="1:1" x14ac:dyDescent="0.25">
      <c r="A384" t="str">
        <v>Burger King</v>
      </c>
    </row>
    <row r="385" spans="1:1" x14ac:dyDescent="0.25">
      <c r="A385" t="str">
        <v>Ihop</v>
      </c>
    </row>
    <row r="386" spans="1:1" x14ac:dyDescent="0.25">
      <c r="A386" t="str">
        <v>Auntie Anne's</v>
      </c>
    </row>
    <row r="387" spans="1:1" x14ac:dyDescent="0.25">
      <c r="A387" t="str">
        <v>Genghis Grill</v>
      </c>
    </row>
    <row r="388" spans="1:1" x14ac:dyDescent="0.25">
      <c r="A388" t="str">
        <v>Reg Shortpump 14</v>
      </c>
    </row>
    <row r="389" spans="1:1" x14ac:dyDescent="0.25">
      <c r="A389" t="str">
        <v>America's Best</v>
      </c>
    </row>
    <row r="390" spans="1:1" x14ac:dyDescent="0.25">
      <c r="A390" t="str">
        <v>Edeposit In Branch Store</v>
      </c>
    </row>
    <row r="391" spans="1:1" x14ac:dyDescent="0.25">
      <c r="A391" t="str">
        <v>Amk Allianz Cof Sh</v>
      </c>
    </row>
    <row r="392" spans="1:1" x14ac:dyDescent="0.25">
      <c r="A392" t="str">
        <v>Strawberry St Mark</v>
      </c>
    </row>
    <row r="393" spans="1:1" x14ac:dyDescent="0.25">
      <c r="A393" t="str">
        <v>Uhl Glen Allen Tru</v>
      </c>
    </row>
    <row r="394" spans="1:1" x14ac:dyDescent="0.25">
      <c r="A394" t="str">
        <v>Fas Mart 72</v>
      </c>
    </row>
    <row r="395" spans="1:1" x14ac:dyDescent="0.25">
      <c r="A395" t="str">
        <v>Movieland Boulevar</v>
      </c>
    </row>
    <row r="396" spans="1:1" x14ac:dyDescent="0.25">
      <c r="A396" t="str">
        <v>Punch Bowl Arlingt</v>
      </c>
    </row>
    <row r="397" spans="1:1" x14ac:dyDescent="0.25">
      <c r="A397" t="str">
        <v>Ramen Spot Llc</v>
      </c>
    </row>
    <row r="398" spans="1:1" x14ac:dyDescent="0.25">
      <c r="A398" t="str">
        <v>Cash App Emilsemel</v>
      </c>
    </row>
    <row r="399" spans="1:1" x14ac:dyDescent="0.25">
      <c r="A399" t="str">
        <v>Earnin Active Paymentret X</v>
      </c>
    </row>
    <row r="400" spans="1:1" x14ac:dyDescent="0.25">
      <c r="A400" t="str">
        <v>Vcu Recsports 974</v>
      </c>
    </row>
    <row r="401" spans="1:1" x14ac:dyDescent="0.25">
      <c r="A401" t="str">
        <v>Pho 1 Grill</v>
      </c>
    </row>
    <row r="402" spans="1:1" x14ac:dyDescent="0.25">
      <c r="A402" t="str">
        <v>Fas Mart 12</v>
      </c>
    </row>
    <row r="403" spans="1:1" x14ac:dyDescent="0.25">
      <c r="A403" t="str">
        <v>Earninactivehour Payment X Sean</v>
      </c>
    </row>
    <row r="404" spans="1:1" x14ac:dyDescent="0.25">
      <c r="A404" t="str">
        <v>Pho Sai Gon</v>
      </c>
    </row>
    <row r="405" spans="1:1" x14ac:dyDescent="0.25">
      <c r="A405" t="str">
        <v>Af Pollard &amp; Bagby</v>
      </c>
    </row>
    <row r="406" spans="1:1" x14ac:dyDescent="0.25">
      <c r="A406" t="str">
        <v>Mapco</v>
      </c>
    </row>
    <row r="407" spans="1:1" x14ac:dyDescent="0.25">
      <c r="A407" t="str">
        <v>Usps Kiosk</v>
      </c>
    </row>
    <row r="408" spans="1:1" x14ac:dyDescent="0.25">
      <c r="A408" t="str">
        <v>Harris Te Campbel</v>
      </c>
    </row>
    <row r="409" spans="1:1" x14ac:dyDescent="0.25">
      <c r="A409" t="str">
        <v>Interest Charge On Purchases</v>
      </c>
    </row>
    <row r="410" spans="1:1" x14ac:dyDescent="0.25">
      <c r="A410" t="str">
        <v>Sts Constanti</v>
      </c>
    </row>
    <row r="411" spans="1:1" x14ac:dyDescent="0.25">
      <c r="A411" t="str">
        <v>Poke Sushi Bowl</v>
      </c>
    </row>
    <row r="412" spans="1:1" x14ac:dyDescent="0.25">
      <c r="A412" t="str">
        <v>Garden Grove B</v>
      </c>
    </row>
    <row r="413" spans="1:1" x14ac:dyDescent="0.25">
      <c r="A413" t="str">
        <v>Philly Steak And G</v>
      </c>
    </row>
    <row r="414" spans="1:1" x14ac:dyDescent="0.25">
      <c r="A414" t="str">
        <v>Chicken Fiest</v>
      </c>
    </row>
    <row r="415" spans="1:1" x14ac:dyDescent="0.25">
      <c r="A415" t="str">
        <v>Smallcakes A Cupca</v>
      </c>
    </row>
    <row r="416" spans="1:1" x14ac:dyDescent="0.25">
      <c r="A416" t="str">
        <v>Yannas Taverna</v>
      </c>
    </row>
    <row r="417" spans="1:1" x14ac:dyDescent="0.25">
      <c r="A417" t="str">
        <v>Foot Locker</v>
      </c>
    </row>
    <row r="418" spans="1:1" x14ac:dyDescent="0.25">
      <c r="A418" t="str">
        <v>Crafted</v>
      </c>
    </row>
    <row r="419" spans="1:1" x14ac:dyDescent="0.25">
      <c r="A419" t="str">
        <v>Ticketstoday Jeffe</v>
      </c>
    </row>
    <row r="420" spans="1:1" x14ac:dyDescent="0.25">
      <c r="A420" t="str">
        <v>Ac Moore Store</v>
      </c>
    </row>
    <row r="421" spans="1:1" x14ac:dyDescent="0.25">
      <c r="A421" t="str">
        <v>Ups</v>
      </c>
    </row>
    <row r="422" spans="1:1" x14ac:dyDescent="0.25">
      <c r="A422" t="str">
        <v>Greek On Cary</v>
      </c>
    </row>
    <row r="423" spans="1:1" x14ac:dyDescent="0.25">
      <c r="A423" t="str">
        <v>Amazon Amzn Bill</v>
      </c>
    </row>
    <row r="424" spans="1:1" x14ac:dyDescent="0.25">
      <c r="A424" t="str">
        <v>Fb Don E Lewis</v>
      </c>
    </row>
    <row r="425" spans="1:1" x14ac:dyDescent="0.25">
      <c r="A425" t="str">
        <v>Cracker Barrel</v>
      </c>
    </row>
    <row r="426" spans="1:1" x14ac:dyDescent="0.25">
      <c r="A426" t="str">
        <v>Eaglebank Arena</v>
      </c>
    </row>
    <row r="427" spans="1:1" x14ac:dyDescent="0.25">
      <c r="A427" t="str">
        <v>Gmu Patriot</v>
      </c>
    </row>
    <row r="428" spans="1:1" x14ac:dyDescent="0.25">
      <c r="A428" t="str">
        <v>Hbi Patriot Center</v>
      </c>
    </row>
    <row r="429" spans="1:1" x14ac:dyDescent="0.25">
      <c r="A429" t="str">
        <v>Stop In Food St</v>
      </c>
    </row>
    <row r="430" spans="1:1" x14ac:dyDescent="0.25">
      <c r="A430" t="str">
        <v>Cor Mobile App Met</v>
      </c>
    </row>
    <row r="431" spans="1:1" x14ac:dyDescent="0.25">
      <c r="A431" t="str">
        <v>Metro Sound &amp; Music</v>
      </c>
    </row>
    <row r="432" spans="1:1" x14ac:dyDescent="0.25">
      <c r="A432" t="str">
        <v>Go Dragon Asian Gr</v>
      </c>
    </row>
    <row r="433" spans="1:1" x14ac:dyDescent="0.25">
      <c r="A433" t="str">
        <v>Galleykitchen</v>
      </c>
    </row>
    <row r="434" spans="1:1" x14ac:dyDescent="0.25">
      <c r="A434" t="str">
        <v>Dodson Pest Richmo</v>
      </c>
    </row>
    <row r="435" spans="1:1" x14ac:dyDescent="0.25">
      <c r="A435" t="str">
        <v>Non Wells Fargo Atm</v>
      </c>
    </row>
    <row r="436" spans="1:1" x14ac:dyDescent="0.25">
      <c r="A436" t="str">
        <v>Non Wf Atm Withdrawal</v>
      </c>
    </row>
    <row r="437" spans="1:1" x14ac:dyDescent="0.25">
      <c r="A437" t="str">
        <v>Dpj Maymont Founda</v>
      </c>
    </row>
    <row r="438" spans="1:1" x14ac:dyDescent="0.25">
      <c r="A438" t="str">
        <v>Burger Bach</v>
      </c>
    </row>
    <row r="439" spans="1:1" x14ac:dyDescent="0.25">
      <c r="A439" t="str">
        <v>Foo Dog</v>
      </c>
    </row>
    <row r="440" spans="1:1" x14ac:dyDescent="0.25">
      <c r="A440" t="str">
        <v>Vz Wireless Ve E</v>
      </c>
    </row>
    <row r="441" spans="1:1" x14ac:dyDescent="0.25">
      <c r="A441" t="str">
        <v>Aago Indian Nepale</v>
      </c>
    </row>
    <row r="442" spans="1:1" x14ac:dyDescent="0.25">
      <c r="A442" t="str">
        <v>Viking Burger</v>
      </c>
    </row>
    <row r="443" spans="1:1" x14ac:dyDescent="0.25">
      <c r="A443" t="str">
        <v>4Th S</v>
      </c>
    </row>
    <row r="444" spans="1:1" x14ac:dyDescent="0.25">
      <c r="A444" t="str">
        <v>Tobi Lou Llc</v>
      </c>
    </row>
    <row r="445" spans="1:1" x14ac:dyDescent="0.25">
      <c r="A445" t="str">
        <v>Crossroads Coffee</v>
      </c>
    </row>
    <row r="446" spans="1:1" x14ac:dyDescent="0.25">
      <c r="A446" t="str">
        <v>Belt Blvd Expr</v>
      </c>
    </row>
    <row r="447" spans="1:1" x14ac:dyDescent="0.25">
      <c r="A447" t="str">
        <v>Brewer's Cafe</v>
      </c>
    </row>
    <row r="448" spans="1:1" x14ac:dyDescent="0.25">
      <c r="A448" t="str">
        <v>Crunch West E</v>
      </c>
    </row>
    <row r="449" spans="1:1" x14ac:dyDescent="0.25">
      <c r="A449" t="str">
        <v>Short Pump Stm 14</v>
      </c>
    </row>
    <row r="450" spans="1:1" x14ac:dyDescent="0.25">
      <c r="A450" t="str">
        <v>Wob Richmond</v>
      </c>
    </row>
    <row r="451" spans="1:1" x14ac:dyDescent="0.25">
      <c r="A451" t="str">
        <v>Kreggers At Hand</v>
      </c>
    </row>
    <row r="452" spans="1:1" x14ac:dyDescent="0.25">
      <c r="A452" t="str">
        <v>Mexico Restaurant Innsbr</v>
      </c>
    </row>
    <row r="453" spans="1:1" x14ac:dyDescent="0.25">
      <c r="A453" t="str">
        <v>Parking Panda</v>
      </c>
    </row>
    <row r="454" spans="1:1" x14ac:dyDescent="0.25">
      <c r="A454" t="str">
        <v>U Street Music Hal</v>
      </c>
    </row>
    <row r="455" spans="1:1" x14ac:dyDescent="0.25">
      <c r="A455" t="str">
        <v>Tfi Ticketfly Events Ca</v>
      </c>
    </row>
    <row r="456" spans="1:1" x14ac:dyDescent="0.25">
      <c r="A456" t="str">
        <v>Pupatella Rva</v>
      </c>
    </row>
    <row r="457" spans="1:1" x14ac:dyDescent="0.25">
      <c r="A457" t="str">
        <v>Cafe Fili</v>
      </c>
    </row>
    <row r="458" spans="1:1" x14ac:dyDescent="0.25">
      <c r="A458" t="str">
        <v>Uhl Broad Street M</v>
      </c>
    </row>
    <row r="459" spans="1:1" x14ac:dyDescent="0.25">
      <c r="A459" t="str">
        <v>Bp Forest Bp District</v>
      </c>
    </row>
    <row r="460" spans="1:1" x14ac:dyDescent="0.25">
      <c r="A460" t="str">
        <v>Union Stage</v>
      </c>
    </row>
    <row r="461" spans="1:1" x14ac:dyDescent="0.25">
      <c r="A461" t="str">
        <v>Usa Canteen Richmond Va</v>
      </c>
    </row>
    <row r="462" spans="1:1" x14ac:dyDescent="0.25">
      <c r="A462" t="str">
        <v>Six Flags</v>
      </c>
    </row>
    <row r="463" spans="1:1" x14ac:dyDescent="0.25">
      <c r="A463" t="str">
        <v>Fas MartMechanicsvill</v>
      </c>
    </row>
    <row r="464" spans="1:1" x14ac:dyDescent="0.25">
      <c r="A464" t="str">
        <v>Usa Elaut Usa Inc</v>
      </c>
    </row>
    <row r="465" spans="1:1" x14ac:dyDescent="0.25">
      <c r="A465" t="str">
        <v>Hardywood Rich</v>
      </c>
    </row>
    <row r="466" spans="1:1" x14ac:dyDescent="0.25">
      <c r="A466" t="str">
        <v>La Bete</v>
      </c>
    </row>
    <row r="467" spans="1:1" x14ac:dyDescent="0.25">
      <c r="A467" t="str">
        <v>Capitol Waffle</v>
      </c>
    </row>
    <row r="468" spans="1:1" x14ac:dyDescent="0.25">
      <c r="A468" t="str">
        <v>Gelati Celesti</v>
      </c>
    </row>
    <row r="469" spans="1:1" x14ac:dyDescent="0.25">
      <c r="A469" t="str">
        <v>Apple Store</v>
      </c>
    </row>
    <row r="470" spans="1:1" x14ac:dyDescent="0.25">
      <c r="A470" t="str">
        <v>Capital Beltway Expres Va</v>
      </c>
    </row>
    <row r="471" spans="1:1" x14ac:dyDescent="0.25">
      <c r="A471" t="str">
        <v>E Zpass Md Mpc</v>
      </c>
    </row>
    <row r="472" spans="1:1" x14ac:dyDescent="0.25">
      <c r="A472" t="str">
        <v>Directpay Minimum Payment See</v>
      </c>
    </row>
    <row r="473" spans="1:1" x14ac:dyDescent="0.25">
      <c r="A473" t="str">
        <v>Ess A Bagel</v>
      </c>
    </row>
    <row r="474" spans="1:1" x14ac:dyDescent="0.25">
      <c r="A474" t="str">
        <v>The Infinite Actuary Llc</v>
      </c>
    </row>
    <row r="475" spans="1:1" x14ac:dyDescent="0.25">
      <c r="A475" t="str">
        <v>Arbys</v>
      </c>
    </row>
    <row r="476" spans="1:1" x14ac:dyDescent="0.25">
      <c r="A476" t="str">
        <v>FloydsBarbershop Gambrills Md</v>
      </c>
    </row>
    <row r="477" spans="1:1" x14ac:dyDescent="0.25">
      <c r="A477" t="str">
        <v>Asian Wok Cafe</v>
      </c>
    </row>
    <row r="478" spans="1:1" x14ac:dyDescent="0.25">
      <c r="A478" t="str">
        <v>Five Below</v>
      </c>
    </row>
    <row r="479" spans="1:1" x14ac:dyDescent="0.25">
      <c r="A479" t="str">
        <v>Parking Panda Il Apple</v>
      </c>
    </row>
    <row r="480" spans="1:1" x14ac:dyDescent="0.25">
      <c r="A480" t="str">
        <v>Target District Heigmd</v>
      </c>
    </row>
    <row r="481" spans="1:1" x14ac:dyDescent="0.25">
      <c r="A481" t="str">
        <v>Phone Payment</v>
      </c>
    </row>
    <row r="482" spans="1:1" x14ac:dyDescent="0.25">
      <c r="A482" t="str">
        <v>Late Fee</v>
      </c>
    </row>
    <row r="483" spans="1:1" x14ac:dyDescent="0.25">
      <c r="A483" t="str">
        <v>Conditional Courtesy Credit</v>
      </c>
    </row>
    <row r="484" spans="1:1" x14ac:dyDescent="0.25">
      <c r="A484" t="str">
        <v>Interest Charge Refund</v>
      </c>
    </row>
    <row r="485" spans="1:1" x14ac:dyDescent="0.25">
      <c r="A485" t="str">
        <v>Payment</v>
      </c>
    </row>
    <row r="486" spans="1:1" x14ac:dyDescent="0.25">
      <c r="A486" t="str">
        <v>Speedway 117</v>
      </c>
    </row>
    <row r="487" spans="1:1" x14ac:dyDescent="0.25">
      <c r="A487" t="str">
        <v>Chsport&amp;Health Results</v>
      </c>
    </row>
    <row r="488" spans="1:1" x14ac:dyDescent="0.25">
      <c r="A488" t="str">
        <v>Bp Mart 127</v>
      </c>
    </row>
    <row r="489" spans="1:1" x14ac:dyDescent="0.25">
      <c r="A489" t="str">
        <v>Sport&amp; Health</v>
      </c>
    </row>
    <row r="490" spans="1:1" x14ac:dyDescent="0.25">
      <c r="A490" t="str">
        <v>Sonic</v>
      </c>
    </row>
    <row r="491" spans="1:1" x14ac:dyDescent="0.25">
      <c r="A491" t="str">
        <v>Pizzeria Orso</v>
      </c>
    </row>
    <row r="492" spans="1:1" x14ac:dyDescent="0.25">
      <c r="A492" t="str">
        <v>Corners Liberty</v>
      </c>
    </row>
    <row r="493" spans="1:1" x14ac:dyDescent="0.25">
      <c r="A493" t="str">
        <v>Everyday Flowers A Redwood</v>
      </c>
    </row>
    <row r="494" spans="1:1" x14ac:dyDescent="0.25">
      <c r="A494" t="str">
        <v>Rams Head Live Bar</v>
      </c>
    </row>
    <row r="495" spans="1:1" x14ac:dyDescent="0.25">
      <c r="A495" t="str">
        <v>Famous Anthony S</v>
      </c>
    </row>
    <row r="496" spans="1:1" x14ac:dyDescent="0.25">
      <c r="A496" t="str">
        <v>The Village Grill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B8BD4-B995-1D44-AD5B-D093BFA01DB2}">
  <dimension ref="A1:L44"/>
  <sheetViews>
    <sheetView showGridLines="0" zoomScaleNormal="100" workbookViewId="0">
      <selection activeCell="M28" sqref="M28"/>
    </sheetView>
  </sheetViews>
  <sheetFormatPr defaultColWidth="8.85546875" defaultRowHeight="15.75" outlineLevelCol="1" x14ac:dyDescent="0.25"/>
  <cols>
    <col min="1" max="1" width="1.42578125" style="14" customWidth="1"/>
    <col min="2" max="2" width="35.85546875" style="14" customWidth="1"/>
    <col min="3" max="3" width="49.140625" style="14" hidden="1" customWidth="1" outlineLevel="1"/>
    <col min="4" max="4" width="55.28515625" style="14" customWidth="1" collapsed="1"/>
    <col min="5" max="5" width="26.42578125" style="124" customWidth="1"/>
    <col min="6" max="6" width="8.85546875" style="14"/>
    <col min="7" max="7" width="9.42578125" style="14" hidden="1" customWidth="1" outlineLevel="1"/>
    <col min="8" max="8" width="7.140625" style="14" hidden="1" customWidth="1" outlineLevel="1"/>
    <col min="9" max="9" width="7" style="14" hidden="1" customWidth="1" outlineLevel="1"/>
    <col min="10" max="11" width="21.7109375" style="14" hidden="1" customWidth="1" outlineLevel="1"/>
    <col min="12" max="12" width="8.85546875" style="14" collapsed="1"/>
    <col min="13" max="16384" width="8.85546875" style="14"/>
  </cols>
  <sheetData>
    <row r="1" spans="1:11" s="13" customFormat="1" ht="5.0999999999999996" customHeight="1" x14ac:dyDescent="0.25">
      <c r="A1" s="14"/>
      <c r="B1" s="145"/>
      <c r="C1" s="145"/>
      <c r="D1" s="145"/>
      <c r="E1" s="145"/>
      <c r="F1" s="146"/>
      <c r="G1" s="146"/>
      <c r="H1" s="146"/>
      <c r="I1" s="146"/>
      <c r="J1" s="146"/>
      <c r="K1" s="146"/>
    </row>
    <row r="2" spans="1:11" ht="40.5" customHeight="1" x14ac:dyDescent="0.55000000000000004">
      <c r="B2" s="263" t="s">
        <v>69</v>
      </c>
      <c r="C2" s="264"/>
      <c r="D2" s="264"/>
      <c r="E2" s="264"/>
      <c r="F2" s="147"/>
      <c r="G2" s="147"/>
      <c r="H2" s="147"/>
      <c r="I2" s="147"/>
      <c r="J2" s="147"/>
      <c r="K2" s="147"/>
    </row>
    <row r="3" spans="1:11" ht="40.5" customHeight="1" x14ac:dyDescent="0.25">
      <c r="B3" s="265" t="s">
        <v>70</v>
      </c>
      <c r="C3" s="266"/>
      <c r="D3" s="266"/>
      <c r="E3" s="266"/>
      <c r="F3" s="147"/>
      <c r="G3" s="147"/>
      <c r="H3" s="147"/>
      <c r="I3" s="147"/>
      <c r="J3" s="147"/>
      <c r="K3" s="147"/>
    </row>
    <row r="4" spans="1:11" ht="2.1" customHeight="1" x14ac:dyDescent="0.25">
      <c r="B4" s="148"/>
      <c r="C4" s="148"/>
      <c r="D4" s="148"/>
      <c r="E4" s="148"/>
      <c r="F4" s="147"/>
      <c r="G4" s="147"/>
      <c r="H4" s="147"/>
      <c r="I4" s="147"/>
      <c r="J4" s="147"/>
      <c r="K4" s="147"/>
    </row>
    <row r="5" spans="1:11" ht="12.6" customHeight="1" thickBot="1" x14ac:dyDescent="0.3">
      <c r="B5" s="147"/>
      <c r="C5" s="147"/>
      <c r="D5" s="147"/>
      <c r="E5" s="147"/>
      <c r="F5" s="147"/>
      <c r="G5" s="149" t="s">
        <v>69</v>
      </c>
      <c r="H5" s="149"/>
      <c r="I5" s="149"/>
      <c r="J5" s="149"/>
      <c r="K5" s="149"/>
    </row>
    <row r="6" spans="1:11" s="121" customFormat="1" ht="16.350000000000001" customHeight="1" x14ac:dyDescent="0.25">
      <c r="B6" s="150"/>
      <c r="C6" s="151" t="s">
        <v>71</v>
      </c>
      <c r="D6" s="151" t="s">
        <v>72</v>
      </c>
      <c r="E6" s="152" t="s">
        <v>39</v>
      </c>
      <c r="F6" s="150"/>
      <c r="G6" s="153" t="s">
        <v>73</v>
      </c>
      <c r="H6" s="153" t="s">
        <v>5</v>
      </c>
      <c r="I6" s="153" t="s">
        <v>7</v>
      </c>
      <c r="J6" s="153" t="s">
        <v>74</v>
      </c>
      <c r="K6" s="154" t="s">
        <v>75</v>
      </c>
    </row>
    <row r="7" spans="1:11" ht="16.350000000000001" customHeight="1" x14ac:dyDescent="0.25">
      <c r="B7" s="261" t="s">
        <v>76</v>
      </c>
      <c r="C7" s="155"/>
      <c r="D7" s="156" t="s">
        <v>59</v>
      </c>
      <c r="E7" s="155" t="s">
        <v>59</v>
      </c>
      <c r="F7" s="147"/>
      <c r="G7" s="157" t="str">
        <f>IF(COUNTA(Table2[[#This Row],[Category Name]:[Category Type]])=2,"YES","")</f>
        <v>YES</v>
      </c>
      <c r="H7" s="157">
        <f>IF(G7="","",COUNTIF($G$7:G7,"YES"))</f>
        <v>1</v>
      </c>
      <c r="I7" s="157">
        <f>IF(ROW()-6&gt;MAX($H$7:$H$44),"--",ROW()-6)</f>
        <v>1</v>
      </c>
      <c r="J7" s="157" t="str" cm="1">
        <f t="array" ref="J7">IFERROR(INDEX(Table2[Category Name],MATCH(I7,$H$7:$H$44,0),0),"--")</f>
        <v>Income</v>
      </c>
      <c r="K7" s="158" t="str" cm="1">
        <f t="array" aca="1" ref="K7:K24" ca="1">OFFSET('Archived Categories Sheet'!$J$7,0,0,COUNTIF('Archived Categories Sheet'!$J$7:$J$44,"&lt;&gt;"&amp;"--"),1)</f>
        <v>Income</v>
      </c>
    </row>
    <row r="8" spans="1:11" ht="16.350000000000001" customHeight="1" x14ac:dyDescent="0.25">
      <c r="B8" s="262"/>
      <c r="C8" s="155"/>
      <c r="D8" s="156" t="s">
        <v>57</v>
      </c>
      <c r="E8" s="155" t="s">
        <v>50</v>
      </c>
      <c r="F8" s="147"/>
      <c r="G8" s="147" t="str">
        <f>IF(COUNTA(Table2[[#This Row],[Category Name]:[Category Type]])=2,"YES","")</f>
        <v>YES</v>
      </c>
      <c r="H8" s="147">
        <f>IF(G8="","",COUNTIF($G$7:G8,"YES"))</f>
        <v>2</v>
      </c>
      <c r="I8" s="147">
        <f t="shared" ref="I8:I44" si="0">IF(ROW()-6&gt;MAX($H$7:$H$44),"--",ROW()-6)</f>
        <v>2</v>
      </c>
      <c r="J8" s="147" t="str" cm="1">
        <f t="array" ref="J8">IFERROR(INDEX(Table2[Category Name],MATCH(I8,$H$7:$H$44,0),0),"--")</f>
        <v>Refund</v>
      </c>
      <c r="K8" s="147" t="str">
        <f ca="1"/>
        <v>Refund</v>
      </c>
    </row>
    <row r="9" spans="1:11" ht="16.350000000000001" customHeight="1" x14ac:dyDescent="0.25">
      <c r="B9" s="262"/>
      <c r="C9" s="155"/>
      <c r="D9" s="156" t="s">
        <v>50</v>
      </c>
      <c r="E9" s="155" t="s">
        <v>50</v>
      </c>
      <c r="F9" s="147"/>
      <c r="G9" s="147" t="str">
        <f>IF(COUNTA(Table2[[#This Row],[Category Name]:[Category Type]])=2,"YES","")</f>
        <v>YES</v>
      </c>
      <c r="H9" s="147">
        <f>IF(G9="","",COUNTIF($G$7:G9,"YES"))</f>
        <v>3</v>
      </c>
      <c r="I9" s="147">
        <f t="shared" si="0"/>
        <v>3</v>
      </c>
      <c r="J9" s="147" t="str" cm="1">
        <f t="array" ref="J9">IFERROR(INDEX(Table2[Category Name],MATCH(I9,$H$7:$H$44,0),0),"--")</f>
        <v>Transfer</v>
      </c>
      <c r="K9" s="147" t="str">
        <f ca="1"/>
        <v>Transfer</v>
      </c>
    </row>
    <row r="10" spans="1:11" ht="16.350000000000001" customHeight="1" x14ac:dyDescent="0.25">
      <c r="B10" s="262"/>
      <c r="C10" s="155"/>
      <c r="D10" s="156" t="s">
        <v>52</v>
      </c>
      <c r="E10" s="155" t="s">
        <v>77</v>
      </c>
      <c r="F10" s="147"/>
      <c r="G10" s="147" t="str">
        <f>IF(COUNTA(Table2[[#This Row],[Category Name]:[Category Type]])=2,"YES","")</f>
        <v>YES</v>
      </c>
      <c r="H10" s="147">
        <f>IF(G10="","",COUNTIF($G$7:G10,"YES"))</f>
        <v>4</v>
      </c>
      <c r="I10" s="147">
        <f t="shared" si="0"/>
        <v>4</v>
      </c>
      <c r="J10" s="147" t="str" cm="1">
        <f t="array" ref="J10">IFERROR(INDEX(Table2[Category Name],MATCH(I10,$H$7:$H$44,0),0),"--")</f>
        <v>Auto/Transport</v>
      </c>
      <c r="K10" s="147" t="str">
        <f ca="1"/>
        <v>Auto/Transport</v>
      </c>
    </row>
    <row r="11" spans="1:11" ht="16.350000000000001" customHeight="1" x14ac:dyDescent="0.25">
      <c r="B11" s="262"/>
      <c r="C11" s="155"/>
      <c r="D11" s="156" t="s">
        <v>54</v>
      </c>
      <c r="E11" s="155" t="s">
        <v>77</v>
      </c>
      <c r="F11" s="147"/>
      <c r="G11" s="147" t="str">
        <f>IF(COUNTA(Table2[[#This Row],[Category Name]:[Category Type]])=2,"YES","")</f>
        <v>YES</v>
      </c>
      <c r="H11" s="147">
        <f>IF(G11="","",COUNTIF($G$7:G11,"YES"))</f>
        <v>5</v>
      </c>
      <c r="I11" s="147">
        <f t="shared" si="0"/>
        <v>5</v>
      </c>
      <c r="J11" s="147" t="str" cm="1">
        <f t="array" ref="J11">IFERROR(INDEX(Table2[Category Name],MATCH(I11,$H$7:$H$44,0),0),"--")</f>
        <v>Bills/Utilities</v>
      </c>
      <c r="K11" s="147" t="str">
        <f ca="1"/>
        <v>Bills/Utilities</v>
      </c>
    </row>
    <row r="12" spans="1:11" ht="16.350000000000001" customHeight="1" x14ac:dyDescent="0.25">
      <c r="B12" s="262"/>
      <c r="C12" s="155"/>
      <c r="D12" s="156" t="s">
        <v>60</v>
      </c>
      <c r="E12" s="155" t="s">
        <v>77</v>
      </c>
      <c r="F12" s="147"/>
      <c r="G12" s="147" t="str">
        <f>IF(COUNTA(Table2[[#This Row],[Category Name]:[Category Type]])=2,"YES","")</f>
        <v>YES</v>
      </c>
      <c r="H12" s="147">
        <f>IF(G12="","",COUNTIF($G$7:G12,"YES"))</f>
        <v>6</v>
      </c>
      <c r="I12" s="147">
        <f t="shared" si="0"/>
        <v>6</v>
      </c>
      <c r="J12" s="147" t="str" cm="1">
        <f t="array" ref="J12">IFERROR(INDEX(Table2[Category Name],MATCH(I12,$H$7:$H$44,0),0),"--")</f>
        <v>Entertainment</v>
      </c>
      <c r="K12" s="147" t="str">
        <f ca="1"/>
        <v>Entertainment</v>
      </c>
    </row>
    <row r="13" spans="1:11" ht="16.350000000000001" customHeight="1" x14ac:dyDescent="0.25">
      <c r="B13" s="262"/>
      <c r="C13" s="155"/>
      <c r="D13" s="156" t="s">
        <v>61</v>
      </c>
      <c r="E13" s="155" t="s">
        <v>77</v>
      </c>
      <c r="F13" s="147"/>
      <c r="G13" s="147" t="str">
        <f>IF(COUNTA(Table2[[#This Row],[Category Name]:[Category Type]])=2,"YES","")</f>
        <v>YES</v>
      </c>
      <c r="H13" s="147">
        <f>IF(G13="","",COUNTIF($G$7:G13,"YES"))</f>
        <v>7</v>
      </c>
      <c r="I13" s="147">
        <f t="shared" si="0"/>
        <v>7</v>
      </c>
      <c r="J13" s="147" t="str" cm="1">
        <f t="array" ref="J13">IFERROR(INDEX(Table2[Category Name],MATCH(I13,$H$7:$H$44,0),0),"--")</f>
        <v>Fees/Charges</v>
      </c>
      <c r="K13" s="147" t="str">
        <f ca="1"/>
        <v>Fees/Charges</v>
      </c>
    </row>
    <row r="14" spans="1:11" ht="16.350000000000001" customHeight="1" x14ac:dyDescent="0.25">
      <c r="B14" s="262"/>
      <c r="C14" s="155"/>
      <c r="D14" s="156" t="s">
        <v>48</v>
      </c>
      <c r="E14" s="155" t="s">
        <v>77</v>
      </c>
      <c r="F14" s="147"/>
      <c r="G14" s="147" t="str">
        <f>IF(COUNTA(Table2[[#This Row],[Category Name]:[Category Type]])=2,"YES","")</f>
        <v>YES</v>
      </c>
      <c r="H14" s="147">
        <f>IF(G14="","",COUNTIF($G$7:G14,"YES"))</f>
        <v>8</v>
      </c>
      <c r="I14" s="147">
        <f t="shared" si="0"/>
        <v>8</v>
      </c>
      <c r="J14" s="147" t="str" cm="1">
        <f t="array" ref="J14">IFERROR(INDEX(Table2[Category Name],MATCH(I14,$H$7:$H$44,0),0),"--")</f>
        <v>Groceries</v>
      </c>
      <c r="K14" s="147" t="str">
        <f ca="1"/>
        <v>Groceries</v>
      </c>
    </row>
    <row r="15" spans="1:11" ht="16.350000000000001" customHeight="1" x14ac:dyDescent="0.25">
      <c r="B15" s="262"/>
      <c r="C15" s="155"/>
      <c r="D15" s="156" t="s">
        <v>51</v>
      </c>
      <c r="E15" s="155" t="s">
        <v>77</v>
      </c>
      <c r="F15" s="147"/>
      <c r="G15" s="147" t="str">
        <f>IF(COUNTA(Table2[[#This Row],[Category Name]:[Category Type]])=2,"YES","")</f>
        <v>YES</v>
      </c>
      <c r="H15" s="147">
        <f>IF(G15="","",COUNTIF($G$7:G15,"YES"))</f>
        <v>9</v>
      </c>
      <c r="I15" s="147">
        <f t="shared" si="0"/>
        <v>9</v>
      </c>
      <c r="J15" s="147" t="str" cm="1">
        <f t="array" ref="J15">IFERROR(INDEX(Table2[Category Name],MATCH(I15,$H$7:$H$44,0),0),"--")</f>
        <v>Health/Fitness</v>
      </c>
      <c r="K15" s="147" t="str">
        <f ca="1"/>
        <v>Health/Fitness</v>
      </c>
    </row>
    <row r="16" spans="1:11" ht="16.350000000000001" customHeight="1" x14ac:dyDescent="0.25">
      <c r="B16" s="262"/>
      <c r="C16" s="155"/>
      <c r="D16" s="156" t="s">
        <v>55</v>
      </c>
      <c r="E16" s="155" t="s">
        <v>77</v>
      </c>
      <c r="F16" s="147"/>
      <c r="G16" s="147" t="str">
        <f>IF(COUNTA(Table2[[#This Row],[Category Name]:[Category Type]])=2,"YES","")</f>
        <v>YES</v>
      </c>
      <c r="H16" s="147">
        <f>IF(G16="","",COUNTIF($G$7:G16,"YES"))</f>
        <v>10</v>
      </c>
      <c r="I16" s="147">
        <f t="shared" si="0"/>
        <v>10</v>
      </c>
      <c r="J16" s="147" t="str" cm="1">
        <f t="array" ref="J16">IFERROR(INDEX(Table2[Category Name],MATCH(I16,$H$7:$H$44,0),0),"--")</f>
        <v>Home</v>
      </c>
      <c r="K16" s="147" t="str">
        <f ca="1"/>
        <v>Home</v>
      </c>
    </row>
    <row r="17" spans="2:11" ht="16.350000000000001" customHeight="1" x14ac:dyDescent="0.25">
      <c r="B17" s="262"/>
      <c r="C17" s="155"/>
      <c r="D17" s="156" t="s">
        <v>47</v>
      </c>
      <c r="E17" s="155" t="s">
        <v>77</v>
      </c>
      <c r="F17" s="147"/>
      <c r="G17" s="147" t="str">
        <f>IF(COUNTA(Table2[[#This Row],[Category Name]:[Category Type]])=2,"YES","")</f>
        <v>YES</v>
      </c>
      <c r="H17" s="147">
        <f>IF(G17="","",COUNTIF($G$7:G17,"YES"))</f>
        <v>11</v>
      </c>
      <c r="I17" s="147">
        <f t="shared" si="0"/>
        <v>11</v>
      </c>
      <c r="J17" s="147" t="str" cm="1">
        <f t="array" ref="J17">IFERROR(INDEX(Table2[Category Name],MATCH(I17,$H$7:$H$44,0),0),"--")</f>
        <v>Misc</v>
      </c>
      <c r="K17" s="147" t="str">
        <f ca="1"/>
        <v>Misc</v>
      </c>
    </row>
    <row r="18" spans="2:11" ht="16.350000000000001" customHeight="1" x14ac:dyDescent="0.25">
      <c r="B18" s="262"/>
      <c r="C18" s="155"/>
      <c r="D18" s="156" t="s">
        <v>78</v>
      </c>
      <c r="E18" s="155" t="s">
        <v>77</v>
      </c>
      <c r="F18" s="147"/>
      <c r="G18" s="147" t="str">
        <f>IF(COUNTA(Table2[[#This Row],[Category Name]:[Category Type]])=2,"YES","")</f>
        <v>YES</v>
      </c>
      <c r="H18" s="147">
        <f>IF(G18="","",COUNTIF($G$7:G18,"YES"))</f>
        <v>12</v>
      </c>
      <c r="I18" s="147">
        <f t="shared" si="0"/>
        <v>12</v>
      </c>
      <c r="J18" s="147" t="str" cm="1">
        <f t="array" ref="J18">IFERROR(INDEX(Table2[Category Name],MATCH(I18,$H$7:$H$44,0),0),"--")</f>
        <v>Mortgage/Rent</v>
      </c>
      <c r="K18" s="147" t="str">
        <f ca="1"/>
        <v>Mortgage/Rent</v>
      </c>
    </row>
    <row r="19" spans="2:11" ht="16.350000000000001" customHeight="1" x14ac:dyDescent="0.25">
      <c r="B19" s="262"/>
      <c r="C19" s="155"/>
      <c r="D19" s="156" t="s">
        <v>58</v>
      </c>
      <c r="E19" s="155" t="s">
        <v>77</v>
      </c>
      <c r="F19" s="147"/>
      <c r="G19" s="147" t="str">
        <f>IF(COUNTA(Table2[[#This Row],[Category Name]:[Category Type]])=2,"YES","")</f>
        <v>YES</v>
      </c>
      <c r="H19" s="147">
        <f>IF(G19="","",COUNTIF($G$7:G19,"YES"))</f>
        <v>13</v>
      </c>
      <c r="I19" s="147">
        <f t="shared" si="0"/>
        <v>13</v>
      </c>
      <c r="J19" s="147" t="str" cm="1">
        <f t="array" ref="J19">IFERROR(INDEX(Table2[Category Name],MATCH(I19,$H$7:$H$44,0),0),"--")</f>
        <v>Payment</v>
      </c>
      <c r="K19" s="147" t="str">
        <f ca="1"/>
        <v>Payment</v>
      </c>
    </row>
    <row r="20" spans="2:11" ht="16.350000000000001" customHeight="1" x14ac:dyDescent="0.25">
      <c r="B20" s="262"/>
      <c r="C20" s="155"/>
      <c r="D20" s="156" t="s">
        <v>56</v>
      </c>
      <c r="E20" s="155" t="s">
        <v>77</v>
      </c>
      <c r="F20" s="147"/>
      <c r="G20" s="147" t="str">
        <f>IF(COUNTA(Table2[[#This Row],[Category Name]:[Category Type]])=2,"YES","")</f>
        <v>YES</v>
      </c>
      <c r="H20" s="147">
        <f>IF(G20="","",COUNTIF($G$7:G20,"YES"))</f>
        <v>14</v>
      </c>
      <c r="I20" s="147">
        <f t="shared" si="0"/>
        <v>14</v>
      </c>
      <c r="J20" s="147" t="str" cm="1">
        <f t="array" ref="J20">IFERROR(INDEX(Table2[Category Name],MATCH(I20,$H$7:$H$44,0),0),"--")</f>
        <v>Professional Services</v>
      </c>
      <c r="K20" s="147" t="str">
        <f ca="1"/>
        <v>Professional Services</v>
      </c>
    </row>
    <row r="21" spans="2:11" ht="16.350000000000001" customHeight="1" x14ac:dyDescent="0.25">
      <c r="B21" s="262"/>
      <c r="C21" s="155"/>
      <c r="D21" s="156" t="s">
        <v>45</v>
      </c>
      <c r="E21" s="155" t="s">
        <v>77</v>
      </c>
      <c r="F21" s="147"/>
      <c r="G21" s="147" t="str">
        <f>IF(COUNTA(Table2[[#This Row],[Category Name]:[Category Type]])=2,"YES","")</f>
        <v>YES</v>
      </c>
      <c r="H21" s="147">
        <f>IF(G21="","",COUNTIF($G$7:G21,"YES"))</f>
        <v>15</v>
      </c>
      <c r="I21" s="147">
        <f t="shared" si="0"/>
        <v>15</v>
      </c>
      <c r="J21" s="147" t="str" cm="1">
        <f t="array" ref="J21">IFERROR(INDEX(Table2[Category Name],MATCH(I21,$H$7:$H$44,0),0),"--")</f>
        <v>Restaurants/Dining</v>
      </c>
      <c r="K21" s="147" t="str">
        <f ca="1"/>
        <v>Restaurants/Dining</v>
      </c>
    </row>
    <row r="22" spans="2:11" ht="16.350000000000001" customHeight="1" x14ac:dyDescent="0.25">
      <c r="B22" s="262"/>
      <c r="C22" s="155"/>
      <c r="D22" s="156" t="s">
        <v>46</v>
      </c>
      <c r="E22" s="155" t="s">
        <v>77</v>
      </c>
      <c r="F22" s="147"/>
      <c r="G22" s="147" t="str">
        <f>IF(COUNTA(Table2[[#This Row],[Category Name]:[Category Type]])=2,"YES","")</f>
        <v>YES</v>
      </c>
      <c r="H22" s="147">
        <f>IF(G22="","",COUNTIF($G$7:G22,"YES"))</f>
        <v>16</v>
      </c>
      <c r="I22" s="147">
        <f t="shared" si="0"/>
        <v>16</v>
      </c>
      <c r="J22" s="147" t="str" cm="1">
        <f t="array" ref="J22">IFERROR(INDEX(Table2[Category Name],MATCH(I22,$H$7:$H$44,0),0),"--")</f>
        <v>Shopping</v>
      </c>
      <c r="K22" s="147" t="str">
        <f ca="1"/>
        <v>Shopping</v>
      </c>
    </row>
    <row r="23" spans="2:11" ht="16.350000000000001" customHeight="1" x14ac:dyDescent="0.25">
      <c r="B23" s="262"/>
      <c r="C23" s="155"/>
      <c r="D23" s="156" t="s">
        <v>49</v>
      </c>
      <c r="E23" s="155" t="s">
        <v>77</v>
      </c>
      <c r="F23" s="147"/>
      <c r="G23" s="147" t="str">
        <f>IF(COUNTA(Table2[[#This Row],[Category Name]:[Category Type]])=2,"YES","")</f>
        <v>YES</v>
      </c>
      <c r="H23" s="147">
        <f>IF(G23="","",COUNTIF($G$7:G23,"YES"))</f>
        <v>17</v>
      </c>
      <c r="I23" s="147">
        <f t="shared" si="0"/>
        <v>17</v>
      </c>
      <c r="J23" s="147" t="str" cm="1">
        <f t="array" ref="J23">IFERROR(INDEX(Table2[Category Name],MATCH(I23,$H$7:$H$44,0),0),"--")</f>
        <v>Travel</v>
      </c>
      <c r="K23" s="147" t="str">
        <f ca="1"/>
        <v>Travel</v>
      </c>
    </row>
    <row r="24" spans="2:11" ht="16.350000000000001" customHeight="1" thickBot="1" x14ac:dyDescent="0.3">
      <c r="B24" s="262"/>
      <c r="C24" s="159"/>
      <c r="D24" s="160" t="s">
        <v>53</v>
      </c>
      <c r="E24" s="159" t="s">
        <v>77</v>
      </c>
      <c r="F24" s="147"/>
      <c r="G24" s="147" t="str">
        <f>IF(COUNTA(Table2[[#This Row],[Category Name]:[Category Type]])=2,"YES","")</f>
        <v>YES</v>
      </c>
      <c r="H24" s="147">
        <f>IF(G24="","",COUNTIF($G$7:G24,"YES"))</f>
        <v>18</v>
      </c>
      <c r="I24" s="147">
        <f t="shared" si="0"/>
        <v>18</v>
      </c>
      <c r="J24" s="147" t="str" cm="1">
        <f t="array" ref="J24">IFERROR(INDEX(Table2[Category Name],MATCH(I24,$H$7:$H$44,0),0),"--")</f>
        <v>Uncategorized</v>
      </c>
      <c r="K24" s="147" t="str">
        <f ca="1"/>
        <v>Uncategorized</v>
      </c>
    </row>
    <row r="25" spans="2:11" ht="16.350000000000001" customHeight="1" x14ac:dyDescent="0.25">
      <c r="B25" s="267" t="s">
        <v>79</v>
      </c>
      <c r="C25" s="125"/>
      <c r="D25" s="122"/>
      <c r="E25" s="123"/>
      <c r="F25" s="147"/>
      <c r="G25" s="147" t="str">
        <f>IF(COUNTA(Table2[[#This Row],[Category Name]:[Category Type]])=2,"YES","")</f>
        <v/>
      </c>
      <c r="H25" s="147" t="str">
        <f>IF(G25="","",COUNTIF($G$7:G25,"YES"))</f>
        <v/>
      </c>
      <c r="I25" s="147" t="str">
        <f t="shared" si="0"/>
        <v>--</v>
      </c>
      <c r="J25" s="147" t="str" cm="1">
        <f t="array" ref="J25">IFERROR(INDEX(Table2[Category Name],MATCH(I25,$H$7:$H$44,0),0),"--")</f>
        <v>--</v>
      </c>
      <c r="K25" s="147"/>
    </row>
    <row r="26" spans="2:11" ht="16.350000000000001" customHeight="1" x14ac:dyDescent="0.25">
      <c r="B26" s="268"/>
      <c r="C26" s="126"/>
      <c r="D26" s="122"/>
      <c r="E26" s="123"/>
      <c r="F26" s="147"/>
      <c r="G26" s="147" t="str">
        <f>IF(COUNTA(Table2[[#This Row],[Category Name]:[Category Type]])=2,"YES","")</f>
        <v/>
      </c>
      <c r="H26" s="147" t="str">
        <f>IF(G26="","",COUNTIF($G$7:G26,"YES"))</f>
        <v/>
      </c>
      <c r="I26" s="147" t="str">
        <f t="shared" si="0"/>
        <v>--</v>
      </c>
      <c r="J26" s="147" t="str" cm="1">
        <f t="array" ref="J26">IFERROR(INDEX(Table2[Category Name],MATCH(I26,$H$7:$H$44,0),0),"--")</f>
        <v>--</v>
      </c>
      <c r="K26" s="147"/>
    </row>
    <row r="27" spans="2:11" ht="16.350000000000001" customHeight="1" x14ac:dyDescent="0.25">
      <c r="B27" s="268"/>
      <c r="C27" s="126"/>
      <c r="D27" s="122"/>
      <c r="E27" s="123"/>
      <c r="F27" s="147"/>
      <c r="G27" s="147" t="str">
        <f>IF(COUNTA(Table2[[#This Row],[Category Name]:[Category Type]])=2,"YES","")</f>
        <v/>
      </c>
      <c r="H27" s="147" t="str">
        <f>IF(G27="","",COUNTIF($G$7:G27,"YES"))</f>
        <v/>
      </c>
      <c r="I27" s="147" t="str">
        <f t="shared" si="0"/>
        <v>--</v>
      </c>
      <c r="J27" s="147" t="str" cm="1">
        <f t="array" ref="J27">IFERROR(INDEX(Table2[Category Name],MATCH(I27,$H$7:$H$44,0),0),"--")</f>
        <v>--</v>
      </c>
      <c r="K27" s="147"/>
    </row>
    <row r="28" spans="2:11" ht="16.350000000000001" customHeight="1" x14ac:dyDescent="0.25">
      <c r="B28" s="268"/>
      <c r="C28" s="126"/>
      <c r="D28" s="122"/>
      <c r="E28" s="123"/>
      <c r="F28" s="147"/>
      <c r="G28" s="147" t="str">
        <f>IF(COUNTA(Table2[[#This Row],[Category Name]:[Category Type]])=2,"YES","")</f>
        <v/>
      </c>
      <c r="H28" s="147" t="str">
        <f>IF(G28="","",COUNTIF($G$7:G28,"YES"))</f>
        <v/>
      </c>
      <c r="I28" s="147" t="str">
        <f t="shared" si="0"/>
        <v>--</v>
      </c>
      <c r="J28" s="147" t="str" cm="1">
        <f t="array" ref="J28">IFERROR(INDEX(Table2[Category Name],MATCH(I28,$H$7:$H$44,0),0),"--")</f>
        <v>--</v>
      </c>
      <c r="K28" s="147"/>
    </row>
    <row r="29" spans="2:11" ht="16.350000000000001" customHeight="1" x14ac:dyDescent="0.25">
      <c r="B29" s="268"/>
      <c r="C29" s="126"/>
      <c r="D29" s="122"/>
      <c r="E29" s="123"/>
      <c r="F29" s="147"/>
      <c r="G29" s="147" t="str">
        <f>IF(COUNTA(Table2[[#This Row],[Category Name]:[Category Type]])=2,"YES","")</f>
        <v/>
      </c>
      <c r="H29" s="147" t="str">
        <f>IF(G29="","",COUNTIF($G$7:G29,"YES"))</f>
        <v/>
      </c>
      <c r="I29" s="147" t="str">
        <f t="shared" si="0"/>
        <v>--</v>
      </c>
      <c r="J29" s="147" t="str" cm="1">
        <f t="array" ref="J29">IFERROR(INDEX(Table2[Category Name],MATCH(I29,$H$7:$H$44,0),0),"--")</f>
        <v>--</v>
      </c>
      <c r="K29" s="147"/>
    </row>
    <row r="30" spans="2:11" ht="16.350000000000001" customHeight="1" x14ac:dyDescent="0.25">
      <c r="B30" s="268"/>
      <c r="C30" s="126"/>
      <c r="D30" s="122"/>
      <c r="E30" s="123"/>
      <c r="F30" s="147"/>
      <c r="G30" s="147" t="str">
        <f>IF(COUNTA(Table2[[#This Row],[Category Name]:[Category Type]])=2,"YES","")</f>
        <v/>
      </c>
      <c r="H30" s="147" t="str">
        <f>IF(G30="","",COUNTIF($G$7:G30,"YES"))</f>
        <v/>
      </c>
      <c r="I30" s="147" t="str">
        <f t="shared" si="0"/>
        <v>--</v>
      </c>
      <c r="J30" s="147" t="str" cm="1">
        <f t="array" ref="J30">IFERROR(INDEX(Table2[Category Name],MATCH(I30,$H$7:$H$44,0),0),"--")</f>
        <v>--</v>
      </c>
      <c r="K30" s="147"/>
    </row>
    <row r="31" spans="2:11" ht="16.350000000000001" customHeight="1" x14ac:dyDescent="0.25">
      <c r="B31" s="268"/>
      <c r="C31" s="126"/>
      <c r="D31" s="122"/>
      <c r="E31" s="123"/>
      <c r="F31" s="147"/>
      <c r="G31" s="147" t="str">
        <f>IF(COUNTA(Table2[[#This Row],[Category Name]:[Category Type]])=2,"YES","")</f>
        <v/>
      </c>
      <c r="H31" s="147" t="str">
        <f>IF(G31="","",COUNTIF($G$7:G31,"YES"))</f>
        <v/>
      </c>
      <c r="I31" s="147" t="str">
        <f t="shared" si="0"/>
        <v>--</v>
      </c>
      <c r="J31" s="147" t="str" cm="1">
        <f t="array" ref="J31">IFERROR(INDEX(Table2[Category Name],MATCH(I31,$H$7:$H$44,0),0),"--")</f>
        <v>--</v>
      </c>
      <c r="K31" s="147"/>
    </row>
    <row r="32" spans="2:11" ht="16.350000000000001" customHeight="1" x14ac:dyDescent="0.25">
      <c r="B32" s="268"/>
      <c r="C32" s="126"/>
      <c r="D32" s="122"/>
      <c r="E32" s="123"/>
      <c r="F32" s="147"/>
      <c r="G32" s="147" t="str">
        <f>IF(COUNTA(Table2[[#This Row],[Category Name]:[Category Type]])=2,"YES","")</f>
        <v/>
      </c>
      <c r="H32" s="147" t="str">
        <f>IF(G32="","",COUNTIF($G$7:G32,"YES"))</f>
        <v/>
      </c>
      <c r="I32" s="147" t="str">
        <f t="shared" si="0"/>
        <v>--</v>
      </c>
      <c r="J32" s="147" t="str" cm="1">
        <f t="array" ref="J32">IFERROR(INDEX(Table2[Category Name],MATCH(I32,$H$7:$H$44,0),0),"--")</f>
        <v>--</v>
      </c>
      <c r="K32" s="147"/>
    </row>
    <row r="33" spans="2:11" ht="16.350000000000001" customHeight="1" x14ac:dyDescent="0.25">
      <c r="B33" s="268"/>
      <c r="C33" s="126"/>
      <c r="D33" s="122"/>
      <c r="E33" s="123"/>
      <c r="F33" s="147"/>
      <c r="G33" s="147" t="str">
        <f>IF(COUNTA(Table2[[#This Row],[Category Name]:[Category Type]])=2,"YES","")</f>
        <v/>
      </c>
      <c r="H33" s="147" t="str">
        <f>IF(G33="","",COUNTIF($G$7:G33,"YES"))</f>
        <v/>
      </c>
      <c r="I33" s="147" t="str">
        <f t="shared" si="0"/>
        <v>--</v>
      </c>
      <c r="J33" s="147" t="str" cm="1">
        <f t="array" ref="J33">IFERROR(INDEX(Table2[Category Name],MATCH(I33,$H$7:$H$44,0),0),"--")</f>
        <v>--</v>
      </c>
      <c r="K33" s="147"/>
    </row>
    <row r="34" spans="2:11" ht="16.350000000000001" customHeight="1" x14ac:dyDescent="0.25">
      <c r="B34" s="268"/>
      <c r="C34" s="126"/>
      <c r="D34" s="122"/>
      <c r="E34" s="123"/>
      <c r="F34" s="147"/>
      <c r="G34" s="147" t="str">
        <f>IF(COUNTA(Table2[[#This Row],[Category Name]:[Category Type]])=2,"YES","")</f>
        <v/>
      </c>
      <c r="H34" s="147" t="str">
        <f>IF(G34="","",COUNTIF($G$7:G34,"YES"))</f>
        <v/>
      </c>
      <c r="I34" s="147" t="str">
        <f t="shared" si="0"/>
        <v>--</v>
      </c>
      <c r="J34" s="147" t="str" cm="1">
        <f t="array" ref="J34">IFERROR(INDEX(Table2[Category Name],MATCH(I34,$H$7:$H$44,0),0),"--")</f>
        <v>--</v>
      </c>
      <c r="K34" s="147"/>
    </row>
    <row r="35" spans="2:11" ht="16.350000000000001" customHeight="1" x14ac:dyDescent="0.25">
      <c r="B35" s="268"/>
      <c r="C35" s="126"/>
      <c r="D35" s="122"/>
      <c r="E35" s="123"/>
      <c r="F35" s="147"/>
      <c r="G35" s="147" t="str">
        <f>IF(COUNTA(Table2[[#This Row],[Category Name]:[Category Type]])=2,"YES","")</f>
        <v/>
      </c>
      <c r="H35" s="147" t="str">
        <f>IF(G35="","",COUNTIF($G$7:G35,"YES"))</f>
        <v/>
      </c>
      <c r="I35" s="147" t="str">
        <f t="shared" si="0"/>
        <v>--</v>
      </c>
      <c r="J35" s="147" t="str" cm="1">
        <f t="array" ref="J35">IFERROR(INDEX(Table2[Category Name],MATCH(I35,$H$7:$H$44,0),0),"--")</f>
        <v>--</v>
      </c>
      <c r="K35" s="147"/>
    </row>
    <row r="36" spans="2:11" ht="16.350000000000001" customHeight="1" x14ac:dyDescent="0.25">
      <c r="B36" s="268"/>
      <c r="C36" s="126"/>
      <c r="D36" s="122"/>
      <c r="E36" s="123"/>
      <c r="F36" s="147"/>
      <c r="G36" s="147" t="str">
        <f>IF(COUNTA(Table2[[#This Row],[Category Name]:[Category Type]])=2,"YES","")</f>
        <v/>
      </c>
      <c r="H36" s="147" t="str">
        <f>IF(G36="","",COUNTIF($G$7:G36,"YES"))</f>
        <v/>
      </c>
      <c r="I36" s="147" t="str">
        <f t="shared" si="0"/>
        <v>--</v>
      </c>
      <c r="J36" s="147" t="str" cm="1">
        <f t="array" ref="J36">IFERROR(INDEX(Table2[Category Name],MATCH(I36,$H$7:$H$44,0),0),"--")</f>
        <v>--</v>
      </c>
      <c r="K36" s="147"/>
    </row>
    <row r="37" spans="2:11" x14ac:dyDescent="0.25">
      <c r="B37" s="269"/>
      <c r="C37" s="127"/>
      <c r="D37" s="122"/>
      <c r="E37" s="123"/>
      <c r="F37" s="147"/>
      <c r="G37" s="147" t="str">
        <f>IF(COUNTA(Table2[[#This Row],[Category Name]:[Category Type]])=2,"YES","")</f>
        <v/>
      </c>
      <c r="H37" s="147" t="str">
        <f>IF(G37="","",COUNTIF($G$7:G37,"YES"))</f>
        <v/>
      </c>
      <c r="I37" s="147" t="str">
        <f t="shared" si="0"/>
        <v>--</v>
      </c>
      <c r="J37" s="147" t="str" cm="1">
        <f t="array" ref="J37">IFERROR(INDEX(Table2[Category Name],MATCH(I37,$H$7:$H$44,0),0),"--")</f>
        <v>--</v>
      </c>
      <c r="K37" s="147"/>
    </row>
    <row r="38" spans="2:11" x14ac:dyDescent="0.25">
      <c r="B38" s="269"/>
      <c r="C38" s="127"/>
      <c r="D38" s="122"/>
      <c r="E38" s="123"/>
      <c r="F38" s="147"/>
      <c r="G38" s="147" t="str">
        <f>IF(COUNTA(Table2[[#This Row],[Category Name]:[Category Type]])=2,"YES","")</f>
        <v/>
      </c>
      <c r="H38" s="147" t="str">
        <f>IF(G38="","",COUNTIF($G$7:G38,"YES"))</f>
        <v/>
      </c>
      <c r="I38" s="147" t="str">
        <f t="shared" si="0"/>
        <v>--</v>
      </c>
      <c r="J38" s="147" t="str" cm="1">
        <f t="array" ref="J38">IFERROR(INDEX(Table2[Category Name],MATCH(I38,$H$7:$H$44,0),0),"--")</f>
        <v>--</v>
      </c>
      <c r="K38" s="147"/>
    </row>
    <row r="39" spans="2:11" x14ac:dyDescent="0.25">
      <c r="B39" s="269"/>
      <c r="C39" s="127"/>
      <c r="D39" s="122"/>
      <c r="E39" s="123"/>
      <c r="F39" s="147"/>
      <c r="G39" s="147" t="str">
        <f>IF(COUNTA(Table2[[#This Row],[Category Name]:[Category Type]])=2,"YES","")</f>
        <v/>
      </c>
      <c r="H39" s="147" t="str">
        <f>IF(G39="","",COUNTIF($G$7:G39,"YES"))</f>
        <v/>
      </c>
      <c r="I39" s="147" t="str">
        <f t="shared" si="0"/>
        <v>--</v>
      </c>
      <c r="J39" s="147" t="str" cm="1">
        <f t="array" ref="J39">IFERROR(INDEX(Table2[Category Name],MATCH(I39,$H$7:$H$44,0),0),"--")</f>
        <v>--</v>
      </c>
      <c r="K39" s="147"/>
    </row>
    <row r="40" spans="2:11" x14ac:dyDescent="0.25">
      <c r="B40" s="269"/>
      <c r="C40" s="127"/>
      <c r="D40" s="122"/>
      <c r="E40" s="123"/>
      <c r="F40" s="147"/>
      <c r="G40" s="147" t="str">
        <f>IF(COUNTA(Table2[[#This Row],[Category Name]:[Category Type]])=2,"YES","")</f>
        <v/>
      </c>
      <c r="H40" s="147" t="str">
        <f>IF(G40="","",COUNTIF($G$7:G40,"YES"))</f>
        <v/>
      </c>
      <c r="I40" s="147" t="str">
        <f t="shared" si="0"/>
        <v>--</v>
      </c>
      <c r="J40" s="147" t="str" cm="1">
        <f t="array" ref="J40">IFERROR(INDEX(Table2[Category Name],MATCH(I40,$H$7:$H$44,0),0),"--")</f>
        <v>--</v>
      </c>
      <c r="K40" s="147"/>
    </row>
    <row r="41" spans="2:11" x14ac:dyDescent="0.25">
      <c r="B41" s="269"/>
      <c r="C41" s="127"/>
      <c r="D41" s="122"/>
      <c r="E41" s="123"/>
      <c r="F41" s="147"/>
      <c r="G41" s="147" t="str">
        <f>IF(COUNTA(Table2[[#This Row],[Category Name]:[Category Type]])=2,"YES","")</f>
        <v/>
      </c>
      <c r="H41" s="147" t="str">
        <f>IF(G41="","",COUNTIF($G$7:G41,"YES"))</f>
        <v/>
      </c>
      <c r="I41" s="147" t="str">
        <f t="shared" si="0"/>
        <v>--</v>
      </c>
      <c r="J41" s="147" t="str" cm="1">
        <f t="array" ref="J41">IFERROR(INDEX(Table2[Category Name],MATCH(I41,$H$7:$H$44,0),0),"--")</f>
        <v>--</v>
      </c>
      <c r="K41" s="147"/>
    </row>
    <row r="42" spans="2:11" x14ac:dyDescent="0.25">
      <c r="B42" s="269"/>
      <c r="C42" s="127"/>
      <c r="D42" s="122"/>
      <c r="E42" s="123"/>
      <c r="F42" s="147"/>
      <c r="G42" s="147" t="str">
        <f>IF(COUNTA(Table2[[#This Row],[Category Name]:[Category Type]])=2,"YES","")</f>
        <v/>
      </c>
      <c r="H42" s="147" t="str">
        <f>IF(G42="","",COUNTIF($G$7:G42,"YES"))</f>
        <v/>
      </c>
      <c r="I42" s="147" t="str">
        <f t="shared" si="0"/>
        <v>--</v>
      </c>
      <c r="J42" s="147" t="str" cm="1">
        <f t="array" ref="J42">IFERROR(INDEX(Table2[Category Name],MATCH(I42,$H$7:$H$44,0),0),"--")</f>
        <v>--</v>
      </c>
      <c r="K42" s="147"/>
    </row>
    <row r="43" spans="2:11" x14ac:dyDescent="0.25">
      <c r="B43" s="269"/>
      <c r="C43" s="127"/>
      <c r="D43" s="122"/>
      <c r="E43" s="123"/>
      <c r="F43" s="147"/>
      <c r="G43" s="147" t="str">
        <f>IF(COUNTA(Table2[[#This Row],[Category Name]:[Category Type]])=2,"YES","")</f>
        <v/>
      </c>
      <c r="H43" s="147" t="str">
        <f>IF(G43="","",COUNTIF($G$7:G43,"YES"))</f>
        <v/>
      </c>
      <c r="I43" s="147" t="str">
        <f t="shared" si="0"/>
        <v>--</v>
      </c>
      <c r="J43" s="147" t="str" cm="1">
        <f t="array" ref="J43">IFERROR(INDEX(Table2[Category Name],MATCH(I43,$H$7:$H$44,0),0),"--")</f>
        <v>--</v>
      </c>
      <c r="K43" s="147"/>
    </row>
    <row r="44" spans="2:11" x14ac:dyDescent="0.25">
      <c r="B44" s="269"/>
      <c r="C44" s="127"/>
      <c r="D44" s="122"/>
      <c r="E44" s="123"/>
      <c r="F44" s="147"/>
      <c r="G44" s="147" t="str">
        <f>IF(COUNTA(Table2[[#This Row],[Category Name]:[Category Type]])=2,"YES","")</f>
        <v/>
      </c>
      <c r="H44" s="147" t="str">
        <f>IF(G44="","",COUNTIF($G$7:G44,"YES"))</f>
        <v/>
      </c>
      <c r="I44" s="147" t="str">
        <f t="shared" si="0"/>
        <v>--</v>
      </c>
      <c r="J44" s="147" t="str" cm="1">
        <f t="array" ref="J44">IFERROR(INDEX(Table2[Category Name],MATCH(I44,$H$7:$H$44,0),0),"--")</f>
        <v>--</v>
      </c>
      <c r="K44" s="147"/>
    </row>
  </sheetData>
  <mergeCells count="4">
    <mergeCell ref="B7:B24"/>
    <mergeCell ref="B2:E2"/>
    <mergeCell ref="B3:E3"/>
    <mergeCell ref="B25:B44"/>
  </mergeCells>
  <conditionalFormatting sqref="E25:E44">
    <cfRule type="expression" dxfId="39" priority="3">
      <formula>AND(ISBLANK(E25),D25&lt;&gt;"")</formula>
    </cfRule>
  </conditionalFormatting>
  <conditionalFormatting sqref="D25:D44">
    <cfRule type="expression" dxfId="38" priority="2">
      <formula>AND(ISBLANK(D25),E25&lt;&gt;"")</formula>
    </cfRule>
  </conditionalFormatting>
  <dataValidations count="2">
    <dataValidation type="list" allowBlank="1" showInputMessage="1" showErrorMessage="1" sqref="E7:E44" xr:uid="{DCAA8EF2-4B1D-BB47-9A82-B536ED30521D}">
      <formula1>"Income,Transfer,Expense"</formula1>
    </dataValidation>
    <dataValidation allowBlank="1" showInputMessage="1" showErrorMessage="1" promptTitle="Categories" prompt="Create and edit categories in starting in row 25 on column D and set the category type in column E. Make transactions glanceable across every sheet." sqref="A1" xr:uid="{3EF09FB9-9454-40CB-B2B8-E8BB0507A067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85CD-1FD7-F14B-83D1-B61B8BB356B1}">
  <dimension ref="B1:M193"/>
  <sheetViews>
    <sheetView showGridLines="0" topLeftCell="A6" workbookViewId="0">
      <selection activeCell="H22" sqref="H22"/>
    </sheetView>
  </sheetViews>
  <sheetFormatPr defaultColWidth="11.42578125" defaultRowHeight="15" x14ac:dyDescent="0.25"/>
  <cols>
    <col min="1" max="1" width="3.42578125" customWidth="1"/>
    <col min="2" max="2" width="10.85546875" hidden="1" customWidth="1"/>
    <col min="3" max="4" width="33.42578125" customWidth="1"/>
    <col min="5" max="5" width="10.85546875" hidden="1" customWidth="1"/>
    <col min="6" max="6" width="7.42578125" customWidth="1"/>
    <col min="7" max="7" width="0" hidden="1" customWidth="1"/>
    <col min="8" max="9" width="33.7109375" customWidth="1"/>
    <col min="10" max="10" width="33.7109375" hidden="1" customWidth="1"/>
  </cols>
  <sheetData>
    <row r="1" spans="2:13" ht="8.1" customHeight="1" x14ac:dyDescent="0.25">
      <c r="B1" s="161"/>
      <c r="C1" s="162"/>
      <c r="D1" s="162"/>
      <c r="E1" s="162"/>
      <c r="F1" s="162"/>
      <c r="G1" s="162"/>
      <c r="H1" s="162"/>
      <c r="I1" s="162"/>
      <c r="J1" s="162"/>
      <c r="K1" s="161"/>
      <c r="L1" s="161"/>
      <c r="M1" s="161"/>
    </row>
    <row r="2" spans="2:13" ht="40.35" customHeight="1" x14ac:dyDescent="0.25">
      <c r="B2" s="270" t="s">
        <v>69</v>
      </c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</row>
    <row r="3" spans="2:13" ht="53.1" customHeight="1" thickBot="1" x14ac:dyDescent="0.3">
      <c r="B3" s="161"/>
      <c r="C3" s="271" t="s">
        <v>85</v>
      </c>
      <c r="D3" s="271"/>
      <c r="E3" s="271"/>
      <c r="F3" s="271"/>
      <c r="G3" s="271"/>
      <c r="H3" s="271"/>
      <c r="I3" s="271"/>
      <c r="J3" s="271"/>
      <c r="K3" s="161"/>
      <c r="L3" s="161"/>
      <c r="M3" s="161"/>
    </row>
    <row r="4" spans="2:13" x14ac:dyDescent="0.25"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</row>
    <row r="5" spans="2:13" ht="23.1" customHeight="1" x14ac:dyDescent="0.25">
      <c r="B5" s="161"/>
      <c r="C5" s="272" t="s">
        <v>69</v>
      </c>
      <c r="D5" s="272"/>
      <c r="E5" s="161"/>
      <c r="F5" s="161"/>
      <c r="G5" s="161"/>
      <c r="H5" s="272" t="s">
        <v>87</v>
      </c>
      <c r="I5" s="272"/>
      <c r="J5" s="161"/>
      <c r="K5" s="161"/>
      <c r="L5" s="161"/>
      <c r="M5" s="161"/>
    </row>
    <row r="6" spans="2:13" ht="42.95" customHeight="1" x14ac:dyDescent="0.25">
      <c r="B6" s="161"/>
      <c r="C6" s="273" t="s">
        <v>86</v>
      </c>
      <c r="D6" s="273"/>
      <c r="E6" s="161"/>
      <c r="F6" s="161"/>
      <c r="G6" s="161"/>
      <c r="H6" s="273" t="s">
        <v>88</v>
      </c>
      <c r="I6" s="273"/>
      <c r="J6" s="161"/>
      <c r="K6" s="161"/>
      <c r="L6" s="161"/>
      <c r="M6" s="161"/>
    </row>
    <row r="7" spans="2:13" ht="21.95" customHeight="1" x14ac:dyDescent="0.25">
      <c r="B7" s="163" t="s">
        <v>62</v>
      </c>
      <c r="C7" s="164" t="s">
        <v>80</v>
      </c>
      <c r="D7" s="165" t="s">
        <v>81</v>
      </c>
      <c r="E7" s="163" t="s">
        <v>82</v>
      </c>
      <c r="F7" s="161"/>
      <c r="G7" s="163" t="s">
        <v>62</v>
      </c>
      <c r="H7" s="164" t="s">
        <v>80</v>
      </c>
      <c r="I7" s="165" t="s">
        <v>83</v>
      </c>
      <c r="J7" s="163" t="s">
        <v>84</v>
      </c>
      <c r="K7" s="161"/>
      <c r="L7" s="161"/>
      <c r="M7" s="161"/>
    </row>
    <row r="8" spans="2:13" x14ac:dyDescent="0.25">
      <c r="B8" s="163" t="s">
        <v>90</v>
      </c>
      <c r="C8" s="164" t="s">
        <v>52</v>
      </c>
      <c r="D8" s="165" t="s">
        <v>77</v>
      </c>
      <c r="E8" s="163" t="b">
        <v>1</v>
      </c>
      <c r="F8" s="161"/>
      <c r="G8" s="163" t="s">
        <v>2373</v>
      </c>
      <c r="H8" s="164" t="s">
        <v>52</v>
      </c>
      <c r="I8" s="165" t="s">
        <v>2395</v>
      </c>
      <c r="J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89f91b72f72a4dd68a16b583d4720595</v>
      </c>
      <c r="K8" s="161"/>
      <c r="L8" s="161"/>
      <c r="M8" s="161"/>
    </row>
    <row r="9" spans="2:13" x14ac:dyDescent="0.25">
      <c r="B9" s="163" t="s">
        <v>91</v>
      </c>
      <c r="C9" s="164" t="s">
        <v>54</v>
      </c>
      <c r="D9" s="165" t="s">
        <v>77</v>
      </c>
      <c r="E9" s="163" t="b">
        <v>1</v>
      </c>
      <c r="F9" s="161"/>
      <c r="G9" s="163"/>
      <c r="H9" s="164" t="s">
        <v>54</v>
      </c>
      <c r="I9" s="165" t="s">
        <v>2394</v>
      </c>
      <c r="J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4144f48502914015b998277a326fcedc</v>
      </c>
      <c r="K9" s="161"/>
      <c r="L9" s="161"/>
      <c r="M9" s="161"/>
    </row>
    <row r="10" spans="2:13" x14ac:dyDescent="0.25">
      <c r="B10" s="163" t="s">
        <v>92</v>
      </c>
      <c r="C10" s="164" t="s">
        <v>60</v>
      </c>
      <c r="D10" s="165" t="s">
        <v>77</v>
      </c>
      <c r="E10" s="163" t="b">
        <v>1</v>
      </c>
      <c r="F10" s="161"/>
      <c r="G10" s="163"/>
      <c r="H10" s="164" t="s">
        <v>60</v>
      </c>
      <c r="I10" s="165" t="s">
        <v>2395</v>
      </c>
      <c r="J1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ca8ac7c19b84437194c3fe5508eb8bda</v>
      </c>
      <c r="K10" s="161"/>
      <c r="L10" s="161"/>
      <c r="M10" s="161"/>
    </row>
    <row r="11" spans="2:13" x14ac:dyDescent="0.25">
      <c r="B11" s="163" t="s">
        <v>93</v>
      </c>
      <c r="C11" s="164" t="s">
        <v>61</v>
      </c>
      <c r="D11" s="165" t="s">
        <v>77</v>
      </c>
      <c r="E11" s="163" t="b">
        <v>1</v>
      </c>
      <c r="F11" s="161"/>
      <c r="G11" s="163"/>
      <c r="H11" s="164" t="s">
        <v>61</v>
      </c>
      <c r="I11" s="165" t="s">
        <v>2395</v>
      </c>
      <c r="J1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de9b1d2511bc45a9bb2d484aa9e33b31</v>
      </c>
      <c r="K11" s="161"/>
      <c r="L11" s="161"/>
      <c r="M11" s="161"/>
    </row>
    <row r="12" spans="2:13" x14ac:dyDescent="0.25">
      <c r="B12" s="163" t="s">
        <v>94</v>
      </c>
      <c r="C12" s="164" t="s">
        <v>48</v>
      </c>
      <c r="D12" s="165" t="s">
        <v>77</v>
      </c>
      <c r="E12" s="163" t="b">
        <v>1</v>
      </c>
      <c r="F12" s="161"/>
      <c r="G12" s="163"/>
      <c r="H12" s="164" t="s">
        <v>48</v>
      </c>
      <c r="I12" s="165" t="s">
        <v>2395</v>
      </c>
      <c r="J1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9fa283df10474311b55af8d4cf39d146</v>
      </c>
      <c r="K12" s="161"/>
      <c r="L12" s="161"/>
      <c r="M12" s="161"/>
    </row>
    <row r="13" spans="2:13" x14ac:dyDescent="0.25">
      <c r="B13" s="163" t="s">
        <v>95</v>
      </c>
      <c r="C13" s="164" t="s">
        <v>51</v>
      </c>
      <c r="D13" s="165" t="s">
        <v>77</v>
      </c>
      <c r="E13" s="163" t="b">
        <v>1</v>
      </c>
      <c r="F13" s="161"/>
      <c r="G13" s="163"/>
      <c r="H13" s="164" t="s">
        <v>51</v>
      </c>
      <c r="I13" s="165" t="s">
        <v>2395</v>
      </c>
      <c r="J1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1c7ed344fd3c47f1b0c4926eb05c305c</v>
      </c>
      <c r="K13" s="161"/>
      <c r="L13" s="161"/>
      <c r="M13" s="161"/>
    </row>
    <row r="14" spans="2:13" x14ac:dyDescent="0.25">
      <c r="B14" s="163" t="s">
        <v>96</v>
      </c>
      <c r="C14" s="164" t="s">
        <v>55</v>
      </c>
      <c r="D14" s="165" t="s">
        <v>77</v>
      </c>
      <c r="E14" s="163" t="b">
        <v>1</v>
      </c>
      <c r="F14" s="161"/>
      <c r="G14" s="163"/>
      <c r="H14" s="164" t="s">
        <v>55</v>
      </c>
      <c r="I14" s="165" t="s">
        <v>2395</v>
      </c>
      <c r="J1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cc336735a5324e28bf4f3414f7548cf1</v>
      </c>
      <c r="K14" s="161"/>
      <c r="L14" s="161"/>
      <c r="M14" s="161"/>
    </row>
    <row r="15" spans="2:13" x14ac:dyDescent="0.25">
      <c r="B15" s="163" t="s">
        <v>97</v>
      </c>
      <c r="C15" s="164" t="s">
        <v>59</v>
      </c>
      <c r="D15" s="165" t="s">
        <v>59</v>
      </c>
      <c r="E15" s="163" t="b">
        <v>1</v>
      </c>
      <c r="F15" s="161"/>
      <c r="G15" s="163"/>
      <c r="H15" s="164" t="s">
        <v>59</v>
      </c>
      <c r="I15" s="165" t="s">
        <v>2394</v>
      </c>
      <c r="J1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fabfe582932d48b78ac2846c1ec3d43f</v>
      </c>
      <c r="K15" s="161"/>
      <c r="L15" s="161"/>
      <c r="M15" s="161"/>
    </row>
    <row r="16" spans="2:13" x14ac:dyDescent="0.25">
      <c r="B16" s="163" t="s">
        <v>98</v>
      </c>
      <c r="C16" s="164" t="s">
        <v>47</v>
      </c>
      <c r="D16" s="165" t="s">
        <v>77</v>
      </c>
      <c r="E16" s="163" t="b">
        <v>1</v>
      </c>
      <c r="F16" s="161"/>
      <c r="G16" s="163"/>
      <c r="H16" s="164" t="s">
        <v>47</v>
      </c>
      <c r="I16" s="165" t="s">
        <v>2395</v>
      </c>
      <c r="J1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013119218f2e4bdd86aa9097992873f8</v>
      </c>
      <c r="K16" s="161"/>
      <c r="L16" s="161"/>
      <c r="M16" s="161"/>
    </row>
    <row r="17" spans="2:13" x14ac:dyDescent="0.25">
      <c r="B17" s="163" t="s">
        <v>99</v>
      </c>
      <c r="C17" s="164" t="s">
        <v>78</v>
      </c>
      <c r="D17" s="165" t="s">
        <v>77</v>
      </c>
      <c r="E17" s="163" t="b">
        <v>1</v>
      </c>
      <c r="F17" s="161"/>
      <c r="G17" s="163"/>
      <c r="H17" s="164" t="s">
        <v>78</v>
      </c>
      <c r="I17" s="165" t="s">
        <v>2394</v>
      </c>
      <c r="J1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0c9f3488736a4d97bd78b9c29fbb29fb</v>
      </c>
      <c r="K17" s="161"/>
      <c r="L17" s="161"/>
      <c r="M17" s="161"/>
    </row>
    <row r="18" spans="2:13" x14ac:dyDescent="0.25">
      <c r="B18" s="163" t="s">
        <v>100</v>
      </c>
      <c r="C18" s="164" t="s">
        <v>58</v>
      </c>
      <c r="D18" s="165" t="s">
        <v>77</v>
      </c>
      <c r="E18" s="163" t="b">
        <v>1</v>
      </c>
      <c r="F18" s="161"/>
      <c r="G18" s="163"/>
      <c r="H18" s="164" t="s">
        <v>58</v>
      </c>
      <c r="I18" s="165" t="s">
        <v>2394</v>
      </c>
      <c r="J1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0613345f0a8b4edfb294d0fdc6fe7382</v>
      </c>
      <c r="K18" s="161"/>
      <c r="L18" s="161"/>
      <c r="M18" s="161"/>
    </row>
    <row r="19" spans="2:13" x14ac:dyDescent="0.25">
      <c r="B19" s="163" t="s">
        <v>101</v>
      </c>
      <c r="C19" s="164" t="s">
        <v>56</v>
      </c>
      <c r="D19" s="165" t="s">
        <v>77</v>
      </c>
      <c r="E19" s="163" t="b">
        <v>1</v>
      </c>
      <c r="F19" s="161"/>
      <c r="G19" s="163"/>
      <c r="H19" s="164" t="s">
        <v>56</v>
      </c>
      <c r="I19" s="165" t="s">
        <v>2395</v>
      </c>
      <c r="J1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31cc220e25c84daf9b641cfb0e376681</v>
      </c>
      <c r="K19" s="161"/>
      <c r="L19" s="161"/>
      <c r="M19" s="161"/>
    </row>
    <row r="20" spans="2:13" x14ac:dyDescent="0.25">
      <c r="B20" s="163" t="s">
        <v>102</v>
      </c>
      <c r="C20" s="164" t="s">
        <v>57</v>
      </c>
      <c r="D20" s="165" t="s">
        <v>50</v>
      </c>
      <c r="E20" s="163" t="b">
        <v>1</v>
      </c>
      <c r="F20" s="161"/>
      <c r="G20" s="163"/>
      <c r="H20" s="164" t="s">
        <v>57</v>
      </c>
      <c r="I20" s="165" t="s">
        <v>2395</v>
      </c>
      <c r="J2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23fe5da83519415dae0687f037d51b09</v>
      </c>
      <c r="K20" s="161"/>
      <c r="L20" s="161"/>
      <c r="M20" s="161"/>
    </row>
    <row r="21" spans="2:13" x14ac:dyDescent="0.25">
      <c r="B21" s="163" t="s">
        <v>103</v>
      </c>
      <c r="C21" s="164" t="s">
        <v>45</v>
      </c>
      <c r="D21" s="165" t="s">
        <v>77</v>
      </c>
      <c r="E21" s="163" t="b">
        <v>1</v>
      </c>
      <c r="F21" s="161"/>
      <c r="G21" s="163"/>
      <c r="H21" s="164" t="s">
        <v>45</v>
      </c>
      <c r="I21" s="165" t="s">
        <v>2395</v>
      </c>
      <c r="J2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6385c1768b814d3d89087c436c9cab15</v>
      </c>
      <c r="K21" s="161"/>
      <c r="L21" s="161"/>
      <c r="M21" s="161"/>
    </row>
    <row r="22" spans="2:13" x14ac:dyDescent="0.25">
      <c r="B22" s="163" t="s">
        <v>104</v>
      </c>
      <c r="C22" s="164" t="s">
        <v>46</v>
      </c>
      <c r="D22" s="165" t="s">
        <v>77</v>
      </c>
      <c r="E22" s="163" t="b">
        <v>1</v>
      </c>
      <c r="F22" s="161"/>
      <c r="G22" s="163"/>
      <c r="H22" s="164" t="s">
        <v>46</v>
      </c>
      <c r="I22" s="165" t="s">
        <v>2395</v>
      </c>
      <c r="J2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fca5dd8329b743f7b77704e23a1e63ad</v>
      </c>
      <c r="K22" s="161"/>
      <c r="L22" s="161"/>
      <c r="M22" s="161"/>
    </row>
    <row r="23" spans="2:13" x14ac:dyDescent="0.25">
      <c r="B23" s="163" t="s">
        <v>105</v>
      </c>
      <c r="C23" s="164" t="s">
        <v>50</v>
      </c>
      <c r="D23" s="165" t="s">
        <v>50</v>
      </c>
      <c r="E23" s="163" t="b">
        <v>1</v>
      </c>
      <c r="F23" s="161"/>
      <c r="G23" s="163"/>
      <c r="H23" s="164" t="s">
        <v>50</v>
      </c>
      <c r="I23" s="165" t="s">
        <v>2395</v>
      </c>
      <c r="J2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3dafc6bd8d7c45ae9840ff09e01567d1</v>
      </c>
      <c r="K23" s="161"/>
      <c r="L23" s="161"/>
      <c r="M23" s="161"/>
    </row>
    <row r="24" spans="2:13" x14ac:dyDescent="0.25">
      <c r="B24" s="163" t="s">
        <v>106</v>
      </c>
      <c r="C24" s="164" t="s">
        <v>49</v>
      </c>
      <c r="D24" s="165" t="s">
        <v>77</v>
      </c>
      <c r="E24" s="163" t="b">
        <v>1</v>
      </c>
      <c r="F24" s="161"/>
      <c r="G24" s="163"/>
      <c r="H24" s="164" t="s">
        <v>49</v>
      </c>
      <c r="I24" s="165" t="s">
        <v>2395</v>
      </c>
      <c r="J2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1c99e2ba30f14dbfb79dfa7d009e0924</v>
      </c>
      <c r="K24" s="161"/>
      <c r="L24" s="161"/>
      <c r="M24" s="161"/>
    </row>
    <row r="25" spans="2:13" x14ac:dyDescent="0.25">
      <c r="B25" s="163" t="s">
        <v>107</v>
      </c>
      <c r="C25" s="164" t="s">
        <v>53</v>
      </c>
      <c r="D25" s="165" t="s">
        <v>77</v>
      </c>
      <c r="E25" s="163" t="b">
        <v>1</v>
      </c>
      <c r="F25" s="161"/>
      <c r="G25" s="163"/>
      <c r="H25" s="164" t="s">
        <v>53</v>
      </c>
      <c r="I25" s="165" t="s">
        <v>2395</v>
      </c>
      <c r="J2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e428eb09b5454450b5ffff66b9b935be</v>
      </c>
      <c r="K25" s="161"/>
      <c r="L25" s="161"/>
      <c r="M25" s="161"/>
    </row>
    <row r="26" spans="2:13" x14ac:dyDescent="0.25">
      <c r="B26" s="163" t="s">
        <v>1206</v>
      </c>
      <c r="C26" s="164" t="s">
        <v>1204</v>
      </c>
      <c r="D26" s="165" t="s">
        <v>1205</v>
      </c>
      <c r="E26" s="163" t="b">
        <v>0</v>
      </c>
      <c r="F26" s="161"/>
      <c r="G26" s="163"/>
      <c r="H26" s="164" t="s">
        <v>1204</v>
      </c>
      <c r="I26" s="165" t="s">
        <v>2395</v>
      </c>
      <c r="J2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63ce88a532384b29bb84b6dda00d978b</v>
      </c>
      <c r="K26" s="161"/>
      <c r="L26" s="161"/>
      <c r="M26" s="161"/>
    </row>
    <row r="27" spans="2:13" x14ac:dyDescent="0.25">
      <c r="B27" s="163" t="s">
        <v>2370</v>
      </c>
      <c r="C27" s="164" t="s">
        <v>2369</v>
      </c>
      <c r="D27" s="165" t="s">
        <v>77</v>
      </c>
      <c r="E27" s="163" t="b">
        <v>0</v>
      </c>
      <c r="F27" s="161"/>
      <c r="G27" s="163"/>
      <c r="H27" s="164" t="s">
        <v>2369</v>
      </c>
      <c r="I27" s="165" t="s">
        <v>2395</v>
      </c>
      <c r="J2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176bb18879794c26920d3f8de43e9847</v>
      </c>
      <c r="K27" s="161"/>
      <c r="L27" s="161"/>
      <c r="M27" s="161"/>
    </row>
    <row r="28" spans="2:13" x14ac:dyDescent="0.25">
      <c r="B28" s="170" t="s">
        <v>2372</v>
      </c>
      <c r="C28" s="164" t="s">
        <v>2371</v>
      </c>
      <c r="D28" s="165" t="s">
        <v>77</v>
      </c>
      <c r="E28" s="163" t="b">
        <v>0</v>
      </c>
      <c r="F28" s="161"/>
      <c r="G28" s="163"/>
      <c r="H28" s="164" t="s">
        <v>2371</v>
      </c>
      <c r="I28" s="165" t="s">
        <v>2395</v>
      </c>
      <c r="J2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75e762f3a92a4fdc84f7e263d1d6f29a</v>
      </c>
      <c r="K28" s="161"/>
      <c r="L28" s="161"/>
      <c r="M28" s="161"/>
    </row>
    <row r="29" spans="2:13" x14ac:dyDescent="0.25">
      <c r="B29" s="163" t="s">
        <v>2393</v>
      </c>
      <c r="C29" s="164" t="s">
        <v>2392</v>
      </c>
      <c r="D29" s="165" t="s">
        <v>77</v>
      </c>
      <c r="E29" s="163" t="b">
        <v>0</v>
      </c>
      <c r="F29" s="161"/>
      <c r="G29" s="163"/>
      <c r="H29" s="164" t="s">
        <v>2392</v>
      </c>
      <c r="I29" s="165" t="s">
        <v>2395</v>
      </c>
      <c r="J2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>c0719b622f4546f1b497c50df9768cb0</v>
      </c>
      <c r="K29" s="161"/>
      <c r="L29" s="161"/>
      <c r="M29" s="161"/>
    </row>
    <row r="30" spans="2:13" x14ac:dyDescent="0.25">
      <c r="B30" s="163"/>
      <c r="C30" s="164"/>
      <c r="D30" s="165"/>
      <c r="E30" s="163"/>
      <c r="F30" s="161"/>
      <c r="G30" s="163"/>
      <c r="H30" s="164"/>
      <c r="I30" s="165"/>
      <c r="J3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0" s="161"/>
      <c r="L30" s="161"/>
      <c r="M30" s="161"/>
    </row>
    <row r="31" spans="2:13" x14ac:dyDescent="0.25">
      <c r="B31" s="163"/>
      <c r="C31" s="164"/>
      <c r="D31" s="165"/>
      <c r="E31" s="163"/>
      <c r="F31" s="161"/>
      <c r="G31" s="163"/>
      <c r="H31" s="164"/>
      <c r="I31" s="165"/>
      <c r="J3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1" s="161"/>
      <c r="L31" s="161"/>
      <c r="M31" s="161"/>
    </row>
    <row r="32" spans="2:13" x14ac:dyDescent="0.25">
      <c r="B32" s="163"/>
      <c r="C32" s="164"/>
      <c r="D32" s="165"/>
      <c r="E32" s="163"/>
      <c r="F32" s="161"/>
      <c r="G32" s="163"/>
      <c r="H32" s="164"/>
      <c r="I32" s="165"/>
      <c r="J3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2" s="161"/>
      <c r="L32" s="161"/>
      <c r="M32" s="161"/>
    </row>
    <row r="33" spans="2:13" x14ac:dyDescent="0.25">
      <c r="B33" s="163"/>
      <c r="C33" s="164"/>
      <c r="D33" s="165"/>
      <c r="E33" s="163"/>
      <c r="F33" s="161"/>
      <c r="G33" s="163"/>
      <c r="H33" s="164"/>
      <c r="I33" s="165"/>
      <c r="J3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3" s="161"/>
      <c r="L33" s="161"/>
      <c r="M33" s="161"/>
    </row>
    <row r="34" spans="2:13" x14ac:dyDescent="0.25">
      <c r="B34" s="163"/>
      <c r="C34" s="164"/>
      <c r="D34" s="165"/>
      <c r="E34" s="163"/>
      <c r="F34" s="161"/>
      <c r="G34" s="163"/>
      <c r="H34" s="164"/>
      <c r="I34" s="165"/>
      <c r="J3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4" s="161"/>
      <c r="L34" s="161"/>
      <c r="M34" s="161"/>
    </row>
    <row r="35" spans="2:13" x14ac:dyDescent="0.25">
      <c r="B35" s="163"/>
      <c r="C35" s="164"/>
      <c r="D35" s="165"/>
      <c r="E35" s="163"/>
      <c r="F35" s="161"/>
      <c r="G35" s="163"/>
      <c r="H35" s="164"/>
      <c r="I35" s="165"/>
      <c r="J3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5" s="161"/>
      <c r="L35" s="161"/>
      <c r="M35" s="161"/>
    </row>
    <row r="36" spans="2:13" x14ac:dyDescent="0.25">
      <c r="B36" s="163"/>
      <c r="C36" s="164"/>
      <c r="D36" s="165"/>
      <c r="E36" s="163"/>
      <c r="F36" s="161"/>
      <c r="G36" s="163"/>
      <c r="H36" s="164"/>
      <c r="I36" s="165"/>
      <c r="J3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6" s="161"/>
      <c r="L36" s="161"/>
      <c r="M36" s="161"/>
    </row>
    <row r="37" spans="2:13" x14ac:dyDescent="0.25">
      <c r="B37" s="163"/>
      <c r="C37" s="164"/>
      <c r="D37" s="165"/>
      <c r="E37" s="163"/>
      <c r="F37" s="161"/>
      <c r="G37" s="163"/>
      <c r="H37" s="164"/>
      <c r="I37" s="165"/>
      <c r="J3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7" s="161"/>
      <c r="L37" s="161"/>
      <c r="M37" s="161"/>
    </row>
    <row r="38" spans="2:13" x14ac:dyDescent="0.25">
      <c r="B38" s="163"/>
      <c r="C38" s="164"/>
      <c r="D38" s="165"/>
      <c r="E38" s="163"/>
      <c r="F38" s="161"/>
      <c r="G38" s="163"/>
      <c r="H38" s="164"/>
      <c r="I38" s="165"/>
      <c r="J3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8" s="161"/>
      <c r="L38" s="161"/>
      <c r="M38" s="161"/>
    </row>
    <row r="39" spans="2:13" x14ac:dyDescent="0.25">
      <c r="B39" s="163"/>
      <c r="C39" s="164"/>
      <c r="D39" s="165"/>
      <c r="E39" s="163"/>
      <c r="F39" s="161"/>
      <c r="G39" s="163"/>
      <c r="H39" s="164"/>
      <c r="I39" s="165"/>
      <c r="J3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39" s="161"/>
      <c r="L39" s="161"/>
      <c r="M39" s="161"/>
    </row>
    <row r="40" spans="2:13" x14ac:dyDescent="0.25">
      <c r="B40" s="163"/>
      <c r="C40" s="164"/>
      <c r="D40" s="165"/>
      <c r="E40" s="163"/>
      <c r="F40" s="161"/>
      <c r="G40" s="163"/>
      <c r="H40" s="164"/>
      <c r="I40" s="165"/>
      <c r="J4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0" s="161"/>
      <c r="L40" s="161"/>
      <c r="M40" s="161"/>
    </row>
    <row r="41" spans="2:13" x14ac:dyDescent="0.25">
      <c r="B41" s="163"/>
      <c r="C41" s="164"/>
      <c r="D41" s="165"/>
      <c r="E41" s="163"/>
      <c r="F41" s="161"/>
      <c r="G41" s="163"/>
      <c r="H41" s="164"/>
      <c r="I41" s="165"/>
      <c r="J4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1" s="161"/>
      <c r="L41" s="161"/>
      <c r="M41" s="161"/>
    </row>
    <row r="42" spans="2:13" x14ac:dyDescent="0.25">
      <c r="B42" s="163"/>
      <c r="C42" s="164"/>
      <c r="D42" s="165"/>
      <c r="E42" s="163"/>
      <c r="F42" s="161"/>
      <c r="G42" s="163"/>
      <c r="H42" s="164"/>
      <c r="I42" s="165"/>
      <c r="J4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2" s="161"/>
      <c r="L42" s="161"/>
      <c r="M42" s="161"/>
    </row>
    <row r="43" spans="2:13" x14ac:dyDescent="0.25">
      <c r="B43" s="163"/>
      <c r="C43" s="164"/>
      <c r="D43" s="165"/>
      <c r="E43" s="163"/>
      <c r="F43" s="161"/>
      <c r="G43" s="163"/>
      <c r="H43" s="164"/>
      <c r="I43" s="165"/>
      <c r="J4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3" s="161"/>
      <c r="L43" s="161"/>
      <c r="M43" s="161"/>
    </row>
    <row r="44" spans="2:13" x14ac:dyDescent="0.25">
      <c r="B44" s="163"/>
      <c r="C44" s="164"/>
      <c r="D44" s="165"/>
      <c r="E44" s="163"/>
      <c r="F44" s="161"/>
      <c r="G44" s="163"/>
      <c r="H44" s="164"/>
      <c r="I44" s="165"/>
      <c r="J4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4" s="161"/>
      <c r="L44" s="161"/>
      <c r="M44" s="161"/>
    </row>
    <row r="45" spans="2:13" x14ac:dyDescent="0.25">
      <c r="B45" s="163"/>
      <c r="C45" s="164"/>
      <c r="D45" s="165"/>
      <c r="E45" s="163"/>
      <c r="F45" s="161"/>
      <c r="G45" s="163"/>
      <c r="H45" s="164"/>
      <c r="I45" s="165"/>
      <c r="J4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5" s="161"/>
      <c r="L45" s="161"/>
      <c r="M45" s="161"/>
    </row>
    <row r="46" spans="2:13" x14ac:dyDescent="0.25">
      <c r="B46" s="163"/>
      <c r="C46" s="164"/>
      <c r="D46" s="165"/>
      <c r="E46" s="163"/>
      <c r="F46" s="161"/>
      <c r="G46" s="163"/>
      <c r="H46" s="164"/>
      <c r="I46" s="165"/>
      <c r="J4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6" s="161"/>
      <c r="L46" s="161"/>
      <c r="M46" s="161"/>
    </row>
    <row r="47" spans="2:13" x14ac:dyDescent="0.25">
      <c r="B47" s="163"/>
      <c r="C47" s="164"/>
      <c r="D47" s="165"/>
      <c r="E47" s="163"/>
      <c r="F47" s="161"/>
      <c r="G47" s="163"/>
      <c r="H47" s="164"/>
      <c r="I47" s="165"/>
      <c r="J4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7" s="161"/>
      <c r="L47" s="161"/>
      <c r="M47" s="161"/>
    </row>
    <row r="48" spans="2:13" x14ac:dyDescent="0.25">
      <c r="B48" s="163"/>
      <c r="C48" s="164"/>
      <c r="D48" s="165"/>
      <c r="E48" s="163"/>
      <c r="F48" s="161"/>
      <c r="G48" s="163"/>
      <c r="H48" s="164"/>
      <c r="I48" s="165"/>
      <c r="J4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8" s="161"/>
      <c r="L48" s="161"/>
      <c r="M48" s="161"/>
    </row>
    <row r="49" spans="2:13" x14ac:dyDescent="0.25">
      <c r="B49" s="163"/>
      <c r="C49" s="164"/>
      <c r="D49" s="165"/>
      <c r="E49" s="163"/>
      <c r="F49" s="161"/>
      <c r="G49" s="163"/>
      <c r="H49" s="164"/>
      <c r="I49" s="165"/>
      <c r="J4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49" s="161"/>
      <c r="L49" s="161"/>
      <c r="M49" s="161"/>
    </row>
    <row r="50" spans="2:13" x14ac:dyDescent="0.25">
      <c r="B50" s="163"/>
      <c r="C50" s="164"/>
      <c r="D50" s="165"/>
      <c r="E50" s="163"/>
      <c r="F50" s="161"/>
      <c r="G50" s="163"/>
      <c r="H50" s="164"/>
      <c r="I50" s="165"/>
      <c r="J5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0" s="161"/>
      <c r="L50" s="161"/>
      <c r="M50" s="161"/>
    </row>
    <row r="51" spans="2:13" x14ac:dyDescent="0.25">
      <c r="B51" s="163"/>
      <c r="C51" s="164"/>
      <c r="D51" s="165"/>
      <c r="E51" s="163"/>
      <c r="F51" s="161"/>
      <c r="G51" s="163"/>
      <c r="H51" s="164"/>
      <c r="I51" s="165"/>
      <c r="J5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1" s="161"/>
      <c r="L51" s="161"/>
      <c r="M51" s="161"/>
    </row>
    <row r="52" spans="2:13" x14ac:dyDescent="0.25">
      <c r="B52" s="163"/>
      <c r="C52" s="164"/>
      <c r="D52" s="165"/>
      <c r="E52" s="163"/>
      <c r="F52" s="161"/>
      <c r="G52" s="163"/>
      <c r="H52" s="164"/>
      <c r="I52" s="165"/>
      <c r="J5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2" s="161"/>
      <c r="L52" s="161"/>
      <c r="M52" s="161"/>
    </row>
    <row r="53" spans="2:13" x14ac:dyDescent="0.25">
      <c r="B53" s="163"/>
      <c r="C53" s="164"/>
      <c r="D53" s="165"/>
      <c r="E53" s="163"/>
      <c r="F53" s="161"/>
      <c r="G53" s="163"/>
      <c r="H53" s="164"/>
      <c r="I53" s="165"/>
      <c r="J5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3" s="161"/>
      <c r="L53" s="161"/>
      <c r="M53" s="161"/>
    </row>
    <row r="54" spans="2:13" x14ac:dyDescent="0.25">
      <c r="B54" s="163"/>
      <c r="C54" s="164"/>
      <c r="D54" s="165"/>
      <c r="E54" s="163"/>
      <c r="F54" s="161"/>
      <c r="G54" s="163"/>
      <c r="H54" s="164"/>
      <c r="I54" s="165"/>
      <c r="J5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4" s="161"/>
      <c r="L54" s="161"/>
      <c r="M54" s="161"/>
    </row>
    <row r="55" spans="2:13" x14ac:dyDescent="0.25">
      <c r="B55" s="163"/>
      <c r="C55" s="164"/>
      <c r="D55" s="165"/>
      <c r="E55" s="163"/>
      <c r="F55" s="161"/>
      <c r="G55" s="163"/>
      <c r="H55" s="164"/>
      <c r="I55" s="165"/>
      <c r="J5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5" s="161"/>
      <c r="L55" s="161"/>
      <c r="M55" s="161"/>
    </row>
    <row r="56" spans="2:13" x14ac:dyDescent="0.25">
      <c r="B56" s="163"/>
      <c r="C56" s="164"/>
      <c r="D56" s="165"/>
      <c r="E56" s="163"/>
      <c r="F56" s="161"/>
      <c r="G56" s="163"/>
      <c r="H56" s="164"/>
      <c r="I56" s="165"/>
      <c r="J5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6" s="161"/>
      <c r="L56" s="161"/>
      <c r="M56" s="161"/>
    </row>
    <row r="57" spans="2:13" x14ac:dyDescent="0.25">
      <c r="B57" s="163"/>
      <c r="C57" s="164"/>
      <c r="D57" s="165"/>
      <c r="E57" s="163"/>
      <c r="F57" s="161"/>
      <c r="G57" s="163"/>
      <c r="H57" s="164"/>
      <c r="I57" s="165"/>
      <c r="J5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7" s="161"/>
      <c r="L57" s="161"/>
      <c r="M57" s="161"/>
    </row>
    <row r="58" spans="2:13" x14ac:dyDescent="0.25">
      <c r="B58" s="163"/>
      <c r="C58" s="164"/>
      <c r="D58" s="165"/>
      <c r="E58" s="163"/>
      <c r="F58" s="161"/>
      <c r="G58" s="163"/>
      <c r="H58" s="164"/>
      <c r="I58" s="165"/>
      <c r="J5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8" s="161"/>
      <c r="L58" s="161"/>
      <c r="M58" s="161"/>
    </row>
    <row r="59" spans="2:13" x14ac:dyDescent="0.25">
      <c r="B59" s="163"/>
      <c r="C59" s="164"/>
      <c r="D59" s="165"/>
      <c r="E59" s="163"/>
      <c r="F59" s="161"/>
      <c r="G59" s="163"/>
      <c r="H59" s="164"/>
      <c r="I59" s="165"/>
      <c r="J5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59" s="161"/>
      <c r="L59" s="161"/>
      <c r="M59" s="161"/>
    </row>
    <row r="60" spans="2:13" x14ac:dyDescent="0.25">
      <c r="B60" s="163"/>
      <c r="C60" s="164"/>
      <c r="D60" s="165"/>
      <c r="E60" s="163"/>
      <c r="F60" s="161"/>
      <c r="G60" s="163"/>
      <c r="H60" s="164"/>
      <c r="I60" s="165"/>
      <c r="J6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0" s="161"/>
      <c r="L60" s="161"/>
      <c r="M60" s="161"/>
    </row>
    <row r="61" spans="2:13" x14ac:dyDescent="0.25">
      <c r="B61" s="163"/>
      <c r="C61" s="164"/>
      <c r="D61" s="165"/>
      <c r="E61" s="163"/>
      <c r="F61" s="161"/>
      <c r="G61" s="163"/>
      <c r="H61" s="164"/>
      <c r="I61" s="165"/>
      <c r="J6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1" s="161"/>
      <c r="L61" s="161"/>
      <c r="M61" s="161"/>
    </row>
    <row r="62" spans="2:13" x14ac:dyDescent="0.25">
      <c r="B62" s="163"/>
      <c r="C62" s="164"/>
      <c r="D62" s="165"/>
      <c r="E62" s="163"/>
      <c r="F62" s="161"/>
      <c r="G62" s="163"/>
      <c r="H62" s="164"/>
      <c r="I62" s="165"/>
      <c r="J6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2" s="161"/>
      <c r="L62" s="161"/>
      <c r="M62" s="161"/>
    </row>
    <row r="63" spans="2:13" x14ac:dyDescent="0.25">
      <c r="B63" s="163"/>
      <c r="C63" s="164"/>
      <c r="D63" s="165"/>
      <c r="E63" s="163"/>
      <c r="F63" s="161"/>
      <c r="G63" s="163"/>
      <c r="H63" s="164"/>
      <c r="I63" s="165"/>
      <c r="J6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3" s="161"/>
      <c r="L63" s="161"/>
      <c r="M63" s="161"/>
    </row>
    <row r="64" spans="2:13" x14ac:dyDescent="0.25">
      <c r="B64" s="163"/>
      <c r="C64" s="164"/>
      <c r="D64" s="165"/>
      <c r="E64" s="163"/>
      <c r="F64" s="161"/>
      <c r="G64" s="163"/>
      <c r="H64" s="164"/>
      <c r="I64" s="165"/>
      <c r="J6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4" s="161"/>
      <c r="L64" s="161"/>
      <c r="M64" s="161"/>
    </row>
    <row r="65" spans="2:13" x14ac:dyDescent="0.25">
      <c r="B65" s="163"/>
      <c r="C65" s="164"/>
      <c r="D65" s="165"/>
      <c r="E65" s="163"/>
      <c r="F65" s="161"/>
      <c r="G65" s="163"/>
      <c r="H65" s="164"/>
      <c r="I65" s="165"/>
      <c r="J6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5" s="161"/>
      <c r="L65" s="161"/>
      <c r="M65" s="161"/>
    </row>
    <row r="66" spans="2:13" x14ac:dyDescent="0.25">
      <c r="B66" s="163"/>
      <c r="C66" s="164"/>
      <c r="D66" s="165"/>
      <c r="E66" s="163"/>
      <c r="F66" s="161"/>
      <c r="G66" s="163"/>
      <c r="H66" s="164"/>
      <c r="I66" s="165"/>
      <c r="J6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6" s="161"/>
      <c r="L66" s="161"/>
      <c r="M66" s="161"/>
    </row>
    <row r="67" spans="2:13" x14ac:dyDescent="0.25">
      <c r="B67" s="163"/>
      <c r="C67" s="164"/>
      <c r="D67" s="165"/>
      <c r="E67" s="163"/>
      <c r="F67" s="161"/>
      <c r="G67" s="163"/>
      <c r="H67" s="164"/>
      <c r="I67" s="165"/>
      <c r="J6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7" s="161"/>
      <c r="L67" s="161"/>
      <c r="M67" s="161"/>
    </row>
    <row r="68" spans="2:13" x14ac:dyDescent="0.25">
      <c r="B68" s="163"/>
      <c r="C68" s="164"/>
      <c r="D68" s="165"/>
      <c r="E68" s="163"/>
      <c r="F68" s="161"/>
      <c r="G68" s="163"/>
      <c r="H68" s="164"/>
      <c r="I68" s="165"/>
      <c r="J6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8" s="161"/>
      <c r="L68" s="161"/>
      <c r="M68" s="161"/>
    </row>
    <row r="69" spans="2:13" x14ac:dyDescent="0.25">
      <c r="B69" s="163"/>
      <c r="C69" s="164"/>
      <c r="D69" s="165"/>
      <c r="E69" s="163"/>
      <c r="F69" s="161"/>
      <c r="G69" s="163"/>
      <c r="H69" s="164"/>
      <c r="I69" s="165"/>
      <c r="J6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69" s="161"/>
      <c r="L69" s="161"/>
      <c r="M69" s="161"/>
    </row>
    <row r="70" spans="2:13" x14ac:dyDescent="0.25">
      <c r="B70" s="163"/>
      <c r="C70" s="164"/>
      <c r="D70" s="165"/>
      <c r="E70" s="163"/>
      <c r="F70" s="161"/>
      <c r="G70" s="163"/>
      <c r="H70" s="164"/>
      <c r="I70" s="165"/>
      <c r="J7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0" s="161"/>
      <c r="L70" s="161"/>
      <c r="M70" s="161"/>
    </row>
    <row r="71" spans="2:13" x14ac:dyDescent="0.25">
      <c r="B71" s="163"/>
      <c r="C71" s="164"/>
      <c r="D71" s="165"/>
      <c r="E71" s="163"/>
      <c r="F71" s="161"/>
      <c r="G71" s="163"/>
      <c r="H71" s="164"/>
      <c r="I71" s="165"/>
      <c r="J7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1" s="161"/>
      <c r="L71" s="161"/>
      <c r="M71" s="161"/>
    </row>
    <row r="72" spans="2:13" x14ac:dyDescent="0.25">
      <c r="B72" s="163"/>
      <c r="C72" s="164"/>
      <c r="D72" s="165"/>
      <c r="E72" s="163"/>
      <c r="F72" s="161"/>
      <c r="G72" s="163"/>
      <c r="H72" s="164"/>
      <c r="I72" s="165"/>
      <c r="J7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2" s="161"/>
      <c r="L72" s="161"/>
      <c r="M72" s="161"/>
    </row>
    <row r="73" spans="2:13" x14ac:dyDescent="0.25">
      <c r="B73" s="163"/>
      <c r="C73" s="164"/>
      <c r="D73" s="165"/>
      <c r="E73" s="163"/>
      <c r="F73" s="161"/>
      <c r="G73" s="163"/>
      <c r="H73" s="164"/>
      <c r="I73" s="165"/>
      <c r="J7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3" s="161"/>
      <c r="L73" s="161"/>
      <c r="M73" s="161"/>
    </row>
    <row r="74" spans="2:13" x14ac:dyDescent="0.25">
      <c r="B74" s="163"/>
      <c r="C74" s="164"/>
      <c r="D74" s="165"/>
      <c r="E74" s="163"/>
      <c r="F74" s="161"/>
      <c r="G74" s="163"/>
      <c r="H74" s="164"/>
      <c r="I74" s="165"/>
      <c r="J7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4" s="161"/>
      <c r="L74" s="161"/>
      <c r="M74" s="161"/>
    </row>
    <row r="75" spans="2:13" x14ac:dyDescent="0.25">
      <c r="B75" s="163"/>
      <c r="C75" s="164"/>
      <c r="D75" s="165"/>
      <c r="E75" s="163"/>
      <c r="F75" s="161"/>
      <c r="G75" s="163"/>
      <c r="H75" s="164"/>
      <c r="I75" s="165"/>
      <c r="J7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5" s="161"/>
      <c r="L75" s="161"/>
      <c r="M75" s="161"/>
    </row>
    <row r="76" spans="2:13" x14ac:dyDescent="0.25">
      <c r="B76" s="163"/>
      <c r="C76" s="164"/>
      <c r="D76" s="165"/>
      <c r="E76" s="163"/>
      <c r="F76" s="161"/>
      <c r="G76" s="163"/>
      <c r="H76" s="164"/>
      <c r="I76" s="165"/>
      <c r="J7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6" s="161"/>
      <c r="L76" s="161"/>
      <c r="M76" s="161"/>
    </row>
    <row r="77" spans="2:13" x14ac:dyDescent="0.25">
      <c r="B77" s="163"/>
      <c r="C77" s="164"/>
      <c r="D77" s="165"/>
      <c r="E77" s="163"/>
      <c r="F77" s="161"/>
      <c r="G77" s="163"/>
      <c r="H77" s="164"/>
      <c r="I77" s="165"/>
      <c r="J7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7" s="161"/>
      <c r="L77" s="161"/>
      <c r="M77" s="161"/>
    </row>
    <row r="78" spans="2:13" x14ac:dyDescent="0.25">
      <c r="B78" s="163"/>
      <c r="C78" s="164"/>
      <c r="D78" s="165"/>
      <c r="E78" s="163"/>
      <c r="F78" s="161"/>
      <c r="G78" s="163"/>
      <c r="H78" s="164"/>
      <c r="I78" s="165"/>
      <c r="J7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8" s="161"/>
      <c r="L78" s="161"/>
      <c r="M78" s="161"/>
    </row>
    <row r="79" spans="2:13" x14ac:dyDescent="0.25">
      <c r="B79" s="163"/>
      <c r="C79" s="164"/>
      <c r="D79" s="165"/>
      <c r="E79" s="163"/>
      <c r="F79" s="161"/>
      <c r="G79" s="163"/>
      <c r="H79" s="164"/>
      <c r="I79" s="165"/>
      <c r="J7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79" s="161"/>
      <c r="L79" s="161"/>
      <c r="M79" s="161"/>
    </row>
    <row r="80" spans="2:13" x14ac:dyDescent="0.25">
      <c r="B80" s="163"/>
      <c r="C80" s="164"/>
      <c r="D80" s="165"/>
      <c r="E80" s="163"/>
      <c r="F80" s="161"/>
      <c r="G80" s="163"/>
      <c r="H80" s="164"/>
      <c r="I80" s="165"/>
      <c r="J8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0" s="161"/>
      <c r="L80" s="161"/>
      <c r="M80" s="161"/>
    </row>
    <row r="81" spans="2:13" x14ac:dyDescent="0.25">
      <c r="B81" s="163"/>
      <c r="C81" s="164"/>
      <c r="D81" s="165"/>
      <c r="E81" s="163"/>
      <c r="F81" s="161"/>
      <c r="G81" s="163"/>
      <c r="H81" s="164"/>
      <c r="I81" s="165"/>
      <c r="J8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1" s="161"/>
      <c r="L81" s="161"/>
      <c r="M81" s="161"/>
    </row>
    <row r="82" spans="2:13" x14ac:dyDescent="0.25">
      <c r="B82" s="163"/>
      <c r="C82" s="164"/>
      <c r="D82" s="165"/>
      <c r="E82" s="163"/>
      <c r="F82" s="161"/>
      <c r="G82" s="163"/>
      <c r="H82" s="164"/>
      <c r="I82" s="165"/>
      <c r="J8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2" s="161"/>
      <c r="L82" s="161"/>
      <c r="M82" s="161"/>
    </row>
    <row r="83" spans="2:13" x14ac:dyDescent="0.25">
      <c r="B83" s="163"/>
      <c r="C83" s="164"/>
      <c r="D83" s="165"/>
      <c r="E83" s="163"/>
      <c r="F83" s="161"/>
      <c r="G83" s="163"/>
      <c r="H83" s="164"/>
      <c r="I83" s="165"/>
      <c r="J8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3" s="161"/>
      <c r="L83" s="161"/>
      <c r="M83" s="161"/>
    </row>
    <row r="84" spans="2:13" x14ac:dyDescent="0.25">
      <c r="B84" s="163"/>
      <c r="C84" s="164"/>
      <c r="D84" s="165"/>
      <c r="E84" s="163"/>
      <c r="F84" s="161"/>
      <c r="G84" s="163"/>
      <c r="H84" s="164"/>
      <c r="I84" s="165"/>
      <c r="J8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4" s="161"/>
      <c r="L84" s="161"/>
      <c r="M84" s="161"/>
    </row>
    <row r="85" spans="2:13" x14ac:dyDescent="0.25">
      <c r="B85" s="163"/>
      <c r="C85" s="164"/>
      <c r="D85" s="165"/>
      <c r="E85" s="163"/>
      <c r="F85" s="161"/>
      <c r="G85" s="163"/>
      <c r="H85" s="164"/>
      <c r="I85" s="165"/>
      <c r="J8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5" s="161"/>
      <c r="L85" s="161"/>
      <c r="M85" s="161"/>
    </row>
    <row r="86" spans="2:13" x14ac:dyDescent="0.25">
      <c r="B86" s="163"/>
      <c r="C86" s="164"/>
      <c r="D86" s="165"/>
      <c r="E86" s="163"/>
      <c r="F86" s="161"/>
      <c r="G86" s="163"/>
      <c r="H86" s="164"/>
      <c r="I86" s="165"/>
      <c r="J8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6" s="161"/>
      <c r="L86" s="161"/>
      <c r="M86" s="161"/>
    </row>
    <row r="87" spans="2:13" x14ac:dyDescent="0.25">
      <c r="B87" s="163"/>
      <c r="C87" s="164"/>
      <c r="D87" s="165"/>
      <c r="E87" s="163"/>
      <c r="F87" s="161"/>
      <c r="G87" s="163"/>
      <c r="H87" s="164"/>
      <c r="I87" s="165"/>
      <c r="J8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7" s="161"/>
      <c r="L87" s="161"/>
      <c r="M87" s="161"/>
    </row>
    <row r="88" spans="2:13" x14ac:dyDescent="0.25">
      <c r="B88" s="163"/>
      <c r="C88" s="164"/>
      <c r="D88" s="165"/>
      <c r="E88" s="163"/>
      <c r="F88" s="161"/>
      <c r="G88" s="163"/>
      <c r="H88" s="164"/>
      <c r="I88" s="165"/>
      <c r="J8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8" s="161"/>
      <c r="L88" s="161"/>
      <c r="M88" s="161"/>
    </row>
    <row r="89" spans="2:13" x14ac:dyDescent="0.25">
      <c r="B89" s="163"/>
      <c r="C89" s="164"/>
      <c r="D89" s="165"/>
      <c r="E89" s="163"/>
      <c r="F89" s="161"/>
      <c r="G89" s="163"/>
      <c r="H89" s="164"/>
      <c r="I89" s="165"/>
      <c r="J8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89" s="161"/>
      <c r="L89" s="161"/>
      <c r="M89" s="161"/>
    </row>
    <row r="90" spans="2:13" x14ac:dyDescent="0.25">
      <c r="B90" s="163"/>
      <c r="C90" s="164"/>
      <c r="D90" s="165"/>
      <c r="E90" s="163"/>
      <c r="F90" s="161"/>
      <c r="G90" s="163"/>
      <c r="H90" s="164"/>
      <c r="I90" s="165"/>
      <c r="J9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0" s="161"/>
      <c r="L90" s="161"/>
      <c r="M90" s="161"/>
    </row>
    <row r="91" spans="2:13" x14ac:dyDescent="0.25">
      <c r="B91" s="163"/>
      <c r="C91" s="164"/>
      <c r="D91" s="165"/>
      <c r="E91" s="163"/>
      <c r="F91" s="161"/>
      <c r="G91" s="163"/>
      <c r="H91" s="164"/>
      <c r="I91" s="165"/>
      <c r="J91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1" s="161"/>
      <c r="L91" s="161"/>
      <c r="M91" s="161"/>
    </row>
    <row r="92" spans="2:13" x14ac:dyDescent="0.25">
      <c r="B92" s="163"/>
      <c r="C92" s="164"/>
      <c r="D92" s="165"/>
      <c r="E92" s="163"/>
      <c r="F92" s="161"/>
      <c r="G92" s="163"/>
      <c r="H92" s="164"/>
      <c r="I92" s="165"/>
      <c r="J92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2" s="161"/>
      <c r="L92" s="161"/>
      <c r="M92" s="161"/>
    </row>
    <row r="93" spans="2:13" x14ac:dyDescent="0.25">
      <c r="B93" s="163"/>
      <c r="C93" s="164"/>
      <c r="D93" s="165"/>
      <c r="E93" s="163"/>
      <c r="F93" s="161"/>
      <c r="G93" s="163"/>
      <c r="H93" s="164"/>
      <c r="I93" s="165"/>
      <c r="J93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3" s="161"/>
      <c r="L93" s="161"/>
      <c r="M93" s="161"/>
    </row>
    <row r="94" spans="2:13" x14ac:dyDescent="0.25">
      <c r="B94" s="163"/>
      <c r="C94" s="164"/>
      <c r="D94" s="165"/>
      <c r="E94" s="163"/>
      <c r="F94" s="161"/>
      <c r="G94" s="163"/>
      <c r="H94" s="164"/>
      <c r="I94" s="165"/>
      <c r="J94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4" s="161"/>
      <c r="L94" s="161"/>
      <c r="M94" s="161"/>
    </row>
    <row r="95" spans="2:13" x14ac:dyDescent="0.25">
      <c r="B95" s="163"/>
      <c r="C95" s="164"/>
      <c r="D95" s="165"/>
      <c r="E95" s="163"/>
      <c r="F95" s="161"/>
      <c r="G95" s="163"/>
      <c r="H95" s="164"/>
      <c r="I95" s="165"/>
      <c r="J95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5" s="161"/>
      <c r="L95" s="161"/>
      <c r="M95" s="161"/>
    </row>
    <row r="96" spans="2:13" x14ac:dyDescent="0.25">
      <c r="B96" s="163"/>
      <c r="C96" s="164"/>
      <c r="D96" s="165"/>
      <c r="E96" s="163"/>
      <c r="F96" s="161"/>
      <c r="G96" s="163"/>
      <c r="H96" s="164"/>
      <c r="I96" s="165"/>
      <c r="J96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6" s="161"/>
      <c r="L96" s="161"/>
      <c r="M96" s="161"/>
    </row>
    <row r="97" spans="2:13" x14ac:dyDescent="0.25">
      <c r="B97" s="163"/>
      <c r="C97" s="164"/>
      <c r="D97" s="165"/>
      <c r="E97" s="163"/>
      <c r="F97" s="161"/>
      <c r="G97" s="163"/>
      <c r="H97" s="164"/>
      <c r="I97" s="165"/>
      <c r="J97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7" s="161"/>
      <c r="L97" s="161"/>
      <c r="M97" s="161"/>
    </row>
    <row r="98" spans="2:13" x14ac:dyDescent="0.25">
      <c r="B98" s="163"/>
      <c r="C98" s="164"/>
      <c r="D98" s="165"/>
      <c r="E98" s="163"/>
      <c r="F98" s="161"/>
      <c r="G98" s="163"/>
      <c r="H98" s="164"/>
      <c r="I98" s="165"/>
      <c r="J98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8" s="161"/>
      <c r="L98" s="161"/>
      <c r="M98" s="161"/>
    </row>
    <row r="99" spans="2:13" x14ac:dyDescent="0.25">
      <c r="B99" s="163"/>
      <c r="C99" s="164"/>
      <c r="D99" s="165"/>
      <c r="E99" s="163"/>
      <c r="F99" s="161"/>
      <c r="G99" s="163"/>
      <c r="H99" s="164"/>
      <c r="I99" s="165"/>
      <c r="J99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99" s="161"/>
      <c r="L99" s="161"/>
      <c r="M99" s="161"/>
    </row>
    <row r="100" spans="2:13" x14ac:dyDescent="0.25">
      <c r="B100" s="163"/>
      <c r="C100" s="164"/>
      <c r="D100" s="165"/>
      <c r="E100" s="163"/>
      <c r="F100" s="161"/>
      <c r="G100" s="163"/>
      <c r="H100" s="164"/>
      <c r="I100" s="165"/>
      <c r="J100" s="169" t="str">
        <f>IF(NOT(_xlfn.XLOOKUP(SubcategoriesTable[[#This Row],[Category name]],CategoriesTable[Category name],CategoriesTable[ID])=0),_xlfn.XLOOKUP(SubcategoriesTable[[#This Row],[Category name]],CategoriesTable[Category name],CategoriesTable[ID]),"")</f>
        <v/>
      </c>
      <c r="K100" s="161"/>
      <c r="L100" s="161"/>
      <c r="M100" s="161"/>
    </row>
    <row r="101" spans="2:13" x14ac:dyDescent="0.25">
      <c r="B101" s="163"/>
      <c r="C101" s="164"/>
      <c r="D101" s="165"/>
      <c r="E101" s="163"/>
      <c r="F101" s="161"/>
      <c r="G101" s="161"/>
      <c r="H101" s="161"/>
      <c r="I101" s="161"/>
      <c r="J101" s="161"/>
      <c r="K101" s="161"/>
      <c r="L101" s="161"/>
      <c r="M101" s="161"/>
    </row>
    <row r="102" spans="2:13" x14ac:dyDescent="0.25">
      <c r="B102" s="163"/>
      <c r="C102" s="164"/>
      <c r="D102" s="165"/>
      <c r="E102" s="163"/>
      <c r="F102" s="161"/>
      <c r="G102" s="161"/>
      <c r="H102" s="161"/>
      <c r="I102" s="161"/>
      <c r="J102" s="161"/>
      <c r="K102" s="161"/>
      <c r="L102" s="161"/>
      <c r="M102" s="161"/>
    </row>
    <row r="103" spans="2:13" x14ac:dyDescent="0.25">
      <c r="B103" s="163"/>
      <c r="C103" s="164"/>
      <c r="D103" s="165"/>
      <c r="E103" s="163"/>
      <c r="F103" s="161"/>
      <c r="G103" s="161"/>
      <c r="H103" s="161"/>
      <c r="I103" s="161"/>
      <c r="J103" s="161"/>
      <c r="K103" s="161"/>
      <c r="L103" s="161"/>
      <c r="M103" s="161"/>
    </row>
    <row r="104" spans="2:13" x14ac:dyDescent="0.25">
      <c r="B104" s="163"/>
      <c r="C104" s="164"/>
      <c r="D104" s="165"/>
      <c r="E104" s="163"/>
      <c r="F104" s="161"/>
      <c r="G104" s="161"/>
      <c r="H104" s="161"/>
      <c r="I104" s="161"/>
      <c r="J104" s="161"/>
      <c r="K104" s="161"/>
      <c r="L104" s="161"/>
      <c r="M104" s="161"/>
    </row>
    <row r="105" spans="2:13" x14ac:dyDescent="0.25">
      <c r="B105" s="163"/>
      <c r="C105" s="164"/>
      <c r="D105" s="165"/>
      <c r="E105" s="163"/>
      <c r="F105" s="161"/>
      <c r="G105" s="161"/>
      <c r="H105" s="161"/>
      <c r="I105" s="161"/>
      <c r="J105" s="161"/>
      <c r="K105" s="161"/>
      <c r="L105" s="161"/>
      <c r="M105" s="161"/>
    </row>
    <row r="106" spans="2:13" x14ac:dyDescent="0.25">
      <c r="B106" s="163"/>
      <c r="C106" s="164"/>
      <c r="D106" s="165"/>
      <c r="E106" s="163"/>
      <c r="F106" s="161"/>
      <c r="G106" s="161"/>
      <c r="H106" s="161"/>
      <c r="I106" s="161"/>
      <c r="J106" s="161"/>
      <c r="K106" s="161"/>
      <c r="L106" s="161"/>
      <c r="M106" s="161"/>
    </row>
    <row r="107" spans="2:13" x14ac:dyDescent="0.25">
      <c r="B107" s="170"/>
      <c r="C107" s="164"/>
      <c r="D107" s="165"/>
      <c r="E107" s="163"/>
      <c r="F107" s="161"/>
      <c r="G107" s="161"/>
      <c r="H107" s="161"/>
      <c r="I107" s="161"/>
      <c r="J107" s="161"/>
      <c r="K107" s="161"/>
      <c r="L107" s="161"/>
      <c r="M107" s="161"/>
    </row>
    <row r="108" spans="2:13" x14ac:dyDescent="0.25">
      <c r="B108" s="163"/>
      <c r="C108" s="164"/>
      <c r="D108" s="165"/>
      <c r="E108" s="163"/>
      <c r="F108" s="161"/>
      <c r="G108" s="161"/>
      <c r="H108" s="161"/>
      <c r="I108" s="161"/>
      <c r="J108" s="161"/>
      <c r="K108" s="161"/>
      <c r="L108" s="161"/>
      <c r="M108" s="161"/>
    </row>
    <row r="109" spans="2:13" x14ac:dyDescent="0.25">
      <c r="B109" s="163"/>
      <c r="C109" s="164"/>
      <c r="D109" s="165"/>
      <c r="E109" s="163"/>
      <c r="F109" s="161"/>
      <c r="G109" s="161"/>
      <c r="H109" s="161"/>
      <c r="I109" s="161"/>
      <c r="J109" s="161"/>
      <c r="K109" s="161"/>
      <c r="L109" s="161"/>
      <c r="M109" s="161"/>
    </row>
    <row r="110" spans="2:13" x14ac:dyDescent="0.25">
      <c r="B110" s="163"/>
      <c r="C110" s="164"/>
      <c r="D110" s="165"/>
      <c r="E110" s="163"/>
      <c r="F110" s="161"/>
      <c r="G110" s="161"/>
      <c r="H110" s="161"/>
      <c r="I110" s="161"/>
      <c r="J110" s="161"/>
      <c r="K110" s="161"/>
      <c r="L110" s="161"/>
      <c r="M110" s="161"/>
    </row>
    <row r="111" spans="2:13" x14ac:dyDescent="0.25">
      <c r="B111" s="170"/>
      <c r="C111" s="164"/>
      <c r="D111" s="165"/>
      <c r="E111" s="163"/>
      <c r="F111" s="161"/>
      <c r="G111" s="161"/>
      <c r="H111" s="161"/>
      <c r="I111" s="161"/>
      <c r="J111" s="161"/>
      <c r="K111" s="161"/>
      <c r="L111" s="161"/>
      <c r="M111" s="161"/>
    </row>
    <row r="112" spans="2:13" x14ac:dyDescent="0.25">
      <c r="B112" s="163"/>
      <c r="C112" s="164"/>
      <c r="D112" s="165"/>
      <c r="E112" s="163"/>
      <c r="F112" s="161"/>
      <c r="G112" s="161"/>
      <c r="H112" s="161"/>
      <c r="I112" s="161"/>
      <c r="J112" s="161"/>
      <c r="K112" s="161"/>
      <c r="L112" s="161"/>
      <c r="M112" s="161"/>
    </row>
    <row r="113" spans="2:13" x14ac:dyDescent="0.25">
      <c r="B113" s="163"/>
      <c r="C113" s="164"/>
      <c r="D113" s="165"/>
      <c r="E113" s="163"/>
      <c r="F113" s="161"/>
      <c r="G113" s="161"/>
      <c r="H113" s="161"/>
      <c r="I113" s="161"/>
      <c r="J113" s="161"/>
      <c r="K113" s="161"/>
      <c r="L113" s="161"/>
      <c r="M113" s="161"/>
    </row>
    <row r="114" spans="2:13" x14ac:dyDescent="0.25">
      <c r="B114" s="163"/>
      <c r="C114" s="164"/>
      <c r="D114" s="165"/>
      <c r="E114" s="163"/>
      <c r="F114" s="161"/>
      <c r="G114" s="161"/>
      <c r="H114" s="161"/>
      <c r="I114" s="161"/>
      <c r="J114" s="161"/>
      <c r="K114" s="161"/>
      <c r="L114" s="161"/>
      <c r="M114" s="161"/>
    </row>
    <row r="115" spans="2:13" x14ac:dyDescent="0.25">
      <c r="B115" s="163"/>
      <c r="C115" s="164"/>
      <c r="D115" s="165"/>
      <c r="E115" s="163"/>
      <c r="F115" s="161"/>
      <c r="G115" s="161"/>
      <c r="H115" s="161"/>
      <c r="I115" s="161"/>
      <c r="J115" s="161"/>
      <c r="K115" s="161"/>
      <c r="L115" s="161"/>
      <c r="M115" s="161"/>
    </row>
    <row r="116" spans="2:13" x14ac:dyDescent="0.25">
      <c r="B116" s="163"/>
      <c r="C116" s="164"/>
      <c r="D116" s="165"/>
      <c r="E116" s="163"/>
      <c r="F116" s="161"/>
      <c r="G116" s="161"/>
      <c r="H116" s="161"/>
      <c r="I116" s="161"/>
      <c r="J116" s="161"/>
      <c r="K116" s="161"/>
      <c r="L116" s="161"/>
      <c r="M116" s="161"/>
    </row>
    <row r="117" spans="2:13" x14ac:dyDescent="0.25">
      <c r="B117" s="163"/>
      <c r="C117" s="164"/>
      <c r="D117" s="165"/>
      <c r="E117" s="163"/>
      <c r="F117" s="161"/>
      <c r="G117" s="161"/>
      <c r="H117" s="161"/>
      <c r="I117" s="161"/>
      <c r="J117" s="161"/>
      <c r="K117" s="161"/>
      <c r="L117" s="161"/>
      <c r="M117" s="161"/>
    </row>
    <row r="118" spans="2:13" x14ac:dyDescent="0.25">
      <c r="B118" s="163"/>
      <c r="C118" s="164"/>
      <c r="D118" s="165"/>
      <c r="E118" s="163"/>
      <c r="F118" s="161"/>
      <c r="G118" s="161"/>
      <c r="H118" s="161"/>
      <c r="I118" s="161"/>
      <c r="J118" s="161"/>
      <c r="K118" s="161"/>
      <c r="L118" s="161"/>
      <c r="M118" s="161"/>
    </row>
    <row r="119" spans="2:13" x14ac:dyDescent="0.25">
      <c r="B119" s="163"/>
      <c r="C119" s="164"/>
      <c r="D119" s="165"/>
      <c r="E119" s="163"/>
      <c r="F119" s="161"/>
      <c r="G119" s="161"/>
      <c r="H119" s="161"/>
      <c r="I119" s="161"/>
      <c r="J119" s="161"/>
      <c r="K119" s="161"/>
      <c r="L119" s="161"/>
      <c r="M119" s="161"/>
    </row>
    <row r="120" spans="2:13" x14ac:dyDescent="0.25">
      <c r="B120" s="163"/>
      <c r="C120" s="164"/>
      <c r="D120" s="165"/>
      <c r="E120" s="163"/>
      <c r="F120" s="161"/>
      <c r="G120" s="161"/>
      <c r="H120" s="161"/>
      <c r="I120" s="161"/>
      <c r="J120" s="161"/>
      <c r="K120" s="161"/>
      <c r="L120" s="161"/>
      <c r="M120" s="161"/>
    </row>
    <row r="121" spans="2:13" x14ac:dyDescent="0.25">
      <c r="B121" s="163"/>
      <c r="C121" s="164"/>
      <c r="D121" s="165"/>
      <c r="E121" s="163"/>
      <c r="F121" s="161"/>
      <c r="G121" s="161"/>
      <c r="H121" s="161"/>
      <c r="I121" s="161"/>
      <c r="J121" s="161"/>
      <c r="K121" s="161"/>
      <c r="L121" s="161"/>
      <c r="M121" s="161"/>
    </row>
    <row r="122" spans="2:13" x14ac:dyDescent="0.25">
      <c r="B122" s="163"/>
      <c r="C122" s="164"/>
      <c r="D122" s="165"/>
      <c r="E122" s="163"/>
      <c r="F122" s="161"/>
      <c r="G122" s="161"/>
      <c r="H122" s="161"/>
      <c r="I122" s="161"/>
      <c r="J122" s="161"/>
      <c r="K122" s="161"/>
      <c r="L122" s="161"/>
      <c r="M122" s="161"/>
    </row>
    <row r="123" spans="2:13" x14ac:dyDescent="0.25">
      <c r="B123" s="163"/>
      <c r="C123" s="164"/>
      <c r="D123" s="165"/>
      <c r="E123" s="163"/>
      <c r="F123" s="161"/>
      <c r="G123" s="161"/>
      <c r="H123" s="161"/>
      <c r="I123" s="161"/>
      <c r="J123" s="161"/>
      <c r="K123" s="161"/>
      <c r="L123" s="161"/>
      <c r="M123" s="161"/>
    </row>
    <row r="124" spans="2:13" x14ac:dyDescent="0.25">
      <c r="B124" s="163"/>
      <c r="C124" s="164"/>
      <c r="D124" s="165"/>
      <c r="E124" s="163"/>
      <c r="F124" s="161"/>
      <c r="G124" s="161"/>
      <c r="H124" s="161"/>
      <c r="I124" s="161"/>
      <c r="J124" s="161"/>
      <c r="K124" s="161"/>
      <c r="L124" s="161"/>
      <c r="M124" s="161"/>
    </row>
    <row r="125" spans="2:13" x14ac:dyDescent="0.25">
      <c r="B125" s="163"/>
      <c r="C125" s="164"/>
      <c r="D125" s="165"/>
      <c r="E125" s="163"/>
      <c r="F125" s="161"/>
      <c r="G125" s="161"/>
      <c r="H125" s="161"/>
      <c r="I125" s="161"/>
      <c r="J125" s="161"/>
      <c r="K125" s="161"/>
      <c r="L125" s="161"/>
      <c r="M125" s="161"/>
    </row>
    <row r="126" spans="2:13" x14ac:dyDescent="0.25">
      <c r="B126" s="163"/>
      <c r="C126" s="164"/>
      <c r="D126" s="165"/>
      <c r="E126" s="163"/>
      <c r="F126" s="161"/>
      <c r="G126" s="161"/>
      <c r="H126" s="161"/>
      <c r="I126" s="161"/>
      <c r="J126" s="161"/>
      <c r="K126" s="161"/>
      <c r="L126" s="161"/>
      <c r="M126" s="161"/>
    </row>
    <row r="127" spans="2:13" x14ac:dyDescent="0.25">
      <c r="B127" s="163"/>
      <c r="C127" s="164"/>
      <c r="D127" s="165"/>
      <c r="E127" s="163"/>
      <c r="F127" s="161"/>
      <c r="G127" s="161"/>
      <c r="H127" s="161"/>
      <c r="I127" s="161"/>
      <c r="J127" s="161"/>
      <c r="K127" s="161"/>
      <c r="L127" s="161"/>
      <c r="M127" s="161"/>
    </row>
    <row r="128" spans="2:13" x14ac:dyDescent="0.25">
      <c r="B128" s="163"/>
      <c r="C128" s="164"/>
      <c r="D128" s="165"/>
      <c r="E128" s="163"/>
      <c r="F128" s="161"/>
      <c r="G128" s="161"/>
      <c r="H128" s="161"/>
      <c r="I128" s="161"/>
      <c r="J128" s="161"/>
      <c r="K128" s="161"/>
      <c r="L128" s="161"/>
      <c r="M128" s="161"/>
    </row>
    <row r="129" spans="2:13" x14ac:dyDescent="0.25">
      <c r="B129" s="163"/>
      <c r="C129" s="164"/>
      <c r="D129" s="165"/>
      <c r="E129" s="163"/>
      <c r="F129" s="161"/>
      <c r="G129" s="161"/>
      <c r="H129" s="161"/>
      <c r="I129" s="161"/>
      <c r="J129" s="161"/>
      <c r="K129" s="161"/>
      <c r="L129" s="161"/>
      <c r="M129" s="161"/>
    </row>
    <row r="130" spans="2:13" x14ac:dyDescent="0.25">
      <c r="B130" s="163"/>
      <c r="C130" s="164"/>
      <c r="D130" s="165"/>
      <c r="E130" s="163"/>
      <c r="F130" s="161"/>
      <c r="G130" s="161"/>
      <c r="H130" s="161"/>
      <c r="I130" s="161"/>
      <c r="J130" s="161"/>
      <c r="K130" s="161"/>
      <c r="L130" s="161"/>
      <c r="M130" s="161"/>
    </row>
    <row r="131" spans="2:13" x14ac:dyDescent="0.25">
      <c r="B131" s="163"/>
      <c r="C131" s="164"/>
      <c r="D131" s="165"/>
      <c r="E131" s="163"/>
      <c r="F131" s="161"/>
      <c r="G131" s="161"/>
      <c r="H131" s="161"/>
      <c r="I131" s="161"/>
      <c r="J131" s="161"/>
      <c r="K131" s="161"/>
      <c r="L131" s="161"/>
      <c r="M131" s="161"/>
    </row>
    <row r="132" spans="2:13" x14ac:dyDescent="0.25">
      <c r="B132" s="163"/>
      <c r="C132" s="164"/>
      <c r="D132" s="165"/>
      <c r="E132" s="163"/>
      <c r="F132" s="161"/>
      <c r="G132" s="161"/>
      <c r="H132" s="161"/>
      <c r="I132" s="161"/>
      <c r="J132" s="161"/>
      <c r="K132" s="161"/>
      <c r="L132" s="161"/>
      <c r="M132" s="161"/>
    </row>
    <row r="133" spans="2:13" x14ac:dyDescent="0.25">
      <c r="B133" s="163"/>
      <c r="C133" s="164"/>
      <c r="D133" s="165"/>
      <c r="E133" s="163"/>
      <c r="F133" s="161"/>
      <c r="G133" s="161"/>
      <c r="H133" s="161"/>
      <c r="I133" s="161"/>
      <c r="J133" s="161"/>
      <c r="K133" s="161"/>
      <c r="L133" s="161"/>
      <c r="M133" s="161"/>
    </row>
    <row r="134" spans="2:13" x14ac:dyDescent="0.25">
      <c r="B134" s="163"/>
      <c r="C134" s="164"/>
      <c r="D134" s="165"/>
      <c r="E134" s="163"/>
      <c r="F134" s="161"/>
      <c r="G134" s="161"/>
      <c r="H134" s="161"/>
      <c r="I134" s="161"/>
      <c r="J134" s="161"/>
      <c r="K134" s="161"/>
      <c r="L134" s="161"/>
      <c r="M134" s="161"/>
    </row>
    <row r="135" spans="2:13" x14ac:dyDescent="0.25">
      <c r="B135" s="163"/>
      <c r="C135" s="164"/>
      <c r="D135" s="165"/>
      <c r="E135" s="163"/>
      <c r="F135" s="161"/>
      <c r="G135" s="161"/>
      <c r="H135" s="161"/>
      <c r="I135" s="161"/>
      <c r="J135" s="161"/>
      <c r="K135" s="161"/>
      <c r="L135" s="161"/>
      <c r="M135" s="161"/>
    </row>
    <row r="136" spans="2:13" x14ac:dyDescent="0.25">
      <c r="B136" s="163"/>
      <c r="C136" s="164"/>
      <c r="D136" s="165"/>
      <c r="E136" s="163"/>
      <c r="F136" s="161"/>
      <c r="G136" s="161"/>
      <c r="H136" s="161"/>
      <c r="I136" s="161"/>
      <c r="J136" s="161"/>
      <c r="K136" s="161"/>
      <c r="L136" s="161"/>
      <c r="M136" s="161"/>
    </row>
    <row r="137" spans="2:13" x14ac:dyDescent="0.25">
      <c r="B137" s="163"/>
      <c r="C137" s="164"/>
      <c r="D137" s="165"/>
      <c r="E137" s="163"/>
    </row>
    <row r="138" spans="2:13" x14ac:dyDescent="0.25">
      <c r="B138" s="163"/>
      <c r="C138" s="164"/>
      <c r="D138" s="165"/>
      <c r="E138" s="163"/>
    </row>
    <row r="139" spans="2:13" x14ac:dyDescent="0.25">
      <c r="B139" s="163"/>
      <c r="C139" s="164"/>
      <c r="D139" s="165"/>
      <c r="E139" s="163"/>
    </row>
    <row r="140" spans="2:13" x14ac:dyDescent="0.25">
      <c r="B140" s="163"/>
      <c r="C140" s="164"/>
      <c r="D140" s="165"/>
      <c r="E140" s="163"/>
    </row>
    <row r="141" spans="2:13" x14ac:dyDescent="0.25">
      <c r="B141" s="163"/>
      <c r="C141" s="164"/>
      <c r="D141" s="165"/>
      <c r="E141" s="163"/>
    </row>
    <row r="142" spans="2:13" x14ac:dyDescent="0.25">
      <c r="B142" s="163"/>
      <c r="C142" s="164"/>
      <c r="D142" s="165"/>
      <c r="E142" s="163"/>
    </row>
    <row r="143" spans="2:13" x14ac:dyDescent="0.25">
      <c r="B143" s="163"/>
      <c r="C143" s="164"/>
      <c r="D143" s="165"/>
      <c r="E143" s="163"/>
    </row>
    <row r="144" spans="2:13" x14ac:dyDescent="0.25">
      <c r="B144" s="163"/>
      <c r="C144" s="164"/>
      <c r="D144" s="165"/>
      <c r="E144" s="163"/>
    </row>
    <row r="145" spans="2:5" x14ac:dyDescent="0.25">
      <c r="B145" s="163"/>
      <c r="C145" s="164"/>
      <c r="D145" s="165"/>
      <c r="E145" s="163"/>
    </row>
    <row r="146" spans="2:5" x14ac:dyDescent="0.25">
      <c r="B146" s="163"/>
      <c r="C146" s="164"/>
      <c r="D146" s="165"/>
      <c r="E146" s="163"/>
    </row>
    <row r="147" spans="2:5" x14ac:dyDescent="0.25">
      <c r="B147" s="163"/>
      <c r="C147" s="164"/>
      <c r="D147" s="165"/>
      <c r="E147" s="163"/>
    </row>
    <row r="148" spans="2:5" x14ac:dyDescent="0.25">
      <c r="B148" s="163"/>
      <c r="C148" s="164"/>
      <c r="D148" s="165"/>
      <c r="E148" s="163"/>
    </row>
    <row r="149" spans="2:5" x14ac:dyDescent="0.25">
      <c r="B149" s="163"/>
      <c r="C149" s="164"/>
      <c r="D149" s="165"/>
      <c r="E149" s="163"/>
    </row>
    <row r="150" spans="2:5" x14ac:dyDescent="0.25">
      <c r="B150" s="163"/>
      <c r="C150" s="164"/>
      <c r="D150" s="165"/>
      <c r="E150" s="163"/>
    </row>
    <row r="151" spans="2:5" x14ac:dyDescent="0.25">
      <c r="B151" s="163"/>
      <c r="C151" s="164"/>
      <c r="D151" s="165"/>
      <c r="E151" s="163"/>
    </row>
    <row r="152" spans="2:5" x14ac:dyDescent="0.25">
      <c r="B152" s="163"/>
      <c r="C152" s="164"/>
      <c r="D152" s="165"/>
      <c r="E152" s="163"/>
    </row>
    <row r="153" spans="2:5" x14ac:dyDescent="0.25">
      <c r="B153" s="163"/>
      <c r="C153" s="164"/>
      <c r="D153" s="165"/>
      <c r="E153" s="163"/>
    </row>
    <row r="154" spans="2:5" x14ac:dyDescent="0.25">
      <c r="B154" s="163"/>
      <c r="C154" s="164"/>
      <c r="D154" s="165"/>
      <c r="E154" s="163"/>
    </row>
    <row r="155" spans="2:5" x14ac:dyDescent="0.25">
      <c r="B155" s="163"/>
      <c r="C155" s="164"/>
      <c r="D155" s="165"/>
      <c r="E155" s="163"/>
    </row>
    <row r="156" spans="2:5" x14ac:dyDescent="0.25">
      <c r="B156" s="163"/>
      <c r="C156" s="164"/>
      <c r="D156" s="165"/>
      <c r="E156" s="163"/>
    </row>
    <row r="157" spans="2:5" x14ac:dyDescent="0.25">
      <c r="B157" s="163"/>
      <c r="C157" s="164"/>
      <c r="D157" s="165"/>
      <c r="E157" s="163"/>
    </row>
    <row r="158" spans="2:5" x14ac:dyDescent="0.25">
      <c r="B158" s="163"/>
      <c r="C158" s="164"/>
      <c r="D158" s="165"/>
      <c r="E158" s="163"/>
    </row>
    <row r="159" spans="2:5" x14ac:dyDescent="0.25">
      <c r="B159" s="163"/>
      <c r="C159" s="164"/>
      <c r="D159" s="165"/>
      <c r="E159" s="163"/>
    </row>
    <row r="160" spans="2:5" x14ac:dyDescent="0.25">
      <c r="B160" s="163"/>
      <c r="C160" s="164"/>
      <c r="D160" s="165"/>
      <c r="E160" s="163"/>
    </row>
    <row r="161" spans="2:5" x14ac:dyDescent="0.25">
      <c r="B161" s="163"/>
      <c r="C161" s="164"/>
      <c r="D161" s="165"/>
      <c r="E161" s="163"/>
    </row>
    <row r="162" spans="2:5" x14ac:dyDescent="0.25">
      <c r="B162" s="163"/>
      <c r="C162" s="164"/>
      <c r="D162" s="165"/>
      <c r="E162" s="163"/>
    </row>
    <row r="163" spans="2:5" x14ac:dyDescent="0.25">
      <c r="B163" s="163"/>
      <c r="C163" s="164"/>
      <c r="D163" s="165"/>
      <c r="E163" s="163"/>
    </row>
    <row r="164" spans="2:5" x14ac:dyDescent="0.25">
      <c r="B164" s="163"/>
      <c r="C164" s="164"/>
      <c r="D164" s="165"/>
      <c r="E164" s="163"/>
    </row>
    <row r="165" spans="2:5" x14ac:dyDescent="0.25">
      <c r="B165" s="163"/>
      <c r="C165" s="164"/>
      <c r="D165" s="165"/>
      <c r="E165" s="163"/>
    </row>
    <row r="166" spans="2:5" x14ac:dyDescent="0.25">
      <c r="B166" s="163"/>
      <c r="C166" s="164"/>
      <c r="D166" s="165"/>
      <c r="E166" s="163"/>
    </row>
    <row r="167" spans="2:5" x14ac:dyDescent="0.25">
      <c r="B167" s="163"/>
      <c r="C167" s="164"/>
      <c r="D167" s="165"/>
      <c r="E167" s="163"/>
    </row>
    <row r="168" spans="2:5" x14ac:dyDescent="0.25">
      <c r="B168" s="163"/>
      <c r="C168" s="164"/>
      <c r="D168" s="165"/>
      <c r="E168" s="163"/>
    </row>
    <row r="169" spans="2:5" x14ac:dyDescent="0.25">
      <c r="B169" s="163"/>
      <c r="C169" s="164"/>
      <c r="D169" s="165"/>
      <c r="E169" s="163"/>
    </row>
    <row r="170" spans="2:5" x14ac:dyDescent="0.25">
      <c r="B170" s="163"/>
      <c r="C170" s="164"/>
      <c r="D170" s="165"/>
      <c r="E170" s="163"/>
    </row>
    <row r="171" spans="2:5" x14ac:dyDescent="0.25">
      <c r="B171" s="163"/>
      <c r="C171" s="164"/>
      <c r="D171" s="165"/>
      <c r="E171" s="163"/>
    </row>
    <row r="172" spans="2:5" x14ac:dyDescent="0.25">
      <c r="B172" s="163"/>
      <c r="C172" s="164"/>
      <c r="D172" s="165"/>
      <c r="E172" s="163"/>
    </row>
    <row r="173" spans="2:5" x14ac:dyDescent="0.25">
      <c r="B173" s="163"/>
      <c r="C173" s="164"/>
      <c r="D173" s="165"/>
      <c r="E173" s="163"/>
    </row>
    <row r="174" spans="2:5" x14ac:dyDescent="0.25">
      <c r="B174" s="163"/>
      <c r="C174" s="164"/>
      <c r="D174" s="165"/>
      <c r="E174" s="163"/>
    </row>
    <row r="175" spans="2:5" x14ac:dyDescent="0.25">
      <c r="B175" s="163"/>
      <c r="C175" s="164"/>
      <c r="D175" s="165"/>
      <c r="E175" s="163"/>
    </row>
    <row r="176" spans="2:5" x14ac:dyDescent="0.25">
      <c r="B176" s="163"/>
      <c r="C176" s="164"/>
      <c r="D176" s="165"/>
      <c r="E176" s="163"/>
    </row>
    <row r="177" spans="2:5" x14ac:dyDescent="0.25">
      <c r="B177" s="163"/>
      <c r="C177" s="164"/>
      <c r="D177" s="165"/>
      <c r="E177" s="163"/>
    </row>
    <row r="178" spans="2:5" x14ac:dyDescent="0.25">
      <c r="B178" s="163"/>
      <c r="C178" s="164"/>
      <c r="D178" s="165"/>
      <c r="E178" s="163"/>
    </row>
    <row r="179" spans="2:5" x14ac:dyDescent="0.25">
      <c r="B179" s="163"/>
      <c r="C179" s="164"/>
      <c r="D179" s="165"/>
      <c r="E179" s="163"/>
    </row>
    <row r="180" spans="2:5" x14ac:dyDescent="0.25">
      <c r="B180" s="163"/>
      <c r="C180" s="164"/>
      <c r="D180" s="165"/>
      <c r="E180" s="163"/>
    </row>
    <row r="181" spans="2:5" x14ac:dyDescent="0.25">
      <c r="B181" s="163"/>
      <c r="C181" s="164"/>
      <c r="D181" s="165"/>
      <c r="E181" s="163"/>
    </row>
    <row r="182" spans="2:5" x14ac:dyDescent="0.25">
      <c r="B182" s="163"/>
      <c r="C182" s="164"/>
      <c r="D182" s="165"/>
      <c r="E182" s="163"/>
    </row>
    <row r="183" spans="2:5" x14ac:dyDescent="0.25">
      <c r="B183" s="163"/>
      <c r="C183" s="164"/>
      <c r="D183" s="165"/>
      <c r="E183" s="163"/>
    </row>
    <row r="184" spans="2:5" x14ac:dyDescent="0.25">
      <c r="B184" s="163"/>
      <c r="C184" s="164"/>
      <c r="D184" s="165"/>
      <c r="E184" s="163"/>
    </row>
    <row r="185" spans="2:5" x14ac:dyDescent="0.25">
      <c r="B185" s="163"/>
      <c r="C185" s="164"/>
      <c r="D185" s="165"/>
      <c r="E185" s="163"/>
    </row>
    <row r="186" spans="2:5" x14ac:dyDescent="0.25">
      <c r="B186" s="163"/>
      <c r="C186" s="164"/>
      <c r="D186" s="165"/>
      <c r="E186" s="163"/>
    </row>
    <row r="187" spans="2:5" x14ac:dyDescent="0.25">
      <c r="B187" s="163"/>
      <c r="C187" s="164"/>
      <c r="D187" s="165"/>
      <c r="E187" s="163"/>
    </row>
    <row r="188" spans="2:5" x14ac:dyDescent="0.25">
      <c r="B188" s="163"/>
      <c r="C188" s="164"/>
      <c r="D188" s="165"/>
      <c r="E188" s="163"/>
    </row>
    <row r="189" spans="2:5" x14ac:dyDescent="0.25">
      <c r="B189" s="163"/>
      <c r="C189" s="164"/>
      <c r="D189" s="165"/>
      <c r="E189" s="163"/>
    </row>
    <row r="190" spans="2:5" x14ac:dyDescent="0.25">
      <c r="B190" s="163"/>
      <c r="C190" s="164"/>
      <c r="D190" s="165"/>
      <c r="E190" s="163"/>
    </row>
    <row r="191" spans="2:5" x14ac:dyDescent="0.25">
      <c r="B191" s="163"/>
      <c r="C191" s="164"/>
      <c r="D191" s="165"/>
      <c r="E191" s="163"/>
    </row>
    <row r="192" spans="2:5" x14ac:dyDescent="0.25">
      <c r="B192" s="163"/>
      <c r="C192" s="164"/>
      <c r="D192" s="165"/>
      <c r="E192" s="163"/>
    </row>
    <row r="193" spans="2:5" x14ac:dyDescent="0.25">
      <c r="B193" s="163"/>
      <c r="C193" s="164"/>
      <c r="D193" s="165"/>
      <c r="E193" s="163"/>
    </row>
  </sheetData>
  <sheetProtection formatCells="0" formatColumns="0" formatRows="0" insertColumns="0" insertRows="0" deleteColumns="0" sort="0" autoFilter="0"/>
  <mergeCells count="6">
    <mergeCell ref="B2:M2"/>
    <mergeCell ref="C3:J3"/>
    <mergeCell ref="C5:D5"/>
    <mergeCell ref="C6:D6"/>
    <mergeCell ref="H5:I5"/>
    <mergeCell ref="H6:I6"/>
  </mergeCells>
  <conditionalFormatting sqref="C8:C193">
    <cfRule type="expression" dxfId="37" priority="9">
      <formula>AND(ISBLANK(INDIRECT("CategoriesTable[@Category name]")),NOT(ISBLANK(INDIRECT("CategoriesTable[@Category type]"))))</formula>
    </cfRule>
  </conditionalFormatting>
  <conditionalFormatting sqref="D8 D10:D193">
    <cfRule type="expression" dxfId="36" priority="10">
      <formula>AND(ISBLANK(INDIRECT("CategoriesTable[@Category type]")),NOT(ISBLANK(INDIRECT("CategoriesTable[@Category name]"))))</formula>
    </cfRule>
  </conditionalFormatting>
  <conditionalFormatting sqref="B8:E8 B10:E193 B9:C9 E9">
    <cfRule type="expression" dxfId="35" priority="11">
      <formula>INDIRECT("CategoriesTable[@Default]")=TRUE</formula>
    </cfRule>
  </conditionalFormatting>
  <conditionalFormatting sqref="H30:H100">
    <cfRule type="expression" dxfId="34" priority="12">
      <formula>AND(ISBLANK(INDIRECT("SubcategoriesTable[@Category name]")),NOT(ISBLANK(INDIRECT("SubcategoriesTable[@Subcategory name]"))))</formula>
    </cfRule>
  </conditionalFormatting>
  <conditionalFormatting sqref="I8:I100">
    <cfRule type="expression" dxfId="33" priority="13">
      <formula>AND(ISBLANK(INDIRECT("SubcategoriesTable[@Subcategory name]")),NOT(ISBLANK(INDIRECT("SubcategoriesTable[@Category name]"))))</formula>
    </cfRule>
  </conditionalFormatting>
  <conditionalFormatting sqref="D9">
    <cfRule type="expression" dxfId="32" priority="3">
      <formula>AND(ISBLANK(INDIRECT("CategoriesTable[@Category type]")),NOT(ISBLANK(INDIRECT("CategoriesTable[@Category name]"))))</formula>
    </cfRule>
  </conditionalFormatting>
  <conditionalFormatting sqref="D9">
    <cfRule type="expression" dxfId="31" priority="4">
      <formula>INDIRECT("CategoriesTable[@Default]")=TRUE</formula>
    </cfRule>
  </conditionalFormatting>
  <conditionalFormatting sqref="H8:H29">
    <cfRule type="expression" dxfId="30" priority="1">
      <formula>AND(ISBLANK(INDIRECT("CategoriesTable[@Category name]")),NOT(ISBLANK(INDIRECT("CategoriesTable[@Category type]"))))</formula>
    </cfRule>
  </conditionalFormatting>
  <conditionalFormatting sqref="H8:H29">
    <cfRule type="expression" dxfId="29" priority="2">
      <formula>INDIRECT("CategoriesTable[@Default]")=TRUE</formula>
    </cfRule>
  </conditionalFormatting>
  <dataValidations count="3">
    <dataValidation type="list" allowBlank="1" showInputMessage="1" showErrorMessage="1" promptTitle="Type of the entry" prompt="Expense,Income,Transfer" sqref="D101:D102" xr:uid="{D3636562-5CDE-7C4F-8A1C-61B2D7477ABA}">
      <formula1>"Expense,Income,Transfer"</formula1>
    </dataValidation>
    <dataValidation type="list" allowBlank="1" showInputMessage="1" showErrorMessage="1" sqref="H30:H100" xr:uid="{F0E71476-9EA0-E449-95B9-0B515AC8A593}">
      <formula1>INDIRECT("HiddenCategories!$B$2#")</formula1>
    </dataValidation>
    <dataValidation type="list" allowBlank="1" showErrorMessage="1" promptTitle="Type of the entry" prompt="Expense,Income,Transfer" sqref="D103:D193" xr:uid="{1245C654-5FC1-AE4A-AB81-FEF06AFF9FEB}">
      <formula1>"Expense,Income,Transfer"</formula1>
    </dataValidation>
  </dataValidations>
  <pageMargins left="0.7" right="0.7" top="0.75" bottom="0.75" header="0.3" footer="0.3"/>
  <tableParts count="2">
    <tablePart r:id="rId1"/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8FA9F014-A7FB-41FF-9790-796DCB0FBA5B}">
          <xm:f>Categories!$C$26:$D$100</xm:f>
        </x15:webExtension>
      </x15:webExtens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13C13-C73F-6A4E-9DCC-DCCB5E8E58F2}">
  <dimension ref="B1:BU100"/>
  <sheetViews>
    <sheetView workbookViewId="0"/>
  </sheetViews>
  <sheetFormatPr defaultColWidth="11.42578125" defaultRowHeight="15" x14ac:dyDescent="0.25"/>
  <sheetData>
    <row r="1" spans="2:3" x14ac:dyDescent="0.25">
      <c r="B1" t="s">
        <v>4</v>
      </c>
      <c r="C1" t="s">
        <v>87</v>
      </c>
    </row>
    <row r="2" spans="2:3" x14ac:dyDescent="0.25">
      <c r="B2" t="str" cm="1">
        <f t="array" ref="B2:B23">_xlfn.UNIQUE(_xlfn._xlws.FILTER(CategoryNames, CategoryNames&lt;&gt;"",),FALSE,FALSE)</f>
        <v>Auto/Transport</v>
      </c>
      <c r="C2" t="str" cm="1">
        <f t="array" aca="1" ref="C2" ca="1">IFERROR(TRANSPOSE(INDEX(_xlfn._xlws.FILTER(INDIRECT("SubcategoriesTable[Subcategory name]"),INDIRECT("SubcategoriesTable[Category name]")=$B2),,)),"No subcategories")</f>
        <v>Variable</v>
      </c>
    </row>
    <row r="3" spans="2:3" x14ac:dyDescent="0.25">
      <c r="B3" t="str">
        <v>Bills/Utilities</v>
      </c>
      <c r="C3" t="str" cm="1">
        <f t="array" aca="1" ref="C3" ca="1">IFERROR(TRANSPOSE(INDEX(_xlfn._xlws.FILTER(INDIRECT("SubcategoriesTable[Subcategory name]"),INDIRECT("SubcategoriesTable[Category name]")=$B3),,)),"No subcategories")</f>
        <v>Fixed</v>
      </c>
    </row>
    <row r="4" spans="2:3" x14ac:dyDescent="0.25">
      <c r="B4" t="str">
        <v>Entertainment</v>
      </c>
      <c r="C4" t="str" cm="1">
        <f t="array" aca="1" ref="C4" ca="1">IFERROR(TRANSPOSE(INDEX(_xlfn._xlws.FILTER(INDIRECT("SubcategoriesTable[Subcategory name]"),INDIRECT("SubcategoriesTable[Category name]")=$B4),,)),"No subcategories")</f>
        <v>Variable</v>
      </c>
    </row>
    <row r="5" spans="2:3" x14ac:dyDescent="0.25">
      <c r="B5" t="str">
        <v>Fees/Charges</v>
      </c>
      <c r="C5" t="str" cm="1">
        <f t="array" aca="1" ref="C5" ca="1">IFERROR(TRANSPOSE(INDEX(_xlfn._xlws.FILTER(INDIRECT("SubcategoriesTable[Subcategory name]"),INDIRECT("SubcategoriesTable[Category name]")=$B5),,)),"No subcategories")</f>
        <v>Variable</v>
      </c>
    </row>
    <row r="6" spans="2:3" x14ac:dyDescent="0.25">
      <c r="B6" t="str">
        <v>Groceries</v>
      </c>
      <c r="C6" t="str" cm="1">
        <f t="array" aca="1" ref="C6" ca="1">IFERROR(TRANSPOSE(INDEX(_xlfn._xlws.FILTER(INDIRECT("SubcategoriesTable[Subcategory name]"),INDIRECT("SubcategoriesTable[Category name]")=$B6),,)),"No subcategories")</f>
        <v>Variable</v>
      </c>
    </row>
    <row r="7" spans="2:3" x14ac:dyDescent="0.25">
      <c r="B7" t="str">
        <v>Health/Fitness</v>
      </c>
      <c r="C7" t="str" cm="1">
        <f t="array" aca="1" ref="C7" ca="1">IFERROR(TRANSPOSE(INDEX(_xlfn._xlws.FILTER(INDIRECT("SubcategoriesTable[Subcategory name]"),INDIRECT("SubcategoriesTable[Category name]")=$B7),,)),"No subcategories")</f>
        <v>Variable</v>
      </c>
    </row>
    <row r="8" spans="2:3" x14ac:dyDescent="0.25">
      <c r="B8" t="str">
        <v>Home</v>
      </c>
      <c r="C8" t="str" cm="1">
        <f t="array" aca="1" ref="C8" ca="1">IFERROR(TRANSPOSE(INDEX(_xlfn._xlws.FILTER(INDIRECT("SubcategoriesTable[Subcategory name]"),INDIRECT("SubcategoriesTable[Category name]")=$B8),,)),"No subcategories")</f>
        <v>Variable</v>
      </c>
    </row>
    <row r="9" spans="2:3" x14ac:dyDescent="0.25">
      <c r="B9" t="str">
        <v>Income</v>
      </c>
      <c r="C9" t="str" cm="1">
        <f t="array" aca="1" ref="C9" ca="1">IFERROR(TRANSPOSE(INDEX(_xlfn._xlws.FILTER(INDIRECT("SubcategoriesTable[Subcategory name]"),INDIRECT("SubcategoriesTable[Category name]")=$B9),,)),"No subcategories")</f>
        <v>Fixed</v>
      </c>
    </row>
    <row r="10" spans="2:3" x14ac:dyDescent="0.25">
      <c r="B10" t="str">
        <v>Misc</v>
      </c>
      <c r="C10" t="str" cm="1">
        <f t="array" aca="1" ref="C10" ca="1">IFERROR(TRANSPOSE(INDEX(_xlfn._xlws.FILTER(INDIRECT("SubcategoriesTable[Subcategory name]"),INDIRECT("SubcategoriesTable[Category name]")=$B10),,)),"No subcategories")</f>
        <v>Variable</v>
      </c>
    </row>
    <row r="11" spans="2:3" x14ac:dyDescent="0.25">
      <c r="B11" t="str">
        <v>Mortgage/Rent</v>
      </c>
      <c r="C11" t="str" cm="1">
        <f t="array" aca="1" ref="C11" ca="1">IFERROR(TRANSPOSE(INDEX(_xlfn._xlws.FILTER(INDIRECT("SubcategoriesTable[Subcategory name]"),INDIRECT("SubcategoriesTable[Category name]")=$B11),,)),"No subcategories")</f>
        <v>Fixed</v>
      </c>
    </row>
    <row r="12" spans="2:3" x14ac:dyDescent="0.25">
      <c r="B12" t="str">
        <v>Payment</v>
      </c>
      <c r="C12" t="str" cm="1">
        <f t="array" aca="1" ref="C12" ca="1">IFERROR(TRANSPOSE(INDEX(_xlfn._xlws.FILTER(INDIRECT("SubcategoriesTable[Subcategory name]"),INDIRECT("SubcategoriesTable[Category name]")=$B12),,)),"No subcategories")</f>
        <v>Fixed</v>
      </c>
    </row>
    <row r="13" spans="2:3" x14ac:dyDescent="0.25">
      <c r="B13" t="str">
        <v>Professional Services</v>
      </c>
      <c r="C13" t="str" cm="1">
        <f t="array" aca="1" ref="C13" ca="1">IFERROR(TRANSPOSE(INDEX(_xlfn._xlws.FILTER(INDIRECT("SubcategoriesTable[Subcategory name]"),INDIRECT("SubcategoriesTable[Category name]")=$B13),,)),"No subcategories")</f>
        <v>Variable</v>
      </c>
    </row>
    <row r="14" spans="2:3" x14ac:dyDescent="0.25">
      <c r="B14" t="str">
        <v>Refund</v>
      </c>
      <c r="C14" t="str" cm="1">
        <f t="array" aca="1" ref="C14" ca="1">IFERROR(TRANSPOSE(INDEX(_xlfn._xlws.FILTER(INDIRECT("SubcategoriesTable[Subcategory name]"),INDIRECT("SubcategoriesTable[Category name]")=$B14),,)),"No subcategories")</f>
        <v>Variable</v>
      </c>
    </row>
    <row r="15" spans="2:3" x14ac:dyDescent="0.25">
      <c r="B15" t="str">
        <v>Restaurants/Dining</v>
      </c>
      <c r="C15" t="str" cm="1">
        <f t="array" aca="1" ref="C15" ca="1">IFERROR(TRANSPOSE(INDEX(_xlfn._xlws.FILTER(INDIRECT("SubcategoriesTable[Subcategory name]"),INDIRECT("SubcategoriesTable[Category name]")=$B15),,)),"No subcategories")</f>
        <v>Variable</v>
      </c>
    </row>
    <row r="16" spans="2:3" x14ac:dyDescent="0.25">
      <c r="B16" t="str">
        <v>Shopping</v>
      </c>
      <c r="C16" t="str" cm="1">
        <f t="array" aca="1" ref="C16" ca="1">IFERROR(TRANSPOSE(INDEX(_xlfn._xlws.FILTER(INDIRECT("SubcategoriesTable[Subcategory name]"),INDIRECT("SubcategoriesTable[Category name]")=$B16),,)),"No subcategories")</f>
        <v>Variable</v>
      </c>
    </row>
    <row r="17" spans="2:73" x14ac:dyDescent="0.25">
      <c r="B17" t="str">
        <v>Transfer</v>
      </c>
      <c r="C17" t="str" cm="1">
        <f t="array" aca="1" ref="C17" ca="1">IFERROR(TRANSPOSE(INDEX(_xlfn._xlws.FILTER(INDIRECT("SubcategoriesTable[Subcategory name]"),INDIRECT("SubcategoriesTable[Category name]")=$B17),,)),"No subcategories")</f>
        <v>Variable</v>
      </c>
    </row>
    <row r="18" spans="2:73" x14ac:dyDescent="0.25">
      <c r="B18" t="str">
        <v>Travel</v>
      </c>
      <c r="C18" t="str" cm="1">
        <f t="array" aca="1" ref="C18" ca="1">IFERROR(TRANSPOSE(INDEX(_xlfn._xlws.FILTER(INDIRECT("SubcategoriesTable[Subcategory name]"),INDIRECT("SubcategoriesTable[Category name]")=$B18),,)),"No subcategories")</f>
        <v>Variable</v>
      </c>
    </row>
    <row r="19" spans="2:73" x14ac:dyDescent="0.25">
      <c r="B19" t="str">
        <v>Uncategorized</v>
      </c>
      <c r="C19" t="str" cm="1">
        <f t="array" aca="1" ref="C19" ca="1">IFERROR(TRANSPOSE(INDEX(_xlfn._xlws.FILTER(INDIRECT("SubcategoriesTable[Subcategory name]"),INDIRECT("SubcategoriesTable[Category name]")=$B19),,)),"No subcategories")</f>
        <v>Variable</v>
      </c>
    </row>
    <row r="20" spans="2:73" x14ac:dyDescent="0.25">
      <c r="B20" t="str">
        <v>Investment</v>
      </c>
      <c r="C20" t="str" cm="1">
        <f t="array" aca="1" ref="C20" ca="1">IFERROR(TRANSPOSE(INDEX(_xlfn._xlws.FILTER(INDIRECT("SubcategoriesTable[Subcategory name]"),INDIRECT("SubcategoriesTable[Category name]")=$B20),,)),"No subcategories")</f>
        <v>Variable</v>
      </c>
    </row>
    <row r="21" spans="2:73" x14ac:dyDescent="0.25">
      <c r="B21" t="str">
        <v>Education</v>
      </c>
      <c r="C21" t="str" cm="1">
        <f t="array" aca="1" ref="C21" ca="1">IFERROR(TRANSPOSE(INDEX(_xlfn._xlws.FILTER(INDIRECT("SubcategoriesTable[Subcategory name]"),INDIRECT("SubcategoriesTable[Category name]")=$B21),,)),"No subcategories")</f>
        <v>Variable</v>
      </c>
    </row>
    <row r="22" spans="2:73" x14ac:dyDescent="0.25">
      <c r="B22" t="str">
        <v>Government</v>
      </c>
      <c r="C22" t="str" cm="1">
        <f t="array" aca="1" ref="C22" ca="1">IFERROR(TRANSPOSE(INDEX(_xlfn._xlws.FILTER(INDIRECT("SubcategoriesTable[Subcategory name]"),INDIRECT("SubcategoriesTable[Category name]")=$B22),,)),"No subcategories")</f>
        <v>Variable</v>
      </c>
    </row>
    <row r="23" spans="2:73" x14ac:dyDescent="0.25">
      <c r="B23" t="str">
        <v>Apps</v>
      </c>
      <c r="C23" t="str" cm="1">
        <f t="array" aca="1" ref="C23" ca="1">IFERROR(TRANSPOSE(INDEX(_xlfn._xlws.FILTER(INDIRECT("SubcategoriesTable[Subcategory name]"),INDIRECT("SubcategoriesTable[Category name]")=$B23),,)),"No subcategories")</f>
        <v>Variable</v>
      </c>
    </row>
    <row r="24" spans="2:73" x14ac:dyDescent="0.25">
      <c r="C24" cm="1">
        <f t="array" aca="1" ref="C24:BU24" ca="1">IFERROR(TRANSPOSE(INDEX(_xlfn._xlws.FILTER(INDIRECT("SubcategoriesTable[Subcategory name]"),INDIRECT("SubcategoriesTable[Category name]")=$B24),,)),"No subcategories")</f>
        <v>0</v>
      </c>
      <c r="D24">
        <f ca="1"/>
        <v>0</v>
      </c>
      <c r="E24">
        <f ca="1"/>
        <v>0</v>
      </c>
      <c r="F24">
        <f ca="1"/>
        <v>0</v>
      </c>
      <c r="G24">
        <f ca="1"/>
        <v>0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</v>
      </c>
      <c r="T24">
        <f ca="1"/>
        <v>0</v>
      </c>
      <c r="U24">
        <f ca="1"/>
        <v>0</v>
      </c>
      <c r="V24">
        <f ca="1"/>
        <v>0</v>
      </c>
      <c r="W24">
        <f ca="1"/>
        <v>0</v>
      </c>
      <c r="X24">
        <f ca="1"/>
        <v>0</v>
      </c>
      <c r="Y24">
        <f ca="1"/>
        <v>0</v>
      </c>
      <c r="Z24">
        <f ca="1"/>
        <v>0</v>
      </c>
      <c r="AA24">
        <f ca="1"/>
        <v>0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  <c r="AQ24">
        <f ca="1"/>
        <v>0</v>
      </c>
      <c r="AR24">
        <f ca="1"/>
        <v>0</v>
      </c>
      <c r="AS24">
        <f ca="1"/>
        <v>0</v>
      </c>
      <c r="AT24">
        <f ca="1"/>
        <v>0</v>
      </c>
      <c r="AU24">
        <f ca="1"/>
        <v>0</v>
      </c>
      <c r="AV24">
        <f ca="1"/>
        <v>0</v>
      </c>
      <c r="AW24">
        <f ca="1"/>
        <v>0</v>
      </c>
      <c r="AX24">
        <f ca="1"/>
        <v>0</v>
      </c>
      <c r="AY24">
        <f ca="1"/>
        <v>0</v>
      </c>
      <c r="AZ24">
        <f ca="1"/>
        <v>0</v>
      </c>
      <c r="BA24">
        <f ca="1"/>
        <v>0</v>
      </c>
      <c r="BB24">
        <f ca="1"/>
        <v>0</v>
      </c>
      <c r="BC24">
        <f ca="1"/>
        <v>0</v>
      </c>
      <c r="BD24">
        <f ca="1"/>
        <v>0</v>
      </c>
      <c r="BE24">
        <f ca="1"/>
        <v>0</v>
      </c>
      <c r="BF24">
        <f ca="1"/>
        <v>0</v>
      </c>
      <c r="BG24">
        <f ca="1"/>
        <v>0</v>
      </c>
      <c r="BH24">
        <f ca="1"/>
        <v>0</v>
      </c>
      <c r="BI24">
        <f ca="1"/>
        <v>0</v>
      </c>
      <c r="BJ24">
        <f ca="1"/>
        <v>0</v>
      </c>
      <c r="BK24">
        <f ca="1"/>
        <v>0</v>
      </c>
      <c r="BL24">
        <f ca="1"/>
        <v>0</v>
      </c>
      <c r="BM24">
        <f ca="1"/>
        <v>0</v>
      </c>
      <c r="BN24">
        <f ca="1"/>
        <v>0</v>
      </c>
      <c r="BO24">
        <f ca="1"/>
        <v>0</v>
      </c>
      <c r="BP24">
        <f ca="1"/>
        <v>0</v>
      </c>
      <c r="BQ24">
        <f ca="1"/>
        <v>0</v>
      </c>
      <c r="BR24">
        <f ca="1"/>
        <v>0</v>
      </c>
      <c r="BS24">
        <f ca="1"/>
        <v>0</v>
      </c>
      <c r="BT24">
        <f ca="1"/>
        <v>0</v>
      </c>
      <c r="BU24">
        <f ca="1"/>
        <v>0</v>
      </c>
    </row>
    <row r="25" spans="2:73" x14ac:dyDescent="0.25">
      <c r="C25" cm="1">
        <f t="array" aca="1" ref="C25:BU25" ca="1">IFERROR(TRANSPOSE(INDEX(_xlfn._xlws.FILTER(INDIRECT("SubcategoriesTable[Subcategory name]"),INDIRECT("SubcategoriesTable[Category name]")=$B25),,)),"No subcategories")</f>
        <v>0</v>
      </c>
      <c r="D25">
        <f ca="1"/>
        <v>0</v>
      </c>
      <c r="E25">
        <f ca="1"/>
        <v>0</v>
      </c>
      <c r="F25">
        <f ca="1"/>
        <v>0</v>
      </c>
      <c r="G25">
        <f ca="1"/>
        <v>0</v>
      </c>
      <c r="H25">
        <f ca="1"/>
        <v>0</v>
      </c>
      <c r="I25">
        <f ca="1"/>
        <v>0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</v>
      </c>
      <c r="T25">
        <f ca="1"/>
        <v>0</v>
      </c>
      <c r="U25">
        <f ca="1"/>
        <v>0</v>
      </c>
      <c r="V25">
        <f ca="1"/>
        <v>0</v>
      </c>
      <c r="W25">
        <f ca="1"/>
        <v>0</v>
      </c>
      <c r="X25">
        <f ca="1"/>
        <v>0</v>
      </c>
      <c r="Y25">
        <f ca="1"/>
        <v>0</v>
      </c>
      <c r="Z25">
        <f ca="1"/>
        <v>0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  <c r="AQ25">
        <f ca="1"/>
        <v>0</v>
      </c>
      <c r="AR25">
        <f ca="1"/>
        <v>0</v>
      </c>
      <c r="AS25">
        <f ca="1"/>
        <v>0</v>
      </c>
      <c r="AT25">
        <f ca="1"/>
        <v>0</v>
      </c>
      <c r="AU25">
        <f ca="1"/>
        <v>0</v>
      </c>
      <c r="AV25">
        <f ca="1"/>
        <v>0</v>
      </c>
      <c r="AW25">
        <f ca="1"/>
        <v>0</v>
      </c>
      <c r="AX25">
        <f ca="1"/>
        <v>0</v>
      </c>
      <c r="AY25">
        <f ca="1"/>
        <v>0</v>
      </c>
      <c r="AZ25">
        <f ca="1"/>
        <v>0</v>
      </c>
      <c r="BA25">
        <f ca="1"/>
        <v>0</v>
      </c>
      <c r="BB25">
        <f ca="1"/>
        <v>0</v>
      </c>
      <c r="BC25">
        <f ca="1"/>
        <v>0</v>
      </c>
      <c r="BD25">
        <f ca="1"/>
        <v>0</v>
      </c>
      <c r="BE25">
        <f ca="1"/>
        <v>0</v>
      </c>
      <c r="BF25">
        <f ca="1"/>
        <v>0</v>
      </c>
      <c r="BG25">
        <f ca="1"/>
        <v>0</v>
      </c>
      <c r="BH25">
        <f ca="1"/>
        <v>0</v>
      </c>
      <c r="BI25">
        <f ca="1"/>
        <v>0</v>
      </c>
      <c r="BJ25">
        <f ca="1"/>
        <v>0</v>
      </c>
      <c r="BK25">
        <f ca="1"/>
        <v>0</v>
      </c>
      <c r="BL25">
        <f ca="1"/>
        <v>0</v>
      </c>
      <c r="BM25">
        <f ca="1"/>
        <v>0</v>
      </c>
      <c r="BN25">
        <f ca="1"/>
        <v>0</v>
      </c>
      <c r="BO25">
        <f ca="1"/>
        <v>0</v>
      </c>
      <c r="BP25">
        <f ca="1"/>
        <v>0</v>
      </c>
      <c r="BQ25">
        <f ca="1"/>
        <v>0</v>
      </c>
      <c r="BR25">
        <f ca="1"/>
        <v>0</v>
      </c>
      <c r="BS25">
        <f ca="1"/>
        <v>0</v>
      </c>
      <c r="BT25">
        <f ca="1"/>
        <v>0</v>
      </c>
      <c r="BU25">
        <f ca="1"/>
        <v>0</v>
      </c>
    </row>
    <row r="26" spans="2:73" x14ac:dyDescent="0.25">
      <c r="C26" cm="1">
        <f t="array" aca="1" ref="C26:BU26" ca="1">IFERROR(TRANSPOSE(INDEX(_xlfn._xlws.FILTER(INDIRECT("SubcategoriesTable[Subcategory name]"),INDIRECT("SubcategoriesTable[Category name]")=$B26),,)),"No subcategories")</f>
        <v>0</v>
      </c>
      <c r="D26">
        <f ca="1"/>
        <v>0</v>
      </c>
      <c r="E26">
        <f ca="1"/>
        <v>0</v>
      </c>
      <c r="F26">
        <f ca="1"/>
        <v>0</v>
      </c>
      <c r="G26">
        <f ca="1"/>
        <v>0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</v>
      </c>
      <c r="T26">
        <f ca="1"/>
        <v>0</v>
      </c>
      <c r="U26">
        <f ca="1"/>
        <v>0</v>
      </c>
      <c r="V26">
        <f ca="1"/>
        <v>0</v>
      </c>
      <c r="W26">
        <f ca="1"/>
        <v>0</v>
      </c>
      <c r="X26">
        <f ca="1"/>
        <v>0</v>
      </c>
      <c r="Y26">
        <f ca="1"/>
        <v>0</v>
      </c>
      <c r="Z26">
        <f ca="1"/>
        <v>0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  <c r="AQ26">
        <f ca="1"/>
        <v>0</v>
      </c>
      <c r="AR26">
        <f ca="1"/>
        <v>0</v>
      </c>
      <c r="AS26">
        <f ca="1"/>
        <v>0</v>
      </c>
      <c r="AT26">
        <f ca="1"/>
        <v>0</v>
      </c>
      <c r="AU26">
        <f ca="1"/>
        <v>0</v>
      </c>
      <c r="AV26">
        <f ca="1"/>
        <v>0</v>
      </c>
      <c r="AW26">
        <f ca="1"/>
        <v>0</v>
      </c>
      <c r="AX26">
        <f ca="1"/>
        <v>0</v>
      </c>
      <c r="AY26">
        <f ca="1"/>
        <v>0</v>
      </c>
      <c r="AZ26">
        <f ca="1"/>
        <v>0</v>
      </c>
      <c r="BA26">
        <f ca="1"/>
        <v>0</v>
      </c>
      <c r="BB26">
        <f ca="1"/>
        <v>0</v>
      </c>
      <c r="BC26">
        <f ca="1"/>
        <v>0</v>
      </c>
      <c r="BD26">
        <f ca="1"/>
        <v>0</v>
      </c>
      <c r="BE26">
        <f ca="1"/>
        <v>0</v>
      </c>
      <c r="BF26">
        <f ca="1"/>
        <v>0</v>
      </c>
      <c r="BG26">
        <f ca="1"/>
        <v>0</v>
      </c>
      <c r="BH26">
        <f ca="1"/>
        <v>0</v>
      </c>
      <c r="BI26">
        <f ca="1"/>
        <v>0</v>
      </c>
      <c r="BJ26">
        <f ca="1"/>
        <v>0</v>
      </c>
      <c r="BK26">
        <f ca="1"/>
        <v>0</v>
      </c>
      <c r="BL26">
        <f ca="1"/>
        <v>0</v>
      </c>
      <c r="BM26">
        <f ca="1"/>
        <v>0</v>
      </c>
      <c r="BN26">
        <f ca="1"/>
        <v>0</v>
      </c>
      <c r="BO26">
        <f ca="1"/>
        <v>0</v>
      </c>
      <c r="BP26">
        <f ca="1"/>
        <v>0</v>
      </c>
      <c r="BQ26">
        <f ca="1"/>
        <v>0</v>
      </c>
      <c r="BR26">
        <f ca="1"/>
        <v>0</v>
      </c>
      <c r="BS26">
        <f ca="1"/>
        <v>0</v>
      </c>
      <c r="BT26">
        <f ca="1"/>
        <v>0</v>
      </c>
      <c r="BU26">
        <f ca="1"/>
        <v>0</v>
      </c>
    </row>
    <row r="27" spans="2:73" x14ac:dyDescent="0.25">
      <c r="C27" cm="1">
        <f t="array" aca="1" ref="C27:BU27" ca="1">IFERROR(TRANSPOSE(INDEX(_xlfn._xlws.FILTER(INDIRECT("SubcategoriesTable[Subcategory name]"),INDIRECT("SubcategoriesTable[Category name]")=$B27),,)),"No subcategories")</f>
        <v>0</v>
      </c>
      <c r="D27">
        <f ca="1"/>
        <v>0</v>
      </c>
      <c r="E27">
        <f ca="1"/>
        <v>0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  <c r="S27">
        <f ca="1"/>
        <v>0</v>
      </c>
      <c r="T27">
        <f ca="1"/>
        <v>0</v>
      </c>
      <c r="U27">
        <f ca="1"/>
        <v>0</v>
      </c>
      <c r="V27">
        <f ca="1"/>
        <v>0</v>
      </c>
      <c r="W27">
        <f ca="1"/>
        <v>0</v>
      </c>
      <c r="X27">
        <f ca="1"/>
        <v>0</v>
      </c>
      <c r="Y27">
        <f ca="1"/>
        <v>0</v>
      </c>
      <c r="Z27">
        <f ca="1"/>
        <v>0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  <c r="AQ27">
        <f ca="1"/>
        <v>0</v>
      </c>
      <c r="AR27">
        <f ca="1"/>
        <v>0</v>
      </c>
      <c r="AS27">
        <f ca="1"/>
        <v>0</v>
      </c>
      <c r="AT27">
        <f ca="1"/>
        <v>0</v>
      </c>
      <c r="AU27">
        <f ca="1"/>
        <v>0</v>
      </c>
      <c r="AV27">
        <f ca="1"/>
        <v>0</v>
      </c>
      <c r="AW27">
        <f ca="1"/>
        <v>0</v>
      </c>
      <c r="AX27">
        <f ca="1"/>
        <v>0</v>
      </c>
      <c r="AY27">
        <f ca="1"/>
        <v>0</v>
      </c>
      <c r="AZ27">
        <f ca="1"/>
        <v>0</v>
      </c>
      <c r="BA27">
        <f ca="1"/>
        <v>0</v>
      </c>
      <c r="BB27">
        <f ca="1"/>
        <v>0</v>
      </c>
      <c r="BC27">
        <f ca="1"/>
        <v>0</v>
      </c>
      <c r="BD27">
        <f ca="1"/>
        <v>0</v>
      </c>
      <c r="BE27">
        <f ca="1"/>
        <v>0</v>
      </c>
      <c r="BF27">
        <f ca="1"/>
        <v>0</v>
      </c>
      <c r="BG27">
        <f ca="1"/>
        <v>0</v>
      </c>
      <c r="BH27">
        <f ca="1"/>
        <v>0</v>
      </c>
      <c r="BI27">
        <f ca="1"/>
        <v>0</v>
      </c>
      <c r="BJ27">
        <f ca="1"/>
        <v>0</v>
      </c>
      <c r="BK27">
        <f ca="1"/>
        <v>0</v>
      </c>
      <c r="BL27">
        <f ca="1"/>
        <v>0</v>
      </c>
      <c r="BM27">
        <f ca="1"/>
        <v>0</v>
      </c>
      <c r="BN27">
        <f ca="1"/>
        <v>0</v>
      </c>
      <c r="BO27">
        <f ca="1"/>
        <v>0</v>
      </c>
      <c r="BP27">
        <f ca="1"/>
        <v>0</v>
      </c>
      <c r="BQ27">
        <f ca="1"/>
        <v>0</v>
      </c>
      <c r="BR27">
        <f ca="1"/>
        <v>0</v>
      </c>
      <c r="BS27">
        <f ca="1"/>
        <v>0</v>
      </c>
      <c r="BT27">
        <f ca="1"/>
        <v>0</v>
      </c>
      <c r="BU27">
        <f ca="1"/>
        <v>0</v>
      </c>
    </row>
    <row r="28" spans="2:73" x14ac:dyDescent="0.25">
      <c r="C28" cm="1">
        <f t="array" aca="1" ref="C28:BU28" ca="1">IFERROR(TRANSPOSE(INDEX(_xlfn._xlws.FILTER(INDIRECT("SubcategoriesTable[Subcategory name]"),INDIRECT("SubcategoriesTable[Category name]")=$B28),,)),"No subcategories")</f>
        <v>0</v>
      </c>
      <c r="D28">
        <f ca="1"/>
        <v>0</v>
      </c>
      <c r="E28">
        <f ca="1"/>
        <v>0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  <c r="S28">
        <f ca="1"/>
        <v>0</v>
      </c>
      <c r="T28">
        <f ca="1"/>
        <v>0</v>
      </c>
      <c r="U28">
        <f ca="1"/>
        <v>0</v>
      </c>
      <c r="V28">
        <f ca="1"/>
        <v>0</v>
      </c>
      <c r="W28">
        <f ca="1"/>
        <v>0</v>
      </c>
      <c r="X28">
        <f ca="1"/>
        <v>0</v>
      </c>
      <c r="Y28">
        <f ca="1"/>
        <v>0</v>
      </c>
      <c r="Z28">
        <f ca="1"/>
        <v>0</v>
      </c>
      <c r="AA28">
        <f ca="1"/>
        <v>0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  <c r="AQ28">
        <f ca="1"/>
        <v>0</v>
      </c>
      <c r="AR28">
        <f ca="1"/>
        <v>0</v>
      </c>
      <c r="AS28">
        <f ca="1"/>
        <v>0</v>
      </c>
      <c r="AT28">
        <f ca="1"/>
        <v>0</v>
      </c>
      <c r="AU28">
        <f ca="1"/>
        <v>0</v>
      </c>
      <c r="AV28">
        <f ca="1"/>
        <v>0</v>
      </c>
      <c r="AW28">
        <f ca="1"/>
        <v>0</v>
      </c>
      <c r="AX28">
        <f ca="1"/>
        <v>0</v>
      </c>
      <c r="AY28">
        <f ca="1"/>
        <v>0</v>
      </c>
      <c r="AZ28">
        <f ca="1"/>
        <v>0</v>
      </c>
      <c r="BA28">
        <f ca="1"/>
        <v>0</v>
      </c>
      <c r="BB28">
        <f ca="1"/>
        <v>0</v>
      </c>
      <c r="BC28">
        <f ca="1"/>
        <v>0</v>
      </c>
      <c r="BD28">
        <f ca="1"/>
        <v>0</v>
      </c>
      <c r="BE28">
        <f ca="1"/>
        <v>0</v>
      </c>
      <c r="BF28">
        <f ca="1"/>
        <v>0</v>
      </c>
      <c r="BG28">
        <f ca="1"/>
        <v>0</v>
      </c>
      <c r="BH28">
        <f ca="1"/>
        <v>0</v>
      </c>
      <c r="BI28">
        <f ca="1"/>
        <v>0</v>
      </c>
      <c r="BJ28">
        <f ca="1"/>
        <v>0</v>
      </c>
      <c r="BK28">
        <f ca="1"/>
        <v>0</v>
      </c>
      <c r="BL28">
        <f ca="1"/>
        <v>0</v>
      </c>
      <c r="BM28">
        <f ca="1"/>
        <v>0</v>
      </c>
      <c r="BN28">
        <f ca="1"/>
        <v>0</v>
      </c>
      <c r="BO28">
        <f ca="1"/>
        <v>0</v>
      </c>
      <c r="BP28">
        <f ca="1"/>
        <v>0</v>
      </c>
      <c r="BQ28">
        <f ca="1"/>
        <v>0</v>
      </c>
      <c r="BR28">
        <f ca="1"/>
        <v>0</v>
      </c>
      <c r="BS28">
        <f ca="1"/>
        <v>0</v>
      </c>
      <c r="BT28">
        <f ca="1"/>
        <v>0</v>
      </c>
      <c r="BU28">
        <f ca="1"/>
        <v>0</v>
      </c>
    </row>
    <row r="29" spans="2:73" x14ac:dyDescent="0.25">
      <c r="C29" cm="1">
        <f t="array" aca="1" ref="C29:BU29" ca="1">IFERROR(TRANSPOSE(INDEX(_xlfn._xlws.FILTER(INDIRECT("SubcategoriesTable[Subcategory name]"),INDIRECT("SubcategoriesTable[Category name]")=$B29),,)),"No subcategories")</f>
        <v>0</v>
      </c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0</v>
      </c>
      <c r="R29">
        <f ca="1"/>
        <v>0</v>
      </c>
      <c r="S29">
        <f ca="1"/>
        <v>0</v>
      </c>
      <c r="T29">
        <f ca="1"/>
        <v>0</v>
      </c>
      <c r="U29">
        <f ca="1"/>
        <v>0</v>
      </c>
      <c r="V29">
        <f ca="1"/>
        <v>0</v>
      </c>
      <c r="W29">
        <f ca="1"/>
        <v>0</v>
      </c>
      <c r="X29">
        <f ca="1"/>
        <v>0</v>
      </c>
      <c r="Y29">
        <f ca="1"/>
        <v>0</v>
      </c>
      <c r="Z29">
        <f ca="1"/>
        <v>0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  <c r="AQ29">
        <f ca="1"/>
        <v>0</v>
      </c>
      <c r="AR29">
        <f ca="1"/>
        <v>0</v>
      </c>
      <c r="AS29">
        <f ca="1"/>
        <v>0</v>
      </c>
      <c r="AT29">
        <f ca="1"/>
        <v>0</v>
      </c>
      <c r="AU29">
        <f ca="1"/>
        <v>0</v>
      </c>
      <c r="AV29">
        <f ca="1"/>
        <v>0</v>
      </c>
      <c r="AW29">
        <f ca="1"/>
        <v>0</v>
      </c>
      <c r="AX29">
        <f ca="1"/>
        <v>0</v>
      </c>
      <c r="AY29">
        <f ca="1"/>
        <v>0</v>
      </c>
      <c r="AZ29">
        <f ca="1"/>
        <v>0</v>
      </c>
      <c r="BA29">
        <f ca="1"/>
        <v>0</v>
      </c>
      <c r="BB29">
        <f ca="1"/>
        <v>0</v>
      </c>
      <c r="BC29">
        <f ca="1"/>
        <v>0</v>
      </c>
      <c r="BD29">
        <f ca="1"/>
        <v>0</v>
      </c>
      <c r="BE29">
        <f ca="1"/>
        <v>0</v>
      </c>
      <c r="BF29">
        <f ca="1"/>
        <v>0</v>
      </c>
      <c r="BG29">
        <f ca="1"/>
        <v>0</v>
      </c>
      <c r="BH29">
        <f ca="1"/>
        <v>0</v>
      </c>
      <c r="BI29">
        <f ca="1"/>
        <v>0</v>
      </c>
      <c r="BJ29">
        <f ca="1"/>
        <v>0</v>
      </c>
      <c r="BK29">
        <f ca="1"/>
        <v>0</v>
      </c>
      <c r="BL29">
        <f ca="1"/>
        <v>0</v>
      </c>
      <c r="BM29">
        <f ca="1"/>
        <v>0</v>
      </c>
      <c r="BN29">
        <f ca="1"/>
        <v>0</v>
      </c>
      <c r="BO29">
        <f ca="1"/>
        <v>0</v>
      </c>
      <c r="BP29">
        <f ca="1"/>
        <v>0</v>
      </c>
      <c r="BQ29">
        <f ca="1"/>
        <v>0</v>
      </c>
      <c r="BR29">
        <f ca="1"/>
        <v>0</v>
      </c>
      <c r="BS29">
        <f ca="1"/>
        <v>0</v>
      </c>
      <c r="BT29">
        <f ca="1"/>
        <v>0</v>
      </c>
      <c r="BU29">
        <f ca="1"/>
        <v>0</v>
      </c>
    </row>
    <row r="30" spans="2:73" x14ac:dyDescent="0.25">
      <c r="C30" cm="1">
        <f t="array" aca="1" ref="C30:BU30" ca="1">IFERROR(TRANSPOSE(INDEX(_xlfn._xlws.FILTER(INDIRECT("SubcategoriesTable[Subcategory name]"),INDIRECT("SubcategoriesTable[Category name]")=$B30),,)),"No subcategories")</f>
        <v>0</v>
      </c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</v>
      </c>
      <c r="S30">
        <f ca="1"/>
        <v>0</v>
      </c>
      <c r="T30">
        <f ca="1"/>
        <v>0</v>
      </c>
      <c r="U30">
        <f ca="1"/>
        <v>0</v>
      </c>
      <c r="V30">
        <f ca="1"/>
        <v>0</v>
      </c>
      <c r="W30">
        <f ca="1"/>
        <v>0</v>
      </c>
      <c r="X30">
        <f ca="1"/>
        <v>0</v>
      </c>
      <c r="Y30">
        <f ca="1"/>
        <v>0</v>
      </c>
      <c r="Z30">
        <f ca="1"/>
        <v>0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  <c r="AQ30">
        <f ca="1"/>
        <v>0</v>
      </c>
      <c r="AR30">
        <f ca="1"/>
        <v>0</v>
      </c>
      <c r="AS30">
        <f ca="1"/>
        <v>0</v>
      </c>
      <c r="AT30">
        <f ca="1"/>
        <v>0</v>
      </c>
      <c r="AU30">
        <f ca="1"/>
        <v>0</v>
      </c>
      <c r="AV30">
        <f ca="1"/>
        <v>0</v>
      </c>
      <c r="AW30">
        <f ca="1"/>
        <v>0</v>
      </c>
      <c r="AX30">
        <f ca="1"/>
        <v>0</v>
      </c>
      <c r="AY30">
        <f ca="1"/>
        <v>0</v>
      </c>
      <c r="AZ30">
        <f ca="1"/>
        <v>0</v>
      </c>
      <c r="BA30">
        <f ca="1"/>
        <v>0</v>
      </c>
      <c r="BB30">
        <f ca="1"/>
        <v>0</v>
      </c>
      <c r="BC30">
        <f ca="1"/>
        <v>0</v>
      </c>
      <c r="BD30">
        <f ca="1"/>
        <v>0</v>
      </c>
      <c r="BE30">
        <f ca="1"/>
        <v>0</v>
      </c>
      <c r="BF30">
        <f ca="1"/>
        <v>0</v>
      </c>
      <c r="BG30">
        <f ca="1"/>
        <v>0</v>
      </c>
      <c r="BH30">
        <f ca="1"/>
        <v>0</v>
      </c>
      <c r="BI30">
        <f ca="1"/>
        <v>0</v>
      </c>
      <c r="BJ30">
        <f ca="1"/>
        <v>0</v>
      </c>
      <c r="BK30">
        <f ca="1"/>
        <v>0</v>
      </c>
      <c r="BL30">
        <f ca="1"/>
        <v>0</v>
      </c>
      <c r="BM30">
        <f ca="1"/>
        <v>0</v>
      </c>
      <c r="BN30">
        <f ca="1"/>
        <v>0</v>
      </c>
      <c r="BO30">
        <f ca="1"/>
        <v>0</v>
      </c>
      <c r="BP30">
        <f ca="1"/>
        <v>0</v>
      </c>
      <c r="BQ30">
        <f ca="1"/>
        <v>0</v>
      </c>
      <c r="BR30">
        <f ca="1"/>
        <v>0</v>
      </c>
      <c r="BS30">
        <f ca="1"/>
        <v>0</v>
      </c>
      <c r="BT30">
        <f ca="1"/>
        <v>0</v>
      </c>
      <c r="BU30">
        <f ca="1"/>
        <v>0</v>
      </c>
    </row>
    <row r="31" spans="2:73" x14ac:dyDescent="0.25">
      <c r="C31" cm="1">
        <f t="array" aca="1" ref="C31:BU31" ca="1">IFERROR(TRANSPOSE(INDEX(_xlfn._xlws.FILTER(INDIRECT("SubcategoriesTable[Subcategory name]"),INDIRECT("SubcategoriesTable[Category name]")=$B31),,)),"No subcategories")</f>
        <v>0</v>
      </c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</v>
      </c>
      <c r="S31">
        <f ca="1"/>
        <v>0</v>
      </c>
      <c r="T31">
        <f ca="1"/>
        <v>0</v>
      </c>
      <c r="U31">
        <f ca="1"/>
        <v>0</v>
      </c>
      <c r="V31">
        <f ca="1"/>
        <v>0</v>
      </c>
      <c r="W31">
        <f ca="1"/>
        <v>0</v>
      </c>
      <c r="X31">
        <f ca="1"/>
        <v>0</v>
      </c>
      <c r="Y31">
        <f ca="1"/>
        <v>0</v>
      </c>
      <c r="Z31">
        <f ca="1"/>
        <v>0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  <c r="AQ31">
        <f ca="1"/>
        <v>0</v>
      </c>
      <c r="AR31">
        <f ca="1"/>
        <v>0</v>
      </c>
      <c r="AS31">
        <f ca="1"/>
        <v>0</v>
      </c>
      <c r="AT31">
        <f ca="1"/>
        <v>0</v>
      </c>
      <c r="AU31">
        <f ca="1"/>
        <v>0</v>
      </c>
      <c r="AV31">
        <f ca="1"/>
        <v>0</v>
      </c>
      <c r="AW31">
        <f ca="1"/>
        <v>0</v>
      </c>
      <c r="AX31">
        <f ca="1"/>
        <v>0</v>
      </c>
      <c r="AY31">
        <f ca="1"/>
        <v>0</v>
      </c>
      <c r="AZ31">
        <f ca="1"/>
        <v>0</v>
      </c>
      <c r="BA31">
        <f ca="1"/>
        <v>0</v>
      </c>
      <c r="BB31">
        <f ca="1"/>
        <v>0</v>
      </c>
      <c r="BC31">
        <f ca="1"/>
        <v>0</v>
      </c>
      <c r="BD31">
        <f ca="1"/>
        <v>0</v>
      </c>
      <c r="BE31">
        <f ca="1"/>
        <v>0</v>
      </c>
      <c r="BF31">
        <f ca="1"/>
        <v>0</v>
      </c>
      <c r="BG31">
        <f ca="1"/>
        <v>0</v>
      </c>
      <c r="BH31">
        <f ca="1"/>
        <v>0</v>
      </c>
      <c r="BI31">
        <f ca="1"/>
        <v>0</v>
      </c>
      <c r="BJ31">
        <f ca="1"/>
        <v>0</v>
      </c>
      <c r="BK31">
        <f ca="1"/>
        <v>0</v>
      </c>
      <c r="BL31">
        <f ca="1"/>
        <v>0</v>
      </c>
      <c r="BM31">
        <f ca="1"/>
        <v>0</v>
      </c>
      <c r="BN31">
        <f ca="1"/>
        <v>0</v>
      </c>
      <c r="BO31">
        <f ca="1"/>
        <v>0</v>
      </c>
      <c r="BP31">
        <f ca="1"/>
        <v>0</v>
      </c>
      <c r="BQ31">
        <f ca="1"/>
        <v>0</v>
      </c>
      <c r="BR31">
        <f ca="1"/>
        <v>0</v>
      </c>
      <c r="BS31">
        <f ca="1"/>
        <v>0</v>
      </c>
      <c r="BT31">
        <f ca="1"/>
        <v>0</v>
      </c>
      <c r="BU31">
        <f ca="1"/>
        <v>0</v>
      </c>
    </row>
    <row r="32" spans="2:73" x14ac:dyDescent="0.25">
      <c r="C32" cm="1">
        <f t="array" aca="1" ref="C32:BU32" ca="1">IFERROR(TRANSPOSE(INDEX(_xlfn._xlws.FILTER(INDIRECT("SubcategoriesTable[Subcategory name]"),INDIRECT("SubcategoriesTable[Category name]")=$B32),,)),"No subcategories")</f>
        <v>0</v>
      </c>
      <c r="D32">
        <f ca="1"/>
        <v>0</v>
      </c>
      <c r="E32">
        <f ca="1"/>
        <v>0</v>
      </c>
      <c r="F32">
        <f ca="1"/>
        <v>0</v>
      </c>
      <c r="G32">
        <f ca="1"/>
        <v>0</v>
      </c>
      <c r="H32">
        <f ca="1"/>
        <v>0</v>
      </c>
      <c r="I32">
        <f ca="1"/>
        <v>0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0</v>
      </c>
      <c r="R32">
        <f ca="1"/>
        <v>0</v>
      </c>
      <c r="S32">
        <f ca="1"/>
        <v>0</v>
      </c>
      <c r="T32">
        <f ca="1"/>
        <v>0</v>
      </c>
      <c r="U32">
        <f ca="1"/>
        <v>0</v>
      </c>
      <c r="V32">
        <f ca="1"/>
        <v>0</v>
      </c>
      <c r="W32">
        <f ca="1"/>
        <v>0</v>
      </c>
      <c r="X32">
        <f ca="1"/>
        <v>0</v>
      </c>
      <c r="Y32">
        <f ca="1"/>
        <v>0</v>
      </c>
      <c r="Z32">
        <f ca="1"/>
        <v>0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  <c r="AQ32">
        <f ca="1"/>
        <v>0</v>
      </c>
      <c r="AR32">
        <f ca="1"/>
        <v>0</v>
      </c>
      <c r="AS32">
        <f ca="1"/>
        <v>0</v>
      </c>
      <c r="AT32">
        <f ca="1"/>
        <v>0</v>
      </c>
      <c r="AU32">
        <f ca="1"/>
        <v>0</v>
      </c>
      <c r="AV32">
        <f ca="1"/>
        <v>0</v>
      </c>
      <c r="AW32">
        <f ca="1"/>
        <v>0</v>
      </c>
      <c r="AX32">
        <f ca="1"/>
        <v>0</v>
      </c>
      <c r="AY32">
        <f ca="1"/>
        <v>0</v>
      </c>
      <c r="AZ32">
        <f ca="1"/>
        <v>0</v>
      </c>
      <c r="BA32">
        <f ca="1"/>
        <v>0</v>
      </c>
      <c r="BB32">
        <f ca="1"/>
        <v>0</v>
      </c>
      <c r="BC32">
        <f ca="1"/>
        <v>0</v>
      </c>
      <c r="BD32">
        <f ca="1"/>
        <v>0</v>
      </c>
      <c r="BE32">
        <f ca="1"/>
        <v>0</v>
      </c>
      <c r="BF32">
        <f ca="1"/>
        <v>0</v>
      </c>
      <c r="BG32">
        <f ca="1"/>
        <v>0</v>
      </c>
      <c r="BH32">
        <f ca="1"/>
        <v>0</v>
      </c>
      <c r="BI32">
        <f ca="1"/>
        <v>0</v>
      </c>
      <c r="BJ32">
        <f ca="1"/>
        <v>0</v>
      </c>
      <c r="BK32">
        <f ca="1"/>
        <v>0</v>
      </c>
      <c r="BL32">
        <f ca="1"/>
        <v>0</v>
      </c>
      <c r="BM32">
        <f ca="1"/>
        <v>0</v>
      </c>
      <c r="BN32">
        <f ca="1"/>
        <v>0</v>
      </c>
      <c r="BO32">
        <f ca="1"/>
        <v>0</v>
      </c>
      <c r="BP32">
        <f ca="1"/>
        <v>0</v>
      </c>
      <c r="BQ32">
        <f ca="1"/>
        <v>0</v>
      </c>
      <c r="BR32">
        <f ca="1"/>
        <v>0</v>
      </c>
      <c r="BS32">
        <f ca="1"/>
        <v>0</v>
      </c>
      <c r="BT32">
        <f ca="1"/>
        <v>0</v>
      </c>
      <c r="BU32">
        <f ca="1"/>
        <v>0</v>
      </c>
    </row>
    <row r="33" spans="3:73" x14ac:dyDescent="0.25">
      <c r="C33" cm="1">
        <f t="array" aca="1" ref="C33:BU33" ca="1">IFERROR(TRANSPOSE(INDEX(_xlfn._xlws.FILTER(INDIRECT("SubcategoriesTable[Subcategory name]"),INDIRECT("SubcategoriesTable[Category name]")=$B33),,)),"No subcategories")</f>
        <v>0</v>
      </c>
      <c r="D33">
        <f ca="1"/>
        <v>0</v>
      </c>
      <c r="E33">
        <f ca="1"/>
        <v>0</v>
      </c>
      <c r="F33">
        <f ca="1"/>
        <v>0</v>
      </c>
      <c r="G33">
        <f ca="1"/>
        <v>0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  <c r="R33">
        <f ca="1"/>
        <v>0</v>
      </c>
      <c r="S33">
        <f ca="1"/>
        <v>0</v>
      </c>
      <c r="T33">
        <f ca="1"/>
        <v>0</v>
      </c>
      <c r="U33">
        <f ca="1"/>
        <v>0</v>
      </c>
      <c r="V33">
        <f ca="1"/>
        <v>0</v>
      </c>
      <c r="W33">
        <f ca="1"/>
        <v>0</v>
      </c>
      <c r="X33">
        <f ca="1"/>
        <v>0</v>
      </c>
      <c r="Y33">
        <f ca="1"/>
        <v>0</v>
      </c>
      <c r="Z33">
        <f ca="1"/>
        <v>0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  <c r="AQ33">
        <f ca="1"/>
        <v>0</v>
      </c>
      <c r="AR33">
        <f ca="1"/>
        <v>0</v>
      </c>
      <c r="AS33">
        <f ca="1"/>
        <v>0</v>
      </c>
      <c r="AT33">
        <f ca="1"/>
        <v>0</v>
      </c>
      <c r="AU33">
        <f ca="1"/>
        <v>0</v>
      </c>
      <c r="AV33">
        <f ca="1"/>
        <v>0</v>
      </c>
      <c r="AW33">
        <f ca="1"/>
        <v>0</v>
      </c>
      <c r="AX33">
        <f ca="1"/>
        <v>0</v>
      </c>
      <c r="AY33">
        <f ca="1"/>
        <v>0</v>
      </c>
      <c r="AZ33">
        <f ca="1"/>
        <v>0</v>
      </c>
      <c r="BA33">
        <f ca="1"/>
        <v>0</v>
      </c>
      <c r="BB33">
        <f ca="1"/>
        <v>0</v>
      </c>
      <c r="BC33">
        <f ca="1"/>
        <v>0</v>
      </c>
      <c r="BD33">
        <f ca="1"/>
        <v>0</v>
      </c>
      <c r="BE33">
        <f ca="1"/>
        <v>0</v>
      </c>
      <c r="BF33">
        <f ca="1"/>
        <v>0</v>
      </c>
      <c r="BG33">
        <f ca="1"/>
        <v>0</v>
      </c>
      <c r="BH33">
        <f ca="1"/>
        <v>0</v>
      </c>
      <c r="BI33">
        <f ca="1"/>
        <v>0</v>
      </c>
      <c r="BJ33">
        <f ca="1"/>
        <v>0</v>
      </c>
      <c r="BK33">
        <f ca="1"/>
        <v>0</v>
      </c>
      <c r="BL33">
        <f ca="1"/>
        <v>0</v>
      </c>
      <c r="BM33">
        <f ca="1"/>
        <v>0</v>
      </c>
      <c r="BN33">
        <f ca="1"/>
        <v>0</v>
      </c>
      <c r="BO33">
        <f ca="1"/>
        <v>0</v>
      </c>
      <c r="BP33">
        <f ca="1"/>
        <v>0</v>
      </c>
      <c r="BQ33">
        <f ca="1"/>
        <v>0</v>
      </c>
      <c r="BR33">
        <f ca="1"/>
        <v>0</v>
      </c>
      <c r="BS33">
        <f ca="1"/>
        <v>0</v>
      </c>
      <c r="BT33">
        <f ca="1"/>
        <v>0</v>
      </c>
      <c r="BU33">
        <f ca="1"/>
        <v>0</v>
      </c>
    </row>
    <row r="34" spans="3:73" x14ac:dyDescent="0.25">
      <c r="C34" cm="1">
        <f t="array" aca="1" ref="C34:BU34" ca="1">IFERROR(TRANSPOSE(INDEX(_xlfn._xlws.FILTER(INDIRECT("SubcategoriesTable[Subcategory name]"),INDIRECT("SubcategoriesTable[Category name]")=$B34),,)),"No subcategories")</f>
        <v>0</v>
      </c>
      <c r="D34">
        <f ca="1"/>
        <v>0</v>
      </c>
      <c r="E34">
        <f ca="1"/>
        <v>0</v>
      </c>
      <c r="F34">
        <f ca="1"/>
        <v>0</v>
      </c>
      <c r="G34">
        <f ca="1"/>
        <v>0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  <c r="R34">
        <f ca="1"/>
        <v>0</v>
      </c>
      <c r="S34">
        <f ca="1"/>
        <v>0</v>
      </c>
      <c r="T34">
        <f ca="1"/>
        <v>0</v>
      </c>
      <c r="U34">
        <f ca="1"/>
        <v>0</v>
      </c>
      <c r="V34">
        <f ca="1"/>
        <v>0</v>
      </c>
      <c r="W34">
        <f ca="1"/>
        <v>0</v>
      </c>
      <c r="X34">
        <f ca="1"/>
        <v>0</v>
      </c>
      <c r="Y34">
        <f ca="1"/>
        <v>0</v>
      </c>
      <c r="Z34">
        <f ca="1"/>
        <v>0</v>
      </c>
      <c r="AA34">
        <f ca="1"/>
        <v>0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  <c r="AK34">
        <f ca="1"/>
        <v>0</v>
      </c>
      <c r="AL34">
        <f ca="1"/>
        <v>0</v>
      </c>
      <c r="AM34">
        <f ca="1"/>
        <v>0</v>
      </c>
      <c r="AN34">
        <f ca="1"/>
        <v>0</v>
      </c>
      <c r="AO34">
        <f ca="1"/>
        <v>0</v>
      </c>
      <c r="AP34">
        <f ca="1"/>
        <v>0</v>
      </c>
      <c r="AQ34">
        <f ca="1"/>
        <v>0</v>
      </c>
      <c r="AR34">
        <f ca="1"/>
        <v>0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>
        <f ca="1"/>
        <v>0</v>
      </c>
      <c r="AX34">
        <f ca="1"/>
        <v>0</v>
      </c>
      <c r="AY34">
        <f ca="1"/>
        <v>0</v>
      </c>
      <c r="AZ34">
        <f ca="1"/>
        <v>0</v>
      </c>
      <c r="BA34">
        <f ca="1"/>
        <v>0</v>
      </c>
      <c r="BB34">
        <f ca="1"/>
        <v>0</v>
      </c>
      <c r="BC34">
        <f ca="1"/>
        <v>0</v>
      </c>
      <c r="BD34">
        <f ca="1"/>
        <v>0</v>
      </c>
      <c r="BE34">
        <f ca="1"/>
        <v>0</v>
      </c>
      <c r="BF34">
        <f ca="1"/>
        <v>0</v>
      </c>
      <c r="BG34">
        <f ca="1"/>
        <v>0</v>
      </c>
      <c r="BH34">
        <f ca="1"/>
        <v>0</v>
      </c>
      <c r="BI34">
        <f ca="1"/>
        <v>0</v>
      </c>
      <c r="BJ34">
        <f ca="1"/>
        <v>0</v>
      </c>
      <c r="BK34">
        <f ca="1"/>
        <v>0</v>
      </c>
      <c r="BL34">
        <f ca="1"/>
        <v>0</v>
      </c>
      <c r="BM34">
        <f ca="1"/>
        <v>0</v>
      </c>
      <c r="BN34">
        <f ca="1"/>
        <v>0</v>
      </c>
      <c r="BO34">
        <f ca="1"/>
        <v>0</v>
      </c>
      <c r="BP34">
        <f ca="1"/>
        <v>0</v>
      </c>
      <c r="BQ34">
        <f ca="1"/>
        <v>0</v>
      </c>
      <c r="BR34">
        <f ca="1"/>
        <v>0</v>
      </c>
      <c r="BS34">
        <f ca="1"/>
        <v>0</v>
      </c>
      <c r="BT34">
        <f ca="1"/>
        <v>0</v>
      </c>
      <c r="BU34">
        <f ca="1"/>
        <v>0</v>
      </c>
    </row>
    <row r="35" spans="3:73" x14ac:dyDescent="0.25">
      <c r="C35" cm="1">
        <f t="array" aca="1" ref="C35:BU35" ca="1">IFERROR(TRANSPOSE(INDEX(_xlfn._xlws.FILTER(INDIRECT("SubcategoriesTable[Subcategory name]"),INDIRECT("SubcategoriesTable[Category name]")=$B35),,)),"No subcategories")</f>
        <v>0</v>
      </c>
      <c r="D35">
        <f ca="1"/>
        <v>0</v>
      </c>
      <c r="E35">
        <f ca="1"/>
        <v>0</v>
      </c>
      <c r="F35">
        <f ca="1"/>
        <v>0</v>
      </c>
      <c r="G35">
        <f ca="1"/>
        <v>0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</v>
      </c>
      <c r="S35">
        <f ca="1"/>
        <v>0</v>
      </c>
      <c r="T35">
        <f ca="1"/>
        <v>0</v>
      </c>
      <c r="U35">
        <f ca="1"/>
        <v>0</v>
      </c>
      <c r="V35">
        <f ca="1"/>
        <v>0</v>
      </c>
      <c r="W35">
        <f ca="1"/>
        <v>0</v>
      </c>
      <c r="X35">
        <f ca="1"/>
        <v>0</v>
      </c>
      <c r="Y35">
        <f ca="1"/>
        <v>0</v>
      </c>
      <c r="Z35">
        <f ca="1"/>
        <v>0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  <c r="AQ35">
        <f ca="1"/>
        <v>0</v>
      </c>
      <c r="AR35">
        <f ca="1"/>
        <v>0</v>
      </c>
      <c r="AS35">
        <f ca="1"/>
        <v>0</v>
      </c>
      <c r="AT35">
        <f ca="1"/>
        <v>0</v>
      </c>
      <c r="AU35">
        <f ca="1"/>
        <v>0</v>
      </c>
      <c r="AV35">
        <f ca="1"/>
        <v>0</v>
      </c>
      <c r="AW35">
        <f ca="1"/>
        <v>0</v>
      </c>
      <c r="AX35">
        <f ca="1"/>
        <v>0</v>
      </c>
      <c r="AY35">
        <f ca="1"/>
        <v>0</v>
      </c>
      <c r="AZ35">
        <f ca="1"/>
        <v>0</v>
      </c>
      <c r="BA35">
        <f ca="1"/>
        <v>0</v>
      </c>
      <c r="BB35">
        <f ca="1"/>
        <v>0</v>
      </c>
      <c r="BC35">
        <f ca="1"/>
        <v>0</v>
      </c>
      <c r="BD35">
        <f ca="1"/>
        <v>0</v>
      </c>
      <c r="BE35">
        <f ca="1"/>
        <v>0</v>
      </c>
      <c r="BF35">
        <f ca="1"/>
        <v>0</v>
      </c>
      <c r="BG35">
        <f ca="1"/>
        <v>0</v>
      </c>
      <c r="BH35">
        <f ca="1"/>
        <v>0</v>
      </c>
      <c r="BI35">
        <f ca="1"/>
        <v>0</v>
      </c>
      <c r="BJ35">
        <f ca="1"/>
        <v>0</v>
      </c>
      <c r="BK35">
        <f ca="1"/>
        <v>0</v>
      </c>
      <c r="BL35">
        <f ca="1"/>
        <v>0</v>
      </c>
      <c r="BM35">
        <f ca="1"/>
        <v>0</v>
      </c>
      <c r="BN35">
        <f ca="1"/>
        <v>0</v>
      </c>
      <c r="BO35">
        <f ca="1"/>
        <v>0</v>
      </c>
      <c r="BP35">
        <f ca="1"/>
        <v>0</v>
      </c>
      <c r="BQ35">
        <f ca="1"/>
        <v>0</v>
      </c>
      <c r="BR35">
        <f ca="1"/>
        <v>0</v>
      </c>
      <c r="BS35">
        <f ca="1"/>
        <v>0</v>
      </c>
      <c r="BT35">
        <f ca="1"/>
        <v>0</v>
      </c>
      <c r="BU35">
        <f ca="1"/>
        <v>0</v>
      </c>
    </row>
    <row r="36" spans="3:73" x14ac:dyDescent="0.25">
      <c r="C36" cm="1">
        <f t="array" aca="1" ref="C36:BU36" ca="1">IFERROR(TRANSPOSE(INDEX(_xlfn._xlws.FILTER(INDIRECT("SubcategoriesTable[Subcategory name]"),INDIRECT("SubcategoriesTable[Category name]")=$B36),,)),"No subcategories")</f>
        <v>0</v>
      </c>
      <c r="D36">
        <f ca="1"/>
        <v>0</v>
      </c>
      <c r="E36">
        <f ca="1"/>
        <v>0</v>
      </c>
      <c r="F36">
        <f ca="1"/>
        <v>0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  <c r="R36">
        <f ca="1"/>
        <v>0</v>
      </c>
      <c r="S36">
        <f ca="1"/>
        <v>0</v>
      </c>
      <c r="T36">
        <f ca="1"/>
        <v>0</v>
      </c>
      <c r="U36">
        <f ca="1"/>
        <v>0</v>
      </c>
      <c r="V36">
        <f ca="1"/>
        <v>0</v>
      </c>
      <c r="W36">
        <f ca="1"/>
        <v>0</v>
      </c>
      <c r="X36">
        <f ca="1"/>
        <v>0</v>
      </c>
      <c r="Y36">
        <f ca="1"/>
        <v>0</v>
      </c>
      <c r="Z36">
        <f ca="1"/>
        <v>0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  <c r="AQ36">
        <f ca="1"/>
        <v>0</v>
      </c>
      <c r="AR36">
        <f ca="1"/>
        <v>0</v>
      </c>
      <c r="AS36">
        <f ca="1"/>
        <v>0</v>
      </c>
      <c r="AT36">
        <f ca="1"/>
        <v>0</v>
      </c>
      <c r="AU36">
        <f ca="1"/>
        <v>0</v>
      </c>
      <c r="AV36">
        <f ca="1"/>
        <v>0</v>
      </c>
      <c r="AW36">
        <f ca="1"/>
        <v>0</v>
      </c>
      <c r="AX36">
        <f ca="1"/>
        <v>0</v>
      </c>
      <c r="AY36">
        <f ca="1"/>
        <v>0</v>
      </c>
      <c r="AZ36">
        <f ca="1"/>
        <v>0</v>
      </c>
      <c r="BA36">
        <f ca="1"/>
        <v>0</v>
      </c>
      <c r="BB36">
        <f ca="1"/>
        <v>0</v>
      </c>
      <c r="BC36">
        <f ca="1"/>
        <v>0</v>
      </c>
      <c r="BD36">
        <f ca="1"/>
        <v>0</v>
      </c>
      <c r="BE36">
        <f ca="1"/>
        <v>0</v>
      </c>
      <c r="BF36">
        <f ca="1"/>
        <v>0</v>
      </c>
      <c r="BG36">
        <f ca="1"/>
        <v>0</v>
      </c>
      <c r="BH36">
        <f ca="1"/>
        <v>0</v>
      </c>
      <c r="BI36">
        <f ca="1"/>
        <v>0</v>
      </c>
      <c r="BJ36">
        <f ca="1"/>
        <v>0</v>
      </c>
      <c r="BK36">
        <f ca="1"/>
        <v>0</v>
      </c>
      <c r="BL36">
        <f ca="1"/>
        <v>0</v>
      </c>
      <c r="BM36">
        <f ca="1"/>
        <v>0</v>
      </c>
      <c r="BN36">
        <f ca="1"/>
        <v>0</v>
      </c>
      <c r="BO36">
        <f ca="1"/>
        <v>0</v>
      </c>
      <c r="BP36">
        <f ca="1"/>
        <v>0</v>
      </c>
      <c r="BQ36">
        <f ca="1"/>
        <v>0</v>
      </c>
      <c r="BR36">
        <f ca="1"/>
        <v>0</v>
      </c>
      <c r="BS36">
        <f ca="1"/>
        <v>0</v>
      </c>
      <c r="BT36">
        <f ca="1"/>
        <v>0</v>
      </c>
      <c r="BU36">
        <f ca="1"/>
        <v>0</v>
      </c>
    </row>
    <row r="37" spans="3:73" x14ac:dyDescent="0.25">
      <c r="C37" cm="1">
        <f t="array" aca="1" ref="C37:BU37" ca="1">IFERROR(TRANSPOSE(INDEX(_xlfn._xlws.FILTER(INDIRECT("SubcategoriesTable[Subcategory name]"),INDIRECT("SubcategoriesTable[Category name]")=$B37),,)),"No subcategories")</f>
        <v>0</v>
      </c>
      <c r="D37">
        <f ca="1"/>
        <v>0</v>
      </c>
      <c r="E37">
        <f ca="1"/>
        <v>0</v>
      </c>
      <c r="F37">
        <f ca="1"/>
        <v>0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  <c r="R37">
        <f ca="1"/>
        <v>0</v>
      </c>
      <c r="S37">
        <f ca="1"/>
        <v>0</v>
      </c>
      <c r="T37">
        <f ca="1"/>
        <v>0</v>
      </c>
      <c r="U37">
        <f ca="1"/>
        <v>0</v>
      </c>
      <c r="V37">
        <f ca="1"/>
        <v>0</v>
      </c>
      <c r="W37">
        <f ca="1"/>
        <v>0</v>
      </c>
      <c r="X37">
        <f ca="1"/>
        <v>0</v>
      </c>
      <c r="Y37">
        <f ca="1"/>
        <v>0</v>
      </c>
      <c r="Z37">
        <f ca="1"/>
        <v>0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  <c r="AQ37">
        <f ca="1"/>
        <v>0</v>
      </c>
      <c r="AR37">
        <f ca="1"/>
        <v>0</v>
      </c>
      <c r="AS37">
        <f ca="1"/>
        <v>0</v>
      </c>
      <c r="AT37">
        <f ca="1"/>
        <v>0</v>
      </c>
      <c r="AU37">
        <f ca="1"/>
        <v>0</v>
      </c>
      <c r="AV37">
        <f ca="1"/>
        <v>0</v>
      </c>
      <c r="AW37">
        <f ca="1"/>
        <v>0</v>
      </c>
      <c r="AX37">
        <f ca="1"/>
        <v>0</v>
      </c>
      <c r="AY37">
        <f ca="1"/>
        <v>0</v>
      </c>
      <c r="AZ37">
        <f ca="1"/>
        <v>0</v>
      </c>
      <c r="BA37">
        <f ca="1"/>
        <v>0</v>
      </c>
      <c r="BB37">
        <f ca="1"/>
        <v>0</v>
      </c>
      <c r="BC37">
        <f ca="1"/>
        <v>0</v>
      </c>
      <c r="BD37">
        <f ca="1"/>
        <v>0</v>
      </c>
      <c r="BE37">
        <f ca="1"/>
        <v>0</v>
      </c>
      <c r="BF37">
        <f ca="1"/>
        <v>0</v>
      </c>
      <c r="BG37">
        <f ca="1"/>
        <v>0</v>
      </c>
      <c r="BH37">
        <f ca="1"/>
        <v>0</v>
      </c>
      <c r="BI37">
        <f ca="1"/>
        <v>0</v>
      </c>
      <c r="BJ37">
        <f ca="1"/>
        <v>0</v>
      </c>
      <c r="BK37">
        <f ca="1"/>
        <v>0</v>
      </c>
      <c r="BL37">
        <f ca="1"/>
        <v>0</v>
      </c>
      <c r="BM37">
        <f ca="1"/>
        <v>0</v>
      </c>
      <c r="BN37">
        <f ca="1"/>
        <v>0</v>
      </c>
      <c r="BO37">
        <f ca="1"/>
        <v>0</v>
      </c>
      <c r="BP37">
        <f ca="1"/>
        <v>0</v>
      </c>
      <c r="BQ37">
        <f ca="1"/>
        <v>0</v>
      </c>
      <c r="BR37">
        <f ca="1"/>
        <v>0</v>
      </c>
      <c r="BS37">
        <f ca="1"/>
        <v>0</v>
      </c>
      <c r="BT37">
        <f ca="1"/>
        <v>0</v>
      </c>
      <c r="BU37">
        <f ca="1"/>
        <v>0</v>
      </c>
    </row>
    <row r="38" spans="3:73" x14ac:dyDescent="0.25">
      <c r="C38" cm="1">
        <f t="array" aca="1" ref="C38:BU38" ca="1">IFERROR(TRANSPOSE(INDEX(_xlfn._xlws.FILTER(INDIRECT("SubcategoriesTable[Subcategory name]"),INDIRECT("SubcategoriesTable[Category name]")=$B38),,)),"No subcategories")</f>
        <v>0</v>
      </c>
      <c r="D38">
        <f ca="1"/>
        <v>0</v>
      </c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  <c r="S38">
        <f ca="1"/>
        <v>0</v>
      </c>
      <c r="T38">
        <f ca="1"/>
        <v>0</v>
      </c>
      <c r="U38">
        <f ca="1"/>
        <v>0</v>
      </c>
      <c r="V38">
        <f ca="1"/>
        <v>0</v>
      </c>
      <c r="W38">
        <f ca="1"/>
        <v>0</v>
      </c>
      <c r="X38">
        <f ca="1"/>
        <v>0</v>
      </c>
      <c r="Y38">
        <f ca="1"/>
        <v>0</v>
      </c>
      <c r="Z38">
        <f ca="1"/>
        <v>0</v>
      </c>
      <c r="AA38">
        <f ca="1"/>
        <v>0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>
        <f ca="1"/>
        <v>0</v>
      </c>
      <c r="AP38">
        <f ca="1"/>
        <v>0</v>
      </c>
      <c r="AQ38">
        <f ca="1"/>
        <v>0</v>
      </c>
      <c r="AR38">
        <f ca="1"/>
        <v>0</v>
      </c>
      <c r="AS38">
        <f ca="1"/>
        <v>0</v>
      </c>
      <c r="AT38">
        <f ca="1"/>
        <v>0</v>
      </c>
      <c r="AU38">
        <f ca="1"/>
        <v>0</v>
      </c>
      <c r="AV38">
        <f ca="1"/>
        <v>0</v>
      </c>
      <c r="AW38">
        <f ca="1"/>
        <v>0</v>
      </c>
      <c r="AX38">
        <f ca="1"/>
        <v>0</v>
      </c>
      <c r="AY38">
        <f ca="1"/>
        <v>0</v>
      </c>
      <c r="AZ38">
        <f ca="1"/>
        <v>0</v>
      </c>
      <c r="BA38">
        <f ca="1"/>
        <v>0</v>
      </c>
      <c r="BB38">
        <f ca="1"/>
        <v>0</v>
      </c>
      <c r="BC38">
        <f ca="1"/>
        <v>0</v>
      </c>
      <c r="BD38">
        <f ca="1"/>
        <v>0</v>
      </c>
      <c r="BE38">
        <f ca="1"/>
        <v>0</v>
      </c>
      <c r="BF38">
        <f ca="1"/>
        <v>0</v>
      </c>
      <c r="BG38">
        <f ca="1"/>
        <v>0</v>
      </c>
      <c r="BH38">
        <f ca="1"/>
        <v>0</v>
      </c>
      <c r="BI38">
        <f ca="1"/>
        <v>0</v>
      </c>
      <c r="BJ38">
        <f ca="1"/>
        <v>0</v>
      </c>
      <c r="BK38">
        <f ca="1"/>
        <v>0</v>
      </c>
      <c r="BL38">
        <f ca="1"/>
        <v>0</v>
      </c>
      <c r="BM38">
        <f ca="1"/>
        <v>0</v>
      </c>
      <c r="BN38">
        <f ca="1"/>
        <v>0</v>
      </c>
      <c r="BO38">
        <f ca="1"/>
        <v>0</v>
      </c>
      <c r="BP38">
        <f ca="1"/>
        <v>0</v>
      </c>
      <c r="BQ38">
        <f ca="1"/>
        <v>0</v>
      </c>
      <c r="BR38">
        <f ca="1"/>
        <v>0</v>
      </c>
      <c r="BS38">
        <f ca="1"/>
        <v>0</v>
      </c>
      <c r="BT38">
        <f ca="1"/>
        <v>0</v>
      </c>
      <c r="BU38">
        <f ca="1"/>
        <v>0</v>
      </c>
    </row>
    <row r="39" spans="3:73" x14ac:dyDescent="0.25">
      <c r="C39" cm="1">
        <f t="array" aca="1" ref="C39:BU39" ca="1">IFERROR(TRANSPOSE(INDEX(_xlfn._xlws.FILTER(INDIRECT("SubcategoriesTable[Subcategory name]"),INDIRECT("SubcategoriesTable[Category name]")=$B39),,)),"No subcategories")</f>
        <v>0</v>
      </c>
      <c r="D39">
        <f ca="1"/>
        <v>0</v>
      </c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  <c r="R39">
        <f ca="1"/>
        <v>0</v>
      </c>
      <c r="S39">
        <f ca="1"/>
        <v>0</v>
      </c>
      <c r="T39">
        <f ca="1"/>
        <v>0</v>
      </c>
      <c r="U39">
        <f ca="1"/>
        <v>0</v>
      </c>
      <c r="V39">
        <f ca="1"/>
        <v>0</v>
      </c>
      <c r="W39">
        <f ca="1"/>
        <v>0</v>
      </c>
      <c r="X39">
        <f ca="1"/>
        <v>0</v>
      </c>
      <c r="Y39">
        <f ca="1"/>
        <v>0</v>
      </c>
      <c r="Z39">
        <f ca="1"/>
        <v>0</v>
      </c>
      <c r="AA39">
        <f ca="1"/>
        <v>0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>
        <f ca="1"/>
        <v>0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  <c r="AQ39">
        <f ca="1"/>
        <v>0</v>
      </c>
      <c r="AR39">
        <f ca="1"/>
        <v>0</v>
      </c>
      <c r="AS39">
        <f ca="1"/>
        <v>0</v>
      </c>
      <c r="AT39">
        <f ca="1"/>
        <v>0</v>
      </c>
      <c r="AU39">
        <f ca="1"/>
        <v>0</v>
      </c>
      <c r="AV39">
        <f ca="1"/>
        <v>0</v>
      </c>
      <c r="AW39">
        <f ca="1"/>
        <v>0</v>
      </c>
      <c r="AX39">
        <f ca="1"/>
        <v>0</v>
      </c>
      <c r="AY39">
        <f ca="1"/>
        <v>0</v>
      </c>
      <c r="AZ39">
        <f ca="1"/>
        <v>0</v>
      </c>
      <c r="BA39">
        <f ca="1"/>
        <v>0</v>
      </c>
      <c r="BB39">
        <f ca="1"/>
        <v>0</v>
      </c>
      <c r="BC39">
        <f ca="1"/>
        <v>0</v>
      </c>
      <c r="BD39">
        <f ca="1"/>
        <v>0</v>
      </c>
      <c r="BE39">
        <f ca="1"/>
        <v>0</v>
      </c>
      <c r="BF39">
        <f ca="1"/>
        <v>0</v>
      </c>
      <c r="BG39">
        <f ca="1"/>
        <v>0</v>
      </c>
      <c r="BH39">
        <f ca="1"/>
        <v>0</v>
      </c>
      <c r="BI39">
        <f ca="1"/>
        <v>0</v>
      </c>
      <c r="BJ39">
        <f ca="1"/>
        <v>0</v>
      </c>
      <c r="BK39">
        <f ca="1"/>
        <v>0</v>
      </c>
      <c r="BL39">
        <f ca="1"/>
        <v>0</v>
      </c>
      <c r="BM39">
        <f ca="1"/>
        <v>0</v>
      </c>
      <c r="BN39">
        <f ca="1"/>
        <v>0</v>
      </c>
      <c r="BO39">
        <f ca="1"/>
        <v>0</v>
      </c>
      <c r="BP39">
        <f ca="1"/>
        <v>0</v>
      </c>
      <c r="BQ39">
        <f ca="1"/>
        <v>0</v>
      </c>
      <c r="BR39">
        <f ca="1"/>
        <v>0</v>
      </c>
      <c r="BS39">
        <f ca="1"/>
        <v>0</v>
      </c>
      <c r="BT39">
        <f ca="1"/>
        <v>0</v>
      </c>
      <c r="BU39">
        <f ca="1"/>
        <v>0</v>
      </c>
    </row>
    <row r="40" spans="3:73" x14ac:dyDescent="0.25">
      <c r="C40" cm="1">
        <f t="array" aca="1" ref="C40:BU40" ca="1">IFERROR(TRANSPOSE(INDEX(_xlfn._xlws.FILTER(INDIRECT("SubcategoriesTable[Subcategory name]"),INDIRECT("SubcategoriesTable[Category name]")=$B40),,)),"No subcategories")</f>
        <v>0</v>
      </c>
      <c r="D40">
        <f ca="1"/>
        <v>0</v>
      </c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M40">
        <f ca="1"/>
        <v>0</v>
      </c>
      <c r="N40">
        <f ca="1"/>
        <v>0</v>
      </c>
      <c r="O40">
        <f ca="1"/>
        <v>0</v>
      </c>
      <c r="P40">
        <f ca="1"/>
        <v>0</v>
      </c>
      <c r="Q40">
        <f ca="1"/>
        <v>0</v>
      </c>
      <c r="R40">
        <f ca="1"/>
        <v>0</v>
      </c>
      <c r="S40">
        <f ca="1"/>
        <v>0</v>
      </c>
      <c r="T40">
        <f ca="1"/>
        <v>0</v>
      </c>
      <c r="U40">
        <f ca="1"/>
        <v>0</v>
      </c>
      <c r="V40">
        <f ca="1"/>
        <v>0</v>
      </c>
      <c r="W40">
        <f ca="1"/>
        <v>0</v>
      </c>
      <c r="X40">
        <f ca="1"/>
        <v>0</v>
      </c>
      <c r="Y40">
        <f ca="1"/>
        <v>0</v>
      </c>
      <c r="Z40">
        <f ca="1"/>
        <v>0</v>
      </c>
      <c r="AA40">
        <f ca="1"/>
        <v>0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>
        <f ca="1"/>
        <v>0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  <c r="AQ40">
        <f ca="1"/>
        <v>0</v>
      </c>
      <c r="AR40">
        <f ca="1"/>
        <v>0</v>
      </c>
      <c r="AS40">
        <f ca="1"/>
        <v>0</v>
      </c>
      <c r="AT40">
        <f ca="1"/>
        <v>0</v>
      </c>
      <c r="AU40">
        <f ca="1"/>
        <v>0</v>
      </c>
      <c r="AV40">
        <f ca="1"/>
        <v>0</v>
      </c>
      <c r="AW40">
        <f ca="1"/>
        <v>0</v>
      </c>
      <c r="AX40">
        <f ca="1"/>
        <v>0</v>
      </c>
      <c r="AY40">
        <f ca="1"/>
        <v>0</v>
      </c>
      <c r="AZ40">
        <f ca="1"/>
        <v>0</v>
      </c>
      <c r="BA40">
        <f ca="1"/>
        <v>0</v>
      </c>
      <c r="BB40">
        <f ca="1"/>
        <v>0</v>
      </c>
      <c r="BC40">
        <f ca="1"/>
        <v>0</v>
      </c>
      <c r="BD40">
        <f ca="1"/>
        <v>0</v>
      </c>
      <c r="BE40">
        <f ca="1"/>
        <v>0</v>
      </c>
      <c r="BF40">
        <f ca="1"/>
        <v>0</v>
      </c>
      <c r="BG40">
        <f ca="1"/>
        <v>0</v>
      </c>
      <c r="BH40">
        <f ca="1"/>
        <v>0</v>
      </c>
      <c r="BI40">
        <f ca="1"/>
        <v>0</v>
      </c>
      <c r="BJ40">
        <f ca="1"/>
        <v>0</v>
      </c>
      <c r="BK40">
        <f ca="1"/>
        <v>0</v>
      </c>
      <c r="BL40">
        <f ca="1"/>
        <v>0</v>
      </c>
      <c r="BM40">
        <f ca="1"/>
        <v>0</v>
      </c>
      <c r="BN40">
        <f ca="1"/>
        <v>0</v>
      </c>
      <c r="BO40">
        <f ca="1"/>
        <v>0</v>
      </c>
      <c r="BP40">
        <f ca="1"/>
        <v>0</v>
      </c>
      <c r="BQ40">
        <f ca="1"/>
        <v>0</v>
      </c>
      <c r="BR40">
        <f ca="1"/>
        <v>0</v>
      </c>
      <c r="BS40">
        <f ca="1"/>
        <v>0</v>
      </c>
      <c r="BT40">
        <f ca="1"/>
        <v>0</v>
      </c>
      <c r="BU40">
        <f ca="1"/>
        <v>0</v>
      </c>
    </row>
    <row r="41" spans="3:73" x14ac:dyDescent="0.25">
      <c r="C41" cm="1">
        <f t="array" aca="1" ref="C41:BU41" ca="1">IFERROR(TRANSPOSE(INDEX(_xlfn._xlws.FILTER(INDIRECT("SubcategoriesTable[Subcategory name]"),INDIRECT("SubcategoriesTable[Category name]")=$B41),,)),"No subcategories")</f>
        <v>0</v>
      </c>
      <c r="D41">
        <f ca="1"/>
        <v>0</v>
      </c>
      <c r="E41">
        <f ca="1"/>
        <v>0</v>
      </c>
      <c r="F41">
        <f ca="1"/>
        <v>0</v>
      </c>
      <c r="G41">
        <f ca="1"/>
        <v>0</v>
      </c>
      <c r="H41">
        <f ca="1"/>
        <v>0</v>
      </c>
      <c r="I41">
        <f ca="1"/>
        <v>0</v>
      </c>
      <c r="J41">
        <f ca="1"/>
        <v>0</v>
      </c>
      <c r="K41">
        <f ca="1"/>
        <v>0</v>
      </c>
      <c r="L41">
        <f ca="1"/>
        <v>0</v>
      </c>
      <c r="M41">
        <f ca="1"/>
        <v>0</v>
      </c>
      <c r="N41">
        <f ca="1"/>
        <v>0</v>
      </c>
      <c r="O41">
        <f ca="1"/>
        <v>0</v>
      </c>
      <c r="P41">
        <f ca="1"/>
        <v>0</v>
      </c>
      <c r="Q41">
        <f ca="1"/>
        <v>0</v>
      </c>
      <c r="R41">
        <f ca="1"/>
        <v>0</v>
      </c>
      <c r="S41">
        <f ca="1"/>
        <v>0</v>
      </c>
      <c r="T41">
        <f ca="1"/>
        <v>0</v>
      </c>
      <c r="U41">
        <f ca="1"/>
        <v>0</v>
      </c>
      <c r="V41">
        <f ca="1"/>
        <v>0</v>
      </c>
      <c r="W41">
        <f ca="1"/>
        <v>0</v>
      </c>
      <c r="X41">
        <f ca="1"/>
        <v>0</v>
      </c>
      <c r="Y41">
        <f ca="1"/>
        <v>0</v>
      </c>
      <c r="Z41">
        <f ca="1"/>
        <v>0</v>
      </c>
      <c r="AA41">
        <f ca="1"/>
        <v>0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>
        <f ca="1"/>
        <v>0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  <c r="AQ41">
        <f ca="1"/>
        <v>0</v>
      </c>
      <c r="AR41">
        <f ca="1"/>
        <v>0</v>
      </c>
      <c r="AS41">
        <f ca="1"/>
        <v>0</v>
      </c>
      <c r="AT41">
        <f ca="1"/>
        <v>0</v>
      </c>
      <c r="AU41">
        <f ca="1"/>
        <v>0</v>
      </c>
      <c r="AV41">
        <f ca="1"/>
        <v>0</v>
      </c>
      <c r="AW41">
        <f ca="1"/>
        <v>0</v>
      </c>
      <c r="AX41">
        <f ca="1"/>
        <v>0</v>
      </c>
      <c r="AY41">
        <f ca="1"/>
        <v>0</v>
      </c>
      <c r="AZ41">
        <f ca="1"/>
        <v>0</v>
      </c>
      <c r="BA41">
        <f ca="1"/>
        <v>0</v>
      </c>
      <c r="BB41">
        <f ca="1"/>
        <v>0</v>
      </c>
      <c r="BC41">
        <f ca="1"/>
        <v>0</v>
      </c>
      <c r="BD41">
        <f ca="1"/>
        <v>0</v>
      </c>
      <c r="BE41">
        <f ca="1"/>
        <v>0</v>
      </c>
      <c r="BF41">
        <f ca="1"/>
        <v>0</v>
      </c>
      <c r="BG41">
        <f ca="1"/>
        <v>0</v>
      </c>
      <c r="BH41">
        <f ca="1"/>
        <v>0</v>
      </c>
      <c r="BI41">
        <f ca="1"/>
        <v>0</v>
      </c>
      <c r="BJ41">
        <f ca="1"/>
        <v>0</v>
      </c>
      <c r="BK41">
        <f ca="1"/>
        <v>0</v>
      </c>
      <c r="BL41">
        <f ca="1"/>
        <v>0</v>
      </c>
      <c r="BM41">
        <f ca="1"/>
        <v>0</v>
      </c>
      <c r="BN41">
        <f ca="1"/>
        <v>0</v>
      </c>
      <c r="BO41">
        <f ca="1"/>
        <v>0</v>
      </c>
      <c r="BP41">
        <f ca="1"/>
        <v>0</v>
      </c>
      <c r="BQ41">
        <f ca="1"/>
        <v>0</v>
      </c>
      <c r="BR41">
        <f ca="1"/>
        <v>0</v>
      </c>
      <c r="BS41">
        <f ca="1"/>
        <v>0</v>
      </c>
      <c r="BT41">
        <f ca="1"/>
        <v>0</v>
      </c>
      <c r="BU41">
        <f ca="1"/>
        <v>0</v>
      </c>
    </row>
    <row r="42" spans="3:73" x14ac:dyDescent="0.25">
      <c r="C42" cm="1">
        <f t="array" aca="1" ref="C42:BU42" ca="1">IFERROR(TRANSPOSE(INDEX(_xlfn._xlws.FILTER(INDIRECT("SubcategoriesTable[Subcategory name]"),INDIRECT("SubcategoriesTable[Category name]")=$B42),,)),"No subcategories")</f>
        <v>0</v>
      </c>
      <c r="D42">
        <f ca="1"/>
        <v>0</v>
      </c>
      <c r="E42">
        <f ca="1"/>
        <v>0</v>
      </c>
      <c r="F42">
        <f ca="1"/>
        <v>0</v>
      </c>
      <c r="G42">
        <f ca="1"/>
        <v>0</v>
      </c>
      <c r="H42">
        <f ca="1"/>
        <v>0</v>
      </c>
      <c r="I42">
        <f ca="1"/>
        <v>0</v>
      </c>
      <c r="J42">
        <f ca="1"/>
        <v>0</v>
      </c>
      <c r="K42">
        <f ca="1"/>
        <v>0</v>
      </c>
      <c r="L42">
        <f ca="1"/>
        <v>0</v>
      </c>
      <c r="M42">
        <f ca="1"/>
        <v>0</v>
      </c>
      <c r="N42">
        <f ca="1"/>
        <v>0</v>
      </c>
      <c r="O42">
        <f ca="1"/>
        <v>0</v>
      </c>
      <c r="P42">
        <f ca="1"/>
        <v>0</v>
      </c>
      <c r="Q42">
        <f ca="1"/>
        <v>0</v>
      </c>
      <c r="R42">
        <f ca="1"/>
        <v>0</v>
      </c>
      <c r="S42">
        <f ca="1"/>
        <v>0</v>
      </c>
      <c r="T42">
        <f ca="1"/>
        <v>0</v>
      </c>
      <c r="U42">
        <f ca="1"/>
        <v>0</v>
      </c>
      <c r="V42">
        <f ca="1"/>
        <v>0</v>
      </c>
      <c r="W42">
        <f ca="1"/>
        <v>0</v>
      </c>
      <c r="X42">
        <f ca="1"/>
        <v>0</v>
      </c>
      <c r="Y42">
        <f ca="1"/>
        <v>0</v>
      </c>
      <c r="Z42">
        <f ca="1"/>
        <v>0</v>
      </c>
      <c r="AA42">
        <f ca="1"/>
        <v>0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>
        <f ca="1"/>
        <v>0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  <c r="AQ42">
        <f ca="1"/>
        <v>0</v>
      </c>
      <c r="AR42">
        <f ca="1"/>
        <v>0</v>
      </c>
      <c r="AS42">
        <f ca="1"/>
        <v>0</v>
      </c>
      <c r="AT42">
        <f ca="1"/>
        <v>0</v>
      </c>
      <c r="AU42">
        <f ca="1"/>
        <v>0</v>
      </c>
      <c r="AV42">
        <f ca="1"/>
        <v>0</v>
      </c>
      <c r="AW42">
        <f ca="1"/>
        <v>0</v>
      </c>
      <c r="AX42">
        <f ca="1"/>
        <v>0</v>
      </c>
      <c r="AY42">
        <f ca="1"/>
        <v>0</v>
      </c>
      <c r="AZ42">
        <f ca="1"/>
        <v>0</v>
      </c>
      <c r="BA42">
        <f ca="1"/>
        <v>0</v>
      </c>
      <c r="BB42">
        <f ca="1"/>
        <v>0</v>
      </c>
      <c r="BC42">
        <f ca="1"/>
        <v>0</v>
      </c>
      <c r="BD42">
        <f ca="1"/>
        <v>0</v>
      </c>
      <c r="BE42">
        <f ca="1"/>
        <v>0</v>
      </c>
      <c r="BF42">
        <f ca="1"/>
        <v>0</v>
      </c>
      <c r="BG42">
        <f ca="1"/>
        <v>0</v>
      </c>
      <c r="BH42">
        <f ca="1"/>
        <v>0</v>
      </c>
      <c r="BI42">
        <f ca="1"/>
        <v>0</v>
      </c>
      <c r="BJ42">
        <f ca="1"/>
        <v>0</v>
      </c>
      <c r="BK42">
        <f ca="1"/>
        <v>0</v>
      </c>
      <c r="BL42">
        <f ca="1"/>
        <v>0</v>
      </c>
      <c r="BM42">
        <f ca="1"/>
        <v>0</v>
      </c>
      <c r="BN42">
        <f ca="1"/>
        <v>0</v>
      </c>
      <c r="BO42">
        <f ca="1"/>
        <v>0</v>
      </c>
      <c r="BP42">
        <f ca="1"/>
        <v>0</v>
      </c>
      <c r="BQ42">
        <f ca="1"/>
        <v>0</v>
      </c>
      <c r="BR42">
        <f ca="1"/>
        <v>0</v>
      </c>
      <c r="BS42">
        <f ca="1"/>
        <v>0</v>
      </c>
      <c r="BT42">
        <f ca="1"/>
        <v>0</v>
      </c>
      <c r="BU42">
        <f ca="1"/>
        <v>0</v>
      </c>
    </row>
    <row r="43" spans="3:73" x14ac:dyDescent="0.25">
      <c r="C43" cm="1">
        <f t="array" aca="1" ref="C43:BU43" ca="1">IFERROR(TRANSPOSE(INDEX(_xlfn._xlws.FILTER(INDIRECT("SubcategoriesTable[Subcategory name]"),INDIRECT("SubcategoriesTable[Category name]")=$B43),,)),"No subcategories")</f>
        <v>0</v>
      </c>
      <c r="D43">
        <f ca="1"/>
        <v>0</v>
      </c>
      <c r="E43">
        <f ca="1"/>
        <v>0</v>
      </c>
      <c r="F43">
        <f ca="1"/>
        <v>0</v>
      </c>
      <c r="G43">
        <f ca="1"/>
        <v>0</v>
      </c>
      <c r="H43">
        <f ca="1"/>
        <v>0</v>
      </c>
      <c r="I43">
        <f ca="1"/>
        <v>0</v>
      </c>
      <c r="J43">
        <f ca="1"/>
        <v>0</v>
      </c>
      <c r="K43">
        <f ca="1"/>
        <v>0</v>
      </c>
      <c r="L43">
        <f ca="1"/>
        <v>0</v>
      </c>
      <c r="M43">
        <f ca="1"/>
        <v>0</v>
      </c>
      <c r="N43">
        <f ca="1"/>
        <v>0</v>
      </c>
      <c r="O43">
        <f ca="1"/>
        <v>0</v>
      </c>
      <c r="P43">
        <f ca="1"/>
        <v>0</v>
      </c>
      <c r="Q43">
        <f ca="1"/>
        <v>0</v>
      </c>
      <c r="R43">
        <f ca="1"/>
        <v>0</v>
      </c>
      <c r="S43">
        <f ca="1"/>
        <v>0</v>
      </c>
      <c r="T43">
        <f ca="1"/>
        <v>0</v>
      </c>
      <c r="U43">
        <f ca="1"/>
        <v>0</v>
      </c>
      <c r="V43">
        <f ca="1"/>
        <v>0</v>
      </c>
      <c r="W43">
        <f ca="1"/>
        <v>0</v>
      </c>
      <c r="X43">
        <f ca="1"/>
        <v>0</v>
      </c>
      <c r="Y43">
        <f ca="1"/>
        <v>0</v>
      </c>
      <c r="Z43">
        <f ca="1"/>
        <v>0</v>
      </c>
      <c r="AA43">
        <f ca="1"/>
        <v>0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>
        <f ca="1"/>
        <v>0</v>
      </c>
      <c r="AP43">
        <f ca="1"/>
        <v>0</v>
      </c>
      <c r="AQ43">
        <f ca="1"/>
        <v>0</v>
      </c>
      <c r="AR43">
        <f ca="1"/>
        <v>0</v>
      </c>
      <c r="AS43">
        <f ca="1"/>
        <v>0</v>
      </c>
      <c r="AT43">
        <f ca="1"/>
        <v>0</v>
      </c>
      <c r="AU43">
        <f ca="1"/>
        <v>0</v>
      </c>
      <c r="AV43">
        <f ca="1"/>
        <v>0</v>
      </c>
      <c r="AW43">
        <f ca="1"/>
        <v>0</v>
      </c>
      <c r="AX43">
        <f ca="1"/>
        <v>0</v>
      </c>
      <c r="AY43">
        <f ca="1"/>
        <v>0</v>
      </c>
      <c r="AZ43">
        <f ca="1"/>
        <v>0</v>
      </c>
      <c r="BA43">
        <f ca="1"/>
        <v>0</v>
      </c>
      <c r="BB43">
        <f ca="1"/>
        <v>0</v>
      </c>
      <c r="BC43">
        <f ca="1"/>
        <v>0</v>
      </c>
      <c r="BD43">
        <f ca="1"/>
        <v>0</v>
      </c>
      <c r="BE43">
        <f ca="1"/>
        <v>0</v>
      </c>
      <c r="BF43">
        <f ca="1"/>
        <v>0</v>
      </c>
      <c r="BG43">
        <f ca="1"/>
        <v>0</v>
      </c>
      <c r="BH43">
        <f ca="1"/>
        <v>0</v>
      </c>
      <c r="BI43">
        <f ca="1"/>
        <v>0</v>
      </c>
      <c r="BJ43">
        <f ca="1"/>
        <v>0</v>
      </c>
      <c r="BK43">
        <f ca="1"/>
        <v>0</v>
      </c>
      <c r="BL43">
        <f ca="1"/>
        <v>0</v>
      </c>
      <c r="BM43">
        <f ca="1"/>
        <v>0</v>
      </c>
      <c r="BN43">
        <f ca="1"/>
        <v>0</v>
      </c>
      <c r="BO43">
        <f ca="1"/>
        <v>0</v>
      </c>
      <c r="BP43">
        <f ca="1"/>
        <v>0</v>
      </c>
      <c r="BQ43">
        <f ca="1"/>
        <v>0</v>
      </c>
      <c r="BR43">
        <f ca="1"/>
        <v>0</v>
      </c>
      <c r="BS43">
        <f ca="1"/>
        <v>0</v>
      </c>
      <c r="BT43">
        <f ca="1"/>
        <v>0</v>
      </c>
      <c r="BU43">
        <f ca="1"/>
        <v>0</v>
      </c>
    </row>
    <row r="44" spans="3:73" x14ac:dyDescent="0.25">
      <c r="C44" cm="1">
        <f t="array" aca="1" ref="C44:BU44" ca="1">IFERROR(TRANSPOSE(INDEX(_xlfn._xlws.FILTER(INDIRECT("SubcategoriesTable[Subcategory name]"),INDIRECT("SubcategoriesTable[Category name]")=$B44),,)),"No subcategories")</f>
        <v>0</v>
      </c>
      <c r="D44">
        <f ca="1"/>
        <v>0</v>
      </c>
      <c r="E44">
        <f ca="1"/>
        <v>0</v>
      </c>
      <c r="F44">
        <f ca="1"/>
        <v>0</v>
      </c>
      <c r="G44">
        <f ca="1"/>
        <v>0</v>
      </c>
      <c r="H44">
        <f ca="1"/>
        <v>0</v>
      </c>
      <c r="I44">
        <f ca="1"/>
        <v>0</v>
      </c>
      <c r="J44">
        <f ca="1"/>
        <v>0</v>
      </c>
      <c r="K44">
        <f ca="1"/>
        <v>0</v>
      </c>
      <c r="L44">
        <f ca="1"/>
        <v>0</v>
      </c>
      <c r="M44">
        <f ca="1"/>
        <v>0</v>
      </c>
      <c r="N44">
        <f ca="1"/>
        <v>0</v>
      </c>
      <c r="O44">
        <f ca="1"/>
        <v>0</v>
      </c>
      <c r="P44">
        <f ca="1"/>
        <v>0</v>
      </c>
      <c r="Q44">
        <f ca="1"/>
        <v>0</v>
      </c>
      <c r="R44">
        <f ca="1"/>
        <v>0</v>
      </c>
      <c r="S44">
        <f ca="1"/>
        <v>0</v>
      </c>
      <c r="T44">
        <f ca="1"/>
        <v>0</v>
      </c>
      <c r="U44">
        <f ca="1"/>
        <v>0</v>
      </c>
      <c r="V44">
        <f ca="1"/>
        <v>0</v>
      </c>
      <c r="W44">
        <f ca="1"/>
        <v>0</v>
      </c>
      <c r="X44">
        <f ca="1"/>
        <v>0</v>
      </c>
      <c r="Y44">
        <f ca="1"/>
        <v>0</v>
      </c>
      <c r="Z44">
        <f ca="1"/>
        <v>0</v>
      </c>
      <c r="AA44">
        <f ca="1"/>
        <v>0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  <c r="AQ44">
        <f ca="1"/>
        <v>0</v>
      </c>
      <c r="AR44">
        <f ca="1"/>
        <v>0</v>
      </c>
      <c r="AS44">
        <f ca="1"/>
        <v>0</v>
      </c>
      <c r="AT44">
        <f ca="1"/>
        <v>0</v>
      </c>
      <c r="AU44">
        <f ca="1"/>
        <v>0</v>
      </c>
      <c r="AV44">
        <f ca="1"/>
        <v>0</v>
      </c>
      <c r="AW44">
        <f ca="1"/>
        <v>0</v>
      </c>
      <c r="AX44">
        <f ca="1"/>
        <v>0</v>
      </c>
      <c r="AY44">
        <f ca="1"/>
        <v>0</v>
      </c>
      <c r="AZ44">
        <f ca="1"/>
        <v>0</v>
      </c>
      <c r="BA44">
        <f ca="1"/>
        <v>0</v>
      </c>
      <c r="BB44">
        <f ca="1"/>
        <v>0</v>
      </c>
      <c r="BC44">
        <f ca="1"/>
        <v>0</v>
      </c>
      <c r="BD44">
        <f ca="1"/>
        <v>0</v>
      </c>
      <c r="BE44">
        <f ca="1"/>
        <v>0</v>
      </c>
      <c r="BF44">
        <f ca="1"/>
        <v>0</v>
      </c>
      <c r="BG44">
        <f ca="1"/>
        <v>0</v>
      </c>
      <c r="BH44">
        <f ca="1"/>
        <v>0</v>
      </c>
      <c r="BI44">
        <f ca="1"/>
        <v>0</v>
      </c>
      <c r="BJ44">
        <f ca="1"/>
        <v>0</v>
      </c>
      <c r="BK44">
        <f ca="1"/>
        <v>0</v>
      </c>
      <c r="BL44">
        <f ca="1"/>
        <v>0</v>
      </c>
      <c r="BM44">
        <f ca="1"/>
        <v>0</v>
      </c>
      <c r="BN44">
        <f ca="1"/>
        <v>0</v>
      </c>
      <c r="BO44">
        <f ca="1"/>
        <v>0</v>
      </c>
      <c r="BP44">
        <f ca="1"/>
        <v>0</v>
      </c>
      <c r="BQ44">
        <f ca="1"/>
        <v>0</v>
      </c>
      <c r="BR44">
        <f ca="1"/>
        <v>0</v>
      </c>
      <c r="BS44">
        <f ca="1"/>
        <v>0</v>
      </c>
      <c r="BT44">
        <f ca="1"/>
        <v>0</v>
      </c>
      <c r="BU44">
        <f ca="1"/>
        <v>0</v>
      </c>
    </row>
    <row r="45" spans="3:73" x14ac:dyDescent="0.25">
      <c r="C45" cm="1">
        <f t="array" aca="1" ref="C45:BU45" ca="1">IFERROR(TRANSPOSE(INDEX(_xlfn._xlws.FILTER(INDIRECT("SubcategoriesTable[Subcategory name]"),INDIRECT("SubcategoriesTable[Category name]")=$B45),,)),"No subcategories")</f>
        <v>0</v>
      </c>
      <c r="D45">
        <f ca="1"/>
        <v>0</v>
      </c>
      <c r="E45">
        <f ca="1"/>
        <v>0</v>
      </c>
      <c r="F45">
        <f ca="1"/>
        <v>0</v>
      </c>
      <c r="G45">
        <f ca="1"/>
        <v>0</v>
      </c>
      <c r="H45">
        <f ca="1"/>
        <v>0</v>
      </c>
      <c r="I45">
        <f ca="1"/>
        <v>0</v>
      </c>
      <c r="J45">
        <f ca="1"/>
        <v>0</v>
      </c>
      <c r="K45">
        <f ca="1"/>
        <v>0</v>
      </c>
      <c r="L45">
        <f ca="1"/>
        <v>0</v>
      </c>
      <c r="M45">
        <f ca="1"/>
        <v>0</v>
      </c>
      <c r="N45">
        <f ca="1"/>
        <v>0</v>
      </c>
      <c r="O45">
        <f ca="1"/>
        <v>0</v>
      </c>
      <c r="P45">
        <f ca="1"/>
        <v>0</v>
      </c>
      <c r="Q45">
        <f ca="1"/>
        <v>0</v>
      </c>
      <c r="R45">
        <f ca="1"/>
        <v>0</v>
      </c>
      <c r="S45">
        <f ca="1"/>
        <v>0</v>
      </c>
      <c r="T45">
        <f ca="1"/>
        <v>0</v>
      </c>
      <c r="U45">
        <f ca="1"/>
        <v>0</v>
      </c>
      <c r="V45">
        <f ca="1"/>
        <v>0</v>
      </c>
      <c r="W45">
        <f ca="1"/>
        <v>0</v>
      </c>
      <c r="X45">
        <f ca="1"/>
        <v>0</v>
      </c>
      <c r="Y45">
        <f ca="1"/>
        <v>0</v>
      </c>
      <c r="Z45">
        <f ca="1"/>
        <v>0</v>
      </c>
      <c r="AA45">
        <f ca="1"/>
        <v>0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>
        <f ca="1"/>
        <v>0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  <c r="AQ45">
        <f ca="1"/>
        <v>0</v>
      </c>
      <c r="AR45">
        <f ca="1"/>
        <v>0</v>
      </c>
      <c r="AS45">
        <f ca="1"/>
        <v>0</v>
      </c>
      <c r="AT45">
        <f ca="1"/>
        <v>0</v>
      </c>
      <c r="AU45">
        <f ca="1"/>
        <v>0</v>
      </c>
      <c r="AV45">
        <f ca="1"/>
        <v>0</v>
      </c>
      <c r="AW45">
        <f ca="1"/>
        <v>0</v>
      </c>
      <c r="AX45">
        <f ca="1"/>
        <v>0</v>
      </c>
      <c r="AY45">
        <f ca="1"/>
        <v>0</v>
      </c>
      <c r="AZ45">
        <f ca="1"/>
        <v>0</v>
      </c>
      <c r="BA45">
        <f ca="1"/>
        <v>0</v>
      </c>
      <c r="BB45">
        <f ca="1"/>
        <v>0</v>
      </c>
      <c r="BC45">
        <f ca="1"/>
        <v>0</v>
      </c>
      <c r="BD45">
        <f ca="1"/>
        <v>0</v>
      </c>
      <c r="BE45">
        <f ca="1"/>
        <v>0</v>
      </c>
      <c r="BF45">
        <f ca="1"/>
        <v>0</v>
      </c>
      <c r="BG45">
        <f ca="1"/>
        <v>0</v>
      </c>
      <c r="BH45">
        <f ca="1"/>
        <v>0</v>
      </c>
      <c r="BI45">
        <f ca="1"/>
        <v>0</v>
      </c>
      <c r="BJ45">
        <f ca="1"/>
        <v>0</v>
      </c>
      <c r="BK45">
        <f ca="1"/>
        <v>0</v>
      </c>
      <c r="BL45">
        <f ca="1"/>
        <v>0</v>
      </c>
      <c r="BM45">
        <f ca="1"/>
        <v>0</v>
      </c>
      <c r="BN45">
        <f ca="1"/>
        <v>0</v>
      </c>
      <c r="BO45">
        <f ca="1"/>
        <v>0</v>
      </c>
      <c r="BP45">
        <f ca="1"/>
        <v>0</v>
      </c>
      <c r="BQ45">
        <f ca="1"/>
        <v>0</v>
      </c>
      <c r="BR45">
        <f ca="1"/>
        <v>0</v>
      </c>
      <c r="BS45">
        <f ca="1"/>
        <v>0</v>
      </c>
      <c r="BT45">
        <f ca="1"/>
        <v>0</v>
      </c>
      <c r="BU45">
        <f ca="1"/>
        <v>0</v>
      </c>
    </row>
    <row r="46" spans="3:73" x14ac:dyDescent="0.25">
      <c r="C46" cm="1">
        <f t="array" aca="1" ref="C46:BU46" ca="1">IFERROR(TRANSPOSE(INDEX(_xlfn._xlws.FILTER(INDIRECT("SubcategoriesTable[Subcategory name]"),INDIRECT("SubcategoriesTable[Category name]")=$B46),,)),"No subcategories")</f>
        <v>0</v>
      </c>
      <c r="D46">
        <f ca="1"/>
        <v>0</v>
      </c>
      <c r="E46">
        <f ca="1"/>
        <v>0</v>
      </c>
      <c r="F46">
        <f ca="1"/>
        <v>0</v>
      </c>
      <c r="G46">
        <f ca="1"/>
        <v>0</v>
      </c>
      <c r="H46">
        <f ca="1"/>
        <v>0</v>
      </c>
      <c r="I46">
        <f ca="1"/>
        <v>0</v>
      </c>
      <c r="J46">
        <f ca="1"/>
        <v>0</v>
      </c>
      <c r="K46">
        <f ca="1"/>
        <v>0</v>
      </c>
      <c r="L46">
        <f ca="1"/>
        <v>0</v>
      </c>
      <c r="M46">
        <f ca="1"/>
        <v>0</v>
      </c>
      <c r="N46">
        <f ca="1"/>
        <v>0</v>
      </c>
      <c r="O46">
        <f ca="1"/>
        <v>0</v>
      </c>
      <c r="P46">
        <f ca="1"/>
        <v>0</v>
      </c>
      <c r="Q46">
        <f ca="1"/>
        <v>0</v>
      </c>
      <c r="R46">
        <f ca="1"/>
        <v>0</v>
      </c>
      <c r="S46">
        <f ca="1"/>
        <v>0</v>
      </c>
      <c r="T46">
        <f ca="1"/>
        <v>0</v>
      </c>
      <c r="U46">
        <f ca="1"/>
        <v>0</v>
      </c>
      <c r="V46">
        <f ca="1"/>
        <v>0</v>
      </c>
      <c r="W46">
        <f ca="1"/>
        <v>0</v>
      </c>
      <c r="X46">
        <f ca="1"/>
        <v>0</v>
      </c>
      <c r="Y46">
        <f ca="1"/>
        <v>0</v>
      </c>
      <c r="Z46">
        <f ca="1"/>
        <v>0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  <c r="AQ46">
        <f ca="1"/>
        <v>0</v>
      </c>
      <c r="AR46">
        <f ca="1"/>
        <v>0</v>
      </c>
      <c r="AS46">
        <f ca="1"/>
        <v>0</v>
      </c>
      <c r="AT46">
        <f ca="1"/>
        <v>0</v>
      </c>
      <c r="AU46">
        <f ca="1"/>
        <v>0</v>
      </c>
      <c r="AV46">
        <f ca="1"/>
        <v>0</v>
      </c>
      <c r="AW46">
        <f ca="1"/>
        <v>0</v>
      </c>
      <c r="AX46">
        <f ca="1"/>
        <v>0</v>
      </c>
      <c r="AY46">
        <f ca="1"/>
        <v>0</v>
      </c>
      <c r="AZ46">
        <f ca="1"/>
        <v>0</v>
      </c>
      <c r="BA46">
        <f ca="1"/>
        <v>0</v>
      </c>
      <c r="BB46">
        <f ca="1"/>
        <v>0</v>
      </c>
      <c r="BC46">
        <f ca="1"/>
        <v>0</v>
      </c>
      <c r="BD46">
        <f ca="1"/>
        <v>0</v>
      </c>
      <c r="BE46">
        <f ca="1"/>
        <v>0</v>
      </c>
      <c r="BF46">
        <f ca="1"/>
        <v>0</v>
      </c>
      <c r="BG46">
        <f ca="1"/>
        <v>0</v>
      </c>
      <c r="BH46">
        <f ca="1"/>
        <v>0</v>
      </c>
      <c r="BI46">
        <f ca="1"/>
        <v>0</v>
      </c>
      <c r="BJ46">
        <f ca="1"/>
        <v>0</v>
      </c>
      <c r="BK46">
        <f ca="1"/>
        <v>0</v>
      </c>
      <c r="BL46">
        <f ca="1"/>
        <v>0</v>
      </c>
      <c r="BM46">
        <f ca="1"/>
        <v>0</v>
      </c>
      <c r="BN46">
        <f ca="1"/>
        <v>0</v>
      </c>
      <c r="BO46">
        <f ca="1"/>
        <v>0</v>
      </c>
      <c r="BP46">
        <f ca="1"/>
        <v>0</v>
      </c>
      <c r="BQ46">
        <f ca="1"/>
        <v>0</v>
      </c>
      <c r="BR46">
        <f ca="1"/>
        <v>0</v>
      </c>
      <c r="BS46">
        <f ca="1"/>
        <v>0</v>
      </c>
      <c r="BT46">
        <f ca="1"/>
        <v>0</v>
      </c>
      <c r="BU46">
        <f ca="1"/>
        <v>0</v>
      </c>
    </row>
    <row r="47" spans="3:73" x14ac:dyDescent="0.25">
      <c r="C47" cm="1">
        <f t="array" aca="1" ref="C47:BU47" ca="1">IFERROR(TRANSPOSE(INDEX(_xlfn._xlws.FILTER(INDIRECT("SubcategoriesTable[Subcategory name]"),INDIRECT("SubcategoriesTable[Category name]")=$B47),,)),"No subcategories")</f>
        <v>0</v>
      </c>
      <c r="D47">
        <f ca="1"/>
        <v>0</v>
      </c>
      <c r="E47">
        <f ca="1"/>
        <v>0</v>
      </c>
      <c r="F47">
        <f ca="1"/>
        <v>0</v>
      </c>
      <c r="G47">
        <f ca="1"/>
        <v>0</v>
      </c>
      <c r="H47">
        <f ca="1"/>
        <v>0</v>
      </c>
      <c r="I47">
        <f ca="1"/>
        <v>0</v>
      </c>
      <c r="J47">
        <f ca="1"/>
        <v>0</v>
      </c>
      <c r="K47">
        <f ca="1"/>
        <v>0</v>
      </c>
      <c r="L47">
        <f ca="1"/>
        <v>0</v>
      </c>
      <c r="M47">
        <f ca="1"/>
        <v>0</v>
      </c>
      <c r="N47">
        <f ca="1"/>
        <v>0</v>
      </c>
      <c r="O47">
        <f ca="1"/>
        <v>0</v>
      </c>
      <c r="P47">
        <f ca="1"/>
        <v>0</v>
      </c>
      <c r="Q47">
        <f ca="1"/>
        <v>0</v>
      </c>
      <c r="R47">
        <f ca="1"/>
        <v>0</v>
      </c>
      <c r="S47">
        <f ca="1"/>
        <v>0</v>
      </c>
      <c r="T47">
        <f ca="1"/>
        <v>0</v>
      </c>
      <c r="U47">
        <f ca="1"/>
        <v>0</v>
      </c>
      <c r="V47">
        <f ca="1"/>
        <v>0</v>
      </c>
      <c r="W47">
        <f ca="1"/>
        <v>0</v>
      </c>
      <c r="X47">
        <f ca="1"/>
        <v>0</v>
      </c>
      <c r="Y47">
        <f ca="1"/>
        <v>0</v>
      </c>
      <c r="Z47">
        <f ca="1"/>
        <v>0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  <c r="AQ47">
        <f ca="1"/>
        <v>0</v>
      </c>
      <c r="AR47">
        <f ca="1"/>
        <v>0</v>
      </c>
      <c r="AS47">
        <f ca="1"/>
        <v>0</v>
      </c>
      <c r="AT47">
        <f ca="1"/>
        <v>0</v>
      </c>
      <c r="AU47">
        <f ca="1"/>
        <v>0</v>
      </c>
      <c r="AV47">
        <f ca="1"/>
        <v>0</v>
      </c>
      <c r="AW47">
        <f ca="1"/>
        <v>0</v>
      </c>
      <c r="AX47">
        <f ca="1"/>
        <v>0</v>
      </c>
      <c r="AY47">
        <f ca="1"/>
        <v>0</v>
      </c>
      <c r="AZ47">
        <f ca="1"/>
        <v>0</v>
      </c>
      <c r="BA47">
        <f ca="1"/>
        <v>0</v>
      </c>
      <c r="BB47">
        <f ca="1"/>
        <v>0</v>
      </c>
      <c r="BC47">
        <f ca="1"/>
        <v>0</v>
      </c>
      <c r="BD47">
        <f ca="1"/>
        <v>0</v>
      </c>
      <c r="BE47">
        <f ca="1"/>
        <v>0</v>
      </c>
      <c r="BF47">
        <f ca="1"/>
        <v>0</v>
      </c>
      <c r="BG47">
        <f ca="1"/>
        <v>0</v>
      </c>
      <c r="BH47">
        <f ca="1"/>
        <v>0</v>
      </c>
      <c r="BI47">
        <f ca="1"/>
        <v>0</v>
      </c>
      <c r="BJ47">
        <f ca="1"/>
        <v>0</v>
      </c>
      <c r="BK47">
        <f ca="1"/>
        <v>0</v>
      </c>
      <c r="BL47">
        <f ca="1"/>
        <v>0</v>
      </c>
      <c r="BM47">
        <f ca="1"/>
        <v>0</v>
      </c>
      <c r="BN47">
        <f ca="1"/>
        <v>0</v>
      </c>
      <c r="BO47">
        <f ca="1"/>
        <v>0</v>
      </c>
      <c r="BP47">
        <f ca="1"/>
        <v>0</v>
      </c>
      <c r="BQ47">
        <f ca="1"/>
        <v>0</v>
      </c>
      <c r="BR47">
        <f ca="1"/>
        <v>0</v>
      </c>
      <c r="BS47">
        <f ca="1"/>
        <v>0</v>
      </c>
      <c r="BT47">
        <f ca="1"/>
        <v>0</v>
      </c>
      <c r="BU47">
        <f ca="1"/>
        <v>0</v>
      </c>
    </row>
    <row r="48" spans="3:73" x14ac:dyDescent="0.25">
      <c r="C48" cm="1">
        <f t="array" aca="1" ref="C48:BU48" ca="1">IFERROR(TRANSPOSE(INDEX(_xlfn._xlws.FILTER(INDIRECT("SubcategoriesTable[Subcategory name]"),INDIRECT("SubcategoriesTable[Category name]")=$B48),,)),"No subcategories")</f>
        <v>0</v>
      </c>
      <c r="D48">
        <f ca="1"/>
        <v>0</v>
      </c>
      <c r="E48">
        <f ca="1"/>
        <v>0</v>
      </c>
      <c r="F48">
        <f ca="1"/>
        <v>0</v>
      </c>
      <c r="G48">
        <f ca="1"/>
        <v>0</v>
      </c>
      <c r="H48">
        <f ca="1"/>
        <v>0</v>
      </c>
      <c r="I48">
        <f ca="1"/>
        <v>0</v>
      </c>
      <c r="J48">
        <f ca="1"/>
        <v>0</v>
      </c>
      <c r="K48">
        <f ca="1"/>
        <v>0</v>
      </c>
      <c r="L48">
        <f ca="1"/>
        <v>0</v>
      </c>
      <c r="M48">
        <f ca="1"/>
        <v>0</v>
      </c>
      <c r="N48">
        <f ca="1"/>
        <v>0</v>
      </c>
      <c r="O48">
        <f ca="1"/>
        <v>0</v>
      </c>
      <c r="P48">
        <f ca="1"/>
        <v>0</v>
      </c>
      <c r="Q48">
        <f ca="1"/>
        <v>0</v>
      </c>
      <c r="R48">
        <f ca="1"/>
        <v>0</v>
      </c>
      <c r="S48">
        <f ca="1"/>
        <v>0</v>
      </c>
      <c r="T48">
        <f ca="1"/>
        <v>0</v>
      </c>
      <c r="U48">
        <f ca="1"/>
        <v>0</v>
      </c>
      <c r="V48">
        <f ca="1"/>
        <v>0</v>
      </c>
      <c r="W48">
        <f ca="1"/>
        <v>0</v>
      </c>
      <c r="X48">
        <f ca="1"/>
        <v>0</v>
      </c>
      <c r="Y48">
        <f ca="1"/>
        <v>0</v>
      </c>
      <c r="Z48">
        <f ca="1"/>
        <v>0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  <c r="AQ48">
        <f ca="1"/>
        <v>0</v>
      </c>
      <c r="AR48">
        <f ca="1"/>
        <v>0</v>
      </c>
      <c r="AS48">
        <f ca="1"/>
        <v>0</v>
      </c>
      <c r="AT48">
        <f ca="1"/>
        <v>0</v>
      </c>
      <c r="AU48">
        <f ca="1"/>
        <v>0</v>
      </c>
      <c r="AV48">
        <f ca="1"/>
        <v>0</v>
      </c>
      <c r="AW48">
        <f ca="1"/>
        <v>0</v>
      </c>
      <c r="AX48">
        <f ca="1"/>
        <v>0</v>
      </c>
      <c r="AY48">
        <f ca="1"/>
        <v>0</v>
      </c>
      <c r="AZ48">
        <f ca="1"/>
        <v>0</v>
      </c>
      <c r="BA48">
        <f ca="1"/>
        <v>0</v>
      </c>
      <c r="BB48">
        <f ca="1"/>
        <v>0</v>
      </c>
      <c r="BC48">
        <f ca="1"/>
        <v>0</v>
      </c>
      <c r="BD48">
        <f ca="1"/>
        <v>0</v>
      </c>
      <c r="BE48">
        <f ca="1"/>
        <v>0</v>
      </c>
      <c r="BF48">
        <f ca="1"/>
        <v>0</v>
      </c>
      <c r="BG48">
        <f ca="1"/>
        <v>0</v>
      </c>
      <c r="BH48">
        <f ca="1"/>
        <v>0</v>
      </c>
      <c r="BI48">
        <f ca="1"/>
        <v>0</v>
      </c>
      <c r="BJ48">
        <f ca="1"/>
        <v>0</v>
      </c>
      <c r="BK48">
        <f ca="1"/>
        <v>0</v>
      </c>
      <c r="BL48">
        <f ca="1"/>
        <v>0</v>
      </c>
      <c r="BM48">
        <f ca="1"/>
        <v>0</v>
      </c>
      <c r="BN48">
        <f ca="1"/>
        <v>0</v>
      </c>
      <c r="BO48">
        <f ca="1"/>
        <v>0</v>
      </c>
      <c r="BP48">
        <f ca="1"/>
        <v>0</v>
      </c>
      <c r="BQ48">
        <f ca="1"/>
        <v>0</v>
      </c>
      <c r="BR48">
        <f ca="1"/>
        <v>0</v>
      </c>
      <c r="BS48">
        <f ca="1"/>
        <v>0</v>
      </c>
      <c r="BT48">
        <f ca="1"/>
        <v>0</v>
      </c>
      <c r="BU48">
        <f ca="1"/>
        <v>0</v>
      </c>
    </row>
    <row r="49" spans="3:73" x14ac:dyDescent="0.25">
      <c r="C49" cm="1">
        <f t="array" aca="1" ref="C49:BU49" ca="1">IFERROR(TRANSPOSE(INDEX(_xlfn._xlws.FILTER(INDIRECT("SubcategoriesTable[Subcategory name]"),INDIRECT("SubcategoriesTable[Category name]")=$B49),,)),"No subcategories")</f>
        <v>0</v>
      </c>
      <c r="D49">
        <f ca="1"/>
        <v>0</v>
      </c>
      <c r="E49">
        <f ca="1"/>
        <v>0</v>
      </c>
      <c r="F49">
        <f ca="1"/>
        <v>0</v>
      </c>
      <c r="G49">
        <f ca="1"/>
        <v>0</v>
      </c>
      <c r="H49">
        <f ca="1"/>
        <v>0</v>
      </c>
      <c r="I49">
        <f ca="1"/>
        <v>0</v>
      </c>
      <c r="J49">
        <f ca="1"/>
        <v>0</v>
      </c>
      <c r="K49">
        <f ca="1"/>
        <v>0</v>
      </c>
      <c r="L49">
        <f ca="1"/>
        <v>0</v>
      </c>
      <c r="M49">
        <f ca="1"/>
        <v>0</v>
      </c>
      <c r="N49">
        <f ca="1"/>
        <v>0</v>
      </c>
      <c r="O49">
        <f ca="1"/>
        <v>0</v>
      </c>
      <c r="P49">
        <f ca="1"/>
        <v>0</v>
      </c>
      <c r="Q49">
        <f ca="1"/>
        <v>0</v>
      </c>
      <c r="R49">
        <f ca="1"/>
        <v>0</v>
      </c>
      <c r="S49">
        <f ca="1"/>
        <v>0</v>
      </c>
      <c r="T49">
        <f ca="1"/>
        <v>0</v>
      </c>
      <c r="U49">
        <f ca="1"/>
        <v>0</v>
      </c>
      <c r="V49">
        <f ca="1"/>
        <v>0</v>
      </c>
      <c r="W49">
        <f ca="1"/>
        <v>0</v>
      </c>
      <c r="X49">
        <f ca="1"/>
        <v>0</v>
      </c>
      <c r="Y49">
        <f ca="1"/>
        <v>0</v>
      </c>
      <c r="Z49">
        <f ca="1"/>
        <v>0</v>
      </c>
      <c r="AA49">
        <f ca="1"/>
        <v>0</v>
      </c>
      <c r="AB49">
        <f ca="1"/>
        <v>0</v>
      </c>
      <c r="AC49">
        <f ca="1"/>
        <v>0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>
        <f ca="1"/>
        <v>0</v>
      </c>
      <c r="AJ49">
        <f ca="1"/>
        <v>0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  <c r="AQ49">
        <f ca="1"/>
        <v>0</v>
      </c>
      <c r="AR49">
        <f ca="1"/>
        <v>0</v>
      </c>
      <c r="AS49">
        <f ca="1"/>
        <v>0</v>
      </c>
      <c r="AT49">
        <f ca="1"/>
        <v>0</v>
      </c>
      <c r="AU49">
        <f ca="1"/>
        <v>0</v>
      </c>
      <c r="AV49">
        <f ca="1"/>
        <v>0</v>
      </c>
      <c r="AW49">
        <f ca="1"/>
        <v>0</v>
      </c>
      <c r="AX49">
        <f ca="1"/>
        <v>0</v>
      </c>
      <c r="AY49">
        <f ca="1"/>
        <v>0</v>
      </c>
      <c r="AZ49">
        <f ca="1"/>
        <v>0</v>
      </c>
      <c r="BA49">
        <f ca="1"/>
        <v>0</v>
      </c>
      <c r="BB49">
        <f ca="1"/>
        <v>0</v>
      </c>
      <c r="BC49">
        <f ca="1"/>
        <v>0</v>
      </c>
      <c r="BD49">
        <f ca="1"/>
        <v>0</v>
      </c>
      <c r="BE49">
        <f ca="1"/>
        <v>0</v>
      </c>
      <c r="BF49">
        <f ca="1"/>
        <v>0</v>
      </c>
      <c r="BG49">
        <f ca="1"/>
        <v>0</v>
      </c>
      <c r="BH49">
        <f ca="1"/>
        <v>0</v>
      </c>
      <c r="BI49">
        <f ca="1"/>
        <v>0</v>
      </c>
      <c r="BJ49">
        <f ca="1"/>
        <v>0</v>
      </c>
      <c r="BK49">
        <f ca="1"/>
        <v>0</v>
      </c>
      <c r="BL49">
        <f ca="1"/>
        <v>0</v>
      </c>
      <c r="BM49">
        <f ca="1"/>
        <v>0</v>
      </c>
      <c r="BN49">
        <f ca="1"/>
        <v>0</v>
      </c>
      <c r="BO49">
        <f ca="1"/>
        <v>0</v>
      </c>
      <c r="BP49">
        <f ca="1"/>
        <v>0</v>
      </c>
      <c r="BQ49">
        <f ca="1"/>
        <v>0</v>
      </c>
      <c r="BR49">
        <f ca="1"/>
        <v>0</v>
      </c>
      <c r="BS49">
        <f ca="1"/>
        <v>0</v>
      </c>
      <c r="BT49">
        <f ca="1"/>
        <v>0</v>
      </c>
      <c r="BU49">
        <f ca="1"/>
        <v>0</v>
      </c>
    </row>
    <row r="50" spans="3:73" x14ac:dyDescent="0.25">
      <c r="C50" cm="1">
        <f t="array" aca="1" ref="C50:BU50" ca="1">IFERROR(TRANSPOSE(INDEX(_xlfn._xlws.FILTER(INDIRECT("SubcategoriesTable[Subcategory name]"),INDIRECT("SubcategoriesTable[Category name]")=$B50),,)),"No subcategories")</f>
        <v>0</v>
      </c>
      <c r="D50">
        <f ca="1"/>
        <v>0</v>
      </c>
      <c r="E50">
        <f ca="1"/>
        <v>0</v>
      </c>
      <c r="F50">
        <f ca="1"/>
        <v>0</v>
      </c>
      <c r="G50">
        <f ca="1"/>
        <v>0</v>
      </c>
      <c r="H50">
        <f ca="1"/>
        <v>0</v>
      </c>
      <c r="I50">
        <f ca="1"/>
        <v>0</v>
      </c>
      <c r="J50">
        <f ca="1"/>
        <v>0</v>
      </c>
      <c r="K50">
        <f ca="1"/>
        <v>0</v>
      </c>
      <c r="L50">
        <f ca="1"/>
        <v>0</v>
      </c>
      <c r="M50">
        <f ca="1"/>
        <v>0</v>
      </c>
      <c r="N50">
        <f ca="1"/>
        <v>0</v>
      </c>
      <c r="O50">
        <f ca="1"/>
        <v>0</v>
      </c>
      <c r="P50">
        <f ca="1"/>
        <v>0</v>
      </c>
      <c r="Q50">
        <f ca="1"/>
        <v>0</v>
      </c>
      <c r="R50">
        <f ca="1"/>
        <v>0</v>
      </c>
      <c r="S50">
        <f ca="1"/>
        <v>0</v>
      </c>
      <c r="T50">
        <f ca="1"/>
        <v>0</v>
      </c>
      <c r="U50">
        <f ca="1"/>
        <v>0</v>
      </c>
      <c r="V50">
        <f ca="1"/>
        <v>0</v>
      </c>
      <c r="W50">
        <f ca="1"/>
        <v>0</v>
      </c>
      <c r="X50">
        <f ca="1"/>
        <v>0</v>
      </c>
      <c r="Y50">
        <f ca="1"/>
        <v>0</v>
      </c>
      <c r="Z50">
        <f ca="1"/>
        <v>0</v>
      </c>
      <c r="AA50">
        <f ca="1"/>
        <v>0</v>
      </c>
      <c r="AB50">
        <f ca="1"/>
        <v>0</v>
      </c>
      <c r="AC50">
        <f ca="1"/>
        <v>0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>
        <f ca="1"/>
        <v>0</v>
      </c>
      <c r="AJ50">
        <f ca="1"/>
        <v>0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  <c r="AQ50">
        <f ca="1"/>
        <v>0</v>
      </c>
      <c r="AR50">
        <f ca="1"/>
        <v>0</v>
      </c>
      <c r="AS50">
        <f ca="1"/>
        <v>0</v>
      </c>
      <c r="AT50">
        <f ca="1"/>
        <v>0</v>
      </c>
      <c r="AU50">
        <f ca="1"/>
        <v>0</v>
      </c>
      <c r="AV50">
        <f ca="1"/>
        <v>0</v>
      </c>
      <c r="AW50">
        <f ca="1"/>
        <v>0</v>
      </c>
      <c r="AX50">
        <f ca="1"/>
        <v>0</v>
      </c>
      <c r="AY50">
        <f ca="1"/>
        <v>0</v>
      </c>
      <c r="AZ50">
        <f ca="1"/>
        <v>0</v>
      </c>
      <c r="BA50">
        <f ca="1"/>
        <v>0</v>
      </c>
      <c r="BB50">
        <f ca="1"/>
        <v>0</v>
      </c>
      <c r="BC50">
        <f ca="1"/>
        <v>0</v>
      </c>
      <c r="BD50">
        <f ca="1"/>
        <v>0</v>
      </c>
      <c r="BE50">
        <f ca="1"/>
        <v>0</v>
      </c>
      <c r="BF50">
        <f ca="1"/>
        <v>0</v>
      </c>
      <c r="BG50">
        <f ca="1"/>
        <v>0</v>
      </c>
      <c r="BH50">
        <f ca="1"/>
        <v>0</v>
      </c>
      <c r="BI50">
        <f ca="1"/>
        <v>0</v>
      </c>
      <c r="BJ50">
        <f ca="1"/>
        <v>0</v>
      </c>
      <c r="BK50">
        <f ca="1"/>
        <v>0</v>
      </c>
      <c r="BL50">
        <f ca="1"/>
        <v>0</v>
      </c>
      <c r="BM50">
        <f ca="1"/>
        <v>0</v>
      </c>
      <c r="BN50">
        <f ca="1"/>
        <v>0</v>
      </c>
      <c r="BO50">
        <f ca="1"/>
        <v>0</v>
      </c>
      <c r="BP50">
        <f ca="1"/>
        <v>0</v>
      </c>
      <c r="BQ50">
        <f ca="1"/>
        <v>0</v>
      </c>
      <c r="BR50">
        <f ca="1"/>
        <v>0</v>
      </c>
      <c r="BS50">
        <f ca="1"/>
        <v>0</v>
      </c>
      <c r="BT50">
        <f ca="1"/>
        <v>0</v>
      </c>
      <c r="BU50">
        <f ca="1"/>
        <v>0</v>
      </c>
    </row>
    <row r="51" spans="3:73" x14ac:dyDescent="0.25">
      <c r="C51" cm="1">
        <f t="array" aca="1" ref="C51:BU51" ca="1">IFERROR(TRANSPOSE(INDEX(_xlfn._xlws.FILTER(INDIRECT("SubcategoriesTable[Subcategory name]"),INDIRECT("SubcategoriesTable[Category name]")=$B51),,)),"No subcategories")</f>
        <v>0</v>
      </c>
      <c r="D51">
        <f ca="1"/>
        <v>0</v>
      </c>
      <c r="E51">
        <f ca="1"/>
        <v>0</v>
      </c>
      <c r="F51">
        <f ca="1"/>
        <v>0</v>
      </c>
      <c r="G51">
        <f ca="1"/>
        <v>0</v>
      </c>
      <c r="H51">
        <f ca="1"/>
        <v>0</v>
      </c>
      <c r="I51">
        <f ca="1"/>
        <v>0</v>
      </c>
      <c r="J51">
        <f ca="1"/>
        <v>0</v>
      </c>
      <c r="K51">
        <f ca="1"/>
        <v>0</v>
      </c>
      <c r="L51">
        <f ca="1"/>
        <v>0</v>
      </c>
      <c r="M51">
        <f ca="1"/>
        <v>0</v>
      </c>
      <c r="N51">
        <f ca="1"/>
        <v>0</v>
      </c>
      <c r="O51">
        <f ca="1"/>
        <v>0</v>
      </c>
      <c r="P51">
        <f ca="1"/>
        <v>0</v>
      </c>
      <c r="Q51">
        <f ca="1"/>
        <v>0</v>
      </c>
      <c r="R51">
        <f ca="1"/>
        <v>0</v>
      </c>
      <c r="S51">
        <f ca="1"/>
        <v>0</v>
      </c>
      <c r="T51">
        <f ca="1"/>
        <v>0</v>
      </c>
      <c r="U51">
        <f ca="1"/>
        <v>0</v>
      </c>
      <c r="V51">
        <f ca="1"/>
        <v>0</v>
      </c>
      <c r="W51">
        <f ca="1"/>
        <v>0</v>
      </c>
      <c r="X51">
        <f ca="1"/>
        <v>0</v>
      </c>
      <c r="Y51">
        <f ca="1"/>
        <v>0</v>
      </c>
      <c r="Z51">
        <f ca="1"/>
        <v>0</v>
      </c>
      <c r="AA51">
        <f ca="1"/>
        <v>0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  <c r="AQ51">
        <f ca="1"/>
        <v>0</v>
      </c>
      <c r="AR51">
        <f ca="1"/>
        <v>0</v>
      </c>
      <c r="AS51">
        <f ca="1"/>
        <v>0</v>
      </c>
      <c r="AT51">
        <f ca="1"/>
        <v>0</v>
      </c>
      <c r="AU51">
        <f ca="1"/>
        <v>0</v>
      </c>
      <c r="AV51">
        <f ca="1"/>
        <v>0</v>
      </c>
      <c r="AW51">
        <f ca="1"/>
        <v>0</v>
      </c>
      <c r="AX51">
        <f ca="1"/>
        <v>0</v>
      </c>
      <c r="AY51">
        <f ca="1"/>
        <v>0</v>
      </c>
      <c r="AZ51">
        <f ca="1"/>
        <v>0</v>
      </c>
      <c r="BA51">
        <f ca="1"/>
        <v>0</v>
      </c>
      <c r="BB51">
        <f ca="1"/>
        <v>0</v>
      </c>
      <c r="BC51">
        <f ca="1"/>
        <v>0</v>
      </c>
      <c r="BD51">
        <f ca="1"/>
        <v>0</v>
      </c>
      <c r="BE51">
        <f ca="1"/>
        <v>0</v>
      </c>
      <c r="BF51">
        <f ca="1"/>
        <v>0</v>
      </c>
      <c r="BG51">
        <f ca="1"/>
        <v>0</v>
      </c>
      <c r="BH51">
        <f ca="1"/>
        <v>0</v>
      </c>
      <c r="BI51">
        <f ca="1"/>
        <v>0</v>
      </c>
      <c r="BJ51">
        <f ca="1"/>
        <v>0</v>
      </c>
      <c r="BK51">
        <f ca="1"/>
        <v>0</v>
      </c>
      <c r="BL51">
        <f ca="1"/>
        <v>0</v>
      </c>
      <c r="BM51">
        <f ca="1"/>
        <v>0</v>
      </c>
      <c r="BN51">
        <f ca="1"/>
        <v>0</v>
      </c>
      <c r="BO51">
        <f ca="1"/>
        <v>0</v>
      </c>
      <c r="BP51">
        <f ca="1"/>
        <v>0</v>
      </c>
      <c r="BQ51">
        <f ca="1"/>
        <v>0</v>
      </c>
      <c r="BR51">
        <f ca="1"/>
        <v>0</v>
      </c>
      <c r="BS51">
        <f ca="1"/>
        <v>0</v>
      </c>
      <c r="BT51">
        <f ca="1"/>
        <v>0</v>
      </c>
      <c r="BU51">
        <f ca="1"/>
        <v>0</v>
      </c>
    </row>
    <row r="52" spans="3:73" x14ac:dyDescent="0.25">
      <c r="C52" cm="1">
        <f t="array" aca="1" ref="C52:BU52" ca="1">IFERROR(TRANSPOSE(INDEX(_xlfn._xlws.FILTER(INDIRECT("SubcategoriesTable[Subcategory name]"),INDIRECT("SubcategoriesTable[Category name]")=$B52),,)),"No subcategories")</f>
        <v>0</v>
      </c>
      <c r="D52">
        <f ca="1"/>
        <v>0</v>
      </c>
      <c r="E52">
        <f ca="1"/>
        <v>0</v>
      </c>
      <c r="F52">
        <f ca="1"/>
        <v>0</v>
      </c>
      <c r="G52">
        <f ca="1"/>
        <v>0</v>
      </c>
      <c r="H52">
        <f ca="1"/>
        <v>0</v>
      </c>
      <c r="I52">
        <f ca="1"/>
        <v>0</v>
      </c>
      <c r="J52">
        <f ca="1"/>
        <v>0</v>
      </c>
      <c r="K52">
        <f ca="1"/>
        <v>0</v>
      </c>
      <c r="L52">
        <f ca="1"/>
        <v>0</v>
      </c>
      <c r="M52">
        <f ca="1"/>
        <v>0</v>
      </c>
      <c r="N52">
        <f ca="1"/>
        <v>0</v>
      </c>
      <c r="O52">
        <f ca="1"/>
        <v>0</v>
      </c>
      <c r="P52">
        <f ca="1"/>
        <v>0</v>
      </c>
      <c r="Q52">
        <f ca="1"/>
        <v>0</v>
      </c>
      <c r="R52">
        <f ca="1"/>
        <v>0</v>
      </c>
      <c r="S52">
        <f ca="1"/>
        <v>0</v>
      </c>
      <c r="T52">
        <f ca="1"/>
        <v>0</v>
      </c>
      <c r="U52">
        <f ca="1"/>
        <v>0</v>
      </c>
      <c r="V52">
        <f ca="1"/>
        <v>0</v>
      </c>
      <c r="W52">
        <f ca="1"/>
        <v>0</v>
      </c>
      <c r="X52">
        <f ca="1"/>
        <v>0</v>
      </c>
      <c r="Y52">
        <f ca="1"/>
        <v>0</v>
      </c>
      <c r="Z52">
        <f ca="1"/>
        <v>0</v>
      </c>
      <c r="AA52">
        <f ca="1"/>
        <v>0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>
        <f ca="1"/>
        <v>0</v>
      </c>
      <c r="AJ52">
        <f ca="1"/>
        <v>0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  <c r="AQ52">
        <f ca="1"/>
        <v>0</v>
      </c>
      <c r="AR52">
        <f ca="1"/>
        <v>0</v>
      </c>
      <c r="AS52">
        <f ca="1"/>
        <v>0</v>
      </c>
      <c r="AT52">
        <f ca="1"/>
        <v>0</v>
      </c>
      <c r="AU52">
        <f ca="1"/>
        <v>0</v>
      </c>
      <c r="AV52">
        <f ca="1"/>
        <v>0</v>
      </c>
      <c r="AW52">
        <f ca="1"/>
        <v>0</v>
      </c>
      <c r="AX52">
        <f ca="1"/>
        <v>0</v>
      </c>
      <c r="AY52">
        <f ca="1"/>
        <v>0</v>
      </c>
      <c r="AZ52">
        <f ca="1"/>
        <v>0</v>
      </c>
      <c r="BA52">
        <f ca="1"/>
        <v>0</v>
      </c>
      <c r="BB52">
        <f ca="1"/>
        <v>0</v>
      </c>
      <c r="BC52">
        <f ca="1"/>
        <v>0</v>
      </c>
      <c r="BD52">
        <f ca="1"/>
        <v>0</v>
      </c>
      <c r="BE52">
        <f ca="1"/>
        <v>0</v>
      </c>
      <c r="BF52">
        <f ca="1"/>
        <v>0</v>
      </c>
      <c r="BG52">
        <f ca="1"/>
        <v>0</v>
      </c>
      <c r="BH52">
        <f ca="1"/>
        <v>0</v>
      </c>
      <c r="BI52">
        <f ca="1"/>
        <v>0</v>
      </c>
      <c r="BJ52">
        <f ca="1"/>
        <v>0</v>
      </c>
      <c r="BK52">
        <f ca="1"/>
        <v>0</v>
      </c>
      <c r="BL52">
        <f ca="1"/>
        <v>0</v>
      </c>
      <c r="BM52">
        <f ca="1"/>
        <v>0</v>
      </c>
      <c r="BN52">
        <f ca="1"/>
        <v>0</v>
      </c>
      <c r="BO52">
        <f ca="1"/>
        <v>0</v>
      </c>
      <c r="BP52">
        <f ca="1"/>
        <v>0</v>
      </c>
      <c r="BQ52">
        <f ca="1"/>
        <v>0</v>
      </c>
      <c r="BR52">
        <f ca="1"/>
        <v>0</v>
      </c>
      <c r="BS52">
        <f ca="1"/>
        <v>0</v>
      </c>
      <c r="BT52">
        <f ca="1"/>
        <v>0</v>
      </c>
      <c r="BU52">
        <f ca="1"/>
        <v>0</v>
      </c>
    </row>
    <row r="53" spans="3:73" x14ac:dyDescent="0.25">
      <c r="C53" cm="1">
        <f t="array" aca="1" ref="C53:BU53" ca="1">IFERROR(TRANSPOSE(INDEX(_xlfn._xlws.FILTER(INDIRECT("SubcategoriesTable[Subcategory name]"),INDIRECT("SubcategoriesTable[Category name]")=$B53),,)),"No subcategories")</f>
        <v>0</v>
      </c>
      <c r="D53">
        <f ca="1"/>
        <v>0</v>
      </c>
      <c r="E53">
        <f ca="1"/>
        <v>0</v>
      </c>
      <c r="F53">
        <f ca="1"/>
        <v>0</v>
      </c>
      <c r="G53">
        <f ca="1"/>
        <v>0</v>
      </c>
      <c r="H53">
        <f ca="1"/>
        <v>0</v>
      </c>
      <c r="I53">
        <f ca="1"/>
        <v>0</v>
      </c>
      <c r="J53">
        <f ca="1"/>
        <v>0</v>
      </c>
      <c r="K53">
        <f ca="1"/>
        <v>0</v>
      </c>
      <c r="L53">
        <f ca="1"/>
        <v>0</v>
      </c>
      <c r="M53">
        <f ca="1"/>
        <v>0</v>
      </c>
      <c r="N53">
        <f ca="1"/>
        <v>0</v>
      </c>
      <c r="O53">
        <f ca="1"/>
        <v>0</v>
      </c>
      <c r="P53">
        <f ca="1"/>
        <v>0</v>
      </c>
      <c r="Q53">
        <f ca="1"/>
        <v>0</v>
      </c>
      <c r="R53">
        <f ca="1"/>
        <v>0</v>
      </c>
      <c r="S53">
        <f ca="1"/>
        <v>0</v>
      </c>
      <c r="T53">
        <f ca="1"/>
        <v>0</v>
      </c>
      <c r="U53">
        <f ca="1"/>
        <v>0</v>
      </c>
      <c r="V53">
        <f ca="1"/>
        <v>0</v>
      </c>
      <c r="W53">
        <f ca="1"/>
        <v>0</v>
      </c>
      <c r="X53">
        <f ca="1"/>
        <v>0</v>
      </c>
      <c r="Y53">
        <f ca="1"/>
        <v>0</v>
      </c>
      <c r="Z53">
        <f ca="1"/>
        <v>0</v>
      </c>
      <c r="AA53">
        <f ca="1"/>
        <v>0</v>
      </c>
      <c r="AB53">
        <f ca="1"/>
        <v>0</v>
      </c>
      <c r="AC53">
        <f ca="1"/>
        <v>0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>
        <f ca="1"/>
        <v>0</v>
      </c>
      <c r="AJ53">
        <f ca="1"/>
        <v>0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  <c r="AQ53">
        <f ca="1"/>
        <v>0</v>
      </c>
      <c r="AR53">
        <f ca="1"/>
        <v>0</v>
      </c>
      <c r="AS53">
        <f ca="1"/>
        <v>0</v>
      </c>
      <c r="AT53">
        <f ca="1"/>
        <v>0</v>
      </c>
      <c r="AU53">
        <f ca="1"/>
        <v>0</v>
      </c>
      <c r="AV53">
        <f ca="1"/>
        <v>0</v>
      </c>
      <c r="AW53">
        <f ca="1"/>
        <v>0</v>
      </c>
      <c r="AX53">
        <f ca="1"/>
        <v>0</v>
      </c>
      <c r="AY53">
        <f ca="1"/>
        <v>0</v>
      </c>
      <c r="AZ53">
        <f ca="1"/>
        <v>0</v>
      </c>
      <c r="BA53">
        <f ca="1"/>
        <v>0</v>
      </c>
      <c r="BB53">
        <f ca="1"/>
        <v>0</v>
      </c>
      <c r="BC53">
        <f ca="1"/>
        <v>0</v>
      </c>
      <c r="BD53">
        <f ca="1"/>
        <v>0</v>
      </c>
      <c r="BE53">
        <f ca="1"/>
        <v>0</v>
      </c>
      <c r="BF53">
        <f ca="1"/>
        <v>0</v>
      </c>
      <c r="BG53">
        <f ca="1"/>
        <v>0</v>
      </c>
      <c r="BH53">
        <f ca="1"/>
        <v>0</v>
      </c>
      <c r="BI53">
        <f ca="1"/>
        <v>0</v>
      </c>
      <c r="BJ53">
        <f ca="1"/>
        <v>0</v>
      </c>
      <c r="BK53">
        <f ca="1"/>
        <v>0</v>
      </c>
      <c r="BL53">
        <f ca="1"/>
        <v>0</v>
      </c>
      <c r="BM53">
        <f ca="1"/>
        <v>0</v>
      </c>
      <c r="BN53">
        <f ca="1"/>
        <v>0</v>
      </c>
      <c r="BO53">
        <f ca="1"/>
        <v>0</v>
      </c>
      <c r="BP53">
        <f ca="1"/>
        <v>0</v>
      </c>
      <c r="BQ53">
        <f ca="1"/>
        <v>0</v>
      </c>
      <c r="BR53">
        <f ca="1"/>
        <v>0</v>
      </c>
      <c r="BS53">
        <f ca="1"/>
        <v>0</v>
      </c>
      <c r="BT53">
        <f ca="1"/>
        <v>0</v>
      </c>
      <c r="BU53">
        <f ca="1"/>
        <v>0</v>
      </c>
    </row>
    <row r="54" spans="3:73" x14ac:dyDescent="0.25">
      <c r="C54" cm="1">
        <f t="array" aca="1" ref="C54:BU54" ca="1">IFERROR(TRANSPOSE(INDEX(_xlfn._xlws.FILTER(INDIRECT("SubcategoriesTable[Subcategory name]"),INDIRECT("SubcategoriesTable[Category name]")=$B54),,)),"No subcategories")</f>
        <v>0</v>
      </c>
      <c r="D54">
        <f ca="1"/>
        <v>0</v>
      </c>
      <c r="E54">
        <f ca="1"/>
        <v>0</v>
      </c>
      <c r="F54">
        <f ca="1"/>
        <v>0</v>
      </c>
      <c r="G54">
        <f ca="1"/>
        <v>0</v>
      </c>
      <c r="H54">
        <f ca="1"/>
        <v>0</v>
      </c>
      <c r="I54">
        <f ca="1"/>
        <v>0</v>
      </c>
      <c r="J54">
        <f ca="1"/>
        <v>0</v>
      </c>
      <c r="K54">
        <f ca="1"/>
        <v>0</v>
      </c>
      <c r="L54">
        <f ca="1"/>
        <v>0</v>
      </c>
      <c r="M54">
        <f ca="1"/>
        <v>0</v>
      </c>
      <c r="N54">
        <f ca="1"/>
        <v>0</v>
      </c>
      <c r="O54">
        <f ca="1"/>
        <v>0</v>
      </c>
      <c r="P54">
        <f ca="1"/>
        <v>0</v>
      </c>
      <c r="Q54">
        <f ca="1"/>
        <v>0</v>
      </c>
      <c r="R54">
        <f ca="1"/>
        <v>0</v>
      </c>
      <c r="S54">
        <f ca="1"/>
        <v>0</v>
      </c>
      <c r="T54">
        <f ca="1"/>
        <v>0</v>
      </c>
      <c r="U54">
        <f ca="1"/>
        <v>0</v>
      </c>
      <c r="V54">
        <f ca="1"/>
        <v>0</v>
      </c>
      <c r="W54">
        <f ca="1"/>
        <v>0</v>
      </c>
      <c r="X54">
        <f ca="1"/>
        <v>0</v>
      </c>
      <c r="Y54">
        <f ca="1"/>
        <v>0</v>
      </c>
      <c r="Z54">
        <f ca="1"/>
        <v>0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>
        <f ca="1"/>
        <v>0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  <c r="AQ54">
        <f ca="1"/>
        <v>0</v>
      </c>
      <c r="AR54">
        <f ca="1"/>
        <v>0</v>
      </c>
      <c r="AS54">
        <f ca="1"/>
        <v>0</v>
      </c>
      <c r="AT54">
        <f ca="1"/>
        <v>0</v>
      </c>
      <c r="AU54">
        <f ca="1"/>
        <v>0</v>
      </c>
      <c r="AV54">
        <f ca="1"/>
        <v>0</v>
      </c>
      <c r="AW54">
        <f ca="1"/>
        <v>0</v>
      </c>
      <c r="AX54">
        <f ca="1"/>
        <v>0</v>
      </c>
      <c r="AY54">
        <f ca="1"/>
        <v>0</v>
      </c>
      <c r="AZ54">
        <f ca="1"/>
        <v>0</v>
      </c>
      <c r="BA54">
        <f ca="1"/>
        <v>0</v>
      </c>
      <c r="BB54">
        <f ca="1"/>
        <v>0</v>
      </c>
      <c r="BC54">
        <f ca="1"/>
        <v>0</v>
      </c>
      <c r="BD54">
        <f ca="1"/>
        <v>0</v>
      </c>
      <c r="BE54">
        <f ca="1"/>
        <v>0</v>
      </c>
      <c r="BF54">
        <f ca="1"/>
        <v>0</v>
      </c>
      <c r="BG54">
        <f ca="1"/>
        <v>0</v>
      </c>
      <c r="BH54">
        <f ca="1"/>
        <v>0</v>
      </c>
      <c r="BI54">
        <f ca="1"/>
        <v>0</v>
      </c>
      <c r="BJ54">
        <f ca="1"/>
        <v>0</v>
      </c>
      <c r="BK54">
        <f ca="1"/>
        <v>0</v>
      </c>
      <c r="BL54">
        <f ca="1"/>
        <v>0</v>
      </c>
      <c r="BM54">
        <f ca="1"/>
        <v>0</v>
      </c>
      <c r="BN54">
        <f ca="1"/>
        <v>0</v>
      </c>
      <c r="BO54">
        <f ca="1"/>
        <v>0</v>
      </c>
      <c r="BP54">
        <f ca="1"/>
        <v>0</v>
      </c>
      <c r="BQ54">
        <f ca="1"/>
        <v>0</v>
      </c>
      <c r="BR54">
        <f ca="1"/>
        <v>0</v>
      </c>
      <c r="BS54">
        <f ca="1"/>
        <v>0</v>
      </c>
      <c r="BT54">
        <f ca="1"/>
        <v>0</v>
      </c>
      <c r="BU54">
        <f ca="1"/>
        <v>0</v>
      </c>
    </row>
    <row r="55" spans="3:73" x14ac:dyDescent="0.25">
      <c r="C55" cm="1">
        <f t="array" aca="1" ref="C55:BU55" ca="1">IFERROR(TRANSPOSE(INDEX(_xlfn._xlws.FILTER(INDIRECT("SubcategoriesTable[Subcategory name]"),INDIRECT("SubcategoriesTable[Category name]")=$B55),,)),"No subcategories")</f>
        <v>0</v>
      </c>
      <c r="D55">
        <f ca="1"/>
        <v>0</v>
      </c>
      <c r="E55">
        <f ca="1"/>
        <v>0</v>
      </c>
      <c r="F55">
        <f ca="1"/>
        <v>0</v>
      </c>
      <c r="G55">
        <f ca="1"/>
        <v>0</v>
      </c>
      <c r="H55">
        <f ca="1"/>
        <v>0</v>
      </c>
      <c r="I55">
        <f ca="1"/>
        <v>0</v>
      </c>
      <c r="J55">
        <f ca="1"/>
        <v>0</v>
      </c>
      <c r="K55">
        <f ca="1"/>
        <v>0</v>
      </c>
      <c r="L55">
        <f ca="1"/>
        <v>0</v>
      </c>
      <c r="M55">
        <f ca="1"/>
        <v>0</v>
      </c>
      <c r="N55">
        <f ca="1"/>
        <v>0</v>
      </c>
      <c r="O55">
        <f ca="1"/>
        <v>0</v>
      </c>
      <c r="P55">
        <f ca="1"/>
        <v>0</v>
      </c>
      <c r="Q55">
        <f ca="1"/>
        <v>0</v>
      </c>
      <c r="R55">
        <f ca="1"/>
        <v>0</v>
      </c>
      <c r="S55">
        <f ca="1"/>
        <v>0</v>
      </c>
      <c r="T55">
        <f ca="1"/>
        <v>0</v>
      </c>
      <c r="U55">
        <f ca="1"/>
        <v>0</v>
      </c>
      <c r="V55">
        <f ca="1"/>
        <v>0</v>
      </c>
      <c r="W55">
        <f ca="1"/>
        <v>0</v>
      </c>
      <c r="X55">
        <f ca="1"/>
        <v>0</v>
      </c>
      <c r="Y55">
        <f ca="1"/>
        <v>0</v>
      </c>
      <c r="Z55">
        <f ca="1"/>
        <v>0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>
        <f ca="1"/>
        <v>0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  <c r="AQ55">
        <f ca="1"/>
        <v>0</v>
      </c>
      <c r="AR55">
        <f ca="1"/>
        <v>0</v>
      </c>
      <c r="AS55">
        <f ca="1"/>
        <v>0</v>
      </c>
      <c r="AT55">
        <f ca="1"/>
        <v>0</v>
      </c>
      <c r="AU55">
        <f ca="1"/>
        <v>0</v>
      </c>
      <c r="AV55">
        <f ca="1"/>
        <v>0</v>
      </c>
      <c r="AW55">
        <f ca="1"/>
        <v>0</v>
      </c>
      <c r="AX55">
        <f ca="1"/>
        <v>0</v>
      </c>
      <c r="AY55">
        <f ca="1"/>
        <v>0</v>
      </c>
      <c r="AZ55">
        <f ca="1"/>
        <v>0</v>
      </c>
      <c r="BA55">
        <f ca="1"/>
        <v>0</v>
      </c>
      <c r="BB55">
        <f ca="1"/>
        <v>0</v>
      </c>
      <c r="BC55">
        <f ca="1"/>
        <v>0</v>
      </c>
      <c r="BD55">
        <f ca="1"/>
        <v>0</v>
      </c>
      <c r="BE55">
        <f ca="1"/>
        <v>0</v>
      </c>
      <c r="BF55">
        <f ca="1"/>
        <v>0</v>
      </c>
      <c r="BG55">
        <f ca="1"/>
        <v>0</v>
      </c>
      <c r="BH55">
        <f ca="1"/>
        <v>0</v>
      </c>
      <c r="BI55">
        <f ca="1"/>
        <v>0</v>
      </c>
      <c r="BJ55">
        <f ca="1"/>
        <v>0</v>
      </c>
      <c r="BK55">
        <f ca="1"/>
        <v>0</v>
      </c>
      <c r="BL55">
        <f ca="1"/>
        <v>0</v>
      </c>
      <c r="BM55">
        <f ca="1"/>
        <v>0</v>
      </c>
      <c r="BN55">
        <f ca="1"/>
        <v>0</v>
      </c>
      <c r="BO55">
        <f ca="1"/>
        <v>0</v>
      </c>
      <c r="BP55">
        <f ca="1"/>
        <v>0</v>
      </c>
      <c r="BQ55">
        <f ca="1"/>
        <v>0</v>
      </c>
      <c r="BR55">
        <f ca="1"/>
        <v>0</v>
      </c>
      <c r="BS55">
        <f ca="1"/>
        <v>0</v>
      </c>
      <c r="BT55">
        <f ca="1"/>
        <v>0</v>
      </c>
      <c r="BU55">
        <f ca="1"/>
        <v>0</v>
      </c>
    </row>
    <row r="56" spans="3:73" x14ac:dyDescent="0.25">
      <c r="C56" cm="1">
        <f t="array" aca="1" ref="C56:BU56" ca="1">IFERROR(TRANSPOSE(INDEX(_xlfn._xlws.FILTER(INDIRECT("SubcategoriesTable[Subcategory name]"),INDIRECT("SubcategoriesTable[Category name]")=$B56),,)),"No subcategories")</f>
        <v>0</v>
      </c>
      <c r="D56">
        <f ca="1"/>
        <v>0</v>
      </c>
      <c r="E56">
        <f ca="1"/>
        <v>0</v>
      </c>
      <c r="F56">
        <f ca="1"/>
        <v>0</v>
      </c>
      <c r="G56">
        <f ca="1"/>
        <v>0</v>
      </c>
      <c r="H56">
        <f ca="1"/>
        <v>0</v>
      </c>
      <c r="I56">
        <f ca="1"/>
        <v>0</v>
      </c>
      <c r="J56">
        <f ca="1"/>
        <v>0</v>
      </c>
      <c r="K56">
        <f ca="1"/>
        <v>0</v>
      </c>
      <c r="L56">
        <f ca="1"/>
        <v>0</v>
      </c>
      <c r="M56">
        <f ca="1"/>
        <v>0</v>
      </c>
      <c r="N56">
        <f ca="1"/>
        <v>0</v>
      </c>
      <c r="O56">
        <f ca="1"/>
        <v>0</v>
      </c>
      <c r="P56">
        <f ca="1"/>
        <v>0</v>
      </c>
      <c r="Q56">
        <f ca="1"/>
        <v>0</v>
      </c>
      <c r="R56">
        <f ca="1"/>
        <v>0</v>
      </c>
      <c r="S56">
        <f ca="1"/>
        <v>0</v>
      </c>
      <c r="T56">
        <f ca="1"/>
        <v>0</v>
      </c>
      <c r="U56">
        <f ca="1"/>
        <v>0</v>
      </c>
      <c r="V56">
        <f ca="1"/>
        <v>0</v>
      </c>
      <c r="W56">
        <f ca="1"/>
        <v>0</v>
      </c>
      <c r="X56">
        <f ca="1"/>
        <v>0</v>
      </c>
      <c r="Y56">
        <f ca="1"/>
        <v>0</v>
      </c>
      <c r="Z56">
        <f ca="1"/>
        <v>0</v>
      </c>
      <c r="AA56">
        <f ca="1"/>
        <v>0</v>
      </c>
      <c r="AB56">
        <f ca="1"/>
        <v>0</v>
      </c>
      <c r="AC56">
        <f ca="1"/>
        <v>0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>
        <f ca="1"/>
        <v>0</v>
      </c>
      <c r="AJ56">
        <f ca="1"/>
        <v>0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  <c r="AQ56">
        <f ca="1"/>
        <v>0</v>
      </c>
      <c r="AR56">
        <f ca="1"/>
        <v>0</v>
      </c>
      <c r="AS56">
        <f ca="1"/>
        <v>0</v>
      </c>
      <c r="AT56">
        <f ca="1"/>
        <v>0</v>
      </c>
      <c r="AU56">
        <f ca="1"/>
        <v>0</v>
      </c>
      <c r="AV56">
        <f ca="1"/>
        <v>0</v>
      </c>
      <c r="AW56">
        <f ca="1"/>
        <v>0</v>
      </c>
      <c r="AX56">
        <f ca="1"/>
        <v>0</v>
      </c>
      <c r="AY56">
        <f ca="1"/>
        <v>0</v>
      </c>
      <c r="AZ56">
        <f ca="1"/>
        <v>0</v>
      </c>
      <c r="BA56">
        <f ca="1"/>
        <v>0</v>
      </c>
      <c r="BB56">
        <f ca="1"/>
        <v>0</v>
      </c>
      <c r="BC56">
        <f ca="1"/>
        <v>0</v>
      </c>
      <c r="BD56">
        <f ca="1"/>
        <v>0</v>
      </c>
      <c r="BE56">
        <f ca="1"/>
        <v>0</v>
      </c>
      <c r="BF56">
        <f ca="1"/>
        <v>0</v>
      </c>
      <c r="BG56">
        <f ca="1"/>
        <v>0</v>
      </c>
      <c r="BH56">
        <f ca="1"/>
        <v>0</v>
      </c>
      <c r="BI56">
        <f ca="1"/>
        <v>0</v>
      </c>
      <c r="BJ56">
        <f ca="1"/>
        <v>0</v>
      </c>
      <c r="BK56">
        <f ca="1"/>
        <v>0</v>
      </c>
      <c r="BL56">
        <f ca="1"/>
        <v>0</v>
      </c>
      <c r="BM56">
        <f ca="1"/>
        <v>0</v>
      </c>
      <c r="BN56">
        <f ca="1"/>
        <v>0</v>
      </c>
      <c r="BO56">
        <f ca="1"/>
        <v>0</v>
      </c>
      <c r="BP56">
        <f ca="1"/>
        <v>0</v>
      </c>
      <c r="BQ56">
        <f ca="1"/>
        <v>0</v>
      </c>
      <c r="BR56">
        <f ca="1"/>
        <v>0</v>
      </c>
      <c r="BS56">
        <f ca="1"/>
        <v>0</v>
      </c>
      <c r="BT56">
        <f ca="1"/>
        <v>0</v>
      </c>
      <c r="BU56">
        <f ca="1"/>
        <v>0</v>
      </c>
    </row>
    <row r="57" spans="3:73" x14ac:dyDescent="0.25">
      <c r="C57" cm="1">
        <f t="array" aca="1" ref="C57:BU57" ca="1">IFERROR(TRANSPOSE(INDEX(_xlfn._xlws.FILTER(INDIRECT("SubcategoriesTable[Subcategory name]"),INDIRECT("SubcategoriesTable[Category name]")=$B57),,)),"No subcategories")</f>
        <v>0</v>
      </c>
      <c r="D57">
        <f ca="1"/>
        <v>0</v>
      </c>
      <c r="E57">
        <f ca="1"/>
        <v>0</v>
      </c>
      <c r="F57">
        <f ca="1"/>
        <v>0</v>
      </c>
      <c r="G57">
        <f ca="1"/>
        <v>0</v>
      </c>
      <c r="H57">
        <f ca="1"/>
        <v>0</v>
      </c>
      <c r="I57">
        <f ca="1"/>
        <v>0</v>
      </c>
      <c r="J57">
        <f ca="1"/>
        <v>0</v>
      </c>
      <c r="K57">
        <f ca="1"/>
        <v>0</v>
      </c>
      <c r="L57">
        <f ca="1"/>
        <v>0</v>
      </c>
      <c r="M57">
        <f ca="1"/>
        <v>0</v>
      </c>
      <c r="N57">
        <f ca="1"/>
        <v>0</v>
      </c>
      <c r="O57">
        <f ca="1"/>
        <v>0</v>
      </c>
      <c r="P57">
        <f ca="1"/>
        <v>0</v>
      </c>
      <c r="Q57">
        <f ca="1"/>
        <v>0</v>
      </c>
      <c r="R57">
        <f ca="1"/>
        <v>0</v>
      </c>
      <c r="S57">
        <f ca="1"/>
        <v>0</v>
      </c>
      <c r="T57">
        <f ca="1"/>
        <v>0</v>
      </c>
      <c r="U57">
        <f ca="1"/>
        <v>0</v>
      </c>
      <c r="V57">
        <f ca="1"/>
        <v>0</v>
      </c>
      <c r="W57">
        <f ca="1"/>
        <v>0</v>
      </c>
      <c r="X57">
        <f ca="1"/>
        <v>0</v>
      </c>
      <c r="Y57">
        <f ca="1"/>
        <v>0</v>
      </c>
      <c r="Z57">
        <f ca="1"/>
        <v>0</v>
      </c>
      <c r="AA57">
        <f ca="1"/>
        <v>0</v>
      </c>
      <c r="AB57">
        <f ca="1"/>
        <v>0</v>
      </c>
      <c r="AC57">
        <f ca="1"/>
        <v>0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>
        <f ca="1"/>
        <v>0</v>
      </c>
      <c r="AJ57">
        <f ca="1"/>
        <v>0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>
        <f ca="1"/>
        <v>0</v>
      </c>
      <c r="AP57">
        <f ca="1"/>
        <v>0</v>
      </c>
      <c r="AQ57">
        <f ca="1"/>
        <v>0</v>
      </c>
      <c r="AR57">
        <f ca="1"/>
        <v>0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>
        <f ca="1"/>
        <v>0</v>
      </c>
      <c r="AX57">
        <f ca="1"/>
        <v>0</v>
      </c>
      <c r="AY57">
        <f ca="1"/>
        <v>0</v>
      </c>
      <c r="AZ57">
        <f ca="1"/>
        <v>0</v>
      </c>
      <c r="BA57">
        <f ca="1"/>
        <v>0</v>
      </c>
      <c r="BB57">
        <f ca="1"/>
        <v>0</v>
      </c>
      <c r="BC57">
        <f ca="1"/>
        <v>0</v>
      </c>
      <c r="BD57">
        <f ca="1"/>
        <v>0</v>
      </c>
      <c r="BE57">
        <f ca="1"/>
        <v>0</v>
      </c>
      <c r="BF57">
        <f ca="1"/>
        <v>0</v>
      </c>
      <c r="BG57">
        <f ca="1"/>
        <v>0</v>
      </c>
      <c r="BH57">
        <f ca="1"/>
        <v>0</v>
      </c>
      <c r="BI57">
        <f ca="1"/>
        <v>0</v>
      </c>
      <c r="BJ57">
        <f ca="1"/>
        <v>0</v>
      </c>
      <c r="BK57">
        <f ca="1"/>
        <v>0</v>
      </c>
      <c r="BL57">
        <f ca="1"/>
        <v>0</v>
      </c>
      <c r="BM57">
        <f ca="1"/>
        <v>0</v>
      </c>
      <c r="BN57">
        <f ca="1"/>
        <v>0</v>
      </c>
      <c r="BO57">
        <f ca="1"/>
        <v>0</v>
      </c>
      <c r="BP57">
        <f ca="1"/>
        <v>0</v>
      </c>
      <c r="BQ57">
        <f ca="1"/>
        <v>0</v>
      </c>
      <c r="BR57">
        <f ca="1"/>
        <v>0</v>
      </c>
      <c r="BS57">
        <f ca="1"/>
        <v>0</v>
      </c>
      <c r="BT57">
        <f ca="1"/>
        <v>0</v>
      </c>
      <c r="BU57">
        <f ca="1"/>
        <v>0</v>
      </c>
    </row>
    <row r="58" spans="3:73" x14ac:dyDescent="0.25">
      <c r="C58" cm="1">
        <f t="array" aca="1" ref="C58:BU58" ca="1">IFERROR(TRANSPOSE(INDEX(_xlfn._xlws.FILTER(INDIRECT("SubcategoriesTable[Subcategory name]"),INDIRECT("SubcategoriesTable[Category name]")=$B58),,)),"No subcategories")</f>
        <v>0</v>
      </c>
      <c r="D58">
        <f ca="1"/>
        <v>0</v>
      </c>
      <c r="E58">
        <f ca="1"/>
        <v>0</v>
      </c>
      <c r="F58">
        <f ca="1"/>
        <v>0</v>
      </c>
      <c r="G58">
        <f ca="1"/>
        <v>0</v>
      </c>
      <c r="H58">
        <f ca="1"/>
        <v>0</v>
      </c>
      <c r="I58">
        <f ca="1"/>
        <v>0</v>
      </c>
      <c r="J58">
        <f ca="1"/>
        <v>0</v>
      </c>
      <c r="K58">
        <f ca="1"/>
        <v>0</v>
      </c>
      <c r="L58">
        <f ca="1"/>
        <v>0</v>
      </c>
      <c r="M58">
        <f ca="1"/>
        <v>0</v>
      </c>
      <c r="N58">
        <f ca="1"/>
        <v>0</v>
      </c>
      <c r="O58">
        <f ca="1"/>
        <v>0</v>
      </c>
      <c r="P58">
        <f ca="1"/>
        <v>0</v>
      </c>
      <c r="Q58">
        <f ca="1"/>
        <v>0</v>
      </c>
      <c r="R58">
        <f ca="1"/>
        <v>0</v>
      </c>
      <c r="S58">
        <f ca="1"/>
        <v>0</v>
      </c>
      <c r="T58">
        <f ca="1"/>
        <v>0</v>
      </c>
      <c r="U58">
        <f ca="1"/>
        <v>0</v>
      </c>
      <c r="V58">
        <f ca="1"/>
        <v>0</v>
      </c>
      <c r="W58">
        <f ca="1"/>
        <v>0</v>
      </c>
      <c r="X58">
        <f ca="1"/>
        <v>0</v>
      </c>
      <c r="Y58">
        <f ca="1"/>
        <v>0</v>
      </c>
      <c r="Z58">
        <f ca="1"/>
        <v>0</v>
      </c>
      <c r="AA58">
        <f ca="1"/>
        <v>0</v>
      </c>
      <c r="AB58">
        <f ca="1"/>
        <v>0</v>
      </c>
      <c r="AC58">
        <f ca="1"/>
        <v>0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>
        <f ca="1"/>
        <v>0</v>
      </c>
      <c r="AJ58">
        <f ca="1"/>
        <v>0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  <c r="AQ58">
        <f ca="1"/>
        <v>0</v>
      </c>
      <c r="AR58">
        <f ca="1"/>
        <v>0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>
        <f ca="1"/>
        <v>0</v>
      </c>
      <c r="AX58">
        <f ca="1"/>
        <v>0</v>
      </c>
      <c r="AY58">
        <f ca="1"/>
        <v>0</v>
      </c>
      <c r="AZ58">
        <f ca="1"/>
        <v>0</v>
      </c>
      <c r="BA58">
        <f ca="1"/>
        <v>0</v>
      </c>
      <c r="BB58">
        <f ca="1"/>
        <v>0</v>
      </c>
      <c r="BC58">
        <f ca="1"/>
        <v>0</v>
      </c>
      <c r="BD58">
        <f ca="1"/>
        <v>0</v>
      </c>
      <c r="BE58">
        <f ca="1"/>
        <v>0</v>
      </c>
      <c r="BF58">
        <f ca="1"/>
        <v>0</v>
      </c>
      <c r="BG58">
        <f ca="1"/>
        <v>0</v>
      </c>
      <c r="BH58">
        <f ca="1"/>
        <v>0</v>
      </c>
      <c r="BI58">
        <f ca="1"/>
        <v>0</v>
      </c>
      <c r="BJ58">
        <f ca="1"/>
        <v>0</v>
      </c>
      <c r="BK58">
        <f ca="1"/>
        <v>0</v>
      </c>
      <c r="BL58">
        <f ca="1"/>
        <v>0</v>
      </c>
      <c r="BM58">
        <f ca="1"/>
        <v>0</v>
      </c>
      <c r="BN58">
        <f ca="1"/>
        <v>0</v>
      </c>
      <c r="BO58">
        <f ca="1"/>
        <v>0</v>
      </c>
      <c r="BP58">
        <f ca="1"/>
        <v>0</v>
      </c>
      <c r="BQ58">
        <f ca="1"/>
        <v>0</v>
      </c>
      <c r="BR58">
        <f ca="1"/>
        <v>0</v>
      </c>
      <c r="BS58">
        <f ca="1"/>
        <v>0</v>
      </c>
      <c r="BT58">
        <f ca="1"/>
        <v>0</v>
      </c>
      <c r="BU58">
        <f ca="1"/>
        <v>0</v>
      </c>
    </row>
    <row r="59" spans="3:73" x14ac:dyDescent="0.25">
      <c r="C59" cm="1">
        <f t="array" aca="1" ref="C59:BU59" ca="1">IFERROR(TRANSPOSE(INDEX(_xlfn._xlws.FILTER(INDIRECT("SubcategoriesTable[Subcategory name]"),INDIRECT("SubcategoriesTable[Category name]")=$B59),,)),"No subcategories")</f>
        <v>0</v>
      </c>
      <c r="D59">
        <f ca="1"/>
        <v>0</v>
      </c>
      <c r="E59">
        <f ca="1"/>
        <v>0</v>
      </c>
      <c r="F59">
        <f ca="1"/>
        <v>0</v>
      </c>
      <c r="G59">
        <f ca="1"/>
        <v>0</v>
      </c>
      <c r="H59">
        <f ca="1"/>
        <v>0</v>
      </c>
      <c r="I59">
        <f ca="1"/>
        <v>0</v>
      </c>
      <c r="J59">
        <f ca="1"/>
        <v>0</v>
      </c>
      <c r="K59">
        <f ca="1"/>
        <v>0</v>
      </c>
      <c r="L59">
        <f ca="1"/>
        <v>0</v>
      </c>
      <c r="M59">
        <f ca="1"/>
        <v>0</v>
      </c>
      <c r="N59">
        <f ca="1"/>
        <v>0</v>
      </c>
      <c r="O59">
        <f ca="1"/>
        <v>0</v>
      </c>
      <c r="P59">
        <f ca="1"/>
        <v>0</v>
      </c>
      <c r="Q59">
        <f ca="1"/>
        <v>0</v>
      </c>
      <c r="R59">
        <f ca="1"/>
        <v>0</v>
      </c>
      <c r="S59">
        <f ca="1"/>
        <v>0</v>
      </c>
      <c r="T59">
        <f ca="1"/>
        <v>0</v>
      </c>
      <c r="U59">
        <f ca="1"/>
        <v>0</v>
      </c>
      <c r="V59">
        <f ca="1"/>
        <v>0</v>
      </c>
      <c r="W59">
        <f ca="1"/>
        <v>0</v>
      </c>
      <c r="X59">
        <f ca="1"/>
        <v>0</v>
      </c>
      <c r="Y59">
        <f ca="1"/>
        <v>0</v>
      </c>
      <c r="Z59">
        <f ca="1"/>
        <v>0</v>
      </c>
      <c r="AA59">
        <f ca="1"/>
        <v>0</v>
      </c>
      <c r="AB59">
        <f ca="1"/>
        <v>0</v>
      </c>
      <c r="AC59">
        <f ca="1"/>
        <v>0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  <c r="AN59">
        <f ca="1"/>
        <v>0</v>
      </c>
      <c r="AO59">
        <f ca="1"/>
        <v>0</v>
      </c>
      <c r="AP59">
        <f ca="1"/>
        <v>0</v>
      </c>
      <c r="AQ59">
        <f ca="1"/>
        <v>0</v>
      </c>
      <c r="AR59">
        <f ca="1"/>
        <v>0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>
        <f ca="1"/>
        <v>0</v>
      </c>
      <c r="AX59">
        <f ca="1"/>
        <v>0</v>
      </c>
      <c r="AY59">
        <f ca="1"/>
        <v>0</v>
      </c>
      <c r="AZ59">
        <f ca="1"/>
        <v>0</v>
      </c>
      <c r="BA59">
        <f ca="1"/>
        <v>0</v>
      </c>
      <c r="BB59">
        <f ca="1"/>
        <v>0</v>
      </c>
      <c r="BC59">
        <f ca="1"/>
        <v>0</v>
      </c>
      <c r="BD59">
        <f ca="1"/>
        <v>0</v>
      </c>
      <c r="BE59">
        <f ca="1"/>
        <v>0</v>
      </c>
      <c r="BF59">
        <f ca="1"/>
        <v>0</v>
      </c>
      <c r="BG59">
        <f ca="1"/>
        <v>0</v>
      </c>
      <c r="BH59">
        <f ca="1"/>
        <v>0</v>
      </c>
      <c r="BI59">
        <f ca="1"/>
        <v>0</v>
      </c>
      <c r="BJ59">
        <f ca="1"/>
        <v>0</v>
      </c>
      <c r="BK59">
        <f ca="1"/>
        <v>0</v>
      </c>
      <c r="BL59">
        <f ca="1"/>
        <v>0</v>
      </c>
      <c r="BM59">
        <f ca="1"/>
        <v>0</v>
      </c>
      <c r="BN59">
        <f ca="1"/>
        <v>0</v>
      </c>
      <c r="BO59">
        <f ca="1"/>
        <v>0</v>
      </c>
      <c r="BP59">
        <f ca="1"/>
        <v>0</v>
      </c>
      <c r="BQ59">
        <f ca="1"/>
        <v>0</v>
      </c>
      <c r="BR59">
        <f ca="1"/>
        <v>0</v>
      </c>
      <c r="BS59">
        <f ca="1"/>
        <v>0</v>
      </c>
      <c r="BT59">
        <f ca="1"/>
        <v>0</v>
      </c>
      <c r="BU59">
        <f ca="1"/>
        <v>0</v>
      </c>
    </row>
    <row r="60" spans="3:73" x14ac:dyDescent="0.25">
      <c r="C60" cm="1">
        <f t="array" aca="1" ref="C60:BU60" ca="1">IFERROR(TRANSPOSE(INDEX(_xlfn._xlws.FILTER(INDIRECT("SubcategoriesTable[Subcategory name]"),INDIRECT("SubcategoriesTable[Category name]")=$B60),,)),"No subcategories")</f>
        <v>0</v>
      </c>
      <c r="D60">
        <f ca="1"/>
        <v>0</v>
      </c>
      <c r="E60">
        <f ca="1"/>
        <v>0</v>
      </c>
      <c r="F60">
        <f ca="1"/>
        <v>0</v>
      </c>
      <c r="G60">
        <f ca="1"/>
        <v>0</v>
      </c>
      <c r="H60">
        <f ca="1"/>
        <v>0</v>
      </c>
      <c r="I60">
        <f ca="1"/>
        <v>0</v>
      </c>
      <c r="J60">
        <f ca="1"/>
        <v>0</v>
      </c>
      <c r="K60">
        <f ca="1"/>
        <v>0</v>
      </c>
      <c r="L60">
        <f ca="1"/>
        <v>0</v>
      </c>
      <c r="M60">
        <f ca="1"/>
        <v>0</v>
      </c>
      <c r="N60">
        <f ca="1"/>
        <v>0</v>
      </c>
      <c r="O60">
        <f ca="1"/>
        <v>0</v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>
        <f ca="1"/>
        <v>0</v>
      </c>
      <c r="W60">
        <f ca="1"/>
        <v>0</v>
      </c>
      <c r="X60">
        <f ca="1"/>
        <v>0</v>
      </c>
      <c r="Y60">
        <f ca="1"/>
        <v>0</v>
      </c>
      <c r="Z60">
        <f ca="1"/>
        <v>0</v>
      </c>
      <c r="AA60">
        <f ca="1"/>
        <v>0</v>
      </c>
      <c r="AB60">
        <f ca="1"/>
        <v>0</v>
      </c>
      <c r="AC60">
        <f ca="1"/>
        <v>0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>
        <f ca="1"/>
        <v>0</v>
      </c>
      <c r="AJ60">
        <f ca="1"/>
        <v>0</v>
      </c>
      <c r="AK60">
        <f ca="1"/>
        <v>0</v>
      </c>
      <c r="AL60">
        <f ca="1"/>
        <v>0</v>
      </c>
      <c r="AM60">
        <f ca="1"/>
        <v>0</v>
      </c>
      <c r="AN60">
        <f ca="1"/>
        <v>0</v>
      </c>
      <c r="AO60">
        <f ca="1"/>
        <v>0</v>
      </c>
      <c r="AP60">
        <f ca="1"/>
        <v>0</v>
      </c>
      <c r="AQ60">
        <f ca="1"/>
        <v>0</v>
      </c>
      <c r="AR60">
        <f ca="1"/>
        <v>0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>
        <f ca="1"/>
        <v>0</v>
      </c>
      <c r="AX60">
        <f ca="1"/>
        <v>0</v>
      </c>
      <c r="AY60">
        <f ca="1"/>
        <v>0</v>
      </c>
      <c r="AZ60">
        <f ca="1"/>
        <v>0</v>
      </c>
      <c r="BA60">
        <f ca="1"/>
        <v>0</v>
      </c>
      <c r="BB60">
        <f ca="1"/>
        <v>0</v>
      </c>
      <c r="BC60">
        <f ca="1"/>
        <v>0</v>
      </c>
      <c r="BD60">
        <f ca="1"/>
        <v>0</v>
      </c>
      <c r="BE60">
        <f ca="1"/>
        <v>0</v>
      </c>
      <c r="BF60">
        <f ca="1"/>
        <v>0</v>
      </c>
      <c r="BG60">
        <f ca="1"/>
        <v>0</v>
      </c>
      <c r="BH60">
        <f ca="1"/>
        <v>0</v>
      </c>
      <c r="BI60">
        <f ca="1"/>
        <v>0</v>
      </c>
      <c r="BJ60">
        <f ca="1"/>
        <v>0</v>
      </c>
      <c r="BK60">
        <f ca="1"/>
        <v>0</v>
      </c>
      <c r="BL60">
        <f ca="1"/>
        <v>0</v>
      </c>
      <c r="BM60">
        <f ca="1"/>
        <v>0</v>
      </c>
      <c r="BN60">
        <f ca="1"/>
        <v>0</v>
      </c>
      <c r="BO60">
        <f ca="1"/>
        <v>0</v>
      </c>
      <c r="BP60">
        <f ca="1"/>
        <v>0</v>
      </c>
      <c r="BQ60">
        <f ca="1"/>
        <v>0</v>
      </c>
      <c r="BR60">
        <f ca="1"/>
        <v>0</v>
      </c>
      <c r="BS60">
        <f ca="1"/>
        <v>0</v>
      </c>
      <c r="BT60">
        <f ca="1"/>
        <v>0</v>
      </c>
      <c r="BU60">
        <f ca="1"/>
        <v>0</v>
      </c>
    </row>
    <row r="61" spans="3:73" x14ac:dyDescent="0.25">
      <c r="C61" cm="1">
        <f t="array" aca="1" ref="C61:BU61" ca="1">IFERROR(TRANSPOSE(INDEX(_xlfn._xlws.FILTER(INDIRECT("SubcategoriesTable[Subcategory name]"),INDIRECT("SubcategoriesTable[Category name]")=$B61),,)),"No subcategories")</f>
        <v>0</v>
      </c>
      <c r="D61">
        <f ca="1"/>
        <v>0</v>
      </c>
      <c r="E61">
        <f ca="1"/>
        <v>0</v>
      </c>
      <c r="F61">
        <f ca="1"/>
        <v>0</v>
      </c>
      <c r="G61">
        <f ca="1"/>
        <v>0</v>
      </c>
      <c r="H61">
        <f ca="1"/>
        <v>0</v>
      </c>
      <c r="I61">
        <f ca="1"/>
        <v>0</v>
      </c>
      <c r="J61">
        <f ca="1"/>
        <v>0</v>
      </c>
      <c r="K61">
        <f ca="1"/>
        <v>0</v>
      </c>
      <c r="L61">
        <f ca="1"/>
        <v>0</v>
      </c>
      <c r="M61">
        <f ca="1"/>
        <v>0</v>
      </c>
      <c r="N61">
        <f ca="1"/>
        <v>0</v>
      </c>
      <c r="O61">
        <f ca="1"/>
        <v>0</v>
      </c>
      <c r="P61">
        <f ca="1"/>
        <v>0</v>
      </c>
      <c r="Q61">
        <f ca="1"/>
        <v>0</v>
      </c>
      <c r="R61">
        <f ca="1"/>
        <v>0</v>
      </c>
      <c r="S61">
        <f ca="1"/>
        <v>0</v>
      </c>
      <c r="T61">
        <f ca="1"/>
        <v>0</v>
      </c>
      <c r="U61">
        <f ca="1"/>
        <v>0</v>
      </c>
      <c r="V61">
        <f ca="1"/>
        <v>0</v>
      </c>
      <c r="W61">
        <f ca="1"/>
        <v>0</v>
      </c>
      <c r="X61">
        <f ca="1"/>
        <v>0</v>
      </c>
      <c r="Y61">
        <f ca="1"/>
        <v>0</v>
      </c>
      <c r="Z61">
        <f ca="1"/>
        <v>0</v>
      </c>
      <c r="AA61">
        <f ca="1"/>
        <v>0</v>
      </c>
      <c r="AB61">
        <f ca="1"/>
        <v>0</v>
      </c>
      <c r="AC61">
        <f ca="1"/>
        <v>0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>
        <f ca="1"/>
        <v>0</v>
      </c>
      <c r="AJ61">
        <f ca="1"/>
        <v>0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  <c r="AQ61">
        <f ca="1"/>
        <v>0</v>
      </c>
      <c r="AR61">
        <f ca="1"/>
        <v>0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>
        <f ca="1"/>
        <v>0</v>
      </c>
      <c r="AX61">
        <f ca="1"/>
        <v>0</v>
      </c>
      <c r="AY61">
        <f ca="1"/>
        <v>0</v>
      </c>
      <c r="AZ61">
        <f ca="1"/>
        <v>0</v>
      </c>
      <c r="BA61">
        <f ca="1"/>
        <v>0</v>
      </c>
      <c r="BB61">
        <f ca="1"/>
        <v>0</v>
      </c>
      <c r="BC61">
        <f ca="1"/>
        <v>0</v>
      </c>
      <c r="BD61">
        <f ca="1"/>
        <v>0</v>
      </c>
      <c r="BE61">
        <f ca="1"/>
        <v>0</v>
      </c>
      <c r="BF61">
        <f ca="1"/>
        <v>0</v>
      </c>
      <c r="BG61">
        <f ca="1"/>
        <v>0</v>
      </c>
      <c r="BH61">
        <f ca="1"/>
        <v>0</v>
      </c>
      <c r="BI61">
        <f ca="1"/>
        <v>0</v>
      </c>
      <c r="BJ61">
        <f ca="1"/>
        <v>0</v>
      </c>
      <c r="BK61">
        <f ca="1"/>
        <v>0</v>
      </c>
      <c r="BL61">
        <f ca="1"/>
        <v>0</v>
      </c>
      <c r="BM61">
        <f ca="1"/>
        <v>0</v>
      </c>
      <c r="BN61">
        <f ca="1"/>
        <v>0</v>
      </c>
      <c r="BO61">
        <f ca="1"/>
        <v>0</v>
      </c>
      <c r="BP61">
        <f ca="1"/>
        <v>0</v>
      </c>
      <c r="BQ61">
        <f ca="1"/>
        <v>0</v>
      </c>
      <c r="BR61">
        <f ca="1"/>
        <v>0</v>
      </c>
      <c r="BS61">
        <f ca="1"/>
        <v>0</v>
      </c>
      <c r="BT61">
        <f ca="1"/>
        <v>0</v>
      </c>
      <c r="BU61">
        <f ca="1"/>
        <v>0</v>
      </c>
    </row>
    <row r="62" spans="3:73" x14ac:dyDescent="0.25">
      <c r="C62" cm="1">
        <f t="array" aca="1" ref="C62:BU62" ca="1">IFERROR(TRANSPOSE(INDEX(_xlfn._xlws.FILTER(INDIRECT("SubcategoriesTable[Subcategory name]"),INDIRECT("SubcategoriesTable[Category name]")=$B62),,)),"No subcategories")</f>
        <v>0</v>
      </c>
      <c r="D62">
        <f ca="1"/>
        <v>0</v>
      </c>
      <c r="E62">
        <f ca="1"/>
        <v>0</v>
      </c>
      <c r="F62">
        <f ca="1"/>
        <v>0</v>
      </c>
      <c r="G62">
        <f ca="1"/>
        <v>0</v>
      </c>
      <c r="H62">
        <f ca="1"/>
        <v>0</v>
      </c>
      <c r="I62">
        <f ca="1"/>
        <v>0</v>
      </c>
      <c r="J62">
        <f ca="1"/>
        <v>0</v>
      </c>
      <c r="K62">
        <f ca="1"/>
        <v>0</v>
      </c>
      <c r="L62">
        <f ca="1"/>
        <v>0</v>
      </c>
      <c r="M62">
        <f ca="1"/>
        <v>0</v>
      </c>
      <c r="N62">
        <f ca="1"/>
        <v>0</v>
      </c>
      <c r="O62">
        <f ca="1"/>
        <v>0</v>
      </c>
      <c r="P62">
        <f ca="1"/>
        <v>0</v>
      </c>
      <c r="Q62">
        <f ca="1"/>
        <v>0</v>
      </c>
      <c r="R62">
        <f ca="1"/>
        <v>0</v>
      </c>
      <c r="S62">
        <f ca="1"/>
        <v>0</v>
      </c>
      <c r="T62">
        <f ca="1"/>
        <v>0</v>
      </c>
      <c r="U62">
        <f ca="1"/>
        <v>0</v>
      </c>
      <c r="V62">
        <f ca="1"/>
        <v>0</v>
      </c>
      <c r="W62">
        <f ca="1"/>
        <v>0</v>
      </c>
      <c r="X62">
        <f ca="1"/>
        <v>0</v>
      </c>
      <c r="Y62">
        <f ca="1"/>
        <v>0</v>
      </c>
      <c r="Z62">
        <f ca="1"/>
        <v>0</v>
      </c>
      <c r="AA62">
        <f ca="1"/>
        <v>0</v>
      </c>
      <c r="AB62">
        <f ca="1"/>
        <v>0</v>
      </c>
      <c r="AC62">
        <f ca="1"/>
        <v>0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>
        <f ca="1"/>
        <v>0</v>
      </c>
      <c r="AJ62">
        <f ca="1"/>
        <v>0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  <c r="AQ62">
        <f ca="1"/>
        <v>0</v>
      </c>
      <c r="AR62">
        <f ca="1"/>
        <v>0</v>
      </c>
      <c r="AS62">
        <f ca="1"/>
        <v>0</v>
      </c>
      <c r="AT62">
        <f ca="1"/>
        <v>0</v>
      </c>
      <c r="AU62">
        <f ca="1"/>
        <v>0</v>
      </c>
      <c r="AV62">
        <f ca="1"/>
        <v>0</v>
      </c>
      <c r="AW62">
        <f ca="1"/>
        <v>0</v>
      </c>
      <c r="AX62">
        <f ca="1"/>
        <v>0</v>
      </c>
      <c r="AY62">
        <f ca="1"/>
        <v>0</v>
      </c>
      <c r="AZ62">
        <f ca="1"/>
        <v>0</v>
      </c>
      <c r="BA62">
        <f ca="1"/>
        <v>0</v>
      </c>
      <c r="BB62">
        <f ca="1"/>
        <v>0</v>
      </c>
      <c r="BC62">
        <f ca="1"/>
        <v>0</v>
      </c>
      <c r="BD62">
        <f ca="1"/>
        <v>0</v>
      </c>
      <c r="BE62">
        <f ca="1"/>
        <v>0</v>
      </c>
      <c r="BF62">
        <f ca="1"/>
        <v>0</v>
      </c>
      <c r="BG62">
        <f ca="1"/>
        <v>0</v>
      </c>
      <c r="BH62">
        <f ca="1"/>
        <v>0</v>
      </c>
      <c r="BI62">
        <f ca="1"/>
        <v>0</v>
      </c>
      <c r="BJ62">
        <f ca="1"/>
        <v>0</v>
      </c>
      <c r="BK62">
        <f ca="1"/>
        <v>0</v>
      </c>
      <c r="BL62">
        <f ca="1"/>
        <v>0</v>
      </c>
      <c r="BM62">
        <f ca="1"/>
        <v>0</v>
      </c>
      <c r="BN62">
        <f ca="1"/>
        <v>0</v>
      </c>
      <c r="BO62">
        <f ca="1"/>
        <v>0</v>
      </c>
      <c r="BP62">
        <f ca="1"/>
        <v>0</v>
      </c>
      <c r="BQ62">
        <f ca="1"/>
        <v>0</v>
      </c>
      <c r="BR62">
        <f ca="1"/>
        <v>0</v>
      </c>
      <c r="BS62">
        <f ca="1"/>
        <v>0</v>
      </c>
      <c r="BT62">
        <f ca="1"/>
        <v>0</v>
      </c>
      <c r="BU62">
        <f ca="1"/>
        <v>0</v>
      </c>
    </row>
    <row r="63" spans="3:73" x14ac:dyDescent="0.25">
      <c r="C63" cm="1">
        <f t="array" aca="1" ref="C63:BU63" ca="1">IFERROR(TRANSPOSE(INDEX(_xlfn._xlws.FILTER(INDIRECT("SubcategoriesTable[Subcategory name]"),INDIRECT("SubcategoriesTable[Category name]")=$B63),,)),"No subcategories")</f>
        <v>0</v>
      </c>
      <c r="D63">
        <f ca="1"/>
        <v>0</v>
      </c>
      <c r="E63">
        <f ca="1"/>
        <v>0</v>
      </c>
      <c r="F63">
        <f ca="1"/>
        <v>0</v>
      </c>
      <c r="G63">
        <f ca="1"/>
        <v>0</v>
      </c>
      <c r="H63">
        <f ca="1"/>
        <v>0</v>
      </c>
      <c r="I63">
        <f ca="1"/>
        <v>0</v>
      </c>
      <c r="J63">
        <f ca="1"/>
        <v>0</v>
      </c>
      <c r="K63">
        <f ca="1"/>
        <v>0</v>
      </c>
      <c r="L63">
        <f ca="1"/>
        <v>0</v>
      </c>
      <c r="M63">
        <f ca="1"/>
        <v>0</v>
      </c>
      <c r="N63">
        <f ca="1"/>
        <v>0</v>
      </c>
      <c r="O63">
        <f ca="1"/>
        <v>0</v>
      </c>
      <c r="P63">
        <f ca="1"/>
        <v>0</v>
      </c>
      <c r="Q63">
        <f ca="1"/>
        <v>0</v>
      </c>
      <c r="R63">
        <f ca="1"/>
        <v>0</v>
      </c>
      <c r="S63">
        <f ca="1"/>
        <v>0</v>
      </c>
      <c r="T63">
        <f ca="1"/>
        <v>0</v>
      </c>
      <c r="U63">
        <f ca="1"/>
        <v>0</v>
      </c>
      <c r="V63">
        <f ca="1"/>
        <v>0</v>
      </c>
      <c r="W63">
        <f ca="1"/>
        <v>0</v>
      </c>
      <c r="X63">
        <f ca="1"/>
        <v>0</v>
      </c>
      <c r="Y63">
        <f ca="1"/>
        <v>0</v>
      </c>
      <c r="Z63">
        <f ca="1"/>
        <v>0</v>
      </c>
      <c r="AA63">
        <f ca="1"/>
        <v>0</v>
      </c>
      <c r="AB63">
        <f ca="1"/>
        <v>0</v>
      </c>
      <c r="AC63">
        <f ca="1"/>
        <v>0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>
        <f ca="1"/>
        <v>0</v>
      </c>
      <c r="AJ63">
        <f ca="1"/>
        <v>0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  <c r="AQ63">
        <f ca="1"/>
        <v>0</v>
      </c>
      <c r="AR63">
        <f ca="1"/>
        <v>0</v>
      </c>
      <c r="AS63">
        <f ca="1"/>
        <v>0</v>
      </c>
      <c r="AT63">
        <f ca="1"/>
        <v>0</v>
      </c>
      <c r="AU63">
        <f ca="1"/>
        <v>0</v>
      </c>
      <c r="AV63">
        <f ca="1"/>
        <v>0</v>
      </c>
      <c r="AW63">
        <f ca="1"/>
        <v>0</v>
      </c>
      <c r="AX63">
        <f ca="1"/>
        <v>0</v>
      </c>
      <c r="AY63">
        <f ca="1"/>
        <v>0</v>
      </c>
      <c r="AZ63">
        <f ca="1"/>
        <v>0</v>
      </c>
      <c r="BA63">
        <f ca="1"/>
        <v>0</v>
      </c>
      <c r="BB63">
        <f ca="1"/>
        <v>0</v>
      </c>
      <c r="BC63">
        <f ca="1"/>
        <v>0</v>
      </c>
      <c r="BD63">
        <f ca="1"/>
        <v>0</v>
      </c>
      <c r="BE63">
        <f ca="1"/>
        <v>0</v>
      </c>
      <c r="BF63">
        <f ca="1"/>
        <v>0</v>
      </c>
      <c r="BG63">
        <f ca="1"/>
        <v>0</v>
      </c>
      <c r="BH63">
        <f ca="1"/>
        <v>0</v>
      </c>
      <c r="BI63">
        <f ca="1"/>
        <v>0</v>
      </c>
      <c r="BJ63">
        <f ca="1"/>
        <v>0</v>
      </c>
      <c r="BK63">
        <f ca="1"/>
        <v>0</v>
      </c>
      <c r="BL63">
        <f ca="1"/>
        <v>0</v>
      </c>
      <c r="BM63">
        <f ca="1"/>
        <v>0</v>
      </c>
      <c r="BN63">
        <f ca="1"/>
        <v>0</v>
      </c>
      <c r="BO63">
        <f ca="1"/>
        <v>0</v>
      </c>
      <c r="BP63">
        <f ca="1"/>
        <v>0</v>
      </c>
      <c r="BQ63">
        <f ca="1"/>
        <v>0</v>
      </c>
      <c r="BR63">
        <f ca="1"/>
        <v>0</v>
      </c>
      <c r="BS63">
        <f ca="1"/>
        <v>0</v>
      </c>
      <c r="BT63">
        <f ca="1"/>
        <v>0</v>
      </c>
      <c r="BU63">
        <f ca="1"/>
        <v>0</v>
      </c>
    </row>
    <row r="64" spans="3:73" x14ac:dyDescent="0.25">
      <c r="C64" cm="1">
        <f t="array" aca="1" ref="C64:BU64" ca="1">IFERROR(TRANSPOSE(INDEX(_xlfn._xlws.FILTER(INDIRECT("SubcategoriesTable[Subcategory name]"),INDIRECT("SubcategoriesTable[Category name]")=$B64),,)),"No subcategories")</f>
        <v>0</v>
      </c>
      <c r="D64">
        <f ca="1"/>
        <v>0</v>
      </c>
      <c r="E64">
        <f ca="1"/>
        <v>0</v>
      </c>
      <c r="F64">
        <f ca="1"/>
        <v>0</v>
      </c>
      <c r="G64">
        <f ca="1"/>
        <v>0</v>
      </c>
      <c r="H64">
        <f ca="1"/>
        <v>0</v>
      </c>
      <c r="I64">
        <f ca="1"/>
        <v>0</v>
      </c>
      <c r="J64">
        <f ca="1"/>
        <v>0</v>
      </c>
      <c r="K64">
        <f ca="1"/>
        <v>0</v>
      </c>
      <c r="L64">
        <f ca="1"/>
        <v>0</v>
      </c>
      <c r="M64">
        <f ca="1"/>
        <v>0</v>
      </c>
      <c r="N64">
        <f ca="1"/>
        <v>0</v>
      </c>
      <c r="O64">
        <f ca="1"/>
        <v>0</v>
      </c>
      <c r="P64">
        <f ca="1"/>
        <v>0</v>
      </c>
      <c r="Q64">
        <f ca="1"/>
        <v>0</v>
      </c>
      <c r="R64">
        <f ca="1"/>
        <v>0</v>
      </c>
      <c r="S64">
        <f ca="1"/>
        <v>0</v>
      </c>
      <c r="T64">
        <f ca="1"/>
        <v>0</v>
      </c>
      <c r="U64">
        <f ca="1"/>
        <v>0</v>
      </c>
      <c r="V64">
        <f ca="1"/>
        <v>0</v>
      </c>
      <c r="W64">
        <f ca="1"/>
        <v>0</v>
      </c>
      <c r="X64">
        <f ca="1"/>
        <v>0</v>
      </c>
      <c r="Y64">
        <f ca="1"/>
        <v>0</v>
      </c>
      <c r="Z64">
        <f ca="1"/>
        <v>0</v>
      </c>
      <c r="AA64">
        <f ca="1"/>
        <v>0</v>
      </c>
      <c r="AB64">
        <f ca="1"/>
        <v>0</v>
      </c>
      <c r="AC64">
        <f ca="1"/>
        <v>0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>
        <f ca="1"/>
        <v>0</v>
      </c>
      <c r="AJ64">
        <f ca="1"/>
        <v>0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  <c r="AQ64">
        <f ca="1"/>
        <v>0</v>
      </c>
      <c r="AR64">
        <f ca="1"/>
        <v>0</v>
      </c>
      <c r="AS64">
        <f ca="1"/>
        <v>0</v>
      </c>
      <c r="AT64">
        <f ca="1"/>
        <v>0</v>
      </c>
      <c r="AU64">
        <f ca="1"/>
        <v>0</v>
      </c>
      <c r="AV64">
        <f ca="1"/>
        <v>0</v>
      </c>
      <c r="AW64">
        <f ca="1"/>
        <v>0</v>
      </c>
      <c r="AX64">
        <f ca="1"/>
        <v>0</v>
      </c>
      <c r="AY64">
        <f ca="1"/>
        <v>0</v>
      </c>
      <c r="AZ64">
        <f ca="1"/>
        <v>0</v>
      </c>
      <c r="BA64">
        <f ca="1"/>
        <v>0</v>
      </c>
      <c r="BB64">
        <f ca="1"/>
        <v>0</v>
      </c>
      <c r="BC64">
        <f ca="1"/>
        <v>0</v>
      </c>
      <c r="BD64">
        <f ca="1"/>
        <v>0</v>
      </c>
      <c r="BE64">
        <f ca="1"/>
        <v>0</v>
      </c>
      <c r="BF64">
        <f ca="1"/>
        <v>0</v>
      </c>
      <c r="BG64">
        <f ca="1"/>
        <v>0</v>
      </c>
      <c r="BH64">
        <f ca="1"/>
        <v>0</v>
      </c>
      <c r="BI64">
        <f ca="1"/>
        <v>0</v>
      </c>
      <c r="BJ64">
        <f ca="1"/>
        <v>0</v>
      </c>
      <c r="BK64">
        <f ca="1"/>
        <v>0</v>
      </c>
      <c r="BL64">
        <f ca="1"/>
        <v>0</v>
      </c>
      <c r="BM64">
        <f ca="1"/>
        <v>0</v>
      </c>
      <c r="BN64">
        <f ca="1"/>
        <v>0</v>
      </c>
      <c r="BO64">
        <f ca="1"/>
        <v>0</v>
      </c>
      <c r="BP64">
        <f ca="1"/>
        <v>0</v>
      </c>
      <c r="BQ64">
        <f ca="1"/>
        <v>0</v>
      </c>
      <c r="BR64">
        <f ca="1"/>
        <v>0</v>
      </c>
      <c r="BS64">
        <f ca="1"/>
        <v>0</v>
      </c>
      <c r="BT64">
        <f ca="1"/>
        <v>0</v>
      </c>
      <c r="BU64">
        <f ca="1"/>
        <v>0</v>
      </c>
    </row>
    <row r="65" spans="3:73" x14ac:dyDescent="0.25">
      <c r="C65" cm="1">
        <f t="array" aca="1" ref="C65:BU65" ca="1">IFERROR(TRANSPOSE(INDEX(_xlfn._xlws.FILTER(INDIRECT("SubcategoriesTable[Subcategory name]"),INDIRECT("SubcategoriesTable[Category name]")=$B65),,)),"No subcategories")</f>
        <v>0</v>
      </c>
      <c r="D65">
        <f ca="1"/>
        <v>0</v>
      </c>
      <c r="E65">
        <f ca="1"/>
        <v>0</v>
      </c>
      <c r="F65">
        <f ca="1"/>
        <v>0</v>
      </c>
      <c r="G65">
        <f ca="1"/>
        <v>0</v>
      </c>
      <c r="H65">
        <f ca="1"/>
        <v>0</v>
      </c>
      <c r="I65">
        <f ca="1"/>
        <v>0</v>
      </c>
      <c r="J65">
        <f ca="1"/>
        <v>0</v>
      </c>
      <c r="K65">
        <f ca="1"/>
        <v>0</v>
      </c>
      <c r="L65">
        <f ca="1"/>
        <v>0</v>
      </c>
      <c r="M65">
        <f ca="1"/>
        <v>0</v>
      </c>
      <c r="N65">
        <f ca="1"/>
        <v>0</v>
      </c>
      <c r="O65">
        <f ca="1"/>
        <v>0</v>
      </c>
      <c r="P65">
        <f ca="1"/>
        <v>0</v>
      </c>
      <c r="Q65">
        <f ca="1"/>
        <v>0</v>
      </c>
      <c r="R65">
        <f ca="1"/>
        <v>0</v>
      </c>
      <c r="S65">
        <f ca="1"/>
        <v>0</v>
      </c>
      <c r="T65">
        <f ca="1"/>
        <v>0</v>
      </c>
      <c r="U65">
        <f ca="1"/>
        <v>0</v>
      </c>
      <c r="V65">
        <f ca="1"/>
        <v>0</v>
      </c>
      <c r="W65">
        <f ca="1"/>
        <v>0</v>
      </c>
      <c r="X65">
        <f ca="1"/>
        <v>0</v>
      </c>
      <c r="Y65">
        <f ca="1"/>
        <v>0</v>
      </c>
      <c r="Z65">
        <f ca="1"/>
        <v>0</v>
      </c>
      <c r="AA65">
        <f ca="1"/>
        <v>0</v>
      </c>
      <c r="AB65">
        <f ca="1"/>
        <v>0</v>
      </c>
      <c r="AC65">
        <f ca="1"/>
        <v>0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>
        <f ca="1"/>
        <v>0</v>
      </c>
      <c r="AJ65">
        <f ca="1"/>
        <v>0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  <c r="AQ65">
        <f ca="1"/>
        <v>0</v>
      </c>
      <c r="AR65">
        <f ca="1"/>
        <v>0</v>
      </c>
      <c r="AS65">
        <f ca="1"/>
        <v>0</v>
      </c>
      <c r="AT65">
        <f ca="1"/>
        <v>0</v>
      </c>
      <c r="AU65">
        <f ca="1"/>
        <v>0</v>
      </c>
      <c r="AV65">
        <f ca="1"/>
        <v>0</v>
      </c>
      <c r="AW65">
        <f ca="1"/>
        <v>0</v>
      </c>
      <c r="AX65">
        <f ca="1"/>
        <v>0</v>
      </c>
      <c r="AY65">
        <f ca="1"/>
        <v>0</v>
      </c>
      <c r="AZ65">
        <f ca="1"/>
        <v>0</v>
      </c>
      <c r="BA65">
        <f ca="1"/>
        <v>0</v>
      </c>
      <c r="BB65">
        <f ca="1"/>
        <v>0</v>
      </c>
      <c r="BC65">
        <f ca="1"/>
        <v>0</v>
      </c>
      <c r="BD65">
        <f ca="1"/>
        <v>0</v>
      </c>
      <c r="BE65">
        <f ca="1"/>
        <v>0</v>
      </c>
      <c r="BF65">
        <f ca="1"/>
        <v>0</v>
      </c>
      <c r="BG65">
        <f ca="1"/>
        <v>0</v>
      </c>
      <c r="BH65">
        <f ca="1"/>
        <v>0</v>
      </c>
      <c r="BI65">
        <f ca="1"/>
        <v>0</v>
      </c>
      <c r="BJ65">
        <f ca="1"/>
        <v>0</v>
      </c>
      <c r="BK65">
        <f ca="1"/>
        <v>0</v>
      </c>
      <c r="BL65">
        <f ca="1"/>
        <v>0</v>
      </c>
      <c r="BM65">
        <f ca="1"/>
        <v>0</v>
      </c>
      <c r="BN65">
        <f ca="1"/>
        <v>0</v>
      </c>
      <c r="BO65">
        <f ca="1"/>
        <v>0</v>
      </c>
      <c r="BP65">
        <f ca="1"/>
        <v>0</v>
      </c>
      <c r="BQ65">
        <f ca="1"/>
        <v>0</v>
      </c>
      <c r="BR65">
        <f ca="1"/>
        <v>0</v>
      </c>
      <c r="BS65">
        <f ca="1"/>
        <v>0</v>
      </c>
      <c r="BT65">
        <f ca="1"/>
        <v>0</v>
      </c>
      <c r="BU65">
        <f ca="1"/>
        <v>0</v>
      </c>
    </row>
    <row r="66" spans="3:73" x14ac:dyDescent="0.25">
      <c r="C66" cm="1">
        <f t="array" aca="1" ref="C66:BU66" ca="1">IFERROR(TRANSPOSE(INDEX(_xlfn._xlws.FILTER(INDIRECT("SubcategoriesTable[Subcategory name]"),INDIRECT("SubcategoriesTable[Category name]")=$B66),,)),"No subcategories")</f>
        <v>0</v>
      </c>
      <c r="D66">
        <f ca="1"/>
        <v>0</v>
      </c>
      <c r="E66">
        <f ca="1"/>
        <v>0</v>
      </c>
      <c r="F66">
        <f ca="1"/>
        <v>0</v>
      </c>
      <c r="G66">
        <f ca="1"/>
        <v>0</v>
      </c>
      <c r="H66">
        <f ca="1"/>
        <v>0</v>
      </c>
      <c r="I66">
        <f ca="1"/>
        <v>0</v>
      </c>
      <c r="J66">
        <f ca="1"/>
        <v>0</v>
      </c>
      <c r="K66">
        <f ca="1"/>
        <v>0</v>
      </c>
      <c r="L66">
        <f ca="1"/>
        <v>0</v>
      </c>
      <c r="M66">
        <f ca="1"/>
        <v>0</v>
      </c>
      <c r="N66">
        <f ca="1"/>
        <v>0</v>
      </c>
      <c r="O66">
        <f ca="1"/>
        <v>0</v>
      </c>
      <c r="P66">
        <f ca="1"/>
        <v>0</v>
      </c>
      <c r="Q66">
        <f ca="1"/>
        <v>0</v>
      </c>
      <c r="R66">
        <f ca="1"/>
        <v>0</v>
      </c>
      <c r="S66">
        <f ca="1"/>
        <v>0</v>
      </c>
      <c r="T66">
        <f ca="1"/>
        <v>0</v>
      </c>
      <c r="U66">
        <f ca="1"/>
        <v>0</v>
      </c>
      <c r="V66">
        <f ca="1"/>
        <v>0</v>
      </c>
      <c r="W66">
        <f ca="1"/>
        <v>0</v>
      </c>
      <c r="X66">
        <f ca="1"/>
        <v>0</v>
      </c>
      <c r="Y66">
        <f ca="1"/>
        <v>0</v>
      </c>
      <c r="Z66">
        <f ca="1"/>
        <v>0</v>
      </c>
      <c r="AA66">
        <f ca="1"/>
        <v>0</v>
      </c>
      <c r="AB66">
        <f ca="1"/>
        <v>0</v>
      </c>
      <c r="AC66">
        <f ca="1"/>
        <v>0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>
        <f ca="1"/>
        <v>0</v>
      </c>
      <c r="AJ66">
        <f ca="1"/>
        <v>0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  <c r="AQ66">
        <f ca="1"/>
        <v>0</v>
      </c>
      <c r="AR66">
        <f ca="1"/>
        <v>0</v>
      </c>
      <c r="AS66">
        <f ca="1"/>
        <v>0</v>
      </c>
      <c r="AT66">
        <f ca="1"/>
        <v>0</v>
      </c>
      <c r="AU66">
        <f ca="1"/>
        <v>0</v>
      </c>
      <c r="AV66">
        <f ca="1"/>
        <v>0</v>
      </c>
      <c r="AW66">
        <f ca="1"/>
        <v>0</v>
      </c>
      <c r="AX66">
        <f ca="1"/>
        <v>0</v>
      </c>
      <c r="AY66">
        <f ca="1"/>
        <v>0</v>
      </c>
      <c r="AZ66">
        <f ca="1"/>
        <v>0</v>
      </c>
      <c r="BA66">
        <f ca="1"/>
        <v>0</v>
      </c>
      <c r="BB66">
        <f ca="1"/>
        <v>0</v>
      </c>
      <c r="BC66">
        <f ca="1"/>
        <v>0</v>
      </c>
      <c r="BD66">
        <f ca="1"/>
        <v>0</v>
      </c>
      <c r="BE66">
        <f ca="1"/>
        <v>0</v>
      </c>
      <c r="BF66">
        <f ca="1"/>
        <v>0</v>
      </c>
      <c r="BG66">
        <f ca="1"/>
        <v>0</v>
      </c>
      <c r="BH66">
        <f ca="1"/>
        <v>0</v>
      </c>
      <c r="BI66">
        <f ca="1"/>
        <v>0</v>
      </c>
      <c r="BJ66">
        <f ca="1"/>
        <v>0</v>
      </c>
      <c r="BK66">
        <f ca="1"/>
        <v>0</v>
      </c>
      <c r="BL66">
        <f ca="1"/>
        <v>0</v>
      </c>
      <c r="BM66">
        <f ca="1"/>
        <v>0</v>
      </c>
      <c r="BN66">
        <f ca="1"/>
        <v>0</v>
      </c>
      <c r="BO66">
        <f ca="1"/>
        <v>0</v>
      </c>
      <c r="BP66">
        <f ca="1"/>
        <v>0</v>
      </c>
      <c r="BQ66">
        <f ca="1"/>
        <v>0</v>
      </c>
      <c r="BR66">
        <f ca="1"/>
        <v>0</v>
      </c>
      <c r="BS66">
        <f ca="1"/>
        <v>0</v>
      </c>
      <c r="BT66">
        <f ca="1"/>
        <v>0</v>
      </c>
      <c r="BU66">
        <f ca="1"/>
        <v>0</v>
      </c>
    </row>
    <row r="67" spans="3:73" x14ac:dyDescent="0.25">
      <c r="C67" cm="1">
        <f t="array" aca="1" ref="C67:BU67" ca="1">IFERROR(TRANSPOSE(INDEX(_xlfn._xlws.FILTER(INDIRECT("SubcategoriesTable[Subcategory name]"),INDIRECT("SubcategoriesTable[Category name]")=$B67),,)),"No subcategories")</f>
        <v>0</v>
      </c>
      <c r="D67">
        <f ca="1"/>
        <v>0</v>
      </c>
      <c r="E67">
        <f ca="1"/>
        <v>0</v>
      </c>
      <c r="F67">
        <f ca="1"/>
        <v>0</v>
      </c>
      <c r="G67">
        <f ca="1"/>
        <v>0</v>
      </c>
      <c r="H67">
        <f ca="1"/>
        <v>0</v>
      </c>
      <c r="I67">
        <f ca="1"/>
        <v>0</v>
      </c>
      <c r="J67">
        <f ca="1"/>
        <v>0</v>
      </c>
      <c r="K67">
        <f ca="1"/>
        <v>0</v>
      </c>
      <c r="L67">
        <f ca="1"/>
        <v>0</v>
      </c>
      <c r="M67">
        <f ca="1"/>
        <v>0</v>
      </c>
      <c r="N67">
        <f ca="1"/>
        <v>0</v>
      </c>
      <c r="O67">
        <f ca="1"/>
        <v>0</v>
      </c>
      <c r="P67">
        <f ca="1"/>
        <v>0</v>
      </c>
      <c r="Q67">
        <f ca="1"/>
        <v>0</v>
      </c>
      <c r="R67">
        <f ca="1"/>
        <v>0</v>
      </c>
      <c r="S67">
        <f ca="1"/>
        <v>0</v>
      </c>
      <c r="T67">
        <f ca="1"/>
        <v>0</v>
      </c>
      <c r="U67">
        <f ca="1"/>
        <v>0</v>
      </c>
      <c r="V67">
        <f ca="1"/>
        <v>0</v>
      </c>
      <c r="W67">
        <f ca="1"/>
        <v>0</v>
      </c>
      <c r="X67">
        <f ca="1"/>
        <v>0</v>
      </c>
      <c r="Y67">
        <f ca="1"/>
        <v>0</v>
      </c>
      <c r="Z67">
        <f ca="1"/>
        <v>0</v>
      </c>
      <c r="AA67">
        <f ca="1"/>
        <v>0</v>
      </c>
      <c r="AB67">
        <f ca="1"/>
        <v>0</v>
      </c>
      <c r="AC67">
        <f ca="1"/>
        <v>0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>
        <f ca="1"/>
        <v>0</v>
      </c>
      <c r="AJ67">
        <f ca="1"/>
        <v>0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  <c r="AQ67">
        <f ca="1"/>
        <v>0</v>
      </c>
      <c r="AR67">
        <f ca="1"/>
        <v>0</v>
      </c>
      <c r="AS67">
        <f ca="1"/>
        <v>0</v>
      </c>
      <c r="AT67">
        <f ca="1"/>
        <v>0</v>
      </c>
      <c r="AU67">
        <f ca="1"/>
        <v>0</v>
      </c>
      <c r="AV67">
        <f ca="1"/>
        <v>0</v>
      </c>
      <c r="AW67">
        <f ca="1"/>
        <v>0</v>
      </c>
      <c r="AX67">
        <f ca="1"/>
        <v>0</v>
      </c>
      <c r="AY67">
        <f ca="1"/>
        <v>0</v>
      </c>
      <c r="AZ67">
        <f ca="1"/>
        <v>0</v>
      </c>
      <c r="BA67">
        <f ca="1"/>
        <v>0</v>
      </c>
      <c r="BB67">
        <f ca="1"/>
        <v>0</v>
      </c>
      <c r="BC67">
        <f ca="1"/>
        <v>0</v>
      </c>
      <c r="BD67">
        <f ca="1"/>
        <v>0</v>
      </c>
      <c r="BE67">
        <f ca="1"/>
        <v>0</v>
      </c>
      <c r="BF67">
        <f ca="1"/>
        <v>0</v>
      </c>
      <c r="BG67">
        <f ca="1"/>
        <v>0</v>
      </c>
      <c r="BH67">
        <f ca="1"/>
        <v>0</v>
      </c>
      <c r="BI67">
        <f ca="1"/>
        <v>0</v>
      </c>
      <c r="BJ67">
        <f ca="1"/>
        <v>0</v>
      </c>
      <c r="BK67">
        <f ca="1"/>
        <v>0</v>
      </c>
      <c r="BL67">
        <f ca="1"/>
        <v>0</v>
      </c>
      <c r="BM67">
        <f ca="1"/>
        <v>0</v>
      </c>
      <c r="BN67">
        <f ca="1"/>
        <v>0</v>
      </c>
      <c r="BO67">
        <f ca="1"/>
        <v>0</v>
      </c>
      <c r="BP67">
        <f ca="1"/>
        <v>0</v>
      </c>
      <c r="BQ67">
        <f ca="1"/>
        <v>0</v>
      </c>
      <c r="BR67">
        <f ca="1"/>
        <v>0</v>
      </c>
      <c r="BS67">
        <f ca="1"/>
        <v>0</v>
      </c>
      <c r="BT67">
        <f ca="1"/>
        <v>0</v>
      </c>
      <c r="BU67">
        <f ca="1"/>
        <v>0</v>
      </c>
    </row>
    <row r="68" spans="3:73" x14ac:dyDescent="0.25">
      <c r="C68" cm="1">
        <f t="array" aca="1" ref="C68:BU68" ca="1">IFERROR(TRANSPOSE(INDEX(_xlfn._xlws.FILTER(INDIRECT("SubcategoriesTable[Subcategory name]"),INDIRECT("SubcategoriesTable[Category name]")=$B68),,)),"No subcategories")</f>
        <v>0</v>
      </c>
      <c r="D68">
        <f ca="1"/>
        <v>0</v>
      </c>
      <c r="E68">
        <f ca="1"/>
        <v>0</v>
      </c>
      <c r="F68">
        <f ca="1"/>
        <v>0</v>
      </c>
      <c r="G68">
        <f ca="1"/>
        <v>0</v>
      </c>
      <c r="H68">
        <f ca="1"/>
        <v>0</v>
      </c>
      <c r="I68">
        <f ca="1"/>
        <v>0</v>
      </c>
      <c r="J68">
        <f ca="1"/>
        <v>0</v>
      </c>
      <c r="K68">
        <f ca="1"/>
        <v>0</v>
      </c>
      <c r="L68">
        <f ca="1"/>
        <v>0</v>
      </c>
      <c r="M68">
        <f ca="1"/>
        <v>0</v>
      </c>
      <c r="N68">
        <f ca="1"/>
        <v>0</v>
      </c>
      <c r="O68">
        <f ca="1"/>
        <v>0</v>
      </c>
      <c r="P68">
        <f ca="1"/>
        <v>0</v>
      </c>
      <c r="Q68">
        <f ca="1"/>
        <v>0</v>
      </c>
      <c r="R68">
        <f ca="1"/>
        <v>0</v>
      </c>
      <c r="S68">
        <f ca="1"/>
        <v>0</v>
      </c>
      <c r="T68">
        <f ca="1"/>
        <v>0</v>
      </c>
      <c r="U68">
        <f ca="1"/>
        <v>0</v>
      </c>
      <c r="V68">
        <f ca="1"/>
        <v>0</v>
      </c>
      <c r="W68">
        <f ca="1"/>
        <v>0</v>
      </c>
      <c r="X68">
        <f ca="1"/>
        <v>0</v>
      </c>
      <c r="Y68">
        <f ca="1"/>
        <v>0</v>
      </c>
      <c r="Z68">
        <f ca="1"/>
        <v>0</v>
      </c>
      <c r="AA68">
        <f ca="1"/>
        <v>0</v>
      </c>
      <c r="AB68">
        <f ca="1"/>
        <v>0</v>
      </c>
      <c r="AC68">
        <f ca="1"/>
        <v>0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>
        <f ca="1"/>
        <v>0</v>
      </c>
      <c r="AJ68">
        <f ca="1"/>
        <v>0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  <c r="AQ68">
        <f ca="1"/>
        <v>0</v>
      </c>
      <c r="AR68">
        <f ca="1"/>
        <v>0</v>
      </c>
      <c r="AS68">
        <f ca="1"/>
        <v>0</v>
      </c>
      <c r="AT68">
        <f ca="1"/>
        <v>0</v>
      </c>
      <c r="AU68">
        <f ca="1"/>
        <v>0</v>
      </c>
      <c r="AV68">
        <f ca="1"/>
        <v>0</v>
      </c>
      <c r="AW68">
        <f ca="1"/>
        <v>0</v>
      </c>
      <c r="AX68">
        <f ca="1"/>
        <v>0</v>
      </c>
      <c r="AY68">
        <f ca="1"/>
        <v>0</v>
      </c>
      <c r="AZ68">
        <f ca="1"/>
        <v>0</v>
      </c>
      <c r="BA68">
        <f ca="1"/>
        <v>0</v>
      </c>
      <c r="BB68">
        <f ca="1"/>
        <v>0</v>
      </c>
      <c r="BC68">
        <f ca="1"/>
        <v>0</v>
      </c>
      <c r="BD68">
        <f ca="1"/>
        <v>0</v>
      </c>
      <c r="BE68">
        <f ca="1"/>
        <v>0</v>
      </c>
      <c r="BF68">
        <f ca="1"/>
        <v>0</v>
      </c>
      <c r="BG68">
        <f ca="1"/>
        <v>0</v>
      </c>
      <c r="BH68">
        <f ca="1"/>
        <v>0</v>
      </c>
      <c r="BI68">
        <f ca="1"/>
        <v>0</v>
      </c>
      <c r="BJ68">
        <f ca="1"/>
        <v>0</v>
      </c>
      <c r="BK68">
        <f ca="1"/>
        <v>0</v>
      </c>
      <c r="BL68">
        <f ca="1"/>
        <v>0</v>
      </c>
      <c r="BM68">
        <f ca="1"/>
        <v>0</v>
      </c>
      <c r="BN68">
        <f ca="1"/>
        <v>0</v>
      </c>
      <c r="BO68">
        <f ca="1"/>
        <v>0</v>
      </c>
      <c r="BP68">
        <f ca="1"/>
        <v>0</v>
      </c>
      <c r="BQ68">
        <f ca="1"/>
        <v>0</v>
      </c>
      <c r="BR68">
        <f ca="1"/>
        <v>0</v>
      </c>
      <c r="BS68">
        <f ca="1"/>
        <v>0</v>
      </c>
      <c r="BT68">
        <f ca="1"/>
        <v>0</v>
      </c>
      <c r="BU68">
        <f ca="1"/>
        <v>0</v>
      </c>
    </row>
    <row r="69" spans="3:73" x14ac:dyDescent="0.25">
      <c r="C69" cm="1">
        <f t="array" aca="1" ref="C69:BU69" ca="1">IFERROR(TRANSPOSE(INDEX(_xlfn._xlws.FILTER(INDIRECT("SubcategoriesTable[Subcategory name]"),INDIRECT("SubcategoriesTable[Category name]")=$B69),,)),"No subcategories")</f>
        <v>0</v>
      </c>
      <c r="D69">
        <f ca="1"/>
        <v>0</v>
      </c>
      <c r="E69">
        <f ca="1"/>
        <v>0</v>
      </c>
      <c r="F69">
        <f ca="1"/>
        <v>0</v>
      </c>
      <c r="G69">
        <f ca="1"/>
        <v>0</v>
      </c>
      <c r="H69">
        <f ca="1"/>
        <v>0</v>
      </c>
      <c r="I69">
        <f ca="1"/>
        <v>0</v>
      </c>
      <c r="J69">
        <f ca="1"/>
        <v>0</v>
      </c>
      <c r="K69">
        <f ca="1"/>
        <v>0</v>
      </c>
      <c r="L69">
        <f ca="1"/>
        <v>0</v>
      </c>
      <c r="M69">
        <f ca="1"/>
        <v>0</v>
      </c>
      <c r="N69">
        <f ca="1"/>
        <v>0</v>
      </c>
      <c r="O69">
        <f ca="1"/>
        <v>0</v>
      </c>
      <c r="P69">
        <f ca="1"/>
        <v>0</v>
      </c>
      <c r="Q69">
        <f ca="1"/>
        <v>0</v>
      </c>
      <c r="R69">
        <f ca="1"/>
        <v>0</v>
      </c>
      <c r="S69">
        <f ca="1"/>
        <v>0</v>
      </c>
      <c r="T69">
        <f ca="1"/>
        <v>0</v>
      </c>
      <c r="U69">
        <f ca="1"/>
        <v>0</v>
      </c>
      <c r="V69">
        <f ca="1"/>
        <v>0</v>
      </c>
      <c r="W69">
        <f ca="1"/>
        <v>0</v>
      </c>
      <c r="X69">
        <f ca="1"/>
        <v>0</v>
      </c>
      <c r="Y69">
        <f ca="1"/>
        <v>0</v>
      </c>
      <c r="Z69">
        <f ca="1"/>
        <v>0</v>
      </c>
      <c r="AA69">
        <f ca="1"/>
        <v>0</v>
      </c>
      <c r="AB69">
        <f ca="1"/>
        <v>0</v>
      </c>
      <c r="AC69">
        <f ca="1"/>
        <v>0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>
        <f ca="1"/>
        <v>0</v>
      </c>
      <c r="AJ69">
        <f ca="1"/>
        <v>0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  <c r="AQ69">
        <f ca="1"/>
        <v>0</v>
      </c>
      <c r="AR69">
        <f ca="1"/>
        <v>0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>
        <f ca="1"/>
        <v>0</v>
      </c>
      <c r="AX69">
        <f ca="1"/>
        <v>0</v>
      </c>
      <c r="AY69">
        <f ca="1"/>
        <v>0</v>
      </c>
      <c r="AZ69">
        <f ca="1"/>
        <v>0</v>
      </c>
      <c r="BA69">
        <f ca="1"/>
        <v>0</v>
      </c>
      <c r="BB69">
        <f ca="1"/>
        <v>0</v>
      </c>
      <c r="BC69">
        <f ca="1"/>
        <v>0</v>
      </c>
      <c r="BD69">
        <f ca="1"/>
        <v>0</v>
      </c>
      <c r="BE69">
        <f ca="1"/>
        <v>0</v>
      </c>
      <c r="BF69">
        <f ca="1"/>
        <v>0</v>
      </c>
      <c r="BG69">
        <f ca="1"/>
        <v>0</v>
      </c>
      <c r="BH69">
        <f ca="1"/>
        <v>0</v>
      </c>
      <c r="BI69">
        <f ca="1"/>
        <v>0</v>
      </c>
      <c r="BJ69">
        <f ca="1"/>
        <v>0</v>
      </c>
      <c r="BK69">
        <f ca="1"/>
        <v>0</v>
      </c>
      <c r="BL69">
        <f ca="1"/>
        <v>0</v>
      </c>
      <c r="BM69">
        <f ca="1"/>
        <v>0</v>
      </c>
      <c r="BN69">
        <f ca="1"/>
        <v>0</v>
      </c>
      <c r="BO69">
        <f ca="1"/>
        <v>0</v>
      </c>
      <c r="BP69">
        <f ca="1"/>
        <v>0</v>
      </c>
      <c r="BQ69">
        <f ca="1"/>
        <v>0</v>
      </c>
      <c r="BR69">
        <f ca="1"/>
        <v>0</v>
      </c>
      <c r="BS69">
        <f ca="1"/>
        <v>0</v>
      </c>
      <c r="BT69">
        <f ca="1"/>
        <v>0</v>
      </c>
      <c r="BU69">
        <f ca="1"/>
        <v>0</v>
      </c>
    </row>
    <row r="70" spans="3:73" x14ac:dyDescent="0.25">
      <c r="C70" cm="1">
        <f t="array" aca="1" ref="C70:BU70" ca="1">IFERROR(TRANSPOSE(INDEX(_xlfn._xlws.FILTER(INDIRECT("SubcategoriesTable[Subcategory name]"),INDIRECT("SubcategoriesTable[Category name]")=$B70),,)),"No subcategories")</f>
        <v>0</v>
      </c>
      <c r="D70">
        <f ca="1"/>
        <v>0</v>
      </c>
      <c r="E70">
        <f ca="1"/>
        <v>0</v>
      </c>
      <c r="F70">
        <f ca="1"/>
        <v>0</v>
      </c>
      <c r="G70">
        <f ca="1"/>
        <v>0</v>
      </c>
      <c r="H70">
        <f ca="1"/>
        <v>0</v>
      </c>
      <c r="I70">
        <f ca="1"/>
        <v>0</v>
      </c>
      <c r="J70">
        <f ca="1"/>
        <v>0</v>
      </c>
      <c r="K70">
        <f ca="1"/>
        <v>0</v>
      </c>
      <c r="L70">
        <f ca="1"/>
        <v>0</v>
      </c>
      <c r="M70">
        <f ca="1"/>
        <v>0</v>
      </c>
      <c r="N70">
        <f ca="1"/>
        <v>0</v>
      </c>
      <c r="O70">
        <f ca="1"/>
        <v>0</v>
      </c>
      <c r="P70">
        <f ca="1"/>
        <v>0</v>
      </c>
      <c r="Q70">
        <f ca="1"/>
        <v>0</v>
      </c>
      <c r="R70">
        <f ca="1"/>
        <v>0</v>
      </c>
      <c r="S70">
        <f ca="1"/>
        <v>0</v>
      </c>
      <c r="T70">
        <f ca="1"/>
        <v>0</v>
      </c>
      <c r="U70">
        <f ca="1"/>
        <v>0</v>
      </c>
      <c r="V70">
        <f ca="1"/>
        <v>0</v>
      </c>
      <c r="W70">
        <f ca="1"/>
        <v>0</v>
      </c>
      <c r="X70">
        <f ca="1"/>
        <v>0</v>
      </c>
      <c r="Y70">
        <f ca="1"/>
        <v>0</v>
      </c>
      <c r="Z70">
        <f ca="1"/>
        <v>0</v>
      </c>
      <c r="AA70">
        <f ca="1"/>
        <v>0</v>
      </c>
      <c r="AB70">
        <f ca="1"/>
        <v>0</v>
      </c>
      <c r="AC70">
        <f ca="1"/>
        <v>0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>
        <f ca="1"/>
        <v>0</v>
      </c>
      <c r="AJ70">
        <f ca="1"/>
        <v>0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  <c r="AQ70">
        <f ca="1"/>
        <v>0</v>
      </c>
      <c r="AR70">
        <f ca="1"/>
        <v>0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>
        <f ca="1"/>
        <v>0</v>
      </c>
      <c r="AX70">
        <f ca="1"/>
        <v>0</v>
      </c>
      <c r="AY70">
        <f ca="1"/>
        <v>0</v>
      </c>
      <c r="AZ70">
        <f ca="1"/>
        <v>0</v>
      </c>
      <c r="BA70">
        <f ca="1"/>
        <v>0</v>
      </c>
      <c r="BB70">
        <f ca="1"/>
        <v>0</v>
      </c>
      <c r="BC70">
        <f ca="1"/>
        <v>0</v>
      </c>
      <c r="BD70">
        <f ca="1"/>
        <v>0</v>
      </c>
      <c r="BE70">
        <f ca="1"/>
        <v>0</v>
      </c>
      <c r="BF70">
        <f ca="1"/>
        <v>0</v>
      </c>
      <c r="BG70">
        <f ca="1"/>
        <v>0</v>
      </c>
      <c r="BH70">
        <f ca="1"/>
        <v>0</v>
      </c>
      <c r="BI70">
        <f ca="1"/>
        <v>0</v>
      </c>
      <c r="BJ70">
        <f ca="1"/>
        <v>0</v>
      </c>
      <c r="BK70">
        <f ca="1"/>
        <v>0</v>
      </c>
      <c r="BL70">
        <f ca="1"/>
        <v>0</v>
      </c>
      <c r="BM70">
        <f ca="1"/>
        <v>0</v>
      </c>
      <c r="BN70">
        <f ca="1"/>
        <v>0</v>
      </c>
      <c r="BO70">
        <f ca="1"/>
        <v>0</v>
      </c>
      <c r="BP70">
        <f ca="1"/>
        <v>0</v>
      </c>
      <c r="BQ70">
        <f ca="1"/>
        <v>0</v>
      </c>
      <c r="BR70">
        <f ca="1"/>
        <v>0</v>
      </c>
      <c r="BS70">
        <f ca="1"/>
        <v>0</v>
      </c>
      <c r="BT70">
        <f ca="1"/>
        <v>0</v>
      </c>
      <c r="BU70">
        <f ca="1"/>
        <v>0</v>
      </c>
    </row>
    <row r="71" spans="3:73" x14ac:dyDescent="0.25">
      <c r="C71" cm="1">
        <f t="array" aca="1" ref="C71:BU71" ca="1">IFERROR(TRANSPOSE(INDEX(_xlfn._xlws.FILTER(INDIRECT("SubcategoriesTable[Subcategory name]"),INDIRECT("SubcategoriesTable[Category name]")=$B71),,)),"No subcategories")</f>
        <v>0</v>
      </c>
      <c r="D71">
        <f ca="1"/>
        <v>0</v>
      </c>
      <c r="E71">
        <f ca="1"/>
        <v>0</v>
      </c>
      <c r="F71">
        <f ca="1"/>
        <v>0</v>
      </c>
      <c r="G71">
        <f ca="1"/>
        <v>0</v>
      </c>
      <c r="H71">
        <f ca="1"/>
        <v>0</v>
      </c>
      <c r="I71">
        <f ca="1"/>
        <v>0</v>
      </c>
      <c r="J71">
        <f ca="1"/>
        <v>0</v>
      </c>
      <c r="K71">
        <f ca="1"/>
        <v>0</v>
      </c>
      <c r="L71">
        <f ca="1"/>
        <v>0</v>
      </c>
      <c r="M71">
        <f ca="1"/>
        <v>0</v>
      </c>
      <c r="N71">
        <f ca="1"/>
        <v>0</v>
      </c>
      <c r="O71">
        <f ca="1"/>
        <v>0</v>
      </c>
      <c r="P71">
        <f ca="1"/>
        <v>0</v>
      </c>
      <c r="Q71">
        <f ca="1"/>
        <v>0</v>
      </c>
      <c r="R71">
        <f ca="1"/>
        <v>0</v>
      </c>
      <c r="S71">
        <f ca="1"/>
        <v>0</v>
      </c>
      <c r="T71">
        <f ca="1"/>
        <v>0</v>
      </c>
      <c r="U71">
        <f ca="1"/>
        <v>0</v>
      </c>
      <c r="V71">
        <f ca="1"/>
        <v>0</v>
      </c>
      <c r="W71">
        <f ca="1"/>
        <v>0</v>
      </c>
      <c r="X71">
        <f ca="1"/>
        <v>0</v>
      </c>
      <c r="Y71">
        <f ca="1"/>
        <v>0</v>
      </c>
      <c r="Z71">
        <f ca="1"/>
        <v>0</v>
      </c>
      <c r="AA71">
        <f ca="1"/>
        <v>0</v>
      </c>
      <c r="AB71">
        <f ca="1"/>
        <v>0</v>
      </c>
      <c r="AC71">
        <f ca="1"/>
        <v>0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>
        <f ca="1"/>
        <v>0</v>
      </c>
      <c r="AJ71">
        <f ca="1"/>
        <v>0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  <c r="AQ71">
        <f ca="1"/>
        <v>0</v>
      </c>
      <c r="AR71">
        <f ca="1"/>
        <v>0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>
        <f ca="1"/>
        <v>0</v>
      </c>
      <c r="AX71">
        <f ca="1"/>
        <v>0</v>
      </c>
      <c r="AY71">
        <f ca="1"/>
        <v>0</v>
      </c>
      <c r="AZ71">
        <f ca="1"/>
        <v>0</v>
      </c>
      <c r="BA71">
        <f ca="1"/>
        <v>0</v>
      </c>
      <c r="BB71">
        <f ca="1"/>
        <v>0</v>
      </c>
      <c r="BC71">
        <f ca="1"/>
        <v>0</v>
      </c>
      <c r="BD71">
        <f ca="1"/>
        <v>0</v>
      </c>
      <c r="BE71">
        <f ca="1"/>
        <v>0</v>
      </c>
      <c r="BF71">
        <f ca="1"/>
        <v>0</v>
      </c>
      <c r="BG71">
        <f ca="1"/>
        <v>0</v>
      </c>
      <c r="BH71">
        <f ca="1"/>
        <v>0</v>
      </c>
      <c r="BI71">
        <f ca="1"/>
        <v>0</v>
      </c>
      <c r="BJ71">
        <f ca="1"/>
        <v>0</v>
      </c>
      <c r="BK71">
        <f ca="1"/>
        <v>0</v>
      </c>
      <c r="BL71">
        <f ca="1"/>
        <v>0</v>
      </c>
      <c r="BM71">
        <f ca="1"/>
        <v>0</v>
      </c>
      <c r="BN71">
        <f ca="1"/>
        <v>0</v>
      </c>
      <c r="BO71">
        <f ca="1"/>
        <v>0</v>
      </c>
      <c r="BP71">
        <f ca="1"/>
        <v>0</v>
      </c>
      <c r="BQ71">
        <f ca="1"/>
        <v>0</v>
      </c>
      <c r="BR71">
        <f ca="1"/>
        <v>0</v>
      </c>
      <c r="BS71">
        <f ca="1"/>
        <v>0</v>
      </c>
      <c r="BT71">
        <f ca="1"/>
        <v>0</v>
      </c>
      <c r="BU71">
        <f ca="1"/>
        <v>0</v>
      </c>
    </row>
    <row r="72" spans="3:73" x14ac:dyDescent="0.25">
      <c r="C72" cm="1">
        <f t="array" aca="1" ref="C72:BU72" ca="1">IFERROR(TRANSPOSE(INDEX(_xlfn._xlws.FILTER(INDIRECT("SubcategoriesTable[Subcategory name]"),INDIRECT("SubcategoriesTable[Category name]")=$B72),,)),"No subcategories")</f>
        <v>0</v>
      </c>
      <c r="D72">
        <f ca="1"/>
        <v>0</v>
      </c>
      <c r="E72">
        <f ca="1"/>
        <v>0</v>
      </c>
      <c r="F72">
        <f ca="1"/>
        <v>0</v>
      </c>
      <c r="G72">
        <f ca="1"/>
        <v>0</v>
      </c>
      <c r="H72">
        <f ca="1"/>
        <v>0</v>
      </c>
      <c r="I72">
        <f ca="1"/>
        <v>0</v>
      </c>
      <c r="J72">
        <f ca="1"/>
        <v>0</v>
      </c>
      <c r="K72">
        <f ca="1"/>
        <v>0</v>
      </c>
      <c r="L72">
        <f ca="1"/>
        <v>0</v>
      </c>
      <c r="M72">
        <f ca="1"/>
        <v>0</v>
      </c>
      <c r="N72">
        <f ca="1"/>
        <v>0</v>
      </c>
      <c r="O72">
        <f ca="1"/>
        <v>0</v>
      </c>
      <c r="P72">
        <f ca="1"/>
        <v>0</v>
      </c>
      <c r="Q72">
        <f ca="1"/>
        <v>0</v>
      </c>
      <c r="R72">
        <f ca="1"/>
        <v>0</v>
      </c>
      <c r="S72">
        <f ca="1"/>
        <v>0</v>
      </c>
      <c r="T72">
        <f ca="1"/>
        <v>0</v>
      </c>
      <c r="U72">
        <f ca="1"/>
        <v>0</v>
      </c>
      <c r="V72">
        <f ca="1"/>
        <v>0</v>
      </c>
      <c r="W72">
        <f ca="1"/>
        <v>0</v>
      </c>
      <c r="X72">
        <f ca="1"/>
        <v>0</v>
      </c>
      <c r="Y72">
        <f ca="1"/>
        <v>0</v>
      </c>
      <c r="Z72">
        <f ca="1"/>
        <v>0</v>
      </c>
      <c r="AA72">
        <f ca="1"/>
        <v>0</v>
      </c>
      <c r="AB72">
        <f ca="1"/>
        <v>0</v>
      </c>
      <c r="AC72">
        <f ca="1"/>
        <v>0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>
        <f ca="1"/>
        <v>0</v>
      </c>
      <c r="AJ72">
        <f ca="1"/>
        <v>0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  <c r="AQ72">
        <f ca="1"/>
        <v>0</v>
      </c>
      <c r="AR72">
        <f ca="1"/>
        <v>0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>
        <f ca="1"/>
        <v>0</v>
      </c>
      <c r="AX72">
        <f ca="1"/>
        <v>0</v>
      </c>
      <c r="AY72">
        <f ca="1"/>
        <v>0</v>
      </c>
      <c r="AZ72">
        <f ca="1"/>
        <v>0</v>
      </c>
      <c r="BA72">
        <f ca="1"/>
        <v>0</v>
      </c>
      <c r="BB72">
        <f ca="1"/>
        <v>0</v>
      </c>
      <c r="BC72">
        <f ca="1"/>
        <v>0</v>
      </c>
      <c r="BD72">
        <f ca="1"/>
        <v>0</v>
      </c>
      <c r="BE72">
        <f ca="1"/>
        <v>0</v>
      </c>
      <c r="BF72">
        <f ca="1"/>
        <v>0</v>
      </c>
      <c r="BG72">
        <f ca="1"/>
        <v>0</v>
      </c>
      <c r="BH72">
        <f ca="1"/>
        <v>0</v>
      </c>
      <c r="BI72">
        <f ca="1"/>
        <v>0</v>
      </c>
      <c r="BJ72">
        <f ca="1"/>
        <v>0</v>
      </c>
      <c r="BK72">
        <f ca="1"/>
        <v>0</v>
      </c>
      <c r="BL72">
        <f ca="1"/>
        <v>0</v>
      </c>
      <c r="BM72">
        <f ca="1"/>
        <v>0</v>
      </c>
      <c r="BN72">
        <f ca="1"/>
        <v>0</v>
      </c>
      <c r="BO72">
        <f ca="1"/>
        <v>0</v>
      </c>
      <c r="BP72">
        <f ca="1"/>
        <v>0</v>
      </c>
      <c r="BQ72">
        <f ca="1"/>
        <v>0</v>
      </c>
      <c r="BR72">
        <f ca="1"/>
        <v>0</v>
      </c>
      <c r="BS72">
        <f ca="1"/>
        <v>0</v>
      </c>
      <c r="BT72">
        <f ca="1"/>
        <v>0</v>
      </c>
      <c r="BU72">
        <f ca="1"/>
        <v>0</v>
      </c>
    </row>
    <row r="73" spans="3:73" x14ac:dyDescent="0.25">
      <c r="C73" cm="1">
        <f t="array" aca="1" ref="C73:BU73" ca="1">IFERROR(TRANSPOSE(INDEX(_xlfn._xlws.FILTER(INDIRECT("SubcategoriesTable[Subcategory name]"),INDIRECT("SubcategoriesTable[Category name]")=$B73),,)),"No subcategories")</f>
        <v>0</v>
      </c>
      <c r="D73">
        <f ca="1"/>
        <v>0</v>
      </c>
      <c r="E73">
        <f ca="1"/>
        <v>0</v>
      </c>
      <c r="F73">
        <f ca="1"/>
        <v>0</v>
      </c>
      <c r="G73">
        <f ca="1"/>
        <v>0</v>
      </c>
      <c r="H73">
        <f ca="1"/>
        <v>0</v>
      </c>
      <c r="I73">
        <f ca="1"/>
        <v>0</v>
      </c>
      <c r="J73">
        <f ca="1"/>
        <v>0</v>
      </c>
      <c r="K73">
        <f ca="1"/>
        <v>0</v>
      </c>
      <c r="L73">
        <f ca="1"/>
        <v>0</v>
      </c>
      <c r="M73">
        <f ca="1"/>
        <v>0</v>
      </c>
      <c r="N73">
        <f ca="1"/>
        <v>0</v>
      </c>
      <c r="O73">
        <f ca="1"/>
        <v>0</v>
      </c>
      <c r="P73">
        <f ca="1"/>
        <v>0</v>
      </c>
      <c r="Q73">
        <f ca="1"/>
        <v>0</v>
      </c>
      <c r="R73">
        <f ca="1"/>
        <v>0</v>
      </c>
      <c r="S73">
        <f ca="1"/>
        <v>0</v>
      </c>
      <c r="T73">
        <f ca="1"/>
        <v>0</v>
      </c>
      <c r="U73">
        <f ca="1"/>
        <v>0</v>
      </c>
      <c r="V73">
        <f ca="1"/>
        <v>0</v>
      </c>
      <c r="W73">
        <f ca="1"/>
        <v>0</v>
      </c>
      <c r="X73">
        <f ca="1"/>
        <v>0</v>
      </c>
      <c r="Y73">
        <f ca="1"/>
        <v>0</v>
      </c>
      <c r="Z73">
        <f ca="1"/>
        <v>0</v>
      </c>
      <c r="AA73">
        <f ca="1"/>
        <v>0</v>
      </c>
      <c r="AB73">
        <f ca="1"/>
        <v>0</v>
      </c>
      <c r="AC73">
        <f ca="1"/>
        <v>0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>
        <f ca="1"/>
        <v>0</v>
      </c>
      <c r="AJ73">
        <f ca="1"/>
        <v>0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  <c r="AQ73">
        <f ca="1"/>
        <v>0</v>
      </c>
      <c r="AR73">
        <f ca="1"/>
        <v>0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>
        <f ca="1"/>
        <v>0</v>
      </c>
      <c r="AX73">
        <f ca="1"/>
        <v>0</v>
      </c>
      <c r="AY73">
        <f ca="1"/>
        <v>0</v>
      </c>
      <c r="AZ73">
        <f ca="1"/>
        <v>0</v>
      </c>
      <c r="BA73">
        <f ca="1"/>
        <v>0</v>
      </c>
      <c r="BB73">
        <f ca="1"/>
        <v>0</v>
      </c>
      <c r="BC73">
        <f ca="1"/>
        <v>0</v>
      </c>
      <c r="BD73">
        <f ca="1"/>
        <v>0</v>
      </c>
      <c r="BE73">
        <f ca="1"/>
        <v>0</v>
      </c>
      <c r="BF73">
        <f ca="1"/>
        <v>0</v>
      </c>
      <c r="BG73">
        <f ca="1"/>
        <v>0</v>
      </c>
      <c r="BH73">
        <f ca="1"/>
        <v>0</v>
      </c>
      <c r="BI73">
        <f ca="1"/>
        <v>0</v>
      </c>
      <c r="BJ73">
        <f ca="1"/>
        <v>0</v>
      </c>
      <c r="BK73">
        <f ca="1"/>
        <v>0</v>
      </c>
      <c r="BL73">
        <f ca="1"/>
        <v>0</v>
      </c>
      <c r="BM73">
        <f ca="1"/>
        <v>0</v>
      </c>
      <c r="BN73">
        <f ca="1"/>
        <v>0</v>
      </c>
      <c r="BO73">
        <f ca="1"/>
        <v>0</v>
      </c>
      <c r="BP73">
        <f ca="1"/>
        <v>0</v>
      </c>
      <c r="BQ73">
        <f ca="1"/>
        <v>0</v>
      </c>
      <c r="BR73">
        <f ca="1"/>
        <v>0</v>
      </c>
      <c r="BS73">
        <f ca="1"/>
        <v>0</v>
      </c>
      <c r="BT73">
        <f ca="1"/>
        <v>0</v>
      </c>
      <c r="BU73">
        <f ca="1"/>
        <v>0</v>
      </c>
    </row>
    <row r="74" spans="3:73" x14ac:dyDescent="0.25">
      <c r="C74" cm="1">
        <f t="array" aca="1" ref="C74:BU74" ca="1">IFERROR(TRANSPOSE(INDEX(_xlfn._xlws.FILTER(INDIRECT("SubcategoriesTable[Subcategory name]"),INDIRECT("SubcategoriesTable[Category name]")=$B74),,)),"No subcategories")</f>
        <v>0</v>
      </c>
      <c r="D74">
        <f ca="1"/>
        <v>0</v>
      </c>
      <c r="E74">
        <f ca="1"/>
        <v>0</v>
      </c>
      <c r="F74">
        <f ca="1"/>
        <v>0</v>
      </c>
      <c r="G74">
        <f ca="1"/>
        <v>0</v>
      </c>
      <c r="H74">
        <f ca="1"/>
        <v>0</v>
      </c>
      <c r="I74">
        <f ca="1"/>
        <v>0</v>
      </c>
      <c r="J74">
        <f ca="1"/>
        <v>0</v>
      </c>
      <c r="K74">
        <f ca="1"/>
        <v>0</v>
      </c>
      <c r="L74">
        <f ca="1"/>
        <v>0</v>
      </c>
      <c r="M74">
        <f ca="1"/>
        <v>0</v>
      </c>
      <c r="N74">
        <f ca="1"/>
        <v>0</v>
      </c>
      <c r="O74">
        <f ca="1"/>
        <v>0</v>
      </c>
      <c r="P74">
        <f ca="1"/>
        <v>0</v>
      </c>
      <c r="Q74">
        <f ca="1"/>
        <v>0</v>
      </c>
      <c r="R74">
        <f ca="1"/>
        <v>0</v>
      </c>
      <c r="S74">
        <f ca="1"/>
        <v>0</v>
      </c>
      <c r="T74">
        <f ca="1"/>
        <v>0</v>
      </c>
      <c r="U74">
        <f ca="1"/>
        <v>0</v>
      </c>
      <c r="V74">
        <f ca="1"/>
        <v>0</v>
      </c>
      <c r="W74">
        <f ca="1"/>
        <v>0</v>
      </c>
      <c r="X74">
        <f ca="1"/>
        <v>0</v>
      </c>
      <c r="Y74">
        <f ca="1"/>
        <v>0</v>
      </c>
      <c r="Z74">
        <f ca="1"/>
        <v>0</v>
      </c>
      <c r="AA74">
        <f ca="1"/>
        <v>0</v>
      </c>
      <c r="AB74">
        <f ca="1"/>
        <v>0</v>
      </c>
      <c r="AC74">
        <f ca="1"/>
        <v>0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>
        <f ca="1"/>
        <v>0</v>
      </c>
      <c r="AJ74">
        <f ca="1"/>
        <v>0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  <c r="AQ74">
        <f ca="1"/>
        <v>0</v>
      </c>
      <c r="AR74">
        <f ca="1"/>
        <v>0</v>
      </c>
      <c r="AS74">
        <f ca="1"/>
        <v>0</v>
      </c>
      <c r="AT74">
        <f ca="1"/>
        <v>0</v>
      </c>
      <c r="AU74">
        <f ca="1"/>
        <v>0</v>
      </c>
      <c r="AV74">
        <f ca="1"/>
        <v>0</v>
      </c>
      <c r="AW74">
        <f ca="1"/>
        <v>0</v>
      </c>
      <c r="AX74">
        <f ca="1"/>
        <v>0</v>
      </c>
      <c r="AY74">
        <f ca="1"/>
        <v>0</v>
      </c>
      <c r="AZ74">
        <f ca="1"/>
        <v>0</v>
      </c>
      <c r="BA74">
        <f ca="1"/>
        <v>0</v>
      </c>
      <c r="BB74">
        <f ca="1"/>
        <v>0</v>
      </c>
      <c r="BC74">
        <f ca="1"/>
        <v>0</v>
      </c>
      <c r="BD74">
        <f ca="1"/>
        <v>0</v>
      </c>
      <c r="BE74">
        <f ca="1"/>
        <v>0</v>
      </c>
      <c r="BF74">
        <f ca="1"/>
        <v>0</v>
      </c>
      <c r="BG74">
        <f ca="1"/>
        <v>0</v>
      </c>
      <c r="BH74">
        <f ca="1"/>
        <v>0</v>
      </c>
      <c r="BI74">
        <f ca="1"/>
        <v>0</v>
      </c>
      <c r="BJ74">
        <f ca="1"/>
        <v>0</v>
      </c>
      <c r="BK74">
        <f ca="1"/>
        <v>0</v>
      </c>
      <c r="BL74">
        <f ca="1"/>
        <v>0</v>
      </c>
      <c r="BM74">
        <f ca="1"/>
        <v>0</v>
      </c>
      <c r="BN74">
        <f ca="1"/>
        <v>0</v>
      </c>
      <c r="BO74">
        <f ca="1"/>
        <v>0</v>
      </c>
      <c r="BP74">
        <f ca="1"/>
        <v>0</v>
      </c>
      <c r="BQ74">
        <f ca="1"/>
        <v>0</v>
      </c>
      <c r="BR74">
        <f ca="1"/>
        <v>0</v>
      </c>
      <c r="BS74">
        <f ca="1"/>
        <v>0</v>
      </c>
      <c r="BT74">
        <f ca="1"/>
        <v>0</v>
      </c>
      <c r="BU74">
        <f ca="1"/>
        <v>0</v>
      </c>
    </row>
    <row r="75" spans="3:73" x14ac:dyDescent="0.25">
      <c r="C75" cm="1">
        <f t="array" aca="1" ref="C75:BU75" ca="1">IFERROR(TRANSPOSE(INDEX(_xlfn._xlws.FILTER(INDIRECT("SubcategoriesTable[Subcategory name]"),INDIRECT("SubcategoriesTable[Category name]")=$B75),,)),"No subcategories")</f>
        <v>0</v>
      </c>
      <c r="D75">
        <f ca="1"/>
        <v>0</v>
      </c>
      <c r="E75">
        <f ca="1"/>
        <v>0</v>
      </c>
      <c r="F75">
        <f ca="1"/>
        <v>0</v>
      </c>
      <c r="G75">
        <f ca="1"/>
        <v>0</v>
      </c>
      <c r="H75">
        <f ca="1"/>
        <v>0</v>
      </c>
      <c r="I75">
        <f ca="1"/>
        <v>0</v>
      </c>
      <c r="J75">
        <f ca="1"/>
        <v>0</v>
      </c>
      <c r="K75">
        <f ca="1"/>
        <v>0</v>
      </c>
      <c r="L75">
        <f ca="1"/>
        <v>0</v>
      </c>
      <c r="M75">
        <f ca="1"/>
        <v>0</v>
      </c>
      <c r="N75">
        <f ca="1"/>
        <v>0</v>
      </c>
      <c r="O75">
        <f ca="1"/>
        <v>0</v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>
        <f ca="1"/>
        <v>0</v>
      </c>
      <c r="W75">
        <f ca="1"/>
        <v>0</v>
      </c>
      <c r="X75">
        <f ca="1"/>
        <v>0</v>
      </c>
      <c r="Y75">
        <f ca="1"/>
        <v>0</v>
      </c>
      <c r="Z75">
        <f ca="1"/>
        <v>0</v>
      </c>
      <c r="AA75">
        <f ca="1"/>
        <v>0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  <c r="AQ75">
        <f ca="1"/>
        <v>0</v>
      </c>
      <c r="AR75">
        <f ca="1"/>
        <v>0</v>
      </c>
      <c r="AS75">
        <f ca="1"/>
        <v>0</v>
      </c>
      <c r="AT75">
        <f ca="1"/>
        <v>0</v>
      </c>
      <c r="AU75">
        <f ca="1"/>
        <v>0</v>
      </c>
      <c r="AV75">
        <f ca="1"/>
        <v>0</v>
      </c>
      <c r="AW75">
        <f ca="1"/>
        <v>0</v>
      </c>
      <c r="AX75">
        <f ca="1"/>
        <v>0</v>
      </c>
      <c r="AY75">
        <f ca="1"/>
        <v>0</v>
      </c>
      <c r="AZ75">
        <f ca="1"/>
        <v>0</v>
      </c>
      <c r="BA75">
        <f ca="1"/>
        <v>0</v>
      </c>
      <c r="BB75">
        <f ca="1"/>
        <v>0</v>
      </c>
      <c r="BC75">
        <f ca="1"/>
        <v>0</v>
      </c>
      <c r="BD75">
        <f ca="1"/>
        <v>0</v>
      </c>
      <c r="BE75">
        <f ca="1"/>
        <v>0</v>
      </c>
      <c r="BF75">
        <f ca="1"/>
        <v>0</v>
      </c>
      <c r="BG75">
        <f ca="1"/>
        <v>0</v>
      </c>
      <c r="BH75">
        <f ca="1"/>
        <v>0</v>
      </c>
      <c r="BI75">
        <f ca="1"/>
        <v>0</v>
      </c>
      <c r="BJ75">
        <f ca="1"/>
        <v>0</v>
      </c>
      <c r="BK75">
        <f ca="1"/>
        <v>0</v>
      </c>
      <c r="BL75">
        <f ca="1"/>
        <v>0</v>
      </c>
      <c r="BM75">
        <f ca="1"/>
        <v>0</v>
      </c>
      <c r="BN75">
        <f ca="1"/>
        <v>0</v>
      </c>
      <c r="BO75">
        <f ca="1"/>
        <v>0</v>
      </c>
      <c r="BP75">
        <f ca="1"/>
        <v>0</v>
      </c>
      <c r="BQ75">
        <f ca="1"/>
        <v>0</v>
      </c>
      <c r="BR75">
        <f ca="1"/>
        <v>0</v>
      </c>
      <c r="BS75">
        <f ca="1"/>
        <v>0</v>
      </c>
      <c r="BT75">
        <f ca="1"/>
        <v>0</v>
      </c>
      <c r="BU75">
        <f ca="1"/>
        <v>0</v>
      </c>
    </row>
    <row r="76" spans="3:73" x14ac:dyDescent="0.25">
      <c r="C76" cm="1">
        <f t="array" aca="1" ref="C76:BU76" ca="1">IFERROR(TRANSPOSE(INDEX(_xlfn._xlws.FILTER(INDIRECT("SubcategoriesTable[Subcategory name]"),INDIRECT("SubcategoriesTable[Category name]")=$B76),,)),"No subcategories")</f>
        <v>0</v>
      </c>
      <c r="D76">
        <f ca="1"/>
        <v>0</v>
      </c>
      <c r="E76">
        <f ca="1"/>
        <v>0</v>
      </c>
      <c r="F76">
        <f ca="1"/>
        <v>0</v>
      </c>
      <c r="G76">
        <f ca="1"/>
        <v>0</v>
      </c>
      <c r="H76">
        <f ca="1"/>
        <v>0</v>
      </c>
      <c r="I76">
        <f ca="1"/>
        <v>0</v>
      </c>
      <c r="J76">
        <f ca="1"/>
        <v>0</v>
      </c>
      <c r="K76">
        <f ca="1"/>
        <v>0</v>
      </c>
      <c r="L76">
        <f ca="1"/>
        <v>0</v>
      </c>
      <c r="M76">
        <f ca="1"/>
        <v>0</v>
      </c>
      <c r="N76">
        <f ca="1"/>
        <v>0</v>
      </c>
      <c r="O76">
        <f ca="1"/>
        <v>0</v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>
        <f ca="1"/>
        <v>0</v>
      </c>
      <c r="W76">
        <f ca="1"/>
        <v>0</v>
      </c>
      <c r="X76">
        <f ca="1"/>
        <v>0</v>
      </c>
      <c r="Y76">
        <f ca="1"/>
        <v>0</v>
      </c>
      <c r="Z76">
        <f ca="1"/>
        <v>0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V76">
        <f ca="1"/>
        <v>0</v>
      </c>
      <c r="AW76">
        <f ca="1"/>
        <v>0</v>
      </c>
      <c r="AX76">
        <f ca="1"/>
        <v>0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H76">
        <f ca="1"/>
        <v>0</v>
      </c>
      <c r="BI76">
        <f ca="1"/>
        <v>0</v>
      </c>
      <c r="BJ76">
        <f ca="1"/>
        <v>0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  <c r="BR76">
        <f ca="1"/>
        <v>0</v>
      </c>
      <c r="BS76">
        <f ca="1"/>
        <v>0</v>
      </c>
      <c r="BT76">
        <f ca="1"/>
        <v>0</v>
      </c>
      <c r="BU76">
        <f ca="1"/>
        <v>0</v>
      </c>
    </row>
    <row r="77" spans="3:73" x14ac:dyDescent="0.25">
      <c r="C77" cm="1">
        <f t="array" aca="1" ref="C77:BU77" ca="1">IFERROR(TRANSPOSE(INDEX(_xlfn._xlws.FILTER(INDIRECT("SubcategoriesTable[Subcategory name]"),INDIRECT("SubcategoriesTable[Category name]")=$B77),,)),"No subcategories")</f>
        <v>0</v>
      </c>
      <c r="D77">
        <f ca="1"/>
        <v>0</v>
      </c>
      <c r="E77">
        <f ca="1"/>
        <v>0</v>
      </c>
      <c r="F77">
        <f ca="1"/>
        <v>0</v>
      </c>
      <c r="G77">
        <f ca="1"/>
        <v>0</v>
      </c>
      <c r="H77">
        <f ca="1"/>
        <v>0</v>
      </c>
      <c r="I77">
        <f ca="1"/>
        <v>0</v>
      </c>
      <c r="J77">
        <f ca="1"/>
        <v>0</v>
      </c>
      <c r="K77">
        <f ca="1"/>
        <v>0</v>
      </c>
      <c r="L77">
        <f ca="1"/>
        <v>0</v>
      </c>
      <c r="M77">
        <f ca="1"/>
        <v>0</v>
      </c>
      <c r="N77">
        <f ca="1"/>
        <v>0</v>
      </c>
      <c r="O77">
        <f ca="1"/>
        <v>0</v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>
        <f ca="1"/>
        <v>0</v>
      </c>
      <c r="W77">
        <f ca="1"/>
        <v>0</v>
      </c>
      <c r="X77">
        <f ca="1"/>
        <v>0</v>
      </c>
      <c r="Y77">
        <f ca="1"/>
        <v>0</v>
      </c>
      <c r="Z77">
        <f ca="1"/>
        <v>0</v>
      </c>
      <c r="AA77">
        <f ca="1"/>
        <v>0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  <c r="AQ77">
        <f ca="1"/>
        <v>0</v>
      </c>
      <c r="AR77">
        <f ca="1"/>
        <v>0</v>
      </c>
      <c r="AS77">
        <f ca="1"/>
        <v>0</v>
      </c>
      <c r="AT77">
        <f ca="1"/>
        <v>0</v>
      </c>
      <c r="AU77">
        <f ca="1"/>
        <v>0</v>
      </c>
      <c r="AV77">
        <f ca="1"/>
        <v>0</v>
      </c>
      <c r="AW77">
        <f ca="1"/>
        <v>0</v>
      </c>
      <c r="AX77">
        <f ca="1"/>
        <v>0</v>
      </c>
      <c r="AY77">
        <f ca="1"/>
        <v>0</v>
      </c>
      <c r="AZ77">
        <f ca="1"/>
        <v>0</v>
      </c>
      <c r="BA77">
        <f ca="1"/>
        <v>0</v>
      </c>
      <c r="BB77">
        <f ca="1"/>
        <v>0</v>
      </c>
      <c r="BC77">
        <f ca="1"/>
        <v>0</v>
      </c>
      <c r="BD77">
        <f ca="1"/>
        <v>0</v>
      </c>
      <c r="BE77">
        <f ca="1"/>
        <v>0</v>
      </c>
      <c r="BF77">
        <f ca="1"/>
        <v>0</v>
      </c>
      <c r="BG77">
        <f ca="1"/>
        <v>0</v>
      </c>
      <c r="BH77">
        <f ca="1"/>
        <v>0</v>
      </c>
      <c r="BI77">
        <f ca="1"/>
        <v>0</v>
      </c>
      <c r="BJ77">
        <f ca="1"/>
        <v>0</v>
      </c>
      <c r="BK77">
        <f ca="1"/>
        <v>0</v>
      </c>
      <c r="BL77">
        <f ca="1"/>
        <v>0</v>
      </c>
      <c r="BM77">
        <f ca="1"/>
        <v>0</v>
      </c>
      <c r="BN77">
        <f ca="1"/>
        <v>0</v>
      </c>
      <c r="BO77">
        <f ca="1"/>
        <v>0</v>
      </c>
      <c r="BP77">
        <f ca="1"/>
        <v>0</v>
      </c>
      <c r="BQ77">
        <f ca="1"/>
        <v>0</v>
      </c>
      <c r="BR77">
        <f ca="1"/>
        <v>0</v>
      </c>
      <c r="BS77">
        <f ca="1"/>
        <v>0</v>
      </c>
      <c r="BT77">
        <f ca="1"/>
        <v>0</v>
      </c>
      <c r="BU77">
        <f ca="1"/>
        <v>0</v>
      </c>
    </row>
    <row r="78" spans="3:73" x14ac:dyDescent="0.25">
      <c r="C78" cm="1">
        <f t="array" aca="1" ref="C78:BU78" ca="1">IFERROR(TRANSPOSE(INDEX(_xlfn._xlws.FILTER(INDIRECT("SubcategoriesTable[Subcategory name]"),INDIRECT("SubcategoriesTable[Category name]")=$B78),,)),"No subcategories")</f>
        <v>0</v>
      </c>
      <c r="D78">
        <f ca="1"/>
        <v>0</v>
      </c>
      <c r="E78">
        <f ca="1"/>
        <v>0</v>
      </c>
      <c r="F78">
        <f ca="1"/>
        <v>0</v>
      </c>
      <c r="G78">
        <f ca="1"/>
        <v>0</v>
      </c>
      <c r="H78">
        <f ca="1"/>
        <v>0</v>
      </c>
      <c r="I78">
        <f ca="1"/>
        <v>0</v>
      </c>
      <c r="J78">
        <f ca="1"/>
        <v>0</v>
      </c>
      <c r="K78">
        <f ca="1"/>
        <v>0</v>
      </c>
      <c r="L78">
        <f ca="1"/>
        <v>0</v>
      </c>
      <c r="M78">
        <f ca="1"/>
        <v>0</v>
      </c>
      <c r="N78">
        <f ca="1"/>
        <v>0</v>
      </c>
      <c r="O78">
        <f ca="1"/>
        <v>0</v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>
        <f ca="1"/>
        <v>0</v>
      </c>
      <c r="W78">
        <f ca="1"/>
        <v>0</v>
      </c>
      <c r="X78">
        <f ca="1"/>
        <v>0</v>
      </c>
      <c r="Y78">
        <f ca="1"/>
        <v>0</v>
      </c>
      <c r="Z78">
        <f ca="1"/>
        <v>0</v>
      </c>
      <c r="AA78">
        <f ca="1"/>
        <v>0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  <c r="AQ78">
        <f ca="1"/>
        <v>0</v>
      </c>
      <c r="AR78">
        <f ca="1"/>
        <v>0</v>
      </c>
      <c r="AS78">
        <f ca="1"/>
        <v>0</v>
      </c>
      <c r="AT78">
        <f ca="1"/>
        <v>0</v>
      </c>
      <c r="AU78">
        <f ca="1"/>
        <v>0</v>
      </c>
      <c r="AV78">
        <f ca="1"/>
        <v>0</v>
      </c>
      <c r="AW78">
        <f ca="1"/>
        <v>0</v>
      </c>
      <c r="AX78">
        <f ca="1"/>
        <v>0</v>
      </c>
      <c r="AY78">
        <f ca="1"/>
        <v>0</v>
      </c>
      <c r="AZ78">
        <f ca="1"/>
        <v>0</v>
      </c>
      <c r="BA78">
        <f ca="1"/>
        <v>0</v>
      </c>
      <c r="BB78">
        <f ca="1"/>
        <v>0</v>
      </c>
      <c r="BC78">
        <f ca="1"/>
        <v>0</v>
      </c>
      <c r="BD78">
        <f ca="1"/>
        <v>0</v>
      </c>
      <c r="BE78">
        <f ca="1"/>
        <v>0</v>
      </c>
      <c r="BF78">
        <f ca="1"/>
        <v>0</v>
      </c>
      <c r="BG78">
        <f ca="1"/>
        <v>0</v>
      </c>
      <c r="BH78">
        <f ca="1"/>
        <v>0</v>
      </c>
      <c r="BI78">
        <f ca="1"/>
        <v>0</v>
      </c>
      <c r="BJ78">
        <f ca="1"/>
        <v>0</v>
      </c>
      <c r="BK78">
        <f ca="1"/>
        <v>0</v>
      </c>
      <c r="BL78">
        <f ca="1"/>
        <v>0</v>
      </c>
      <c r="BM78">
        <f ca="1"/>
        <v>0</v>
      </c>
      <c r="BN78">
        <f ca="1"/>
        <v>0</v>
      </c>
      <c r="BO78">
        <f ca="1"/>
        <v>0</v>
      </c>
      <c r="BP78">
        <f ca="1"/>
        <v>0</v>
      </c>
      <c r="BQ78">
        <f ca="1"/>
        <v>0</v>
      </c>
      <c r="BR78">
        <f ca="1"/>
        <v>0</v>
      </c>
      <c r="BS78">
        <f ca="1"/>
        <v>0</v>
      </c>
      <c r="BT78">
        <f ca="1"/>
        <v>0</v>
      </c>
      <c r="BU78">
        <f ca="1"/>
        <v>0</v>
      </c>
    </row>
    <row r="79" spans="3:73" x14ac:dyDescent="0.25">
      <c r="C79" cm="1">
        <f t="array" aca="1" ref="C79:BU79" ca="1">IFERROR(TRANSPOSE(INDEX(_xlfn._xlws.FILTER(INDIRECT("SubcategoriesTable[Subcategory name]"),INDIRECT("SubcategoriesTable[Category name]")=$B79),,)),"No subcategories")</f>
        <v>0</v>
      </c>
      <c r="D79">
        <f ca="1"/>
        <v>0</v>
      </c>
      <c r="E79">
        <f ca="1"/>
        <v>0</v>
      </c>
      <c r="F79">
        <f ca="1"/>
        <v>0</v>
      </c>
      <c r="G79">
        <f ca="1"/>
        <v>0</v>
      </c>
      <c r="H79">
        <f ca="1"/>
        <v>0</v>
      </c>
      <c r="I79">
        <f ca="1"/>
        <v>0</v>
      </c>
      <c r="J79">
        <f ca="1"/>
        <v>0</v>
      </c>
      <c r="K79">
        <f ca="1"/>
        <v>0</v>
      </c>
      <c r="L79">
        <f ca="1"/>
        <v>0</v>
      </c>
      <c r="M79">
        <f ca="1"/>
        <v>0</v>
      </c>
      <c r="N79">
        <f ca="1"/>
        <v>0</v>
      </c>
      <c r="O79">
        <f ca="1"/>
        <v>0</v>
      </c>
      <c r="P79">
        <f ca="1"/>
        <v>0</v>
      </c>
      <c r="Q79">
        <f ca="1"/>
        <v>0</v>
      </c>
      <c r="R79">
        <f ca="1"/>
        <v>0</v>
      </c>
      <c r="S79">
        <f ca="1"/>
        <v>0</v>
      </c>
      <c r="T79">
        <f ca="1"/>
        <v>0</v>
      </c>
      <c r="U79">
        <f ca="1"/>
        <v>0</v>
      </c>
      <c r="V79">
        <f ca="1"/>
        <v>0</v>
      </c>
      <c r="W79">
        <f ca="1"/>
        <v>0</v>
      </c>
      <c r="X79">
        <f ca="1"/>
        <v>0</v>
      </c>
      <c r="Y79">
        <f ca="1"/>
        <v>0</v>
      </c>
      <c r="Z79">
        <f ca="1"/>
        <v>0</v>
      </c>
      <c r="AA79">
        <f ca="1"/>
        <v>0</v>
      </c>
      <c r="AB79">
        <f ca="1"/>
        <v>0</v>
      </c>
      <c r="AC79">
        <f ca="1"/>
        <v>0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>
        <f ca="1"/>
        <v>0</v>
      </c>
      <c r="AJ79">
        <f ca="1"/>
        <v>0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  <c r="AQ79">
        <f ca="1"/>
        <v>0</v>
      </c>
      <c r="AR79">
        <f ca="1"/>
        <v>0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>
        <f ca="1"/>
        <v>0</v>
      </c>
      <c r="AX79">
        <f ca="1"/>
        <v>0</v>
      </c>
      <c r="AY79">
        <f ca="1"/>
        <v>0</v>
      </c>
      <c r="AZ79">
        <f ca="1"/>
        <v>0</v>
      </c>
      <c r="BA79">
        <f ca="1"/>
        <v>0</v>
      </c>
      <c r="BB79">
        <f ca="1"/>
        <v>0</v>
      </c>
      <c r="BC79">
        <f ca="1"/>
        <v>0</v>
      </c>
      <c r="BD79">
        <f ca="1"/>
        <v>0</v>
      </c>
      <c r="BE79">
        <f ca="1"/>
        <v>0</v>
      </c>
      <c r="BF79">
        <f ca="1"/>
        <v>0</v>
      </c>
      <c r="BG79">
        <f ca="1"/>
        <v>0</v>
      </c>
      <c r="BH79">
        <f ca="1"/>
        <v>0</v>
      </c>
      <c r="BI79">
        <f ca="1"/>
        <v>0</v>
      </c>
      <c r="BJ79">
        <f ca="1"/>
        <v>0</v>
      </c>
      <c r="BK79">
        <f ca="1"/>
        <v>0</v>
      </c>
      <c r="BL79">
        <f ca="1"/>
        <v>0</v>
      </c>
      <c r="BM79">
        <f ca="1"/>
        <v>0</v>
      </c>
      <c r="BN79">
        <f ca="1"/>
        <v>0</v>
      </c>
      <c r="BO79">
        <f ca="1"/>
        <v>0</v>
      </c>
      <c r="BP79">
        <f ca="1"/>
        <v>0</v>
      </c>
      <c r="BQ79">
        <f ca="1"/>
        <v>0</v>
      </c>
      <c r="BR79">
        <f ca="1"/>
        <v>0</v>
      </c>
      <c r="BS79">
        <f ca="1"/>
        <v>0</v>
      </c>
      <c r="BT79">
        <f ca="1"/>
        <v>0</v>
      </c>
      <c r="BU79">
        <f ca="1"/>
        <v>0</v>
      </c>
    </row>
    <row r="80" spans="3:73" x14ac:dyDescent="0.25">
      <c r="C80" cm="1">
        <f t="array" aca="1" ref="C80:BU80" ca="1">IFERROR(TRANSPOSE(INDEX(_xlfn._xlws.FILTER(INDIRECT("SubcategoriesTable[Subcategory name]"),INDIRECT("SubcategoriesTable[Category name]")=$B80),,)),"No subcategories")</f>
        <v>0</v>
      </c>
      <c r="D80">
        <f ca="1"/>
        <v>0</v>
      </c>
      <c r="E80">
        <f ca="1"/>
        <v>0</v>
      </c>
      <c r="F80">
        <f ca="1"/>
        <v>0</v>
      </c>
      <c r="G80">
        <f ca="1"/>
        <v>0</v>
      </c>
      <c r="H80">
        <f ca="1"/>
        <v>0</v>
      </c>
      <c r="I80">
        <f ca="1"/>
        <v>0</v>
      </c>
      <c r="J80">
        <f ca="1"/>
        <v>0</v>
      </c>
      <c r="K80">
        <f ca="1"/>
        <v>0</v>
      </c>
      <c r="L80">
        <f ca="1"/>
        <v>0</v>
      </c>
      <c r="M80">
        <f ca="1"/>
        <v>0</v>
      </c>
      <c r="N80">
        <f ca="1"/>
        <v>0</v>
      </c>
      <c r="O80">
        <f ca="1"/>
        <v>0</v>
      </c>
      <c r="P80">
        <f ca="1"/>
        <v>0</v>
      </c>
      <c r="Q80">
        <f ca="1"/>
        <v>0</v>
      </c>
      <c r="R80">
        <f ca="1"/>
        <v>0</v>
      </c>
      <c r="S80">
        <f ca="1"/>
        <v>0</v>
      </c>
      <c r="T80">
        <f ca="1"/>
        <v>0</v>
      </c>
      <c r="U80">
        <f ca="1"/>
        <v>0</v>
      </c>
      <c r="V80">
        <f ca="1"/>
        <v>0</v>
      </c>
      <c r="W80">
        <f ca="1"/>
        <v>0</v>
      </c>
      <c r="X80">
        <f ca="1"/>
        <v>0</v>
      </c>
      <c r="Y80">
        <f ca="1"/>
        <v>0</v>
      </c>
      <c r="Z80">
        <f ca="1"/>
        <v>0</v>
      </c>
      <c r="AA80">
        <f ca="1"/>
        <v>0</v>
      </c>
      <c r="AB80">
        <f ca="1"/>
        <v>0</v>
      </c>
      <c r="AC80">
        <f ca="1"/>
        <v>0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>
        <f ca="1"/>
        <v>0</v>
      </c>
      <c r="AJ80">
        <f ca="1"/>
        <v>0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  <c r="AQ80">
        <f ca="1"/>
        <v>0</v>
      </c>
      <c r="AR80">
        <f ca="1"/>
        <v>0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>
        <f ca="1"/>
        <v>0</v>
      </c>
      <c r="AX80">
        <f ca="1"/>
        <v>0</v>
      </c>
      <c r="AY80">
        <f ca="1"/>
        <v>0</v>
      </c>
      <c r="AZ80">
        <f ca="1"/>
        <v>0</v>
      </c>
      <c r="BA80">
        <f ca="1"/>
        <v>0</v>
      </c>
      <c r="BB80">
        <f ca="1"/>
        <v>0</v>
      </c>
      <c r="BC80">
        <f ca="1"/>
        <v>0</v>
      </c>
      <c r="BD80">
        <f ca="1"/>
        <v>0</v>
      </c>
      <c r="BE80">
        <f ca="1"/>
        <v>0</v>
      </c>
      <c r="BF80">
        <f ca="1"/>
        <v>0</v>
      </c>
      <c r="BG80">
        <f ca="1"/>
        <v>0</v>
      </c>
      <c r="BH80">
        <f ca="1"/>
        <v>0</v>
      </c>
      <c r="BI80">
        <f ca="1"/>
        <v>0</v>
      </c>
      <c r="BJ80">
        <f ca="1"/>
        <v>0</v>
      </c>
      <c r="BK80">
        <f ca="1"/>
        <v>0</v>
      </c>
      <c r="BL80">
        <f ca="1"/>
        <v>0</v>
      </c>
      <c r="BM80">
        <f ca="1"/>
        <v>0</v>
      </c>
      <c r="BN80">
        <f ca="1"/>
        <v>0</v>
      </c>
      <c r="BO80">
        <f ca="1"/>
        <v>0</v>
      </c>
      <c r="BP80">
        <f ca="1"/>
        <v>0</v>
      </c>
      <c r="BQ80">
        <f ca="1"/>
        <v>0</v>
      </c>
      <c r="BR80">
        <f ca="1"/>
        <v>0</v>
      </c>
      <c r="BS80">
        <f ca="1"/>
        <v>0</v>
      </c>
      <c r="BT80">
        <f ca="1"/>
        <v>0</v>
      </c>
      <c r="BU80">
        <f ca="1"/>
        <v>0</v>
      </c>
    </row>
    <row r="81" spans="3:73" x14ac:dyDescent="0.25">
      <c r="C81" cm="1">
        <f t="array" aca="1" ref="C81:BU81" ca="1">IFERROR(TRANSPOSE(INDEX(_xlfn._xlws.FILTER(INDIRECT("SubcategoriesTable[Subcategory name]"),INDIRECT("SubcategoriesTable[Category name]")=$B81),,)),"No subcategories")</f>
        <v>0</v>
      </c>
      <c r="D81">
        <f ca="1"/>
        <v>0</v>
      </c>
      <c r="E81">
        <f ca="1"/>
        <v>0</v>
      </c>
      <c r="F81">
        <f ca="1"/>
        <v>0</v>
      </c>
      <c r="G81">
        <f ca="1"/>
        <v>0</v>
      </c>
      <c r="H81">
        <f ca="1"/>
        <v>0</v>
      </c>
      <c r="I81">
        <f ca="1"/>
        <v>0</v>
      </c>
      <c r="J81">
        <f ca="1"/>
        <v>0</v>
      </c>
      <c r="K81">
        <f ca="1"/>
        <v>0</v>
      </c>
      <c r="L81">
        <f ca="1"/>
        <v>0</v>
      </c>
      <c r="M81">
        <f ca="1"/>
        <v>0</v>
      </c>
      <c r="N81">
        <f ca="1"/>
        <v>0</v>
      </c>
      <c r="O81">
        <f ca="1"/>
        <v>0</v>
      </c>
      <c r="P81">
        <f ca="1"/>
        <v>0</v>
      </c>
      <c r="Q81">
        <f ca="1"/>
        <v>0</v>
      </c>
      <c r="R81">
        <f ca="1"/>
        <v>0</v>
      </c>
      <c r="S81">
        <f ca="1"/>
        <v>0</v>
      </c>
      <c r="T81">
        <f ca="1"/>
        <v>0</v>
      </c>
      <c r="U81">
        <f ca="1"/>
        <v>0</v>
      </c>
      <c r="V81">
        <f ca="1"/>
        <v>0</v>
      </c>
      <c r="W81">
        <f ca="1"/>
        <v>0</v>
      </c>
      <c r="X81">
        <f ca="1"/>
        <v>0</v>
      </c>
      <c r="Y81">
        <f ca="1"/>
        <v>0</v>
      </c>
      <c r="Z81">
        <f ca="1"/>
        <v>0</v>
      </c>
      <c r="AA81">
        <f ca="1"/>
        <v>0</v>
      </c>
      <c r="AB81">
        <f ca="1"/>
        <v>0</v>
      </c>
      <c r="AC81">
        <f ca="1"/>
        <v>0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>
        <f ca="1"/>
        <v>0</v>
      </c>
      <c r="AJ81">
        <f ca="1"/>
        <v>0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  <c r="AQ81">
        <f ca="1"/>
        <v>0</v>
      </c>
      <c r="AR81">
        <f ca="1"/>
        <v>0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>
        <f ca="1"/>
        <v>0</v>
      </c>
      <c r="AX81">
        <f ca="1"/>
        <v>0</v>
      </c>
      <c r="AY81">
        <f ca="1"/>
        <v>0</v>
      </c>
      <c r="AZ81">
        <f ca="1"/>
        <v>0</v>
      </c>
      <c r="BA81">
        <f ca="1"/>
        <v>0</v>
      </c>
      <c r="BB81">
        <f ca="1"/>
        <v>0</v>
      </c>
      <c r="BC81">
        <f ca="1"/>
        <v>0</v>
      </c>
      <c r="BD81">
        <f ca="1"/>
        <v>0</v>
      </c>
      <c r="BE81">
        <f ca="1"/>
        <v>0</v>
      </c>
      <c r="BF81">
        <f ca="1"/>
        <v>0</v>
      </c>
      <c r="BG81">
        <f ca="1"/>
        <v>0</v>
      </c>
      <c r="BH81">
        <f ca="1"/>
        <v>0</v>
      </c>
      <c r="BI81">
        <f ca="1"/>
        <v>0</v>
      </c>
      <c r="BJ81">
        <f ca="1"/>
        <v>0</v>
      </c>
      <c r="BK81">
        <f ca="1"/>
        <v>0</v>
      </c>
      <c r="BL81">
        <f ca="1"/>
        <v>0</v>
      </c>
      <c r="BM81">
        <f ca="1"/>
        <v>0</v>
      </c>
      <c r="BN81">
        <f ca="1"/>
        <v>0</v>
      </c>
      <c r="BO81">
        <f ca="1"/>
        <v>0</v>
      </c>
      <c r="BP81">
        <f ca="1"/>
        <v>0</v>
      </c>
      <c r="BQ81">
        <f ca="1"/>
        <v>0</v>
      </c>
      <c r="BR81">
        <f ca="1"/>
        <v>0</v>
      </c>
      <c r="BS81">
        <f ca="1"/>
        <v>0</v>
      </c>
      <c r="BT81">
        <f ca="1"/>
        <v>0</v>
      </c>
      <c r="BU81">
        <f ca="1"/>
        <v>0</v>
      </c>
    </row>
    <row r="82" spans="3:73" x14ac:dyDescent="0.25">
      <c r="C82" cm="1">
        <f t="array" aca="1" ref="C82:BU82" ca="1">IFERROR(TRANSPOSE(INDEX(_xlfn._xlws.FILTER(INDIRECT("SubcategoriesTable[Subcategory name]"),INDIRECT("SubcategoriesTable[Category name]")=$B82),,)),"No subcategories")</f>
        <v>0</v>
      </c>
      <c r="D82">
        <f ca="1"/>
        <v>0</v>
      </c>
      <c r="E82">
        <f ca="1"/>
        <v>0</v>
      </c>
      <c r="F82">
        <f ca="1"/>
        <v>0</v>
      </c>
      <c r="G82">
        <f ca="1"/>
        <v>0</v>
      </c>
      <c r="H82">
        <f ca="1"/>
        <v>0</v>
      </c>
      <c r="I82">
        <f ca="1"/>
        <v>0</v>
      </c>
      <c r="J82">
        <f ca="1"/>
        <v>0</v>
      </c>
      <c r="K82">
        <f ca="1"/>
        <v>0</v>
      </c>
      <c r="L82">
        <f ca="1"/>
        <v>0</v>
      </c>
      <c r="M82">
        <f ca="1"/>
        <v>0</v>
      </c>
      <c r="N82">
        <f ca="1"/>
        <v>0</v>
      </c>
      <c r="O82">
        <f ca="1"/>
        <v>0</v>
      </c>
      <c r="P82">
        <f ca="1"/>
        <v>0</v>
      </c>
      <c r="Q82">
        <f ca="1"/>
        <v>0</v>
      </c>
      <c r="R82">
        <f ca="1"/>
        <v>0</v>
      </c>
      <c r="S82">
        <f ca="1"/>
        <v>0</v>
      </c>
      <c r="T82">
        <f ca="1"/>
        <v>0</v>
      </c>
      <c r="U82">
        <f ca="1"/>
        <v>0</v>
      </c>
      <c r="V82">
        <f ca="1"/>
        <v>0</v>
      </c>
      <c r="W82">
        <f ca="1"/>
        <v>0</v>
      </c>
      <c r="X82">
        <f ca="1"/>
        <v>0</v>
      </c>
      <c r="Y82">
        <f ca="1"/>
        <v>0</v>
      </c>
      <c r="Z82">
        <f ca="1"/>
        <v>0</v>
      </c>
      <c r="AA82">
        <f ca="1"/>
        <v>0</v>
      </c>
      <c r="AB82">
        <f ca="1"/>
        <v>0</v>
      </c>
      <c r="AC82">
        <f ca="1"/>
        <v>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>
        <f ca="1"/>
        <v>0</v>
      </c>
      <c r="AJ82">
        <f ca="1"/>
        <v>0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  <c r="AQ82">
        <f ca="1"/>
        <v>0</v>
      </c>
      <c r="AR82">
        <f ca="1"/>
        <v>0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>
        <f ca="1"/>
        <v>0</v>
      </c>
      <c r="AX82">
        <f ca="1"/>
        <v>0</v>
      </c>
      <c r="AY82">
        <f ca="1"/>
        <v>0</v>
      </c>
      <c r="AZ82">
        <f ca="1"/>
        <v>0</v>
      </c>
      <c r="BA82">
        <f ca="1"/>
        <v>0</v>
      </c>
      <c r="BB82">
        <f ca="1"/>
        <v>0</v>
      </c>
      <c r="BC82">
        <f ca="1"/>
        <v>0</v>
      </c>
      <c r="BD82">
        <f ca="1"/>
        <v>0</v>
      </c>
      <c r="BE82">
        <f ca="1"/>
        <v>0</v>
      </c>
      <c r="BF82">
        <f ca="1"/>
        <v>0</v>
      </c>
      <c r="BG82">
        <f ca="1"/>
        <v>0</v>
      </c>
      <c r="BH82">
        <f ca="1"/>
        <v>0</v>
      </c>
      <c r="BI82">
        <f ca="1"/>
        <v>0</v>
      </c>
      <c r="BJ82">
        <f ca="1"/>
        <v>0</v>
      </c>
      <c r="BK82">
        <f ca="1"/>
        <v>0</v>
      </c>
      <c r="BL82">
        <f ca="1"/>
        <v>0</v>
      </c>
      <c r="BM82">
        <f ca="1"/>
        <v>0</v>
      </c>
      <c r="BN82">
        <f ca="1"/>
        <v>0</v>
      </c>
      <c r="BO82">
        <f ca="1"/>
        <v>0</v>
      </c>
      <c r="BP82">
        <f ca="1"/>
        <v>0</v>
      </c>
      <c r="BQ82">
        <f ca="1"/>
        <v>0</v>
      </c>
      <c r="BR82">
        <f ca="1"/>
        <v>0</v>
      </c>
      <c r="BS82">
        <f ca="1"/>
        <v>0</v>
      </c>
      <c r="BT82">
        <f ca="1"/>
        <v>0</v>
      </c>
      <c r="BU82">
        <f ca="1"/>
        <v>0</v>
      </c>
    </row>
    <row r="83" spans="3:73" x14ac:dyDescent="0.25">
      <c r="C83" cm="1">
        <f t="array" aca="1" ref="C83:BU83" ca="1">IFERROR(TRANSPOSE(INDEX(_xlfn._xlws.FILTER(INDIRECT("SubcategoriesTable[Subcategory name]"),INDIRECT("SubcategoriesTable[Category name]")=$B83),,)),"No subcategories")</f>
        <v>0</v>
      </c>
      <c r="D83">
        <f ca="1"/>
        <v>0</v>
      </c>
      <c r="E83">
        <f ca="1"/>
        <v>0</v>
      </c>
      <c r="F83">
        <f ca="1"/>
        <v>0</v>
      </c>
      <c r="G83">
        <f ca="1"/>
        <v>0</v>
      </c>
      <c r="H83">
        <f ca="1"/>
        <v>0</v>
      </c>
      <c r="I83">
        <f ca="1"/>
        <v>0</v>
      </c>
      <c r="J83">
        <f ca="1"/>
        <v>0</v>
      </c>
      <c r="K83">
        <f ca="1"/>
        <v>0</v>
      </c>
      <c r="L83">
        <f ca="1"/>
        <v>0</v>
      </c>
      <c r="M83">
        <f ca="1"/>
        <v>0</v>
      </c>
      <c r="N83">
        <f ca="1"/>
        <v>0</v>
      </c>
      <c r="O83">
        <f ca="1"/>
        <v>0</v>
      </c>
      <c r="P83">
        <f ca="1"/>
        <v>0</v>
      </c>
      <c r="Q83">
        <f ca="1"/>
        <v>0</v>
      </c>
      <c r="R83">
        <f ca="1"/>
        <v>0</v>
      </c>
      <c r="S83">
        <f ca="1"/>
        <v>0</v>
      </c>
      <c r="T83">
        <f ca="1"/>
        <v>0</v>
      </c>
      <c r="U83">
        <f ca="1"/>
        <v>0</v>
      </c>
      <c r="V83">
        <f ca="1"/>
        <v>0</v>
      </c>
      <c r="W83">
        <f ca="1"/>
        <v>0</v>
      </c>
      <c r="X83">
        <f ca="1"/>
        <v>0</v>
      </c>
      <c r="Y83">
        <f ca="1"/>
        <v>0</v>
      </c>
      <c r="Z83">
        <f ca="1"/>
        <v>0</v>
      </c>
      <c r="AA83">
        <f ca="1"/>
        <v>0</v>
      </c>
      <c r="AB83">
        <f ca="1"/>
        <v>0</v>
      </c>
      <c r="AC83">
        <f ca="1"/>
        <v>0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>
        <f ca="1"/>
        <v>0</v>
      </c>
      <c r="AJ83">
        <f ca="1"/>
        <v>0</v>
      </c>
      <c r="AK83">
        <f ca="1"/>
        <v>0</v>
      </c>
      <c r="AL83">
        <f ca="1"/>
        <v>0</v>
      </c>
      <c r="AM83">
        <f ca="1"/>
        <v>0</v>
      </c>
      <c r="AN83">
        <f ca="1"/>
        <v>0</v>
      </c>
      <c r="AO83">
        <f ca="1"/>
        <v>0</v>
      </c>
      <c r="AP83">
        <f ca="1"/>
        <v>0</v>
      </c>
      <c r="AQ83">
        <f ca="1"/>
        <v>0</v>
      </c>
      <c r="AR83">
        <f ca="1"/>
        <v>0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>
        <f ca="1"/>
        <v>0</v>
      </c>
      <c r="AX83">
        <f ca="1"/>
        <v>0</v>
      </c>
      <c r="AY83">
        <f ca="1"/>
        <v>0</v>
      </c>
      <c r="AZ83">
        <f ca="1"/>
        <v>0</v>
      </c>
      <c r="BA83">
        <f ca="1"/>
        <v>0</v>
      </c>
      <c r="BB83">
        <f ca="1"/>
        <v>0</v>
      </c>
      <c r="BC83">
        <f ca="1"/>
        <v>0</v>
      </c>
      <c r="BD83">
        <f ca="1"/>
        <v>0</v>
      </c>
      <c r="BE83">
        <f ca="1"/>
        <v>0</v>
      </c>
      <c r="BF83">
        <f ca="1"/>
        <v>0</v>
      </c>
      <c r="BG83">
        <f ca="1"/>
        <v>0</v>
      </c>
      <c r="BH83">
        <f ca="1"/>
        <v>0</v>
      </c>
      <c r="BI83">
        <f ca="1"/>
        <v>0</v>
      </c>
      <c r="BJ83">
        <f ca="1"/>
        <v>0</v>
      </c>
      <c r="BK83">
        <f ca="1"/>
        <v>0</v>
      </c>
      <c r="BL83">
        <f ca="1"/>
        <v>0</v>
      </c>
      <c r="BM83">
        <f ca="1"/>
        <v>0</v>
      </c>
      <c r="BN83">
        <f ca="1"/>
        <v>0</v>
      </c>
      <c r="BO83">
        <f ca="1"/>
        <v>0</v>
      </c>
      <c r="BP83">
        <f ca="1"/>
        <v>0</v>
      </c>
      <c r="BQ83">
        <f ca="1"/>
        <v>0</v>
      </c>
      <c r="BR83">
        <f ca="1"/>
        <v>0</v>
      </c>
      <c r="BS83">
        <f ca="1"/>
        <v>0</v>
      </c>
      <c r="BT83">
        <f ca="1"/>
        <v>0</v>
      </c>
      <c r="BU83">
        <f ca="1"/>
        <v>0</v>
      </c>
    </row>
    <row r="84" spans="3:73" x14ac:dyDescent="0.25">
      <c r="C84" cm="1">
        <f t="array" aca="1" ref="C84:BU84" ca="1">IFERROR(TRANSPOSE(INDEX(_xlfn._xlws.FILTER(INDIRECT("SubcategoriesTable[Subcategory name]"),INDIRECT("SubcategoriesTable[Category name]")=$B84),,)),"No subcategories")</f>
        <v>0</v>
      </c>
      <c r="D84">
        <f ca="1"/>
        <v>0</v>
      </c>
      <c r="E84">
        <f ca="1"/>
        <v>0</v>
      </c>
      <c r="F84">
        <f ca="1"/>
        <v>0</v>
      </c>
      <c r="G84">
        <f ca="1"/>
        <v>0</v>
      </c>
      <c r="H84">
        <f ca="1"/>
        <v>0</v>
      </c>
      <c r="I84">
        <f ca="1"/>
        <v>0</v>
      </c>
      <c r="J84">
        <f ca="1"/>
        <v>0</v>
      </c>
      <c r="K84">
        <f ca="1"/>
        <v>0</v>
      </c>
      <c r="L84">
        <f ca="1"/>
        <v>0</v>
      </c>
      <c r="M84">
        <f ca="1"/>
        <v>0</v>
      </c>
      <c r="N84">
        <f ca="1"/>
        <v>0</v>
      </c>
      <c r="O84">
        <f ca="1"/>
        <v>0</v>
      </c>
      <c r="P84">
        <f ca="1"/>
        <v>0</v>
      </c>
      <c r="Q84">
        <f ca="1"/>
        <v>0</v>
      </c>
      <c r="R84">
        <f ca="1"/>
        <v>0</v>
      </c>
      <c r="S84">
        <f ca="1"/>
        <v>0</v>
      </c>
      <c r="T84">
        <f ca="1"/>
        <v>0</v>
      </c>
      <c r="U84">
        <f ca="1"/>
        <v>0</v>
      </c>
      <c r="V84">
        <f ca="1"/>
        <v>0</v>
      </c>
      <c r="W84">
        <f ca="1"/>
        <v>0</v>
      </c>
      <c r="X84">
        <f ca="1"/>
        <v>0</v>
      </c>
      <c r="Y84">
        <f ca="1"/>
        <v>0</v>
      </c>
      <c r="Z84">
        <f ca="1"/>
        <v>0</v>
      </c>
      <c r="AA84">
        <f ca="1"/>
        <v>0</v>
      </c>
      <c r="AB84">
        <f ca="1"/>
        <v>0</v>
      </c>
      <c r="AC84">
        <f ca="1"/>
        <v>0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>
        <f ca="1"/>
        <v>0</v>
      </c>
      <c r="AJ84">
        <f ca="1"/>
        <v>0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  <c r="AQ84">
        <f ca="1"/>
        <v>0</v>
      </c>
      <c r="AR84">
        <f ca="1"/>
        <v>0</v>
      </c>
      <c r="AS84">
        <f ca="1"/>
        <v>0</v>
      </c>
      <c r="AT84">
        <f ca="1"/>
        <v>0</v>
      </c>
      <c r="AU84">
        <f ca="1"/>
        <v>0</v>
      </c>
      <c r="AV84">
        <f ca="1"/>
        <v>0</v>
      </c>
      <c r="AW84">
        <f ca="1"/>
        <v>0</v>
      </c>
      <c r="AX84">
        <f ca="1"/>
        <v>0</v>
      </c>
      <c r="AY84">
        <f ca="1"/>
        <v>0</v>
      </c>
      <c r="AZ84">
        <f ca="1"/>
        <v>0</v>
      </c>
      <c r="BA84">
        <f ca="1"/>
        <v>0</v>
      </c>
      <c r="BB84">
        <f ca="1"/>
        <v>0</v>
      </c>
      <c r="BC84">
        <f ca="1"/>
        <v>0</v>
      </c>
      <c r="BD84">
        <f ca="1"/>
        <v>0</v>
      </c>
      <c r="BE84">
        <f ca="1"/>
        <v>0</v>
      </c>
      <c r="BF84">
        <f ca="1"/>
        <v>0</v>
      </c>
      <c r="BG84">
        <f ca="1"/>
        <v>0</v>
      </c>
      <c r="BH84">
        <f ca="1"/>
        <v>0</v>
      </c>
      <c r="BI84">
        <f ca="1"/>
        <v>0</v>
      </c>
      <c r="BJ84">
        <f ca="1"/>
        <v>0</v>
      </c>
      <c r="BK84">
        <f ca="1"/>
        <v>0</v>
      </c>
      <c r="BL84">
        <f ca="1"/>
        <v>0</v>
      </c>
      <c r="BM84">
        <f ca="1"/>
        <v>0</v>
      </c>
      <c r="BN84">
        <f ca="1"/>
        <v>0</v>
      </c>
      <c r="BO84">
        <f ca="1"/>
        <v>0</v>
      </c>
      <c r="BP84">
        <f ca="1"/>
        <v>0</v>
      </c>
      <c r="BQ84">
        <f ca="1"/>
        <v>0</v>
      </c>
      <c r="BR84">
        <f ca="1"/>
        <v>0</v>
      </c>
      <c r="BS84">
        <f ca="1"/>
        <v>0</v>
      </c>
      <c r="BT84">
        <f ca="1"/>
        <v>0</v>
      </c>
      <c r="BU84">
        <f ca="1"/>
        <v>0</v>
      </c>
    </row>
    <row r="85" spans="3:73" x14ac:dyDescent="0.25">
      <c r="C85" cm="1">
        <f t="array" aca="1" ref="C85:BU85" ca="1">IFERROR(TRANSPOSE(INDEX(_xlfn._xlws.FILTER(INDIRECT("SubcategoriesTable[Subcategory name]"),INDIRECT("SubcategoriesTable[Category name]")=$B85),,)),"No subcategories")</f>
        <v>0</v>
      </c>
      <c r="D85">
        <f ca="1"/>
        <v>0</v>
      </c>
      <c r="E85">
        <f ca="1"/>
        <v>0</v>
      </c>
      <c r="F85">
        <f ca="1"/>
        <v>0</v>
      </c>
      <c r="G85">
        <f ca="1"/>
        <v>0</v>
      </c>
      <c r="H85">
        <f ca="1"/>
        <v>0</v>
      </c>
      <c r="I85">
        <f ca="1"/>
        <v>0</v>
      </c>
      <c r="J85">
        <f ca="1"/>
        <v>0</v>
      </c>
      <c r="K85">
        <f ca="1"/>
        <v>0</v>
      </c>
      <c r="L85">
        <f ca="1"/>
        <v>0</v>
      </c>
      <c r="M85">
        <f ca="1"/>
        <v>0</v>
      </c>
      <c r="N85">
        <f ca="1"/>
        <v>0</v>
      </c>
      <c r="O85">
        <f ca="1"/>
        <v>0</v>
      </c>
      <c r="P85">
        <f ca="1"/>
        <v>0</v>
      </c>
      <c r="Q85">
        <f ca="1"/>
        <v>0</v>
      </c>
      <c r="R85">
        <f ca="1"/>
        <v>0</v>
      </c>
      <c r="S85">
        <f ca="1"/>
        <v>0</v>
      </c>
      <c r="T85">
        <f ca="1"/>
        <v>0</v>
      </c>
      <c r="U85">
        <f ca="1"/>
        <v>0</v>
      </c>
      <c r="V85">
        <f ca="1"/>
        <v>0</v>
      </c>
      <c r="W85">
        <f ca="1"/>
        <v>0</v>
      </c>
      <c r="X85">
        <f ca="1"/>
        <v>0</v>
      </c>
      <c r="Y85">
        <f ca="1"/>
        <v>0</v>
      </c>
      <c r="Z85">
        <f ca="1"/>
        <v>0</v>
      </c>
      <c r="AA85">
        <f ca="1"/>
        <v>0</v>
      </c>
      <c r="AB85">
        <f ca="1"/>
        <v>0</v>
      </c>
      <c r="AC85">
        <f ca="1"/>
        <v>0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>
        <f ca="1"/>
        <v>0</v>
      </c>
      <c r="AJ85">
        <f ca="1"/>
        <v>0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  <c r="AQ85">
        <f ca="1"/>
        <v>0</v>
      </c>
      <c r="AR85">
        <f ca="1"/>
        <v>0</v>
      </c>
      <c r="AS85">
        <f ca="1"/>
        <v>0</v>
      </c>
      <c r="AT85">
        <f ca="1"/>
        <v>0</v>
      </c>
      <c r="AU85">
        <f ca="1"/>
        <v>0</v>
      </c>
      <c r="AV85">
        <f ca="1"/>
        <v>0</v>
      </c>
      <c r="AW85">
        <f ca="1"/>
        <v>0</v>
      </c>
      <c r="AX85">
        <f ca="1"/>
        <v>0</v>
      </c>
      <c r="AY85">
        <f ca="1"/>
        <v>0</v>
      </c>
      <c r="AZ85">
        <f ca="1"/>
        <v>0</v>
      </c>
      <c r="BA85">
        <f ca="1"/>
        <v>0</v>
      </c>
      <c r="BB85">
        <f ca="1"/>
        <v>0</v>
      </c>
      <c r="BC85">
        <f ca="1"/>
        <v>0</v>
      </c>
      <c r="BD85">
        <f ca="1"/>
        <v>0</v>
      </c>
      <c r="BE85">
        <f ca="1"/>
        <v>0</v>
      </c>
      <c r="BF85">
        <f ca="1"/>
        <v>0</v>
      </c>
      <c r="BG85">
        <f ca="1"/>
        <v>0</v>
      </c>
      <c r="BH85">
        <f ca="1"/>
        <v>0</v>
      </c>
      <c r="BI85">
        <f ca="1"/>
        <v>0</v>
      </c>
      <c r="BJ85">
        <f ca="1"/>
        <v>0</v>
      </c>
      <c r="BK85">
        <f ca="1"/>
        <v>0</v>
      </c>
      <c r="BL85">
        <f ca="1"/>
        <v>0</v>
      </c>
      <c r="BM85">
        <f ca="1"/>
        <v>0</v>
      </c>
      <c r="BN85">
        <f ca="1"/>
        <v>0</v>
      </c>
      <c r="BO85">
        <f ca="1"/>
        <v>0</v>
      </c>
      <c r="BP85">
        <f ca="1"/>
        <v>0</v>
      </c>
      <c r="BQ85">
        <f ca="1"/>
        <v>0</v>
      </c>
      <c r="BR85">
        <f ca="1"/>
        <v>0</v>
      </c>
      <c r="BS85">
        <f ca="1"/>
        <v>0</v>
      </c>
      <c r="BT85">
        <f ca="1"/>
        <v>0</v>
      </c>
      <c r="BU85">
        <f ca="1"/>
        <v>0</v>
      </c>
    </row>
    <row r="86" spans="3:73" x14ac:dyDescent="0.25">
      <c r="C86" cm="1">
        <f t="array" aca="1" ref="C86:BU86" ca="1">IFERROR(TRANSPOSE(INDEX(_xlfn._xlws.FILTER(INDIRECT("SubcategoriesTable[Subcategory name]"),INDIRECT("SubcategoriesTable[Category name]")=$B86),,)),"No subcategories")</f>
        <v>0</v>
      </c>
      <c r="D86">
        <f ca="1"/>
        <v>0</v>
      </c>
      <c r="E86">
        <f ca="1"/>
        <v>0</v>
      </c>
      <c r="F86">
        <f ca="1"/>
        <v>0</v>
      </c>
      <c r="G86">
        <f ca="1"/>
        <v>0</v>
      </c>
      <c r="H86">
        <f ca="1"/>
        <v>0</v>
      </c>
      <c r="I86">
        <f ca="1"/>
        <v>0</v>
      </c>
      <c r="J86">
        <f ca="1"/>
        <v>0</v>
      </c>
      <c r="K86">
        <f ca="1"/>
        <v>0</v>
      </c>
      <c r="L86">
        <f ca="1"/>
        <v>0</v>
      </c>
      <c r="M86">
        <f ca="1"/>
        <v>0</v>
      </c>
      <c r="N86">
        <f ca="1"/>
        <v>0</v>
      </c>
      <c r="O86">
        <f ca="1"/>
        <v>0</v>
      </c>
      <c r="P86">
        <f ca="1"/>
        <v>0</v>
      </c>
      <c r="Q86">
        <f ca="1"/>
        <v>0</v>
      </c>
      <c r="R86">
        <f ca="1"/>
        <v>0</v>
      </c>
      <c r="S86">
        <f ca="1"/>
        <v>0</v>
      </c>
      <c r="T86">
        <f ca="1"/>
        <v>0</v>
      </c>
      <c r="U86">
        <f ca="1"/>
        <v>0</v>
      </c>
      <c r="V86">
        <f ca="1"/>
        <v>0</v>
      </c>
      <c r="W86">
        <f ca="1"/>
        <v>0</v>
      </c>
      <c r="X86">
        <f ca="1"/>
        <v>0</v>
      </c>
      <c r="Y86">
        <f ca="1"/>
        <v>0</v>
      </c>
      <c r="Z86">
        <f ca="1"/>
        <v>0</v>
      </c>
      <c r="AA86">
        <f ca="1"/>
        <v>0</v>
      </c>
      <c r="AB86">
        <f ca="1"/>
        <v>0</v>
      </c>
      <c r="AC86">
        <f ca="1"/>
        <v>0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>
        <f ca="1"/>
        <v>0</v>
      </c>
      <c r="AJ86">
        <f ca="1"/>
        <v>0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  <c r="AQ86">
        <f ca="1"/>
        <v>0</v>
      </c>
      <c r="AR86">
        <f ca="1"/>
        <v>0</v>
      </c>
      <c r="AS86">
        <f ca="1"/>
        <v>0</v>
      </c>
      <c r="AT86">
        <f ca="1"/>
        <v>0</v>
      </c>
      <c r="AU86">
        <f ca="1"/>
        <v>0</v>
      </c>
      <c r="AV86">
        <f ca="1"/>
        <v>0</v>
      </c>
      <c r="AW86">
        <f ca="1"/>
        <v>0</v>
      </c>
      <c r="AX86">
        <f ca="1"/>
        <v>0</v>
      </c>
      <c r="AY86">
        <f ca="1"/>
        <v>0</v>
      </c>
      <c r="AZ86">
        <f ca="1"/>
        <v>0</v>
      </c>
      <c r="BA86">
        <f ca="1"/>
        <v>0</v>
      </c>
      <c r="BB86">
        <f ca="1"/>
        <v>0</v>
      </c>
      <c r="BC86">
        <f ca="1"/>
        <v>0</v>
      </c>
      <c r="BD86">
        <f ca="1"/>
        <v>0</v>
      </c>
      <c r="BE86">
        <f ca="1"/>
        <v>0</v>
      </c>
      <c r="BF86">
        <f ca="1"/>
        <v>0</v>
      </c>
      <c r="BG86">
        <f ca="1"/>
        <v>0</v>
      </c>
      <c r="BH86">
        <f ca="1"/>
        <v>0</v>
      </c>
      <c r="BI86">
        <f ca="1"/>
        <v>0</v>
      </c>
      <c r="BJ86">
        <f ca="1"/>
        <v>0</v>
      </c>
      <c r="BK86">
        <f ca="1"/>
        <v>0</v>
      </c>
      <c r="BL86">
        <f ca="1"/>
        <v>0</v>
      </c>
      <c r="BM86">
        <f ca="1"/>
        <v>0</v>
      </c>
      <c r="BN86">
        <f ca="1"/>
        <v>0</v>
      </c>
      <c r="BO86">
        <f ca="1"/>
        <v>0</v>
      </c>
      <c r="BP86">
        <f ca="1"/>
        <v>0</v>
      </c>
      <c r="BQ86">
        <f ca="1"/>
        <v>0</v>
      </c>
      <c r="BR86">
        <f ca="1"/>
        <v>0</v>
      </c>
      <c r="BS86">
        <f ca="1"/>
        <v>0</v>
      </c>
      <c r="BT86">
        <f ca="1"/>
        <v>0</v>
      </c>
      <c r="BU86">
        <f ca="1"/>
        <v>0</v>
      </c>
    </row>
    <row r="87" spans="3:73" x14ac:dyDescent="0.25">
      <c r="C87" cm="1">
        <f t="array" aca="1" ref="C87:BU87" ca="1">IFERROR(TRANSPOSE(INDEX(_xlfn._xlws.FILTER(INDIRECT("SubcategoriesTable[Subcategory name]"),INDIRECT("SubcategoriesTable[Category name]")=$B87),,)),"No subcategories")</f>
        <v>0</v>
      </c>
      <c r="D87">
        <f ca="1"/>
        <v>0</v>
      </c>
      <c r="E87">
        <f ca="1"/>
        <v>0</v>
      </c>
      <c r="F87">
        <f ca="1"/>
        <v>0</v>
      </c>
      <c r="G87">
        <f ca="1"/>
        <v>0</v>
      </c>
      <c r="H87">
        <f ca="1"/>
        <v>0</v>
      </c>
      <c r="I87">
        <f ca="1"/>
        <v>0</v>
      </c>
      <c r="J87">
        <f ca="1"/>
        <v>0</v>
      </c>
      <c r="K87">
        <f ca="1"/>
        <v>0</v>
      </c>
      <c r="L87">
        <f ca="1"/>
        <v>0</v>
      </c>
      <c r="M87">
        <f ca="1"/>
        <v>0</v>
      </c>
      <c r="N87">
        <f ca="1"/>
        <v>0</v>
      </c>
      <c r="O87">
        <f ca="1"/>
        <v>0</v>
      </c>
      <c r="P87">
        <f ca="1"/>
        <v>0</v>
      </c>
      <c r="Q87">
        <f ca="1"/>
        <v>0</v>
      </c>
      <c r="R87">
        <f ca="1"/>
        <v>0</v>
      </c>
      <c r="S87">
        <f ca="1"/>
        <v>0</v>
      </c>
      <c r="T87">
        <f ca="1"/>
        <v>0</v>
      </c>
      <c r="U87">
        <f ca="1"/>
        <v>0</v>
      </c>
      <c r="V87">
        <f ca="1"/>
        <v>0</v>
      </c>
      <c r="W87">
        <f ca="1"/>
        <v>0</v>
      </c>
      <c r="X87">
        <f ca="1"/>
        <v>0</v>
      </c>
      <c r="Y87">
        <f ca="1"/>
        <v>0</v>
      </c>
      <c r="Z87">
        <f ca="1"/>
        <v>0</v>
      </c>
      <c r="AA87">
        <f ca="1"/>
        <v>0</v>
      </c>
      <c r="AB87">
        <f ca="1"/>
        <v>0</v>
      </c>
      <c r="AC87">
        <f ca="1"/>
        <v>0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>
        <f ca="1"/>
        <v>0</v>
      </c>
      <c r="AJ87">
        <f ca="1"/>
        <v>0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>
        <f ca="1"/>
        <v>0</v>
      </c>
      <c r="AP87">
        <f ca="1"/>
        <v>0</v>
      </c>
      <c r="AQ87">
        <f ca="1"/>
        <v>0</v>
      </c>
      <c r="AR87">
        <f ca="1"/>
        <v>0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>
        <f ca="1"/>
        <v>0</v>
      </c>
      <c r="AX87">
        <f ca="1"/>
        <v>0</v>
      </c>
      <c r="AY87">
        <f ca="1"/>
        <v>0</v>
      </c>
      <c r="AZ87">
        <f ca="1"/>
        <v>0</v>
      </c>
      <c r="BA87">
        <f ca="1"/>
        <v>0</v>
      </c>
      <c r="BB87">
        <f ca="1"/>
        <v>0</v>
      </c>
      <c r="BC87">
        <f ca="1"/>
        <v>0</v>
      </c>
      <c r="BD87">
        <f ca="1"/>
        <v>0</v>
      </c>
      <c r="BE87">
        <f ca="1"/>
        <v>0</v>
      </c>
      <c r="BF87">
        <f ca="1"/>
        <v>0</v>
      </c>
      <c r="BG87">
        <f ca="1"/>
        <v>0</v>
      </c>
      <c r="BH87">
        <f ca="1"/>
        <v>0</v>
      </c>
      <c r="BI87">
        <f ca="1"/>
        <v>0</v>
      </c>
      <c r="BJ87">
        <f ca="1"/>
        <v>0</v>
      </c>
      <c r="BK87">
        <f ca="1"/>
        <v>0</v>
      </c>
      <c r="BL87">
        <f ca="1"/>
        <v>0</v>
      </c>
      <c r="BM87">
        <f ca="1"/>
        <v>0</v>
      </c>
      <c r="BN87">
        <f ca="1"/>
        <v>0</v>
      </c>
      <c r="BO87">
        <f ca="1"/>
        <v>0</v>
      </c>
      <c r="BP87">
        <f ca="1"/>
        <v>0</v>
      </c>
      <c r="BQ87">
        <f ca="1"/>
        <v>0</v>
      </c>
      <c r="BR87">
        <f ca="1"/>
        <v>0</v>
      </c>
      <c r="BS87">
        <f ca="1"/>
        <v>0</v>
      </c>
      <c r="BT87">
        <f ca="1"/>
        <v>0</v>
      </c>
      <c r="BU87">
        <f ca="1"/>
        <v>0</v>
      </c>
    </row>
    <row r="88" spans="3:73" x14ac:dyDescent="0.25">
      <c r="C88" cm="1">
        <f t="array" aca="1" ref="C88:BU88" ca="1">IFERROR(TRANSPOSE(INDEX(_xlfn._xlws.FILTER(INDIRECT("SubcategoriesTable[Subcategory name]"),INDIRECT("SubcategoriesTable[Category name]")=$B88),,)),"No subcategories")</f>
        <v>0</v>
      </c>
      <c r="D88">
        <f ca="1"/>
        <v>0</v>
      </c>
      <c r="E88">
        <f ca="1"/>
        <v>0</v>
      </c>
      <c r="F88">
        <f ca="1"/>
        <v>0</v>
      </c>
      <c r="G88">
        <f ca="1"/>
        <v>0</v>
      </c>
      <c r="H88">
        <f ca="1"/>
        <v>0</v>
      </c>
      <c r="I88">
        <f ca="1"/>
        <v>0</v>
      </c>
      <c r="J88">
        <f ca="1"/>
        <v>0</v>
      </c>
      <c r="K88">
        <f ca="1"/>
        <v>0</v>
      </c>
      <c r="L88">
        <f ca="1"/>
        <v>0</v>
      </c>
      <c r="M88">
        <f ca="1"/>
        <v>0</v>
      </c>
      <c r="N88">
        <f ca="1"/>
        <v>0</v>
      </c>
      <c r="O88">
        <f ca="1"/>
        <v>0</v>
      </c>
      <c r="P88">
        <f ca="1"/>
        <v>0</v>
      </c>
      <c r="Q88">
        <f ca="1"/>
        <v>0</v>
      </c>
      <c r="R88">
        <f ca="1"/>
        <v>0</v>
      </c>
      <c r="S88">
        <f ca="1"/>
        <v>0</v>
      </c>
      <c r="T88">
        <f ca="1"/>
        <v>0</v>
      </c>
      <c r="U88">
        <f ca="1"/>
        <v>0</v>
      </c>
      <c r="V88">
        <f ca="1"/>
        <v>0</v>
      </c>
      <c r="W88">
        <f ca="1"/>
        <v>0</v>
      </c>
      <c r="X88">
        <f ca="1"/>
        <v>0</v>
      </c>
      <c r="Y88">
        <f ca="1"/>
        <v>0</v>
      </c>
      <c r="Z88">
        <f ca="1"/>
        <v>0</v>
      </c>
      <c r="AA88">
        <f ca="1"/>
        <v>0</v>
      </c>
      <c r="AB88">
        <f ca="1"/>
        <v>0</v>
      </c>
      <c r="AC88">
        <f ca="1"/>
        <v>0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>
        <f ca="1"/>
        <v>0</v>
      </c>
      <c r="AJ88">
        <f ca="1"/>
        <v>0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  <c r="AQ88">
        <f ca="1"/>
        <v>0</v>
      </c>
      <c r="AR88">
        <f ca="1"/>
        <v>0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>
        <f ca="1"/>
        <v>0</v>
      </c>
      <c r="AX88">
        <f ca="1"/>
        <v>0</v>
      </c>
      <c r="AY88">
        <f ca="1"/>
        <v>0</v>
      </c>
      <c r="AZ88">
        <f ca="1"/>
        <v>0</v>
      </c>
      <c r="BA88">
        <f ca="1"/>
        <v>0</v>
      </c>
      <c r="BB88">
        <f ca="1"/>
        <v>0</v>
      </c>
      <c r="BC88">
        <f ca="1"/>
        <v>0</v>
      </c>
      <c r="BD88">
        <f ca="1"/>
        <v>0</v>
      </c>
      <c r="BE88">
        <f ca="1"/>
        <v>0</v>
      </c>
      <c r="BF88">
        <f ca="1"/>
        <v>0</v>
      </c>
      <c r="BG88">
        <f ca="1"/>
        <v>0</v>
      </c>
      <c r="BH88">
        <f ca="1"/>
        <v>0</v>
      </c>
      <c r="BI88">
        <f ca="1"/>
        <v>0</v>
      </c>
      <c r="BJ88">
        <f ca="1"/>
        <v>0</v>
      </c>
      <c r="BK88">
        <f ca="1"/>
        <v>0</v>
      </c>
      <c r="BL88">
        <f ca="1"/>
        <v>0</v>
      </c>
      <c r="BM88">
        <f ca="1"/>
        <v>0</v>
      </c>
      <c r="BN88">
        <f ca="1"/>
        <v>0</v>
      </c>
      <c r="BO88">
        <f ca="1"/>
        <v>0</v>
      </c>
      <c r="BP88">
        <f ca="1"/>
        <v>0</v>
      </c>
      <c r="BQ88">
        <f ca="1"/>
        <v>0</v>
      </c>
      <c r="BR88">
        <f ca="1"/>
        <v>0</v>
      </c>
      <c r="BS88">
        <f ca="1"/>
        <v>0</v>
      </c>
      <c r="BT88">
        <f ca="1"/>
        <v>0</v>
      </c>
      <c r="BU88">
        <f ca="1"/>
        <v>0</v>
      </c>
    </row>
    <row r="89" spans="3:73" x14ac:dyDescent="0.25">
      <c r="C89" cm="1">
        <f t="array" aca="1" ref="C89:BU89" ca="1">IFERROR(TRANSPOSE(INDEX(_xlfn._xlws.FILTER(INDIRECT("SubcategoriesTable[Subcategory name]"),INDIRECT("SubcategoriesTable[Category name]")=$B89),,)),"No subcategories")</f>
        <v>0</v>
      </c>
      <c r="D89">
        <f ca="1"/>
        <v>0</v>
      </c>
      <c r="E89">
        <f ca="1"/>
        <v>0</v>
      </c>
      <c r="F89">
        <f ca="1"/>
        <v>0</v>
      </c>
      <c r="G89">
        <f ca="1"/>
        <v>0</v>
      </c>
      <c r="H89">
        <f ca="1"/>
        <v>0</v>
      </c>
      <c r="I89">
        <f ca="1"/>
        <v>0</v>
      </c>
      <c r="J89">
        <f ca="1"/>
        <v>0</v>
      </c>
      <c r="K89">
        <f ca="1"/>
        <v>0</v>
      </c>
      <c r="L89">
        <f ca="1"/>
        <v>0</v>
      </c>
      <c r="M89">
        <f ca="1"/>
        <v>0</v>
      </c>
      <c r="N89">
        <f ca="1"/>
        <v>0</v>
      </c>
      <c r="O89">
        <f ca="1"/>
        <v>0</v>
      </c>
      <c r="P89">
        <f ca="1"/>
        <v>0</v>
      </c>
      <c r="Q89">
        <f ca="1"/>
        <v>0</v>
      </c>
      <c r="R89">
        <f ca="1"/>
        <v>0</v>
      </c>
      <c r="S89">
        <f ca="1"/>
        <v>0</v>
      </c>
      <c r="T89">
        <f ca="1"/>
        <v>0</v>
      </c>
      <c r="U89">
        <f ca="1"/>
        <v>0</v>
      </c>
      <c r="V89">
        <f ca="1"/>
        <v>0</v>
      </c>
      <c r="W89">
        <f ca="1"/>
        <v>0</v>
      </c>
      <c r="X89">
        <f ca="1"/>
        <v>0</v>
      </c>
      <c r="Y89">
        <f ca="1"/>
        <v>0</v>
      </c>
      <c r="Z89">
        <f ca="1"/>
        <v>0</v>
      </c>
      <c r="AA89">
        <f ca="1"/>
        <v>0</v>
      </c>
      <c r="AB89">
        <f ca="1"/>
        <v>0</v>
      </c>
      <c r="AC89">
        <f ca="1"/>
        <v>0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>
        <f ca="1"/>
        <v>0</v>
      </c>
      <c r="AJ89">
        <f ca="1"/>
        <v>0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  <c r="AQ89">
        <f ca="1"/>
        <v>0</v>
      </c>
      <c r="AR89">
        <f ca="1"/>
        <v>0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>
        <f ca="1"/>
        <v>0</v>
      </c>
      <c r="AX89">
        <f ca="1"/>
        <v>0</v>
      </c>
      <c r="AY89">
        <f ca="1"/>
        <v>0</v>
      </c>
      <c r="AZ89">
        <f ca="1"/>
        <v>0</v>
      </c>
      <c r="BA89">
        <f ca="1"/>
        <v>0</v>
      </c>
      <c r="BB89">
        <f ca="1"/>
        <v>0</v>
      </c>
      <c r="BC89">
        <f ca="1"/>
        <v>0</v>
      </c>
      <c r="BD89">
        <f ca="1"/>
        <v>0</v>
      </c>
      <c r="BE89">
        <f ca="1"/>
        <v>0</v>
      </c>
      <c r="BF89">
        <f ca="1"/>
        <v>0</v>
      </c>
      <c r="BG89">
        <f ca="1"/>
        <v>0</v>
      </c>
      <c r="BH89">
        <f ca="1"/>
        <v>0</v>
      </c>
      <c r="BI89">
        <f ca="1"/>
        <v>0</v>
      </c>
      <c r="BJ89">
        <f ca="1"/>
        <v>0</v>
      </c>
      <c r="BK89">
        <f ca="1"/>
        <v>0</v>
      </c>
      <c r="BL89">
        <f ca="1"/>
        <v>0</v>
      </c>
      <c r="BM89">
        <f ca="1"/>
        <v>0</v>
      </c>
      <c r="BN89">
        <f ca="1"/>
        <v>0</v>
      </c>
      <c r="BO89">
        <f ca="1"/>
        <v>0</v>
      </c>
      <c r="BP89">
        <f ca="1"/>
        <v>0</v>
      </c>
      <c r="BQ89">
        <f ca="1"/>
        <v>0</v>
      </c>
      <c r="BR89">
        <f ca="1"/>
        <v>0</v>
      </c>
      <c r="BS89">
        <f ca="1"/>
        <v>0</v>
      </c>
      <c r="BT89">
        <f ca="1"/>
        <v>0</v>
      </c>
      <c r="BU89">
        <f ca="1"/>
        <v>0</v>
      </c>
    </row>
    <row r="90" spans="3:73" x14ac:dyDescent="0.25">
      <c r="C90" cm="1">
        <f t="array" aca="1" ref="C90:BU90" ca="1">IFERROR(TRANSPOSE(INDEX(_xlfn._xlws.FILTER(INDIRECT("SubcategoriesTable[Subcategory name]"),INDIRECT("SubcategoriesTable[Category name]")=$B90),,)),"No subcategories")</f>
        <v>0</v>
      </c>
      <c r="D90">
        <f ca="1"/>
        <v>0</v>
      </c>
      <c r="E90">
        <f ca="1"/>
        <v>0</v>
      </c>
      <c r="F90">
        <f ca="1"/>
        <v>0</v>
      </c>
      <c r="G90">
        <f ca="1"/>
        <v>0</v>
      </c>
      <c r="H90">
        <f ca="1"/>
        <v>0</v>
      </c>
      <c r="I90">
        <f ca="1"/>
        <v>0</v>
      </c>
      <c r="J90">
        <f ca="1"/>
        <v>0</v>
      </c>
      <c r="K90">
        <f ca="1"/>
        <v>0</v>
      </c>
      <c r="L90">
        <f ca="1"/>
        <v>0</v>
      </c>
      <c r="M90">
        <f ca="1"/>
        <v>0</v>
      </c>
      <c r="N90">
        <f ca="1"/>
        <v>0</v>
      </c>
      <c r="O90">
        <f ca="1"/>
        <v>0</v>
      </c>
      <c r="P90">
        <f ca="1"/>
        <v>0</v>
      </c>
      <c r="Q90">
        <f ca="1"/>
        <v>0</v>
      </c>
      <c r="R90">
        <f ca="1"/>
        <v>0</v>
      </c>
      <c r="S90">
        <f ca="1"/>
        <v>0</v>
      </c>
      <c r="T90">
        <f ca="1"/>
        <v>0</v>
      </c>
      <c r="U90">
        <f ca="1"/>
        <v>0</v>
      </c>
      <c r="V90">
        <f ca="1"/>
        <v>0</v>
      </c>
      <c r="W90">
        <f ca="1"/>
        <v>0</v>
      </c>
      <c r="X90">
        <f ca="1"/>
        <v>0</v>
      </c>
      <c r="Y90">
        <f ca="1"/>
        <v>0</v>
      </c>
      <c r="Z90">
        <f ca="1"/>
        <v>0</v>
      </c>
      <c r="AA90">
        <f ca="1"/>
        <v>0</v>
      </c>
      <c r="AB90">
        <f ca="1"/>
        <v>0</v>
      </c>
      <c r="AC90">
        <f ca="1"/>
        <v>0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>
        <f ca="1"/>
        <v>0</v>
      </c>
      <c r="AJ90">
        <f ca="1"/>
        <v>0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  <c r="AQ90">
        <f ca="1"/>
        <v>0</v>
      </c>
      <c r="AR90">
        <f ca="1"/>
        <v>0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>
        <f ca="1"/>
        <v>0</v>
      </c>
      <c r="AX90">
        <f ca="1"/>
        <v>0</v>
      </c>
      <c r="AY90">
        <f ca="1"/>
        <v>0</v>
      </c>
      <c r="AZ90">
        <f ca="1"/>
        <v>0</v>
      </c>
      <c r="BA90">
        <f ca="1"/>
        <v>0</v>
      </c>
      <c r="BB90">
        <f ca="1"/>
        <v>0</v>
      </c>
      <c r="BC90">
        <f ca="1"/>
        <v>0</v>
      </c>
      <c r="BD90">
        <f ca="1"/>
        <v>0</v>
      </c>
      <c r="BE90">
        <f ca="1"/>
        <v>0</v>
      </c>
      <c r="BF90">
        <f ca="1"/>
        <v>0</v>
      </c>
      <c r="BG90">
        <f ca="1"/>
        <v>0</v>
      </c>
      <c r="BH90">
        <f ca="1"/>
        <v>0</v>
      </c>
      <c r="BI90">
        <f ca="1"/>
        <v>0</v>
      </c>
      <c r="BJ90">
        <f ca="1"/>
        <v>0</v>
      </c>
      <c r="BK90">
        <f ca="1"/>
        <v>0</v>
      </c>
      <c r="BL90">
        <f ca="1"/>
        <v>0</v>
      </c>
      <c r="BM90">
        <f ca="1"/>
        <v>0</v>
      </c>
      <c r="BN90">
        <f ca="1"/>
        <v>0</v>
      </c>
      <c r="BO90">
        <f ca="1"/>
        <v>0</v>
      </c>
      <c r="BP90">
        <f ca="1"/>
        <v>0</v>
      </c>
      <c r="BQ90">
        <f ca="1"/>
        <v>0</v>
      </c>
      <c r="BR90">
        <f ca="1"/>
        <v>0</v>
      </c>
      <c r="BS90">
        <f ca="1"/>
        <v>0</v>
      </c>
      <c r="BT90">
        <f ca="1"/>
        <v>0</v>
      </c>
      <c r="BU90">
        <f ca="1"/>
        <v>0</v>
      </c>
    </row>
    <row r="91" spans="3:73" x14ac:dyDescent="0.25">
      <c r="C91" cm="1">
        <f t="array" aca="1" ref="C91:BU91" ca="1">IFERROR(TRANSPOSE(INDEX(_xlfn._xlws.FILTER(INDIRECT("SubcategoriesTable[Subcategory name]"),INDIRECT("SubcategoriesTable[Category name]")=$B91),,)),"No subcategories")</f>
        <v>0</v>
      </c>
      <c r="D91">
        <f ca="1"/>
        <v>0</v>
      </c>
      <c r="E91">
        <f ca="1"/>
        <v>0</v>
      </c>
      <c r="F91">
        <f ca="1"/>
        <v>0</v>
      </c>
      <c r="G91">
        <f ca="1"/>
        <v>0</v>
      </c>
      <c r="H91">
        <f ca="1"/>
        <v>0</v>
      </c>
      <c r="I91">
        <f ca="1"/>
        <v>0</v>
      </c>
      <c r="J91">
        <f ca="1"/>
        <v>0</v>
      </c>
      <c r="K91">
        <f ca="1"/>
        <v>0</v>
      </c>
      <c r="L91">
        <f ca="1"/>
        <v>0</v>
      </c>
      <c r="M91">
        <f ca="1"/>
        <v>0</v>
      </c>
      <c r="N91">
        <f ca="1"/>
        <v>0</v>
      </c>
      <c r="O91">
        <f ca="1"/>
        <v>0</v>
      </c>
      <c r="P91">
        <f ca="1"/>
        <v>0</v>
      </c>
      <c r="Q91">
        <f ca="1"/>
        <v>0</v>
      </c>
      <c r="R91">
        <f ca="1"/>
        <v>0</v>
      </c>
      <c r="S91">
        <f ca="1"/>
        <v>0</v>
      </c>
      <c r="T91">
        <f ca="1"/>
        <v>0</v>
      </c>
      <c r="U91">
        <f ca="1"/>
        <v>0</v>
      </c>
      <c r="V91">
        <f ca="1"/>
        <v>0</v>
      </c>
      <c r="W91">
        <f ca="1"/>
        <v>0</v>
      </c>
      <c r="X91">
        <f ca="1"/>
        <v>0</v>
      </c>
      <c r="Y91">
        <f ca="1"/>
        <v>0</v>
      </c>
      <c r="Z91">
        <f ca="1"/>
        <v>0</v>
      </c>
      <c r="AA91">
        <f ca="1"/>
        <v>0</v>
      </c>
      <c r="AB91">
        <f ca="1"/>
        <v>0</v>
      </c>
      <c r="AC91">
        <f ca="1"/>
        <v>0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>
        <f ca="1"/>
        <v>0</v>
      </c>
      <c r="AJ91">
        <f ca="1"/>
        <v>0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  <c r="AQ91">
        <f ca="1"/>
        <v>0</v>
      </c>
      <c r="AR91">
        <f ca="1"/>
        <v>0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>
        <f ca="1"/>
        <v>0</v>
      </c>
      <c r="AX91">
        <f ca="1"/>
        <v>0</v>
      </c>
      <c r="AY91">
        <f ca="1"/>
        <v>0</v>
      </c>
      <c r="AZ91">
        <f ca="1"/>
        <v>0</v>
      </c>
      <c r="BA91">
        <f ca="1"/>
        <v>0</v>
      </c>
      <c r="BB91">
        <f ca="1"/>
        <v>0</v>
      </c>
      <c r="BC91">
        <f ca="1"/>
        <v>0</v>
      </c>
      <c r="BD91">
        <f ca="1"/>
        <v>0</v>
      </c>
      <c r="BE91">
        <f ca="1"/>
        <v>0</v>
      </c>
      <c r="BF91">
        <f ca="1"/>
        <v>0</v>
      </c>
      <c r="BG91">
        <f ca="1"/>
        <v>0</v>
      </c>
      <c r="BH91">
        <f ca="1"/>
        <v>0</v>
      </c>
      <c r="BI91">
        <f ca="1"/>
        <v>0</v>
      </c>
      <c r="BJ91">
        <f ca="1"/>
        <v>0</v>
      </c>
      <c r="BK91">
        <f ca="1"/>
        <v>0</v>
      </c>
      <c r="BL91">
        <f ca="1"/>
        <v>0</v>
      </c>
      <c r="BM91">
        <f ca="1"/>
        <v>0</v>
      </c>
      <c r="BN91">
        <f ca="1"/>
        <v>0</v>
      </c>
      <c r="BO91">
        <f ca="1"/>
        <v>0</v>
      </c>
      <c r="BP91">
        <f ca="1"/>
        <v>0</v>
      </c>
      <c r="BQ91">
        <f ca="1"/>
        <v>0</v>
      </c>
      <c r="BR91">
        <f ca="1"/>
        <v>0</v>
      </c>
      <c r="BS91">
        <f ca="1"/>
        <v>0</v>
      </c>
      <c r="BT91">
        <f ca="1"/>
        <v>0</v>
      </c>
      <c r="BU91">
        <f ca="1"/>
        <v>0</v>
      </c>
    </row>
    <row r="92" spans="3:73" x14ac:dyDescent="0.25">
      <c r="C92" cm="1">
        <f t="array" aca="1" ref="C92:BU92" ca="1">IFERROR(TRANSPOSE(INDEX(_xlfn._xlws.FILTER(INDIRECT("SubcategoriesTable[Subcategory name]"),INDIRECT("SubcategoriesTable[Category name]")=$B92),,)),"No subcategories")</f>
        <v>0</v>
      </c>
      <c r="D92">
        <f ca="1"/>
        <v>0</v>
      </c>
      <c r="E92">
        <f ca="1"/>
        <v>0</v>
      </c>
      <c r="F92">
        <f ca="1"/>
        <v>0</v>
      </c>
      <c r="G92">
        <f ca="1"/>
        <v>0</v>
      </c>
      <c r="H92">
        <f ca="1"/>
        <v>0</v>
      </c>
      <c r="I92">
        <f ca="1"/>
        <v>0</v>
      </c>
      <c r="J92">
        <f ca="1"/>
        <v>0</v>
      </c>
      <c r="K92">
        <f ca="1"/>
        <v>0</v>
      </c>
      <c r="L92">
        <f ca="1"/>
        <v>0</v>
      </c>
      <c r="M92">
        <f ca="1"/>
        <v>0</v>
      </c>
      <c r="N92">
        <f ca="1"/>
        <v>0</v>
      </c>
      <c r="O92">
        <f ca="1"/>
        <v>0</v>
      </c>
      <c r="P92">
        <f ca="1"/>
        <v>0</v>
      </c>
      <c r="Q92">
        <f ca="1"/>
        <v>0</v>
      </c>
      <c r="R92">
        <f ca="1"/>
        <v>0</v>
      </c>
      <c r="S92">
        <f ca="1"/>
        <v>0</v>
      </c>
      <c r="T92">
        <f ca="1"/>
        <v>0</v>
      </c>
      <c r="U92">
        <f ca="1"/>
        <v>0</v>
      </c>
      <c r="V92">
        <f ca="1"/>
        <v>0</v>
      </c>
      <c r="W92">
        <f ca="1"/>
        <v>0</v>
      </c>
      <c r="X92">
        <f ca="1"/>
        <v>0</v>
      </c>
      <c r="Y92">
        <f ca="1"/>
        <v>0</v>
      </c>
      <c r="Z92">
        <f ca="1"/>
        <v>0</v>
      </c>
      <c r="AA92">
        <f ca="1"/>
        <v>0</v>
      </c>
      <c r="AB92">
        <f ca="1"/>
        <v>0</v>
      </c>
      <c r="AC92">
        <f ca="1"/>
        <v>0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>
        <f ca="1"/>
        <v>0</v>
      </c>
      <c r="AJ92">
        <f ca="1"/>
        <v>0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  <c r="AQ92">
        <f ca="1"/>
        <v>0</v>
      </c>
      <c r="AR92">
        <f ca="1"/>
        <v>0</v>
      </c>
      <c r="AS92">
        <f ca="1"/>
        <v>0</v>
      </c>
      <c r="AT92">
        <f ca="1"/>
        <v>0</v>
      </c>
      <c r="AU92">
        <f ca="1"/>
        <v>0</v>
      </c>
      <c r="AV92">
        <f ca="1"/>
        <v>0</v>
      </c>
      <c r="AW92">
        <f ca="1"/>
        <v>0</v>
      </c>
      <c r="AX92">
        <f ca="1"/>
        <v>0</v>
      </c>
      <c r="AY92">
        <f ca="1"/>
        <v>0</v>
      </c>
      <c r="AZ92">
        <f ca="1"/>
        <v>0</v>
      </c>
      <c r="BA92">
        <f ca="1"/>
        <v>0</v>
      </c>
      <c r="BB92">
        <f ca="1"/>
        <v>0</v>
      </c>
      <c r="BC92">
        <f ca="1"/>
        <v>0</v>
      </c>
      <c r="BD92">
        <f ca="1"/>
        <v>0</v>
      </c>
      <c r="BE92">
        <f ca="1"/>
        <v>0</v>
      </c>
      <c r="BF92">
        <f ca="1"/>
        <v>0</v>
      </c>
      <c r="BG92">
        <f ca="1"/>
        <v>0</v>
      </c>
      <c r="BH92">
        <f ca="1"/>
        <v>0</v>
      </c>
      <c r="BI92">
        <f ca="1"/>
        <v>0</v>
      </c>
      <c r="BJ92">
        <f ca="1"/>
        <v>0</v>
      </c>
      <c r="BK92">
        <f ca="1"/>
        <v>0</v>
      </c>
      <c r="BL92">
        <f ca="1"/>
        <v>0</v>
      </c>
      <c r="BM92">
        <f ca="1"/>
        <v>0</v>
      </c>
      <c r="BN92">
        <f ca="1"/>
        <v>0</v>
      </c>
      <c r="BO92">
        <f ca="1"/>
        <v>0</v>
      </c>
      <c r="BP92">
        <f ca="1"/>
        <v>0</v>
      </c>
      <c r="BQ92">
        <f ca="1"/>
        <v>0</v>
      </c>
      <c r="BR92">
        <f ca="1"/>
        <v>0</v>
      </c>
      <c r="BS92">
        <f ca="1"/>
        <v>0</v>
      </c>
      <c r="BT92">
        <f ca="1"/>
        <v>0</v>
      </c>
      <c r="BU92">
        <f ca="1"/>
        <v>0</v>
      </c>
    </row>
    <row r="93" spans="3:73" x14ac:dyDescent="0.25">
      <c r="C93" cm="1">
        <f t="array" aca="1" ref="C93:BU93" ca="1">IFERROR(TRANSPOSE(INDEX(_xlfn._xlws.FILTER(INDIRECT("SubcategoriesTable[Subcategory name]"),INDIRECT("SubcategoriesTable[Category name]")=$B93),,)),"No subcategories")</f>
        <v>0</v>
      </c>
      <c r="D93">
        <f ca="1"/>
        <v>0</v>
      </c>
      <c r="E93">
        <f ca="1"/>
        <v>0</v>
      </c>
      <c r="F93">
        <f ca="1"/>
        <v>0</v>
      </c>
      <c r="G93">
        <f ca="1"/>
        <v>0</v>
      </c>
      <c r="H93">
        <f ca="1"/>
        <v>0</v>
      </c>
      <c r="I93">
        <f ca="1"/>
        <v>0</v>
      </c>
      <c r="J93">
        <f ca="1"/>
        <v>0</v>
      </c>
      <c r="K93">
        <f ca="1"/>
        <v>0</v>
      </c>
      <c r="L93">
        <f ca="1"/>
        <v>0</v>
      </c>
      <c r="M93">
        <f ca="1"/>
        <v>0</v>
      </c>
      <c r="N93">
        <f ca="1"/>
        <v>0</v>
      </c>
      <c r="O93">
        <f ca="1"/>
        <v>0</v>
      </c>
      <c r="P93">
        <f ca="1"/>
        <v>0</v>
      </c>
      <c r="Q93">
        <f ca="1"/>
        <v>0</v>
      </c>
      <c r="R93">
        <f ca="1"/>
        <v>0</v>
      </c>
      <c r="S93">
        <f ca="1"/>
        <v>0</v>
      </c>
      <c r="T93">
        <f ca="1"/>
        <v>0</v>
      </c>
      <c r="U93">
        <f ca="1"/>
        <v>0</v>
      </c>
      <c r="V93">
        <f ca="1"/>
        <v>0</v>
      </c>
      <c r="W93">
        <f ca="1"/>
        <v>0</v>
      </c>
      <c r="X93">
        <f ca="1"/>
        <v>0</v>
      </c>
      <c r="Y93">
        <f ca="1"/>
        <v>0</v>
      </c>
      <c r="Z93">
        <f ca="1"/>
        <v>0</v>
      </c>
      <c r="AA93">
        <f ca="1"/>
        <v>0</v>
      </c>
      <c r="AB93">
        <f ca="1"/>
        <v>0</v>
      </c>
      <c r="AC93">
        <f ca="1"/>
        <v>0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>
        <f ca="1"/>
        <v>0</v>
      </c>
      <c r="AJ93">
        <f ca="1"/>
        <v>0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  <c r="AQ93">
        <f ca="1"/>
        <v>0</v>
      </c>
      <c r="AR93">
        <f ca="1"/>
        <v>0</v>
      </c>
      <c r="AS93">
        <f ca="1"/>
        <v>0</v>
      </c>
      <c r="AT93">
        <f ca="1"/>
        <v>0</v>
      </c>
      <c r="AU93">
        <f ca="1"/>
        <v>0</v>
      </c>
      <c r="AV93">
        <f ca="1"/>
        <v>0</v>
      </c>
      <c r="AW93">
        <f ca="1"/>
        <v>0</v>
      </c>
      <c r="AX93">
        <f ca="1"/>
        <v>0</v>
      </c>
      <c r="AY93">
        <f ca="1"/>
        <v>0</v>
      </c>
      <c r="AZ93">
        <f ca="1"/>
        <v>0</v>
      </c>
      <c r="BA93">
        <f ca="1"/>
        <v>0</v>
      </c>
      <c r="BB93">
        <f ca="1"/>
        <v>0</v>
      </c>
      <c r="BC93">
        <f ca="1"/>
        <v>0</v>
      </c>
      <c r="BD93">
        <f ca="1"/>
        <v>0</v>
      </c>
      <c r="BE93">
        <f ca="1"/>
        <v>0</v>
      </c>
      <c r="BF93">
        <f ca="1"/>
        <v>0</v>
      </c>
      <c r="BG93">
        <f ca="1"/>
        <v>0</v>
      </c>
      <c r="BH93">
        <f ca="1"/>
        <v>0</v>
      </c>
      <c r="BI93">
        <f ca="1"/>
        <v>0</v>
      </c>
      <c r="BJ93">
        <f ca="1"/>
        <v>0</v>
      </c>
      <c r="BK93">
        <f ca="1"/>
        <v>0</v>
      </c>
      <c r="BL93">
        <f ca="1"/>
        <v>0</v>
      </c>
      <c r="BM93">
        <f ca="1"/>
        <v>0</v>
      </c>
      <c r="BN93">
        <f ca="1"/>
        <v>0</v>
      </c>
      <c r="BO93">
        <f ca="1"/>
        <v>0</v>
      </c>
      <c r="BP93">
        <f ca="1"/>
        <v>0</v>
      </c>
      <c r="BQ93">
        <f ca="1"/>
        <v>0</v>
      </c>
      <c r="BR93">
        <f ca="1"/>
        <v>0</v>
      </c>
      <c r="BS93">
        <f ca="1"/>
        <v>0</v>
      </c>
      <c r="BT93">
        <f ca="1"/>
        <v>0</v>
      </c>
      <c r="BU93">
        <f ca="1"/>
        <v>0</v>
      </c>
    </row>
    <row r="94" spans="3:73" x14ac:dyDescent="0.25">
      <c r="C94" cm="1">
        <f t="array" aca="1" ref="C94:BU94" ca="1">IFERROR(TRANSPOSE(INDEX(_xlfn._xlws.FILTER(INDIRECT("SubcategoriesTable[Subcategory name]"),INDIRECT("SubcategoriesTable[Category name]")=$B94),,)),"No subcategories")</f>
        <v>0</v>
      </c>
      <c r="D94">
        <f ca="1"/>
        <v>0</v>
      </c>
      <c r="E94">
        <f ca="1"/>
        <v>0</v>
      </c>
      <c r="F94">
        <f ca="1"/>
        <v>0</v>
      </c>
      <c r="G94">
        <f ca="1"/>
        <v>0</v>
      </c>
      <c r="H94">
        <f ca="1"/>
        <v>0</v>
      </c>
      <c r="I94">
        <f ca="1"/>
        <v>0</v>
      </c>
      <c r="J94">
        <f ca="1"/>
        <v>0</v>
      </c>
      <c r="K94">
        <f ca="1"/>
        <v>0</v>
      </c>
      <c r="L94">
        <f ca="1"/>
        <v>0</v>
      </c>
      <c r="M94">
        <f ca="1"/>
        <v>0</v>
      </c>
      <c r="N94">
        <f ca="1"/>
        <v>0</v>
      </c>
      <c r="O94">
        <f ca="1"/>
        <v>0</v>
      </c>
      <c r="P94">
        <f ca="1"/>
        <v>0</v>
      </c>
      <c r="Q94">
        <f ca="1"/>
        <v>0</v>
      </c>
      <c r="R94">
        <f ca="1"/>
        <v>0</v>
      </c>
      <c r="S94">
        <f ca="1"/>
        <v>0</v>
      </c>
      <c r="T94">
        <f ca="1"/>
        <v>0</v>
      </c>
      <c r="U94">
        <f ca="1"/>
        <v>0</v>
      </c>
      <c r="V94">
        <f ca="1"/>
        <v>0</v>
      </c>
      <c r="W94">
        <f ca="1"/>
        <v>0</v>
      </c>
      <c r="X94">
        <f ca="1"/>
        <v>0</v>
      </c>
      <c r="Y94">
        <f ca="1"/>
        <v>0</v>
      </c>
      <c r="Z94">
        <f ca="1"/>
        <v>0</v>
      </c>
      <c r="AA94">
        <f ca="1"/>
        <v>0</v>
      </c>
      <c r="AB94">
        <f ca="1"/>
        <v>0</v>
      </c>
      <c r="AC94">
        <f ca="1"/>
        <v>0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>
        <f ca="1"/>
        <v>0</v>
      </c>
      <c r="AJ94">
        <f ca="1"/>
        <v>0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  <c r="AQ94">
        <f ca="1"/>
        <v>0</v>
      </c>
      <c r="AR94">
        <f ca="1"/>
        <v>0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>
        <f ca="1"/>
        <v>0</v>
      </c>
      <c r="AX94">
        <f ca="1"/>
        <v>0</v>
      </c>
      <c r="AY94">
        <f ca="1"/>
        <v>0</v>
      </c>
      <c r="AZ94">
        <f ca="1"/>
        <v>0</v>
      </c>
      <c r="BA94">
        <f ca="1"/>
        <v>0</v>
      </c>
      <c r="BB94">
        <f ca="1"/>
        <v>0</v>
      </c>
      <c r="BC94">
        <f ca="1"/>
        <v>0</v>
      </c>
      <c r="BD94">
        <f ca="1"/>
        <v>0</v>
      </c>
      <c r="BE94">
        <f ca="1"/>
        <v>0</v>
      </c>
      <c r="BF94">
        <f ca="1"/>
        <v>0</v>
      </c>
      <c r="BG94">
        <f ca="1"/>
        <v>0</v>
      </c>
      <c r="BH94">
        <f ca="1"/>
        <v>0</v>
      </c>
      <c r="BI94">
        <f ca="1"/>
        <v>0</v>
      </c>
      <c r="BJ94">
        <f ca="1"/>
        <v>0</v>
      </c>
      <c r="BK94">
        <f ca="1"/>
        <v>0</v>
      </c>
      <c r="BL94">
        <f ca="1"/>
        <v>0</v>
      </c>
      <c r="BM94">
        <f ca="1"/>
        <v>0</v>
      </c>
      <c r="BN94">
        <f ca="1"/>
        <v>0</v>
      </c>
      <c r="BO94">
        <f ca="1"/>
        <v>0</v>
      </c>
      <c r="BP94">
        <f ca="1"/>
        <v>0</v>
      </c>
      <c r="BQ94">
        <f ca="1"/>
        <v>0</v>
      </c>
      <c r="BR94">
        <f ca="1"/>
        <v>0</v>
      </c>
      <c r="BS94">
        <f ca="1"/>
        <v>0</v>
      </c>
      <c r="BT94">
        <f ca="1"/>
        <v>0</v>
      </c>
      <c r="BU94">
        <f ca="1"/>
        <v>0</v>
      </c>
    </row>
    <row r="95" spans="3:73" x14ac:dyDescent="0.25">
      <c r="C95" cm="1">
        <f t="array" aca="1" ref="C95:BU95" ca="1">IFERROR(TRANSPOSE(INDEX(_xlfn._xlws.FILTER(INDIRECT("SubcategoriesTable[Subcategory name]"),INDIRECT("SubcategoriesTable[Category name]")=$B95),,)),"No subcategories")</f>
        <v>0</v>
      </c>
      <c r="D95">
        <f ca="1"/>
        <v>0</v>
      </c>
      <c r="E95">
        <f ca="1"/>
        <v>0</v>
      </c>
      <c r="F95">
        <f ca="1"/>
        <v>0</v>
      </c>
      <c r="G95">
        <f ca="1"/>
        <v>0</v>
      </c>
      <c r="H95">
        <f ca="1"/>
        <v>0</v>
      </c>
      <c r="I95">
        <f ca="1"/>
        <v>0</v>
      </c>
      <c r="J95">
        <f ca="1"/>
        <v>0</v>
      </c>
      <c r="K95">
        <f ca="1"/>
        <v>0</v>
      </c>
      <c r="L95">
        <f ca="1"/>
        <v>0</v>
      </c>
      <c r="M95">
        <f ca="1"/>
        <v>0</v>
      </c>
      <c r="N95">
        <f ca="1"/>
        <v>0</v>
      </c>
      <c r="O95">
        <f ca="1"/>
        <v>0</v>
      </c>
      <c r="P95">
        <f ca="1"/>
        <v>0</v>
      </c>
      <c r="Q95">
        <f ca="1"/>
        <v>0</v>
      </c>
      <c r="R95">
        <f ca="1"/>
        <v>0</v>
      </c>
      <c r="S95">
        <f ca="1"/>
        <v>0</v>
      </c>
      <c r="T95">
        <f ca="1"/>
        <v>0</v>
      </c>
      <c r="U95">
        <f ca="1"/>
        <v>0</v>
      </c>
      <c r="V95">
        <f ca="1"/>
        <v>0</v>
      </c>
      <c r="W95">
        <f ca="1"/>
        <v>0</v>
      </c>
      <c r="X95">
        <f ca="1"/>
        <v>0</v>
      </c>
      <c r="Y95">
        <f ca="1"/>
        <v>0</v>
      </c>
      <c r="Z95">
        <f ca="1"/>
        <v>0</v>
      </c>
      <c r="AA95">
        <f ca="1"/>
        <v>0</v>
      </c>
      <c r="AB95">
        <f ca="1"/>
        <v>0</v>
      </c>
      <c r="AC95">
        <f ca="1"/>
        <v>0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>
        <f ca="1"/>
        <v>0</v>
      </c>
      <c r="AJ95">
        <f ca="1"/>
        <v>0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  <c r="AQ95">
        <f ca="1"/>
        <v>0</v>
      </c>
      <c r="AR95">
        <f ca="1"/>
        <v>0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>
        <f ca="1"/>
        <v>0</v>
      </c>
      <c r="AX95">
        <f ca="1"/>
        <v>0</v>
      </c>
      <c r="AY95">
        <f ca="1"/>
        <v>0</v>
      </c>
      <c r="AZ95">
        <f ca="1"/>
        <v>0</v>
      </c>
      <c r="BA95">
        <f ca="1"/>
        <v>0</v>
      </c>
      <c r="BB95">
        <f ca="1"/>
        <v>0</v>
      </c>
      <c r="BC95">
        <f ca="1"/>
        <v>0</v>
      </c>
      <c r="BD95">
        <f ca="1"/>
        <v>0</v>
      </c>
      <c r="BE95">
        <f ca="1"/>
        <v>0</v>
      </c>
      <c r="BF95">
        <f ca="1"/>
        <v>0</v>
      </c>
      <c r="BG95">
        <f ca="1"/>
        <v>0</v>
      </c>
      <c r="BH95">
        <f ca="1"/>
        <v>0</v>
      </c>
      <c r="BI95">
        <f ca="1"/>
        <v>0</v>
      </c>
      <c r="BJ95">
        <f ca="1"/>
        <v>0</v>
      </c>
      <c r="BK95">
        <f ca="1"/>
        <v>0</v>
      </c>
      <c r="BL95">
        <f ca="1"/>
        <v>0</v>
      </c>
      <c r="BM95">
        <f ca="1"/>
        <v>0</v>
      </c>
      <c r="BN95">
        <f ca="1"/>
        <v>0</v>
      </c>
      <c r="BO95">
        <f ca="1"/>
        <v>0</v>
      </c>
      <c r="BP95">
        <f ca="1"/>
        <v>0</v>
      </c>
      <c r="BQ95">
        <f ca="1"/>
        <v>0</v>
      </c>
      <c r="BR95">
        <f ca="1"/>
        <v>0</v>
      </c>
      <c r="BS95">
        <f ca="1"/>
        <v>0</v>
      </c>
      <c r="BT95">
        <f ca="1"/>
        <v>0</v>
      </c>
      <c r="BU95">
        <f ca="1"/>
        <v>0</v>
      </c>
    </row>
    <row r="96" spans="3:73" x14ac:dyDescent="0.25">
      <c r="C96" cm="1">
        <f t="array" aca="1" ref="C96:BU96" ca="1">IFERROR(TRANSPOSE(INDEX(_xlfn._xlws.FILTER(INDIRECT("SubcategoriesTable[Subcategory name]"),INDIRECT("SubcategoriesTable[Category name]")=$B96),,)),"No subcategories")</f>
        <v>0</v>
      </c>
      <c r="D96">
        <f ca="1"/>
        <v>0</v>
      </c>
      <c r="E96">
        <f ca="1"/>
        <v>0</v>
      </c>
      <c r="F96">
        <f ca="1"/>
        <v>0</v>
      </c>
      <c r="G96">
        <f ca="1"/>
        <v>0</v>
      </c>
      <c r="H96">
        <f ca="1"/>
        <v>0</v>
      </c>
      <c r="I96">
        <f ca="1"/>
        <v>0</v>
      </c>
      <c r="J96">
        <f ca="1"/>
        <v>0</v>
      </c>
      <c r="K96">
        <f ca="1"/>
        <v>0</v>
      </c>
      <c r="L96">
        <f ca="1"/>
        <v>0</v>
      </c>
      <c r="M96">
        <f ca="1"/>
        <v>0</v>
      </c>
      <c r="N96">
        <f ca="1"/>
        <v>0</v>
      </c>
      <c r="O96">
        <f ca="1"/>
        <v>0</v>
      </c>
      <c r="P96">
        <f ca="1"/>
        <v>0</v>
      </c>
      <c r="Q96">
        <f ca="1"/>
        <v>0</v>
      </c>
      <c r="R96">
        <f ca="1"/>
        <v>0</v>
      </c>
      <c r="S96">
        <f ca="1"/>
        <v>0</v>
      </c>
      <c r="T96">
        <f ca="1"/>
        <v>0</v>
      </c>
      <c r="U96">
        <f ca="1"/>
        <v>0</v>
      </c>
      <c r="V96">
        <f ca="1"/>
        <v>0</v>
      </c>
      <c r="W96">
        <f ca="1"/>
        <v>0</v>
      </c>
      <c r="X96">
        <f ca="1"/>
        <v>0</v>
      </c>
      <c r="Y96">
        <f ca="1"/>
        <v>0</v>
      </c>
      <c r="Z96">
        <f ca="1"/>
        <v>0</v>
      </c>
      <c r="AA96">
        <f ca="1"/>
        <v>0</v>
      </c>
      <c r="AB96">
        <f ca="1"/>
        <v>0</v>
      </c>
      <c r="AC96">
        <f ca="1"/>
        <v>0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>
        <f ca="1"/>
        <v>0</v>
      </c>
      <c r="AJ96">
        <f ca="1"/>
        <v>0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  <c r="AQ96">
        <f ca="1"/>
        <v>0</v>
      </c>
      <c r="AR96">
        <f ca="1"/>
        <v>0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>
        <f ca="1"/>
        <v>0</v>
      </c>
      <c r="AX96">
        <f ca="1"/>
        <v>0</v>
      </c>
      <c r="AY96">
        <f ca="1"/>
        <v>0</v>
      </c>
      <c r="AZ96">
        <f ca="1"/>
        <v>0</v>
      </c>
      <c r="BA96">
        <f ca="1"/>
        <v>0</v>
      </c>
      <c r="BB96">
        <f ca="1"/>
        <v>0</v>
      </c>
      <c r="BC96">
        <f ca="1"/>
        <v>0</v>
      </c>
      <c r="BD96">
        <f ca="1"/>
        <v>0</v>
      </c>
      <c r="BE96">
        <f ca="1"/>
        <v>0</v>
      </c>
      <c r="BF96">
        <f ca="1"/>
        <v>0</v>
      </c>
      <c r="BG96">
        <f ca="1"/>
        <v>0</v>
      </c>
      <c r="BH96">
        <f ca="1"/>
        <v>0</v>
      </c>
      <c r="BI96">
        <f ca="1"/>
        <v>0</v>
      </c>
      <c r="BJ96">
        <f ca="1"/>
        <v>0</v>
      </c>
      <c r="BK96">
        <f ca="1"/>
        <v>0</v>
      </c>
      <c r="BL96">
        <f ca="1"/>
        <v>0</v>
      </c>
      <c r="BM96">
        <f ca="1"/>
        <v>0</v>
      </c>
      <c r="BN96">
        <f ca="1"/>
        <v>0</v>
      </c>
      <c r="BO96">
        <f ca="1"/>
        <v>0</v>
      </c>
      <c r="BP96">
        <f ca="1"/>
        <v>0</v>
      </c>
      <c r="BQ96">
        <f ca="1"/>
        <v>0</v>
      </c>
      <c r="BR96">
        <f ca="1"/>
        <v>0</v>
      </c>
      <c r="BS96">
        <f ca="1"/>
        <v>0</v>
      </c>
      <c r="BT96">
        <f ca="1"/>
        <v>0</v>
      </c>
      <c r="BU96">
        <f ca="1"/>
        <v>0</v>
      </c>
    </row>
    <row r="97" spans="3:73" x14ac:dyDescent="0.25">
      <c r="C97" cm="1">
        <f t="array" aca="1" ref="C97:BU97" ca="1">IFERROR(TRANSPOSE(INDEX(_xlfn._xlws.FILTER(INDIRECT("SubcategoriesTable[Subcategory name]"),INDIRECT("SubcategoriesTable[Category name]")=$B97),,)),"No subcategories")</f>
        <v>0</v>
      </c>
      <c r="D97">
        <f ca="1"/>
        <v>0</v>
      </c>
      <c r="E97">
        <f ca="1"/>
        <v>0</v>
      </c>
      <c r="F97">
        <f ca="1"/>
        <v>0</v>
      </c>
      <c r="G97">
        <f ca="1"/>
        <v>0</v>
      </c>
      <c r="H97">
        <f ca="1"/>
        <v>0</v>
      </c>
      <c r="I97">
        <f ca="1"/>
        <v>0</v>
      </c>
      <c r="J97">
        <f ca="1"/>
        <v>0</v>
      </c>
      <c r="K97">
        <f ca="1"/>
        <v>0</v>
      </c>
      <c r="L97">
        <f ca="1"/>
        <v>0</v>
      </c>
      <c r="M97">
        <f ca="1"/>
        <v>0</v>
      </c>
      <c r="N97">
        <f ca="1"/>
        <v>0</v>
      </c>
      <c r="O97">
        <f ca="1"/>
        <v>0</v>
      </c>
      <c r="P97">
        <f ca="1"/>
        <v>0</v>
      </c>
      <c r="Q97">
        <f ca="1"/>
        <v>0</v>
      </c>
      <c r="R97">
        <f ca="1"/>
        <v>0</v>
      </c>
      <c r="S97">
        <f ca="1"/>
        <v>0</v>
      </c>
      <c r="T97">
        <f ca="1"/>
        <v>0</v>
      </c>
      <c r="U97">
        <f ca="1"/>
        <v>0</v>
      </c>
      <c r="V97">
        <f ca="1"/>
        <v>0</v>
      </c>
      <c r="W97">
        <f ca="1"/>
        <v>0</v>
      </c>
      <c r="X97">
        <f ca="1"/>
        <v>0</v>
      </c>
      <c r="Y97">
        <f ca="1"/>
        <v>0</v>
      </c>
      <c r="Z97">
        <f ca="1"/>
        <v>0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  <c r="AQ97">
        <f ca="1"/>
        <v>0</v>
      </c>
      <c r="AR97">
        <f ca="1"/>
        <v>0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>
        <f ca="1"/>
        <v>0</v>
      </c>
      <c r="AX97">
        <f ca="1"/>
        <v>0</v>
      </c>
      <c r="AY97">
        <f ca="1"/>
        <v>0</v>
      </c>
      <c r="AZ97">
        <f ca="1"/>
        <v>0</v>
      </c>
      <c r="BA97">
        <f ca="1"/>
        <v>0</v>
      </c>
      <c r="BB97">
        <f ca="1"/>
        <v>0</v>
      </c>
      <c r="BC97">
        <f ca="1"/>
        <v>0</v>
      </c>
      <c r="BD97">
        <f ca="1"/>
        <v>0</v>
      </c>
      <c r="BE97">
        <f ca="1"/>
        <v>0</v>
      </c>
      <c r="BF97">
        <f ca="1"/>
        <v>0</v>
      </c>
      <c r="BG97">
        <f ca="1"/>
        <v>0</v>
      </c>
      <c r="BH97">
        <f ca="1"/>
        <v>0</v>
      </c>
      <c r="BI97">
        <f ca="1"/>
        <v>0</v>
      </c>
      <c r="BJ97">
        <f ca="1"/>
        <v>0</v>
      </c>
      <c r="BK97">
        <f ca="1"/>
        <v>0</v>
      </c>
      <c r="BL97">
        <f ca="1"/>
        <v>0</v>
      </c>
      <c r="BM97">
        <f ca="1"/>
        <v>0</v>
      </c>
      <c r="BN97">
        <f ca="1"/>
        <v>0</v>
      </c>
      <c r="BO97">
        <f ca="1"/>
        <v>0</v>
      </c>
      <c r="BP97">
        <f ca="1"/>
        <v>0</v>
      </c>
      <c r="BQ97">
        <f ca="1"/>
        <v>0</v>
      </c>
      <c r="BR97">
        <f ca="1"/>
        <v>0</v>
      </c>
      <c r="BS97">
        <f ca="1"/>
        <v>0</v>
      </c>
      <c r="BT97">
        <f ca="1"/>
        <v>0</v>
      </c>
      <c r="BU97">
        <f ca="1"/>
        <v>0</v>
      </c>
    </row>
    <row r="98" spans="3:73" x14ac:dyDescent="0.25">
      <c r="C98" cm="1">
        <f t="array" aca="1" ref="C98:BU98" ca="1">IFERROR(TRANSPOSE(INDEX(_xlfn._xlws.FILTER(INDIRECT("SubcategoriesTable[Subcategory name]"),INDIRECT("SubcategoriesTable[Category name]")=$B98),,)),"No subcategories")</f>
        <v>0</v>
      </c>
      <c r="D98">
        <f ca="1"/>
        <v>0</v>
      </c>
      <c r="E98">
        <f ca="1"/>
        <v>0</v>
      </c>
      <c r="F98">
        <f ca="1"/>
        <v>0</v>
      </c>
      <c r="G98">
        <f ca="1"/>
        <v>0</v>
      </c>
      <c r="H98">
        <f ca="1"/>
        <v>0</v>
      </c>
      <c r="I98">
        <f ca="1"/>
        <v>0</v>
      </c>
      <c r="J98">
        <f ca="1"/>
        <v>0</v>
      </c>
      <c r="K98">
        <f ca="1"/>
        <v>0</v>
      </c>
      <c r="L98">
        <f ca="1"/>
        <v>0</v>
      </c>
      <c r="M98">
        <f ca="1"/>
        <v>0</v>
      </c>
      <c r="N98">
        <f ca="1"/>
        <v>0</v>
      </c>
      <c r="O98">
        <f ca="1"/>
        <v>0</v>
      </c>
      <c r="P98">
        <f ca="1"/>
        <v>0</v>
      </c>
      <c r="Q98">
        <f ca="1"/>
        <v>0</v>
      </c>
      <c r="R98">
        <f ca="1"/>
        <v>0</v>
      </c>
      <c r="S98">
        <f ca="1"/>
        <v>0</v>
      </c>
      <c r="T98">
        <f ca="1"/>
        <v>0</v>
      </c>
      <c r="U98">
        <f ca="1"/>
        <v>0</v>
      </c>
      <c r="V98">
        <f ca="1"/>
        <v>0</v>
      </c>
      <c r="W98">
        <f ca="1"/>
        <v>0</v>
      </c>
      <c r="X98">
        <f ca="1"/>
        <v>0</v>
      </c>
      <c r="Y98">
        <f ca="1"/>
        <v>0</v>
      </c>
      <c r="Z98">
        <f ca="1"/>
        <v>0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  <c r="AQ98">
        <f ca="1"/>
        <v>0</v>
      </c>
      <c r="AR98">
        <f ca="1"/>
        <v>0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>
        <f ca="1"/>
        <v>0</v>
      </c>
      <c r="AX98">
        <f ca="1"/>
        <v>0</v>
      </c>
      <c r="AY98">
        <f ca="1"/>
        <v>0</v>
      </c>
      <c r="AZ98">
        <f ca="1"/>
        <v>0</v>
      </c>
      <c r="BA98">
        <f ca="1"/>
        <v>0</v>
      </c>
      <c r="BB98">
        <f ca="1"/>
        <v>0</v>
      </c>
      <c r="BC98">
        <f ca="1"/>
        <v>0</v>
      </c>
      <c r="BD98">
        <f ca="1"/>
        <v>0</v>
      </c>
      <c r="BE98">
        <f ca="1"/>
        <v>0</v>
      </c>
      <c r="BF98">
        <f ca="1"/>
        <v>0</v>
      </c>
      <c r="BG98">
        <f ca="1"/>
        <v>0</v>
      </c>
      <c r="BH98">
        <f ca="1"/>
        <v>0</v>
      </c>
      <c r="BI98">
        <f ca="1"/>
        <v>0</v>
      </c>
      <c r="BJ98">
        <f ca="1"/>
        <v>0</v>
      </c>
      <c r="BK98">
        <f ca="1"/>
        <v>0</v>
      </c>
      <c r="BL98">
        <f ca="1"/>
        <v>0</v>
      </c>
      <c r="BM98">
        <f ca="1"/>
        <v>0</v>
      </c>
      <c r="BN98">
        <f ca="1"/>
        <v>0</v>
      </c>
      <c r="BO98">
        <f ca="1"/>
        <v>0</v>
      </c>
      <c r="BP98">
        <f ca="1"/>
        <v>0</v>
      </c>
      <c r="BQ98">
        <f ca="1"/>
        <v>0</v>
      </c>
      <c r="BR98">
        <f ca="1"/>
        <v>0</v>
      </c>
      <c r="BS98">
        <f ca="1"/>
        <v>0</v>
      </c>
      <c r="BT98">
        <f ca="1"/>
        <v>0</v>
      </c>
      <c r="BU98">
        <f ca="1"/>
        <v>0</v>
      </c>
    </row>
    <row r="99" spans="3:73" x14ac:dyDescent="0.25">
      <c r="C99" cm="1">
        <f t="array" aca="1" ref="C99:BU99" ca="1">IFERROR(TRANSPOSE(INDEX(_xlfn._xlws.FILTER(INDIRECT("SubcategoriesTable[Subcategory name]"),INDIRECT("SubcategoriesTable[Category name]")=$B99),,)),"No subcategories")</f>
        <v>0</v>
      </c>
      <c r="D99">
        <f ca="1"/>
        <v>0</v>
      </c>
      <c r="E99">
        <f ca="1"/>
        <v>0</v>
      </c>
      <c r="F99">
        <f ca="1"/>
        <v>0</v>
      </c>
      <c r="G99">
        <f ca="1"/>
        <v>0</v>
      </c>
      <c r="H99">
        <f ca="1"/>
        <v>0</v>
      </c>
      <c r="I99">
        <f ca="1"/>
        <v>0</v>
      </c>
      <c r="J99">
        <f ca="1"/>
        <v>0</v>
      </c>
      <c r="K99">
        <f ca="1"/>
        <v>0</v>
      </c>
      <c r="L99">
        <f ca="1"/>
        <v>0</v>
      </c>
      <c r="M99">
        <f ca="1"/>
        <v>0</v>
      </c>
      <c r="N99">
        <f ca="1"/>
        <v>0</v>
      </c>
      <c r="O99">
        <f ca="1"/>
        <v>0</v>
      </c>
      <c r="P99">
        <f ca="1"/>
        <v>0</v>
      </c>
      <c r="Q99">
        <f ca="1"/>
        <v>0</v>
      </c>
      <c r="R99">
        <f ca="1"/>
        <v>0</v>
      </c>
      <c r="S99">
        <f ca="1"/>
        <v>0</v>
      </c>
      <c r="T99">
        <f ca="1"/>
        <v>0</v>
      </c>
      <c r="U99">
        <f ca="1"/>
        <v>0</v>
      </c>
      <c r="V99">
        <f ca="1"/>
        <v>0</v>
      </c>
      <c r="W99">
        <f ca="1"/>
        <v>0</v>
      </c>
      <c r="X99">
        <f ca="1"/>
        <v>0</v>
      </c>
      <c r="Y99">
        <f ca="1"/>
        <v>0</v>
      </c>
      <c r="Z99">
        <f ca="1"/>
        <v>0</v>
      </c>
      <c r="AA99">
        <f ca="1"/>
        <v>0</v>
      </c>
      <c r="AB99">
        <f ca="1"/>
        <v>0</v>
      </c>
      <c r="AC99">
        <f ca="1"/>
        <v>0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>
        <f ca="1"/>
        <v>0</v>
      </c>
      <c r="AJ99">
        <f ca="1"/>
        <v>0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  <c r="AQ99">
        <f ca="1"/>
        <v>0</v>
      </c>
      <c r="AR99">
        <f ca="1"/>
        <v>0</v>
      </c>
      <c r="AS99">
        <f ca="1"/>
        <v>0</v>
      </c>
      <c r="AT99">
        <f ca="1"/>
        <v>0</v>
      </c>
      <c r="AU99">
        <f ca="1"/>
        <v>0</v>
      </c>
      <c r="AV99">
        <f ca="1"/>
        <v>0</v>
      </c>
      <c r="AW99">
        <f ca="1"/>
        <v>0</v>
      </c>
      <c r="AX99">
        <f ca="1"/>
        <v>0</v>
      </c>
      <c r="AY99">
        <f ca="1"/>
        <v>0</v>
      </c>
      <c r="AZ99">
        <f ca="1"/>
        <v>0</v>
      </c>
      <c r="BA99">
        <f ca="1"/>
        <v>0</v>
      </c>
      <c r="BB99">
        <f ca="1"/>
        <v>0</v>
      </c>
      <c r="BC99">
        <f ca="1"/>
        <v>0</v>
      </c>
      <c r="BD99">
        <f ca="1"/>
        <v>0</v>
      </c>
      <c r="BE99">
        <f ca="1"/>
        <v>0</v>
      </c>
      <c r="BF99">
        <f ca="1"/>
        <v>0</v>
      </c>
      <c r="BG99">
        <f ca="1"/>
        <v>0</v>
      </c>
      <c r="BH99">
        <f ca="1"/>
        <v>0</v>
      </c>
      <c r="BI99">
        <f ca="1"/>
        <v>0</v>
      </c>
      <c r="BJ99">
        <f ca="1"/>
        <v>0</v>
      </c>
      <c r="BK99">
        <f ca="1"/>
        <v>0</v>
      </c>
      <c r="BL99">
        <f ca="1"/>
        <v>0</v>
      </c>
      <c r="BM99">
        <f ca="1"/>
        <v>0</v>
      </c>
      <c r="BN99">
        <f ca="1"/>
        <v>0</v>
      </c>
      <c r="BO99">
        <f ca="1"/>
        <v>0</v>
      </c>
      <c r="BP99">
        <f ca="1"/>
        <v>0</v>
      </c>
      <c r="BQ99">
        <f ca="1"/>
        <v>0</v>
      </c>
      <c r="BR99">
        <f ca="1"/>
        <v>0</v>
      </c>
      <c r="BS99">
        <f ca="1"/>
        <v>0</v>
      </c>
      <c r="BT99">
        <f ca="1"/>
        <v>0</v>
      </c>
      <c r="BU99">
        <f ca="1"/>
        <v>0</v>
      </c>
    </row>
    <row r="100" spans="3:73" x14ac:dyDescent="0.25">
      <c r="C100" cm="1">
        <f t="array" aca="1" ref="C100:BU100" ca="1">IFERROR(TRANSPOSE(INDEX(_xlfn._xlws.FILTER(INDIRECT("SubcategoriesTable[Subcategory name]"),INDIRECT("SubcategoriesTable[Category name]")=$B100),,)),"No subcategories")</f>
        <v>0</v>
      </c>
      <c r="D100">
        <f ca="1"/>
        <v>0</v>
      </c>
      <c r="E100">
        <f ca="1"/>
        <v>0</v>
      </c>
      <c r="F100">
        <f ca="1"/>
        <v>0</v>
      </c>
      <c r="G100">
        <f ca="1"/>
        <v>0</v>
      </c>
      <c r="H100">
        <f ca="1"/>
        <v>0</v>
      </c>
      <c r="I100">
        <f ca="1"/>
        <v>0</v>
      </c>
      <c r="J100">
        <f ca="1"/>
        <v>0</v>
      </c>
      <c r="K100">
        <f ca="1"/>
        <v>0</v>
      </c>
      <c r="L100">
        <f ca="1"/>
        <v>0</v>
      </c>
      <c r="M100">
        <f ca="1"/>
        <v>0</v>
      </c>
      <c r="N100">
        <f ca="1"/>
        <v>0</v>
      </c>
      <c r="O100">
        <f ca="1"/>
        <v>0</v>
      </c>
      <c r="P100">
        <f ca="1"/>
        <v>0</v>
      </c>
      <c r="Q100">
        <f ca="1"/>
        <v>0</v>
      </c>
      <c r="R100">
        <f ca="1"/>
        <v>0</v>
      </c>
      <c r="S100">
        <f ca="1"/>
        <v>0</v>
      </c>
      <c r="T100">
        <f ca="1"/>
        <v>0</v>
      </c>
      <c r="U100">
        <f ca="1"/>
        <v>0</v>
      </c>
      <c r="V100">
        <f ca="1"/>
        <v>0</v>
      </c>
      <c r="W100">
        <f ca="1"/>
        <v>0</v>
      </c>
      <c r="X100">
        <f ca="1"/>
        <v>0</v>
      </c>
      <c r="Y100">
        <f ca="1"/>
        <v>0</v>
      </c>
      <c r="Z100">
        <f ca="1"/>
        <v>0</v>
      </c>
      <c r="AA100">
        <f ca="1"/>
        <v>0</v>
      </c>
      <c r="AB100">
        <f ca="1"/>
        <v>0</v>
      </c>
      <c r="AC100">
        <f ca="1"/>
        <v>0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>
        <f ca="1"/>
        <v>0</v>
      </c>
      <c r="AJ100">
        <f ca="1"/>
        <v>0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  <c r="AQ100">
        <f ca="1"/>
        <v>0</v>
      </c>
      <c r="AR100">
        <f ca="1"/>
        <v>0</v>
      </c>
      <c r="AS100">
        <f ca="1"/>
        <v>0</v>
      </c>
      <c r="AT100">
        <f ca="1"/>
        <v>0</v>
      </c>
      <c r="AU100">
        <f ca="1"/>
        <v>0</v>
      </c>
      <c r="AV100">
        <f ca="1"/>
        <v>0</v>
      </c>
      <c r="AW100">
        <f ca="1"/>
        <v>0</v>
      </c>
      <c r="AX100">
        <f ca="1"/>
        <v>0</v>
      </c>
      <c r="AY100">
        <f ca="1"/>
        <v>0</v>
      </c>
      <c r="AZ100">
        <f ca="1"/>
        <v>0</v>
      </c>
      <c r="BA100">
        <f ca="1"/>
        <v>0</v>
      </c>
      <c r="BB100">
        <f ca="1"/>
        <v>0</v>
      </c>
      <c r="BC100">
        <f ca="1"/>
        <v>0</v>
      </c>
      <c r="BD100">
        <f ca="1"/>
        <v>0</v>
      </c>
      <c r="BE100">
        <f ca="1"/>
        <v>0</v>
      </c>
      <c r="BF100">
        <f ca="1"/>
        <v>0</v>
      </c>
      <c r="BG100">
        <f ca="1"/>
        <v>0</v>
      </c>
      <c r="BH100">
        <f ca="1"/>
        <v>0</v>
      </c>
      <c r="BI100">
        <f ca="1"/>
        <v>0</v>
      </c>
      <c r="BJ100">
        <f ca="1"/>
        <v>0</v>
      </c>
      <c r="BK100">
        <f ca="1"/>
        <v>0</v>
      </c>
      <c r="BL100">
        <f ca="1"/>
        <v>0</v>
      </c>
      <c r="BM100">
        <f ca="1"/>
        <v>0</v>
      </c>
      <c r="BN100">
        <f ca="1"/>
        <v>0</v>
      </c>
      <c r="BO100">
        <f ca="1"/>
        <v>0</v>
      </c>
      <c r="BP100">
        <f ca="1"/>
        <v>0</v>
      </c>
      <c r="BQ100">
        <f ca="1"/>
        <v>0</v>
      </c>
      <c r="BR100">
        <f ca="1"/>
        <v>0</v>
      </c>
      <c r="BS100">
        <f ca="1"/>
        <v>0</v>
      </c>
      <c r="BT100">
        <f ca="1"/>
        <v>0</v>
      </c>
      <c r="BU100">
        <f ca="1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0D2D-643E-DF4C-A4A1-2EC95FEEC4A0}">
  <dimension ref="A1:I12"/>
  <sheetViews>
    <sheetView workbookViewId="0">
      <selection activeCell="A2" sqref="A2:I2"/>
    </sheetView>
  </sheetViews>
  <sheetFormatPr defaultColWidth="11.42578125" defaultRowHeight="15" x14ac:dyDescent="0.25"/>
  <cols>
    <col min="1" max="1" width="5.28515625" bestFit="1" customWidth="1"/>
    <col min="2" max="2" width="16.42578125" bestFit="1" customWidth="1"/>
    <col min="3" max="3" width="19.85546875" bestFit="1" customWidth="1"/>
    <col min="5" max="5" width="5.28515625" bestFit="1" customWidth="1"/>
    <col min="6" max="6" width="13.85546875" bestFit="1" customWidth="1"/>
    <col min="7" max="7" width="11" bestFit="1" customWidth="1"/>
    <col min="8" max="8" width="14.85546875" bestFit="1" customWidth="1"/>
    <col min="9" max="9" width="18" bestFit="1" customWidth="1"/>
  </cols>
  <sheetData>
    <row r="1" spans="1:9" x14ac:dyDescent="0.25">
      <c r="A1" t="s">
        <v>62</v>
      </c>
      <c r="B1" t="s">
        <v>63</v>
      </c>
      <c r="C1" t="s">
        <v>64</v>
      </c>
      <c r="E1" t="s">
        <v>62</v>
      </c>
      <c r="F1" t="s">
        <v>65</v>
      </c>
      <c r="G1" s="140" t="s">
        <v>66</v>
      </c>
      <c r="H1" t="s">
        <v>67</v>
      </c>
      <c r="I1" t="s">
        <v>68</v>
      </c>
    </row>
    <row r="2" spans="1:9" x14ac:dyDescent="0.25">
      <c r="A2" t="s">
        <v>2398</v>
      </c>
      <c r="B2" t="s">
        <v>2399</v>
      </c>
      <c r="C2" t="s">
        <v>2399</v>
      </c>
      <c r="E2" t="s">
        <v>2400</v>
      </c>
      <c r="F2" t="s">
        <v>2398</v>
      </c>
      <c r="G2" s="140" t="s">
        <v>2401</v>
      </c>
      <c r="H2" t="s">
        <v>2402</v>
      </c>
      <c r="I2" t="s">
        <v>2402</v>
      </c>
    </row>
    <row r="3" spans="1:9" x14ac:dyDescent="0.25">
      <c r="A3" t="s">
        <v>2363</v>
      </c>
      <c r="B3" t="s">
        <v>2364</v>
      </c>
      <c r="C3" t="s">
        <v>2364</v>
      </c>
      <c r="E3" t="s">
        <v>2365</v>
      </c>
      <c r="F3" t="s">
        <v>2363</v>
      </c>
      <c r="G3" s="140" t="s">
        <v>2366</v>
      </c>
      <c r="H3" t="s">
        <v>2367</v>
      </c>
      <c r="I3" t="s">
        <v>2367</v>
      </c>
    </row>
    <row r="4" spans="1:9" x14ac:dyDescent="0.25">
      <c r="A4" t="s">
        <v>1228</v>
      </c>
      <c r="B4" t="s">
        <v>1176</v>
      </c>
      <c r="C4" t="s">
        <v>1176</v>
      </c>
      <c r="E4" t="s">
        <v>1229</v>
      </c>
      <c r="F4" t="s">
        <v>1228</v>
      </c>
      <c r="G4" s="140" t="s">
        <v>1178</v>
      </c>
      <c r="H4" t="s">
        <v>1179</v>
      </c>
      <c r="I4" t="s">
        <v>1179</v>
      </c>
    </row>
    <row r="5" spans="1:9" x14ac:dyDescent="0.25">
      <c r="A5" s="172" t="s">
        <v>1207</v>
      </c>
      <c r="B5" t="s">
        <v>1183</v>
      </c>
      <c r="C5" t="s">
        <v>1183</v>
      </c>
      <c r="E5" t="s">
        <v>1208</v>
      </c>
      <c r="F5" s="172" t="s">
        <v>1207</v>
      </c>
      <c r="G5" s="140" t="s">
        <v>1209</v>
      </c>
      <c r="H5" t="s">
        <v>1210</v>
      </c>
      <c r="I5" t="s">
        <v>1210</v>
      </c>
    </row>
    <row r="6" spans="1:9" x14ac:dyDescent="0.25">
      <c r="A6" t="s">
        <v>108</v>
      </c>
      <c r="B6" t="s">
        <v>109</v>
      </c>
      <c r="C6" t="s">
        <v>109</v>
      </c>
      <c r="E6" t="s">
        <v>1211</v>
      </c>
      <c r="F6" s="172" t="s">
        <v>1207</v>
      </c>
      <c r="G6" s="140" t="s">
        <v>1209</v>
      </c>
      <c r="H6" t="s">
        <v>1212</v>
      </c>
      <c r="I6" t="s">
        <v>1212</v>
      </c>
    </row>
    <row r="7" spans="1:9" x14ac:dyDescent="0.25">
      <c r="A7" t="s">
        <v>1175</v>
      </c>
      <c r="B7" t="s">
        <v>1176</v>
      </c>
      <c r="C7" t="s">
        <v>1176</v>
      </c>
      <c r="E7" t="s">
        <v>110</v>
      </c>
      <c r="F7" t="s">
        <v>108</v>
      </c>
      <c r="G7" s="140" t="s">
        <v>111</v>
      </c>
      <c r="H7" t="s">
        <v>112</v>
      </c>
      <c r="I7" t="s">
        <v>112</v>
      </c>
    </row>
    <row r="8" spans="1:9" x14ac:dyDescent="0.25">
      <c r="E8" t="s">
        <v>1177</v>
      </c>
      <c r="F8" t="s">
        <v>1175</v>
      </c>
      <c r="G8" s="140" t="s">
        <v>1178</v>
      </c>
      <c r="H8" t="s">
        <v>1179</v>
      </c>
      <c r="I8" t="s">
        <v>1179</v>
      </c>
    </row>
    <row r="9" spans="1:9" x14ac:dyDescent="0.25">
      <c r="G9" s="140"/>
    </row>
    <row r="10" spans="1:9" x14ac:dyDescent="0.25">
      <c r="G10" s="140"/>
    </row>
    <row r="11" spans="1:9" x14ac:dyDescent="0.25">
      <c r="G11" s="140"/>
    </row>
    <row r="12" spans="1:9" x14ac:dyDescent="0.25">
      <c r="G12" s="140"/>
    </row>
  </sheetData>
  <sheetProtection formatCells="0" formatColumns="0" formatRows="0" insertColumns="0" insertRows="0" deleteColumns="0" sort="0" autoFilter="0"/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B624E-8916-451B-B3D9-53C1545321CF}">
  <dimension ref="A1:S1670"/>
  <sheetViews>
    <sheetView showGridLines="0" tabSelected="1" zoomScale="130" zoomScaleNormal="130" workbookViewId="0">
      <pane ySplit="6" topLeftCell="A7" activePane="bottomLeft" state="frozen"/>
      <selection activeCell="S3" sqref="S3"/>
      <selection pane="bottomLeft" activeCell="E10" sqref="E10"/>
    </sheetView>
  </sheetViews>
  <sheetFormatPr defaultColWidth="8.85546875" defaultRowHeight="15" outlineLevelCol="1" x14ac:dyDescent="0.25"/>
  <cols>
    <col min="1" max="1" width="3.42578125" style="14" customWidth="1"/>
    <col min="2" max="2" width="13.42578125" style="14" customWidth="1"/>
    <col min="3" max="3" width="33" style="14" bestFit="1" customWidth="1"/>
    <col min="4" max="4" width="25.28515625" style="14" customWidth="1"/>
    <col min="5" max="5" width="25.28515625" style="120" customWidth="1"/>
    <col min="6" max="6" width="17.28515625" style="14" customWidth="1"/>
    <col min="7" max="7" width="25.28515625" style="14" customWidth="1"/>
    <col min="8" max="8" width="19.28515625" style="14" customWidth="1"/>
    <col min="9" max="9" width="17.7109375" style="14" customWidth="1" outlineLevel="1"/>
    <col min="10" max="10" width="36.5703125" style="14" customWidth="1" outlineLevel="1"/>
    <col min="11" max="11" width="39.28515625" style="14" customWidth="1" outlineLevel="1"/>
    <col min="12" max="12" width="39.140625" style="14" customWidth="1" outlineLevel="1"/>
    <col min="13" max="14" width="16" style="14" customWidth="1" outlineLevel="1"/>
    <col min="15" max="15" width="11.7109375" style="14" customWidth="1" outlineLevel="1"/>
    <col min="16" max="16" width="14.42578125" style="14" customWidth="1" outlineLevel="1"/>
    <col min="17" max="17" width="12.42578125" style="14" customWidth="1" outlineLevel="1"/>
    <col min="18" max="18" width="20.42578125" style="14" customWidth="1" outlineLevel="1"/>
    <col min="19" max="19" width="9.28515625" style="14" customWidth="1"/>
    <col min="20" max="16384" width="8.85546875" style="14"/>
  </cols>
  <sheetData>
    <row r="1" spans="1:19" s="6" customFormat="1" ht="5.0999999999999996" customHeight="1" x14ac:dyDescent="0.25">
      <c r="A1" s="103"/>
      <c r="B1" s="3"/>
      <c r="C1" s="3"/>
      <c r="D1" s="3"/>
      <c r="E1" s="104"/>
      <c r="F1" s="3"/>
      <c r="G1" s="3"/>
      <c r="H1" s="3"/>
      <c r="I1" s="3"/>
      <c r="J1" s="3"/>
      <c r="K1" s="3"/>
      <c r="L1" s="3"/>
      <c r="M1" s="3"/>
      <c r="N1" s="3"/>
      <c r="O1" s="3"/>
      <c r="P1" s="105"/>
      <c r="Q1" s="105"/>
      <c r="R1" s="106"/>
    </row>
    <row r="2" spans="1:19" s="6" customFormat="1" ht="40.5" customHeight="1" x14ac:dyDescent="0.55000000000000004">
      <c r="B2" s="254" t="s">
        <v>29</v>
      </c>
      <c r="C2" s="274"/>
      <c r="D2" s="274"/>
      <c r="E2" s="274"/>
      <c r="F2" s="274"/>
      <c r="G2" s="274"/>
      <c r="H2" s="274"/>
      <c r="I2" s="107"/>
      <c r="J2" s="107"/>
      <c r="K2" s="107"/>
      <c r="L2" s="107"/>
      <c r="M2" s="107"/>
      <c r="N2" s="107"/>
      <c r="O2" s="107"/>
      <c r="P2" s="108"/>
      <c r="Q2" s="108"/>
      <c r="R2" s="107"/>
    </row>
    <row r="3" spans="1:19" ht="40.5" customHeight="1" x14ac:dyDescent="0.25">
      <c r="A3" s="21"/>
      <c r="B3" s="275" t="s">
        <v>30</v>
      </c>
      <c r="C3" s="276"/>
      <c r="D3" s="276"/>
      <c r="E3" s="276"/>
      <c r="F3" s="260"/>
      <c r="G3" s="260"/>
      <c r="H3" s="260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21"/>
    </row>
    <row r="4" spans="1:19" ht="2.1" customHeight="1" x14ac:dyDescent="0.25">
      <c r="A4" s="21"/>
      <c r="B4" s="110"/>
      <c r="C4" s="110"/>
      <c r="D4" s="110"/>
      <c r="E4" s="110"/>
      <c r="F4" s="110"/>
      <c r="G4" s="110"/>
      <c r="H4" s="110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21"/>
    </row>
    <row r="5" spans="1:19" ht="13.35" customHeight="1" x14ac:dyDescent="0.25">
      <c r="A5" s="21"/>
      <c r="B5" s="143"/>
      <c r="C5" s="144"/>
      <c r="D5" s="144"/>
      <c r="E5" s="144"/>
      <c r="F5" s="144"/>
      <c r="G5" s="144"/>
      <c r="H5" s="144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21"/>
    </row>
    <row r="6" spans="1:19" s="111" customFormat="1" ht="18" customHeight="1" x14ac:dyDescent="0.3">
      <c r="B6" s="132" t="s">
        <v>31</v>
      </c>
      <c r="C6" s="112" t="s">
        <v>27</v>
      </c>
      <c r="D6" s="112" t="s">
        <v>4</v>
      </c>
      <c r="E6" s="112" t="s">
        <v>89</v>
      </c>
      <c r="F6" s="134" t="s">
        <v>32</v>
      </c>
      <c r="G6" s="135" t="s">
        <v>33</v>
      </c>
      <c r="H6" s="136" t="s">
        <v>34</v>
      </c>
      <c r="I6" s="135" t="s">
        <v>35</v>
      </c>
      <c r="J6" s="138" t="s">
        <v>36</v>
      </c>
      <c r="K6" s="138" t="s">
        <v>37</v>
      </c>
      <c r="L6" s="138" t="s">
        <v>38</v>
      </c>
      <c r="M6" s="138" t="s">
        <v>39</v>
      </c>
      <c r="N6" s="138" t="s">
        <v>2397</v>
      </c>
      <c r="O6" s="138" t="s">
        <v>40</v>
      </c>
      <c r="P6" s="138" t="s">
        <v>41</v>
      </c>
      <c r="Q6" s="138" t="s">
        <v>42</v>
      </c>
      <c r="R6" s="138" t="s">
        <v>43</v>
      </c>
      <c r="S6" s="138" t="s">
        <v>44</v>
      </c>
    </row>
    <row r="7" spans="1:19" ht="15.75" x14ac:dyDescent="0.25">
      <c r="B7" s="133">
        <v>44272</v>
      </c>
      <c r="C7" s="128" t="s">
        <v>206</v>
      </c>
      <c r="D7" s="128" t="s">
        <v>57</v>
      </c>
      <c r="E7" s="128" t="str" cm="1">
        <f t="array" ref="E7">IFERROR(INDEX(SubcategoriesTable[Subcategory name],MATCH(Table1[[#This Row],[Category]],SubcategoriesTable[Category name],0),0),"")</f>
        <v>Variable</v>
      </c>
      <c r="F7" s="134">
        <v>14.05</v>
      </c>
      <c r="G7" s="167" t="str">
        <f>_xlfn.XLOOKUP(Table1[[#This Row],[Account_ID]], Accounts[ID], Accounts[Account nickname], "Unknown")</f>
        <v>Discover it chrome Card</v>
      </c>
      <c r="H7" s="137" t="str">
        <f>_xlfn.XLOOKUP(Table1[[#This Row],[Account_ID]], Accounts[ID], Accounts[Account'#], "Unknown")</f>
        <v>7328</v>
      </c>
      <c r="I7" s="168" t="str">
        <f>_xlfn.XLOOKUP(Table1[[#This Row],[Institution_ID]], Institutions[ID], Institutions[Institution nickname], "Unknown")</f>
        <v>Discover</v>
      </c>
      <c r="J7" s="139" t="s">
        <v>2403</v>
      </c>
      <c r="K7" s="129" t="s">
        <v>110</v>
      </c>
      <c r="L7" s="129" t="s">
        <v>108</v>
      </c>
      <c r="M7" s="130" t="str" cm="1">
        <f t="array" ref="M7">IFERROR(INDEX(CategoriesTable[Category type],MATCH(Table1[[#This Row],[Category]],CategoriesTable[Category name],0),0),"")</f>
        <v>Transfer</v>
      </c>
      <c r="N7" s="130" t="str" cm="1">
        <f t="array" ref="N7">IFERROR(INDEX(SubcategoriesTable[Subcategory name],MATCH(Table1[[#This Row],[Category]],SubcategoriesTable[Category name],0),0),"")</f>
        <v>Variable</v>
      </c>
      <c r="O7" s="130">
        <v>17</v>
      </c>
      <c r="P7" s="130">
        <f>MONTH(Table1[[#This Row],[Date]])</f>
        <v>3</v>
      </c>
      <c r="Q7" s="130">
        <v>2021</v>
      </c>
      <c r="R7" s="166">
        <f>IF(ISBLANK(Table1[[#This Row],[Date]]),"",Table1[[#This Row],[Date]]-WEEKDAY(Table1[[#This Row],[Date]],2)+1)</f>
        <v>44270</v>
      </c>
      <c r="S7" s="131">
        <f>IF(ISBLANK(Table1[[#This Row],[Date]]),"",DATE(Table1[[#This Row],[Date_Year]],Table1[[#This Row],[Date_Month]],1))</f>
        <v>44256</v>
      </c>
    </row>
    <row r="8" spans="1:19" ht="15.75" x14ac:dyDescent="0.25">
      <c r="B8" s="133">
        <v>44272</v>
      </c>
      <c r="C8" s="128" t="s">
        <v>113</v>
      </c>
      <c r="D8" s="128" t="s">
        <v>50</v>
      </c>
      <c r="E8" s="128" t="str" cm="1">
        <f t="array" ref="E8">IFERROR(INDEX(SubcategoriesTable[Subcategory name],MATCH(Table1[[#This Row],[Category]],SubcategoriesTable[Category name],0),0),"")</f>
        <v>Variable</v>
      </c>
      <c r="F8" s="134">
        <v>471.27</v>
      </c>
      <c r="G8" s="167" t="str">
        <f>_xlfn.XLOOKUP(Table1[[#This Row],[Account_ID]], Accounts[ID], Accounts[Account nickname], "Unknown")</f>
        <v>Discover it chrome Card</v>
      </c>
      <c r="H8" s="137" t="str">
        <f>_xlfn.XLOOKUP(Table1[[#This Row],[Account_ID]], Accounts[ID], Accounts[Account'#], "Unknown")</f>
        <v>7328</v>
      </c>
      <c r="I8" s="168" t="str">
        <f>_xlfn.XLOOKUP(Table1[[#This Row],[Institution_ID]], Institutions[ID], Institutions[Institution nickname], "Unknown")</f>
        <v>Discover</v>
      </c>
      <c r="J8" s="139" t="s">
        <v>2404</v>
      </c>
      <c r="K8" s="129" t="s">
        <v>110</v>
      </c>
      <c r="L8" s="129" t="s">
        <v>108</v>
      </c>
      <c r="M8" s="130" t="str" cm="1">
        <f t="array" ref="M8">IFERROR(INDEX(CategoriesTable[Category type],MATCH(Table1[[#This Row],[Category]],CategoriesTable[Category name],0),0),"")</f>
        <v>Transfer</v>
      </c>
      <c r="N8" s="130" t="str" cm="1">
        <f t="array" ref="N8">IFERROR(INDEX(SubcategoriesTable[Subcategory name],MATCH(Table1[[#This Row],[Category]],SubcategoriesTable[Category name],0),0),"")</f>
        <v>Variable</v>
      </c>
      <c r="O8" s="130">
        <v>17</v>
      </c>
      <c r="P8" s="130">
        <f>MONTH(Table1[[#This Row],[Date]])</f>
        <v>3</v>
      </c>
      <c r="Q8" s="130">
        <v>2021</v>
      </c>
      <c r="R8" s="166">
        <f>IF(ISBLANK(Table1[[#This Row],[Date]]),"",Table1[[#This Row],[Date]]-WEEKDAY(Table1[[#This Row],[Date]],2)+1)</f>
        <v>44270</v>
      </c>
      <c r="S8" s="131">
        <f>IF(ISBLANK(Table1[[#This Row],[Date]]),"",DATE(Table1[[#This Row],[Date_Year]],Table1[[#This Row],[Date_Month]],1))</f>
        <v>44256</v>
      </c>
    </row>
    <row r="9" spans="1:19" ht="15.75" x14ac:dyDescent="0.25">
      <c r="B9" s="133">
        <v>44271</v>
      </c>
      <c r="C9" s="128" t="s">
        <v>2374</v>
      </c>
      <c r="D9" s="128" t="s">
        <v>52</v>
      </c>
      <c r="E9" s="128" t="str" cm="1">
        <f t="array" ref="E9">IFERROR(INDEX(SubcategoriesTable[Subcategory name],MATCH(Table1[[#This Row],[Category]],SubcategoriesTable[Category name],0),0),"")</f>
        <v>Variable</v>
      </c>
      <c r="F9" s="134">
        <v>-25.57</v>
      </c>
      <c r="G9" s="167" t="str">
        <f>_xlfn.XLOOKUP(Table1[[#This Row],[Account_ID]], Accounts[ID], Accounts[Account nickname], "Unknown")</f>
        <v>EVERYDAY CHECKING</v>
      </c>
      <c r="H9" s="137" t="str">
        <f>_xlfn.XLOOKUP(Table1[[#This Row],[Account_ID]], Accounts[ID], Accounts[Account'#], "Unknown")</f>
        <v>4636</v>
      </c>
      <c r="I9" s="168" t="str">
        <f>_xlfn.XLOOKUP(Table1[[#This Row],[Institution_ID]], Institutions[ID], Institutions[Institution nickname], "Unknown")</f>
        <v>Wells Fargo</v>
      </c>
      <c r="J9" s="139" t="s">
        <v>2375</v>
      </c>
      <c r="K9" s="129" t="s">
        <v>1229</v>
      </c>
      <c r="L9" s="129" t="s">
        <v>1228</v>
      </c>
      <c r="M9" s="130" t="str" cm="1">
        <f t="array" ref="M9">IFERROR(INDEX(CategoriesTable[Category type],MATCH(Table1[[#This Row],[Category]],CategoriesTable[Category name],0),0),"")</f>
        <v>Expense</v>
      </c>
      <c r="N9" s="130" t="str" cm="1">
        <f t="array" ref="N9">IFERROR(INDEX(SubcategoriesTable[Subcategory name],MATCH(Table1[[#This Row],[Category]],SubcategoriesTable[Category name],0),0),"")</f>
        <v>Variable</v>
      </c>
      <c r="O9" s="130">
        <v>16</v>
      </c>
      <c r="P9" s="130">
        <f>MONTH(Table1[[#This Row],[Date]])</f>
        <v>3</v>
      </c>
      <c r="Q9" s="130">
        <v>2021</v>
      </c>
      <c r="R9" s="166">
        <f>IF(ISBLANK(Table1[[#This Row],[Date]]),"",Table1[[#This Row],[Date]]-WEEKDAY(Table1[[#This Row],[Date]],2)+1)</f>
        <v>44270</v>
      </c>
      <c r="S9" s="131">
        <f>IF(ISBLANK(Table1[[#This Row],[Date]]),"",DATE(Table1[[#This Row],[Date_Year]],Table1[[#This Row],[Date_Month]],1))</f>
        <v>44256</v>
      </c>
    </row>
    <row r="10" spans="1:19" ht="15.75" x14ac:dyDescent="0.25">
      <c r="B10" s="133">
        <v>44270</v>
      </c>
      <c r="C10" s="128" t="s">
        <v>2405</v>
      </c>
      <c r="D10" s="128" t="s">
        <v>45</v>
      </c>
      <c r="E10" s="128" t="str" cm="1">
        <f t="array" ref="E10">IFERROR(INDEX(SubcategoriesTable[Subcategory name],MATCH(Table1[[#This Row],[Category]],SubcategoriesTable[Category name],0),0),"")</f>
        <v>Variable</v>
      </c>
      <c r="F10" s="134">
        <v>-20</v>
      </c>
      <c r="G10" s="167" t="str">
        <f>_xlfn.XLOOKUP(Table1[[#This Row],[Account_ID]], Accounts[ID], Accounts[Account nickname], "Unknown")</f>
        <v>Discover it chrome Card</v>
      </c>
      <c r="H10" s="137" t="str">
        <f>_xlfn.XLOOKUP(Table1[[#This Row],[Account_ID]], Accounts[ID], Accounts[Account'#], "Unknown")</f>
        <v>7328</v>
      </c>
      <c r="I10" s="168" t="str">
        <f>_xlfn.XLOOKUP(Table1[[#This Row],[Institution_ID]], Institutions[ID], Institutions[Institution nickname], "Unknown")</f>
        <v>Discover</v>
      </c>
      <c r="J10" s="139" t="s">
        <v>2406</v>
      </c>
      <c r="K10" s="129" t="s">
        <v>110</v>
      </c>
      <c r="L10" s="129" t="s">
        <v>108</v>
      </c>
      <c r="M10" s="130" t="str" cm="1">
        <f t="array" ref="M10">IFERROR(INDEX(CategoriesTable[Category type],MATCH(Table1[[#This Row],[Category]],CategoriesTable[Category name],0),0),"")</f>
        <v>Expense</v>
      </c>
      <c r="N10" s="130" t="str" cm="1">
        <f t="array" ref="N10">IFERROR(INDEX(SubcategoriesTable[Subcategory name],MATCH(Table1[[#This Row],[Category]],SubcategoriesTable[Category name],0),0),"")</f>
        <v>Variable</v>
      </c>
      <c r="O10" s="130">
        <v>15</v>
      </c>
      <c r="P10" s="130">
        <f>MONTH(Table1[[#This Row],[Date]])</f>
        <v>3</v>
      </c>
      <c r="Q10" s="130">
        <v>2021</v>
      </c>
      <c r="R10" s="166">
        <f>IF(ISBLANK(Table1[[#This Row],[Date]]),"",Table1[[#This Row],[Date]]-WEEKDAY(Table1[[#This Row],[Date]],2)+1)</f>
        <v>44270</v>
      </c>
      <c r="S10" s="131">
        <f>IF(ISBLANK(Table1[[#This Row],[Date]]),"",DATE(Table1[[#This Row],[Date_Year]],Table1[[#This Row],[Date_Month]],1))</f>
        <v>44256</v>
      </c>
    </row>
    <row r="11" spans="1:19" ht="15.75" x14ac:dyDescent="0.25">
      <c r="B11" s="133">
        <v>44269</v>
      </c>
      <c r="C11" s="128" t="s">
        <v>163</v>
      </c>
      <c r="D11" s="128" t="s">
        <v>54</v>
      </c>
      <c r="E11" s="128" t="str" cm="1">
        <f t="array" ref="E11">IFERROR(INDEX(SubcategoriesTable[Subcategory name],MATCH(Table1[[#This Row],[Category]],SubcategoriesTable[Category name],0),0),"")</f>
        <v>Fixed</v>
      </c>
      <c r="F11" s="134">
        <v>-79.989999999999995</v>
      </c>
      <c r="G11" s="167" t="str">
        <f>_xlfn.XLOOKUP(Table1[[#This Row],[Account_ID]], Accounts[ID], Accounts[Account nickname], "Unknown")</f>
        <v>Discover it chrome Card</v>
      </c>
      <c r="H11" s="137" t="str">
        <f>_xlfn.XLOOKUP(Table1[[#This Row],[Account_ID]], Accounts[ID], Accounts[Account'#], "Unknown")</f>
        <v>7328</v>
      </c>
      <c r="I11" s="168" t="str">
        <f>_xlfn.XLOOKUP(Table1[[#This Row],[Institution_ID]], Institutions[ID], Institutions[Institution nickname], "Unknown")</f>
        <v>Discover</v>
      </c>
      <c r="J11" s="139" t="s">
        <v>2376</v>
      </c>
      <c r="K11" s="129" t="s">
        <v>110</v>
      </c>
      <c r="L11" s="129" t="s">
        <v>108</v>
      </c>
      <c r="M11" s="130" t="str" cm="1">
        <f t="array" ref="M11">IFERROR(INDEX(CategoriesTable[Category type],MATCH(Table1[[#This Row],[Category]],CategoriesTable[Category name],0),0),"")</f>
        <v>Expense</v>
      </c>
      <c r="N11" s="130" t="str" cm="1">
        <f t="array" ref="N11">IFERROR(INDEX(SubcategoriesTable[Subcategory name],MATCH(Table1[[#This Row],[Category]],SubcategoriesTable[Category name],0),0),"")</f>
        <v>Fixed</v>
      </c>
      <c r="O11" s="130">
        <v>14</v>
      </c>
      <c r="P11" s="130">
        <f>MONTH(Table1[[#This Row],[Date]])</f>
        <v>3</v>
      </c>
      <c r="Q11" s="130">
        <v>2021</v>
      </c>
      <c r="R11" s="166">
        <f>IF(ISBLANK(Table1[[#This Row],[Date]]),"",Table1[[#This Row],[Date]]-WEEKDAY(Table1[[#This Row],[Date]],2)+1)</f>
        <v>44263</v>
      </c>
      <c r="S11" s="131">
        <f>IF(ISBLANK(Table1[[#This Row],[Date]]),"",DATE(Table1[[#This Row],[Date_Year]],Table1[[#This Row],[Date_Month]],1))</f>
        <v>44256</v>
      </c>
    </row>
    <row r="12" spans="1:19" ht="15.75" x14ac:dyDescent="0.25">
      <c r="B12" s="133">
        <v>44269</v>
      </c>
      <c r="C12" s="128" t="s">
        <v>2379</v>
      </c>
      <c r="D12" s="128" t="s">
        <v>2392</v>
      </c>
      <c r="E12" s="128" t="str" cm="1">
        <f t="array" ref="E12">IFERROR(INDEX(SubcategoriesTable[Subcategory name],MATCH(Table1[[#This Row],[Category]],SubcategoriesTable[Category name],0),0),"")</f>
        <v>Variable</v>
      </c>
      <c r="F12" s="134">
        <v>-75.98</v>
      </c>
      <c r="G12" s="167" t="str">
        <f>_xlfn.XLOOKUP(Table1[[#This Row],[Account_ID]], Accounts[ID], Accounts[Account nickname], "Unknown")</f>
        <v>Discover it chrome Card</v>
      </c>
      <c r="H12" s="137" t="str">
        <f>_xlfn.XLOOKUP(Table1[[#This Row],[Account_ID]], Accounts[ID], Accounts[Account'#], "Unknown")</f>
        <v>7328</v>
      </c>
      <c r="I12" s="168" t="str">
        <f>_xlfn.XLOOKUP(Table1[[#This Row],[Institution_ID]], Institutions[ID], Institutions[Institution nickname], "Unknown")</f>
        <v>Discover</v>
      </c>
      <c r="J12" s="139" t="s">
        <v>2380</v>
      </c>
      <c r="K12" s="129" t="s">
        <v>110</v>
      </c>
      <c r="L12" s="129" t="s">
        <v>108</v>
      </c>
      <c r="M12" s="130" t="str" cm="1">
        <f t="array" ref="M12">IFERROR(INDEX(CategoriesTable[Category type],MATCH(Table1[[#This Row],[Category]],CategoriesTable[Category name],0),0),"")</f>
        <v>Expense</v>
      </c>
      <c r="N12" s="130" t="str" cm="1">
        <f t="array" ref="N12">IFERROR(INDEX(SubcategoriesTable[Subcategory name],MATCH(Table1[[#This Row],[Category]],SubcategoriesTable[Category name],0),0),"")</f>
        <v>Variable</v>
      </c>
      <c r="O12" s="130">
        <v>14</v>
      </c>
      <c r="P12" s="130">
        <f>MONTH(Table1[[#This Row],[Date]])</f>
        <v>3</v>
      </c>
      <c r="Q12" s="130">
        <v>2021</v>
      </c>
      <c r="R12" s="166">
        <f>IF(ISBLANK(Table1[[#This Row],[Date]]),"",Table1[[#This Row],[Date]]-WEEKDAY(Table1[[#This Row],[Date]],2)+1)</f>
        <v>44263</v>
      </c>
      <c r="S12" s="131">
        <f>IF(ISBLANK(Table1[[#This Row],[Date]]),"",DATE(Table1[[#This Row],[Date_Year]],Table1[[#This Row],[Date_Month]],1))</f>
        <v>44256</v>
      </c>
    </row>
    <row r="13" spans="1:19" ht="15.75" x14ac:dyDescent="0.25">
      <c r="B13" s="133">
        <v>44269</v>
      </c>
      <c r="C13" s="128" t="s">
        <v>239</v>
      </c>
      <c r="D13" s="128" t="s">
        <v>52</v>
      </c>
      <c r="E13" s="128" t="str" cm="1">
        <f t="array" ref="E13">IFERROR(INDEX(SubcategoriesTable[Subcategory name],MATCH(Table1[[#This Row],[Category]],SubcategoriesTable[Category name],0),0),"")</f>
        <v>Variable</v>
      </c>
      <c r="F13" s="134">
        <v>-7.54</v>
      </c>
      <c r="G13" s="167" t="str">
        <f>_xlfn.XLOOKUP(Table1[[#This Row],[Account_ID]], Accounts[ID], Accounts[Account nickname], "Unknown")</f>
        <v>Discover it chrome Card</v>
      </c>
      <c r="H13" s="137" t="str">
        <f>_xlfn.XLOOKUP(Table1[[#This Row],[Account_ID]], Accounts[ID], Accounts[Account'#], "Unknown")</f>
        <v>7328</v>
      </c>
      <c r="I13" s="168" t="str">
        <f>_xlfn.XLOOKUP(Table1[[#This Row],[Institution_ID]], Institutions[ID], Institutions[Institution nickname], "Unknown")</f>
        <v>Discover</v>
      </c>
      <c r="J13" s="139" t="s">
        <v>2377</v>
      </c>
      <c r="K13" s="129" t="s">
        <v>110</v>
      </c>
      <c r="L13" s="129" t="s">
        <v>108</v>
      </c>
      <c r="M13" s="130" t="str" cm="1">
        <f t="array" ref="M13">IFERROR(INDEX(CategoriesTable[Category type],MATCH(Table1[[#This Row],[Category]],CategoriesTable[Category name],0),0),"")</f>
        <v>Expense</v>
      </c>
      <c r="N13" s="130" t="str" cm="1">
        <f t="array" ref="N13">IFERROR(INDEX(SubcategoriesTable[Subcategory name],MATCH(Table1[[#This Row],[Category]],SubcategoriesTable[Category name],0),0),"")</f>
        <v>Variable</v>
      </c>
      <c r="O13" s="130">
        <v>14</v>
      </c>
      <c r="P13" s="130">
        <f>MONTH(Table1[[#This Row],[Date]])</f>
        <v>3</v>
      </c>
      <c r="Q13" s="130">
        <v>2021</v>
      </c>
      <c r="R13" s="166">
        <f>IF(ISBLANK(Table1[[#This Row],[Date]]),"",Table1[[#This Row],[Date]]-WEEKDAY(Table1[[#This Row],[Date]],2)+1)</f>
        <v>44263</v>
      </c>
      <c r="S13" s="131">
        <f>IF(ISBLANK(Table1[[#This Row],[Date]]),"",DATE(Table1[[#This Row],[Date_Year]],Table1[[#This Row],[Date_Month]],1))</f>
        <v>44256</v>
      </c>
    </row>
    <row r="14" spans="1:19" ht="15.75" x14ac:dyDescent="0.25">
      <c r="B14" s="133">
        <v>44269</v>
      </c>
      <c r="C14" s="128" t="s">
        <v>239</v>
      </c>
      <c r="D14" s="128" t="s">
        <v>52</v>
      </c>
      <c r="E14" s="128" t="str" cm="1">
        <f t="array" ref="E14">IFERROR(INDEX(SubcategoriesTable[Subcategory name],MATCH(Table1[[#This Row],[Category]],SubcategoriesTable[Category name],0),0),"")</f>
        <v>Variable</v>
      </c>
      <c r="F14" s="134">
        <v>-26.08</v>
      </c>
      <c r="G14" s="167" t="str">
        <f>_xlfn.XLOOKUP(Table1[[#This Row],[Account_ID]], Accounts[ID], Accounts[Account nickname], "Unknown")</f>
        <v>Discover it chrome Card</v>
      </c>
      <c r="H14" s="137" t="str">
        <f>_xlfn.XLOOKUP(Table1[[#This Row],[Account_ID]], Accounts[ID], Accounts[Account'#], "Unknown")</f>
        <v>7328</v>
      </c>
      <c r="I14" s="168" t="str">
        <f>_xlfn.XLOOKUP(Table1[[#This Row],[Institution_ID]], Institutions[ID], Institutions[Institution nickname], "Unknown")</f>
        <v>Discover</v>
      </c>
      <c r="J14" s="139" t="s">
        <v>2378</v>
      </c>
      <c r="K14" s="129" t="s">
        <v>110</v>
      </c>
      <c r="L14" s="129" t="s">
        <v>108</v>
      </c>
      <c r="M14" s="130" t="str" cm="1">
        <f t="array" ref="M14">IFERROR(INDEX(CategoriesTable[Category type],MATCH(Table1[[#This Row],[Category]],CategoriesTable[Category name],0),0),"")</f>
        <v>Expense</v>
      </c>
      <c r="N14" s="130" t="str" cm="1">
        <f t="array" ref="N14">IFERROR(INDEX(SubcategoriesTable[Subcategory name],MATCH(Table1[[#This Row],[Category]],SubcategoriesTable[Category name],0),0),"")</f>
        <v>Variable</v>
      </c>
      <c r="O14" s="130">
        <v>14</v>
      </c>
      <c r="P14" s="130">
        <f>MONTH(Table1[[#This Row],[Date]])</f>
        <v>3</v>
      </c>
      <c r="Q14" s="130">
        <v>2021</v>
      </c>
      <c r="R14" s="166">
        <f>IF(ISBLANK(Table1[[#This Row],[Date]]),"",Table1[[#This Row],[Date]]-WEEKDAY(Table1[[#This Row],[Date]],2)+1)</f>
        <v>44263</v>
      </c>
      <c r="S14" s="131">
        <f>IF(ISBLANK(Table1[[#This Row],[Date]]),"",DATE(Table1[[#This Row],[Date_Year]],Table1[[#This Row],[Date_Month]],1))</f>
        <v>44256</v>
      </c>
    </row>
    <row r="15" spans="1:19" ht="15.75" x14ac:dyDescent="0.25">
      <c r="B15" s="133">
        <v>44269</v>
      </c>
      <c r="C15" s="128" t="s">
        <v>193</v>
      </c>
      <c r="D15" s="128" t="s">
        <v>54</v>
      </c>
      <c r="E15" s="128" t="str" cm="1">
        <f t="array" ref="E15">IFERROR(INDEX(SubcategoriesTable[Subcategory name],MATCH(Table1[[#This Row],[Category]],SubcategoriesTable[Category name],0),0),"")</f>
        <v>Fixed</v>
      </c>
      <c r="F15" s="134">
        <v>-86.25</v>
      </c>
      <c r="G15" s="167" t="str">
        <f>_xlfn.XLOOKUP(Table1[[#This Row],[Account_ID]], Accounts[ID], Accounts[Account nickname], "Unknown")</f>
        <v>Discover it chrome Card</v>
      </c>
      <c r="H15" s="137" t="str">
        <f>_xlfn.XLOOKUP(Table1[[#This Row],[Account_ID]], Accounts[ID], Accounts[Account'#], "Unknown")</f>
        <v>7328</v>
      </c>
      <c r="I15" s="168" t="str">
        <f>_xlfn.XLOOKUP(Table1[[#This Row],[Institution_ID]], Institutions[ID], Institutions[Institution nickname], "Unknown")</f>
        <v>Discover</v>
      </c>
      <c r="J15" s="139" t="s">
        <v>2381</v>
      </c>
      <c r="K15" s="129" t="s">
        <v>110</v>
      </c>
      <c r="L15" s="129" t="s">
        <v>108</v>
      </c>
      <c r="M15" s="130" t="str" cm="1">
        <f t="array" ref="M15">IFERROR(INDEX(CategoriesTable[Category type],MATCH(Table1[[#This Row],[Category]],CategoriesTable[Category name],0),0),"")</f>
        <v>Expense</v>
      </c>
      <c r="N15" s="130" t="str" cm="1">
        <f t="array" ref="N15">IFERROR(INDEX(SubcategoriesTable[Subcategory name],MATCH(Table1[[#This Row],[Category]],SubcategoriesTable[Category name],0),0),"")</f>
        <v>Fixed</v>
      </c>
      <c r="O15" s="130">
        <v>14</v>
      </c>
      <c r="P15" s="130">
        <f>MONTH(Table1[[#This Row],[Date]])</f>
        <v>3</v>
      </c>
      <c r="Q15" s="130">
        <v>2021</v>
      </c>
      <c r="R15" s="166">
        <f>IF(ISBLANK(Table1[[#This Row],[Date]]),"",Table1[[#This Row],[Date]]-WEEKDAY(Table1[[#This Row],[Date]],2)+1)</f>
        <v>44263</v>
      </c>
      <c r="S15" s="131">
        <f>IF(ISBLANK(Table1[[#This Row],[Date]]),"",DATE(Table1[[#This Row],[Date_Year]],Table1[[#This Row],[Date_Month]],1))</f>
        <v>44256</v>
      </c>
    </row>
    <row r="16" spans="1:19" ht="15.75" x14ac:dyDescent="0.25">
      <c r="B16" s="133">
        <v>44268</v>
      </c>
      <c r="C16" s="128" t="s">
        <v>371</v>
      </c>
      <c r="D16" s="128" t="s">
        <v>52</v>
      </c>
      <c r="E16" s="128" t="str" cm="1">
        <f t="array" ref="E16">IFERROR(INDEX(SubcategoriesTable[Subcategory name],MATCH(Table1[[#This Row],[Category]],SubcategoriesTable[Category name],0),0),"")</f>
        <v>Variable</v>
      </c>
      <c r="F16" s="134">
        <v>-17</v>
      </c>
      <c r="G16" s="167" t="str">
        <f>_xlfn.XLOOKUP(Table1[[#This Row],[Account_ID]], Accounts[ID], Accounts[Account nickname], "Unknown")</f>
        <v>Discover it chrome Card</v>
      </c>
      <c r="H16" s="137" t="str">
        <f>_xlfn.XLOOKUP(Table1[[#This Row],[Account_ID]], Accounts[ID], Accounts[Account'#], "Unknown")</f>
        <v>7328</v>
      </c>
      <c r="I16" s="168" t="str">
        <f>_xlfn.XLOOKUP(Table1[[#This Row],[Institution_ID]], Institutions[ID], Institutions[Institution nickname], "Unknown")</f>
        <v>Discover</v>
      </c>
      <c r="J16" s="139" t="s">
        <v>2382</v>
      </c>
      <c r="K16" s="129" t="s">
        <v>110</v>
      </c>
      <c r="L16" s="129" t="s">
        <v>108</v>
      </c>
      <c r="M16" s="130" t="str" cm="1">
        <f t="array" ref="M16">IFERROR(INDEX(CategoriesTable[Category type],MATCH(Table1[[#This Row],[Category]],CategoriesTable[Category name],0),0),"")</f>
        <v>Expense</v>
      </c>
      <c r="N16" s="130" t="str" cm="1">
        <f t="array" ref="N16">IFERROR(INDEX(SubcategoriesTable[Subcategory name],MATCH(Table1[[#This Row],[Category]],SubcategoriesTable[Category name],0),0),"")</f>
        <v>Variable</v>
      </c>
      <c r="O16" s="130">
        <v>13</v>
      </c>
      <c r="P16" s="130">
        <f>MONTH(Table1[[#This Row],[Date]])</f>
        <v>3</v>
      </c>
      <c r="Q16" s="130">
        <v>2021</v>
      </c>
      <c r="R16" s="166">
        <f>IF(ISBLANK(Table1[[#This Row],[Date]]),"",Table1[[#This Row],[Date]]-WEEKDAY(Table1[[#This Row],[Date]],2)+1)</f>
        <v>44263</v>
      </c>
      <c r="S16" s="131">
        <f>IF(ISBLANK(Table1[[#This Row],[Date]]),"",DATE(Table1[[#This Row],[Date_Year]],Table1[[#This Row],[Date_Month]],1))</f>
        <v>44256</v>
      </c>
    </row>
    <row r="17" spans="2:19" ht="15.75" x14ac:dyDescent="0.25">
      <c r="B17" s="133">
        <v>44268</v>
      </c>
      <c r="C17" s="128" t="s">
        <v>808</v>
      </c>
      <c r="D17" s="128" t="s">
        <v>45</v>
      </c>
      <c r="E17" s="128" t="str" cm="1">
        <f t="array" ref="E17">IFERROR(INDEX(SubcategoriesTable[Subcategory name],MATCH(Table1[[#This Row],[Category]],SubcategoriesTable[Category name],0),0),"")</f>
        <v>Variable</v>
      </c>
      <c r="F17" s="134">
        <v>-10.17</v>
      </c>
      <c r="G17" s="167" t="str">
        <f>_xlfn.XLOOKUP(Table1[[#This Row],[Account_ID]], Accounts[ID], Accounts[Account nickname], "Unknown")</f>
        <v>Discover it chrome Card</v>
      </c>
      <c r="H17" s="137" t="str">
        <f>_xlfn.XLOOKUP(Table1[[#This Row],[Account_ID]], Accounts[ID], Accounts[Account'#], "Unknown")</f>
        <v>7328</v>
      </c>
      <c r="I17" s="168" t="str">
        <f>_xlfn.XLOOKUP(Table1[[#This Row],[Institution_ID]], Institutions[ID], Institutions[Institution nickname], "Unknown")</f>
        <v>Discover</v>
      </c>
      <c r="J17" s="139" t="s">
        <v>2383</v>
      </c>
      <c r="K17" s="129" t="s">
        <v>110</v>
      </c>
      <c r="L17" s="129" t="s">
        <v>108</v>
      </c>
      <c r="M17" s="130" t="str" cm="1">
        <f t="array" ref="M17">IFERROR(INDEX(CategoriesTable[Category type],MATCH(Table1[[#This Row],[Category]],CategoriesTable[Category name],0),0),"")</f>
        <v>Expense</v>
      </c>
      <c r="N17" s="130" t="str" cm="1">
        <f t="array" ref="N17">IFERROR(INDEX(SubcategoriesTable[Subcategory name],MATCH(Table1[[#This Row],[Category]],SubcategoriesTable[Category name],0),0),"")</f>
        <v>Variable</v>
      </c>
      <c r="O17" s="130">
        <v>13</v>
      </c>
      <c r="P17" s="130">
        <f>MONTH(Table1[[#This Row],[Date]])</f>
        <v>3</v>
      </c>
      <c r="Q17" s="130">
        <v>2021</v>
      </c>
      <c r="R17" s="166">
        <f>IF(ISBLANK(Table1[[#This Row],[Date]]),"",Table1[[#This Row],[Date]]-WEEKDAY(Table1[[#This Row],[Date]],2)+1)</f>
        <v>44263</v>
      </c>
      <c r="S17" s="131">
        <f>IF(ISBLANK(Table1[[#This Row],[Date]]),"",DATE(Table1[[#This Row],[Date_Year]],Table1[[#This Row],[Date_Month]],1))</f>
        <v>44256</v>
      </c>
    </row>
    <row r="18" spans="2:19" ht="15.75" x14ac:dyDescent="0.25">
      <c r="B18" s="133">
        <v>44268</v>
      </c>
      <c r="C18" s="128" t="s">
        <v>127</v>
      </c>
      <c r="D18" s="128" t="s">
        <v>46</v>
      </c>
      <c r="E18" s="128" t="str" cm="1">
        <f t="array" ref="E18">IFERROR(INDEX(SubcategoriesTable[Subcategory name],MATCH(Table1[[#This Row],[Category]],SubcategoriesTable[Category name],0),0),"")</f>
        <v>Variable</v>
      </c>
      <c r="F18" s="134">
        <v>-5</v>
      </c>
      <c r="G18" s="167" t="str">
        <f>_xlfn.XLOOKUP(Table1[[#This Row],[Account_ID]], Accounts[ID], Accounts[Account nickname], "Unknown")</f>
        <v>Discover it chrome Card</v>
      </c>
      <c r="H18" s="137" t="str">
        <f>_xlfn.XLOOKUP(Table1[[#This Row],[Account_ID]], Accounts[ID], Accounts[Account'#], "Unknown")</f>
        <v>7328</v>
      </c>
      <c r="I18" s="168" t="str">
        <f>_xlfn.XLOOKUP(Table1[[#This Row],[Institution_ID]], Institutions[ID], Institutions[Institution nickname], "Unknown")</f>
        <v>Discover</v>
      </c>
      <c r="J18" s="139" t="s">
        <v>2384</v>
      </c>
      <c r="K18" s="129" t="s">
        <v>110</v>
      </c>
      <c r="L18" s="129" t="s">
        <v>108</v>
      </c>
      <c r="M18" s="130" t="str" cm="1">
        <f t="array" ref="M18">IFERROR(INDEX(CategoriesTable[Category type],MATCH(Table1[[#This Row],[Category]],CategoriesTable[Category name],0),0),"")</f>
        <v>Expense</v>
      </c>
      <c r="N18" s="130" t="str" cm="1">
        <f t="array" ref="N18">IFERROR(INDEX(SubcategoriesTable[Subcategory name],MATCH(Table1[[#This Row],[Category]],SubcategoriesTable[Category name],0),0),"")</f>
        <v>Variable</v>
      </c>
      <c r="O18" s="130">
        <v>13</v>
      </c>
      <c r="P18" s="130">
        <f>MONTH(Table1[[#This Row],[Date]])</f>
        <v>3</v>
      </c>
      <c r="Q18" s="130">
        <v>2021</v>
      </c>
      <c r="R18" s="166">
        <f>IF(ISBLANK(Table1[[#This Row],[Date]]),"",Table1[[#This Row],[Date]]-WEEKDAY(Table1[[#This Row],[Date]],2)+1)</f>
        <v>44263</v>
      </c>
      <c r="S18" s="131">
        <f>IF(ISBLANK(Table1[[#This Row],[Date]]),"",DATE(Table1[[#This Row],[Date_Year]],Table1[[#This Row],[Date_Month]],1))</f>
        <v>44256</v>
      </c>
    </row>
    <row r="19" spans="2:19" ht="15.75" x14ac:dyDescent="0.25">
      <c r="B19" s="133">
        <v>44267</v>
      </c>
      <c r="C19" s="128" t="s">
        <v>163</v>
      </c>
      <c r="D19" s="128" t="s">
        <v>54</v>
      </c>
      <c r="E19" s="128" t="str" cm="1">
        <f t="array" ref="E19">IFERROR(INDEX(SubcategoriesTable[Subcategory name],MATCH(Table1[[#This Row],[Category]],SubcategoriesTable[Category name],0),0),"")</f>
        <v>Fixed</v>
      </c>
      <c r="F19" s="134">
        <v>-14.99</v>
      </c>
      <c r="G19" s="167" t="str">
        <f>_xlfn.XLOOKUP(Table1[[#This Row],[Account_ID]], Accounts[ID], Accounts[Account nickname], "Unknown")</f>
        <v>Discover it chrome Card</v>
      </c>
      <c r="H19" s="137" t="str">
        <f>_xlfn.XLOOKUP(Table1[[#This Row],[Account_ID]], Accounts[ID], Accounts[Account'#], "Unknown")</f>
        <v>7328</v>
      </c>
      <c r="I19" s="168" t="str">
        <f>_xlfn.XLOOKUP(Table1[[#This Row],[Institution_ID]], Institutions[ID], Institutions[Institution nickname], "Unknown")</f>
        <v>Discover</v>
      </c>
      <c r="J19" s="139" t="s">
        <v>2385</v>
      </c>
      <c r="K19" s="129" t="s">
        <v>110</v>
      </c>
      <c r="L19" s="129" t="s">
        <v>108</v>
      </c>
      <c r="M19" s="130" t="str" cm="1">
        <f t="array" ref="M19">IFERROR(INDEX(CategoriesTable[Category type],MATCH(Table1[[#This Row],[Category]],CategoriesTable[Category name],0),0),"")</f>
        <v>Expense</v>
      </c>
      <c r="N19" s="130" t="str" cm="1">
        <f t="array" ref="N19">IFERROR(INDEX(SubcategoriesTable[Subcategory name],MATCH(Table1[[#This Row],[Category]],SubcategoriesTable[Category name],0),0),"")</f>
        <v>Fixed</v>
      </c>
      <c r="O19" s="130">
        <v>12</v>
      </c>
      <c r="P19" s="130">
        <f>MONTH(Table1[[#This Row],[Date]])</f>
        <v>3</v>
      </c>
      <c r="Q19" s="130">
        <v>2021</v>
      </c>
      <c r="R19" s="166">
        <f>IF(ISBLANK(Table1[[#This Row],[Date]]),"",Table1[[#This Row],[Date]]-WEEKDAY(Table1[[#This Row],[Date]],2)+1)</f>
        <v>44263</v>
      </c>
      <c r="S19" s="131">
        <f>IF(ISBLANK(Table1[[#This Row],[Date]]),"",DATE(Table1[[#This Row],[Date_Year]],Table1[[#This Row],[Date_Month]],1))</f>
        <v>44256</v>
      </c>
    </row>
    <row r="20" spans="2:19" ht="15.75" x14ac:dyDescent="0.25">
      <c r="B20" s="133">
        <v>44267</v>
      </c>
      <c r="C20" s="128" t="s">
        <v>661</v>
      </c>
      <c r="D20" s="128" t="s">
        <v>45</v>
      </c>
      <c r="E20" s="128" t="str" cm="1">
        <f t="array" ref="E20">IFERROR(INDEX(SubcategoriesTable[Subcategory name],MATCH(Table1[[#This Row],[Category]],SubcategoriesTable[Category name],0),0),"")</f>
        <v>Variable</v>
      </c>
      <c r="F20" s="134">
        <v>-11</v>
      </c>
      <c r="G20" s="167" t="str">
        <f>_xlfn.XLOOKUP(Table1[[#This Row],[Account_ID]], Accounts[ID], Accounts[Account nickname], "Unknown")</f>
        <v>Discover it chrome Card</v>
      </c>
      <c r="H20" s="137" t="str">
        <f>_xlfn.XLOOKUP(Table1[[#This Row],[Account_ID]], Accounts[ID], Accounts[Account'#], "Unknown")</f>
        <v>7328</v>
      </c>
      <c r="I20" s="168" t="str">
        <f>_xlfn.XLOOKUP(Table1[[#This Row],[Institution_ID]], Institutions[ID], Institutions[Institution nickname], "Unknown")</f>
        <v>Discover</v>
      </c>
      <c r="J20" s="139" t="s">
        <v>2386</v>
      </c>
      <c r="K20" s="129" t="s">
        <v>110</v>
      </c>
      <c r="L20" s="129" t="s">
        <v>108</v>
      </c>
      <c r="M20" s="130" t="str" cm="1">
        <f t="array" ref="M20">IFERROR(INDEX(CategoriesTable[Category type],MATCH(Table1[[#This Row],[Category]],CategoriesTable[Category name],0),0),"")</f>
        <v>Expense</v>
      </c>
      <c r="N20" s="130" t="str" cm="1">
        <f t="array" ref="N20">IFERROR(INDEX(SubcategoriesTable[Subcategory name],MATCH(Table1[[#This Row],[Category]],SubcategoriesTable[Category name],0),0),"")</f>
        <v>Variable</v>
      </c>
      <c r="O20" s="130">
        <v>12</v>
      </c>
      <c r="P20" s="130">
        <f>MONTH(Table1[[#This Row],[Date]])</f>
        <v>3</v>
      </c>
      <c r="Q20" s="130">
        <v>2021</v>
      </c>
      <c r="R20" s="166">
        <f>IF(ISBLANK(Table1[[#This Row],[Date]]),"",Table1[[#This Row],[Date]]-WEEKDAY(Table1[[#This Row],[Date]],2)+1)</f>
        <v>44263</v>
      </c>
      <c r="S20" s="131">
        <f>IF(ISBLANK(Table1[[#This Row],[Date]]),"",DATE(Table1[[#This Row],[Date_Year]],Table1[[#This Row],[Date_Month]],1))</f>
        <v>44256</v>
      </c>
    </row>
    <row r="21" spans="2:19" ht="15.75" x14ac:dyDescent="0.25">
      <c r="B21" s="133">
        <v>44267</v>
      </c>
      <c r="C21" s="128" t="s">
        <v>167</v>
      </c>
      <c r="D21" s="128" t="s">
        <v>52</v>
      </c>
      <c r="E21" s="128" t="str" cm="1">
        <f t="array" ref="E21">IFERROR(INDEX(SubcategoriesTable[Subcategory name],MATCH(Table1[[#This Row],[Category]],SubcategoriesTable[Category name],0),0),"")</f>
        <v>Variable</v>
      </c>
      <c r="F21" s="134">
        <v>-19.989999999999998</v>
      </c>
      <c r="G21" s="167" t="str">
        <f>_xlfn.XLOOKUP(Table1[[#This Row],[Account_ID]], Accounts[ID], Accounts[Account nickname], "Unknown")</f>
        <v>Discover it chrome Card</v>
      </c>
      <c r="H21" s="137" t="str">
        <f>_xlfn.XLOOKUP(Table1[[#This Row],[Account_ID]], Accounts[ID], Accounts[Account'#], "Unknown")</f>
        <v>7328</v>
      </c>
      <c r="I21" s="168" t="str">
        <f>_xlfn.XLOOKUP(Table1[[#This Row],[Institution_ID]], Institutions[ID], Institutions[Institution nickname], "Unknown")</f>
        <v>Discover</v>
      </c>
      <c r="J21" s="139" t="s">
        <v>2387</v>
      </c>
      <c r="K21" s="129" t="s">
        <v>110</v>
      </c>
      <c r="L21" s="129" t="s">
        <v>108</v>
      </c>
      <c r="M21" s="130" t="str" cm="1">
        <f t="array" ref="M21">IFERROR(INDEX(CategoriesTable[Category type],MATCH(Table1[[#This Row],[Category]],CategoriesTable[Category name],0),0),"")</f>
        <v>Expense</v>
      </c>
      <c r="N21" s="130" t="str" cm="1">
        <f t="array" ref="N21">IFERROR(INDEX(SubcategoriesTable[Subcategory name],MATCH(Table1[[#This Row],[Category]],SubcategoriesTable[Category name],0),0),"")</f>
        <v>Variable</v>
      </c>
      <c r="O21" s="130">
        <v>12</v>
      </c>
      <c r="P21" s="130">
        <f>MONTH(Table1[[#This Row],[Date]])</f>
        <v>3</v>
      </c>
      <c r="Q21" s="130">
        <v>2021</v>
      </c>
      <c r="R21" s="166">
        <f>IF(ISBLANK(Table1[[#This Row],[Date]]),"",Table1[[#This Row],[Date]]-WEEKDAY(Table1[[#This Row],[Date]],2)+1)</f>
        <v>44263</v>
      </c>
      <c r="S21" s="131">
        <f>IF(ISBLANK(Table1[[#This Row],[Date]]),"",DATE(Table1[[#This Row],[Date_Year]],Table1[[#This Row],[Date_Month]],1))</f>
        <v>44256</v>
      </c>
    </row>
    <row r="22" spans="2:19" ht="15.75" x14ac:dyDescent="0.25">
      <c r="B22" s="133">
        <v>44267</v>
      </c>
      <c r="C22" s="128" t="s">
        <v>209</v>
      </c>
      <c r="D22" s="128" t="s">
        <v>54</v>
      </c>
      <c r="E22" s="128" t="str" cm="1">
        <f t="array" ref="E22">IFERROR(INDEX(SubcategoriesTable[Subcategory name],MATCH(Table1[[#This Row],[Category]],SubcategoriesTable[Category name],0),0),"")</f>
        <v>Fixed</v>
      </c>
      <c r="F22" s="134">
        <v>-1.99</v>
      </c>
      <c r="G22" s="167" t="str">
        <f>_xlfn.XLOOKUP(Table1[[#This Row],[Account_ID]], Accounts[ID], Accounts[Account nickname], "Unknown")</f>
        <v>Discover it chrome Card</v>
      </c>
      <c r="H22" s="137" t="str">
        <f>_xlfn.XLOOKUP(Table1[[#This Row],[Account_ID]], Accounts[ID], Accounts[Account'#], "Unknown")</f>
        <v>7328</v>
      </c>
      <c r="I22" s="168" t="str">
        <f>_xlfn.XLOOKUP(Table1[[#This Row],[Institution_ID]], Institutions[ID], Institutions[Institution nickname], "Unknown")</f>
        <v>Discover</v>
      </c>
      <c r="J22" s="139" t="s">
        <v>2388</v>
      </c>
      <c r="K22" s="129" t="s">
        <v>110</v>
      </c>
      <c r="L22" s="129" t="s">
        <v>108</v>
      </c>
      <c r="M22" s="130" t="str" cm="1">
        <f t="array" ref="M22">IFERROR(INDEX(CategoriesTable[Category type],MATCH(Table1[[#This Row],[Category]],CategoriesTable[Category name],0),0),"")</f>
        <v>Expense</v>
      </c>
      <c r="N22" s="130" t="str" cm="1">
        <f t="array" ref="N22">IFERROR(INDEX(SubcategoriesTable[Subcategory name],MATCH(Table1[[#This Row],[Category]],SubcategoriesTable[Category name],0),0),"")</f>
        <v>Fixed</v>
      </c>
      <c r="O22" s="130">
        <v>12</v>
      </c>
      <c r="P22" s="130">
        <f>MONTH(Table1[[#This Row],[Date]])</f>
        <v>3</v>
      </c>
      <c r="Q22" s="130">
        <v>2021</v>
      </c>
      <c r="R22" s="166">
        <f>IF(ISBLANK(Table1[[#This Row],[Date]]),"",Table1[[#This Row],[Date]]-WEEKDAY(Table1[[#This Row],[Date]],2)+1)</f>
        <v>44263</v>
      </c>
      <c r="S22" s="131">
        <f>IF(ISBLANK(Table1[[#This Row],[Date]]),"",DATE(Table1[[#This Row],[Date_Year]],Table1[[#This Row],[Date_Month]],1))</f>
        <v>44256</v>
      </c>
    </row>
    <row r="23" spans="2:19" ht="15.75" x14ac:dyDescent="0.25">
      <c r="B23" s="133">
        <v>44267</v>
      </c>
      <c r="C23" s="128" t="s">
        <v>113</v>
      </c>
      <c r="D23" s="128" t="s">
        <v>50</v>
      </c>
      <c r="E23" s="128" t="str" cm="1">
        <f t="array" ref="E23">IFERROR(INDEX(SubcategoriesTable[Subcategory name],MATCH(Table1[[#This Row],[Category]],SubcategoriesTable[Category name],0),0),"")</f>
        <v>Variable</v>
      </c>
      <c r="F23" s="134">
        <v>1160.3800000000001</v>
      </c>
      <c r="G23" s="167" t="str">
        <f>_xlfn.XLOOKUP(Table1[[#This Row],[Account_ID]], Accounts[ID], Accounts[Account nickname], "Unknown")</f>
        <v>Discover it chrome Card</v>
      </c>
      <c r="H23" s="137" t="str">
        <f>_xlfn.XLOOKUP(Table1[[#This Row],[Account_ID]], Accounts[ID], Accounts[Account'#], "Unknown")</f>
        <v>7328</v>
      </c>
      <c r="I23" s="168" t="str">
        <f>_xlfn.XLOOKUP(Table1[[#This Row],[Institution_ID]], Institutions[ID], Institutions[Institution nickname], "Unknown")</f>
        <v>Discover</v>
      </c>
      <c r="J23" s="139" t="s">
        <v>114</v>
      </c>
      <c r="K23" s="129" t="s">
        <v>110</v>
      </c>
      <c r="L23" s="129" t="s">
        <v>108</v>
      </c>
      <c r="M23" s="130" t="str" cm="1">
        <f t="array" ref="M23">IFERROR(INDEX(CategoriesTable[Category type],MATCH(Table1[[#This Row],[Category]],CategoriesTable[Category name],0),0),"")</f>
        <v>Transfer</v>
      </c>
      <c r="N23" s="130" t="str" cm="1">
        <f t="array" ref="N23">IFERROR(INDEX(SubcategoriesTable[Subcategory name],MATCH(Table1[[#This Row],[Category]],SubcategoriesTable[Category name],0),0),"")</f>
        <v>Variable</v>
      </c>
      <c r="O23" s="130">
        <v>12</v>
      </c>
      <c r="P23" s="130">
        <f>MONTH(Table1[[#This Row],[Date]])</f>
        <v>3</v>
      </c>
      <c r="Q23" s="130">
        <v>2021</v>
      </c>
      <c r="R23" s="166">
        <f>IF(ISBLANK(Table1[[#This Row],[Date]]),"",Table1[[#This Row],[Date]]-WEEKDAY(Table1[[#This Row],[Date]],2)+1)</f>
        <v>44263</v>
      </c>
      <c r="S23" s="131">
        <f>IF(ISBLANK(Table1[[#This Row],[Date]]),"",DATE(Table1[[#This Row],[Date_Year]],Table1[[#This Row],[Date_Month]],1))</f>
        <v>44256</v>
      </c>
    </row>
    <row r="24" spans="2:19" ht="15.75" x14ac:dyDescent="0.25">
      <c r="B24" s="133">
        <v>44267</v>
      </c>
      <c r="C24" s="128" t="s">
        <v>1180</v>
      </c>
      <c r="D24" s="128" t="s">
        <v>50</v>
      </c>
      <c r="E24" s="128" t="str" cm="1">
        <f t="array" ref="E24">IFERROR(INDEX(SubcategoriesTable[Subcategory name],MATCH(Table1[[#This Row],[Category]],SubcategoriesTable[Category name],0),0),"")</f>
        <v>Variable</v>
      </c>
      <c r="F24" s="134">
        <v>-1160.3800000000001</v>
      </c>
      <c r="G24" s="167" t="str">
        <f>_xlfn.XLOOKUP(Table1[[#This Row],[Account_ID]], Accounts[ID], Accounts[Account nickname], "Unknown")</f>
        <v>EVERYDAY CHECKING</v>
      </c>
      <c r="H24" s="137" t="str">
        <f>_xlfn.XLOOKUP(Table1[[#This Row],[Account_ID]], Accounts[ID], Accounts[Account'#], "Unknown")</f>
        <v>4636</v>
      </c>
      <c r="I24" s="168" t="str">
        <f>_xlfn.XLOOKUP(Table1[[#This Row],[Institution_ID]], Institutions[ID], Institutions[Institution nickname], "Unknown")</f>
        <v>Wells Fargo</v>
      </c>
      <c r="J24" s="139" t="s">
        <v>1356</v>
      </c>
      <c r="K24" s="129" t="s">
        <v>1229</v>
      </c>
      <c r="L24" s="129" t="s">
        <v>1228</v>
      </c>
      <c r="M24" s="130" t="str" cm="1">
        <f t="array" ref="M24">IFERROR(INDEX(CategoriesTable[Category type],MATCH(Table1[[#This Row],[Category]],CategoriesTable[Category name],0),0),"")</f>
        <v>Transfer</v>
      </c>
      <c r="N24" s="130" t="str" cm="1">
        <f t="array" ref="N24">IFERROR(INDEX(SubcategoriesTable[Subcategory name],MATCH(Table1[[#This Row],[Category]],SubcategoriesTable[Category name],0),0),"")</f>
        <v>Variable</v>
      </c>
      <c r="O24" s="130">
        <v>12</v>
      </c>
      <c r="P24" s="130">
        <f>MONTH(Table1[[#This Row],[Date]])</f>
        <v>3</v>
      </c>
      <c r="Q24" s="130">
        <v>2021</v>
      </c>
      <c r="R24" s="166">
        <f>IF(ISBLANK(Table1[[#This Row],[Date]]),"",Table1[[#This Row],[Date]]-WEEKDAY(Table1[[#This Row],[Date]],2)+1)</f>
        <v>44263</v>
      </c>
      <c r="S24" s="131">
        <f>IF(ISBLANK(Table1[[#This Row],[Date]]),"",DATE(Table1[[#This Row],[Date_Year]],Table1[[#This Row],[Date_Month]],1))</f>
        <v>44256</v>
      </c>
    </row>
    <row r="25" spans="2:19" ht="15.75" x14ac:dyDescent="0.25">
      <c r="B25" s="133">
        <v>44267</v>
      </c>
      <c r="C25" s="128" t="s">
        <v>1181</v>
      </c>
      <c r="D25" s="128" t="s">
        <v>59</v>
      </c>
      <c r="E25" s="128" t="str" cm="1">
        <f t="array" ref="E25">IFERROR(INDEX(SubcategoriesTable[Subcategory name],MATCH(Table1[[#This Row],[Category]],SubcategoriesTable[Category name],0),0),"")</f>
        <v>Fixed</v>
      </c>
      <c r="F25" s="134">
        <v>1459.64</v>
      </c>
      <c r="G25" s="167" t="str">
        <f>_xlfn.XLOOKUP(Table1[[#This Row],[Account_ID]], Accounts[ID], Accounts[Account nickname], "Unknown")</f>
        <v>EVERYDAY CHECKING</v>
      </c>
      <c r="H25" s="137" t="str">
        <f>_xlfn.XLOOKUP(Table1[[#This Row],[Account_ID]], Accounts[ID], Accounts[Account'#], "Unknown")</f>
        <v>4636</v>
      </c>
      <c r="I25" s="168" t="str">
        <f>_xlfn.XLOOKUP(Table1[[#This Row],[Institution_ID]], Institutions[ID], Institutions[Institution nickname], "Unknown")</f>
        <v>Wells Fargo</v>
      </c>
      <c r="J25" s="139" t="s">
        <v>1357</v>
      </c>
      <c r="K25" s="129" t="s">
        <v>1229</v>
      </c>
      <c r="L25" s="129" t="s">
        <v>1228</v>
      </c>
      <c r="M25" s="130" t="str" cm="1">
        <f t="array" ref="M25">IFERROR(INDEX(CategoriesTable[Category type],MATCH(Table1[[#This Row],[Category]],CategoriesTable[Category name],0),0),"")</f>
        <v>Income</v>
      </c>
      <c r="N25" s="130" t="str" cm="1">
        <f t="array" ref="N25">IFERROR(INDEX(SubcategoriesTable[Subcategory name],MATCH(Table1[[#This Row],[Category]],SubcategoriesTable[Category name],0),0),"")</f>
        <v>Fixed</v>
      </c>
      <c r="O25" s="130">
        <v>12</v>
      </c>
      <c r="P25" s="130">
        <f>MONTH(Table1[[#This Row],[Date]])</f>
        <v>3</v>
      </c>
      <c r="Q25" s="130">
        <v>2021</v>
      </c>
      <c r="R25" s="166">
        <f>IF(ISBLANK(Table1[[#This Row],[Date]]),"",Table1[[#This Row],[Date]]-WEEKDAY(Table1[[#This Row],[Date]],2)+1)</f>
        <v>44263</v>
      </c>
      <c r="S25" s="131">
        <f>IF(ISBLANK(Table1[[#This Row],[Date]]),"",DATE(Table1[[#This Row],[Date_Year]],Table1[[#This Row],[Date_Month]],1))</f>
        <v>44256</v>
      </c>
    </row>
    <row r="26" spans="2:19" ht="15.75" x14ac:dyDescent="0.25">
      <c r="B26" s="133">
        <v>44266</v>
      </c>
      <c r="C26" s="128" t="s">
        <v>239</v>
      </c>
      <c r="D26" s="128" t="s">
        <v>52</v>
      </c>
      <c r="E26" s="128" t="str" cm="1">
        <f t="array" ref="E26">IFERROR(INDEX(SubcategoriesTable[Subcategory name],MATCH(Table1[[#This Row],[Category]],SubcategoriesTable[Category name],0),0),"")</f>
        <v>Variable</v>
      </c>
      <c r="F26" s="134">
        <v>-26.45</v>
      </c>
      <c r="G26" s="167" t="str">
        <f>_xlfn.XLOOKUP(Table1[[#This Row],[Account_ID]], Accounts[ID], Accounts[Account nickname], "Unknown")</f>
        <v>Discover it chrome Card</v>
      </c>
      <c r="H26" s="137" t="str">
        <f>_xlfn.XLOOKUP(Table1[[#This Row],[Account_ID]], Accounts[ID], Accounts[Account'#], "Unknown")</f>
        <v>7328</v>
      </c>
      <c r="I26" s="168" t="str">
        <f>_xlfn.XLOOKUP(Table1[[#This Row],[Institution_ID]], Institutions[ID], Institutions[Institution nickname], "Unknown")</f>
        <v>Discover</v>
      </c>
      <c r="J26" s="139" t="s">
        <v>2389</v>
      </c>
      <c r="K26" s="129" t="s">
        <v>110</v>
      </c>
      <c r="L26" s="129" t="s">
        <v>108</v>
      </c>
      <c r="M26" s="130" t="str" cm="1">
        <f t="array" ref="M26">IFERROR(INDEX(CategoriesTable[Category type],MATCH(Table1[[#This Row],[Category]],CategoriesTable[Category name],0),0),"")</f>
        <v>Expense</v>
      </c>
      <c r="N26" s="130" t="str" cm="1">
        <f t="array" ref="N26">IFERROR(INDEX(SubcategoriesTable[Subcategory name],MATCH(Table1[[#This Row],[Category]],SubcategoriesTable[Category name],0),0),"")</f>
        <v>Variable</v>
      </c>
      <c r="O26" s="130">
        <v>11</v>
      </c>
      <c r="P26" s="130">
        <f>MONTH(Table1[[#This Row],[Date]])</f>
        <v>3</v>
      </c>
      <c r="Q26" s="130">
        <v>2021</v>
      </c>
      <c r="R26" s="166">
        <f>IF(ISBLANK(Table1[[#This Row],[Date]]),"",Table1[[#This Row],[Date]]-WEEKDAY(Table1[[#This Row],[Date]],2)+1)</f>
        <v>44263</v>
      </c>
      <c r="S26" s="131">
        <f>IF(ISBLANK(Table1[[#This Row],[Date]]),"",DATE(Table1[[#This Row],[Date_Year]],Table1[[#This Row],[Date_Month]],1))</f>
        <v>44256</v>
      </c>
    </row>
    <row r="27" spans="2:19" ht="15.75" x14ac:dyDescent="0.25">
      <c r="B27" s="133">
        <v>44266</v>
      </c>
      <c r="C27" s="128" t="s">
        <v>115</v>
      </c>
      <c r="D27" s="128" t="s">
        <v>48</v>
      </c>
      <c r="E27" s="128" t="str" cm="1">
        <f t="array" ref="E27">IFERROR(INDEX(SubcategoriesTable[Subcategory name],MATCH(Table1[[#This Row],[Category]],SubcategoriesTable[Category name],0),0),"")</f>
        <v>Variable</v>
      </c>
      <c r="F27" s="134">
        <v>-15.66</v>
      </c>
      <c r="G27" s="167" t="str">
        <f>_xlfn.XLOOKUP(Table1[[#This Row],[Account_ID]], Accounts[ID], Accounts[Account nickname], "Unknown")</f>
        <v>Discover it chrome Card</v>
      </c>
      <c r="H27" s="137" t="str">
        <f>_xlfn.XLOOKUP(Table1[[#This Row],[Account_ID]], Accounts[ID], Accounts[Account'#], "Unknown")</f>
        <v>7328</v>
      </c>
      <c r="I27" s="168" t="str">
        <f>_xlfn.XLOOKUP(Table1[[#This Row],[Institution_ID]], Institutions[ID], Institutions[Institution nickname], "Unknown")</f>
        <v>Discover</v>
      </c>
      <c r="J27" s="139" t="s">
        <v>116</v>
      </c>
      <c r="K27" s="129" t="s">
        <v>110</v>
      </c>
      <c r="L27" s="129" t="s">
        <v>108</v>
      </c>
      <c r="M27" s="130" t="str" cm="1">
        <f t="array" ref="M27">IFERROR(INDEX(CategoriesTable[Category type],MATCH(Table1[[#This Row],[Category]],CategoriesTable[Category name],0),0),"")</f>
        <v>Expense</v>
      </c>
      <c r="N27" s="130" t="str" cm="1">
        <f t="array" ref="N27">IFERROR(INDEX(SubcategoriesTable[Subcategory name],MATCH(Table1[[#This Row],[Category]],SubcategoriesTable[Category name],0),0),"")</f>
        <v>Variable</v>
      </c>
      <c r="O27" s="130">
        <v>11</v>
      </c>
      <c r="P27" s="130">
        <f>MONTH(Table1[[#This Row],[Date]])</f>
        <v>3</v>
      </c>
      <c r="Q27" s="130">
        <v>2021</v>
      </c>
      <c r="R27" s="166">
        <f>IF(ISBLANK(Table1[[#This Row],[Date]]),"",Table1[[#This Row],[Date]]-WEEKDAY(Table1[[#This Row],[Date]],2)+1)</f>
        <v>44263</v>
      </c>
      <c r="S27" s="131">
        <f>IF(ISBLANK(Table1[[#This Row],[Date]]),"",DATE(Table1[[#This Row],[Date_Year]],Table1[[#This Row],[Date_Month]],1))</f>
        <v>44256</v>
      </c>
    </row>
    <row r="28" spans="2:19" ht="15.75" x14ac:dyDescent="0.25">
      <c r="B28" s="133">
        <v>44265</v>
      </c>
      <c r="C28" s="128" t="s">
        <v>1182</v>
      </c>
      <c r="D28" s="128" t="s">
        <v>50</v>
      </c>
      <c r="E28" s="128" t="str" cm="1">
        <f t="array" ref="E28">IFERROR(INDEX(SubcategoriesTable[Subcategory name],MATCH(Table1[[#This Row],[Category]],SubcategoriesTable[Category name],0),0),"")</f>
        <v>Variable</v>
      </c>
      <c r="F28" s="134">
        <v>227.35</v>
      </c>
      <c r="G28" s="167" t="str">
        <f>_xlfn.XLOOKUP(Table1[[#This Row],[Account_ID]], Accounts[ID], Accounts[Account nickname], "Unknown")</f>
        <v>EVERYDAY CHECKING</v>
      </c>
      <c r="H28" s="137" t="str">
        <f>_xlfn.XLOOKUP(Table1[[#This Row],[Account_ID]], Accounts[ID], Accounts[Account'#], "Unknown")</f>
        <v>4636</v>
      </c>
      <c r="I28" s="168" t="str">
        <f>_xlfn.XLOOKUP(Table1[[#This Row],[Institution_ID]], Institutions[ID], Institutions[Institution nickname], "Unknown")</f>
        <v>Wells Fargo</v>
      </c>
      <c r="J28" s="139" t="s">
        <v>1358</v>
      </c>
      <c r="K28" s="129" t="s">
        <v>1229</v>
      </c>
      <c r="L28" s="129" t="s">
        <v>1228</v>
      </c>
      <c r="M28" s="130" t="str" cm="1">
        <f t="array" ref="M28">IFERROR(INDEX(CategoriesTable[Category type],MATCH(Table1[[#This Row],[Category]],CategoriesTable[Category name],0),0),"")</f>
        <v>Transfer</v>
      </c>
      <c r="N28" s="130" t="str" cm="1">
        <f t="array" ref="N28">IFERROR(INDEX(SubcategoriesTable[Subcategory name],MATCH(Table1[[#This Row],[Category]],SubcategoriesTable[Category name],0),0),"")</f>
        <v>Variable</v>
      </c>
      <c r="O28" s="130">
        <v>10</v>
      </c>
      <c r="P28" s="130">
        <f>MONTH(Table1[[#This Row],[Date]])</f>
        <v>3</v>
      </c>
      <c r="Q28" s="130">
        <v>2021</v>
      </c>
      <c r="R28" s="166">
        <f>IF(ISBLANK(Table1[[#This Row],[Date]]),"",Table1[[#This Row],[Date]]-WEEKDAY(Table1[[#This Row],[Date]],2)+1)</f>
        <v>44263</v>
      </c>
      <c r="S28" s="131">
        <f>IF(ISBLANK(Table1[[#This Row],[Date]]),"",DATE(Table1[[#This Row],[Date_Year]],Table1[[#This Row],[Date_Month]],1))</f>
        <v>44256</v>
      </c>
    </row>
    <row r="29" spans="2:19" ht="15.75" x14ac:dyDescent="0.25">
      <c r="B29" s="133">
        <v>44265</v>
      </c>
      <c r="C29" s="128" t="s">
        <v>1183</v>
      </c>
      <c r="D29" s="128" t="s">
        <v>1204</v>
      </c>
      <c r="E29" s="128" t="str" cm="1">
        <f t="array" ref="E29">IFERROR(INDEX(SubcategoriesTable[Subcategory name],MATCH(Table1[[#This Row],[Category]],SubcategoriesTable[Category name],0),0),"")</f>
        <v>Variable</v>
      </c>
      <c r="F29" s="134">
        <v>-200</v>
      </c>
      <c r="G29" s="167" t="str">
        <f>_xlfn.XLOOKUP(Table1[[#This Row],[Account_ID]], Accounts[ID], Accounts[Account nickname], "Unknown")</f>
        <v>EVERYDAY CHECKING</v>
      </c>
      <c r="H29" s="137" t="str">
        <f>_xlfn.XLOOKUP(Table1[[#This Row],[Account_ID]], Accounts[ID], Accounts[Account'#], "Unknown")</f>
        <v>4636</v>
      </c>
      <c r="I29" s="168" t="str">
        <f>_xlfn.XLOOKUP(Table1[[#This Row],[Institution_ID]], Institutions[ID], Institutions[Institution nickname], "Unknown")</f>
        <v>Wells Fargo</v>
      </c>
      <c r="J29" s="139" t="s">
        <v>1359</v>
      </c>
      <c r="K29" s="129" t="s">
        <v>1229</v>
      </c>
      <c r="L29" s="129" t="s">
        <v>1228</v>
      </c>
      <c r="M29" s="130" t="str" cm="1">
        <f t="array" ref="M29">IFERROR(INDEX(CategoriesTable[Category type],MATCH(Table1[[#This Row],[Category]],CategoriesTable[Category name],0),0),"")</f>
        <v>Savings</v>
      </c>
      <c r="N29" s="130" t="str" cm="1">
        <f t="array" ref="N29">IFERROR(INDEX(SubcategoriesTable[Subcategory name],MATCH(Table1[[#This Row],[Category]],SubcategoriesTable[Category name],0),0),"")</f>
        <v>Variable</v>
      </c>
      <c r="O29" s="130">
        <v>10</v>
      </c>
      <c r="P29" s="130">
        <f>MONTH(Table1[[#This Row],[Date]])</f>
        <v>3</v>
      </c>
      <c r="Q29" s="130">
        <v>2021</v>
      </c>
      <c r="R29" s="166">
        <f>IF(ISBLANK(Table1[[#This Row],[Date]]),"",Table1[[#This Row],[Date]]-WEEKDAY(Table1[[#This Row],[Date]],2)+1)</f>
        <v>44263</v>
      </c>
      <c r="S29" s="131">
        <f>IF(ISBLANK(Table1[[#This Row],[Date]]),"",DATE(Table1[[#This Row],[Date_Year]],Table1[[#This Row],[Date_Month]],1))</f>
        <v>44256</v>
      </c>
    </row>
    <row r="30" spans="2:19" ht="15.75" x14ac:dyDescent="0.25">
      <c r="B30" s="133">
        <v>44265</v>
      </c>
      <c r="C30" s="128" t="s">
        <v>117</v>
      </c>
      <c r="D30" s="128" t="s">
        <v>45</v>
      </c>
      <c r="E30" s="128" t="str" cm="1">
        <f t="array" ref="E30">IFERROR(INDEX(SubcategoriesTable[Subcategory name],MATCH(Table1[[#This Row],[Category]],SubcategoriesTable[Category name],0),0),"")</f>
        <v>Variable</v>
      </c>
      <c r="F30" s="134">
        <v>-13.45</v>
      </c>
      <c r="G30" s="167" t="str">
        <f>_xlfn.XLOOKUP(Table1[[#This Row],[Account_ID]], Accounts[ID], Accounts[Account nickname], "Unknown")</f>
        <v>Discover it chrome Card</v>
      </c>
      <c r="H30" s="137" t="str">
        <f>_xlfn.XLOOKUP(Table1[[#This Row],[Account_ID]], Accounts[ID], Accounts[Account'#], "Unknown")</f>
        <v>7328</v>
      </c>
      <c r="I30" s="168" t="str">
        <f>_xlfn.XLOOKUP(Table1[[#This Row],[Institution_ID]], Institutions[ID], Institutions[Institution nickname], "Unknown")</f>
        <v>Discover</v>
      </c>
      <c r="J30" s="139" t="s">
        <v>118</v>
      </c>
      <c r="K30" s="129" t="s">
        <v>110</v>
      </c>
      <c r="L30" s="129" t="s">
        <v>108</v>
      </c>
      <c r="M30" s="130" t="str" cm="1">
        <f t="array" ref="M30">IFERROR(INDEX(CategoriesTable[Category type],MATCH(Table1[[#This Row],[Category]],CategoriesTable[Category name],0),0),"")</f>
        <v>Expense</v>
      </c>
      <c r="N30" s="130" t="str" cm="1">
        <f t="array" ref="N30">IFERROR(INDEX(SubcategoriesTable[Subcategory name],MATCH(Table1[[#This Row],[Category]],SubcategoriesTable[Category name],0),0),"")</f>
        <v>Variable</v>
      </c>
      <c r="O30" s="130">
        <v>10</v>
      </c>
      <c r="P30" s="130">
        <f>MONTH(Table1[[#This Row],[Date]])</f>
        <v>3</v>
      </c>
      <c r="Q30" s="130">
        <v>2021</v>
      </c>
      <c r="R30" s="166">
        <f>IF(ISBLANK(Table1[[#This Row],[Date]]),"",Table1[[#This Row],[Date]]-WEEKDAY(Table1[[#This Row],[Date]],2)+1)</f>
        <v>44263</v>
      </c>
      <c r="S30" s="131">
        <f>IF(ISBLANK(Table1[[#This Row],[Date]]),"",DATE(Table1[[#This Row],[Date_Year]],Table1[[#This Row],[Date_Month]],1))</f>
        <v>44256</v>
      </c>
    </row>
    <row r="31" spans="2:19" ht="15.75" x14ac:dyDescent="0.25">
      <c r="B31" s="133">
        <v>44265</v>
      </c>
      <c r="C31" s="128" t="s">
        <v>119</v>
      </c>
      <c r="D31" s="128" t="s">
        <v>52</v>
      </c>
      <c r="E31" s="128" t="str" cm="1">
        <f t="array" ref="E31">IFERROR(INDEX(SubcategoriesTable[Subcategory name],MATCH(Table1[[#This Row],[Category]],SubcategoriesTable[Category name],0),0),"")</f>
        <v>Variable</v>
      </c>
      <c r="F31" s="134">
        <v>-28.3</v>
      </c>
      <c r="G31" s="167" t="str">
        <f>_xlfn.XLOOKUP(Table1[[#This Row],[Account_ID]], Accounts[ID], Accounts[Account nickname], "Unknown")</f>
        <v>Discover it chrome Card</v>
      </c>
      <c r="H31" s="137" t="str">
        <f>_xlfn.XLOOKUP(Table1[[#This Row],[Account_ID]], Accounts[ID], Accounts[Account'#], "Unknown")</f>
        <v>7328</v>
      </c>
      <c r="I31" s="168" t="str">
        <f>_xlfn.XLOOKUP(Table1[[#This Row],[Institution_ID]], Institutions[ID], Institutions[Institution nickname], "Unknown")</f>
        <v>Discover</v>
      </c>
      <c r="J31" s="139" t="s">
        <v>120</v>
      </c>
      <c r="K31" s="129" t="s">
        <v>110</v>
      </c>
      <c r="L31" s="129" t="s">
        <v>108</v>
      </c>
      <c r="M31" s="130" t="str" cm="1">
        <f t="array" ref="M31">IFERROR(INDEX(CategoriesTable[Category type],MATCH(Table1[[#This Row],[Category]],CategoriesTable[Category name],0),0),"")</f>
        <v>Expense</v>
      </c>
      <c r="N31" s="130" t="str" cm="1">
        <f t="array" ref="N31">IFERROR(INDEX(SubcategoriesTable[Subcategory name],MATCH(Table1[[#This Row],[Category]],SubcategoriesTable[Category name],0),0),"")</f>
        <v>Variable</v>
      </c>
      <c r="O31" s="130">
        <v>10</v>
      </c>
      <c r="P31" s="130">
        <f>MONTH(Table1[[#This Row],[Date]])</f>
        <v>3</v>
      </c>
      <c r="Q31" s="130">
        <v>2021</v>
      </c>
      <c r="R31" s="166">
        <f>IF(ISBLANK(Table1[[#This Row],[Date]]),"",Table1[[#This Row],[Date]]-WEEKDAY(Table1[[#This Row],[Date]],2)+1)</f>
        <v>44263</v>
      </c>
      <c r="S31" s="131">
        <f>IF(ISBLANK(Table1[[#This Row],[Date]]),"",DATE(Table1[[#This Row],[Date_Year]],Table1[[#This Row],[Date_Month]],1))</f>
        <v>44256</v>
      </c>
    </row>
    <row r="32" spans="2:19" ht="15.75" x14ac:dyDescent="0.25">
      <c r="B32" s="133">
        <v>44265</v>
      </c>
      <c r="C32" s="128" t="s">
        <v>119</v>
      </c>
      <c r="D32" s="128" t="s">
        <v>52</v>
      </c>
      <c r="E32" s="128" t="str" cm="1">
        <f t="array" ref="E32">IFERROR(INDEX(SubcategoriesTable[Subcategory name],MATCH(Table1[[#This Row],[Category]],SubcategoriesTable[Category name],0),0),"")</f>
        <v>Variable</v>
      </c>
      <c r="F32" s="134">
        <v>-33.74</v>
      </c>
      <c r="G32" s="167" t="str">
        <f>_xlfn.XLOOKUP(Table1[[#This Row],[Account_ID]], Accounts[ID], Accounts[Account nickname], "Unknown")</f>
        <v>Discover it chrome Card</v>
      </c>
      <c r="H32" s="137" t="str">
        <f>_xlfn.XLOOKUP(Table1[[#This Row],[Account_ID]], Accounts[ID], Accounts[Account'#], "Unknown")</f>
        <v>7328</v>
      </c>
      <c r="I32" s="168" t="str">
        <f>_xlfn.XLOOKUP(Table1[[#This Row],[Institution_ID]], Institutions[ID], Institutions[Institution nickname], "Unknown")</f>
        <v>Discover</v>
      </c>
      <c r="J32" s="139" t="s">
        <v>121</v>
      </c>
      <c r="K32" s="129" t="s">
        <v>110</v>
      </c>
      <c r="L32" s="129" t="s">
        <v>108</v>
      </c>
      <c r="M32" s="130" t="str" cm="1">
        <f t="array" ref="M32">IFERROR(INDEX(CategoriesTable[Category type],MATCH(Table1[[#This Row],[Category]],CategoriesTable[Category name],0),0),"")</f>
        <v>Expense</v>
      </c>
      <c r="N32" s="130" t="str" cm="1">
        <f t="array" ref="N32">IFERROR(INDEX(SubcategoriesTable[Subcategory name],MATCH(Table1[[#This Row],[Category]],SubcategoriesTable[Category name],0),0),"")</f>
        <v>Variable</v>
      </c>
      <c r="O32" s="130">
        <v>10</v>
      </c>
      <c r="P32" s="130">
        <f>MONTH(Table1[[#This Row],[Date]])</f>
        <v>3</v>
      </c>
      <c r="Q32" s="130">
        <v>2021</v>
      </c>
      <c r="R32" s="166">
        <f>IF(ISBLANK(Table1[[#This Row],[Date]]),"",Table1[[#This Row],[Date]]-WEEKDAY(Table1[[#This Row],[Date]],2)+1)</f>
        <v>44263</v>
      </c>
      <c r="S32" s="131">
        <f>IF(ISBLANK(Table1[[#This Row],[Date]]),"",DATE(Table1[[#This Row],[Date_Year]],Table1[[#This Row],[Date_Month]],1))</f>
        <v>44256</v>
      </c>
    </row>
    <row r="33" spans="2:19" ht="15.75" x14ac:dyDescent="0.25">
      <c r="B33" s="133">
        <v>44265</v>
      </c>
      <c r="C33" s="128" t="s">
        <v>122</v>
      </c>
      <c r="D33" s="128" t="s">
        <v>46</v>
      </c>
      <c r="E33" s="128" t="str" cm="1">
        <f t="array" ref="E33">IFERROR(INDEX(SubcategoriesTable[Subcategory name],MATCH(Table1[[#This Row],[Category]],SubcategoriesTable[Category name],0),0),"")</f>
        <v>Variable</v>
      </c>
      <c r="F33" s="134">
        <v>-21.18</v>
      </c>
      <c r="G33" s="167" t="str">
        <f>_xlfn.XLOOKUP(Table1[[#This Row],[Account_ID]], Accounts[ID], Accounts[Account nickname], "Unknown")</f>
        <v>Discover it chrome Card</v>
      </c>
      <c r="H33" s="137" t="str">
        <f>_xlfn.XLOOKUP(Table1[[#This Row],[Account_ID]], Accounts[ID], Accounts[Account'#], "Unknown")</f>
        <v>7328</v>
      </c>
      <c r="I33" s="168" t="str">
        <f>_xlfn.XLOOKUP(Table1[[#This Row],[Institution_ID]], Institutions[ID], Institutions[Institution nickname], "Unknown")</f>
        <v>Discover</v>
      </c>
      <c r="J33" s="139" t="s">
        <v>123</v>
      </c>
      <c r="K33" s="129" t="s">
        <v>110</v>
      </c>
      <c r="L33" s="129" t="s">
        <v>108</v>
      </c>
      <c r="M33" s="130" t="str" cm="1">
        <f t="array" ref="M33">IFERROR(INDEX(CategoriesTable[Category type],MATCH(Table1[[#This Row],[Category]],CategoriesTable[Category name],0),0),"")</f>
        <v>Expense</v>
      </c>
      <c r="N33" s="130" t="str" cm="1">
        <f t="array" ref="N33">IFERROR(INDEX(SubcategoriesTable[Subcategory name],MATCH(Table1[[#This Row],[Category]],SubcategoriesTable[Category name],0),0),"")</f>
        <v>Variable</v>
      </c>
      <c r="O33" s="130">
        <v>10</v>
      </c>
      <c r="P33" s="130">
        <f>MONTH(Table1[[#This Row],[Date]])</f>
        <v>3</v>
      </c>
      <c r="Q33" s="130">
        <v>2021</v>
      </c>
      <c r="R33" s="166">
        <f>IF(ISBLANK(Table1[[#This Row],[Date]]),"",Table1[[#This Row],[Date]]-WEEKDAY(Table1[[#This Row],[Date]],2)+1)</f>
        <v>44263</v>
      </c>
      <c r="S33" s="131">
        <f>IF(ISBLANK(Table1[[#This Row],[Date]]),"",DATE(Table1[[#This Row],[Date_Year]],Table1[[#This Row],[Date_Month]],1))</f>
        <v>44256</v>
      </c>
    </row>
    <row r="34" spans="2:19" ht="15.75" x14ac:dyDescent="0.25">
      <c r="B34" s="133">
        <v>44265</v>
      </c>
      <c r="C34" s="128" t="s">
        <v>122</v>
      </c>
      <c r="D34" s="128" t="s">
        <v>46</v>
      </c>
      <c r="E34" s="128" t="str" cm="1">
        <f t="array" ref="E34">IFERROR(INDEX(SubcategoriesTable[Subcategory name],MATCH(Table1[[#This Row],[Category]],SubcategoriesTable[Category name],0),0),"")</f>
        <v>Variable</v>
      </c>
      <c r="F34" s="134">
        <v>-37.07</v>
      </c>
      <c r="G34" s="167" t="str">
        <f>_xlfn.XLOOKUP(Table1[[#This Row],[Account_ID]], Accounts[ID], Accounts[Account nickname], "Unknown")</f>
        <v>Discover it chrome Card</v>
      </c>
      <c r="H34" s="137" t="str">
        <f>_xlfn.XLOOKUP(Table1[[#This Row],[Account_ID]], Accounts[ID], Accounts[Account'#], "Unknown")</f>
        <v>7328</v>
      </c>
      <c r="I34" s="168" t="str">
        <f>_xlfn.XLOOKUP(Table1[[#This Row],[Institution_ID]], Institutions[ID], Institutions[Institution nickname], "Unknown")</f>
        <v>Discover</v>
      </c>
      <c r="J34" s="139" t="s">
        <v>124</v>
      </c>
      <c r="K34" s="129" t="s">
        <v>110</v>
      </c>
      <c r="L34" s="129" t="s">
        <v>108</v>
      </c>
      <c r="M34" s="130" t="str" cm="1">
        <f t="array" ref="M34">IFERROR(INDEX(CategoriesTable[Category type],MATCH(Table1[[#This Row],[Category]],CategoriesTable[Category name],0),0),"")</f>
        <v>Expense</v>
      </c>
      <c r="N34" s="130" t="str" cm="1">
        <f t="array" ref="N34">IFERROR(INDEX(SubcategoriesTable[Subcategory name],MATCH(Table1[[#This Row],[Category]],SubcategoriesTable[Category name],0),0),"")</f>
        <v>Variable</v>
      </c>
      <c r="O34" s="130">
        <v>10</v>
      </c>
      <c r="P34" s="130">
        <f>MONTH(Table1[[#This Row],[Date]])</f>
        <v>3</v>
      </c>
      <c r="Q34" s="130">
        <v>2021</v>
      </c>
      <c r="R34" s="166">
        <f>IF(ISBLANK(Table1[[#This Row],[Date]]),"",Table1[[#This Row],[Date]]-WEEKDAY(Table1[[#This Row],[Date]],2)+1)</f>
        <v>44263</v>
      </c>
      <c r="S34" s="131">
        <f>IF(ISBLANK(Table1[[#This Row],[Date]]),"",DATE(Table1[[#This Row],[Date_Year]],Table1[[#This Row],[Date_Month]],1))</f>
        <v>44256</v>
      </c>
    </row>
    <row r="35" spans="2:19" ht="15.75" x14ac:dyDescent="0.25">
      <c r="B35" s="133">
        <v>44265</v>
      </c>
      <c r="C35" s="128" t="s">
        <v>125</v>
      </c>
      <c r="D35" s="128" t="s">
        <v>45</v>
      </c>
      <c r="E35" s="128" t="str" cm="1">
        <f t="array" ref="E35">IFERROR(INDEX(SubcategoriesTable[Subcategory name],MATCH(Table1[[#This Row],[Category]],SubcategoriesTable[Category name],0),0),"")</f>
        <v>Variable</v>
      </c>
      <c r="F35" s="134">
        <v>-9.19</v>
      </c>
      <c r="G35" s="167" t="str">
        <f>_xlfn.XLOOKUP(Table1[[#This Row],[Account_ID]], Accounts[ID], Accounts[Account nickname], "Unknown")</f>
        <v>Discover it chrome Card</v>
      </c>
      <c r="H35" s="137" t="str">
        <f>_xlfn.XLOOKUP(Table1[[#This Row],[Account_ID]], Accounts[ID], Accounts[Account'#], "Unknown")</f>
        <v>7328</v>
      </c>
      <c r="I35" s="168" t="str">
        <f>_xlfn.XLOOKUP(Table1[[#This Row],[Institution_ID]], Institutions[ID], Institutions[Institution nickname], "Unknown")</f>
        <v>Discover</v>
      </c>
      <c r="J35" s="139" t="s">
        <v>126</v>
      </c>
      <c r="K35" s="129" t="s">
        <v>110</v>
      </c>
      <c r="L35" s="129" t="s">
        <v>108</v>
      </c>
      <c r="M35" s="130" t="str" cm="1">
        <f t="array" ref="M35">IFERROR(INDEX(CategoriesTable[Category type],MATCH(Table1[[#This Row],[Category]],CategoriesTable[Category name],0),0),"")</f>
        <v>Expense</v>
      </c>
      <c r="N35" s="130" t="str" cm="1">
        <f t="array" ref="N35">IFERROR(INDEX(SubcategoriesTable[Subcategory name],MATCH(Table1[[#This Row],[Category]],SubcategoriesTable[Category name],0),0),"")</f>
        <v>Variable</v>
      </c>
      <c r="O35" s="130">
        <v>10</v>
      </c>
      <c r="P35" s="130">
        <f>MONTH(Table1[[#This Row],[Date]])</f>
        <v>3</v>
      </c>
      <c r="Q35" s="130">
        <v>2021</v>
      </c>
      <c r="R35" s="166">
        <f>IF(ISBLANK(Table1[[#This Row],[Date]]),"",Table1[[#This Row],[Date]]-WEEKDAY(Table1[[#This Row],[Date]],2)+1)</f>
        <v>44263</v>
      </c>
      <c r="S35" s="131">
        <f>IF(ISBLANK(Table1[[#This Row],[Date]]),"",DATE(Table1[[#This Row],[Date_Year]],Table1[[#This Row],[Date_Month]],1))</f>
        <v>44256</v>
      </c>
    </row>
    <row r="36" spans="2:19" ht="15.75" x14ac:dyDescent="0.25">
      <c r="B36" s="133">
        <v>44265</v>
      </c>
      <c r="C36" s="128" t="s">
        <v>127</v>
      </c>
      <c r="D36" s="128" t="s">
        <v>46</v>
      </c>
      <c r="E36" s="128" t="str" cm="1">
        <f t="array" ref="E36">IFERROR(INDEX(SubcategoriesTable[Subcategory name],MATCH(Table1[[#This Row],[Category]],SubcategoriesTable[Category name],0),0),"")</f>
        <v>Variable</v>
      </c>
      <c r="F36" s="134">
        <v>-19.79</v>
      </c>
      <c r="G36" s="167" t="str">
        <f>_xlfn.XLOOKUP(Table1[[#This Row],[Account_ID]], Accounts[ID], Accounts[Account nickname], "Unknown")</f>
        <v>Discover it chrome Card</v>
      </c>
      <c r="H36" s="137" t="str">
        <f>_xlfn.XLOOKUP(Table1[[#This Row],[Account_ID]], Accounts[ID], Accounts[Account'#], "Unknown")</f>
        <v>7328</v>
      </c>
      <c r="I36" s="168" t="str">
        <f>_xlfn.XLOOKUP(Table1[[#This Row],[Institution_ID]], Institutions[ID], Institutions[Institution nickname], "Unknown")</f>
        <v>Discover</v>
      </c>
      <c r="J36" s="139" t="s">
        <v>128</v>
      </c>
      <c r="K36" s="129" t="s">
        <v>110</v>
      </c>
      <c r="L36" s="129" t="s">
        <v>108</v>
      </c>
      <c r="M36" s="130" t="str" cm="1">
        <f t="array" ref="M36">IFERROR(INDEX(CategoriesTable[Category type],MATCH(Table1[[#This Row],[Category]],CategoriesTable[Category name],0),0),"")</f>
        <v>Expense</v>
      </c>
      <c r="N36" s="130" t="str" cm="1">
        <f t="array" ref="N36">IFERROR(INDEX(SubcategoriesTable[Subcategory name],MATCH(Table1[[#This Row],[Category]],SubcategoriesTable[Category name],0),0),"")</f>
        <v>Variable</v>
      </c>
      <c r="O36" s="130">
        <v>10</v>
      </c>
      <c r="P36" s="130">
        <f>MONTH(Table1[[#This Row],[Date]])</f>
        <v>3</v>
      </c>
      <c r="Q36" s="130">
        <v>2021</v>
      </c>
      <c r="R36" s="166">
        <f>IF(ISBLANK(Table1[[#This Row],[Date]]),"",Table1[[#This Row],[Date]]-WEEKDAY(Table1[[#This Row],[Date]],2)+1)</f>
        <v>44263</v>
      </c>
      <c r="S36" s="131">
        <f>IF(ISBLANK(Table1[[#This Row],[Date]]),"",DATE(Table1[[#This Row],[Date_Year]],Table1[[#This Row],[Date_Month]],1))</f>
        <v>44256</v>
      </c>
    </row>
    <row r="37" spans="2:19" ht="15.75" x14ac:dyDescent="0.25">
      <c r="B37" s="133">
        <v>44264</v>
      </c>
      <c r="C37" s="128" t="s">
        <v>50</v>
      </c>
      <c r="D37" s="128" t="s">
        <v>1204</v>
      </c>
      <c r="E37" s="128"/>
      <c r="F37" s="134">
        <v>200</v>
      </c>
      <c r="G37" s="167" t="str">
        <f>_xlfn.XLOOKUP(Table1[[#This Row],[Account_ID]], Accounts[ID], Accounts[Account nickname], "Unknown")</f>
        <v>Checking - 4480</v>
      </c>
      <c r="H37" s="137" t="str">
        <f>_xlfn.XLOOKUP(Table1[[#This Row],[Account_ID]], Accounts[ID], Accounts[Account'#], "Unknown")</f>
        <v>4480</v>
      </c>
      <c r="I37" s="168" t="str">
        <f>_xlfn.XLOOKUP(Table1[[#This Row],[Institution_ID]], Institutions[ID], Institutions[Institution nickname], "Unknown")</f>
        <v>Robinhood</v>
      </c>
      <c r="J37" s="139" t="s">
        <v>2390</v>
      </c>
      <c r="K37" s="129" t="s">
        <v>1208</v>
      </c>
      <c r="L37" s="173" t="s">
        <v>1207</v>
      </c>
      <c r="M37" s="130" t="str" cm="1">
        <f t="array" ref="M37">IFERROR(INDEX(CategoriesTable[Category type],MATCH(Table1[[#This Row],[Category]],CategoriesTable[Category name],0),0),"")</f>
        <v>Savings</v>
      </c>
      <c r="N37" s="130" t="str" cm="1">
        <f t="array" ref="N37">IFERROR(INDEX(SubcategoriesTable[Subcategory name],MATCH(Table1[[#This Row],[Category]],SubcategoriesTable[Category name],0),0),"")</f>
        <v>Variable</v>
      </c>
      <c r="O37" s="130">
        <v>9</v>
      </c>
      <c r="P37" s="130">
        <f>MONTH(Table1[[#This Row],[Date]])</f>
        <v>3</v>
      </c>
      <c r="Q37" s="130">
        <v>2021</v>
      </c>
      <c r="R37" s="166">
        <f>IF(ISBLANK(Table1[[#This Row],[Date]]),"",Table1[[#This Row],[Date]]-WEEKDAY(Table1[[#This Row],[Date]],2)+1)</f>
        <v>44263</v>
      </c>
      <c r="S37" s="131">
        <f>IF(ISBLANK(Table1[[#This Row],[Date]]),"",DATE(Table1[[#This Row],[Date_Year]],Table1[[#This Row],[Date_Month]],1))</f>
        <v>44256</v>
      </c>
    </row>
    <row r="38" spans="2:19" ht="15.75" x14ac:dyDescent="0.25">
      <c r="B38" s="133">
        <v>44264</v>
      </c>
      <c r="C38" s="128" t="s">
        <v>1184</v>
      </c>
      <c r="D38" s="128" t="s">
        <v>2368</v>
      </c>
      <c r="E38" s="128" t="str" cm="1">
        <f t="array" ref="E38">IFERROR(INDEX(SubcategoriesTable[Subcategory name],MATCH(Table1[[#This Row],[Category]],SubcategoriesTable[Category name],0),0),"")</f>
        <v>Variable</v>
      </c>
      <c r="F38" s="134">
        <v>55</v>
      </c>
      <c r="G38" s="167" t="str">
        <f>_xlfn.XLOOKUP(Table1[[#This Row],[Account_ID]], Accounts[ID], Accounts[Account nickname], "Unknown")</f>
        <v>EVERYDAY CHECKING</v>
      </c>
      <c r="H38" s="137" t="str">
        <f>_xlfn.XLOOKUP(Table1[[#This Row],[Account_ID]], Accounts[ID], Accounts[Account'#], "Unknown")</f>
        <v>4636</v>
      </c>
      <c r="I38" s="168" t="str">
        <f>_xlfn.XLOOKUP(Table1[[#This Row],[Institution_ID]], Institutions[ID], Institutions[Institution nickname], "Unknown")</f>
        <v>Wells Fargo</v>
      </c>
      <c r="J38" s="139" t="s">
        <v>1360</v>
      </c>
      <c r="K38" s="129" t="s">
        <v>1229</v>
      </c>
      <c r="L38" s="129" t="s">
        <v>1228</v>
      </c>
      <c r="M38" s="130" t="str" cm="1">
        <f t="array" ref="M38">IFERROR(INDEX(CategoriesTable[Category type],MATCH(Table1[[#This Row],[Category]],CategoriesTable[Category name],0),0),"")</f>
        <v>Transfer</v>
      </c>
      <c r="N38" s="130" t="str" cm="1">
        <f t="array" ref="N38">IFERROR(INDEX(SubcategoriesTable[Subcategory name],MATCH(Table1[[#This Row],[Category]],SubcategoriesTable[Category name],0),0),"")</f>
        <v>Variable</v>
      </c>
      <c r="O38" s="130">
        <v>9</v>
      </c>
      <c r="P38" s="130">
        <f>MONTH(Table1[[#This Row],[Date]])</f>
        <v>3</v>
      </c>
      <c r="Q38" s="130">
        <v>2021</v>
      </c>
      <c r="R38" s="166">
        <f>IF(ISBLANK(Table1[[#This Row],[Date]]),"",Table1[[#This Row],[Date]]-WEEKDAY(Table1[[#This Row],[Date]],2)+1)</f>
        <v>44263</v>
      </c>
      <c r="S38" s="131">
        <f>IF(ISBLANK(Table1[[#This Row],[Date]]),"",DATE(Table1[[#This Row],[Date_Year]],Table1[[#This Row],[Date_Month]],1))</f>
        <v>44256</v>
      </c>
    </row>
    <row r="39" spans="2:19" ht="15.75" x14ac:dyDescent="0.25">
      <c r="B39" s="133">
        <v>44264</v>
      </c>
      <c r="C39" s="128" t="s">
        <v>508</v>
      </c>
      <c r="D39" s="128" t="s">
        <v>54</v>
      </c>
      <c r="E39" s="128" t="str" cm="1">
        <f t="array" ref="E39">IFERROR(INDEX(SubcategoriesTable[Subcategory name],MATCH(Table1[[#This Row],[Category]],SubcategoriesTable[Category name],0),0),"")</f>
        <v>Fixed</v>
      </c>
      <c r="F39" s="134">
        <v>-150</v>
      </c>
      <c r="G39" s="167" t="str">
        <f>_xlfn.XLOOKUP(Table1[[#This Row],[Account_ID]], Accounts[ID], Accounts[Account nickname], "Unknown")</f>
        <v>EVERYDAY CHECKING</v>
      </c>
      <c r="H39" s="137" t="str">
        <f>_xlfn.XLOOKUP(Table1[[#This Row],[Account_ID]], Accounts[ID], Accounts[Account'#], "Unknown")</f>
        <v>4636</v>
      </c>
      <c r="I39" s="168" t="str">
        <f>_xlfn.XLOOKUP(Table1[[#This Row],[Institution_ID]], Institutions[ID], Institutions[Institution nickname], "Unknown")</f>
        <v>Wells Fargo</v>
      </c>
      <c r="J39" s="139" t="s">
        <v>1361</v>
      </c>
      <c r="K39" s="129" t="s">
        <v>1229</v>
      </c>
      <c r="L39" s="129" t="s">
        <v>1228</v>
      </c>
      <c r="M39" s="130" t="str" cm="1">
        <f t="array" ref="M39">IFERROR(INDEX(CategoriesTable[Category type],MATCH(Table1[[#This Row],[Category]],CategoriesTable[Category name],0),0),"")</f>
        <v>Expense</v>
      </c>
      <c r="N39" s="130" t="str" cm="1">
        <f t="array" ref="N39">IFERROR(INDEX(SubcategoriesTable[Subcategory name],MATCH(Table1[[#This Row],[Category]],SubcategoriesTable[Category name],0),0),"")</f>
        <v>Fixed</v>
      </c>
      <c r="O39" s="130">
        <v>9</v>
      </c>
      <c r="P39" s="130">
        <f>MONTH(Table1[[#This Row],[Date]])</f>
        <v>3</v>
      </c>
      <c r="Q39" s="130">
        <v>2021</v>
      </c>
      <c r="R39" s="166">
        <f>IF(ISBLANK(Table1[[#This Row],[Date]]),"",Table1[[#This Row],[Date]]-WEEKDAY(Table1[[#This Row],[Date]],2)+1)</f>
        <v>44263</v>
      </c>
      <c r="S39" s="131">
        <f>IF(ISBLANK(Table1[[#This Row],[Date]]),"",DATE(Table1[[#This Row],[Date_Year]],Table1[[#This Row],[Date_Month]],1))</f>
        <v>44256</v>
      </c>
    </row>
    <row r="40" spans="2:19" ht="15.75" x14ac:dyDescent="0.25">
      <c r="B40" s="133">
        <v>44264</v>
      </c>
      <c r="C40" s="128" t="s">
        <v>129</v>
      </c>
      <c r="D40" s="128" t="s">
        <v>52</v>
      </c>
      <c r="E40" s="128" t="str" cm="1">
        <f t="array" ref="E40">IFERROR(INDEX(SubcategoriesTable[Subcategory name],MATCH(Table1[[#This Row],[Category]],SubcategoriesTable[Category name],0),0),"")</f>
        <v>Variable</v>
      </c>
      <c r="F40" s="134">
        <v>-86.17</v>
      </c>
      <c r="G40" s="167" t="str">
        <f>_xlfn.XLOOKUP(Table1[[#This Row],[Account_ID]], Accounts[ID], Accounts[Account nickname], "Unknown")</f>
        <v>Discover it chrome Card</v>
      </c>
      <c r="H40" s="137" t="str">
        <f>_xlfn.XLOOKUP(Table1[[#This Row],[Account_ID]], Accounts[ID], Accounts[Account'#], "Unknown")</f>
        <v>7328</v>
      </c>
      <c r="I40" s="168" t="str">
        <f>_xlfn.XLOOKUP(Table1[[#This Row],[Institution_ID]], Institutions[ID], Institutions[Institution nickname], "Unknown")</f>
        <v>Discover</v>
      </c>
      <c r="J40" s="139" t="s">
        <v>130</v>
      </c>
      <c r="K40" s="129" t="s">
        <v>110</v>
      </c>
      <c r="L40" s="129" t="s">
        <v>108</v>
      </c>
      <c r="M40" s="130" t="str" cm="1">
        <f t="array" ref="M40">IFERROR(INDEX(CategoriesTable[Category type],MATCH(Table1[[#This Row],[Category]],CategoriesTable[Category name],0),0),"")</f>
        <v>Expense</v>
      </c>
      <c r="N40" s="130" t="str" cm="1">
        <f t="array" ref="N40">IFERROR(INDEX(SubcategoriesTable[Subcategory name],MATCH(Table1[[#This Row],[Category]],SubcategoriesTable[Category name],0),0),"")</f>
        <v>Variable</v>
      </c>
      <c r="O40" s="130">
        <v>9</v>
      </c>
      <c r="P40" s="130">
        <f>MONTH(Table1[[#This Row],[Date]])</f>
        <v>3</v>
      </c>
      <c r="Q40" s="130">
        <v>2021</v>
      </c>
      <c r="R40" s="166">
        <f>IF(ISBLANK(Table1[[#This Row],[Date]]),"",Table1[[#This Row],[Date]]-WEEKDAY(Table1[[#This Row],[Date]],2)+1)</f>
        <v>44263</v>
      </c>
      <c r="S40" s="131">
        <f>IF(ISBLANK(Table1[[#This Row],[Date]]),"",DATE(Table1[[#This Row],[Date_Year]],Table1[[#This Row],[Date_Month]],1))</f>
        <v>44256</v>
      </c>
    </row>
    <row r="41" spans="2:19" ht="15.75" x14ac:dyDescent="0.25">
      <c r="B41" s="133">
        <v>44264</v>
      </c>
      <c r="C41" s="128" t="s">
        <v>115</v>
      </c>
      <c r="D41" s="128" t="s">
        <v>48</v>
      </c>
      <c r="E41" s="128" t="str" cm="1">
        <f t="array" ref="E41">IFERROR(INDEX(SubcategoriesTable[Subcategory name],MATCH(Table1[[#This Row],[Category]],SubcategoriesTable[Category name],0),0),"")</f>
        <v>Variable</v>
      </c>
      <c r="F41" s="134">
        <v>-3.99</v>
      </c>
      <c r="G41" s="167" t="str">
        <f>_xlfn.XLOOKUP(Table1[[#This Row],[Account_ID]], Accounts[ID], Accounts[Account nickname], "Unknown")</f>
        <v>Discover it chrome Card</v>
      </c>
      <c r="H41" s="137" t="str">
        <f>_xlfn.XLOOKUP(Table1[[#This Row],[Account_ID]], Accounts[ID], Accounts[Account'#], "Unknown")</f>
        <v>7328</v>
      </c>
      <c r="I41" s="168" t="str">
        <f>_xlfn.XLOOKUP(Table1[[#This Row],[Institution_ID]], Institutions[ID], Institutions[Institution nickname], "Unknown")</f>
        <v>Discover</v>
      </c>
      <c r="J41" s="139" t="s">
        <v>131</v>
      </c>
      <c r="K41" s="129" t="s">
        <v>110</v>
      </c>
      <c r="L41" s="129" t="s">
        <v>108</v>
      </c>
      <c r="M41" s="130" t="str" cm="1">
        <f t="array" ref="M41">IFERROR(INDEX(CategoriesTable[Category type],MATCH(Table1[[#This Row],[Category]],CategoriesTable[Category name],0),0),"")</f>
        <v>Expense</v>
      </c>
      <c r="N41" s="130" t="str" cm="1">
        <f t="array" ref="N41">IFERROR(INDEX(SubcategoriesTable[Subcategory name],MATCH(Table1[[#This Row],[Category]],SubcategoriesTable[Category name],0),0),"")</f>
        <v>Variable</v>
      </c>
      <c r="O41" s="130">
        <v>9</v>
      </c>
      <c r="P41" s="130">
        <f>MONTH(Table1[[#This Row],[Date]])</f>
        <v>3</v>
      </c>
      <c r="Q41" s="130">
        <v>2021</v>
      </c>
      <c r="R41" s="166">
        <f>IF(ISBLANK(Table1[[#This Row],[Date]]),"",Table1[[#This Row],[Date]]-WEEKDAY(Table1[[#This Row],[Date]],2)+1)</f>
        <v>44263</v>
      </c>
      <c r="S41" s="131">
        <f>IF(ISBLANK(Table1[[#This Row],[Date]]),"",DATE(Table1[[#This Row],[Date_Year]],Table1[[#This Row],[Date_Month]],1))</f>
        <v>44256</v>
      </c>
    </row>
    <row r="42" spans="2:19" ht="15.75" x14ac:dyDescent="0.25">
      <c r="B42" s="133">
        <v>44264</v>
      </c>
      <c r="C42" s="128" t="s">
        <v>115</v>
      </c>
      <c r="D42" s="128" t="s">
        <v>48</v>
      </c>
      <c r="E42" s="128" t="str" cm="1">
        <f t="array" ref="E42">IFERROR(INDEX(SubcategoriesTable[Subcategory name],MATCH(Table1[[#This Row],[Category]],SubcategoriesTable[Category name],0),0),"")</f>
        <v>Variable</v>
      </c>
      <c r="F42" s="134">
        <v>-18.34</v>
      </c>
      <c r="G42" s="167" t="str">
        <f>_xlfn.XLOOKUP(Table1[[#This Row],[Account_ID]], Accounts[ID], Accounts[Account nickname], "Unknown")</f>
        <v>Discover it chrome Card</v>
      </c>
      <c r="H42" s="137" t="str">
        <f>_xlfn.XLOOKUP(Table1[[#This Row],[Account_ID]], Accounts[ID], Accounts[Account'#], "Unknown")</f>
        <v>7328</v>
      </c>
      <c r="I42" s="168" t="str">
        <f>_xlfn.XLOOKUP(Table1[[#This Row],[Institution_ID]], Institutions[ID], Institutions[Institution nickname], "Unknown")</f>
        <v>Discover</v>
      </c>
      <c r="J42" s="139" t="s">
        <v>132</v>
      </c>
      <c r="K42" s="129" t="s">
        <v>110</v>
      </c>
      <c r="L42" s="129" t="s">
        <v>108</v>
      </c>
      <c r="M42" s="130" t="str" cm="1">
        <f t="array" ref="M42">IFERROR(INDEX(CategoriesTable[Category type],MATCH(Table1[[#This Row],[Category]],CategoriesTable[Category name],0),0),"")</f>
        <v>Expense</v>
      </c>
      <c r="N42" s="130" t="str" cm="1">
        <f t="array" ref="N42">IFERROR(INDEX(SubcategoriesTable[Subcategory name],MATCH(Table1[[#This Row],[Category]],SubcategoriesTable[Category name],0),0),"")</f>
        <v>Variable</v>
      </c>
      <c r="O42" s="130">
        <v>9</v>
      </c>
      <c r="P42" s="130">
        <f>MONTH(Table1[[#This Row],[Date]])</f>
        <v>3</v>
      </c>
      <c r="Q42" s="130">
        <v>2021</v>
      </c>
      <c r="R42" s="166">
        <f>IF(ISBLANK(Table1[[#This Row],[Date]]),"",Table1[[#This Row],[Date]]-WEEKDAY(Table1[[#This Row],[Date]],2)+1)</f>
        <v>44263</v>
      </c>
      <c r="S42" s="131">
        <f>IF(ISBLANK(Table1[[#This Row],[Date]]),"",DATE(Table1[[#This Row],[Date_Year]],Table1[[#This Row],[Date_Month]],1))</f>
        <v>44256</v>
      </c>
    </row>
    <row r="43" spans="2:19" ht="15.75" x14ac:dyDescent="0.25">
      <c r="B43" s="133">
        <v>44263</v>
      </c>
      <c r="C43" s="128" t="s">
        <v>133</v>
      </c>
      <c r="D43" s="128" t="s">
        <v>45</v>
      </c>
      <c r="E43" s="128" t="str" cm="1">
        <f t="array" ref="E43">IFERROR(INDEX(SubcategoriesTable[Subcategory name],MATCH(Table1[[#This Row],[Category]],SubcategoriesTable[Category name],0),0),"")</f>
        <v>Variable</v>
      </c>
      <c r="F43" s="134">
        <v>-55</v>
      </c>
      <c r="G43" s="167" t="str">
        <f>_xlfn.XLOOKUP(Table1[[#This Row],[Account_ID]], Accounts[ID], Accounts[Account nickname], "Unknown")</f>
        <v>Discover it chrome Card</v>
      </c>
      <c r="H43" s="137" t="str">
        <f>_xlfn.XLOOKUP(Table1[[#This Row],[Account_ID]], Accounts[ID], Accounts[Account'#], "Unknown")</f>
        <v>7328</v>
      </c>
      <c r="I43" s="168" t="str">
        <f>_xlfn.XLOOKUP(Table1[[#This Row],[Institution_ID]], Institutions[ID], Institutions[Institution nickname], "Unknown")</f>
        <v>Discover</v>
      </c>
      <c r="J43" s="139" t="s">
        <v>134</v>
      </c>
      <c r="K43" s="129" t="s">
        <v>110</v>
      </c>
      <c r="L43" s="129" t="s">
        <v>108</v>
      </c>
      <c r="M43" s="130" t="str" cm="1">
        <f t="array" ref="M43">IFERROR(INDEX(CategoriesTable[Category type],MATCH(Table1[[#This Row],[Category]],CategoriesTable[Category name],0),0),"")</f>
        <v>Expense</v>
      </c>
      <c r="N43" s="130" t="str" cm="1">
        <f t="array" ref="N43">IFERROR(INDEX(SubcategoriesTable[Subcategory name],MATCH(Table1[[#This Row],[Category]],SubcategoriesTable[Category name],0),0),"")</f>
        <v>Variable</v>
      </c>
      <c r="O43" s="130">
        <v>8</v>
      </c>
      <c r="P43" s="130">
        <f>MONTH(Table1[[#This Row],[Date]])</f>
        <v>3</v>
      </c>
      <c r="Q43" s="130">
        <v>2021</v>
      </c>
      <c r="R43" s="166">
        <f>IF(ISBLANK(Table1[[#This Row],[Date]]),"",Table1[[#This Row],[Date]]-WEEKDAY(Table1[[#This Row],[Date]],2)+1)</f>
        <v>44263</v>
      </c>
      <c r="S43" s="131">
        <f>IF(ISBLANK(Table1[[#This Row],[Date]]),"",DATE(Table1[[#This Row],[Date_Year]],Table1[[#This Row],[Date_Month]],1))</f>
        <v>44256</v>
      </c>
    </row>
    <row r="44" spans="2:19" ht="15.75" x14ac:dyDescent="0.25">
      <c r="B44" s="133">
        <v>44262</v>
      </c>
      <c r="C44" s="128" t="s">
        <v>135</v>
      </c>
      <c r="D44" s="128" t="s">
        <v>2392</v>
      </c>
      <c r="E44" s="128" t="str" cm="1">
        <f t="array" ref="E44">IFERROR(INDEX(SubcategoriesTable[Subcategory name],MATCH(Table1[[#This Row],[Category]],SubcategoriesTable[Category name],0),0),"")</f>
        <v>Variable</v>
      </c>
      <c r="F44" s="134">
        <v>-1</v>
      </c>
      <c r="G44" s="167" t="str">
        <f>_xlfn.XLOOKUP(Table1[[#This Row],[Account_ID]], Accounts[ID], Accounts[Account nickname], "Unknown")</f>
        <v>Discover it chrome Card</v>
      </c>
      <c r="H44" s="137" t="str">
        <f>_xlfn.XLOOKUP(Table1[[#This Row],[Account_ID]], Accounts[ID], Accounts[Account'#], "Unknown")</f>
        <v>7328</v>
      </c>
      <c r="I44" s="168" t="str">
        <f>_xlfn.XLOOKUP(Table1[[#This Row],[Institution_ID]], Institutions[ID], Institutions[Institution nickname], "Unknown")</f>
        <v>Discover</v>
      </c>
      <c r="J44" s="139" t="s">
        <v>136</v>
      </c>
      <c r="K44" s="129" t="s">
        <v>110</v>
      </c>
      <c r="L44" s="129" t="s">
        <v>108</v>
      </c>
      <c r="M44" s="130" t="str" cm="1">
        <f t="array" ref="M44">IFERROR(INDEX(CategoriesTable[Category type],MATCH(Table1[[#This Row],[Category]],CategoriesTable[Category name],0),0),"")</f>
        <v>Expense</v>
      </c>
      <c r="N44" s="130" t="str" cm="1">
        <f t="array" ref="N44">IFERROR(INDEX(SubcategoriesTable[Subcategory name],MATCH(Table1[[#This Row],[Category]],SubcategoriesTable[Category name],0),0),"")</f>
        <v>Variable</v>
      </c>
      <c r="O44" s="130">
        <v>7</v>
      </c>
      <c r="P44" s="130">
        <f>MONTH(Table1[[#This Row],[Date]])</f>
        <v>3</v>
      </c>
      <c r="Q44" s="130">
        <v>2021</v>
      </c>
      <c r="R44" s="166">
        <f>IF(ISBLANK(Table1[[#This Row],[Date]]),"",Table1[[#This Row],[Date]]-WEEKDAY(Table1[[#This Row],[Date]],2)+1)</f>
        <v>44256</v>
      </c>
      <c r="S44" s="131">
        <f>IF(ISBLANK(Table1[[#This Row],[Date]]),"",DATE(Table1[[#This Row],[Date_Year]],Table1[[#This Row],[Date_Month]],1))</f>
        <v>44256</v>
      </c>
    </row>
    <row r="45" spans="2:19" ht="15.75" x14ac:dyDescent="0.25">
      <c r="B45" s="133">
        <v>44262</v>
      </c>
      <c r="C45" s="128" t="s">
        <v>135</v>
      </c>
      <c r="D45" s="128" t="s">
        <v>2392</v>
      </c>
      <c r="E45" s="128" t="str" cm="1">
        <f t="array" ref="E45">IFERROR(INDEX(SubcategoriesTable[Subcategory name],MATCH(Table1[[#This Row],[Category]],SubcategoriesTable[Category name],0),0),"")</f>
        <v>Variable</v>
      </c>
      <c r="F45" s="134">
        <v>1</v>
      </c>
      <c r="G45" s="167" t="str">
        <f>_xlfn.XLOOKUP(Table1[[#This Row],[Account_ID]], Accounts[ID], Accounts[Account nickname], "Unknown")</f>
        <v>Discover it chrome Card</v>
      </c>
      <c r="H45" s="137" t="str">
        <f>_xlfn.XLOOKUP(Table1[[#This Row],[Account_ID]], Accounts[ID], Accounts[Account'#], "Unknown")</f>
        <v>7328</v>
      </c>
      <c r="I45" s="168" t="str">
        <f>_xlfn.XLOOKUP(Table1[[#This Row],[Institution_ID]], Institutions[ID], Institutions[Institution nickname], "Unknown")</f>
        <v>Discover</v>
      </c>
      <c r="J45" s="139" t="s">
        <v>137</v>
      </c>
      <c r="K45" s="129" t="s">
        <v>110</v>
      </c>
      <c r="L45" s="129" t="s">
        <v>108</v>
      </c>
      <c r="M45" s="130" t="str" cm="1">
        <f t="array" ref="M45">IFERROR(INDEX(CategoriesTable[Category type],MATCH(Table1[[#This Row],[Category]],CategoriesTable[Category name],0),0),"")</f>
        <v>Expense</v>
      </c>
      <c r="N45" s="130" t="str" cm="1">
        <f t="array" ref="N45">IFERROR(INDEX(SubcategoriesTable[Subcategory name],MATCH(Table1[[#This Row],[Category]],SubcategoriesTable[Category name],0),0),"")</f>
        <v>Variable</v>
      </c>
      <c r="O45" s="130">
        <v>7</v>
      </c>
      <c r="P45" s="130">
        <f>MONTH(Table1[[#This Row],[Date]])</f>
        <v>3</v>
      </c>
      <c r="Q45" s="130">
        <v>2021</v>
      </c>
      <c r="R45" s="166">
        <f>IF(ISBLANK(Table1[[#This Row],[Date]]),"",Table1[[#This Row],[Date]]-WEEKDAY(Table1[[#This Row],[Date]],2)+1)</f>
        <v>44256</v>
      </c>
      <c r="S45" s="131">
        <f>IF(ISBLANK(Table1[[#This Row],[Date]]),"",DATE(Table1[[#This Row],[Date_Year]],Table1[[#This Row],[Date_Month]],1))</f>
        <v>44256</v>
      </c>
    </row>
    <row r="46" spans="2:19" ht="15.75" x14ac:dyDescent="0.25">
      <c r="B46" s="133">
        <v>44262</v>
      </c>
      <c r="C46" s="128" t="s">
        <v>138</v>
      </c>
      <c r="D46" s="128" t="s">
        <v>2392</v>
      </c>
      <c r="E46" s="128" t="str" cm="1">
        <f t="array" ref="E46">IFERROR(INDEX(SubcategoriesTable[Subcategory name],MATCH(Table1[[#This Row],[Category]],SubcategoriesTable[Category name],0),0),"")</f>
        <v>Variable</v>
      </c>
      <c r="F46" s="134">
        <v>-1</v>
      </c>
      <c r="G46" s="167" t="str">
        <f>_xlfn.XLOOKUP(Table1[[#This Row],[Account_ID]], Accounts[ID], Accounts[Account nickname], "Unknown")</f>
        <v>Discover it chrome Card</v>
      </c>
      <c r="H46" s="137" t="str">
        <f>_xlfn.XLOOKUP(Table1[[#This Row],[Account_ID]], Accounts[ID], Accounts[Account'#], "Unknown")</f>
        <v>7328</v>
      </c>
      <c r="I46" s="168" t="str">
        <f>_xlfn.XLOOKUP(Table1[[#This Row],[Institution_ID]], Institutions[ID], Institutions[Institution nickname], "Unknown")</f>
        <v>Discover</v>
      </c>
      <c r="J46" s="139" t="s">
        <v>139</v>
      </c>
      <c r="K46" s="129" t="s">
        <v>110</v>
      </c>
      <c r="L46" s="129" t="s">
        <v>108</v>
      </c>
      <c r="M46" s="130" t="str" cm="1">
        <f t="array" ref="M46">IFERROR(INDEX(CategoriesTable[Category type],MATCH(Table1[[#This Row],[Category]],CategoriesTable[Category name],0),0),"")</f>
        <v>Expense</v>
      </c>
      <c r="N46" s="130" t="str" cm="1">
        <f t="array" ref="N46">IFERROR(INDEX(SubcategoriesTable[Subcategory name],MATCH(Table1[[#This Row],[Category]],SubcategoriesTable[Category name],0),0),"")</f>
        <v>Variable</v>
      </c>
      <c r="O46" s="130">
        <v>7</v>
      </c>
      <c r="P46" s="130">
        <f>MONTH(Table1[[#This Row],[Date]])</f>
        <v>3</v>
      </c>
      <c r="Q46" s="130">
        <v>2021</v>
      </c>
      <c r="R46" s="166">
        <f>IF(ISBLANK(Table1[[#This Row],[Date]]),"",Table1[[#This Row],[Date]]-WEEKDAY(Table1[[#This Row],[Date]],2)+1)</f>
        <v>44256</v>
      </c>
      <c r="S46" s="131">
        <f>IF(ISBLANK(Table1[[#This Row],[Date]]),"",DATE(Table1[[#This Row],[Date_Year]],Table1[[#This Row],[Date_Month]],1))</f>
        <v>44256</v>
      </c>
    </row>
    <row r="47" spans="2:19" ht="15.75" x14ac:dyDescent="0.25">
      <c r="B47" s="133">
        <v>44262</v>
      </c>
      <c r="C47" s="128" t="s">
        <v>138</v>
      </c>
      <c r="D47" s="128" t="s">
        <v>2392</v>
      </c>
      <c r="E47" s="128" t="str" cm="1">
        <f t="array" ref="E47">IFERROR(INDEX(SubcategoriesTable[Subcategory name],MATCH(Table1[[#This Row],[Category]],SubcategoriesTable[Category name],0),0),"")</f>
        <v>Variable</v>
      </c>
      <c r="F47" s="134">
        <v>1</v>
      </c>
      <c r="G47" s="167" t="str">
        <f>_xlfn.XLOOKUP(Table1[[#This Row],[Account_ID]], Accounts[ID], Accounts[Account nickname], "Unknown")</f>
        <v>Discover it chrome Card</v>
      </c>
      <c r="H47" s="137" t="str">
        <f>_xlfn.XLOOKUP(Table1[[#This Row],[Account_ID]], Accounts[ID], Accounts[Account'#], "Unknown")</f>
        <v>7328</v>
      </c>
      <c r="I47" s="168" t="str">
        <f>_xlfn.XLOOKUP(Table1[[#This Row],[Institution_ID]], Institutions[ID], Institutions[Institution nickname], "Unknown")</f>
        <v>Discover</v>
      </c>
      <c r="J47" s="139" t="s">
        <v>140</v>
      </c>
      <c r="K47" s="129" t="s">
        <v>110</v>
      </c>
      <c r="L47" s="129" t="s">
        <v>108</v>
      </c>
      <c r="M47" s="130" t="str" cm="1">
        <f t="array" ref="M47">IFERROR(INDEX(CategoriesTable[Category type],MATCH(Table1[[#This Row],[Category]],CategoriesTable[Category name],0),0),"")</f>
        <v>Expense</v>
      </c>
      <c r="N47" s="130" t="str" cm="1">
        <f t="array" ref="N47">IFERROR(INDEX(SubcategoriesTable[Subcategory name],MATCH(Table1[[#This Row],[Category]],SubcategoriesTable[Category name],0),0),"")</f>
        <v>Variable</v>
      </c>
      <c r="O47" s="130">
        <v>7</v>
      </c>
      <c r="P47" s="130">
        <f>MONTH(Table1[[#This Row],[Date]])</f>
        <v>3</v>
      </c>
      <c r="Q47" s="130">
        <v>2021</v>
      </c>
      <c r="R47" s="166">
        <f>IF(ISBLANK(Table1[[#This Row],[Date]]),"",Table1[[#This Row],[Date]]-WEEKDAY(Table1[[#This Row],[Date]],2)+1)</f>
        <v>44256</v>
      </c>
      <c r="S47" s="131">
        <f>IF(ISBLANK(Table1[[#This Row],[Date]]),"",DATE(Table1[[#This Row],[Date_Year]],Table1[[#This Row],[Date_Month]],1))</f>
        <v>44256</v>
      </c>
    </row>
    <row r="48" spans="2:19" ht="15.75" x14ac:dyDescent="0.25">
      <c r="B48" s="133">
        <v>44262</v>
      </c>
      <c r="C48" s="128" t="s">
        <v>115</v>
      </c>
      <c r="D48" s="128" t="s">
        <v>2392</v>
      </c>
      <c r="E48" s="128" t="str" cm="1">
        <f t="array" ref="E48">IFERROR(INDEX(SubcategoriesTable[Subcategory name],MATCH(Table1[[#This Row],[Category]],SubcategoriesTable[Category name],0),0),"")</f>
        <v>Variable</v>
      </c>
      <c r="F48" s="134">
        <v>-90.38</v>
      </c>
      <c r="G48" s="167" t="str">
        <f>_xlfn.XLOOKUP(Table1[[#This Row],[Account_ID]], Accounts[ID], Accounts[Account nickname], "Unknown")</f>
        <v>Discover it chrome Card</v>
      </c>
      <c r="H48" s="137" t="str">
        <f>_xlfn.XLOOKUP(Table1[[#This Row],[Account_ID]], Accounts[ID], Accounts[Account'#], "Unknown")</f>
        <v>7328</v>
      </c>
      <c r="I48" s="168" t="str">
        <f>_xlfn.XLOOKUP(Table1[[#This Row],[Institution_ID]], Institutions[ID], Institutions[Institution nickname], "Unknown")</f>
        <v>Discover</v>
      </c>
      <c r="J48" s="139" t="s">
        <v>141</v>
      </c>
      <c r="K48" s="129" t="s">
        <v>110</v>
      </c>
      <c r="L48" s="129" t="s">
        <v>108</v>
      </c>
      <c r="M48" s="130" t="str" cm="1">
        <f t="array" ref="M48">IFERROR(INDEX(CategoriesTable[Category type],MATCH(Table1[[#This Row],[Category]],CategoriesTable[Category name],0),0),"")</f>
        <v>Expense</v>
      </c>
      <c r="N48" s="130" t="str" cm="1">
        <f t="array" ref="N48">IFERROR(INDEX(SubcategoriesTable[Subcategory name],MATCH(Table1[[#This Row],[Category]],SubcategoriesTable[Category name],0),0),"")</f>
        <v>Variable</v>
      </c>
      <c r="O48" s="130">
        <v>7</v>
      </c>
      <c r="P48" s="130">
        <f>MONTH(Table1[[#This Row],[Date]])</f>
        <v>3</v>
      </c>
      <c r="Q48" s="130">
        <v>2021</v>
      </c>
      <c r="R48" s="166">
        <f>IF(ISBLANK(Table1[[#This Row],[Date]]),"",Table1[[#This Row],[Date]]-WEEKDAY(Table1[[#This Row],[Date]],2)+1)</f>
        <v>44256</v>
      </c>
      <c r="S48" s="131">
        <f>IF(ISBLANK(Table1[[#This Row],[Date]]),"",DATE(Table1[[#This Row],[Date_Year]],Table1[[#This Row],[Date_Month]],1))</f>
        <v>44256</v>
      </c>
    </row>
    <row r="49" spans="2:19" ht="15.75" x14ac:dyDescent="0.25">
      <c r="B49" s="133">
        <v>44261</v>
      </c>
      <c r="C49" s="128" t="s">
        <v>142</v>
      </c>
      <c r="D49" s="128" t="s">
        <v>45</v>
      </c>
      <c r="E49" s="128" t="str" cm="1">
        <f t="array" ref="E49">IFERROR(INDEX(SubcategoriesTable[Subcategory name],MATCH(Table1[[#This Row],[Category]],SubcategoriesTable[Category name],0),0),"")</f>
        <v>Variable</v>
      </c>
      <c r="F49" s="134">
        <v>-70</v>
      </c>
      <c r="G49" s="167" t="str">
        <f>_xlfn.XLOOKUP(Table1[[#This Row],[Account_ID]], Accounts[ID], Accounts[Account nickname], "Unknown")</f>
        <v>Discover it chrome Card</v>
      </c>
      <c r="H49" s="137" t="str">
        <f>_xlfn.XLOOKUP(Table1[[#This Row],[Account_ID]], Accounts[ID], Accounts[Account'#], "Unknown")</f>
        <v>7328</v>
      </c>
      <c r="I49" s="168" t="str">
        <f>_xlfn.XLOOKUP(Table1[[#This Row],[Institution_ID]], Institutions[ID], Institutions[Institution nickname], "Unknown")</f>
        <v>Discover</v>
      </c>
      <c r="J49" s="139" t="s">
        <v>143</v>
      </c>
      <c r="K49" s="129" t="s">
        <v>110</v>
      </c>
      <c r="L49" s="129" t="s">
        <v>108</v>
      </c>
      <c r="M49" s="130" t="str" cm="1">
        <f t="array" ref="M49">IFERROR(INDEX(CategoriesTable[Category type],MATCH(Table1[[#This Row],[Category]],CategoriesTable[Category name],0),0),"")</f>
        <v>Expense</v>
      </c>
      <c r="N49" s="130" t="str" cm="1">
        <f t="array" ref="N49">IFERROR(INDEX(SubcategoriesTable[Subcategory name],MATCH(Table1[[#This Row],[Category]],SubcategoriesTable[Category name],0),0),"")</f>
        <v>Variable</v>
      </c>
      <c r="O49" s="130">
        <v>6</v>
      </c>
      <c r="P49" s="130">
        <f>MONTH(Table1[[#This Row],[Date]])</f>
        <v>3</v>
      </c>
      <c r="Q49" s="130">
        <v>2021</v>
      </c>
      <c r="R49" s="166">
        <f>IF(ISBLANK(Table1[[#This Row],[Date]]),"",Table1[[#This Row],[Date]]-WEEKDAY(Table1[[#This Row],[Date]],2)+1)</f>
        <v>44256</v>
      </c>
      <c r="S49" s="131">
        <f>IF(ISBLANK(Table1[[#This Row],[Date]]),"",DATE(Table1[[#This Row],[Date_Year]],Table1[[#This Row],[Date_Month]],1))</f>
        <v>44256</v>
      </c>
    </row>
    <row r="50" spans="2:19" ht="15.75" x14ac:dyDescent="0.25">
      <c r="B50" s="133">
        <v>44260</v>
      </c>
      <c r="C50" s="128" t="s">
        <v>144</v>
      </c>
      <c r="D50" s="128" t="s">
        <v>2369</v>
      </c>
      <c r="E50" s="128" t="str" cm="1">
        <f t="array" ref="E50">IFERROR(INDEX(SubcategoriesTable[Subcategory name],MATCH(Table1[[#This Row],[Category]],SubcategoriesTable[Category name],0),0),"")</f>
        <v>Variable</v>
      </c>
      <c r="F50" s="134">
        <v>-350</v>
      </c>
      <c r="G50" s="167" t="str">
        <f>_xlfn.XLOOKUP(Table1[[#This Row],[Account_ID]], Accounts[ID], Accounts[Account nickname], "Unknown")</f>
        <v>Discover it chrome Card</v>
      </c>
      <c r="H50" s="137" t="str">
        <f>_xlfn.XLOOKUP(Table1[[#This Row],[Account_ID]], Accounts[ID], Accounts[Account'#], "Unknown")</f>
        <v>7328</v>
      </c>
      <c r="I50" s="168" t="str">
        <f>_xlfn.XLOOKUP(Table1[[#This Row],[Institution_ID]], Institutions[ID], Institutions[Institution nickname], "Unknown")</f>
        <v>Discover</v>
      </c>
      <c r="J50" s="139" t="s">
        <v>145</v>
      </c>
      <c r="K50" s="129" t="s">
        <v>110</v>
      </c>
      <c r="L50" s="129" t="s">
        <v>108</v>
      </c>
      <c r="M50" s="130" t="str" cm="1">
        <f t="array" ref="M50">IFERROR(INDEX(CategoriesTable[Category type],MATCH(Table1[[#This Row],[Category]],CategoriesTable[Category name],0),0),"")</f>
        <v>Expense</v>
      </c>
      <c r="N50" s="130" t="str" cm="1">
        <f t="array" ref="N50">IFERROR(INDEX(SubcategoriesTable[Subcategory name],MATCH(Table1[[#This Row],[Category]],SubcategoriesTable[Category name],0),0),"")</f>
        <v>Variable</v>
      </c>
      <c r="O50" s="130">
        <v>5</v>
      </c>
      <c r="P50" s="130">
        <f>MONTH(Table1[[#This Row],[Date]])</f>
        <v>3</v>
      </c>
      <c r="Q50" s="130">
        <v>2021</v>
      </c>
      <c r="R50" s="166">
        <f>IF(ISBLANK(Table1[[#This Row],[Date]]),"",Table1[[#This Row],[Date]]-WEEKDAY(Table1[[#This Row],[Date]],2)+1)</f>
        <v>44256</v>
      </c>
      <c r="S50" s="131">
        <f>IF(ISBLANK(Table1[[#This Row],[Date]]),"",DATE(Table1[[#This Row],[Date_Year]],Table1[[#This Row],[Date_Month]],1))</f>
        <v>44256</v>
      </c>
    </row>
    <row r="51" spans="2:19" ht="15.75" x14ac:dyDescent="0.25">
      <c r="B51" s="133">
        <v>44259</v>
      </c>
      <c r="C51" s="128" t="s">
        <v>1185</v>
      </c>
      <c r="D51" s="128" t="s">
        <v>57</v>
      </c>
      <c r="E51" s="128" t="str" cm="1">
        <f t="array" ref="E51">IFERROR(INDEX(SubcategoriesTable[Subcategory name],MATCH(Table1[[#This Row],[Category]],SubcategoriesTable[Category name],0),0),"")</f>
        <v>Variable</v>
      </c>
      <c r="F51" s="134">
        <v>138.47</v>
      </c>
      <c r="G51" s="167" t="str">
        <f>_xlfn.XLOOKUP(Table1[[#This Row],[Account_ID]], Accounts[ID], Accounts[Account nickname], "Unknown")</f>
        <v>EVERYDAY CHECKING</v>
      </c>
      <c r="H51" s="137" t="str">
        <f>_xlfn.XLOOKUP(Table1[[#This Row],[Account_ID]], Accounts[ID], Accounts[Account'#], "Unknown")</f>
        <v>4636</v>
      </c>
      <c r="I51" s="168" t="str">
        <f>_xlfn.XLOOKUP(Table1[[#This Row],[Institution_ID]], Institutions[ID], Institutions[Institution nickname], "Unknown")</f>
        <v>Wells Fargo</v>
      </c>
      <c r="J51" s="139" t="s">
        <v>1362</v>
      </c>
      <c r="K51" s="129" t="s">
        <v>1229</v>
      </c>
      <c r="L51" s="129" t="s">
        <v>1228</v>
      </c>
      <c r="M51" s="130" t="str" cm="1">
        <f t="array" ref="M51">IFERROR(INDEX(CategoriesTable[Category type],MATCH(Table1[[#This Row],[Category]],CategoriesTable[Category name],0),0),"")</f>
        <v>Transfer</v>
      </c>
      <c r="N51" s="130" t="str" cm="1">
        <f t="array" ref="N51">IFERROR(INDEX(SubcategoriesTable[Subcategory name],MATCH(Table1[[#This Row],[Category]],SubcategoriesTable[Category name],0),0),"")</f>
        <v>Variable</v>
      </c>
      <c r="O51" s="130">
        <v>4</v>
      </c>
      <c r="P51" s="130">
        <f>MONTH(Table1[[#This Row],[Date]])</f>
        <v>3</v>
      </c>
      <c r="Q51" s="130">
        <v>2021</v>
      </c>
      <c r="R51" s="166">
        <f>IF(ISBLANK(Table1[[#This Row],[Date]]),"",Table1[[#This Row],[Date]]-WEEKDAY(Table1[[#This Row],[Date]],2)+1)</f>
        <v>44256</v>
      </c>
      <c r="S51" s="131">
        <f>IF(ISBLANK(Table1[[#This Row],[Date]]),"",DATE(Table1[[#This Row],[Date_Year]],Table1[[#This Row],[Date_Month]],1))</f>
        <v>44256</v>
      </c>
    </row>
    <row r="52" spans="2:19" ht="15.75" x14ac:dyDescent="0.25">
      <c r="B52" s="133">
        <v>44259</v>
      </c>
      <c r="C52" s="128" t="s">
        <v>146</v>
      </c>
      <c r="D52" s="128" t="s">
        <v>54</v>
      </c>
      <c r="E52" s="128" t="str" cm="1">
        <f t="array" ref="E52">IFERROR(INDEX(SubcategoriesTable[Subcategory name],MATCH(Table1[[#This Row],[Category]],SubcategoriesTable[Category name],0),0),"")</f>
        <v>Fixed</v>
      </c>
      <c r="F52" s="134">
        <v>-91.78</v>
      </c>
      <c r="G52" s="167" t="str">
        <f>_xlfn.XLOOKUP(Table1[[#This Row],[Account_ID]], Accounts[ID], Accounts[Account nickname], "Unknown")</f>
        <v>Discover it chrome Card</v>
      </c>
      <c r="H52" s="137" t="str">
        <f>_xlfn.XLOOKUP(Table1[[#This Row],[Account_ID]], Accounts[ID], Accounts[Account'#], "Unknown")</f>
        <v>7328</v>
      </c>
      <c r="I52" s="168" t="str">
        <f>_xlfn.XLOOKUP(Table1[[#This Row],[Institution_ID]], Institutions[ID], Institutions[Institution nickname], "Unknown")</f>
        <v>Discover</v>
      </c>
      <c r="J52" s="139" t="s">
        <v>147</v>
      </c>
      <c r="K52" s="129" t="s">
        <v>110</v>
      </c>
      <c r="L52" s="129" t="s">
        <v>108</v>
      </c>
      <c r="M52" s="130" t="str" cm="1">
        <f t="array" ref="M52">IFERROR(INDEX(CategoriesTable[Category type],MATCH(Table1[[#This Row],[Category]],CategoriesTable[Category name],0),0),"")</f>
        <v>Expense</v>
      </c>
      <c r="N52" s="130" t="str" cm="1">
        <f t="array" ref="N52">IFERROR(INDEX(SubcategoriesTable[Subcategory name],MATCH(Table1[[#This Row],[Category]],SubcategoriesTable[Category name],0),0),"")</f>
        <v>Fixed</v>
      </c>
      <c r="O52" s="130">
        <v>4</v>
      </c>
      <c r="P52" s="130">
        <f>MONTH(Table1[[#This Row],[Date]])</f>
        <v>3</v>
      </c>
      <c r="Q52" s="130">
        <v>2021</v>
      </c>
      <c r="R52" s="166">
        <f>IF(ISBLANK(Table1[[#This Row],[Date]]),"",Table1[[#This Row],[Date]]-WEEKDAY(Table1[[#This Row],[Date]],2)+1)</f>
        <v>44256</v>
      </c>
      <c r="S52" s="131">
        <f>IF(ISBLANK(Table1[[#This Row],[Date]]),"",DATE(Table1[[#This Row],[Date_Year]],Table1[[#This Row],[Date_Month]],1))</f>
        <v>44256</v>
      </c>
    </row>
    <row r="53" spans="2:19" ht="15.75" x14ac:dyDescent="0.25">
      <c r="B53" s="133">
        <v>44257</v>
      </c>
      <c r="C53" s="128" t="s">
        <v>1183</v>
      </c>
      <c r="D53" s="128" t="s">
        <v>1204</v>
      </c>
      <c r="E53" s="128" t="str" cm="1">
        <f t="array" ref="E53">IFERROR(INDEX(SubcategoriesTable[Subcategory name],MATCH(Table1[[#This Row],[Category]],SubcategoriesTable[Category name],0),0),"")</f>
        <v>Variable</v>
      </c>
      <c r="F53" s="134">
        <v>-500</v>
      </c>
      <c r="G53" s="167" t="str">
        <f>_xlfn.XLOOKUP(Table1[[#This Row],[Account_ID]], Accounts[ID], Accounts[Account nickname], "Unknown")</f>
        <v>EVERYDAY CHECKING</v>
      </c>
      <c r="H53" s="137" t="str">
        <f>_xlfn.XLOOKUP(Table1[[#This Row],[Account_ID]], Accounts[ID], Accounts[Account'#], "Unknown")</f>
        <v>4636</v>
      </c>
      <c r="I53" s="168" t="str">
        <f>_xlfn.XLOOKUP(Table1[[#This Row],[Institution_ID]], Institutions[ID], Institutions[Institution nickname], "Unknown")</f>
        <v>Wells Fargo</v>
      </c>
      <c r="J53" s="139" t="s">
        <v>1363</v>
      </c>
      <c r="K53" s="129" t="s">
        <v>1229</v>
      </c>
      <c r="L53" s="129" t="s">
        <v>1228</v>
      </c>
      <c r="M53" s="130" t="str" cm="1">
        <f t="array" ref="M53">IFERROR(INDEX(CategoriesTable[Category type],MATCH(Table1[[#This Row],[Category]],CategoriesTable[Category name],0),0),"")</f>
        <v>Savings</v>
      </c>
      <c r="N53" s="130" t="str" cm="1">
        <f t="array" ref="N53">IFERROR(INDEX(SubcategoriesTable[Subcategory name],MATCH(Table1[[#This Row],[Category]],SubcategoriesTable[Category name],0),0),"")</f>
        <v>Variable</v>
      </c>
      <c r="O53" s="130">
        <v>2</v>
      </c>
      <c r="P53" s="130">
        <f>MONTH(Table1[[#This Row],[Date]])</f>
        <v>3</v>
      </c>
      <c r="Q53" s="130">
        <v>2021</v>
      </c>
      <c r="R53" s="166">
        <f>IF(ISBLANK(Table1[[#This Row],[Date]]),"",Table1[[#This Row],[Date]]-WEEKDAY(Table1[[#This Row],[Date]],2)+1)</f>
        <v>44256</v>
      </c>
      <c r="S53" s="131">
        <f>IF(ISBLANK(Table1[[#This Row],[Date]]),"",DATE(Table1[[#This Row],[Date_Year]],Table1[[#This Row],[Date_Month]],1))</f>
        <v>44256</v>
      </c>
    </row>
    <row r="54" spans="2:19" ht="15.75" x14ac:dyDescent="0.25">
      <c r="B54" s="133">
        <v>44257</v>
      </c>
      <c r="C54" s="128" t="s">
        <v>1183</v>
      </c>
      <c r="D54" s="128" t="s">
        <v>1204</v>
      </c>
      <c r="E54" s="128" t="str" cm="1">
        <f t="array" ref="E54">IFERROR(INDEX(SubcategoriesTable[Subcategory name],MATCH(Table1[[#This Row],[Category]],SubcategoriesTable[Category name],0),0),"")</f>
        <v>Variable</v>
      </c>
      <c r="F54" s="134">
        <v>-1000</v>
      </c>
      <c r="G54" s="167" t="str">
        <f>_xlfn.XLOOKUP(Table1[[#This Row],[Account_ID]], Accounts[ID], Accounts[Account nickname], "Unknown")</f>
        <v>EVERYDAY CHECKING</v>
      </c>
      <c r="H54" s="137" t="str">
        <f>_xlfn.XLOOKUP(Table1[[#This Row],[Account_ID]], Accounts[ID], Accounts[Account'#], "Unknown")</f>
        <v>4636</v>
      </c>
      <c r="I54" s="168" t="str">
        <f>_xlfn.XLOOKUP(Table1[[#This Row],[Institution_ID]], Institutions[ID], Institutions[Institution nickname], "Unknown")</f>
        <v>Wells Fargo</v>
      </c>
      <c r="J54" s="139" t="s">
        <v>1364</v>
      </c>
      <c r="K54" s="129" t="s">
        <v>1229</v>
      </c>
      <c r="L54" s="129" t="s">
        <v>1228</v>
      </c>
      <c r="M54" s="130" t="str" cm="1">
        <f t="array" ref="M54">IFERROR(INDEX(CategoriesTable[Category type],MATCH(Table1[[#This Row],[Category]],CategoriesTable[Category name],0),0),"")</f>
        <v>Savings</v>
      </c>
      <c r="N54" s="130" t="str" cm="1">
        <f t="array" ref="N54">IFERROR(INDEX(SubcategoriesTable[Subcategory name],MATCH(Table1[[#This Row],[Category]],SubcategoriesTable[Category name],0),0),"")</f>
        <v>Variable</v>
      </c>
      <c r="O54" s="130">
        <v>2</v>
      </c>
      <c r="P54" s="130">
        <f>MONTH(Table1[[#This Row],[Date]])</f>
        <v>3</v>
      </c>
      <c r="Q54" s="130">
        <v>2021</v>
      </c>
      <c r="R54" s="166">
        <f>IF(ISBLANK(Table1[[#This Row],[Date]]),"",Table1[[#This Row],[Date]]-WEEKDAY(Table1[[#This Row],[Date]],2)+1)</f>
        <v>44256</v>
      </c>
      <c r="S54" s="131">
        <f>IF(ISBLANK(Table1[[#This Row],[Date]]),"",DATE(Table1[[#This Row],[Date_Year]],Table1[[#This Row],[Date_Month]],1))</f>
        <v>44256</v>
      </c>
    </row>
    <row r="55" spans="2:19" ht="15.75" x14ac:dyDescent="0.25">
      <c r="B55" s="133">
        <v>44257</v>
      </c>
      <c r="C55" s="128" t="s">
        <v>148</v>
      </c>
      <c r="D55" s="128" t="s">
        <v>54</v>
      </c>
      <c r="E55" s="128" t="str" cm="1">
        <f t="array" ref="E55">IFERROR(INDEX(SubcategoriesTable[Subcategory name],MATCH(Table1[[#This Row],[Category]],SubcategoriesTable[Category name],0),0),"")</f>
        <v>Fixed</v>
      </c>
      <c r="F55" s="134">
        <v>-9.99</v>
      </c>
      <c r="G55" s="167" t="str">
        <f>_xlfn.XLOOKUP(Table1[[#This Row],[Account_ID]], Accounts[ID], Accounts[Account nickname], "Unknown")</f>
        <v>Discover it chrome Card</v>
      </c>
      <c r="H55" s="137" t="str">
        <f>_xlfn.XLOOKUP(Table1[[#This Row],[Account_ID]], Accounts[ID], Accounts[Account'#], "Unknown")</f>
        <v>7328</v>
      </c>
      <c r="I55" s="168" t="str">
        <f>_xlfn.XLOOKUP(Table1[[#This Row],[Institution_ID]], Institutions[ID], Institutions[Institution nickname], "Unknown")</f>
        <v>Discover</v>
      </c>
      <c r="J55" s="139" t="s">
        <v>149</v>
      </c>
      <c r="K55" s="129" t="s">
        <v>110</v>
      </c>
      <c r="L55" s="129" t="s">
        <v>108</v>
      </c>
      <c r="M55" s="130" t="str" cm="1">
        <f t="array" ref="M55">IFERROR(INDEX(CategoriesTable[Category type],MATCH(Table1[[#This Row],[Category]],CategoriesTable[Category name],0),0),"")</f>
        <v>Expense</v>
      </c>
      <c r="N55" s="130" t="str" cm="1">
        <f t="array" ref="N55">IFERROR(INDEX(SubcategoriesTable[Subcategory name],MATCH(Table1[[#This Row],[Category]],SubcategoriesTable[Category name],0),0),"")</f>
        <v>Fixed</v>
      </c>
      <c r="O55" s="130">
        <v>2</v>
      </c>
      <c r="P55" s="130">
        <f>MONTH(Table1[[#This Row],[Date]])</f>
        <v>3</v>
      </c>
      <c r="Q55" s="130">
        <v>2021</v>
      </c>
      <c r="R55" s="166">
        <f>IF(ISBLANK(Table1[[#This Row],[Date]]),"",Table1[[#This Row],[Date]]-WEEKDAY(Table1[[#This Row],[Date]],2)+1)</f>
        <v>44256</v>
      </c>
      <c r="S55" s="131">
        <f>IF(ISBLANK(Table1[[#This Row],[Date]]),"",DATE(Table1[[#This Row],[Date_Year]],Table1[[#This Row],[Date_Month]],1))</f>
        <v>44256</v>
      </c>
    </row>
    <row r="56" spans="2:19" ht="15.75" x14ac:dyDescent="0.25">
      <c r="B56" s="133">
        <v>44256</v>
      </c>
      <c r="C56" s="128" t="s">
        <v>50</v>
      </c>
      <c r="D56" s="128" t="s">
        <v>1204</v>
      </c>
      <c r="E56" s="128"/>
      <c r="F56" s="134">
        <v>1000</v>
      </c>
      <c r="G56" s="167" t="str">
        <f>_xlfn.XLOOKUP(Table1[[#This Row],[Account_ID]], Accounts[ID], Accounts[Account nickname], "Unknown")</f>
        <v>Checking - 4480</v>
      </c>
      <c r="H56" s="137" t="str">
        <f>_xlfn.XLOOKUP(Table1[[#This Row],[Account_ID]], Accounts[ID], Accounts[Account'#], "Unknown")</f>
        <v>4480</v>
      </c>
      <c r="I56" s="168" t="str">
        <f>_xlfn.XLOOKUP(Table1[[#This Row],[Institution_ID]], Institutions[ID], Institutions[Institution nickname], "Unknown")</f>
        <v>Robinhood</v>
      </c>
      <c r="J56" s="139" t="s">
        <v>1213</v>
      </c>
      <c r="K56" s="129" t="s">
        <v>1208</v>
      </c>
      <c r="L56" s="173" t="s">
        <v>1207</v>
      </c>
      <c r="M56" s="130" t="str" cm="1">
        <f t="array" ref="M56">IFERROR(INDEX(CategoriesTable[Category type],MATCH(Table1[[#This Row],[Category]],CategoriesTable[Category name],0),0),"")</f>
        <v>Savings</v>
      </c>
      <c r="N56" s="130" t="str" cm="1">
        <f t="array" ref="N56">IFERROR(INDEX(SubcategoriesTable[Subcategory name],MATCH(Table1[[#This Row],[Category]],SubcategoriesTable[Category name],0),0),"")</f>
        <v>Variable</v>
      </c>
      <c r="O56" s="130">
        <v>1</v>
      </c>
      <c r="P56" s="130">
        <f>MONTH(Table1[[#This Row],[Date]])</f>
        <v>3</v>
      </c>
      <c r="Q56" s="130">
        <v>2021</v>
      </c>
      <c r="R56" s="166">
        <f>IF(ISBLANK(Table1[[#This Row],[Date]]),"",Table1[[#This Row],[Date]]-WEEKDAY(Table1[[#This Row],[Date]],2)+1)</f>
        <v>44256</v>
      </c>
      <c r="S56" s="131">
        <f>IF(ISBLANK(Table1[[#This Row],[Date]]),"",DATE(Table1[[#This Row],[Date_Year]],Table1[[#This Row],[Date_Month]],1))</f>
        <v>44256</v>
      </c>
    </row>
    <row r="57" spans="2:19" ht="15.75" x14ac:dyDescent="0.25">
      <c r="B57" s="133">
        <v>44256</v>
      </c>
      <c r="C57" s="128" t="s">
        <v>50</v>
      </c>
      <c r="D57" s="128" t="s">
        <v>1204</v>
      </c>
      <c r="E57" s="128"/>
      <c r="F57" s="134">
        <v>500</v>
      </c>
      <c r="G57" s="167" t="str">
        <f>_xlfn.XLOOKUP(Table1[[#This Row],[Account_ID]], Accounts[ID], Accounts[Account nickname], "Unknown")</f>
        <v>Checking - 4480</v>
      </c>
      <c r="H57" s="137" t="str">
        <f>_xlfn.XLOOKUP(Table1[[#This Row],[Account_ID]], Accounts[ID], Accounts[Account'#], "Unknown")</f>
        <v>4480</v>
      </c>
      <c r="I57" s="168" t="str">
        <f>_xlfn.XLOOKUP(Table1[[#This Row],[Institution_ID]], Institutions[ID], Institutions[Institution nickname], "Unknown")</f>
        <v>Robinhood</v>
      </c>
      <c r="J57" s="139" t="s">
        <v>1214</v>
      </c>
      <c r="K57" s="129" t="s">
        <v>1208</v>
      </c>
      <c r="L57" s="173" t="s">
        <v>1207</v>
      </c>
      <c r="M57" s="130" t="str" cm="1">
        <f t="array" ref="M57">IFERROR(INDEX(CategoriesTable[Category type],MATCH(Table1[[#This Row],[Category]],CategoriesTable[Category name],0),0),"")</f>
        <v>Savings</v>
      </c>
      <c r="N57" s="130" t="str" cm="1">
        <f t="array" ref="N57">IFERROR(INDEX(SubcategoriesTable[Subcategory name],MATCH(Table1[[#This Row],[Category]],SubcategoriesTable[Category name],0),0),"")</f>
        <v>Variable</v>
      </c>
      <c r="O57" s="130">
        <v>1</v>
      </c>
      <c r="P57" s="130">
        <f>MONTH(Table1[[#This Row],[Date]])</f>
        <v>3</v>
      </c>
      <c r="Q57" s="130">
        <v>2021</v>
      </c>
      <c r="R57" s="166">
        <f>IF(ISBLANK(Table1[[#This Row],[Date]]),"",Table1[[#This Row],[Date]]-WEEKDAY(Table1[[#This Row],[Date]],2)+1)</f>
        <v>44256</v>
      </c>
      <c r="S57" s="131">
        <f>IF(ISBLANK(Table1[[#This Row],[Date]]),"",DATE(Table1[[#This Row],[Date_Year]],Table1[[#This Row],[Date_Month]],1))</f>
        <v>44256</v>
      </c>
    </row>
    <row r="58" spans="2:19" ht="15.75" x14ac:dyDescent="0.25">
      <c r="B58" s="133">
        <v>44256</v>
      </c>
      <c r="C58" s="128" t="s">
        <v>1183</v>
      </c>
      <c r="D58" s="128" t="s">
        <v>1204</v>
      </c>
      <c r="E58" s="128" t="str" cm="1">
        <f t="array" ref="E58">IFERROR(INDEX(SubcategoriesTable[Subcategory name],MATCH(Table1[[#This Row],[Category]],SubcategoriesTable[Category name],0),0),"")</f>
        <v>Variable</v>
      </c>
      <c r="F58" s="134">
        <v>-200</v>
      </c>
      <c r="G58" s="167" t="str">
        <f>_xlfn.XLOOKUP(Table1[[#This Row],[Account_ID]], Accounts[ID], Accounts[Account nickname], "Unknown")</f>
        <v>EVERYDAY CHECKING</v>
      </c>
      <c r="H58" s="137" t="str">
        <f>_xlfn.XLOOKUP(Table1[[#This Row],[Account_ID]], Accounts[ID], Accounts[Account'#], "Unknown")</f>
        <v>4636</v>
      </c>
      <c r="I58" s="168" t="str">
        <f>_xlfn.XLOOKUP(Table1[[#This Row],[Institution_ID]], Institutions[ID], Institutions[Institution nickname], "Unknown")</f>
        <v>Wells Fargo</v>
      </c>
      <c r="J58" s="139" t="s">
        <v>1365</v>
      </c>
      <c r="K58" s="129" t="s">
        <v>1229</v>
      </c>
      <c r="L58" s="129" t="s">
        <v>1228</v>
      </c>
      <c r="M58" s="130" t="str" cm="1">
        <f t="array" ref="M58">IFERROR(INDEX(CategoriesTable[Category type],MATCH(Table1[[#This Row],[Category]],CategoriesTable[Category name],0),0),"")</f>
        <v>Savings</v>
      </c>
      <c r="N58" s="130" t="str" cm="1">
        <f t="array" ref="N58">IFERROR(INDEX(SubcategoriesTable[Subcategory name],MATCH(Table1[[#This Row],[Category]],SubcategoriesTable[Category name],0),0),"")</f>
        <v>Variable</v>
      </c>
      <c r="O58" s="130">
        <v>1</v>
      </c>
      <c r="P58" s="130">
        <f>MONTH(Table1[[#This Row],[Date]])</f>
        <v>3</v>
      </c>
      <c r="Q58" s="130">
        <v>2021</v>
      </c>
      <c r="R58" s="166">
        <f>IF(ISBLANK(Table1[[#This Row],[Date]]),"",Table1[[#This Row],[Date]]-WEEKDAY(Table1[[#This Row],[Date]],2)+1)</f>
        <v>44256</v>
      </c>
      <c r="S58" s="131">
        <f>IF(ISBLANK(Table1[[#This Row],[Date]]),"",DATE(Table1[[#This Row],[Date_Year]],Table1[[#This Row],[Date_Month]],1))</f>
        <v>44256</v>
      </c>
    </row>
    <row r="59" spans="2:19" ht="15.75" x14ac:dyDescent="0.25">
      <c r="B59" s="133">
        <v>44256</v>
      </c>
      <c r="C59" s="128" t="s">
        <v>1183</v>
      </c>
      <c r="D59" s="128" t="s">
        <v>1204</v>
      </c>
      <c r="E59" s="128" t="str" cm="1">
        <f t="array" ref="E59">IFERROR(INDEX(SubcategoriesTable[Subcategory name],MATCH(Table1[[#This Row],[Category]],SubcategoriesTable[Category name],0),0),"")</f>
        <v>Variable</v>
      </c>
      <c r="F59" s="134">
        <v>-200</v>
      </c>
      <c r="G59" s="167" t="str">
        <f>_xlfn.XLOOKUP(Table1[[#This Row],[Account_ID]], Accounts[ID], Accounts[Account nickname], "Unknown")</f>
        <v>EVERYDAY CHECKING</v>
      </c>
      <c r="H59" s="137" t="str">
        <f>_xlfn.XLOOKUP(Table1[[#This Row],[Account_ID]], Accounts[ID], Accounts[Account'#], "Unknown")</f>
        <v>4636</v>
      </c>
      <c r="I59" s="168" t="str">
        <f>_xlfn.XLOOKUP(Table1[[#This Row],[Institution_ID]], Institutions[ID], Institutions[Institution nickname], "Unknown")</f>
        <v>Wells Fargo</v>
      </c>
      <c r="J59" s="139" t="s">
        <v>1366</v>
      </c>
      <c r="K59" s="129" t="s">
        <v>1229</v>
      </c>
      <c r="L59" s="129" t="s">
        <v>1228</v>
      </c>
      <c r="M59" s="130" t="str" cm="1">
        <f t="array" ref="M59">IFERROR(INDEX(CategoriesTable[Category type],MATCH(Table1[[#This Row],[Category]],CategoriesTable[Category name],0),0),"")</f>
        <v>Savings</v>
      </c>
      <c r="N59" s="130" t="str" cm="1">
        <f t="array" ref="N59">IFERROR(INDEX(SubcategoriesTable[Subcategory name],MATCH(Table1[[#This Row],[Category]],SubcategoriesTable[Category name],0),0),"")</f>
        <v>Variable</v>
      </c>
      <c r="O59" s="130">
        <v>1</v>
      </c>
      <c r="P59" s="130">
        <f>MONTH(Table1[[#This Row],[Date]])</f>
        <v>3</v>
      </c>
      <c r="Q59" s="130">
        <v>2021</v>
      </c>
      <c r="R59" s="166">
        <f>IF(ISBLANK(Table1[[#This Row],[Date]]),"",Table1[[#This Row],[Date]]-WEEKDAY(Table1[[#This Row],[Date]],2)+1)</f>
        <v>44256</v>
      </c>
      <c r="S59" s="131">
        <f>IF(ISBLANK(Table1[[#This Row],[Date]]),"",DATE(Table1[[#This Row],[Date_Year]],Table1[[#This Row],[Date_Month]],1))</f>
        <v>44256</v>
      </c>
    </row>
    <row r="60" spans="2:19" ht="15.75" x14ac:dyDescent="0.25">
      <c r="B60" s="133">
        <v>44256</v>
      </c>
      <c r="C60" s="128" t="s">
        <v>150</v>
      </c>
      <c r="D60" s="128" t="s">
        <v>54</v>
      </c>
      <c r="E60" s="128" t="str" cm="1">
        <f t="array" ref="E60">IFERROR(INDEX(SubcategoriesTable[Subcategory name],MATCH(Table1[[#This Row],[Category]],SubcategoriesTable[Category name],0),0),"")</f>
        <v>Fixed</v>
      </c>
      <c r="F60" s="134">
        <v>-69.989999999999995</v>
      </c>
      <c r="G60" s="167" t="str">
        <f>_xlfn.XLOOKUP(Table1[[#This Row],[Account_ID]], Accounts[ID], Accounts[Account nickname], "Unknown")</f>
        <v>Discover it chrome Card</v>
      </c>
      <c r="H60" s="137" t="str">
        <f>_xlfn.XLOOKUP(Table1[[#This Row],[Account_ID]], Accounts[ID], Accounts[Account'#], "Unknown")</f>
        <v>7328</v>
      </c>
      <c r="I60" s="168" t="str">
        <f>_xlfn.XLOOKUP(Table1[[#This Row],[Institution_ID]], Institutions[ID], Institutions[Institution nickname], "Unknown")</f>
        <v>Discover</v>
      </c>
      <c r="J60" s="139" t="s">
        <v>151</v>
      </c>
      <c r="K60" s="129" t="s">
        <v>110</v>
      </c>
      <c r="L60" s="129" t="s">
        <v>108</v>
      </c>
      <c r="M60" s="130" t="str" cm="1">
        <f t="array" ref="M60">IFERROR(INDEX(CategoriesTable[Category type],MATCH(Table1[[#This Row],[Category]],CategoriesTable[Category name],0),0),"")</f>
        <v>Expense</v>
      </c>
      <c r="N60" s="130" t="str" cm="1">
        <f t="array" ref="N60">IFERROR(INDEX(SubcategoriesTable[Subcategory name],MATCH(Table1[[#This Row],[Category]],SubcategoriesTable[Category name],0),0),"")</f>
        <v>Fixed</v>
      </c>
      <c r="O60" s="130">
        <v>1</v>
      </c>
      <c r="P60" s="130">
        <f>MONTH(Table1[[#This Row],[Date]])</f>
        <v>3</v>
      </c>
      <c r="Q60" s="130">
        <v>2021</v>
      </c>
      <c r="R60" s="166">
        <f>IF(ISBLANK(Table1[[#This Row],[Date]]),"",Table1[[#This Row],[Date]]-WEEKDAY(Table1[[#This Row],[Date]],2)+1)</f>
        <v>44256</v>
      </c>
      <c r="S60" s="131">
        <f>IF(ISBLANK(Table1[[#This Row],[Date]]),"",DATE(Table1[[#This Row],[Date_Year]],Table1[[#This Row],[Date_Month]],1))</f>
        <v>44256</v>
      </c>
    </row>
    <row r="61" spans="2:19" ht="15.75" x14ac:dyDescent="0.25">
      <c r="B61" s="133">
        <v>44256</v>
      </c>
      <c r="C61" s="128" t="s">
        <v>152</v>
      </c>
      <c r="D61" s="128" t="s">
        <v>54</v>
      </c>
      <c r="E61" s="128" t="str" cm="1">
        <f t="array" ref="E61">IFERROR(INDEX(SubcategoriesTable[Subcategory name],MATCH(Table1[[#This Row],[Category]],SubcategoriesTable[Category name],0),0),"")</f>
        <v>Fixed</v>
      </c>
      <c r="F61" s="134">
        <v>-13.99</v>
      </c>
      <c r="G61" s="167" t="str">
        <f>_xlfn.XLOOKUP(Table1[[#This Row],[Account_ID]], Accounts[ID], Accounts[Account nickname], "Unknown")</f>
        <v>Discover it chrome Card</v>
      </c>
      <c r="H61" s="137" t="str">
        <f>_xlfn.XLOOKUP(Table1[[#This Row],[Account_ID]], Accounts[ID], Accounts[Account'#], "Unknown")</f>
        <v>7328</v>
      </c>
      <c r="I61" s="168" t="str">
        <f>_xlfn.XLOOKUP(Table1[[#This Row],[Institution_ID]], Institutions[ID], Institutions[Institution nickname], "Unknown")</f>
        <v>Discover</v>
      </c>
      <c r="J61" s="139" t="s">
        <v>153</v>
      </c>
      <c r="K61" s="129" t="s">
        <v>110</v>
      </c>
      <c r="L61" s="129" t="s">
        <v>108</v>
      </c>
      <c r="M61" s="130" t="str" cm="1">
        <f t="array" ref="M61">IFERROR(INDEX(CategoriesTable[Category type],MATCH(Table1[[#This Row],[Category]],CategoriesTable[Category name],0),0),"")</f>
        <v>Expense</v>
      </c>
      <c r="N61" s="130" t="str" cm="1">
        <f t="array" ref="N61">IFERROR(INDEX(SubcategoriesTable[Subcategory name],MATCH(Table1[[#This Row],[Category]],SubcategoriesTable[Category name],0),0),"")</f>
        <v>Fixed</v>
      </c>
      <c r="O61" s="130">
        <v>1</v>
      </c>
      <c r="P61" s="130">
        <f>MONTH(Table1[[#This Row],[Date]])</f>
        <v>3</v>
      </c>
      <c r="Q61" s="130">
        <v>2021</v>
      </c>
      <c r="R61" s="166">
        <f>IF(ISBLANK(Table1[[#This Row],[Date]]),"",Table1[[#This Row],[Date]]-WEEKDAY(Table1[[#This Row],[Date]],2)+1)</f>
        <v>44256</v>
      </c>
      <c r="S61" s="131">
        <f>IF(ISBLANK(Table1[[#This Row],[Date]]),"",DATE(Table1[[#This Row],[Date_Year]],Table1[[#This Row],[Date_Month]],1))</f>
        <v>44256</v>
      </c>
    </row>
    <row r="62" spans="2:19" ht="15.75" x14ac:dyDescent="0.25">
      <c r="B62" s="133">
        <v>44255</v>
      </c>
      <c r="C62" s="128" t="s">
        <v>154</v>
      </c>
      <c r="D62" s="128" t="s">
        <v>51</v>
      </c>
      <c r="E62" s="128" t="str" cm="1">
        <f t="array" ref="E62">IFERROR(INDEX(SubcategoriesTable[Subcategory name],MATCH(Table1[[#This Row],[Category]],SubcategoriesTable[Category name],0),0),"")</f>
        <v>Variable</v>
      </c>
      <c r="F62" s="134">
        <v>-9.9499999999999993</v>
      </c>
      <c r="G62" s="167" t="str">
        <f>_xlfn.XLOOKUP(Table1[[#This Row],[Account_ID]], Accounts[ID], Accounts[Account nickname], "Unknown")</f>
        <v>Discover it chrome Card</v>
      </c>
      <c r="H62" s="137" t="str">
        <f>_xlfn.XLOOKUP(Table1[[#This Row],[Account_ID]], Accounts[ID], Accounts[Account'#], "Unknown")</f>
        <v>7328</v>
      </c>
      <c r="I62" s="168" t="str">
        <f>_xlfn.XLOOKUP(Table1[[#This Row],[Institution_ID]], Institutions[ID], Institutions[Institution nickname], "Unknown")</f>
        <v>Discover</v>
      </c>
      <c r="J62" s="139" t="s">
        <v>155</v>
      </c>
      <c r="K62" s="129" t="s">
        <v>110</v>
      </c>
      <c r="L62" s="129" t="s">
        <v>108</v>
      </c>
      <c r="M62" s="130" t="str" cm="1">
        <f t="array" ref="M62">IFERROR(INDEX(CategoriesTable[Category type],MATCH(Table1[[#This Row],[Category]],CategoriesTable[Category name],0),0),"")</f>
        <v>Expense</v>
      </c>
      <c r="N62" s="130" t="str" cm="1">
        <f t="array" ref="N62">IFERROR(INDEX(SubcategoriesTable[Subcategory name],MATCH(Table1[[#This Row],[Category]],SubcategoriesTable[Category name],0),0),"")</f>
        <v>Variable</v>
      </c>
      <c r="O62" s="130">
        <v>28</v>
      </c>
      <c r="P62" s="130">
        <f>MONTH(Table1[[#This Row],[Date]])</f>
        <v>2</v>
      </c>
      <c r="Q62" s="130">
        <v>2021</v>
      </c>
      <c r="R62" s="166">
        <f>IF(ISBLANK(Table1[[#This Row],[Date]]),"",Table1[[#This Row],[Date]]-WEEKDAY(Table1[[#This Row],[Date]],2)+1)</f>
        <v>44249</v>
      </c>
      <c r="S62" s="131">
        <f>IF(ISBLANK(Table1[[#This Row],[Date]]),"",DATE(Table1[[#This Row],[Date_Year]],Table1[[#This Row],[Date_Month]],1))</f>
        <v>44228</v>
      </c>
    </row>
    <row r="63" spans="2:19" ht="15.75" x14ac:dyDescent="0.25">
      <c r="B63" s="133">
        <v>44255</v>
      </c>
      <c r="C63" s="128" t="s">
        <v>156</v>
      </c>
      <c r="D63" s="128" t="s">
        <v>52</v>
      </c>
      <c r="E63" s="128" t="str" cm="1">
        <f t="array" ref="E63">IFERROR(INDEX(SubcategoriesTable[Subcategory name],MATCH(Table1[[#This Row],[Category]],SubcategoriesTable[Category name],0),0),"")</f>
        <v>Variable</v>
      </c>
      <c r="F63" s="134">
        <v>-25.88</v>
      </c>
      <c r="G63" s="167" t="str">
        <f>_xlfn.XLOOKUP(Table1[[#This Row],[Account_ID]], Accounts[ID], Accounts[Account nickname], "Unknown")</f>
        <v>Discover it chrome Card</v>
      </c>
      <c r="H63" s="137" t="str">
        <f>_xlfn.XLOOKUP(Table1[[#This Row],[Account_ID]], Accounts[ID], Accounts[Account'#], "Unknown")</f>
        <v>7328</v>
      </c>
      <c r="I63" s="168" t="str">
        <f>_xlfn.XLOOKUP(Table1[[#This Row],[Institution_ID]], Institutions[ID], Institutions[Institution nickname], "Unknown")</f>
        <v>Discover</v>
      </c>
      <c r="J63" s="139" t="s">
        <v>157</v>
      </c>
      <c r="K63" s="129" t="s">
        <v>110</v>
      </c>
      <c r="L63" s="129" t="s">
        <v>108</v>
      </c>
      <c r="M63" s="130" t="str" cm="1">
        <f t="array" ref="M63">IFERROR(INDEX(CategoriesTable[Category type],MATCH(Table1[[#This Row],[Category]],CategoriesTable[Category name],0),0),"")</f>
        <v>Expense</v>
      </c>
      <c r="N63" s="130" t="str" cm="1">
        <f t="array" ref="N63">IFERROR(INDEX(SubcategoriesTable[Subcategory name],MATCH(Table1[[#This Row],[Category]],SubcategoriesTable[Category name],0),0),"")</f>
        <v>Variable</v>
      </c>
      <c r="O63" s="130">
        <v>28</v>
      </c>
      <c r="P63" s="130">
        <f>MONTH(Table1[[#This Row],[Date]])</f>
        <v>2</v>
      </c>
      <c r="Q63" s="130">
        <v>2021</v>
      </c>
      <c r="R63" s="166">
        <f>IF(ISBLANK(Table1[[#This Row],[Date]]),"",Table1[[#This Row],[Date]]-WEEKDAY(Table1[[#This Row],[Date]],2)+1)</f>
        <v>44249</v>
      </c>
      <c r="S63" s="131">
        <f>IF(ISBLANK(Table1[[#This Row],[Date]]),"",DATE(Table1[[#This Row],[Date_Year]],Table1[[#This Row],[Date_Month]],1))</f>
        <v>44228</v>
      </c>
    </row>
    <row r="64" spans="2:19" ht="15.75" x14ac:dyDescent="0.25">
      <c r="B64" s="133">
        <v>44255</v>
      </c>
      <c r="C64" s="128" t="s">
        <v>158</v>
      </c>
      <c r="D64" s="128" t="s">
        <v>48</v>
      </c>
      <c r="E64" s="128" t="str" cm="1">
        <f t="array" ref="E64">IFERROR(INDEX(SubcategoriesTable[Subcategory name],MATCH(Table1[[#This Row],[Category]],SubcategoriesTable[Category name],0),0),"")</f>
        <v>Variable</v>
      </c>
      <c r="F64" s="134">
        <v>-78.69</v>
      </c>
      <c r="G64" s="167" t="str">
        <f>_xlfn.XLOOKUP(Table1[[#This Row],[Account_ID]], Accounts[ID], Accounts[Account nickname], "Unknown")</f>
        <v>Discover it chrome Card</v>
      </c>
      <c r="H64" s="137" t="str">
        <f>_xlfn.XLOOKUP(Table1[[#This Row],[Account_ID]], Accounts[ID], Accounts[Account'#], "Unknown")</f>
        <v>7328</v>
      </c>
      <c r="I64" s="168" t="str">
        <f>_xlfn.XLOOKUP(Table1[[#This Row],[Institution_ID]], Institutions[ID], Institutions[Institution nickname], "Unknown")</f>
        <v>Discover</v>
      </c>
      <c r="J64" s="139" t="s">
        <v>159</v>
      </c>
      <c r="K64" s="129" t="s">
        <v>110</v>
      </c>
      <c r="L64" s="129" t="s">
        <v>108</v>
      </c>
      <c r="M64" s="130" t="str" cm="1">
        <f t="array" ref="M64">IFERROR(INDEX(CategoriesTable[Category type],MATCH(Table1[[#This Row],[Category]],CategoriesTable[Category name],0),0),"")</f>
        <v>Expense</v>
      </c>
      <c r="N64" s="130" t="str" cm="1">
        <f t="array" ref="N64">IFERROR(INDEX(SubcategoriesTable[Subcategory name],MATCH(Table1[[#This Row],[Category]],SubcategoriesTable[Category name],0),0),"")</f>
        <v>Variable</v>
      </c>
      <c r="O64" s="130">
        <v>28</v>
      </c>
      <c r="P64" s="130">
        <f>MONTH(Table1[[#This Row],[Date]])</f>
        <v>2</v>
      </c>
      <c r="Q64" s="130">
        <v>2021</v>
      </c>
      <c r="R64" s="166">
        <f>IF(ISBLANK(Table1[[#This Row],[Date]]),"",Table1[[#This Row],[Date]]-WEEKDAY(Table1[[#This Row],[Date]],2)+1)</f>
        <v>44249</v>
      </c>
      <c r="S64" s="131">
        <f>IF(ISBLANK(Table1[[#This Row],[Date]]),"",DATE(Table1[[#This Row],[Date_Year]],Table1[[#This Row],[Date_Month]],1))</f>
        <v>44228</v>
      </c>
    </row>
    <row r="65" spans="2:19" ht="15.75" x14ac:dyDescent="0.25">
      <c r="B65" s="133">
        <v>44255</v>
      </c>
      <c r="C65" s="128" t="s">
        <v>160</v>
      </c>
      <c r="D65" s="128" t="s">
        <v>2371</v>
      </c>
      <c r="E65" s="128" t="str" cm="1">
        <f t="array" ref="E65">IFERROR(INDEX(SubcategoriesTable[Subcategory name],MATCH(Table1[[#This Row],[Category]],SubcategoriesTable[Category name],0),0),"")</f>
        <v>Variable</v>
      </c>
      <c r="F65" s="134">
        <v>-40.15</v>
      </c>
      <c r="G65" s="167" t="str">
        <f>_xlfn.XLOOKUP(Table1[[#This Row],[Account_ID]], Accounts[ID], Accounts[Account nickname], "Unknown")</f>
        <v>Discover it chrome Card</v>
      </c>
      <c r="H65" s="137" t="str">
        <f>_xlfn.XLOOKUP(Table1[[#This Row],[Account_ID]], Accounts[ID], Accounts[Account'#], "Unknown")</f>
        <v>7328</v>
      </c>
      <c r="I65" s="168" t="str">
        <f>_xlfn.XLOOKUP(Table1[[#This Row],[Institution_ID]], Institutions[ID], Institutions[Institution nickname], "Unknown")</f>
        <v>Discover</v>
      </c>
      <c r="J65" s="139" t="s">
        <v>161</v>
      </c>
      <c r="K65" s="129" t="s">
        <v>110</v>
      </c>
      <c r="L65" s="129" t="s">
        <v>108</v>
      </c>
      <c r="M65" s="130" t="str" cm="1">
        <f t="array" ref="M65">IFERROR(INDEX(CategoriesTable[Category type],MATCH(Table1[[#This Row],[Category]],CategoriesTable[Category name],0),0),"")</f>
        <v>Expense</v>
      </c>
      <c r="N65" s="130" t="str" cm="1">
        <f t="array" ref="N65">IFERROR(INDEX(SubcategoriesTable[Subcategory name],MATCH(Table1[[#This Row],[Category]],SubcategoriesTable[Category name],0),0),"")</f>
        <v>Variable</v>
      </c>
      <c r="O65" s="130">
        <v>28</v>
      </c>
      <c r="P65" s="130">
        <f>MONTH(Table1[[#This Row],[Date]])</f>
        <v>2</v>
      </c>
      <c r="Q65" s="130">
        <v>2021</v>
      </c>
      <c r="R65" s="166">
        <f>IF(ISBLANK(Table1[[#This Row],[Date]]),"",Table1[[#This Row],[Date]]-WEEKDAY(Table1[[#This Row],[Date]],2)+1)</f>
        <v>44249</v>
      </c>
      <c r="S65" s="131">
        <f>IF(ISBLANK(Table1[[#This Row],[Date]]),"",DATE(Table1[[#This Row],[Date_Year]],Table1[[#This Row],[Date_Month]],1))</f>
        <v>44228</v>
      </c>
    </row>
    <row r="66" spans="2:19" ht="15.75" x14ac:dyDescent="0.25">
      <c r="B66" s="133">
        <v>44255</v>
      </c>
      <c r="C66" s="128" t="s">
        <v>115</v>
      </c>
      <c r="D66" s="128" t="s">
        <v>48</v>
      </c>
      <c r="E66" s="128" t="str" cm="1">
        <f t="array" ref="E66">IFERROR(INDEX(SubcategoriesTable[Subcategory name],MATCH(Table1[[#This Row],[Category]],SubcategoriesTable[Category name],0),0),"")</f>
        <v>Variable</v>
      </c>
      <c r="F66" s="134">
        <v>-5.17</v>
      </c>
      <c r="G66" s="167" t="str">
        <f>_xlfn.XLOOKUP(Table1[[#This Row],[Account_ID]], Accounts[ID], Accounts[Account nickname], "Unknown")</f>
        <v>Discover it chrome Card</v>
      </c>
      <c r="H66" s="137" t="str">
        <f>_xlfn.XLOOKUP(Table1[[#This Row],[Account_ID]], Accounts[ID], Accounts[Account'#], "Unknown")</f>
        <v>7328</v>
      </c>
      <c r="I66" s="168" t="str">
        <f>_xlfn.XLOOKUP(Table1[[#This Row],[Institution_ID]], Institutions[ID], Institutions[Institution nickname], "Unknown")</f>
        <v>Discover</v>
      </c>
      <c r="J66" s="139" t="s">
        <v>162</v>
      </c>
      <c r="K66" s="129" t="s">
        <v>110</v>
      </c>
      <c r="L66" s="129" t="s">
        <v>108</v>
      </c>
      <c r="M66" s="130" t="str" cm="1">
        <f t="array" ref="M66">IFERROR(INDEX(CategoriesTable[Category type],MATCH(Table1[[#This Row],[Category]],CategoriesTable[Category name],0),0),"")</f>
        <v>Expense</v>
      </c>
      <c r="N66" s="130" t="str" cm="1">
        <f t="array" ref="N66">IFERROR(INDEX(SubcategoriesTable[Subcategory name],MATCH(Table1[[#This Row],[Category]],SubcategoriesTable[Category name],0),0),"")</f>
        <v>Variable</v>
      </c>
      <c r="O66" s="130">
        <v>28</v>
      </c>
      <c r="P66" s="130">
        <f>MONTH(Table1[[#This Row],[Date]])</f>
        <v>2</v>
      </c>
      <c r="Q66" s="130">
        <v>2021</v>
      </c>
      <c r="R66" s="166">
        <f>IF(ISBLANK(Table1[[#This Row],[Date]]),"",Table1[[#This Row],[Date]]-WEEKDAY(Table1[[#This Row],[Date]],2)+1)</f>
        <v>44249</v>
      </c>
      <c r="S66" s="131">
        <f>IF(ISBLANK(Table1[[#This Row],[Date]]),"",DATE(Table1[[#This Row],[Date_Year]],Table1[[#This Row],[Date_Month]],1))</f>
        <v>44228</v>
      </c>
    </row>
    <row r="67" spans="2:19" ht="15.75" x14ac:dyDescent="0.25">
      <c r="B67" s="133">
        <v>44254</v>
      </c>
      <c r="C67" s="128" t="s">
        <v>1186</v>
      </c>
      <c r="D67" s="128" t="s">
        <v>50</v>
      </c>
      <c r="E67" s="128" t="str" cm="1">
        <f t="array" ref="E67">IFERROR(INDEX(SubcategoriesTable[Subcategory name],MATCH(Table1[[#This Row],[Category]],SubcategoriesTable[Category name],0),0),"")</f>
        <v>Variable</v>
      </c>
      <c r="F67" s="134">
        <v>-500</v>
      </c>
      <c r="G67" s="167" t="str">
        <f>_xlfn.XLOOKUP(Table1[[#This Row],[Account_ID]], Accounts[ID], Accounts[Account nickname], "Unknown")</f>
        <v>EVERYDAY CHECKING</v>
      </c>
      <c r="H67" s="137" t="str">
        <f>_xlfn.XLOOKUP(Table1[[#This Row],[Account_ID]], Accounts[ID], Accounts[Account'#], "Unknown")</f>
        <v>4636</v>
      </c>
      <c r="I67" s="168" t="str">
        <f>_xlfn.XLOOKUP(Table1[[#This Row],[Institution_ID]], Institutions[ID], Institutions[Institution nickname], "Unknown")</f>
        <v>Wells Fargo</v>
      </c>
      <c r="J67" s="139" t="s">
        <v>1367</v>
      </c>
      <c r="K67" s="129" t="s">
        <v>1229</v>
      </c>
      <c r="L67" s="129" t="s">
        <v>1228</v>
      </c>
      <c r="M67" s="130" t="str" cm="1">
        <f t="array" ref="M67">IFERROR(INDEX(CategoriesTable[Category type],MATCH(Table1[[#This Row],[Category]],CategoriesTable[Category name],0),0),"")</f>
        <v>Transfer</v>
      </c>
      <c r="N67" s="130" t="str" cm="1">
        <f t="array" ref="N67">IFERROR(INDEX(SubcategoriesTable[Subcategory name],MATCH(Table1[[#This Row],[Category]],SubcategoriesTable[Category name],0),0),"")</f>
        <v>Variable</v>
      </c>
      <c r="O67" s="130">
        <v>27</v>
      </c>
      <c r="P67" s="130">
        <f>MONTH(Table1[[#This Row],[Date]])</f>
        <v>2</v>
      </c>
      <c r="Q67" s="130">
        <v>2021</v>
      </c>
      <c r="R67" s="166">
        <f>IF(ISBLANK(Table1[[#This Row],[Date]]),"",Table1[[#This Row],[Date]]-WEEKDAY(Table1[[#This Row],[Date]],2)+1)</f>
        <v>44249</v>
      </c>
      <c r="S67" s="131">
        <f>IF(ISBLANK(Table1[[#This Row],[Date]]),"",DATE(Table1[[#This Row],[Date_Year]],Table1[[#This Row],[Date_Month]],1))</f>
        <v>44228</v>
      </c>
    </row>
    <row r="68" spans="2:19" ht="15.75" x14ac:dyDescent="0.25">
      <c r="B68" s="133">
        <v>44254</v>
      </c>
      <c r="C68" s="128" t="s">
        <v>163</v>
      </c>
      <c r="D68" s="128" t="s">
        <v>2392</v>
      </c>
      <c r="E68" s="128" t="str" cm="1">
        <f t="array" ref="E68">IFERROR(INDEX(SubcategoriesTable[Subcategory name],MATCH(Table1[[#This Row],[Category]],SubcategoriesTable[Category name],0),0),"")</f>
        <v>Variable</v>
      </c>
      <c r="F68" s="134">
        <v>-1.99</v>
      </c>
      <c r="G68" s="167" t="str">
        <f>_xlfn.XLOOKUP(Table1[[#This Row],[Account_ID]], Accounts[ID], Accounts[Account nickname], "Unknown")</f>
        <v>Discover it chrome Card</v>
      </c>
      <c r="H68" s="137" t="str">
        <f>_xlfn.XLOOKUP(Table1[[#This Row],[Account_ID]], Accounts[ID], Accounts[Account'#], "Unknown")</f>
        <v>7328</v>
      </c>
      <c r="I68" s="168" t="str">
        <f>_xlfn.XLOOKUP(Table1[[#This Row],[Institution_ID]], Institutions[ID], Institutions[Institution nickname], "Unknown")</f>
        <v>Discover</v>
      </c>
      <c r="J68" s="139" t="s">
        <v>164</v>
      </c>
      <c r="K68" s="129" t="s">
        <v>110</v>
      </c>
      <c r="L68" s="129" t="s">
        <v>108</v>
      </c>
      <c r="M68" s="130" t="str" cm="1">
        <f t="array" ref="M68">IFERROR(INDEX(CategoriesTable[Category type],MATCH(Table1[[#This Row],[Category]],CategoriesTable[Category name],0),0),"")</f>
        <v>Expense</v>
      </c>
      <c r="N68" s="130" t="str" cm="1">
        <f t="array" ref="N68">IFERROR(INDEX(SubcategoriesTable[Subcategory name],MATCH(Table1[[#This Row],[Category]],SubcategoriesTable[Category name],0),0),"")</f>
        <v>Variable</v>
      </c>
      <c r="O68" s="130">
        <v>27</v>
      </c>
      <c r="P68" s="130">
        <f>MONTH(Table1[[#This Row],[Date]])</f>
        <v>2</v>
      </c>
      <c r="Q68" s="130">
        <v>2021</v>
      </c>
      <c r="R68" s="166">
        <f>IF(ISBLANK(Table1[[#This Row],[Date]]),"",Table1[[#This Row],[Date]]-WEEKDAY(Table1[[#This Row],[Date]],2)+1)</f>
        <v>44249</v>
      </c>
      <c r="S68" s="131">
        <f>IF(ISBLANK(Table1[[#This Row],[Date]]),"",DATE(Table1[[#This Row],[Date_Year]],Table1[[#This Row],[Date_Month]],1))</f>
        <v>44228</v>
      </c>
    </row>
    <row r="69" spans="2:19" ht="15.75" x14ac:dyDescent="0.25">
      <c r="B69" s="133">
        <v>44254</v>
      </c>
      <c r="C69" s="128" t="s">
        <v>165</v>
      </c>
      <c r="D69" s="128" t="s">
        <v>56</v>
      </c>
      <c r="E69" s="128" t="str" cm="1">
        <f t="array" ref="E69">IFERROR(INDEX(SubcategoriesTable[Subcategory name],MATCH(Table1[[#This Row],[Category]],SubcategoriesTable[Category name],0),0),"")</f>
        <v>Variable</v>
      </c>
      <c r="F69" s="134">
        <v>-9.99</v>
      </c>
      <c r="G69" s="167" t="str">
        <f>_xlfn.XLOOKUP(Table1[[#This Row],[Account_ID]], Accounts[ID], Accounts[Account nickname], "Unknown")</f>
        <v>Discover it chrome Card</v>
      </c>
      <c r="H69" s="137" t="str">
        <f>_xlfn.XLOOKUP(Table1[[#This Row],[Account_ID]], Accounts[ID], Accounts[Account'#], "Unknown")</f>
        <v>7328</v>
      </c>
      <c r="I69" s="168" t="str">
        <f>_xlfn.XLOOKUP(Table1[[#This Row],[Institution_ID]], Institutions[ID], Institutions[Institution nickname], "Unknown")</f>
        <v>Discover</v>
      </c>
      <c r="J69" s="139" t="s">
        <v>166</v>
      </c>
      <c r="K69" s="129" t="s">
        <v>110</v>
      </c>
      <c r="L69" s="129" t="s">
        <v>108</v>
      </c>
      <c r="M69" s="130" t="str" cm="1">
        <f t="array" ref="M69">IFERROR(INDEX(CategoriesTable[Category type],MATCH(Table1[[#This Row],[Category]],CategoriesTable[Category name],0),0),"")</f>
        <v>Expense</v>
      </c>
      <c r="N69" s="130" t="str" cm="1">
        <f t="array" ref="N69">IFERROR(INDEX(SubcategoriesTable[Subcategory name],MATCH(Table1[[#This Row],[Category]],SubcategoriesTable[Category name],0),0),"")</f>
        <v>Variable</v>
      </c>
      <c r="O69" s="130">
        <v>27</v>
      </c>
      <c r="P69" s="130">
        <f>MONTH(Table1[[#This Row],[Date]])</f>
        <v>2</v>
      </c>
      <c r="Q69" s="130">
        <v>2021</v>
      </c>
      <c r="R69" s="166">
        <f>IF(ISBLANK(Table1[[#This Row],[Date]]),"",Table1[[#This Row],[Date]]-WEEKDAY(Table1[[#This Row],[Date]],2)+1)</f>
        <v>44249</v>
      </c>
      <c r="S69" s="131">
        <f>IF(ISBLANK(Table1[[#This Row],[Date]]),"",DATE(Table1[[#This Row],[Date_Year]],Table1[[#This Row],[Date_Month]],1))</f>
        <v>44228</v>
      </c>
    </row>
    <row r="70" spans="2:19" ht="15.75" x14ac:dyDescent="0.25">
      <c r="B70" s="133">
        <v>44254</v>
      </c>
      <c r="C70" s="128" t="s">
        <v>167</v>
      </c>
      <c r="D70" s="128" t="s">
        <v>52</v>
      </c>
      <c r="E70" s="128" t="str" cm="1">
        <f t="array" ref="E70">IFERROR(INDEX(SubcategoriesTable[Subcategory name],MATCH(Table1[[#This Row],[Category]],SubcategoriesTable[Category name],0),0),"")</f>
        <v>Variable</v>
      </c>
      <c r="F70" s="134">
        <v>-16.239999999999998</v>
      </c>
      <c r="G70" s="167" t="str">
        <f>_xlfn.XLOOKUP(Table1[[#This Row],[Account_ID]], Accounts[ID], Accounts[Account nickname], "Unknown")</f>
        <v>Discover it chrome Card</v>
      </c>
      <c r="H70" s="137" t="str">
        <f>_xlfn.XLOOKUP(Table1[[#This Row],[Account_ID]], Accounts[ID], Accounts[Account'#], "Unknown")</f>
        <v>7328</v>
      </c>
      <c r="I70" s="168" t="str">
        <f>_xlfn.XLOOKUP(Table1[[#This Row],[Institution_ID]], Institutions[ID], Institutions[Institution nickname], "Unknown")</f>
        <v>Discover</v>
      </c>
      <c r="J70" s="139" t="s">
        <v>168</v>
      </c>
      <c r="K70" s="129" t="s">
        <v>110</v>
      </c>
      <c r="L70" s="129" t="s">
        <v>108</v>
      </c>
      <c r="M70" s="130" t="str" cm="1">
        <f t="array" ref="M70">IFERROR(INDEX(CategoriesTable[Category type],MATCH(Table1[[#This Row],[Category]],CategoriesTable[Category name],0),0),"")</f>
        <v>Expense</v>
      </c>
      <c r="N70" s="130" t="str" cm="1">
        <f t="array" ref="N70">IFERROR(INDEX(SubcategoriesTable[Subcategory name],MATCH(Table1[[#This Row],[Category]],SubcategoriesTable[Category name],0),0),"")</f>
        <v>Variable</v>
      </c>
      <c r="O70" s="130">
        <v>27</v>
      </c>
      <c r="P70" s="130">
        <f>MONTH(Table1[[#This Row],[Date]])</f>
        <v>2</v>
      </c>
      <c r="Q70" s="130">
        <v>2021</v>
      </c>
      <c r="R70" s="166">
        <f>IF(ISBLANK(Table1[[#This Row],[Date]]),"",Table1[[#This Row],[Date]]-WEEKDAY(Table1[[#This Row],[Date]],2)+1)</f>
        <v>44249</v>
      </c>
      <c r="S70" s="131">
        <f>IF(ISBLANK(Table1[[#This Row],[Date]]),"",DATE(Table1[[#This Row],[Date_Year]],Table1[[#This Row],[Date_Month]],1))</f>
        <v>44228</v>
      </c>
    </row>
    <row r="71" spans="2:19" ht="15.75" x14ac:dyDescent="0.25">
      <c r="B71" s="133">
        <v>44254</v>
      </c>
      <c r="C71" s="128" t="s">
        <v>169</v>
      </c>
      <c r="D71" s="128" t="s">
        <v>45</v>
      </c>
      <c r="E71" s="128" t="str" cm="1">
        <f t="array" ref="E71">IFERROR(INDEX(SubcategoriesTable[Subcategory name],MATCH(Table1[[#This Row],[Category]],SubcategoriesTable[Category name],0),0),"")</f>
        <v>Variable</v>
      </c>
      <c r="F71" s="134">
        <v>-11.54</v>
      </c>
      <c r="G71" s="167" t="str">
        <f>_xlfn.XLOOKUP(Table1[[#This Row],[Account_ID]], Accounts[ID], Accounts[Account nickname], "Unknown")</f>
        <v>Discover it chrome Card</v>
      </c>
      <c r="H71" s="137" t="str">
        <f>_xlfn.XLOOKUP(Table1[[#This Row],[Account_ID]], Accounts[ID], Accounts[Account'#], "Unknown")</f>
        <v>7328</v>
      </c>
      <c r="I71" s="168" t="str">
        <f>_xlfn.XLOOKUP(Table1[[#This Row],[Institution_ID]], Institutions[ID], Institutions[Institution nickname], "Unknown")</f>
        <v>Discover</v>
      </c>
      <c r="J71" s="139" t="s">
        <v>170</v>
      </c>
      <c r="K71" s="129" t="s">
        <v>110</v>
      </c>
      <c r="L71" s="129" t="s">
        <v>108</v>
      </c>
      <c r="M71" s="130" t="str" cm="1">
        <f t="array" ref="M71">IFERROR(INDEX(CategoriesTable[Category type],MATCH(Table1[[#This Row],[Category]],CategoriesTable[Category name],0),0),"")</f>
        <v>Expense</v>
      </c>
      <c r="N71" s="130" t="str" cm="1">
        <f t="array" ref="N71">IFERROR(INDEX(SubcategoriesTable[Subcategory name],MATCH(Table1[[#This Row],[Category]],SubcategoriesTable[Category name],0),0),"")</f>
        <v>Variable</v>
      </c>
      <c r="O71" s="130">
        <v>27</v>
      </c>
      <c r="P71" s="130">
        <f>MONTH(Table1[[#This Row],[Date]])</f>
        <v>2</v>
      </c>
      <c r="Q71" s="130">
        <v>2021</v>
      </c>
      <c r="R71" s="166">
        <f>IF(ISBLANK(Table1[[#This Row],[Date]]),"",Table1[[#This Row],[Date]]-WEEKDAY(Table1[[#This Row],[Date]],2)+1)</f>
        <v>44249</v>
      </c>
      <c r="S71" s="131">
        <f>IF(ISBLANK(Table1[[#This Row],[Date]]),"",DATE(Table1[[#This Row],[Date_Year]],Table1[[#This Row],[Date_Month]],1))</f>
        <v>44228</v>
      </c>
    </row>
    <row r="72" spans="2:19" ht="15.75" x14ac:dyDescent="0.25">
      <c r="B72" s="133">
        <v>44254</v>
      </c>
      <c r="C72" s="128" t="s">
        <v>171</v>
      </c>
      <c r="D72" s="128" t="s">
        <v>46</v>
      </c>
      <c r="E72" s="128" t="str" cm="1">
        <f t="array" ref="E72">IFERROR(INDEX(SubcategoriesTable[Subcategory name],MATCH(Table1[[#This Row],[Category]],SubcategoriesTable[Category name],0),0),"")</f>
        <v>Variable</v>
      </c>
      <c r="F72" s="134">
        <v>-5</v>
      </c>
      <c r="G72" s="167" t="str">
        <f>_xlfn.XLOOKUP(Table1[[#This Row],[Account_ID]], Accounts[ID], Accounts[Account nickname], "Unknown")</f>
        <v>Discover it chrome Card</v>
      </c>
      <c r="H72" s="137" t="str">
        <f>_xlfn.XLOOKUP(Table1[[#This Row],[Account_ID]], Accounts[ID], Accounts[Account'#], "Unknown")</f>
        <v>7328</v>
      </c>
      <c r="I72" s="168" t="str">
        <f>_xlfn.XLOOKUP(Table1[[#This Row],[Institution_ID]], Institutions[ID], Institutions[Institution nickname], "Unknown")</f>
        <v>Discover</v>
      </c>
      <c r="J72" s="139" t="s">
        <v>172</v>
      </c>
      <c r="K72" s="129" t="s">
        <v>110</v>
      </c>
      <c r="L72" s="129" t="s">
        <v>108</v>
      </c>
      <c r="M72" s="130" t="str" cm="1">
        <f t="array" ref="M72">IFERROR(INDEX(CategoriesTable[Category type],MATCH(Table1[[#This Row],[Category]],CategoriesTable[Category name],0),0),"")</f>
        <v>Expense</v>
      </c>
      <c r="N72" s="130" t="str" cm="1">
        <f t="array" ref="N72">IFERROR(INDEX(SubcategoriesTable[Subcategory name],MATCH(Table1[[#This Row],[Category]],SubcategoriesTable[Category name],0),0),"")</f>
        <v>Variable</v>
      </c>
      <c r="O72" s="130">
        <v>27</v>
      </c>
      <c r="P72" s="130">
        <f>MONTH(Table1[[#This Row],[Date]])</f>
        <v>2</v>
      </c>
      <c r="Q72" s="130">
        <v>2021</v>
      </c>
      <c r="R72" s="166">
        <f>IF(ISBLANK(Table1[[#This Row],[Date]]),"",Table1[[#This Row],[Date]]-WEEKDAY(Table1[[#This Row],[Date]],2)+1)</f>
        <v>44249</v>
      </c>
      <c r="S72" s="131">
        <f>IF(ISBLANK(Table1[[#This Row],[Date]]),"",DATE(Table1[[#This Row],[Date_Year]],Table1[[#This Row],[Date_Month]],1))</f>
        <v>44228</v>
      </c>
    </row>
    <row r="73" spans="2:19" ht="15.75" x14ac:dyDescent="0.25">
      <c r="B73" s="133">
        <v>44253</v>
      </c>
      <c r="C73" s="128" t="s">
        <v>1180</v>
      </c>
      <c r="D73" s="128" t="s">
        <v>50</v>
      </c>
      <c r="E73" s="128" t="str" cm="1">
        <f t="array" ref="E73">IFERROR(INDEX(SubcategoriesTable[Subcategory name],MATCH(Table1[[#This Row],[Category]],SubcategoriesTable[Category name],0),0),"")</f>
        <v>Variable</v>
      </c>
      <c r="F73" s="134">
        <v>-770.55</v>
      </c>
      <c r="G73" s="167" t="str">
        <f>_xlfn.XLOOKUP(Table1[[#This Row],[Account_ID]], Accounts[ID], Accounts[Account nickname], "Unknown")</f>
        <v>EVERYDAY CHECKING</v>
      </c>
      <c r="H73" s="137" t="str">
        <f>_xlfn.XLOOKUP(Table1[[#This Row],[Account_ID]], Accounts[ID], Accounts[Account'#], "Unknown")</f>
        <v>4636</v>
      </c>
      <c r="I73" s="168" t="str">
        <f>_xlfn.XLOOKUP(Table1[[#This Row],[Institution_ID]], Institutions[ID], Institutions[Institution nickname], "Unknown")</f>
        <v>Wells Fargo</v>
      </c>
      <c r="J73" s="139" t="s">
        <v>1368</v>
      </c>
      <c r="K73" s="129" t="s">
        <v>1229</v>
      </c>
      <c r="L73" s="129" t="s">
        <v>1228</v>
      </c>
      <c r="M73" s="130" t="str" cm="1">
        <f t="array" ref="M73">IFERROR(INDEX(CategoriesTable[Category type],MATCH(Table1[[#This Row],[Category]],CategoriesTable[Category name],0),0),"")</f>
        <v>Transfer</v>
      </c>
      <c r="N73" s="130" t="str" cm="1">
        <f t="array" ref="N73">IFERROR(INDEX(SubcategoriesTable[Subcategory name],MATCH(Table1[[#This Row],[Category]],SubcategoriesTable[Category name],0),0),"")</f>
        <v>Variable</v>
      </c>
      <c r="O73" s="130">
        <v>26</v>
      </c>
      <c r="P73" s="130">
        <f>MONTH(Table1[[#This Row],[Date]])</f>
        <v>2</v>
      </c>
      <c r="Q73" s="130">
        <v>2021</v>
      </c>
      <c r="R73" s="166">
        <f>IF(ISBLANK(Table1[[#This Row],[Date]]),"",Table1[[#This Row],[Date]]-WEEKDAY(Table1[[#This Row],[Date]],2)+1)</f>
        <v>44249</v>
      </c>
      <c r="S73" s="131">
        <f>IF(ISBLANK(Table1[[#This Row],[Date]]),"",DATE(Table1[[#This Row],[Date_Year]],Table1[[#This Row],[Date_Month]],1))</f>
        <v>44228</v>
      </c>
    </row>
    <row r="74" spans="2:19" ht="15.75" x14ac:dyDescent="0.25">
      <c r="B74" s="133">
        <v>44253</v>
      </c>
      <c r="C74" s="128" t="s">
        <v>1181</v>
      </c>
      <c r="D74" s="128" t="s">
        <v>59</v>
      </c>
      <c r="E74" s="128" t="str" cm="1">
        <f t="array" ref="E74">IFERROR(INDEX(SubcategoriesTable[Subcategory name],MATCH(Table1[[#This Row],[Category]],SubcategoriesTable[Category name],0),0),"")</f>
        <v>Fixed</v>
      </c>
      <c r="F74" s="134">
        <v>1459.65</v>
      </c>
      <c r="G74" s="167" t="str">
        <f>_xlfn.XLOOKUP(Table1[[#This Row],[Account_ID]], Accounts[ID], Accounts[Account nickname], "Unknown")</f>
        <v>EVERYDAY CHECKING</v>
      </c>
      <c r="H74" s="137" t="str">
        <f>_xlfn.XLOOKUP(Table1[[#This Row],[Account_ID]], Accounts[ID], Accounts[Account'#], "Unknown")</f>
        <v>4636</v>
      </c>
      <c r="I74" s="168" t="str">
        <f>_xlfn.XLOOKUP(Table1[[#This Row],[Institution_ID]], Institutions[ID], Institutions[Institution nickname], "Unknown")</f>
        <v>Wells Fargo</v>
      </c>
      <c r="J74" s="139" t="s">
        <v>1369</v>
      </c>
      <c r="K74" s="129" t="s">
        <v>1229</v>
      </c>
      <c r="L74" s="129" t="s">
        <v>1228</v>
      </c>
      <c r="M74" s="130" t="str" cm="1">
        <f t="array" ref="M74">IFERROR(INDEX(CategoriesTable[Category type],MATCH(Table1[[#This Row],[Category]],CategoriesTable[Category name],0),0),"")</f>
        <v>Income</v>
      </c>
      <c r="N74" s="130" t="str" cm="1">
        <f t="array" ref="N74">IFERROR(INDEX(SubcategoriesTable[Subcategory name],MATCH(Table1[[#This Row],[Category]],SubcategoriesTable[Category name],0),0),"")</f>
        <v>Fixed</v>
      </c>
      <c r="O74" s="130">
        <v>26</v>
      </c>
      <c r="P74" s="130">
        <f>MONTH(Table1[[#This Row],[Date]])</f>
        <v>2</v>
      </c>
      <c r="Q74" s="130">
        <v>2021</v>
      </c>
      <c r="R74" s="166">
        <f>IF(ISBLANK(Table1[[#This Row],[Date]]),"",Table1[[#This Row],[Date]]-WEEKDAY(Table1[[#This Row],[Date]],2)+1)</f>
        <v>44249</v>
      </c>
      <c r="S74" s="131">
        <f>IF(ISBLANK(Table1[[#This Row],[Date]]),"",DATE(Table1[[#This Row],[Date_Year]],Table1[[#This Row],[Date_Month]],1))</f>
        <v>44228</v>
      </c>
    </row>
    <row r="75" spans="2:19" ht="15.75" x14ac:dyDescent="0.25">
      <c r="B75" s="133">
        <v>44253</v>
      </c>
      <c r="C75" s="128" t="s">
        <v>1187</v>
      </c>
      <c r="D75" s="128" t="s">
        <v>57</v>
      </c>
      <c r="E75" s="128" t="str" cm="1">
        <f t="array" ref="E75">IFERROR(INDEX(SubcategoriesTable[Subcategory name],MATCH(Table1[[#This Row],[Category]],SubcategoriesTable[Category name],0),0),"")</f>
        <v>Variable</v>
      </c>
      <c r="F75" s="134">
        <v>2420</v>
      </c>
      <c r="G75" s="167" t="str">
        <f>_xlfn.XLOOKUP(Table1[[#This Row],[Account_ID]], Accounts[ID], Accounts[Account nickname], "Unknown")</f>
        <v>EVERYDAY CHECKING</v>
      </c>
      <c r="H75" s="137" t="str">
        <f>_xlfn.XLOOKUP(Table1[[#This Row],[Account_ID]], Accounts[ID], Accounts[Account'#], "Unknown")</f>
        <v>4636</v>
      </c>
      <c r="I75" s="168" t="str">
        <f>_xlfn.XLOOKUP(Table1[[#This Row],[Institution_ID]], Institutions[ID], Institutions[Institution nickname], "Unknown")</f>
        <v>Wells Fargo</v>
      </c>
      <c r="J75" s="139" t="s">
        <v>1370</v>
      </c>
      <c r="K75" s="129" t="s">
        <v>1229</v>
      </c>
      <c r="L75" s="129" t="s">
        <v>1228</v>
      </c>
      <c r="M75" s="130" t="str" cm="1">
        <f t="array" ref="M75">IFERROR(INDEX(CategoriesTable[Category type],MATCH(Table1[[#This Row],[Category]],CategoriesTable[Category name],0),0),"")</f>
        <v>Transfer</v>
      </c>
      <c r="N75" s="130" t="str" cm="1">
        <f t="array" ref="N75">IFERROR(INDEX(SubcategoriesTable[Subcategory name],MATCH(Table1[[#This Row],[Category]],SubcategoriesTable[Category name],0),0),"")</f>
        <v>Variable</v>
      </c>
      <c r="O75" s="130">
        <v>26</v>
      </c>
      <c r="P75" s="130">
        <f>MONTH(Table1[[#This Row],[Date]])</f>
        <v>2</v>
      </c>
      <c r="Q75" s="130">
        <v>2021</v>
      </c>
      <c r="R75" s="166">
        <f>IF(ISBLANK(Table1[[#This Row],[Date]]),"",Table1[[#This Row],[Date]]-WEEKDAY(Table1[[#This Row],[Date]],2)+1)</f>
        <v>44249</v>
      </c>
      <c r="S75" s="131">
        <f>IF(ISBLANK(Table1[[#This Row],[Date]]),"",DATE(Table1[[#This Row],[Date_Year]],Table1[[#This Row],[Date_Month]],1))</f>
        <v>44228</v>
      </c>
    </row>
    <row r="76" spans="2:19" ht="15.75" x14ac:dyDescent="0.25">
      <c r="B76" s="133">
        <v>44253</v>
      </c>
      <c r="C76" s="128" t="s">
        <v>508</v>
      </c>
      <c r="D76" s="128" t="s">
        <v>78</v>
      </c>
      <c r="E76" s="128" t="str" cm="1">
        <f t="array" ref="E76">IFERROR(INDEX(SubcategoriesTable[Subcategory name],MATCH(Table1[[#This Row],[Category]],SubcategoriesTable[Category name],0),0),"")</f>
        <v>Fixed</v>
      </c>
      <c r="F76" s="134">
        <v>-700</v>
      </c>
      <c r="G76" s="167" t="str">
        <f>_xlfn.XLOOKUP(Table1[[#This Row],[Account_ID]], Accounts[ID], Accounts[Account nickname], "Unknown")</f>
        <v>EVERYDAY CHECKING</v>
      </c>
      <c r="H76" s="137" t="str">
        <f>_xlfn.XLOOKUP(Table1[[#This Row],[Account_ID]], Accounts[ID], Accounts[Account'#], "Unknown")</f>
        <v>4636</v>
      </c>
      <c r="I76" s="168" t="str">
        <f>_xlfn.XLOOKUP(Table1[[#This Row],[Institution_ID]], Institutions[ID], Institutions[Institution nickname], "Unknown")</f>
        <v>Wells Fargo</v>
      </c>
      <c r="J76" s="139" t="s">
        <v>1371</v>
      </c>
      <c r="K76" s="129" t="s">
        <v>1229</v>
      </c>
      <c r="L76" s="129" t="s">
        <v>1228</v>
      </c>
      <c r="M76" s="130" t="str" cm="1">
        <f t="array" ref="M76">IFERROR(INDEX(CategoriesTable[Category type],MATCH(Table1[[#This Row],[Category]],CategoriesTable[Category name],0),0),"")</f>
        <v>Expense</v>
      </c>
      <c r="N76" s="130" t="str" cm="1">
        <f t="array" ref="N76">IFERROR(INDEX(SubcategoriesTable[Subcategory name],MATCH(Table1[[#This Row],[Category]],SubcategoriesTable[Category name],0),0),"")</f>
        <v>Fixed</v>
      </c>
      <c r="O76" s="130">
        <v>26</v>
      </c>
      <c r="P76" s="130">
        <f>MONTH(Table1[[#This Row],[Date]])</f>
        <v>2</v>
      </c>
      <c r="Q76" s="130">
        <v>2021</v>
      </c>
      <c r="R76" s="166">
        <f>IF(ISBLANK(Table1[[#This Row],[Date]]),"",Table1[[#This Row],[Date]]-WEEKDAY(Table1[[#This Row],[Date]],2)+1)</f>
        <v>44249</v>
      </c>
      <c r="S76" s="131">
        <f>IF(ISBLANK(Table1[[#This Row],[Date]]),"",DATE(Table1[[#This Row],[Date_Year]],Table1[[#This Row],[Date_Month]],1))</f>
        <v>44228</v>
      </c>
    </row>
    <row r="77" spans="2:19" ht="15.75" x14ac:dyDescent="0.25">
      <c r="B77" s="133">
        <v>44253</v>
      </c>
      <c r="C77" s="128" t="s">
        <v>50</v>
      </c>
      <c r="D77" s="128" t="s">
        <v>1204</v>
      </c>
      <c r="E77" s="128"/>
      <c r="F77" s="134">
        <v>200</v>
      </c>
      <c r="G77" s="167" t="str">
        <f>_xlfn.XLOOKUP(Table1[[#This Row],[Account_ID]], Accounts[ID], Accounts[Account nickname], "Unknown")</f>
        <v>Checking - 4480</v>
      </c>
      <c r="H77" s="137" t="str">
        <f>_xlfn.XLOOKUP(Table1[[#This Row],[Account_ID]], Accounts[ID], Accounts[Account'#], "Unknown")</f>
        <v>4480</v>
      </c>
      <c r="I77" s="168" t="str">
        <f>_xlfn.XLOOKUP(Table1[[#This Row],[Institution_ID]], Institutions[ID], Institutions[Institution nickname], "Unknown")</f>
        <v>Robinhood</v>
      </c>
      <c r="J77" s="139" t="s">
        <v>1215</v>
      </c>
      <c r="K77" s="129" t="s">
        <v>1208</v>
      </c>
      <c r="L77" s="173" t="s">
        <v>1207</v>
      </c>
      <c r="M77" s="130" t="str" cm="1">
        <f t="array" ref="M77">IFERROR(INDEX(CategoriesTable[Category type],MATCH(Table1[[#This Row],[Category]],CategoriesTable[Category name],0),0),"")</f>
        <v>Savings</v>
      </c>
      <c r="N77" s="130" t="str" cm="1">
        <f t="array" ref="N77">IFERROR(INDEX(SubcategoriesTable[Subcategory name],MATCH(Table1[[#This Row],[Category]],SubcategoriesTable[Category name],0),0),"")</f>
        <v>Variable</v>
      </c>
      <c r="O77" s="130">
        <v>26</v>
      </c>
      <c r="P77" s="130">
        <f>MONTH(Table1[[#This Row],[Date]])</f>
        <v>2</v>
      </c>
      <c r="Q77" s="130">
        <v>2021</v>
      </c>
      <c r="R77" s="166">
        <f>IF(ISBLANK(Table1[[#This Row],[Date]]),"",Table1[[#This Row],[Date]]-WEEKDAY(Table1[[#This Row],[Date]],2)+1)</f>
        <v>44249</v>
      </c>
      <c r="S77" s="131">
        <f>IF(ISBLANK(Table1[[#This Row],[Date]]),"",DATE(Table1[[#This Row],[Date_Year]],Table1[[#This Row],[Date_Month]],1))</f>
        <v>44228</v>
      </c>
    </row>
    <row r="78" spans="2:19" ht="15.75" x14ac:dyDescent="0.25">
      <c r="B78" s="133">
        <v>44253</v>
      </c>
      <c r="C78" s="128" t="s">
        <v>50</v>
      </c>
      <c r="D78" s="128" t="s">
        <v>1204</v>
      </c>
      <c r="E78" s="128"/>
      <c r="F78" s="134">
        <v>200</v>
      </c>
      <c r="G78" s="167" t="str">
        <f>_xlfn.XLOOKUP(Table1[[#This Row],[Account_ID]], Accounts[ID], Accounts[Account nickname], "Unknown")</f>
        <v>Checking - 4480</v>
      </c>
      <c r="H78" s="137" t="str">
        <f>_xlfn.XLOOKUP(Table1[[#This Row],[Account_ID]], Accounts[ID], Accounts[Account'#], "Unknown")</f>
        <v>4480</v>
      </c>
      <c r="I78" s="168" t="str">
        <f>_xlfn.XLOOKUP(Table1[[#This Row],[Institution_ID]], Institutions[ID], Institutions[Institution nickname], "Unknown")</f>
        <v>Robinhood</v>
      </c>
      <c r="J78" s="139" t="s">
        <v>1216</v>
      </c>
      <c r="K78" s="129" t="s">
        <v>1208</v>
      </c>
      <c r="L78" s="173" t="s">
        <v>1207</v>
      </c>
      <c r="M78" s="130" t="str" cm="1">
        <f t="array" ref="M78">IFERROR(INDEX(CategoriesTable[Category type],MATCH(Table1[[#This Row],[Category]],CategoriesTable[Category name],0),0),"")</f>
        <v>Savings</v>
      </c>
      <c r="N78" s="130" t="str" cm="1">
        <f t="array" ref="N78">IFERROR(INDEX(SubcategoriesTable[Subcategory name],MATCH(Table1[[#This Row],[Category]],SubcategoriesTable[Category name],0),0),"")</f>
        <v>Variable</v>
      </c>
      <c r="O78" s="130">
        <v>26</v>
      </c>
      <c r="P78" s="130">
        <f>MONTH(Table1[[#This Row],[Date]])</f>
        <v>2</v>
      </c>
      <c r="Q78" s="130">
        <v>2021</v>
      </c>
      <c r="R78" s="166">
        <f>IF(ISBLANK(Table1[[#This Row],[Date]]),"",Table1[[#This Row],[Date]]-WEEKDAY(Table1[[#This Row],[Date]],2)+1)</f>
        <v>44249</v>
      </c>
      <c r="S78" s="131">
        <f>IF(ISBLANK(Table1[[#This Row],[Date]]),"",DATE(Table1[[#This Row],[Date_Year]],Table1[[#This Row],[Date_Month]],1))</f>
        <v>44228</v>
      </c>
    </row>
    <row r="79" spans="2:19" ht="15.75" x14ac:dyDescent="0.25">
      <c r="B79" s="133">
        <v>44253</v>
      </c>
      <c r="C79" s="128" t="s">
        <v>150</v>
      </c>
      <c r="D79" s="128" t="s">
        <v>54</v>
      </c>
      <c r="E79" s="128" t="str" cm="1">
        <f t="array" ref="E79">IFERROR(INDEX(SubcategoriesTable[Subcategory name],MATCH(Table1[[#This Row],[Category]],SubcategoriesTable[Category name],0),0),"")</f>
        <v>Fixed</v>
      </c>
      <c r="F79" s="134">
        <v>-6.99</v>
      </c>
      <c r="G79" s="167" t="str">
        <f>_xlfn.XLOOKUP(Table1[[#This Row],[Account_ID]], Accounts[ID], Accounts[Account nickname], "Unknown")</f>
        <v>Discover it chrome Card</v>
      </c>
      <c r="H79" s="137" t="str">
        <f>_xlfn.XLOOKUP(Table1[[#This Row],[Account_ID]], Accounts[ID], Accounts[Account'#], "Unknown")</f>
        <v>7328</v>
      </c>
      <c r="I79" s="168" t="str">
        <f>_xlfn.XLOOKUP(Table1[[#This Row],[Institution_ID]], Institutions[ID], Institutions[Institution nickname], "Unknown")</f>
        <v>Discover</v>
      </c>
      <c r="J79" s="171" t="s">
        <v>173</v>
      </c>
      <c r="K79" s="129" t="s">
        <v>110</v>
      </c>
      <c r="L79" s="129" t="s">
        <v>108</v>
      </c>
      <c r="M79" s="130" t="str" cm="1">
        <f t="array" ref="M79">IFERROR(INDEX(CategoriesTable[Category type],MATCH(Table1[[#This Row],[Category]],CategoriesTable[Category name],0),0),"")</f>
        <v>Expense</v>
      </c>
      <c r="N79" s="130" t="str" cm="1">
        <f t="array" ref="N79">IFERROR(INDEX(SubcategoriesTable[Subcategory name],MATCH(Table1[[#This Row],[Category]],SubcategoriesTable[Category name],0),0),"")</f>
        <v>Fixed</v>
      </c>
      <c r="O79" s="130">
        <v>26</v>
      </c>
      <c r="P79" s="130">
        <f>MONTH(Table1[[#This Row],[Date]])</f>
        <v>2</v>
      </c>
      <c r="Q79" s="130">
        <v>2021</v>
      </c>
      <c r="R79" s="166">
        <f>IF(ISBLANK(Table1[[#This Row],[Date]]),"",Table1[[#This Row],[Date]]-WEEKDAY(Table1[[#This Row],[Date]],2)+1)</f>
        <v>44249</v>
      </c>
      <c r="S79" s="131">
        <f>IF(ISBLANK(Table1[[#This Row],[Date]]),"",DATE(Table1[[#This Row],[Date_Year]],Table1[[#This Row],[Date_Month]],1))</f>
        <v>44228</v>
      </c>
    </row>
    <row r="80" spans="2:19" ht="15.75" x14ac:dyDescent="0.25">
      <c r="B80" s="133">
        <v>44253</v>
      </c>
      <c r="C80" s="128" t="s">
        <v>113</v>
      </c>
      <c r="D80" s="128" t="s">
        <v>50</v>
      </c>
      <c r="E80" s="128" t="str" cm="1">
        <f t="array" ref="E80">IFERROR(INDEX(SubcategoriesTable[Subcategory name],MATCH(Table1[[#This Row],[Category]],SubcategoriesTable[Category name],0),0),"")</f>
        <v>Variable</v>
      </c>
      <c r="F80" s="134">
        <v>770.55</v>
      </c>
      <c r="G80" s="167" t="str">
        <f>_xlfn.XLOOKUP(Table1[[#This Row],[Account_ID]], Accounts[ID], Accounts[Account nickname], "Unknown")</f>
        <v>Discover it chrome Card</v>
      </c>
      <c r="H80" s="137" t="str">
        <f>_xlfn.XLOOKUP(Table1[[#This Row],[Account_ID]], Accounts[ID], Accounts[Account'#], "Unknown")</f>
        <v>7328</v>
      </c>
      <c r="I80" s="168" t="str">
        <f>_xlfn.XLOOKUP(Table1[[#This Row],[Institution_ID]], Institutions[ID], Institutions[Institution nickname], "Unknown")</f>
        <v>Discover</v>
      </c>
      <c r="J80" s="139" t="s">
        <v>174</v>
      </c>
      <c r="K80" s="129" t="s">
        <v>110</v>
      </c>
      <c r="L80" s="129" t="s">
        <v>108</v>
      </c>
      <c r="M80" s="130" t="str" cm="1">
        <f t="array" ref="M80">IFERROR(INDEX(CategoriesTable[Category type],MATCH(Table1[[#This Row],[Category]],CategoriesTable[Category name],0),0),"")</f>
        <v>Transfer</v>
      </c>
      <c r="N80" s="130" t="str" cm="1">
        <f t="array" ref="N80">IFERROR(INDEX(SubcategoriesTable[Subcategory name],MATCH(Table1[[#This Row],[Category]],SubcategoriesTable[Category name],0),0),"")</f>
        <v>Variable</v>
      </c>
      <c r="O80" s="130">
        <v>26</v>
      </c>
      <c r="P80" s="130">
        <f>MONTH(Table1[[#This Row],[Date]])</f>
        <v>2</v>
      </c>
      <c r="Q80" s="130">
        <v>2021</v>
      </c>
      <c r="R80" s="166">
        <f>IF(ISBLANK(Table1[[#This Row],[Date]]),"",Table1[[#This Row],[Date]]-WEEKDAY(Table1[[#This Row],[Date]],2)+1)</f>
        <v>44249</v>
      </c>
      <c r="S80" s="131">
        <f>IF(ISBLANK(Table1[[#This Row],[Date]]),"",DATE(Table1[[#This Row],[Date_Year]],Table1[[#This Row],[Date_Month]],1))</f>
        <v>44228</v>
      </c>
    </row>
    <row r="81" spans="2:19" ht="15.75" x14ac:dyDescent="0.25">
      <c r="B81" s="133">
        <v>44253</v>
      </c>
      <c r="C81" s="128" t="s">
        <v>115</v>
      </c>
      <c r="D81" s="128" t="s">
        <v>48</v>
      </c>
      <c r="E81" s="128" t="str" cm="1">
        <f t="array" ref="E81">IFERROR(INDEX(SubcategoriesTable[Subcategory name],MATCH(Table1[[#This Row],[Category]],SubcategoriesTable[Category name],0),0),"")</f>
        <v>Variable</v>
      </c>
      <c r="F81" s="134">
        <v>-13.67</v>
      </c>
      <c r="G81" s="167" t="str">
        <f>_xlfn.XLOOKUP(Table1[[#This Row],[Account_ID]], Accounts[ID], Accounts[Account nickname], "Unknown")</f>
        <v>Discover it chrome Card</v>
      </c>
      <c r="H81" s="137" t="str">
        <f>_xlfn.XLOOKUP(Table1[[#This Row],[Account_ID]], Accounts[ID], Accounts[Account'#], "Unknown")</f>
        <v>7328</v>
      </c>
      <c r="I81" s="168" t="str">
        <f>_xlfn.XLOOKUP(Table1[[#This Row],[Institution_ID]], Institutions[ID], Institutions[Institution nickname], "Unknown")</f>
        <v>Discover</v>
      </c>
      <c r="J81" s="139" t="s">
        <v>175</v>
      </c>
      <c r="K81" s="129" t="s">
        <v>110</v>
      </c>
      <c r="L81" s="129" t="s">
        <v>108</v>
      </c>
      <c r="M81" s="130" t="str" cm="1">
        <f t="array" ref="M81">IFERROR(INDEX(CategoriesTable[Category type],MATCH(Table1[[#This Row],[Category]],CategoriesTable[Category name],0),0),"")</f>
        <v>Expense</v>
      </c>
      <c r="N81" s="130" t="str" cm="1">
        <f t="array" ref="N81">IFERROR(INDEX(SubcategoriesTable[Subcategory name],MATCH(Table1[[#This Row],[Category]],SubcategoriesTable[Category name],0),0),"")</f>
        <v>Variable</v>
      </c>
      <c r="O81" s="130">
        <v>26</v>
      </c>
      <c r="P81" s="130">
        <f>MONTH(Table1[[#This Row],[Date]])</f>
        <v>2</v>
      </c>
      <c r="Q81" s="130">
        <v>2021</v>
      </c>
      <c r="R81" s="166">
        <f>IF(ISBLANK(Table1[[#This Row],[Date]]),"",Table1[[#This Row],[Date]]-WEEKDAY(Table1[[#This Row],[Date]],2)+1)</f>
        <v>44249</v>
      </c>
      <c r="S81" s="131">
        <f>IF(ISBLANK(Table1[[#This Row],[Date]]),"",DATE(Table1[[#This Row],[Date_Year]],Table1[[#This Row],[Date_Month]],1))</f>
        <v>44228</v>
      </c>
    </row>
    <row r="82" spans="2:19" ht="15.75" x14ac:dyDescent="0.25">
      <c r="B82" s="133">
        <v>44251</v>
      </c>
      <c r="C82" s="128" t="s">
        <v>176</v>
      </c>
      <c r="D82" s="128" t="s">
        <v>2369</v>
      </c>
      <c r="E82" s="128" t="str" cm="1">
        <f t="array" ref="E82">IFERROR(INDEX(SubcategoriesTable[Subcategory name],MATCH(Table1[[#This Row],[Category]],SubcategoriesTable[Category name],0),0),"")</f>
        <v>Variable</v>
      </c>
      <c r="F82" s="134">
        <v>-215</v>
      </c>
      <c r="G82" s="167" t="str">
        <f>_xlfn.XLOOKUP(Table1[[#This Row],[Account_ID]], Accounts[ID], Accounts[Account nickname], "Unknown")</f>
        <v>Discover it chrome Card</v>
      </c>
      <c r="H82" s="137" t="str">
        <f>_xlfn.XLOOKUP(Table1[[#This Row],[Account_ID]], Accounts[ID], Accounts[Account'#], "Unknown")</f>
        <v>7328</v>
      </c>
      <c r="I82" s="168" t="str">
        <f>_xlfn.XLOOKUP(Table1[[#This Row],[Institution_ID]], Institutions[ID], Institutions[Institution nickname], "Unknown")</f>
        <v>Discover</v>
      </c>
      <c r="J82" s="139" t="s">
        <v>177</v>
      </c>
      <c r="K82" s="129" t="s">
        <v>110</v>
      </c>
      <c r="L82" s="129" t="s">
        <v>108</v>
      </c>
      <c r="M82" s="130" t="str" cm="1">
        <f t="array" ref="M82">IFERROR(INDEX(CategoriesTable[Category type],MATCH(Table1[[#This Row],[Category]],CategoriesTable[Category name],0),0),"")</f>
        <v>Expense</v>
      </c>
      <c r="N82" s="130" t="str" cm="1">
        <f t="array" ref="N82">IFERROR(INDEX(SubcategoriesTable[Subcategory name],MATCH(Table1[[#This Row],[Category]],SubcategoriesTable[Category name],0),0),"")</f>
        <v>Variable</v>
      </c>
      <c r="O82" s="130">
        <v>24</v>
      </c>
      <c r="P82" s="130">
        <f>MONTH(Table1[[#This Row],[Date]])</f>
        <v>2</v>
      </c>
      <c r="Q82" s="130">
        <v>2021</v>
      </c>
      <c r="R82" s="166">
        <f>IF(ISBLANK(Table1[[#This Row],[Date]]),"",Table1[[#This Row],[Date]]-WEEKDAY(Table1[[#This Row],[Date]],2)+1)</f>
        <v>44249</v>
      </c>
      <c r="S82" s="131">
        <f>IF(ISBLANK(Table1[[#This Row],[Date]]),"",DATE(Table1[[#This Row],[Date_Year]],Table1[[#This Row],[Date_Month]],1))</f>
        <v>44228</v>
      </c>
    </row>
    <row r="83" spans="2:19" ht="15.75" x14ac:dyDescent="0.25">
      <c r="B83" s="133">
        <v>44250</v>
      </c>
      <c r="C83" s="128" t="s">
        <v>1188</v>
      </c>
      <c r="D83" s="128" t="s">
        <v>60</v>
      </c>
      <c r="E83" s="128" t="str" cm="1">
        <f t="array" ref="E83">IFERROR(INDEX(SubcategoriesTable[Subcategory name],MATCH(Table1[[#This Row],[Category]],SubcategoriesTable[Category name],0),0),"")</f>
        <v>Variable</v>
      </c>
      <c r="F83" s="134">
        <v>0.01</v>
      </c>
      <c r="G83" s="167" t="str">
        <f>_xlfn.XLOOKUP(Table1[[#This Row],[Account_ID]], Accounts[ID], Accounts[Account nickname], "Unknown")</f>
        <v>EVERYDAY CHECKING</v>
      </c>
      <c r="H83" s="137" t="str">
        <f>_xlfn.XLOOKUP(Table1[[#This Row],[Account_ID]], Accounts[ID], Accounts[Account'#], "Unknown")</f>
        <v>4636</v>
      </c>
      <c r="I83" s="168" t="str">
        <f>_xlfn.XLOOKUP(Table1[[#This Row],[Institution_ID]], Institutions[ID], Institutions[Institution nickname], "Unknown")</f>
        <v>Wells Fargo</v>
      </c>
      <c r="J83" s="139" t="s">
        <v>1372</v>
      </c>
      <c r="K83" s="129" t="s">
        <v>1229</v>
      </c>
      <c r="L83" s="129" t="s">
        <v>1228</v>
      </c>
      <c r="M83" s="130" t="str" cm="1">
        <f t="array" ref="M83">IFERROR(INDEX(CategoriesTable[Category type],MATCH(Table1[[#This Row],[Category]],CategoriesTable[Category name],0),0),"")</f>
        <v>Expense</v>
      </c>
      <c r="N83" s="130" t="str" cm="1">
        <f t="array" ref="N83">IFERROR(INDEX(SubcategoriesTable[Subcategory name],MATCH(Table1[[#This Row],[Category]],SubcategoriesTable[Category name],0),0),"")</f>
        <v>Variable</v>
      </c>
      <c r="O83" s="130">
        <v>23</v>
      </c>
      <c r="P83" s="130">
        <f>MONTH(Table1[[#This Row],[Date]])</f>
        <v>2</v>
      </c>
      <c r="Q83" s="130">
        <v>2021</v>
      </c>
      <c r="R83" s="166">
        <f>IF(ISBLANK(Table1[[#This Row],[Date]]),"",Table1[[#This Row],[Date]]-WEEKDAY(Table1[[#This Row],[Date]],2)+1)</f>
        <v>44249</v>
      </c>
      <c r="S83" s="131">
        <f>IF(ISBLANK(Table1[[#This Row],[Date]]),"",DATE(Table1[[#This Row],[Date_Year]],Table1[[#This Row],[Date_Month]],1))</f>
        <v>44228</v>
      </c>
    </row>
    <row r="84" spans="2:19" ht="15.75" x14ac:dyDescent="0.25">
      <c r="B84" s="133">
        <v>44250</v>
      </c>
      <c r="C84" s="128" t="s">
        <v>1189</v>
      </c>
      <c r="D84" s="128" t="s">
        <v>52</v>
      </c>
      <c r="E84" s="128" t="str" cm="1">
        <f t="array" ref="E84">IFERROR(INDEX(SubcategoriesTable[Subcategory name],MATCH(Table1[[#This Row],[Category]],SubcategoriesTable[Category name],0),0),"")</f>
        <v>Variable</v>
      </c>
      <c r="F84" s="134">
        <v>-0.01</v>
      </c>
      <c r="G84" s="167" t="str">
        <f>_xlfn.XLOOKUP(Table1[[#This Row],[Account_ID]], Accounts[ID], Accounts[Account nickname], "Unknown")</f>
        <v>EVERYDAY CHECKING</v>
      </c>
      <c r="H84" s="137" t="str">
        <f>_xlfn.XLOOKUP(Table1[[#This Row],[Account_ID]], Accounts[ID], Accounts[Account'#], "Unknown")</f>
        <v>4636</v>
      </c>
      <c r="I84" s="168" t="str">
        <f>_xlfn.XLOOKUP(Table1[[#This Row],[Institution_ID]], Institutions[ID], Institutions[Institution nickname], "Unknown")</f>
        <v>Wells Fargo</v>
      </c>
      <c r="J84" s="139" t="s">
        <v>1373</v>
      </c>
      <c r="K84" s="129" t="s">
        <v>1229</v>
      </c>
      <c r="L84" s="129" t="s">
        <v>1228</v>
      </c>
      <c r="M84" s="130" t="str" cm="1">
        <f t="array" ref="M84">IFERROR(INDEX(CategoriesTable[Category type],MATCH(Table1[[#This Row],[Category]],CategoriesTable[Category name],0),0),"")</f>
        <v>Expense</v>
      </c>
      <c r="N84" s="130" t="str" cm="1">
        <f t="array" ref="N84">IFERROR(INDEX(SubcategoriesTable[Subcategory name],MATCH(Table1[[#This Row],[Category]],SubcategoriesTable[Category name],0),0),"")</f>
        <v>Variable</v>
      </c>
      <c r="O84" s="130">
        <v>23</v>
      </c>
      <c r="P84" s="130">
        <f>MONTH(Table1[[#This Row],[Date]])</f>
        <v>2</v>
      </c>
      <c r="Q84" s="130">
        <v>2021</v>
      </c>
      <c r="R84" s="166">
        <f>IF(ISBLANK(Table1[[#This Row],[Date]]),"",Table1[[#This Row],[Date]]-WEEKDAY(Table1[[#This Row],[Date]],2)+1)</f>
        <v>44249</v>
      </c>
      <c r="S84" s="131">
        <f>IF(ISBLANK(Table1[[#This Row],[Date]]),"",DATE(Table1[[#This Row],[Date_Year]],Table1[[#This Row],[Date_Month]],1))</f>
        <v>44228</v>
      </c>
    </row>
    <row r="85" spans="2:19" ht="15.75" x14ac:dyDescent="0.25">
      <c r="B85" s="133">
        <v>44250</v>
      </c>
      <c r="C85" s="128" t="s">
        <v>178</v>
      </c>
      <c r="D85" s="128" t="s">
        <v>2392</v>
      </c>
      <c r="E85" s="128" t="str" cm="1">
        <f t="array" ref="E85">IFERROR(INDEX(SubcategoriesTable[Subcategory name],MATCH(Table1[[#This Row],[Category]],SubcategoriesTable[Category name],0),0),"")</f>
        <v>Variable</v>
      </c>
      <c r="F85" s="134">
        <v>-1.99</v>
      </c>
      <c r="G85" s="167" t="str">
        <f>_xlfn.XLOOKUP(Table1[[#This Row],[Account_ID]], Accounts[ID], Accounts[Account nickname], "Unknown")</f>
        <v>Discover it chrome Card</v>
      </c>
      <c r="H85" s="137" t="str">
        <f>_xlfn.XLOOKUP(Table1[[#This Row],[Account_ID]], Accounts[ID], Accounts[Account'#], "Unknown")</f>
        <v>7328</v>
      </c>
      <c r="I85" s="168" t="str">
        <f>_xlfn.XLOOKUP(Table1[[#This Row],[Institution_ID]], Institutions[ID], Institutions[Institution nickname], "Unknown")</f>
        <v>Discover</v>
      </c>
      <c r="J85" s="139" t="s">
        <v>179</v>
      </c>
      <c r="K85" s="129" t="s">
        <v>110</v>
      </c>
      <c r="L85" s="129" t="s">
        <v>108</v>
      </c>
      <c r="M85" s="130" t="str" cm="1">
        <f t="array" ref="M85">IFERROR(INDEX(CategoriesTable[Category type],MATCH(Table1[[#This Row],[Category]],CategoriesTable[Category name],0),0),"")</f>
        <v>Expense</v>
      </c>
      <c r="N85" s="130" t="str" cm="1">
        <f t="array" ref="N85">IFERROR(INDEX(SubcategoriesTable[Subcategory name],MATCH(Table1[[#This Row],[Category]],SubcategoriesTable[Category name],0),0),"")</f>
        <v>Variable</v>
      </c>
      <c r="O85" s="130">
        <v>23</v>
      </c>
      <c r="P85" s="130">
        <f>MONTH(Table1[[#This Row],[Date]])</f>
        <v>2</v>
      </c>
      <c r="Q85" s="130">
        <v>2021</v>
      </c>
      <c r="R85" s="166">
        <f>IF(ISBLANK(Table1[[#This Row],[Date]]),"",Table1[[#This Row],[Date]]-WEEKDAY(Table1[[#This Row],[Date]],2)+1)</f>
        <v>44249</v>
      </c>
      <c r="S85" s="131">
        <f>IF(ISBLANK(Table1[[#This Row],[Date]]),"",DATE(Table1[[#This Row],[Date_Year]],Table1[[#This Row],[Date_Month]],1))</f>
        <v>44228</v>
      </c>
    </row>
    <row r="86" spans="2:19" ht="15.75" x14ac:dyDescent="0.25">
      <c r="B86" s="133">
        <v>44249</v>
      </c>
      <c r="C86" s="128" t="s">
        <v>508</v>
      </c>
      <c r="D86" s="128" t="s">
        <v>54</v>
      </c>
      <c r="E86" s="128" t="str" cm="1">
        <f t="array" ref="E86">IFERROR(INDEX(SubcategoriesTable[Subcategory name],MATCH(Table1[[#This Row],[Category]],SubcategoriesTable[Category name],0),0),"")</f>
        <v>Fixed</v>
      </c>
      <c r="F86" s="134">
        <v>-81.319999999999993</v>
      </c>
      <c r="G86" s="167" t="str">
        <f>_xlfn.XLOOKUP(Table1[[#This Row],[Account_ID]], Accounts[ID], Accounts[Account nickname], "Unknown")</f>
        <v>EVERYDAY CHECKING</v>
      </c>
      <c r="H86" s="137" t="str">
        <f>_xlfn.XLOOKUP(Table1[[#This Row],[Account_ID]], Accounts[ID], Accounts[Account'#], "Unknown")</f>
        <v>4636</v>
      </c>
      <c r="I86" s="168" t="str">
        <f>_xlfn.XLOOKUP(Table1[[#This Row],[Institution_ID]], Institutions[ID], Institutions[Institution nickname], "Unknown")</f>
        <v>Wells Fargo</v>
      </c>
      <c r="J86" s="139" t="s">
        <v>1374</v>
      </c>
      <c r="K86" s="129" t="s">
        <v>1229</v>
      </c>
      <c r="L86" s="129" t="s">
        <v>1228</v>
      </c>
      <c r="M86" s="130" t="str" cm="1">
        <f t="array" ref="M86">IFERROR(INDEX(CategoriesTable[Category type],MATCH(Table1[[#This Row],[Category]],CategoriesTable[Category name],0),0),"")</f>
        <v>Expense</v>
      </c>
      <c r="N86" s="130" t="str" cm="1">
        <f t="array" ref="N86">IFERROR(INDEX(SubcategoriesTable[Subcategory name],MATCH(Table1[[#This Row],[Category]],SubcategoriesTable[Category name],0),0),"")</f>
        <v>Fixed</v>
      </c>
      <c r="O86" s="130">
        <v>22</v>
      </c>
      <c r="P86" s="130">
        <f>MONTH(Table1[[#This Row],[Date]])</f>
        <v>2</v>
      </c>
      <c r="Q86" s="130">
        <v>2021</v>
      </c>
      <c r="R86" s="166">
        <f>IF(ISBLANK(Table1[[#This Row],[Date]]),"",Table1[[#This Row],[Date]]-WEEKDAY(Table1[[#This Row],[Date]],2)+1)</f>
        <v>44249</v>
      </c>
      <c r="S86" s="131">
        <f>IF(ISBLANK(Table1[[#This Row],[Date]]),"",DATE(Table1[[#This Row],[Date_Year]],Table1[[#This Row],[Date_Month]],1))</f>
        <v>44228</v>
      </c>
    </row>
    <row r="87" spans="2:19" ht="15.75" x14ac:dyDescent="0.25">
      <c r="B87" s="133">
        <v>44248</v>
      </c>
      <c r="C87" s="128" t="s">
        <v>180</v>
      </c>
      <c r="D87" s="128" t="s">
        <v>45</v>
      </c>
      <c r="E87" s="128" t="str" cm="1">
        <f t="array" ref="E87">IFERROR(INDEX(SubcategoriesTable[Subcategory name],MATCH(Table1[[#This Row],[Category]],SubcategoriesTable[Category name],0),0),"")</f>
        <v>Variable</v>
      </c>
      <c r="F87" s="134">
        <v>-8.23</v>
      </c>
      <c r="G87" s="167" t="str">
        <f>_xlfn.XLOOKUP(Table1[[#This Row],[Account_ID]], Accounts[ID], Accounts[Account nickname], "Unknown")</f>
        <v>Discover it chrome Card</v>
      </c>
      <c r="H87" s="137" t="str">
        <f>_xlfn.XLOOKUP(Table1[[#This Row],[Account_ID]], Accounts[ID], Accounts[Account'#], "Unknown")</f>
        <v>7328</v>
      </c>
      <c r="I87" s="168" t="str">
        <f>_xlfn.XLOOKUP(Table1[[#This Row],[Institution_ID]], Institutions[ID], Institutions[Institution nickname], "Unknown")</f>
        <v>Discover</v>
      </c>
      <c r="J87" s="139" t="s">
        <v>181</v>
      </c>
      <c r="K87" s="129" t="s">
        <v>110</v>
      </c>
      <c r="L87" s="129" t="s">
        <v>108</v>
      </c>
      <c r="M87" s="130" t="str" cm="1">
        <f t="array" ref="M87">IFERROR(INDEX(CategoriesTable[Category type],MATCH(Table1[[#This Row],[Category]],CategoriesTable[Category name],0),0),"")</f>
        <v>Expense</v>
      </c>
      <c r="N87" s="130" t="str" cm="1">
        <f t="array" ref="N87">IFERROR(INDEX(SubcategoriesTable[Subcategory name],MATCH(Table1[[#This Row],[Category]],SubcategoriesTable[Category name],0),0),"")</f>
        <v>Variable</v>
      </c>
      <c r="O87" s="130">
        <v>21</v>
      </c>
      <c r="P87" s="130">
        <f>MONTH(Table1[[#This Row],[Date]])</f>
        <v>2</v>
      </c>
      <c r="Q87" s="130">
        <v>2021</v>
      </c>
      <c r="R87" s="166">
        <f>IF(ISBLANK(Table1[[#This Row],[Date]]),"",Table1[[#This Row],[Date]]-WEEKDAY(Table1[[#This Row],[Date]],2)+1)</f>
        <v>44242</v>
      </c>
      <c r="S87" s="131">
        <f>IF(ISBLANK(Table1[[#This Row],[Date]]),"",DATE(Table1[[#This Row],[Date_Year]],Table1[[#This Row],[Date_Month]],1))</f>
        <v>44228</v>
      </c>
    </row>
    <row r="88" spans="2:19" ht="15.75" x14ac:dyDescent="0.25">
      <c r="B88" s="133">
        <v>44248</v>
      </c>
      <c r="C88" s="128" t="s">
        <v>182</v>
      </c>
      <c r="D88" s="128" t="s">
        <v>2392</v>
      </c>
      <c r="E88" s="128" t="str" cm="1">
        <f t="array" ref="E88">IFERROR(INDEX(SubcategoriesTable[Subcategory name],MATCH(Table1[[#This Row],[Category]],SubcategoriesTable[Category name],0),0),"")</f>
        <v>Variable</v>
      </c>
      <c r="F88" s="134">
        <v>-9.9499999999999993</v>
      </c>
      <c r="G88" s="167" t="str">
        <f>_xlfn.XLOOKUP(Table1[[#This Row],[Account_ID]], Accounts[ID], Accounts[Account nickname], "Unknown")</f>
        <v>Discover it chrome Card</v>
      </c>
      <c r="H88" s="137" t="str">
        <f>_xlfn.XLOOKUP(Table1[[#This Row],[Account_ID]], Accounts[ID], Accounts[Account'#], "Unknown")</f>
        <v>7328</v>
      </c>
      <c r="I88" s="168" t="str">
        <f>_xlfn.XLOOKUP(Table1[[#This Row],[Institution_ID]], Institutions[ID], Institutions[Institution nickname], "Unknown")</f>
        <v>Discover</v>
      </c>
      <c r="J88" s="139" t="s">
        <v>183</v>
      </c>
      <c r="K88" s="129" t="s">
        <v>110</v>
      </c>
      <c r="L88" s="129" t="s">
        <v>108</v>
      </c>
      <c r="M88" s="130" t="str" cm="1">
        <f t="array" ref="M88">IFERROR(INDEX(CategoriesTable[Category type],MATCH(Table1[[#This Row],[Category]],CategoriesTable[Category name],0),0),"")</f>
        <v>Expense</v>
      </c>
      <c r="N88" s="130" t="str" cm="1">
        <f t="array" ref="N88">IFERROR(INDEX(SubcategoriesTable[Subcategory name],MATCH(Table1[[#This Row],[Category]],SubcategoriesTable[Category name],0),0),"")</f>
        <v>Variable</v>
      </c>
      <c r="O88" s="130">
        <v>21</v>
      </c>
      <c r="P88" s="130">
        <f>MONTH(Table1[[#This Row],[Date]])</f>
        <v>2</v>
      </c>
      <c r="Q88" s="130">
        <v>2021</v>
      </c>
      <c r="R88" s="166">
        <f>IF(ISBLANK(Table1[[#This Row],[Date]]),"",Table1[[#This Row],[Date]]-WEEKDAY(Table1[[#This Row],[Date]],2)+1)</f>
        <v>44242</v>
      </c>
      <c r="S88" s="131">
        <f>IF(ISBLANK(Table1[[#This Row],[Date]]),"",DATE(Table1[[#This Row],[Date_Year]],Table1[[#This Row],[Date_Month]],1))</f>
        <v>44228</v>
      </c>
    </row>
    <row r="89" spans="2:19" ht="15.75" x14ac:dyDescent="0.25">
      <c r="B89" s="133">
        <v>44248</v>
      </c>
      <c r="C89" s="128" t="s">
        <v>184</v>
      </c>
      <c r="D89" s="128" t="s">
        <v>54</v>
      </c>
      <c r="E89" s="128" t="str" cm="1">
        <f t="array" ref="E89">IFERROR(INDEX(SubcategoriesTable[Subcategory name],MATCH(Table1[[#This Row],[Category]],SubcategoriesTable[Category name],0),0),"")</f>
        <v>Fixed</v>
      </c>
      <c r="F89" s="134">
        <v>-7.99</v>
      </c>
      <c r="G89" s="167" t="str">
        <f>_xlfn.XLOOKUP(Table1[[#This Row],[Account_ID]], Accounts[ID], Accounts[Account nickname], "Unknown")</f>
        <v>Discover it chrome Card</v>
      </c>
      <c r="H89" s="137" t="str">
        <f>_xlfn.XLOOKUP(Table1[[#This Row],[Account_ID]], Accounts[ID], Accounts[Account'#], "Unknown")</f>
        <v>7328</v>
      </c>
      <c r="I89" s="168" t="str">
        <f>_xlfn.XLOOKUP(Table1[[#This Row],[Institution_ID]], Institutions[ID], Institutions[Institution nickname], "Unknown")</f>
        <v>Discover</v>
      </c>
      <c r="J89" s="139" t="s">
        <v>185</v>
      </c>
      <c r="K89" s="129" t="s">
        <v>110</v>
      </c>
      <c r="L89" s="129" t="s">
        <v>108</v>
      </c>
      <c r="M89" s="130" t="str" cm="1">
        <f t="array" ref="M89">IFERROR(INDEX(CategoriesTable[Category type],MATCH(Table1[[#This Row],[Category]],CategoriesTable[Category name],0),0),"")</f>
        <v>Expense</v>
      </c>
      <c r="N89" s="130" t="str" cm="1">
        <f t="array" ref="N89">IFERROR(INDEX(SubcategoriesTable[Subcategory name],MATCH(Table1[[#This Row],[Category]],SubcategoriesTable[Category name],0),0),"")</f>
        <v>Fixed</v>
      </c>
      <c r="O89" s="130">
        <v>21</v>
      </c>
      <c r="P89" s="130">
        <f>MONTH(Table1[[#This Row],[Date]])</f>
        <v>2</v>
      </c>
      <c r="Q89" s="130">
        <v>2021</v>
      </c>
      <c r="R89" s="166">
        <f>IF(ISBLANK(Table1[[#This Row],[Date]]),"",Table1[[#This Row],[Date]]-WEEKDAY(Table1[[#This Row],[Date]],2)+1)</f>
        <v>44242</v>
      </c>
      <c r="S89" s="131">
        <f>IF(ISBLANK(Table1[[#This Row],[Date]]),"",DATE(Table1[[#This Row],[Date_Year]],Table1[[#This Row],[Date_Month]],1))</f>
        <v>44228</v>
      </c>
    </row>
    <row r="90" spans="2:19" ht="15.75" x14ac:dyDescent="0.25">
      <c r="B90" s="133">
        <v>44248</v>
      </c>
      <c r="C90" s="128" t="s">
        <v>186</v>
      </c>
      <c r="D90" s="128" t="s">
        <v>52</v>
      </c>
      <c r="E90" s="128" t="str" cm="1">
        <f t="array" ref="E90">IFERROR(INDEX(SubcategoriesTable[Subcategory name],MATCH(Table1[[#This Row],[Category]],SubcategoriesTable[Category name],0),0),"")</f>
        <v>Variable</v>
      </c>
      <c r="F90" s="134">
        <v>-25.35</v>
      </c>
      <c r="G90" s="167" t="str">
        <f>_xlfn.XLOOKUP(Table1[[#This Row],[Account_ID]], Accounts[ID], Accounts[Account nickname], "Unknown")</f>
        <v>Discover it chrome Card</v>
      </c>
      <c r="H90" s="137" t="str">
        <f>_xlfn.XLOOKUP(Table1[[#This Row],[Account_ID]], Accounts[ID], Accounts[Account'#], "Unknown")</f>
        <v>7328</v>
      </c>
      <c r="I90" s="168" t="str">
        <f>_xlfn.XLOOKUP(Table1[[#This Row],[Institution_ID]], Institutions[ID], Institutions[Institution nickname], "Unknown")</f>
        <v>Discover</v>
      </c>
      <c r="J90" s="139" t="s">
        <v>187</v>
      </c>
      <c r="K90" s="129" t="s">
        <v>110</v>
      </c>
      <c r="L90" s="129" t="s">
        <v>108</v>
      </c>
      <c r="M90" s="130" t="str" cm="1">
        <f t="array" ref="M90">IFERROR(INDEX(CategoriesTable[Category type],MATCH(Table1[[#This Row],[Category]],CategoriesTable[Category name],0),0),"")</f>
        <v>Expense</v>
      </c>
      <c r="N90" s="130" t="str" cm="1">
        <f t="array" ref="N90">IFERROR(INDEX(SubcategoriesTable[Subcategory name],MATCH(Table1[[#This Row],[Category]],SubcategoriesTable[Category name],0),0),"")</f>
        <v>Variable</v>
      </c>
      <c r="O90" s="130">
        <v>21</v>
      </c>
      <c r="P90" s="130">
        <f>MONTH(Table1[[#This Row],[Date]])</f>
        <v>2</v>
      </c>
      <c r="Q90" s="130">
        <v>2021</v>
      </c>
      <c r="R90" s="166">
        <f>IF(ISBLANK(Table1[[#This Row],[Date]]),"",Table1[[#This Row],[Date]]-WEEKDAY(Table1[[#This Row],[Date]],2)+1)</f>
        <v>44242</v>
      </c>
      <c r="S90" s="131">
        <f>IF(ISBLANK(Table1[[#This Row],[Date]]),"",DATE(Table1[[#This Row],[Date_Year]],Table1[[#This Row],[Date_Month]],1))</f>
        <v>44228</v>
      </c>
    </row>
    <row r="91" spans="2:19" ht="15.75" x14ac:dyDescent="0.25">
      <c r="B91" s="133">
        <v>44248</v>
      </c>
      <c r="C91" s="128" t="s">
        <v>115</v>
      </c>
      <c r="D91" s="128" t="s">
        <v>48</v>
      </c>
      <c r="E91" s="128" t="str" cm="1">
        <f t="array" ref="E91">IFERROR(INDEX(SubcategoriesTable[Subcategory name],MATCH(Table1[[#This Row],[Category]],SubcategoriesTable[Category name],0),0),"")</f>
        <v>Variable</v>
      </c>
      <c r="F91" s="134">
        <v>-11.64</v>
      </c>
      <c r="G91" s="167" t="str">
        <f>_xlfn.XLOOKUP(Table1[[#This Row],[Account_ID]], Accounts[ID], Accounts[Account nickname], "Unknown")</f>
        <v>Discover it chrome Card</v>
      </c>
      <c r="H91" s="137" t="str">
        <f>_xlfn.XLOOKUP(Table1[[#This Row],[Account_ID]], Accounts[ID], Accounts[Account'#], "Unknown")</f>
        <v>7328</v>
      </c>
      <c r="I91" s="168" t="str">
        <f>_xlfn.XLOOKUP(Table1[[#This Row],[Institution_ID]], Institutions[ID], Institutions[Institution nickname], "Unknown")</f>
        <v>Discover</v>
      </c>
      <c r="J91" s="139" t="s">
        <v>188</v>
      </c>
      <c r="K91" s="129" t="s">
        <v>110</v>
      </c>
      <c r="L91" s="129" t="s">
        <v>108</v>
      </c>
      <c r="M91" s="130" t="str" cm="1">
        <f t="array" ref="M91">IFERROR(INDEX(CategoriesTable[Category type],MATCH(Table1[[#This Row],[Category]],CategoriesTable[Category name],0),0),"")</f>
        <v>Expense</v>
      </c>
      <c r="N91" s="130" t="str" cm="1">
        <f t="array" ref="N91">IFERROR(INDEX(SubcategoriesTable[Subcategory name],MATCH(Table1[[#This Row],[Category]],SubcategoriesTable[Category name],0),0),"")</f>
        <v>Variable</v>
      </c>
      <c r="O91" s="130">
        <v>21</v>
      </c>
      <c r="P91" s="130">
        <f>MONTH(Table1[[#This Row],[Date]])</f>
        <v>2</v>
      </c>
      <c r="Q91" s="130">
        <v>2021</v>
      </c>
      <c r="R91" s="166">
        <f>IF(ISBLANK(Table1[[#This Row],[Date]]),"",Table1[[#This Row],[Date]]-WEEKDAY(Table1[[#This Row],[Date]],2)+1)</f>
        <v>44242</v>
      </c>
      <c r="S91" s="131">
        <f>IF(ISBLANK(Table1[[#This Row],[Date]]),"",DATE(Table1[[#This Row],[Date_Year]],Table1[[#This Row],[Date_Month]],1))</f>
        <v>44228</v>
      </c>
    </row>
    <row r="92" spans="2:19" ht="15.75" x14ac:dyDescent="0.25">
      <c r="B92" s="133">
        <v>44248</v>
      </c>
      <c r="C92" s="128" t="s">
        <v>115</v>
      </c>
      <c r="D92" s="128" t="s">
        <v>48</v>
      </c>
      <c r="E92" s="128" t="str" cm="1">
        <f t="array" ref="E92">IFERROR(INDEX(SubcategoriesTable[Subcategory name],MATCH(Table1[[#This Row],[Category]],SubcategoriesTable[Category name],0),0),"")</f>
        <v>Variable</v>
      </c>
      <c r="F92" s="134">
        <v>-20.14</v>
      </c>
      <c r="G92" s="167" t="str">
        <f>_xlfn.XLOOKUP(Table1[[#This Row],[Account_ID]], Accounts[ID], Accounts[Account nickname], "Unknown")</f>
        <v>Discover it chrome Card</v>
      </c>
      <c r="H92" s="137" t="str">
        <f>_xlfn.XLOOKUP(Table1[[#This Row],[Account_ID]], Accounts[ID], Accounts[Account'#], "Unknown")</f>
        <v>7328</v>
      </c>
      <c r="I92" s="168" t="str">
        <f>_xlfn.XLOOKUP(Table1[[#This Row],[Institution_ID]], Institutions[ID], Institutions[Institution nickname], "Unknown")</f>
        <v>Discover</v>
      </c>
      <c r="J92" s="139" t="s">
        <v>189</v>
      </c>
      <c r="K92" s="129" t="s">
        <v>110</v>
      </c>
      <c r="L92" s="129" t="s">
        <v>108</v>
      </c>
      <c r="M92" s="130" t="str" cm="1">
        <f t="array" ref="M92">IFERROR(INDEX(CategoriesTable[Category type],MATCH(Table1[[#This Row],[Category]],CategoriesTable[Category name],0),0),"")</f>
        <v>Expense</v>
      </c>
      <c r="N92" s="130" t="str" cm="1">
        <f t="array" ref="N92">IFERROR(INDEX(SubcategoriesTable[Subcategory name],MATCH(Table1[[#This Row],[Category]],SubcategoriesTable[Category name],0),0),"")</f>
        <v>Variable</v>
      </c>
      <c r="O92" s="130">
        <v>21</v>
      </c>
      <c r="P92" s="130">
        <f>MONTH(Table1[[#This Row],[Date]])</f>
        <v>2</v>
      </c>
      <c r="Q92" s="130">
        <v>2021</v>
      </c>
      <c r="R92" s="166">
        <f>IF(ISBLANK(Table1[[#This Row],[Date]]),"",Table1[[#This Row],[Date]]-WEEKDAY(Table1[[#This Row],[Date]],2)+1)</f>
        <v>44242</v>
      </c>
      <c r="S92" s="131">
        <f>IF(ISBLANK(Table1[[#This Row],[Date]]),"",DATE(Table1[[#This Row],[Date_Year]],Table1[[#This Row],[Date_Month]],1))</f>
        <v>44228</v>
      </c>
    </row>
    <row r="93" spans="2:19" ht="15.75" x14ac:dyDescent="0.25">
      <c r="B93" s="133">
        <v>44248</v>
      </c>
      <c r="C93" s="128" t="s">
        <v>115</v>
      </c>
      <c r="D93" s="128" t="s">
        <v>48</v>
      </c>
      <c r="E93" s="128" t="str" cm="1">
        <f t="array" ref="E93">IFERROR(INDEX(SubcategoriesTable[Subcategory name],MATCH(Table1[[#This Row],[Category]],SubcategoriesTable[Category name],0),0),"")</f>
        <v>Variable</v>
      </c>
      <c r="F93" s="134">
        <v>-21.14</v>
      </c>
      <c r="G93" s="167" t="str">
        <f>_xlfn.XLOOKUP(Table1[[#This Row],[Account_ID]], Accounts[ID], Accounts[Account nickname], "Unknown")</f>
        <v>Discover it chrome Card</v>
      </c>
      <c r="H93" s="137" t="str">
        <f>_xlfn.XLOOKUP(Table1[[#This Row],[Account_ID]], Accounts[ID], Accounts[Account'#], "Unknown")</f>
        <v>7328</v>
      </c>
      <c r="I93" s="168" t="str">
        <f>_xlfn.XLOOKUP(Table1[[#This Row],[Institution_ID]], Institutions[ID], Institutions[Institution nickname], "Unknown")</f>
        <v>Discover</v>
      </c>
      <c r="J93" s="139" t="s">
        <v>190</v>
      </c>
      <c r="K93" s="129" t="s">
        <v>110</v>
      </c>
      <c r="L93" s="129" t="s">
        <v>108</v>
      </c>
      <c r="M93" s="130" t="str" cm="1">
        <f t="array" ref="M93">IFERROR(INDEX(CategoriesTable[Category type],MATCH(Table1[[#This Row],[Category]],CategoriesTable[Category name],0),0),"")</f>
        <v>Expense</v>
      </c>
      <c r="N93" s="130" t="str" cm="1">
        <f t="array" ref="N93">IFERROR(INDEX(SubcategoriesTable[Subcategory name],MATCH(Table1[[#This Row],[Category]],SubcategoriesTable[Category name],0),0),"")</f>
        <v>Variable</v>
      </c>
      <c r="O93" s="130">
        <v>21</v>
      </c>
      <c r="P93" s="130">
        <f>MONTH(Table1[[#This Row],[Date]])</f>
        <v>2</v>
      </c>
      <c r="Q93" s="130">
        <v>2021</v>
      </c>
      <c r="R93" s="166">
        <f>IF(ISBLANK(Table1[[#This Row],[Date]]),"",Table1[[#This Row],[Date]]-WEEKDAY(Table1[[#This Row],[Date]],2)+1)</f>
        <v>44242</v>
      </c>
      <c r="S93" s="131">
        <f>IF(ISBLANK(Table1[[#This Row],[Date]]),"",DATE(Table1[[#This Row],[Date_Year]],Table1[[#This Row],[Date_Month]],1))</f>
        <v>44228</v>
      </c>
    </row>
    <row r="94" spans="2:19" ht="15.75" x14ac:dyDescent="0.25">
      <c r="B94" s="133">
        <v>44247</v>
      </c>
      <c r="C94" s="128" t="s">
        <v>191</v>
      </c>
      <c r="D94" s="128" t="s">
        <v>48</v>
      </c>
      <c r="E94" s="128" t="str" cm="1">
        <f t="array" ref="E94">IFERROR(INDEX(SubcategoriesTable[Subcategory name],MATCH(Table1[[#This Row],[Category]],SubcategoriesTable[Category name],0),0),"")</f>
        <v>Variable</v>
      </c>
      <c r="F94" s="134">
        <v>-135.35</v>
      </c>
      <c r="G94" s="167" t="str">
        <f>_xlfn.XLOOKUP(Table1[[#This Row],[Account_ID]], Accounts[ID], Accounts[Account nickname], "Unknown")</f>
        <v>Discover it chrome Card</v>
      </c>
      <c r="H94" s="137" t="str">
        <f>_xlfn.XLOOKUP(Table1[[#This Row],[Account_ID]], Accounts[ID], Accounts[Account'#], "Unknown")</f>
        <v>7328</v>
      </c>
      <c r="I94" s="168" t="str">
        <f>_xlfn.XLOOKUP(Table1[[#This Row],[Institution_ID]], Institutions[ID], Institutions[Institution nickname], "Unknown")</f>
        <v>Discover</v>
      </c>
      <c r="J94" s="139" t="s">
        <v>192</v>
      </c>
      <c r="K94" s="129" t="s">
        <v>110</v>
      </c>
      <c r="L94" s="129" t="s">
        <v>108</v>
      </c>
      <c r="M94" s="130" t="str" cm="1">
        <f t="array" ref="M94">IFERROR(INDEX(CategoriesTable[Category type],MATCH(Table1[[#This Row],[Category]],CategoriesTable[Category name],0),0),"")</f>
        <v>Expense</v>
      </c>
      <c r="N94" s="130" t="str" cm="1">
        <f t="array" ref="N94">IFERROR(INDEX(SubcategoriesTable[Subcategory name],MATCH(Table1[[#This Row],[Category]],SubcategoriesTable[Category name],0),0),"")</f>
        <v>Variable</v>
      </c>
      <c r="O94" s="130">
        <v>20</v>
      </c>
      <c r="P94" s="130">
        <f>MONTH(Table1[[#This Row],[Date]])</f>
        <v>2</v>
      </c>
      <c r="Q94" s="130">
        <v>2021</v>
      </c>
      <c r="R94" s="166">
        <f>IF(ISBLANK(Table1[[#This Row],[Date]]),"",Table1[[#This Row],[Date]]-WEEKDAY(Table1[[#This Row],[Date]],2)+1)</f>
        <v>44242</v>
      </c>
      <c r="S94" s="131">
        <f>IF(ISBLANK(Table1[[#This Row],[Date]]),"",DATE(Table1[[#This Row],[Date_Year]],Table1[[#This Row],[Date_Month]],1))</f>
        <v>44228</v>
      </c>
    </row>
    <row r="95" spans="2:19" ht="15.75" x14ac:dyDescent="0.25">
      <c r="B95" s="133">
        <v>44247</v>
      </c>
      <c r="C95" s="128" t="s">
        <v>193</v>
      </c>
      <c r="D95" s="128" t="s">
        <v>54</v>
      </c>
      <c r="E95" s="128" t="str" cm="1">
        <f t="array" ref="E95">IFERROR(INDEX(SubcategoriesTable[Subcategory name],MATCH(Table1[[#This Row],[Category]],SubcategoriesTable[Category name],0),0),"")</f>
        <v>Fixed</v>
      </c>
      <c r="F95" s="134">
        <v>-86.25</v>
      </c>
      <c r="G95" s="167" t="str">
        <f>_xlfn.XLOOKUP(Table1[[#This Row],[Account_ID]], Accounts[ID], Accounts[Account nickname], "Unknown")</f>
        <v>Discover it chrome Card</v>
      </c>
      <c r="H95" s="137" t="str">
        <f>_xlfn.XLOOKUP(Table1[[#This Row],[Account_ID]], Accounts[ID], Accounts[Account'#], "Unknown")</f>
        <v>7328</v>
      </c>
      <c r="I95" s="168" t="str">
        <f>_xlfn.XLOOKUP(Table1[[#This Row],[Institution_ID]], Institutions[ID], Institutions[Institution nickname], "Unknown")</f>
        <v>Discover</v>
      </c>
      <c r="J95" s="139" t="s">
        <v>194</v>
      </c>
      <c r="K95" s="129" t="s">
        <v>110</v>
      </c>
      <c r="L95" s="129" t="s">
        <v>108</v>
      </c>
      <c r="M95" s="130" t="str" cm="1">
        <f t="array" ref="M95">IFERROR(INDEX(CategoriesTable[Category type],MATCH(Table1[[#This Row],[Category]],CategoriesTable[Category name],0),0),"")</f>
        <v>Expense</v>
      </c>
      <c r="N95" s="130" t="str" cm="1">
        <f t="array" ref="N95">IFERROR(INDEX(SubcategoriesTable[Subcategory name],MATCH(Table1[[#This Row],[Category]],SubcategoriesTable[Category name],0),0),"")</f>
        <v>Fixed</v>
      </c>
      <c r="O95" s="130">
        <v>20</v>
      </c>
      <c r="P95" s="130">
        <f>MONTH(Table1[[#This Row],[Date]])</f>
        <v>2</v>
      </c>
      <c r="Q95" s="130">
        <v>2021</v>
      </c>
      <c r="R95" s="166">
        <f>IF(ISBLANK(Table1[[#This Row],[Date]]),"",Table1[[#This Row],[Date]]-WEEKDAY(Table1[[#This Row],[Date]],2)+1)</f>
        <v>44242</v>
      </c>
      <c r="S95" s="131">
        <f>IF(ISBLANK(Table1[[#This Row],[Date]]),"",DATE(Table1[[#This Row],[Date_Year]],Table1[[#This Row],[Date_Month]],1))</f>
        <v>44228</v>
      </c>
    </row>
    <row r="96" spans="2:19" ht="15.75" x14ac:dyDescent="0.25">
      <c r="B96" s="133">
        <v>44247</v>
      </c>
      <c r="C96" s="128" t="s">
        <v>195</v>
      </c>
      <c r="D96" s="128" t="s">
        <v>48</v>
      </c>
      <c r="E96" s="128" t="str" cm="1">
        <f t="array" ref="E96">IFERROR(INDEX(SubcategoriesTable[Subcategory name],MATCH(Table1[[#This Row],[Category]],SubcategoriesTable[Category name],0),0),"")</f>
        <v>Variable</v>
      </c>
      <c r="F96" s="134">
        <v>-10.64</v>
      </c>
      <c r="G96" s="167" t="str">
        <f>_xlfn.XLOOKUP(Table1[[#This Row],[Account_ID]], Accounts[ID], Accounts[Account nickname], "Unknown")</f>
        <v>Discover it chrome Card</v>
      </c>
      <c r="H96" s="137" t="str">
        <f>_xlfn.XLOOKUP(Table1[[#This Row],[Account_ID]], Accounts[ID], Accounts[Account'#], "Unknown")</f>
        <v>7328</v>
      </c>
      <c r="I96" s="168" t="str">
        <f>_xlfn.XLOOKUP(Table1[[#This Row],[Institution_ID]], Institutions[ID], Institutions[Institution nickname], "Unknown")</f>
        <v>Discover</v>
      </c>
      <c r="J96" s="139" t="s">
        <v>196</v>
      </c>
      <c r="K96" s="129" t="s">
        <v>110</v>
      </c>
      <c r="L96" s="129" t="s">
        <v>108</v>
      </c>
      <c r="M96" s="130" t="str" cm="1">
        <f t="array" ref="M96">IFERROR(INDEX(CategoriesTable[Category type],MATCH(Table1[[#This Row],[Category]],CategoriesTable[Category name],0),0),"")</f>
        <v>Expense</v>
      </c>
      <c r="N96" s="130" t="str" cm="1">
        <f t="array" ref="N96">IFERROR(INDEX(SubcategoriesTable[Subcategory name],MATCH(Table1[[#This Row],[Category]],SubcategoriesTable[Category name],0),0),"")</f>
        <v>Variable</v>
      </c>
      <c r="O96" s="130">
        <v>20</v>
      </c>
      <c r="P96" s="130">
        <f>MONTH(Table1[[#This Row],[Date]])</f>
        <v>2</v>
      </c>
      <c r="Q96" s="130">
        <v>2021</v>
      </c>
      <c r="R96" s="166">
        <f>IF(ISBLANK(Table1[[#This Row],[Date]]),"",Table1[[#This Row],[Date]]-WEEKDAY(Table1[[#This Row],[Date]],2)+1)</f>
        <v>44242</v>
      </c>
      <c r="S96" s="131">
        <f>IF(ISBLANK(Table1[[#This Row],[Date]]),"",DATE(Table1[[#This Row],[Date_Year]],Table1[[#This Row],[Date_Month]],1))</f>
        <v>44228</v>
      </c>
    </row>
    <row r="97" spans="2:19" ht="15.75" x14ac:dyDescent="0.25">
      <c r="B97" s="133">
        <v>44247</v>
      </c>
      <c r="C97" s="128" t="s">
        <v>197</v>
      </c>
      <c r="D97" s="128" t="s">
        <v>2369</v>
      </c>
      <c r="E97" s="128" t="str" cm="1">
        <f t="array" ref="E97">IFERROR(INDEX(SubcategoriesTable[Subcategory name],MATCH(Table1[[#This Row],[Category]],SubcategoriesTable[Category name],0),0),"")</f>
        <v>Variable</v>
      </c>
      <c r="F97" s="134">
        <v>-6.99</v>
      </c>
      <c r="G97" s="167" t="str">
        <f>_xlfn.XLOOKUP(Table1[[#This Row],[Account_ID]], Accounts[ID], Accounts[Account nickname], "Unknown")</f>
        <v>Discover it chrome Card</v>
      </c>
      <c r="H97" s="137" t="str">
        <f>_xlfn.XLOOKUP(Table1[[#This Row],[Account_ID]], Accounts[ID], Accounts[Account'#], "Unknown")</f>
        <v>7328</v>
      </c>
      <c r="I97" s="168" t="str">
        <f>_xlfn.XLOOKUP(Table1[[#This Row],[Institution_ID]], Institutions[ID], Institutions[Institution nickname], "Unknown")</f>
        <v>Discover</v>
      </c>
      <c r="J97" s="139" t="s">
        <v>198</v>
      </c>
      <c r="K97" s="129" t="s">
        <v>110</v>
      </c>
      <c r="L97" s="129" t="s">
        <v>108</v>
      </c>
      <c r="M97" s="130" t="str" cm="1">
        <f t="array" ref="M97">IFERROR(INDEX(CategoriesTable[Category type],MATCH(Table1[[#This Row],[Category]],CategoriesTable[Category name],0),0),"")</f>
        <v>Expense</v>
      </c>
      <c r="N97" s="130" t="str" cm="1">
        <f t="array" ref="N97">IFERROR(INDEX(SubcategoriesTable[Subcategory name],MATCH(Table1[[#This Row],[Category]],SubcategoriesTable[Category name],0),0),"")</f>
        <v>Variable</v>
      </c>
      <c r="O97" s="130">
        <v>20</v>
      </c>
      <c r="P97" s="130">
        <f>MONTH(Table1[[#This Row],[Date]])</f>
        <v>2</v>
      </c>
      <c r="Q97" s="130">
        <v>2021</v>
      </c>
      <c r="R97" s="166">
        <f>IF(ISBLANK(Table1[[#This Row],[Date]]),"",Table1[[#This Row],[Date]]-WEEKDAY(Table1[[#This Row],[Date]],2)+1)</f>
        <v>44242</v>
      </c>
      <c r="S97" s="131">
        <f>IF(ISBLANK(Table1[[#This Row],[Date]]),"",DATE(Table1[[#This Row],[Date_Year]],Table1[[#This Row],[Date_Month]],1))</f>
        <v>44228</v>
      </c>
    </row>
    <row r="98" spans="2:19" ht="15.75" x14ac:dyDescent="0.25">
      <c r="B98" s="133">
        <v>44246</v>
      </c>
      <c r="C98" s="128" t="s">
        <v>1185</v>
      </c>
      <c r="D98" s="128" t="s">
        <v>57</v>
      </c>
      <c r="E98" s="128" t="str" cm="1">
        <f t="array" ref="E98">IFERROR(INDEX(SubcategoriesTable[Subcategory name],MATCH(Table1[[#This Row],[Category]],SubcategoriesTable[Category name],0),0),"")</f>
        <v>Variable</v>
      </c>
      <c r="F98" s="134">
        <v>138.47</v>
      </c>
      <c r="G98" s="167" t="str">
        <f>_xlfn.XLOOKUP(Table1[[#This Row],[Account_ID]], Accounts[ID], Accounts[Account nickname], "Unknown")</f>
        <v>EVERYDAY CHECKING</v>
      </c>
      <c r="H98" s="137" t="str">
        <f>_xlfn.XLOOKUP(Table1[[#This Row],[Account_ID]], Accounts[ID], Accounts[Account'#], "Unknown")</f>
        <v>4636</v>
      </c>
      <c r="I98" s="168" t="str">
        <f>_xlfn.XLOOKUP(Table1[[#This Row],[Institution_ID]], Institutions[ID], Institutions[Institution nickname], "Unknown")</f>
        <v>Wells Fargo</v>
      </c>
      <c r="J98" s="139" t="s">
        <v>1375</v>
      </c>
      <c r="K98" s="129" t="s">
        <v>1229</v>
      </c>
      <c r="L98" s="129" t="s">
        <v>1228</v>
      </c>
      <c r="M98" s="130" t="str" cm="1">
        <f t="array" ref="M98">IFERROR(INDEX(CategoriesTable[Category type],MATCH(Table1[[#This Row],[Category]],CategoriesTable[Category name],0),0),"")</f>
        <v>Transfer</v>
      </c>
      <c r="N98" s="130" t="str" cm="1">
        <f t="array" ref="N98">IFERROR(INDEX(SubcategoriesTable[Subcategory name],MATCH(Table1[[#This Row],[Category]],SubcategoriesTable[Category name],0),0),"")</f>
        <v>Variable</v>
      </c>
      <c r="O98" s="130">
        <v>19</v>
      </c>
      <c r="P98" s="130">
        <f>MONTH(Table1[[#This Row],[Date]])</f>
        <v>2</v>
      </c>
      <c r="Q98" s="130">
        <v>2021</v>
      </c>
      <c r="R98" s="166">
        <f>IF(ISBLANK(Table1[[#This Row],[Date]]),"",Table1[[#This Row],[Date]]-WEEKDAY(Table1[[#This Row],[Date]],2)+1)</f>
        <v>44242</v>
      </c>
      <c r="S98" s="131">
        <f>IF(ISBLANK(Table1[[#This Row],[Date]]),"",DATE(Table1[[#This Row],[Date_Year]],Table1[[#This Row],[Date_Month]],1))</f>
        <v>44228</v>
      </c>
    </row>
    <row r="99" spans="2:19" ht="15.75" x14ac:dyDescent="0.25">
      <c r="B99" s="133">
        <v>44246</v>
      </c>
      <c r="C99" s="128" t="s">
        <v>1183</v>
      </c>
      <c r="D99" s="128" t="s">
        <v>1204</v>
      </c>
      <c r="E99" s="128" t="str" cm="1">
        <f t="array" ref="E99">IFERROR(INDEX(SubcategoriesTable[Subcategory name],MATCH(Table1[[#This Row],[Category]],SubcategoriesTable[Category name],0),0),"")</f>
        <v>Variable</v>
      </c>
      <c r="F99" s="134">
        <v>-100</v>
      </c>
      <c r="G99" s="167" t="str">
        <f>_xlfn.XLOOKUP(Table1[[#This Row],[Account_ID]], Accounts[ID], Accounts[Account nickname], "Unknown")</f>
        <v>EVERYDAY CHECKING</v>
      </c>
      <c r="H99" s="137" t="str">
        <f>_xlfn.XLOOKUP(Table1[[#This Row],[Account_ID]], Accounts[ID], Accounts[Account'#], "Unknown")</f>
        <v>4636</v>
      </c>
      <c r="I99" s="168" t="str">
        <f>_xlfn.XLOOKUP(Table1[[#This Row],[Institution_ID]], Institutions[ID], Institutions[Institution nickname], "Unknown")</f>
        <v>Wells Fargo</v>
      </c>
      <c r="J99" s="139" t="s">
        <v>1376</v>
      </c>
      <c r="K99" s="129" t="s">
        <v>1229</v>
      </c>
      <c r="L99" s="129" t="s">
        <v>1228</v>
      </c>
      <c r="M99" s="130" t="str" cm="1">
        <f t="array" ref="M99">IFERROR(INDEX(CategoriesTable[Category type],MATCH(Table1[[#This Row],[Category]],CategoriesTable[Category name],0),0),"")</f>
        <v>Savings</v>
      </c>
      <c r="N99" s="130" t="str" cm="1">
        <f t="array" ref="N99">IFERROR(INDEX(SubcategoriesTable[Subcategory name],MATCH(Table1[[#This Row],[Category]],SubcategoriesTable[Category name],0),0),"")</f>
        <v>Variable</v>
      </c>
      <c r="O99" s="130">
        <v>19</v>
      </c>
      <c r="P99" s="130">
        <f>MONTH(Table1[[#This Row],[Date]])</f>
        <v>2</v>
      </c>
      <c r="Q99" s="130">
        <v>2021</v>
      </c>
      <c r="R99" s="166">
        <f>IF(ISBLANK(Table1[[#This Row],[Date]]),"",Table1[[#This Row],[Date]]-WEEKDAY(Table1[[#This Row],[Date]],2)+1)</f>
        <v>44242</v>
      </c>
      <c r="S99" s="131">
        <f>IF(ISBLANK(Table1[[#This Row],[Date]]),"",DATE(Table1[[#This Row],[Date_Year]],Table1[[#This Row],[Date_Month]],1))</f>
        <v>44228</v>
      </c>
    </row>
    <row r="100" spans="2:19" ht="15.75" x14ac:dyDescent="0.25">
      <c r="B100" s="133">
        <v>44246</v>
      </c>
      <c r="C100" s="128" t="s">
        <v>199</v>
      </c>
      <c r="D100" s="128" t="s">
        <v>45</v>
      </c>
      <c r="E100" s="128" t="str" cm="1">
        <f t="array" ref="E100">IFERROR(INDEX(SubcategoriesTable[Subcategory name],MATCH(Table1[[#This Row],[Category]],SubcategoriesTable[Category name],0),0),"")</f>
        <v>Variable</v>
      </c>
      <c r="F100" s="134">
        <v>-40.42</v>
      </c>
      <c r="G100" s="167" t="str">
        <f>_xlfn.XLOOKUP(Table1[[#This Row],[Account_ID]], Accounts[ID], Accounts[Account nickname], "Unknown")</f>
        <v>Discover it chrome Card</v>
      </c>
      <c r="H100" s="137" t="str">
        <f>_xlfn.XLOOKUP(Table1[[#This Row],[Account_ID]], Accounts[ID], Accounts[Account'#], "Unknown")</f>
        <v>7328</v>
      </c>
      <c r="I100" s="168" t="str">
        <f>_xlfn.XLOOKUP(Table1[[#This Row],[Institution_ID]], Institutions[ID], Institutions[Institution nickname], "Unknown")</f>
        <v>Discover</v>
      </c>
      <c r="J100" s="139" t="s">
        <v>200</v>
      </c>
      <c r="K100" s="129" t="s">
        <v>110</v>
      </c>
      <c r="L100" s="129" t="s">
        <v>108</v>
      </c>
      <c r="M100" s="130" t="str" cm="1">
        <f t="array" ref="M100">IFERROR(INDEX(CategoriesTable[Category type],MATCH(Table1[[#This Row],[Category]],CategoriesTable[Category name],0),0),"")</f>
        <v>Expense</v>
      </c>
      <c r="N100" s="130" t="str" cm="1">
        <f t="array" ref="N100">IFERROR(INDEX(SubcategoriesTable[Subcategory name],MATCH(Table1[[#This Row],[Category]],SubcategoriesTable[Category name],0),0),"")</f>
        <v>Variable</v>
      </c>
      <c r="O100" s="130">
        <v>19</v>
      </c>
      <c r="P100" s="130">
        <f>MONTH(Table1[[#This Row],[Date]])</f>
        <v>2</v>
      </c>
      <c r="Q100" s="130">
        <v>2021</v>
      </c>
      <c r="R100" s="166">
        <f>IF(ISBLANK(Table1[[#This Row],[Date]]),"",Table1[[#This Row],[Date]]-WEEKDAY(Table1[[#This Row],[Date]],2)+1)</f>
        <v>44242</v>
      </c>
      <c r="S100" s="131">
        <f>IF(ISBLANK(Table1[[#This Row],[Date]]),"",DATE(Table1[[#This Row],[Date_Year]],Table1[[#This Row],[Date_Month]],1))</f>
        <v>44228</v>
      </c>
    </row>
    <row r="101" spans="2:19" ht="15.75" x14ac:dyDescent="0.25">
      <c r="B101" s="133">
        <v>44245</v>
      </c>
      <c r="C101" s="128" t="s">
        <v>50</v>
      </c>
      <c r="D101" s="128" t="s">
        <v>1204</v>
      </c>
      <c r="E101" s="128"/>
      <c r="F101" s="134">
        <v>100</v>
      </c>
      <c r="G101" s="167" t="str">
        <f>_xlfn.XLOOKUP(Table1[[#This Row],[Account_ID]], Accounts[ID], Accounts[Account nickname], "Unknown")</f>
        <v>Checking - 4480</v>
      </c>
      <c r="H101" s="137" t="str">
        <f>_xlfn.XLOOKUP(Table1[[#This Row],[Account_ID]], Accounts[ID], Accounts[Account'#], "Unknown")</f>
        <v>4480</v>
      </c>
      <c r="I101" s="168" t="str">
        <f>_xlfn.XLOOKUP(Table1[[#This Row],[Institution_ID]], Institutions[ID], Institutions[Institution nickname], "Unknown")</f>
        <v>Robinhood</v>
      </c>
      <c r="J101" s="139" t="s">
        <v>1217</v>
      </c>
      <c r="K101" s="129" t="s">
        <v>1208</v>
      </c>
      <c r="L101" s="173" t="s">
        <v>1207</v>
      </c>
      <c r="M101" s="130" t="str" cm="1">
        <f t="array" ref="M101">IFERROR(INDEX(CategoriesTable[Category type],MATCH(Table1[[#This Row],[Category]],CategoriesTable[Category name],0),0),"")</f>
        <v>Savings</v>
      </c>
      <c r="N101" s="130" t="str" cm="1">
        <f t="array" ref="N101">IFERROR(INDEX(SubcategoriesTable[Subcategory name],MATCH(Table1[[#This Row],[Category]],SubcategoriesTable[Category name],0),0),"")</f>
        <v>Variable</v>
      </c>
      <c r="O101" s="130">
        <v>18</v>
      </c>
      <c r="P101" s="130">
        <f>MONTH(Table1[[#This Row],[Date]])</f>
        <v>2</v>
      </c>
      <c r="Q101" s="130">
        <v>2021</v>
      </c>
      <c r="R101" s="166">
        <f>IF(ISBLANK(Table1[[#This Row],[Date]]),"",Table1[[#This Row],[Date]]-WEEKDAY(Table1[[#This Row],[Date]],2)+1)</f>
        <v>44242</v>
      </c>
      <c r="S101" s="131">
        <f>IF(ISBLANK(Table1[[#This Row],[Date]]),"",DATE(Table1[[#This Row],[Date_Year]],Table1[[#This Row],[Date_Month]],1))</f>
        <v>44228</v>
      </c>
    </row>
    <row r="102" spans="2:19" ht="15.75" x14ac:dyDescent="0.25">
      <c r="B102" s="133">
        <v>44244</v>
      </c>
      <c r="C102" s="128" t="s">
        <v>1183</v>
      </c>
      <c r="D102" s="128" t="s">
        <v>1204</v>
      </c>
      <c r="E102" s="128" t="str" cm="1">
        <f t="array" ref="E102">IFERROR(INDEX(SubcategoriesTable[Subcategory name],MATCH(Table1[[#This Row],[Category]],SubcategoriesTable[Category name],0),0),"")</f>
        <v>Variable</v>
      </c>
      <c r="F102" s="134">
        <v>-50</v>
      </c>
      <c r="G102" s="167" t="str">
        <f>_xlfn.XLOOKUP(Table1[[#This Row],[Account_ID]], Accounts[ID], Accounts[Account nickname], "Unknown")</f>
        <v>EVERYDAY CHECKING</v>
      </c>
      <c r="H102" s="137" t="str">
        <f>_xlfn.XLOOKUP(Table1[[#This Row],[Account_ID]], Accounts[ID], Accounts[Account'#], "Unknown")</f>
        <v>4636</v>
      </c>
      <c r="I102" s="168" t="str">
        <f>_xlfn.XLOOKUP(Table1[[#This Row],[Institution_ID]], Institutions[ID], Institutions[Institution nickname], "Unknown")</f>
        <v>Wells Fargo</v>
      </c>
      <c r="J102" s="139" t="s">
        <v>1377</v>
      </c>
      <c r="K102" s="129" t="s">
        <v>1229</v>
      </c>
      <c r="L102" s="129" t="s">
        <v>1228</v>
      </c>
      <c r="M102" s="130" t="str" cm="1">
        <f t="array" ref="M102">IFERROR(INDEX(CategoriesTable[Category type],MATCH(Table1[[#This Row],[Category]],CategoriesTable[Category name],0),0),"")</f>
        <v>Savings</v>
      </c>
      <c r="N102" s="130" t="str" cm="1">
        <f t="array" ref="N102">IFERROR(INDEX(SubcategoriesTable[Subcategory name],MATCH(Table1[[#This Row],[Category]],SubcategoriesTable[Category name],0),0),"")</f>
        <v>Variable</v>
      </c>
      <c r="O102" s="130">
        <v>17</v>
      </c>
      <c r="P102" s="130">
        <f>MONTH(Table1[[#This Row],[Date]])</f>
        <v>2</v>
      </c>
      <c r="Q102" s="130">
        <v>2021</v>
      </c>
      <c r="R102" s="166">
        <f>IF(ISBLANK(Table1[[#This Row],[Date]]),"",Table1[[#This Row],[Date]]-WEEKDAY(Table1[[#This Row],[Date]],2)+1)</f>
        <v>44242</v>
      </c>
      <c r="S102" s="131">
        <f>IF(ISBLANK(Table1[[#This Row],[Date]]),"",DATE(Table1[[#This Row],[Date_Year]],Table1[[#This Row],[Date_Month]],1))</f>
        <v>44228</v>
      </c>
    </row>
    <row r="103" spans="2:19" ht="15.75" x14ac:dyDescent="0.25">
      <c r="B103" s="133">
        <v>44244</v>
      </c>
      <c r="C103" s="128" t="s">
        <v>1183</v>
      </c>
      <c r="D103" s="128" t="s">
        <v>1204</v>
      </c>
      <c r="E103" s="128" t="str" cm="1">
        <f t="array" ref="E103">IFERROR(INDEX(SubcategoriesTable[Subcategory name],MATCH(Table1[[#This Row],[Category]],SubcategoriesTable[Category name],0),0),"")</f>
        <v>Variable</v>
      </c>
      <c r="F103" s="134">
        <v>-150</v>
      </c>
      <c r="G103" s="167" t="str">
        <f>_xlfn.XLOOKUP(Table1[[#This Row],[Account_ID]], Accounts[ID], Accounts[Account nickname], "Unknown")</f>
        <v>EVERYDAY CHECKING</v>
      </c>
      <c r="H103" s="137" t="str">
        <f>_xlfn.XLOOKUP(Table1[[#This Row],[Account_ID]], Accounts[ID], Accounts[Account'#], "Unknown")</f>
        <v>4636</v>
      </c>
      <c r="I103" s="168" t="str">
        <f>_xlfn.XLOOKUP(Table1[[#This Row],[Institution_ID]], Institutions[ID], Institutions[Institution nickname], "Unknown")</f>
        <v>Wells Fargo</v>
      </c>
      <c r="J103" s="139" t="s">
        <v>1378</v>
      </c>
      <c r="K103" s="129" t="s">
        <v>1229</v>
      </c>
      <c r="L103" s="129" t="s">
        <v>1228</v>
      </c>
      <c r="M103" s="130" t="str" cm="1">
        <f t="array" ref="M103">IFERROR(INDEX(CategoriesTable[Category type],MATCH(Table1[[#This Row],[Category]],CategoriesTable[Category name],0),0),"")</f>
        <v>Savings</v>
      </c>
      <c r="N103" s="130" t="str" cm="1">
        <f t="array" ref="N103">IFERROR(INDEX(SubcategoriesTable[Subcategory name],MATCH(Table1[[#This Row],[Category]],SubcategoriesTable[Category name],0),0),"")</f>
        <v>Variable</v>
      </c>
      <c r="O103" s="130">
        <v>17</v>
      </c>
      <c r="P103" s="130">
        <f>MONTH(Table1[[#This Row],[Date]])</f>
        <v>2</v>
      </c>
      <c r="Q103" s="130">
        <v>2021</v>
      </c>
      <c r="R103" s="166">
        <f>IF(ISBLANK(Table1[[#This Row],[Date]]),"",Table1[[#This Row],[Date]]-WEEKDAY(Table1[[#This Row],[Date]],2)+1)</f>
        <v>44242</v>
      </c>
      <c r="S103" s="131">
        <f>IF(ISBLANK(Table1[[#This Row],[Date]]),"",DATE(Table1[[#This Row],[Date_Year]],Table1[[#This Row],[Date_Month]],1))</f>
        <v>44228</v>
      </c>
    </row>
    <row r="104" spans="2:19" ht="15.75" x14ac:dyDescent="0.25">
      <c r="B104" s="133">
        <v>44244</v>
      </c>
      <c r="C104" s="128" t="s">
        <v>1183</v>
      </c>
      <c r="D104" s="128" t="s">
        <v>1204</v>
      </c>
      <c r="E104" s="128" t="str" cm="1">
        <f t="array" ref="E104">IFERROR(INDEX(SubcategoriesTable[Subcategory name],MATCH(Table1[[#This Row],[Category]],SubcategoriesTable[Category name],0),0),"")</f>
        <v>Variable</v>
      </c>
      <c r="F104" s="134">
        <v>-300</v>
      </c>
      <c r="G104" s="167" t="str">
        <f>_xlfn.XLOOKUP(Table1[[#This Row],[Account_ID]], Accounts[ID], Accounts[Account nickname], "Unknown")</f>
        <v>EVERYDAY CHECKING</v>
      </c>
      <c r="H104" s="137" t="str">
        <f>_xlfn.XLOOKUP(Table1[[#This Row],[Account_ID]], Accounts[ID], Accounts[Account'#], "Unknown")</f>
        <v>4636</v>
      </c>
      <c r="I104" s="168" t="str">
        <f>_xlfn.XLOOKUP(Table1[[#This Row],[Institution_ID]], Institutions[ID], Institutions[Institution nickname], "Unknown")</f>
        <v>Wells Fargo</v>
      </c>
      <c r="J104" s="139" t="s">
        <v>1379</v>
      </c>
      <c r="K104" s="129" t="s">
        <v>1229</v>
      </c>
      <c r="L104" s="129" t="s">
        <v>1228</v>
      </c>
      <c r="M104" s="130" t="str" cm="1">
        <f t="array" ref="M104">IFERROR(INDEX(CategoriesTable[Category type],MATCH(Table1[[#This Row],[Category]],CategoriesTable[Category name],0),0),"")</f>
        <v>Savings</v>
      </c>
      <c r="N104" s="130" t="str" cm="1">
        <f t="array" ref="N104">IFERROR(INDEX(SubcategoriesTable[Subcategory name],MATCH(Table1[[#This Row],[Category]],SubcategoriesTable[Category name],0),0),"")</f>
        <v>Variable</v>
      </c>
      <c r="O104" s="130">
        <v>17</v>
      </c>
      <c r="P104" s="130">
        <f>MONTH(Table1[[#This Row],[Date]])</f>
        <v>2</v>
      </c>
      <c r="Q104" s="130">
        <v>2021</v>
      </c>
      <c r="R104" s="166">
        <f>IF(ISBLANK(Table1[[#This Row],[Date]]),"",Table1[[#This Row],[Date]]-WEEKDAY(Table1[[#This Row],[Date]],2)+1)</f>
        <v>44242</v>
      </c>
      <c r="S104" s="131">
        <f>IF(ISBLANK(Table1[[#This Row],[Date]]),"",DATE(Table1[[#This Row],[Date_Year]],Table1[[#This Row],[Date_Month]],1))</f>
        <v>44228</v>
      </c>
    </row>
    <row r="105" spans="2:19" ht="15.75" x14ac:dyDescent="0.25">
      <c r="B105" s="133">
        <v>44244</v>
      </c>
      <c r="C105" s="128" t="s">
        <v>1190</v>
      </c>
      <c r="D105" s="128" t="s">
        <v>57</v>
      </c>
      <c r="E105" s="128" t="str" cm="1">
        <f t="array" ref="E105">IFERROR(INDEX(SubcategoriesTable[Subcategory name],MATCH(Table1[[#This Row],[Category]],SubcategoriesTable[Category name],0),0),"")</f>
        <v>Variable</v>
      </c>
      <c r="F105" s="134">
        <v>56.74</v>
      </c>
      <c r="G105" s="167" t="str">
        <f>_xlfn.XLOOKUP(Table1[[#This Row],[Account_ID]], Accounts[ID], Accounts[Account nickname], "Unknown")</f>
        <v>EVERYDAY CHECKING</v>
      </c>
      <c r="H105" s="137" t="str">
        <f>_xlfn.XLOOKUP(Table1[[#This Row],[Account_ID]], Accounts[ID], Accounts[Account'#], "Unknown")</f>
        <v>4636</v>
      </c>
      <c r="I105" s="168" t="str">
        <f>_xlfn.XLOOKUP(Table1[[#This Row],[Institution_ID]], Institutions[ID], Institutions[Institution nickname], "Unknown")</f>
        <v>Wells Fargo</v>
      </c>
      <c r="J105" s="139" t="s">
        <v>1380</v>
      </c>
      <c r="K105" s="129" t="s">
        <v>1229</v>
      </c>
      <c r="L105" s="129" t="s">
        <v>1228</v>
      </c>
      <c r="M105" s="130" t="str" cm="1">
        <f t="array" ref="M105">IFERROR(INDEX(CategoriesTable[Category type],MATCH(Table1[[#This Row],[Category]],CategoriesTable[Category name],0),0),"")</f>
        <v>Transfer</v>
      </c>
      <c r="N105" s="130" t="str" cm="1">
        <f t="array" ref="N105">IFERROR(INDEX(SubcategoriesTable[Subcategory name],MATCH(Table1[[#This Row],[Category]],SubcategoriesTable[Category name],0),0),"")</f>
        <v>Variable</v>
      </c>
      <c r="O105" s="130">
        <v>17</v>
      </c>
      <c r="P105" s="130">
        <f>MONTH(Table1[[#This Row],[Date]])</f>
        <v>2</v>
      </c>
      <c r="Q105" s="130">
        <v>2021</v>
      </c>
      <c r="R105" s="166">
        <f>IF(ISBLANK(Table1[[#This Row],[Date]]),"",Table1[[#This Row],[Date]]-WEEKDAY(Table1[[#This Row],[Date]],2)+1)</f>
        <v>44242</v>
      </c>
      <c r="S105" s="131">
        <f>IF(ISBLANK(Table1[[#This Row],[Date]]),"",DATE(Table1[[#This Row],[Date_Year]],Table1[[#This Row],[Date_Month]],1))</f>
        <v>44228</v>
      </c>
    </row>
    <row r="106" spans="2:19" ht="15.75" x14ac:dyDescent="0.25">
      <c r="B106" s="133">
        <v>44244</v>
      </c>
      <c r="C106" s="128" t="s">
        <v>201</v>
      </c>
      <c r="D106" s="128" t="s">
        <v>48</v>
      </c>
      <c r="E106" s="128" t="str" cm="1">
        <f t="array" ref="E106">IFERROR(INDEX(SubcategoriesTable[Subcategory name],MATCH(Table1[[#This Row],[Category]],SubcategoriesTable[Category name],0),0),"")</f>
        <v>Variable</v>
      </c>
      <c r="F106" s="134">
        <v>-76.3</v>
      </c>
      <c r="G106" s="167" t="str">
        <f>_xlfn.XLOOKUP(Table1[[#This Row],[Account_ID]], Accounts[ID], Accounts[Account nickname], "Unknown")</f>
        <v>Discover it chrome Card</v>
      </c>
      <c r="H106" s="137" t="str">
        <f>_xlfn.XLOOKUP(Table1[[#This Row],[Account_ID]], Accounts[ID], Accounts[Account'#], "Unknown")</f>
        <v>7328</v>
      </c>
      <c r="I106" s="168" t="str">
        <f>_xlfn.XLOOKUP(Table1[[#This Row],[Institution_ID]], Institutions[ID], Institutions[Institution nickname], "Unknown")</f>
        <v>Discover</v>
      </c>
      <c r="J106" s="139" t="s">
        <v>202</v>
      </c>
      <c r="K106" s="129" t="s">
        <v>110</v>
      </c>
      <c r="L106" s="129" t="s">
        <v>108</v>
      </c>
      <c r="M106" s="130" t="str" cm="1">
        <f t="array" ref="M106">IFERROR(INDEX(CategoriesTable[Category type],MATCH(Table1[[#This Row],[Category]],CategoriesTable[Category name],0),0),"")</f>
        <v>Expense</v>
      </c>
      <c r="N106" s="130" t="str" cm="1">
        <f t="array" ref="N106">IFERROR(INDEX(SubcategoriesTable[Subcategory name],MATCH(Table1[[#This Row],[Category]],SubcategoriesTable[Category name],0),0),"")</f>
        <v>Variable</v>
      </c>
      <c r="O106" s="130">
        <v>17</v>
      </c>
      <c r="P106" s="130">
        <f>MONTH(Table1[[#This Row],[Date]])</f>
        <v>2</v>
      </c>
      <c r="Q106" s="130">
        <v>2021</v>
      </c>
      <c r="R106" s="166">
        <f>IF(ISBLANK(Table1[[#This Row],[Date]]),"",Table1[[#This Row],[Date]]-WEEKDAY(Table1[[#This Row],[Date]],2)+1)</f>
        <v>44242</v>
      </c>
      <c r="S106" s="131">
        <f>IF(ISBLANK(Table1[[#This Row],[Date]]),"",DATE(Table1[[#This Row],[Date_Year]],Table1[[#This Row],[Date_Month]],1))</f>
        <v>44228</v>
      </c>
    </row>
    <row r="107" spans="2:19" ht="15.75" x14ac:dyDescent="0.25">
      <c r="B107" s="133">
        <v>44243</v>
      </c>
      <c r="C107" s="128" t="s">
        <v>1182</v>
      </c>
      <c r="D107" s="128" t="s">
        <v>50</v>
      </c>
      <c r="E107" s="128" t="str" cm="1">
        <f t="array" ref="E107">IFERROR(INDEX(SubcategoriesTable[Subcategory name],MATCH(Table1[[#This Row],[Category]],SubcategoriesTable[Category name],0),0),"")</f>
        <v>Variable</v>
      </c>
      <c r="F107" s="134">
        <v>492.5</v>
      </c>
      <c r="G107" s="167" t="str">
        <f>_xlfn.XLOOKUP(Table1[[#This Row],[Account_ID]], Accounts[ID], Accounts[Account nickname], "Unknown")</f>
        <v>EVERYDAY CHECKING</v>
      </c>
      <c r="H107" s="137" t="str">
        <f>_xlfn.XLOOKUP(Table1[[#This Row],[Account_ID]], Accounts[ID], Accounts[Account'#], "Unknown")</f>
        <v>4636</v>
      </c>
      <c r="I107" s="168" t="str">
        <f>_xlfn.XLOOKUP(Table1[[#This Row],[Institution_ID]], Institutions[ID], Institutions[Institution nickname], "Unknown")</f>
        <v>Wells Fargo</v>
      </c>
      <c r="J107" s="139" t="s">
        <v>1381</v>
      </c>
      <c r="K107" s="129" t="s">
        <v>1229</v>
      </c>
      <c r="L107" s="129" t="s">
        <v>1228</v>
      </c>
      <c r="M107" s="130" t="str" cm="1">
        <f t="array" ref="M107">IFERROR(INDEX(CategoriesTable[Category type],MATCH(Table1[[#This Row],[Category]],CategoriesTable[Category name],0),0),"")</f>
        <v>Transfer</v>
      </c>
      <c r="N107" s="130" t="str" cm="1">
        <f t="array" ref="N107">IFERROR(INDEX(SubcategoriesTable[Subcategory name],MATCH(Table1[[#This Row],[Category]],SubcategoriesTable[Category name],0),0),"")</f>
        <v>Variable</v>
      </c>
      <c r="O107" s="130">
        <v>16</v>
      </c>
      <c r="P107" s="130">
        <f>MONTH(Table1[[#This Row],[Date]])</f>
        <v>2</v>
      </c>
      <c r="Q107" s="130">
        <v>2021</v>
      </c>
      <c r="R107" s="166">
        <f>IF(ISBLANK(Table1[[#This Row],[Date]]),"",Table1[[#This Row],[Date]]-WEEKDAY(Table1[[#This Row],[Date]],2)+1)</f>
        <v>44242</v>
      </c>
      <c r="S107" s="131">
        <f>IF(ISBLANK(Table1[[#This Row],[Date]]),"",DATE(Table1[[#This Row],[Date_Year]],Table1[[#This Row],[Date_Month]],1))</f>
        <v>44228</v>
      </c>
    </row>
    <row r="108" spans="2:19" ht="15.75" x14ac:dyDescent="0.25">
      <c r="B108" s="133">
        <v>44243</v>
      </c>
      <c r="C108" s="128" t="s">
        <v>1183</v>
      </c>
      <c r="D108" s="128" t="s">
        <v>1204</v>
      </c>
      <c r="E108" s="128" t="str" cm="1">
        <f t="array" ref="E108">IFERROR(INDEX(SubcategoriesTable[Subcategory name],MATCH(Table1[[#This Row],[Category]],SubcategoriesTable[Category name],0),0),"")</f>
        <v>Variable</v>
      </c>
      <c r="F108" s="134">
        <v>-100</v>
      </c>
      <c r="G108" s="167" t="str">
        <f>_xlfn.XLOOKUP(Table1[[#This Row],[Account_ID]], Accounts[ID], Accounts[Account nickname], "Unknown")</f>
        <v>EVERYDAY CHECKING</v>
      </c>
      <c r="H108" s="137" t="str">
        <f>_xlfn.XLOOKUP(Table1[[#This Row],[Account_ID]], Accounts[ID], Accounts[Account'#], "Unknown")</f>
        <v>4636</v>
      </c>
      <c r="I108" s="168" t="str">
        <f>_xlfn.XLOOKUP(Table1[[#This Row],[Institution_ID]], Institutions[ID], Institutions[Institution nickname], "Unknown")</f>
        <v>Wells Fargo</v>
      </c>
      <c r="J108" s="139" t="s">
        <v>1382</v>
      </c>
      <c r="K108" s="129" t="s">
        <v>1229</v>
      </c>
      <c r="L108" s="129" t="s">
        <v>1228</v>
      </c>
      <c r="M108" s="130" t="str" cm="1">
        <f t="array" ref="M108">IFERROR(INDEX(CategoriesTable[Category type],MATCH(Table1[[#This Row],[Category]],CategoriesTable[Category name],0),0),"")</f>
        <v>Savings</v>
      </c>
      <c r="N108" s="130" t="str" cm="1">
        <f t="array" ref="N108">IFERROR(INDEX(SubcategoriesTable[Subcategory name],MATCH(Table1[[#This Row],[Category]],SubcategoriesTable[Category name],0),0),"")</f>
        <v>Variable</v>
      </c>
      <c r="O108" s="130">
        <v>16</v>
      </c>
      <c r="P108" s="130">
        <f>MONTH(Table1[[#This Row],[Date]])</f>
        <v>2</v>
      </c>
      <c r="Q108" s="130">
        <v>2021</v>
      </c>
      <c r="R108" s="166">
        <f>IF(ISBLANK(Table1[[#This Row],[Date]]),"",Table1[[#This Row],[Date]]-WEEKDAY(Table1[[#This Row],[Date]],2)+1)</f>
        <v>44242</v>
      </c>
      <c r="S108" s="131">
        <f>IF(ISBLANK(Table1[[#This Row],[Date]]),"",DATE(Table1[[#This Row],[Date_Year]],Table1[[#This Row],[Date_Month]],1))</f>
        <v>44228</v>
      </c>
    </row>
    <row r="109" spans="2:19" ht="15.75" x14ac:dyDescent="0.25">
      <c r="B109" s="133">
        <v>44243</v>
      </c>
      <c r="C109" s="128" t="s">
        <v>1191</v>
      </c>
      <c r="D109" s="128" t="s">
        <v>50</v>
      </c>
      <c r="E109" s="128" t="str" cm="1">
        <f t="array" ref="E109">IFERROR(INDEX(SubcategoriesTable[Subcategory name],MATCH(Table1[[#This Row],[Category]],SubcategoriesTable[Category name],0),0),"")</f>
        <v>Variable</v>
      </c>
      <c r="F109" s="134">
        <v>-100</v>
      </c>
      <c r="G109" s="167" t="str">
        <f>_xlfn.XLOOKUP(Table1[[#This Row],[Account_ID]], Accounts[ID], Accounts[Account nickname], "Unknown")</f>
        <v>EVERYDAY CHECKING</v>
      </c>
      <c r="H109" s="137" t="str">
        <f>_xlfn.XLOOKUP(Table1[[#This Row],[Account_ID]], Accounts[ID], Accounts[Account'#], "Unknown")</f>
        <v>4636</v>
      </c>
      <c r="I109" s="168" t="str">
        <f>_xlfn.XLOOKUP(Table1[[#This Row],[Institution_ID]], Institutions[ID], Institutions[Institution nickname], "Unknown")</f>
        <v>Wells Fargo</v>
      </c>
      <c r="J109" s="139" t="s">
        <v>1383</v>
      </c>
      <c r="K109" s="129" t="s">
        <v>1229</v>
      </c>
      <c r="L109" s="129" t="s">
        <v>1228</v>
      </c>
      <c r="M109" s="130" t="str" cm="1">
        <f t="array" ref="M109">IFERROR(INDEX(CategoriesTable[Category type],MATCH(Table1[[#This Row],[Category]],CategoriesTable[Category name],0),0),"")</f>
        <v>Transfer</v>
      </c>
      <c r="N109" s="130" t="str" cm="1">
        <f t="array" ref="N109">IFERROR(INDEX(SubcategoriesTable[Subcategory name],MATCH(Table1[[#This Row],[Category]],SubcategoriesTable[Category name],0),0),"")</f>
        <v>Variable</v>
      </c>
      <c r="O109" s="130">
        <v>16</v>
      </c>
      <c r="P109" s="130">
        <f>MONTH(Table1[[#This Row],[Date]])</f>
        <v>2</v>
      </c>
      <c r="Q109" s="130">
        <v>2021</v>
      </c>
      <c r="R109" s="166">
        <f>IF(ISBLANK(Table1[[#This Row],[Date]]),"",Table1[[#This Row],[Date]]-WEEKDAY(Table1[[#This Row],[Date]],2)+1)</f>
        <v>44242</v>
      </c>
      <c r="S109" s="131">
        <f>IF(ISBLANK(Table1[[#This Row],[Date]]),"",DATE(Table1[[#This Row],[Date_Year]],Table1[[#This Row],[Date_Month]],1))</f>
        <v>44228</v>
      </c>
    </row>
    <row r="110" spans="2:19" ht="15.75" x14ac:dyDescent="0.25">
      <c r="B110" s="133">
        <v>44243</v>
      </c>
      <c r="C110" s="128" t="s">
        <v>508</v>
      </c>
      <c r="D110" s="128" t="s">
        <v>50</v>
      </c>
      <c r="E110" s="128" t="str" cm="1">
        <f t="array" ref="E110">IFERROR(INDEX(SubcategoriesTable[Subcategory name],MATCH(Table1[[#This Row],[Category]],SubcategoriesTable[Category name],0),0),"")</f>
        <v>Variable</v>
      </c>
      <c r="F110" s="134">
        <v>-500</v>
      </c>
      <c r="G110" s="167" t="str">
        <f>_xlfn.XLOOKUP(Table1[[#This Row],[Account_ID]], Accounts[ID], Accounts[Account nickname], "Unknown")</f>
        <v>EVERYDAY CHECKING</v>
      </c>
      <c r="H110" s="137" t="str">
        <f>_xlfn.XLOOKUP(Table1[[#This Row],[Account_ID]], Accounts[ID], Accounts[Account'#], "Unknown")</f>
        <v>4636</v>
      </c>
      <c r="I110" s="168" t="str">
        <f>_xlfn.XLOOKUP(Table1[[#This Row],[Institution_ID]], Institutions[ID], Institutions[Institution nickname], "Unknown")</f>
        <v>Wells Fargo</v>
      </c>
      <c r="J110" s="139" t="s">
        <v>1384</v>
      </c>
      <c r="K110" s="129" t="s">
        <v>1229</v>
      </c>
      <c r="L110" s="129" t="s">
        <v>1228</v>
      </c>
      <c r="M110" s="130" t="str" cm="1">
        <f t="array" ref="M110">IFERROR(INDEX(CategoriesTable[Category type],MATCH(Table1[[#This Row],[Category]],CategoriesTable[Category name],0),0),"")</f>
        <v>Transfer</v>
      </c>
      <c r="N110" s="130" t="str" cm="1">
        <f t="array" ref="N110">IFERROR(INDEX(SubcategoriesTable[Subcategory name],MATCH(Table1[[#This Row],[Category]],SubcategoriesTable[Category name],0),0),"")</f>
        <v>Variable</v>
      </c>
      <c r="O110" s="130">
        <v>16</v>
      </c>
      <c r="P110" s="130">
        <f>MONTH(Table1[[#This Row],[Date]])</f>
        <v>2</v>
      </c>
      <c r="Q110" s="130">
        <v>2021</v>
      </c>
      <c r="R110" s="166">
        <f>IF(ISBLANK(Table1[[#This Row],[Date]]),"",Table1[[#This Row],[Date]]-WEEKDAY(Table1[[#This Row],[Date]],2)+1)</f>
        <v>44242</v>
      </c>
      <c r="S110" s="131">
        <f>IF(ISBLANK(Table1[[#This Row],[Date]]),"",DATE(Table1[[#This Row],[Date_Year]],Table1[[#This Row],[Date_Month]],1))</f>
        <v>44228</v>
      </c>
    </row>
    <row r="111" spans="2:19" ht="15.75" x14ac:dyDescent="0.25">
      <c r="B111" s="133">
        <v>44243</v>
      </c>
      <c r="C111" s="128" t="s">
        <v>50</v>
      </c>
      <c r="D111" s="128" t="s">
        <v>1204</v>
      </c>
      <c r="E111" s="128"/>
      <c r="F111" s="134">
        <v>300</v>
      </c>
      <c r="G111" s="167" t="str">
        <f>_xlfn.XLOOKUP(Table1[[#This Row],[Account_ID]], Accounts[ID], Accounts[Account nickname], "Unknown")</f>
        <v>Checking - 4480</v>
      </c>
      <c r="H111" s="137" t="str">
        <f>_xlfn.XLOOKUP(Table1[[#This Row],[Account_ID]], Accounts[ID], Accounts[Account'#], "Unknown")</f>
        <v>4480</v>
      </c>
      <c r="I111" s="168" t="str">
        <f>_xlfn.XLOOKUP(Table1[[#This Row],[Institution_ID]], Institutions[ID], Institutions[Institution nickname], "Unknown")</f>
        <v>Robinhood</v>
      </c>
      <c r="J111" s="139" t="s">
        <v>1218</v>
      </c>
      <c r="K111" s="129" t="s">
        <v>1208</v>
      </c>
      <c r="L111" s="173" t="s">
        <v>1207</v>
      </c>
      <c r="M111" s="130" t="str" cm="1">
        <f t="array" ref="M111">IFERROR(INDEX(CategoriesTable[Category type],MATCH(Table1[[#This Row],[Category]],CategoriesTable[Category name],0),0),"")</f>
        <v>Savings</v>
      </c>
      <c r="N111" s="130" t="str" cm="1">
        <f t="array" ref="N111">IFERROR(INDEX(SubcategoriesTable[Subcategory name],MATCH(Table1[[#This Row],[Category]],SubcategoriesTable[Category name],0),0),"")</f>
        <v>Variable</v>
      </c>
      <c r="O111" s="130">
        <v>16</v>
      </c>
      <c r="P111" s="130">
        <f>MONTH(Table1[[#This Row],[Date]])</f>
        <v>2</v>
      </c>
      <c r="Q111" s="130">
        <v>2021</v>
      </c>
      <c r="R111" s="166">
        <f>IF(ISBLANK(Table1[[#This Row],[Date]]),"",Table1[[#This Row],[Date]]-WEEKDAY(Table1[[#This Row],[Date]],2)+1)</f>
        <v>44242</v>
      </c>
      <c r="S111" s="131">
        <f>IF(ISBLANK(Table1[[#This Row],[Date]]),"",DATE(Table1[[#This Row],[Date_Year]],Table1[[#This Row],[Date_Month]],1))</f>
        <v>44228</v>
      </c>
    </row>
    <row r="112" spans="2:19" ht="15.75" x14ac:dyDescent="0.25">
      <c r="B112" s="133">
        <v>44243</v>
      </c>
      <c r="C112" s="128" t="s">
        <v>50</v>
      </c>
      <c r="D112" s="128" t="s">
        <v>1204</v>
      </c>
      <c r="E112" s="128"/>
      <c r="F112" s="134">
        <v>50</v>
      </c>
      <c r="G112" s="167" t="str">
        <f>_xlfn.XLOOKUP(Table1[[#This Row],[Account_ID]], Accounts[ID], Accounts[Account nickname], "Unknown")</f>
        <v>Checking - 4480</v>
      </c>
      <c r="H112" s="137" t="str">
        <f>_xlfn.XLOOKUP(Table1[[#This Row],[Account_ID]], Accounts[ID], Accounts[Account'#], "Unknown")</f>
        <v>4480</v>
      </c>
      <c r="I112" s="168" t="str">
        <f>_xlfn.XLOOKUP(Table1[[#This Row],[Institution_ID]], Institutions[ID], Institutions[Institution nickname], "Unknown")</f>
        <v>Robinhood</v>
      </c>
      <c r="J112" s="139" t="s">
        <v>1219</v>
      </c>
      <c r="K112" s="129" t="s">
        <v>1208</v>
      </c>
      <c r="L112" s="173" t="s">
        <v>1207</v>
      </c>
      <c r="M112" s="130" t="str" cm="1">
        <f t="array" ref="M112">IFERROR(INDEX(CategoriesTable[Category type],MATCH(Table1[[#This Row],[Category]],CategoriesTable[Category name],0),0),"")</f>
        <v>Savings</v>
      </c>
      <c r="N112" s="130" t="str" cm="1">
        <f t="array" ref="N112">IFERROR(INDEX(SubcategoriesTable[Subcategory name],MATCH(Table1[[#This Row],[Category]],SubcategoriesTable[Category name],0),0),"")</f>
        <v>Variable</v>
      </c>
      <c r="O112" s="130">
        <v>16</v>
      </c>
      <c r="P112" s="130">
        <f>MONTH(Table1[[#This Row],[Date]])</f>
        <v>2</v>
      </c>
      <c r="Q112" s="130">
        <v>2021</v>
      </c>
      <c r="R112" s="166">
        <f>IF(ISBLANK(Table1[[#This Row],[Date]]),"",Table1[[#This Row],[Date]]-WEEKDAY(Table1[[#This Row],[Date]],2)+1)</f>
        <v>44242</v>
      </c>
      <c r="S112" s="131">
        <f>IF(ISBLANK(Table1[[#This Row],[Date]]),"",DATE(Table1[[#This Row],[Date_Year]],Table1[[#This Row],[Date_Month]],1))</f>
        <v>44228</v>
      </c>
    </row>
    <row r="113" spans="2:19" ht="15.75" x14ac:dyDescent="0.25">
      <c r="B113" s="133">
        <v>44242</v>
      </c>
      <c r="C113" s="128" t="s">
        <v>50</v>
      </c>
      <c r="D113" s="128" t="s">
        <v>1204</v>
      </c>
      <c r="E113" s="128"/>
      <c r="F113" s="134">
        <v>150</v>
      </c>
      <c r="G113" s="167" t="str">
        <f>_xlfn.XLOOKUP(Table1[[#This Row],[Account_ID]], Accounts[ID], Accounts[Account nickname], "Unknown")</f>
        <v>Checking - 4480</v>
      </c>
      <c r="H113" s="137" t="str">
        <f>_xlfn.XLOOKUP(Table1[[#This Row],[Account_ID]], Accounts[ID], Accounts[Account'#], "Unknown")</f>
        <v>4480</v>
      </c>
      <c r="I113" s="168" t="str">
        <f>_xlfn.XLOOKUP(Table1[[#This Row],[Institution_ID]], Institutions[ID], Institutions[Institution nickname], "Unknown")</f>
        <v>Robinhood</v>
      </c>
      <c r="J113" s="139" t="s">
        <v>1220</v>
      </c>
      <c r="K113" s="129" t="s">
        <v>1208</v>
      </c>
      <c r="L113" s="173" t="s">
        <v>1207</v>
      </c>
      <c r="M113" s="130" t="str" cm="1">
        <f t="array" ref="M113">IFERROR(INDEX(CategoriesTable[Category type],MATCH(Table1[[#This Row],[Category]],CategoriesTable[Category name],0),0),"")</f>
        <v>Savings</v>
      </c>
      <c r="N113" s="130" t="str" cm="1">
        <f t="array" ref="N113">IFERROR(INDEX(SubcategoriesTable[Subcategory name],MATCH(Table1[[#This Row],[Category]],SubcategoriesTable[Category name],0),0),"")</f>
        <v>Variable</v>
      </c>
      <c r="O113" s="130">
        <v>15</v>
      </c>
      <c r="P113" s="130">
        <f>MONTH(Table1[[#This Row],[Date]])</f>
        <v>2</v>
      </c>
      <c r="Q113" s="130">
        <v>2021</v>
      </c>
      <c r="R113" s="166">
        <f>IF(ISBLANK(Table1[[#This Row],[Date]]),"",Table1[[#This Row],[Date]]-WEEKDAY(Table1[[#This Row],[Date]],2)+1)</f>
        <v>44242</v>
      </c>
      <c r="S113" s="131">
        <f>IF(ISBLANK(Table1[[#This Row],[Date]]),"",DATE(Table1[[#This Row],[Date_Year]],Table1[[#This Row],[Date_Month]],1))</f>
        <v>44228</v>
      </c>
    </row>
    <row r="114" spans="2:19" ht="15.75" x14ac:dyDescent="0.25">
      <c r="B114" s="133">
        <v>44241</v>
      </c>
      <c r="C114" s="128" t="s">
        <v>163</v>
      </c>
      <c r="D114" s="128" t="s">
        <v>54</v>
      </c>
      <c r="E114" s="128" t="str" cm="1">
        <f t="array" ref="E114">IFERROR(INDEX(SubcategoriesTable[Subcategory name],MATCH(Table1[[#This Row],[Category]],SubcategoriesTable[Category name],0),0),"")</f>
        <v>Fixed</v>
      </c>
      <c r="F114" s="134">
        <v>-14.99</v>
      </c>
      <c r="G114" s="167" t="str">
        <f>_xlfn.XLOOKUP(Table1[[#This Row],[Account_ID]], Accounts[ID], Accounts[Account nickname], "Unknown")</f>
        <v>Discover it chrome Card</v>
      </c>
      <c r="H114" s="137" t="str">
        <f>_xlfn.XLOOKUP(Table1[[#This Row],[Account_ID]], Accounts[ID], Accounts[Account'#], "Unknown")</f>
        <v>7328</v>
      </c>
      <c r="I114" s="168" t="str">
        <f>_xlfn.XLOOKUP(Table1[[#This Row],[Institution_ID]], Institutions[ID], Institutions[Institution nickname], "Unknown")</f>
        <v>Discover</v>
      </c>
      <c r="J114" s="139" t="s">
        <v>203</v>
      </c>
      <c r="K114" s="129" t="s">
        <v>110</v>
      </c>
      <c r="L114" s="129" t="s">
        <v>108</v>
      </c>
      <c r="M114" s="130" t="str" cm="1">
        <f t="array" ref="M114">IFERROR(INDEX(CategoriesTable[Category type],MATCH(Table1[[#This Row],[Category]],CategoriesTable[Category name],0),0),"")</f>
        <v>Expense</v>
      </c>
      <c r="N114" s="130" t="str" cm="1">
        <f t="array" ref="N114">IFERROR(INDEX(SubcategoriesTable[Subcategory name],MATCH(Table1[[#This Row],[Category]],SubcategoriesTable[Category name],0),0),"")</f>
        <v>Fixed</v>
      </c>
      <c r="O114" s="130">
        <v>14</v>
      </c>
      <c r="P114" s="130">
        <f>MONTH(Table1[[#This Row],[Date]])</f>
        <v>2</v>
      </c>
      <c r="Q114" s="130">
        <v>2021</v>
      </c>
      <c r="R114" s="166">
        <f>IF(ISBLANK(Table1[[#This Row],[Date]]),"",Table1[[#This Row],[Date]]-WEEKDAY(Table1[[#This Row],[Date]],2)+1)</f>
        <v>44235</v>
      </c>
      <c r="S114" s="131">
        <f>IF(ISBLANK(Table1[[#This Row],[Date]]),"",DATE(Table1[[#This Row],[Date_Year]],Table1[[#This Row],[Date_Month]],1))</f>
        <v>44228</v>
      </c>
    </row>
    <row r="115" spans="2:19" ht="15.75" x14ac:dyDescent="0.25">
      <c r="B115" s="133">
        <v>44241</v>
      </c>
      <c r="C115" s="128" t="s">
        <v>195</v>
      </c>
      <c r="D115" s="128" t="s">
        <v>48</v>
      </c>
      <c r="E115" s="128" t="str" cm="1">
        <f t="array" ref="E115">IFERROR(INDEX(SubcategoriesTable[Subcategory name],MATCH(Table1[[#This Row],[Category]],SubcategoriesTable[Category name],0),0),"")</f>
        <v>Variable</v>
      </c>
      <c r="F115" s="134">
        <v>-7.88</v>
      </c>
      <c r="G115" s="167" t="str">
        <f>_xlfn.XLOOKUP(Table1[[#This Row],[Account_ID]], Accounts[ID], Accounts[Account nickname], "Unknown")</f>
        <v>Discover it chrome Card</v>
      </c>
      <c r="H115" s="137" t="str">
        <f>_xlfn.XLOOKUP(Table1[[#This Row],[Account_ID]], Accounts[ID], Accounts[Account'#], "Unknown")</f>
        <v>7328</v>
      </c>
      <c r="I115" s="168" t="str">
        <f>_xlfn.XLOOKUP(Table1[[#This Row],[Institution_ID]], Institutions[ID], Institutions[Institution nickname], "Unknown")</f>
        <v>Discover</v>
      </c>
      <c r="J115" s="139" t="s">
        <v>204</v>
      </c>
      <c r="K115" s="129" t="s">
        <v>110</v>
      </c>
      <c r="L115" s="129" t="s">
        <v>108</v>
      </c>
      <c r="M115" s="130" t="str" cm="1">
        <f t="array" ref="M115">IFERROR(INDEX(CategoriesTable[Category type],MATCH(Table1[[#This Row],[Category]],CategoriesTable[Category name],0),0),"")</f>
        <v>Expense</v>
      </c>
      <c r="N115" s="130" t="str" cm="1">
        <f t="array" ref="N115">IFERROR(INDEX(SubcategoriesTable[Subcategory name],MATCH(Table1[[#This Row],[Category]],SubcategoriesTable[Category name],0),0),"")</f>
        <v>Variable</v>
      </c>
      <c r="O115" s="130">
        <v>14</v>
      </c>
      <c r="P115" s="130">
        <f>MONTH(Table1[[#This Row],[Date]])</f>
        <v>2</v>
      </c>
      <c r="Q115" s="130">
        <v>2021</v>
      </c>
      <c r="R115" s="166">
        <f>IF(ISBLANK(Table1[[#This Row],[Date]]),"",Table1[[#This Row],[Date]]-WEEKDAY(Table1[[#This Row],[Date]],2)+1)</f>
        <v>44235</v>
      </c>
      <c r="S115" s="131">
        <f>IF(ISBLANK(Table1[[#This Row],[Date]]),"",DATE(Table1[[#This Row],[Date_Year]],Table1[[#This Row],[Date_Month]],1))</f>
        <v>44228</v>
      </c>
    </row>
    <row r="116" spans="2:19" ht="15.75" x14ac:dyDescent="0.25">
      <c r="B116" s="133">
        <v>44241</v>
      </c>
      <c r="C116" s="128" t="s">
        <v>115</v>
      </c>
      <c r="D116" s="128" t="s">
        <v>48</v>
      </c>
      <c r="E116" s="128" t="str" cm="1">
        <f t="array" ref="E116">IFERROR(INDEX(SubcategoriesTable[Subcategory name],MATCH(Table1[[#This Row],[Category]],SubcategoriesTable[Category name],0),0),"")</f>
        <v>Variable</v>
      </c>
      <c r="F116" s="134">
        <v>-48.58</v>
      </c>
      <c r="G116" s="167" t="str">
        <f>_xlfn.XLOOKUP(Table1[[#This Row],[Account_ID]], Accounts[ID], Accounts[Account nickname], "Unknown")</f>
        <v>Discover it chrome Card</v>
      </c>
      <c r="H116" s="137" t="str">
        <f>_xlfn.XLOOKUP(Table1[[#This Row],[Account_ID]], Accounts[ID], Accounts[Account'#], "Unknown")</f>
        <v>7328</v>
      </c>
      <c r="I116" s="168" t="str">
        <f>_xlfn.XLOOKUP(Table1[[#This Row],[Institution_ID]], Institutions[ID], Institutions[Institution nickname], "Unknown")</f>
        <v>Discover</v>
      </c>
      <c r="J116" s="139" t="s">
        <v>205</v>
      </c>
      <c r="K116" s="129" t="s">
        <v>110</v>
      </c>
      <c r="L116" s="129" t="s">
        <v>108</v>
      </c>
      <c r="M116" s="130" t="str" cm="1">
        <f t="array" ref="M116">IFERROR(INDEX(CategoriesTable[Category type],MATCH(Table1[[#This Row],[Category]],CategoriesTable[Category name],0),0),"")</f>
        <v>Expense</v>
      </c>
      <c r="N116" s="130" t="str" cm="1">
        <f t="array" ref="N116">IFERROR(INDEX(SubcategoriesTable[Subcategory name],MATCH(Table1[[#This Row],[Category]],SubcategoriesTable[Category name],0),0),"")</f>
        <v>Variable</v>
      </c>
      <c r="O116" s="130">
        <v>14</v>
      </c>
      <c r="P116" s="130">
        <f>MONTH(Table1[[#This Row],[Date]])</f>
        <v>2</v>
      </c>
      <c r="Q116" s="130">
        <v>2021</v>
      </c>
      <c r="R116" s="166">
        <f>IF(ISBLANK(Table1[[#This Row],[Date]]),"",Table1[[#This Row],[Date]]-WEEKDAY(Table1[[#This Row],[Date]],2)+1)</f>
        <v>44235</v>
      </c>
      <c r="S116" s="131">
        <f>IF(ISBLANK(Table1[[#This Row],[Date]]),"",DATE(Table1[[#This Row],[Date_Year]],Table1[[#This Row],[Date_Month]],1))</f>
        <v>44228</v>
      </c>
    </row>
    <row r="117" spans="2:19" ht="15.75" x14ac:dyDescent="0.25">
      <c r="B117" s="133">
        <v>44239</v>
      </c>
      <c r="C117" s="128" t="s">
        <v>1180</v>
      </c>
      <c r="D117" s="128" t="s">
        <v>50</v>
      </c>
      <c r="E117" s="128" t="str" cm="1">
        <f t="array" ref="E117">IFERROR(INDEX(SubcategoriesTable[Subcategory name],MATCH(Table1[[#This Row],[Category]],SubcategoriesTable[Category name],0),0),"")</f>
        <v>Variable</v>
      </c>
      <c r="F117" s="134">
        <v>-715.37</v>
      </c>
      <c r="G117" s="167" t="str">
        <f>_xlfn.XLOOKUP(Table1[[#This Row],[Account_ID]], Accounts[ID], Accounts[Account nickname], "Unknown")</f>
        <v>EVERYDAY CHECKING</v>
      </c>
      <c r="H117" s="137" t="str">
        <f>_xlfn.XLOOKUP(Table1[[#This Row],[Account_ID]], Accounts[ID], Accounts[Account'#], "Unknown")</f>
        <v>4636</v>
      </c>
      <c r="I117" s="168" t="str">
        <f>_xlfn.XLOOKUP(Table1[[#This Row],[Institution_ID]], Institutions[ID], Institutions[Institution nickname], "Unknown")</f>
        <v>Wells Fargo</v>
      </c>
      <c r="J117" s="139" t="s">
        <v>1385</v>
      </c>
      <c r="K117" s="129" t="s">
        <v>1229</v>
      </c>
      <c r="L117" s="129" t="s">
        <v>1228</v>
      </c>
      <c r="M117" s="130" t="str" cm="1">
        <f t="array" ref="M117">IFERROR(INDEX(CategoriesTable[Category type],MATCH(Table1[[#This Row],[Category]],CategoriesTable[Category name],0),0),"")</f>
        <v>Transfer</v>
      </c>
      <c r="N117" s="130" t="str" cm="1">
        <f t="array" ref="N117">IFERROR(INDEX(SubcategoriesTable[Subcategory name],MATCH(Table1[[#This Row],[Category]],SubcategoriesTable[Category name],0),0),"")</f>
        <v>Variable</v>
      </c>
      <c r="O117" s="130">
        <v>12</v>
      </c>
      <c r="P117" s="130">
        <f>MONTH(Table1[[#This Row],[Date]])</f>
        <v>2</v>
      </c>
      <c r="Q117" s="130">
        <v>2021</v>
      </c>
      <c r="R117" s="166">
        <f>IF(ISBLANK(Table1[[#This Row],[Date]]),"",Table1[[#This Row],[Date]]-WEEKDAY(Table1[[#This Row],[Date]],2)+1)</f>
        <v>44235</v>
      </c>
      <c r="S117" s="131">
        <f>IF(ISBLANK(Table1[[#This Row],[Date]]),"",DATE(Table1[[#This Row],[Date_Year]],Table1[[#This Row],[Date_Month]],1))</f>
        <v>44228</v>
      </c>
    </row>
    <row r="118" spans="2:19" ht="15.75" x14ac:dyDescent="0.25">
      <c r="B118" s="133">
        <v>44239</v>
      </c>
      <c r="C118" s="128" t="s">
        <v>1181</v>
      </c>
      <c r="D118" s="128" t="s">
        <v>59</v>
      </c>
      <c r="E118" s="128" t="str" cm="1">
        <f t="array" ref="E118">IFERROR(INDEX(SubcategoriesTable[Subcategory name],MATCH(Table1[[#This Row],[Category]],SubcategoriesTable[Category name],0),0),"")</f>
        <v>Fixed</v>
      </c>
      <c r="F118" s="134">
        <v>1809.65</v>
      </c>
      <c r="G118" s="167" t="str">
        <f>_xlfn.XLOOKUP(Table1[[#This Row],[Account_ID]], Accounts[ID], Accounts[Account nickname], "Unknown")</f>
        <v>EVERYDAY CHECKING</v>
      </c>
      <c r="H118" s="137" t="str">
        <f>_xlfn.XLOOKUP(Table1[[#This Row],[Account_ID]], Accounts[ID], Accounts[Account'#], "Unknown")</f>
        <v>4636</v>
      </c>
      <c r="I118" s="168" t="str">
        <f>_xlfn.XLOOKUP(Table1[[#This Row],[Institution_ID]], Institutions[ID], Institutions[Institution nickname], "Unknown")</f>
        <v>Wells Fargo</v>
      </c>
      <c r="J118" s="139" t="s">
        <v>1386</v>
      </c>
      <c r="K118" s="129" t="s">
        <v>1229</v>
      </c>
      <c r="L118" s="129" t="s">
        <v>1228</v>
      </c>
      <c r="M118" s="130" t="str" cm="1">
        <f t="array" ref="M118">IFERROR(INDEX(CategoriesTable[Category type],MATCH(Table1[[#This Row],[Category]],CategoriesTable[Category name],0),0),"")</f>
        <v>Income</v>
      </c>
      <c r="N118" s="130" t="str" cm="1">
        <f t="array" ref="N118">IFERROR(INDEX(SubcategoriesTable[Subcategory name],MATCH(Table1[[#This Row],[Category]],SubcategoriesTable[Category name],0),0),"")</f>
        <v>Fixed</v>
      </c>
      <c r="O118" s="130">
        <v>12</v>
      </c>
      <c r="P118" s="130">
        <f>MONTH(Table1[[#This Row],[Date]])</f>
        <v>2</v>
      </c>
      <c r="Q118" s="130">
        <v>2021</v>
      </c>
      <c r="R118" s="166">
        <f>IF(ISBLANK(Table1[[#This Row],[Date]]),"",Table1[[#This Row],[Date]]-WEEKDAY(Table1[[#This Row],[Date]],2)+1)</f>
        <v>44235</v>
      </c>
      <c r="S118" s="131">
        <f>IF(ISBLANK(Table1[[#This Row],[Date]]),"",DATE(Table1[[#This Row],[Date_Year]],Table1[[#This Row],[Date_Month]],1))</f>
        <v>44228</v>
      </c>
    </row>
    <row r="119" spans="2:19" ht="15.75" x14ac:dyDescent="0.25">
      <c r="B119" s="133">
        <v>44239</v>
      </c>
      <c r="C119" s="128" t="s">
        <v>1183</v>
      </c>
      <c r="D119" s="128" t="s">
        <v>1204</v>
      </c>
      <c r="E119" s="128" t="str" cm="1">
        <f t="array" ref="E119">IFERROR(INDEX(SubcategoriesTable[Subcategory name],MATCH(Table1[[#This Row],[Category]],SubcategoriesTable[Category name],0),0),"")</f>
        <v>Variable</v>
      </c>
      <c r="F119" s="134">
        <v>-100</v>
      </c>
      <c r="G119" s="167" t="str">
        <f>_xlfn.XLOOKUP(Table1[[#This Row],[Account_ID]], Accounts[ID], Accounts[Account nickname], "Unknown")</f>
        <v>EVERYDAY CHECKING</v>
      </c>
      <c r="H119" s="137" t="str">
        <f>_xlfn.XLOOKUP(Table1[[#This Row],[Account_ID]], Accounts[ID], Accounts[Account'#], "Unknown")</f>
        <v>4636</v>
      </c>
      <c r="I119" s="168" t="str">
        <f>_xlfn.XLOOKUP(Table1[[#This Row],[Institution_ID]], Institutions[ID], Institutions[Institution nickname], "Unknown")</f>
        <v>Wells Fargo</v>
      </c>
      <c r="J119" s="139" t="s">
        <v>1387</v>
      </c>
      <c r="K119" s="129" t="s">
        <v>1229</v>
      </c>
      <c r="L119" s="129" t="s">
        <v>1228</v>
      </c>
      <c r="M119" s="130" t="str" cm="1">
        <f t="array" ref="M119">IFERROR(INDEX(CategoriesTable[Category type],MATCH(Table1[[#This Row],[Category]],CategoriesTable[Category name],0),0),"")</f>
        <v>Savings</v>
      </c>
      <c r="N119" s="130" t="str" cm="1">
        <f t="array" ref="N119">IFERROR(INDEX(SubcategoriesTable[Subcategory name],MATCH(Table1[[#This Row],[Category]],SubcategoriesTable[Category name],0),0),"")</f>
        <v>Variable</v>
      </c>
      <c r="O119" s="130">
        <v>12</v>
      </c>
      <c r="P119" s="130">
        <f>MONTH(Table1[[#This Row],[Date]])</f>
        <v>2</v>
      </c>
      <c r="Q119" s="130">
        <v>2021</v>
      </c>
      <c r="R119" s="166">
        <f>IF(ISBLANK(Table1[[#This Row],[Date]]),"",Table1[[#This Row],[Date]]-WEEKDAY(Table1[[#This Row],[Date]],2)+1)</f>
        <v>44235</v>
      </c>
      <c r="S119" s="131">
        <f>IF(ISBLANK(Table1[[#This Row],[Date]]),"",DATE(Table1[[#This Row],[Date_Year]],Table1[[#This Row],[Date_Month]],1))</f>
        <v>44228</v>
      </c>
    </row>
    <row r="120" spans="2:19" ht="15.75" x14ac:dyDescent="0.25">
      <c r="B120" s="133">
        <v>44239</v>
      </c>
      <c r="C120" s="128" t="s">
        <v>508</v>
      </c>
      <c r="D120" s="128" t="s">
        <v>50</v>
      </c>
      <c r="E120" s="128" t="str" cm="1">
        <f t="array" ref="E120">IFERROR(INDEX(SubcategoriesTable[Subcategory name],MATCH(Table1[[#This Row],[Category]],SubcategoriesTable[Category name],0),0),"")</f>
        <v>Variable</v>
      </c>
      <c r="F120" s="134">
        <v>-350</v>
      </c>
      <c r="G120" s="167" t="str">
        <f>_xlfn.XLOOKUP(Table1[[#This Row],[Account_ID]], Accounts[ID], Accounts[Account nickname], "Unknown")</f>
        <v>EVERYDAY CHECKING</v>
      </c>
      <c r="H120" s="137" t="str">
        <f>_xlfn.XLOOKUP(Table1[[#This Row],[Account_ID]], Accounts[ID], Accounts[Account'#], "Unknown")</f>
        <v>4636</v>
      </c>
      <c r="I120" s="168" t="str">
        <f>_xlfn.XLOOKUP(Table1[[#This Row],[Institution_ID]], Institutions[ID], Institutions[Institution nickname], "Unknown")</f>
        <v>Wells Fargo</v>
      </c>
      <c r="J120" s="139" t="s">
        <v>1388</v>
      </c>
      <c r="K120" s="129" t="s">
        <v>1229</v>
      </c>
      <c r="L120" s="129" t="s">
        <v>1228</v>
      </c>
      <c r="M120" s="130" t="str" cm="1">
        <f t="array" ref="M120">IFERROR(INDEX(CategoriesTable[Category type],MATCH(Table1[[#This Row],[Category]],CategoriesTable[Category name],0),0),"")</f>
        <v>Transfer</v>
      </c>
      <c r="N120" s="130" t="str" cm="1">
        <f t="array" ref="N120">IFERROR(INDEX(SubcategoriesTable[Subcategory name],MATCH(Table1[[#This Row],[Category]],SubcategoriesTable[Category name],0),0),"")</f>
        <v>Variable</v>
      </c>
      <c r="O120" s="130">
        <v>12</v>
      </c>
      <c r="P120" s="130">
        <f>MONTH(Table1[[#This Row],[Date]])</f>
        <v>2</v>
      </c>
      <c r="Q120" s="130">
        <v>2021</v>
      </c>
      <c r="R120" s="166">
        <f>IF(ISBLANK(Table1[[#This Row],[Date]]),"",Table1[[#This Row],[Date]]-WEEKDAY(Table1[[#This Row],[Date]],2)+1)</f>
        <v>44235</v>
      </c>
      <c r="S120" s="131">
        <f>IF(ISBLANK(Table1[[#This Row],[Date]]),"",DATE(Table1[[#This Row],[Date_Year]],Table1[[#This Row],[Date_Month]],1))</f>
        <v>44228</v>
      </c>
    </row>
    <row r="121" spans="2:19" ht="15.75" x14ac:dyDescent="0.25">
      <c r="B121" s="133">
        <v>44239</v>
      </c>
      <c r="C121" s="128" t="s">
        <v>50</v>
      </c>
      <c r="D121" s="128" t="s">
        <v>1204</v>
      </c>
      <c r="E121" s="128"/>
      <c r="F121" s="134">
        <v>100</v>
      </c>
      <c r="G121" s="167" t="str">
        <f>_xlfn.XLOOKUP(Table1[[#This Row],[Account_ID]], Accounts[ID], Accounts[Account nickname], "Unknown")</f>
        <v>Checking - 4480</v>
      </c>
      <c r="H121" s="137" t="str">
        <f>_xlfn.XLOOKUP(Table1[[#This Row],[Account_ID]], Accounts[ID], Accounts[Account'#], "Unknown")</f>
        <v>4480</v>
      </c>
      <c r="I121" s="168" t="str">
        <f>_xlfn.XLOOKUP(Table1[[#This Row],[Institution_ID]], Institutions[ID], Institutions[Institution nickname], "Unknown")</f>
        <v>Robinhood</v>
      </c>
      <c r="J121" s="139" t="s">
        <v>1221</v>
      </c>
      <c r="K121" s="129" t="s">
        <v>1208</v>
      </c>
      <c r="L121" s="173" t="s">
        <v>1207</v>
      </c>
      <c r="M121" s="130" t="str" cm="1">
        <f t="array" ref="M121">IFERROR(INDEX(CategoriesTable[Category type],MATCH(Table1[[#This Row],[Category]],CategoriesTable[Category name],0),0),"")</f>
        <v>Savings</v>
      </c>
      <c r="N121" s="130" t="str" cm="1">
        <f t="array" ref="N121">IFERROR(INDEX(SubcategoriesTable[Subcategory name],MATCH(Table1[[#This Row],[Category]],SubcategoriesTable[Category name],0),0),"")</f>
        <v>Variable</v>
      </c>
      <c r="O121" s="130">
        <v>12</v>
      </c>
      <c r="P121" s="130">
        <f>MONTH(Table1[[#This Row],[Date]])</f>
        <v>2</v>
      </c>
      <c r="Q121" s="130">
        <v>2021</v>
      </c>
      <c r="R121" s="166">
        <f>IF(ISBLANK(Table1[[#This Row],[Date]]),"",Table1[[#This Row],[Date]]-WEEKDAY(Table1[[#This Row],[Date]],2)+1)</f>
        <v>44235</v>
      </c>
      <c r="S121" s="131">
        <f>IF(ISBLANK(Table1[[#This Row],[Date]]),"",DATE(Table1[[#This Row],[Date_Year]],Table1[[#This Row],[Date_Month]],1))</f>
        <v>44228</v>
      </c>
    </row>
    <row r="122" spans="2:19" ht="15.75" x14ac:dyDescent="0.25">
      <c r="B122" s="133">
        <v>44239</v>
      </c>
      <c r="C122" s="128" t="s">
        <v>206</v>
      </c>
      <c r="D122" s="128" t="s">
        <v>57</v>
      </c>
      <c r="E122" s="128" t="str" cm="1">
        <f t="array" ref="E122">IFERROR(INDEX(SubcategoriesTable[Subcategory name],MATCH(Table1[[#This Row],[Category]],SubcategoriesTable[Category name],0),0),"")</f>
        <v>Variable</v>
      </c>
      <c r="F122" s="134">
        <v>14</v>
      </c>
      <c r="G122" s="167" t="str">
        <f>_xlfn.XLOOKUP(Table1[[#This Row],[Account_ID]], Accounts[ID], Accounts[Account nickname], "Unknown")</f>
        <v>Discover it chrome Card</v>
      </c>
      <c r="H122" s="137" t="str">
        <f>_xlfn.XLOOKUP(Table1[[#This Row],[Account_ID]], Accounts[ID], Accounts[Account'#], "Unknown")</f>
        <v>7328</v>
      </c>
      <c r="I122" s="168" t="str">
        <f>_xlfn.XLOOKUP(Table1[[#This Row],[Institution_ID]], Institutions[ID], Institutions[Institution nickname], "Unknown")</f>
        <v>Discover</v>
      </c>
      <c r="J122" s="139" t="s">
        <v>207</v>
      </c>
      <c r="K122" s="129" t="s">
        <v>110</v>
      </c>
      <c r="L122" s="129" t="s">
        <v>108</v>
      </c>
      <c r="M122" s="130" t="str" cm="1">
        <f t="array" ref="M122">IFERROR(INDEX(CategoriesTable[Category type],MATCH(Table1[[#This Row],[Category]],CategoriesTable[Category name],0),0),"")</f>
        <v>Transfer</v>
      </c>
      <c r="N122" s="130" t="str" cm="1">
        <f t="array" ref="N122">IFERROR(INDEX(SubcategoriesTable[Subcategory name],MATCH(Table1[[#This Row],[Category]],SubcategoriesTable[Category name],0),0),"")</f>
        <v>Variable</v>
      </c>
      <c r="O122" s="130">
        <v>12</v>
      </c>
      <c r="P122" s="130">
        <f>MONTH(Table1[[#This Row],[Date]])</f>
        <v>2</v>
      </c>
      <c r="Q122" s="130">
        <v>2021</v>
      </c>
      <c r="R122" s="166">
        <f>IF(ISBLANK(Table1[[#This Row],[Date]]),"",Table1[[#This Row],[Date]]-WEEKDAY(Table1[[#This Row],[Date]],2)+1)</f>
        <v>44235</v>
      </c>
      <c r="S122" s="131">
        <f>IF(ISBLANK(Table1[[#This Row],[Date]]),"",DATE(Table1[[#This Row],[Date_Year]],Table1[[#This Row],[Date_Month]],1))</f>
        <v>44228</v>
      </c>
    </row>
    <row r="123" spans="2:19" ht="15.75" x14ac:dyDescent="0.25">
      <c r="B123" s="133">
        <v>44239</v>
      </c>
      <c r="C123" s="128" t="s">
        <v>113</v>
      </c>
      <c r="D123" s="128" t="s">
        <v>50</v>
      </c>
      <c r="E123" s="128" t="str" cm="1">
        <f t="array" ref="E123">IFERROR(INDEX(SubcategoriesTable[Subcategory name],MATCH(Table1[[#This Row],[Category]],SubcategoriesTable[Category name],0),0),"")</f>
        <v>Variable</v>
      </c>
      <c r="F123" s="134">
        <v>715.37</v>
      </c>
      <c r="G123" s="167" t="str">
        <f>_xlfn.XLOOKUP(Table1[[#This Row],[Account_ID]], Accounts[ID], Accounts[Account nickname], "Unknown")</f>
        <v>Discover it chrome Card</v>
      </c>
      <c r="H123" s="137" t="str">
        <f>_xlfn.XLOOKUP(Table1[[#This Row],[Account_ID]], Accounts[ID], Accounts[Account'#], "Unknown")</f>
        <v>7328</v>
      </c>
      <c r="I123" s="168" t="str">
        <f>_xlfn.XLOOKUP(Table1[[#This Row],[Institution_ID]], Institutions[ID], Institutions[Institution nickname], "Unknown")</f>
        <v>Discover</v>
      </c>
      <c r="J123" s="139" t="s">
        <v>208</v>
      </c>
      <c r="K123" s="129" t="s">
        <v>110</v>
      </c>
      <c r="L123" s="129" t="s">
        <v>108</v>
      </c>
      <c r="M123" s="130" t="str" cm="1">
        <f t="array" ref="M123">IFERROR(INDEX(CategoriesTable[Category type],MATCH(Table1[[#This Row],[Category]],CategoriesTable[Category name],0),0),"")</f>
        <v>Transfer</v>
      </c>
      <c r="N123" s="130" t="str" cm="1">
        <f t="array" ref="N123">IFERROR(INDEX(SubcategoriesTable[Subcategory name],MATCH(Table1[[#This Row],[Category]],SubcategoriesTable[Category name],0),0),"")</f>
        <v>Variable</v>
      </c>
      <c r="O123" s="130">
        <v>12</v>
      </c>
      <c r="P123" s="130">
        <f>MONTH(Table1[[#This Row],[Date]])</f>
        <v>2</v>
      </c>
      <c r="Q123" s="130">
        <v>2021</v>
      </c>
      <c r="R123" s="166">
        <f>IF(ISBLANK(Table1[[#This Row],[Date]]),"",Table1[[#This Row],[Date]]-WEEKDAY(Table1[[#This Row],[Date]],2)+1)</f>
        <v>44235</v>
      </c>
      <c r="S123" s="131">
        <f>IF(ISBLANK(Table1[[#This Row],[Date]]),"",DATE(Table1[[#This Row],[Date_Year]],Table1[[#This Row],[Date_Month]],1))</f>
        <v>44228</v>
      </c>
    </row>
    <row r="124" spans="2:19" ht="15.75" x14ac:dyDescent="0.25">
      <c r="B124" s="133">
        <v>44239</v>
      </c>
      <c r="C124" s="128" t="s">
        <v>209</v>
      </c>
      <c r="D124" s="128" t="s">
        <v>54</v>
      </c>
      <c r="E124" s="128" t="str" cm="1">
        <f t="array" ref="E124">IFERROR(INDEX(SubcategoriesTable[Subcategory name],MATCH(Table1[[#This Row],[Category]],SubcategoriesTable[Category name],0),0),"")</f>
        <v>Fixed</v>
      </c>
      <c r="F124" s="134">
        <v>-1.99</v>
      </c>
      <c r="G124" s="167" t="str">
        <f>_xlfn.XLOOKUP(Table1[[#This Row],[Account_ID]], Accounts[ID], Accounts[Account nickname], "Unknown")</f>
        <v>Discover it chrome Card</v>
      </c>
      <c r="H124" s="137" t="str">
        <f>_xlfn.XLOOKUP(Table1[[#This Row],[Account_ID]], Accounts[ID], Accounts[Account'#], "Unknown")</f>
        <v>7328</v>
      </c>
      <c r="I124" s="168" t="str">
        <f>_xlfn.XLOOKUP(Table1[[#This Row],[Institution_ID]], Institutions[ID], Institutions[Institution nickname], "Unknown")</f>
        <v>Discover</v>
      </c>
      <c r="J124" s="139" t="s">
        <v>210</v>
      </c>
      <c r="K124" s="129" t="s">
        <v>110</v>
      </c>
      <c r="L124" s="129" t="s">
        <v>108</v>
      </c>
      <c r="M124" s="130" t="str" cm="1">
        <f t="array" ref="M124">IFERROR(INDEX(CategoriesTable[Category type],MATCH(Table1[[#This Row],[Category]],CategoriesTable[Category name],0),0),"")</f>
        <v>Expense</v>
      </c>
      <c r="N124" s="130" t="str" cm="1">
        <f t="array" ref="N124">IFERROR(INDEX(SubcategoriesTable[Subcategory name],MATCH(Table1[[#This Row],[Category]],SubcategoriesTable[Category name],0),0),"")</f>
        <v>Fixed</v>
      </c>
      <c r="O124" s="130">
        <v>12</v>
      </c>
      <c r="P124" s="130">
        <f>MONTH(Table1[[#This Row],[Date]])</f>
        <v>2</v>
      </c>
      <c r="Q124" s="130">
        <v>2021</v>
      </c>
      <c r="R124" s="166">
        <f>IF(ISBLANK(Table1[[#This Row],[Date]]),"",Table1[[#This Row],[Date]]-WEEKDAY(Table1[[#This Row],[Date]],2)+1)</f>
        <v>44235</v>
      </c>
      <c r="S124" s="131">
        <f>IF(ISBLANK(Table1[[#This Row],[Date]]),"",DATE(Table1[[#This Row],[Date_Year]],Table1[[#This Row],[Date_Month]],1))</f>
        <v>44228</v>
      </c>
    </row>
    <row r="125" spans="2:19" ht="15.75" x14ac:dyDescent="0.25">
      <c r="B125" s="133">
        <v>44238</v>
      </c>
      <c r="C125" s="128" t="s">
        <v>50</v>
      </c>
      <c r="D125" s="128" t="s">
        <v>1204</v>
      </c>
      <c r="E125" s="128"/>
      <c r="F125" s="134">
        <v>100</v>
      </c>
      <c r="G125" s="167" t="str">
        <f>_xlfn.XLOOKUP(Table1[[#This Row],[Account_ID]], Accounts[ID], Accounts[Account nickname], "Unknown")</f>
        <v>Checking - 4480</v>
      </c>
      <c r="H125" s="137" t="str">
        <f>_xlfn.XLOOKUP(Table1[[#This Row],[Account_ID]], Accounts[ID], Accounts[Account'#], "Unknown")</f>
        <v>4480</v>
      </c>
      <c r="I125" s="168" t="str">
        <f>_xlfn.XLOOKUP(Table1[[#This Row],[Institution_ID]], Institutions[ID], Institutions[Institution nickname], "Unknown")</f>
        <v>Robinhood</v>
      </c>
      <c r="J125" s="139" t="s">
        <v>1222</v>
      </c>
      <c r="K125" s="129" t="s">
        <v>1208</v>
      </c>
      <c r="L125" s="173" t="s">
        <v>1207</v>
      </c>
      <c r="M125" s="130" t="str" cm="1">
        <f t="array" ref="M125">IFERROR(INDEX(CategoriesTable[Category type],MATCH(Table1[[#This Row],[Category]],CategoriesTable[Category name],0),0),"")</f>
        <v>Savings</v>
      </c>
      <c r="N125" s="130" t="str" cm="1">
        <f t="array" ref="N125">IFERROR(INDEX(SubcategoriesTable[Subcategory name],MATCH(Table1[[#This Row],[Category]],SubcategoriesTable[Category name],0),0),"")</f>
        <v>Variable</v>
      </c>
      <c r="O125" s="130">
        <v>11</v>
      </c>
      <c r="P125" s="130">
        <f>MONTH(Table1[[#This Row],[Date]])</f>
        <v>2</v>
      </c>
      <c r="Q125" s="130">
        <v>2021</v>
      </c>
      <c r="R125" s="166">
        <f>IF(ISBLANK(Table1[[#This Row],[Date]]),"",Table1[[#This Row],[Date]]-WEEKDAY(Table1[[#This Row],[Date]],2)+1)</f>
        <v>44235</v>
      </c>
      <c r="S125" s="131">
        <f>IF(ISBLANK(Table1[[#This Row],[Date]]),"",DATE(Table1[[#This Row],[Date_Year]],Table1[[#This Row],[Date_Month]],1))</f>
        <v>44228</v>
      </c>
    </row>
    <row r="126" spans="2:19" ht="15.75" x14ac:dyDescent="0.25">
      <c r="B126" s="133">
        <v>44238</v>
      </c>
      <c r="C126" s="128" t="s">
        <v>211</v>
      </c>
      <c r="D126" s="128" t="s">
        <v>52</v>
      </c>
      <c r="E126" s="128" t="str" cm="1">
        <f t="array" ref="E126">IFERROR(INDEX(SubcategoriesTable[Subcategory name],MATCH(Table1[[#This Row],[Category]],SubcategoriesTable[Category name],0),0),"")</f>
        <v>Variable</v>
      </c>
      <c r="F126" s="134">
        <v>-5</v>
      </c>
      <c r="G126" s="167" t="str">
        <f>_xlfn.XLOOKUP(Table1[[#This Row],[Account_ID]], Accounts[ID], Accounts[Account nickname], "Unknown")</f>
        <v>Discover it chrome Card</v>
      </c>
      <c r="H126" s="137" t="str">
        <f>_xlfn.XLOOKUP(Table1[[#This Row],[Account_ID]], Accounts[ID], Accounts[Account'#], "Unknown")</f>
        <v>7328</v>
      </c>
      <c r="I126" s="168" t="str">
        <f>_xlfn.XLOOKUP(Table1[[#This Row],[Institution_ID]], Institutions[ID], Institutions[Institution nickname], "Unknown")</f>
        <v>Discover</v>
      </c>
      <c r="J126" s="139" t="s">
        <v>212</v>
      </c>
      <c r="K126" s="129" t="s">
        <v>110</v>
      </c>
      <c r="L126" s="129" t="s">
        <v>108</v>
      </c>
      <c r="M126" s="130" t="str" cm="1">
        <f t="array" ref="M126">IFERROR(INDEX(CategoriesTable[Category type],MATCH(Table1[[#This Row],[Category]],CategoriesTable[Category name],0),0),"")</f>
        <v>Expense</v>
      </c>
      <c r="N126" s="130" t="str" cm="1">
        <f t="array" ref="N126">IFERROR(INDEX(SubcategoriesTable[Subcategory name],MATCH(Table1[[#This Row],[Category]],SubcategoriesTable[Category name],0),0),"")</f>
        <v>Variable</v>
      </c>
      <c r="O126" s="130">
        <v>11</v>
      </c>
      <c r="P126" s="130">
        <f>MONTH(Table1[[#This Row],[Date]])</f>
        <v>2</v>
      </c>
      <c r="Q126" s="130">
        <v>2021</v>
      </c>
      <c r="R126" s="166">
        <f>IF(ISBLANK(Table1[[#This Row],[Date]]),"",Table1[[#This Row],[Date]]-WEEKDAY(Table1[[#This Row],[Date]],2)+1)</f>
        <v>44235</v>
      </c>
      <c r="S126" s="131">
        <f>IF(ISBLANK(Table1[[#This Row],[Date]]),"",DATE(Table1[[#This Row],[Date_Year]],Table1[[#This Row],[Date_Month]],1))</f>
        <v>44228</v>
      </c>
    </row>
    <row r="127" spans="2:19" ht="15.75" x14ac:dyDescent="0.25">
      <c r="B127" s="133">
        <v>44238</v>
      </c>
      <c r="C127" s="128" t="s">
        <v>211</v>
      </c>
      <c r="D127" s="128" t="s">
        <v>52</v>
      </c>
      <c r="E127" s="128" t="str" cm="1">
        <f t="array" ref="E127">IFERROR(INDEX(SubcategoriesTable[Subcategory name],MATCH(Table1[[#This Row],[Category]],SubcategoriesTable[Category name],0),0),"")</f>
        <v>Variable</v>
      </c>
      <c r="F127" s="134">
        <v>-5</v>
      </c>
      <c r="G127" s="167" t="str">
        <f>_xlfn.XLOOKUP(Table1[[#This Row],[Account_ID]], Accounts[ID], Accounts[Account nickname], "Unknown")</f>
        <v>Discover it chrome Card</v>
      </c>
      <c r="H127" s="137" t="str">
        <f>_xlfn.XLOOKUP(Table1[[#This Row],[Account_ID]], Accounts[ID], Accounts[Account'#], "Unknown")</f>
        <v>7328</v>
      </c>
      <c r="I127" s="168" t="str">
        <f>_xlfn.XLOOKUP(Table1[[#This Row],[Institution_ID]], Institutions[ID], Institutions[Institution nickname], "Unknown")</f>
        <v>Discover</v>
      </c>
      <c r="J127" s="139" t="s">
        <v>213</v>
      </c>
      <c r="K127" s="129" t="s">
        <v>110</v>
      </c>
      <c r="L127" s="129" t="s">
        <v>108</v>
      </c>
      <c r="M127" s="130" t="str" cm="1">
        <f t="array" ref="M127">IFERROR(INDEX(CategoriesTable[Category type],MATCH(Table1[[#This Row],[Category]],CategoriesTable[Category name],0),0),"")</f>
        <v>Expense</v>
      </c>
      <c r="N127" s="130" t="str" cm="1">
        <f t="array" ref="N127">IFERROR(INDEX(SubcategoriesTable[Subcategory name],MATCH(Table1[[#This Row],[Category]],SubcategoriesTable[Category name],0),0),"")</f>
        <v>Variable</v>
      </c>
      <c r="O127" s="130">
        <v>11</v>
      </c>
      <c r="P127" s="130">
        <f>MONTH(Table1[[#This Row],[Date]])</f>
        <v>2</v>
      </c>
      <c r="Q127" s="130">
        <v>2021</v>
      </c>
      <c r="R127" s="166">
        <f>IF(ISBLANK(Table1[[#This Row],[Date]]),"",Table1[[#This Row],[Date]]-WEEKDAY(Table1[[#This Row],[Date]],2)+1)</f>
        <v>44235</v>
      </c>
      <c r="S127" s="131">
        <f>IF(ISBLANK(Table1[[#This Row],[Date]]),"",DATE(Table1[[#This Row],[Date_Year]],Table1[[#This Row],[Date_Month]],1))</f>
        <v>44228</v>
      </c>
    </row>
    <row r="128" spans="2:19" ht="15.75" x14ac:dyDescent="0.25">
      <c r="B128" s="133">
        <v>44238</v>
      </c>
      <c r="C128" s="128" t="s">
        <v>211</v>
      </c>
      <c r="D128" s="128" t="s">
        <v>52</v>
      </c>
      <c r="E128" s="128" t="str" cm="1">
        <f t="array" ref="E128">IFERROR(INDEX(SubcategoriesTable[Subcategory name],MATCH(Table1[[#This Row],[Category]],SubcategoriesTable[Category name],0),0),"")</f>
        <v>Variable</v>
      </c>
      <c r="F128" s="134">
        <v>-5</v>
      </c>
      <c r="G128" s="167" t="str">
        <f>_xlfn.XLOOKUP(Table1[[#This Row],[Account_ID]], Accounts[ID], Accounts[Account nickname], "Unknown")</f>
        <v>Discover it chrome Card</v>
      </c>
      <c r="H128" s="137" t="str">
        <f>_xlfn.XLOOKUP(Table1[[#This Row],[Account_ID]], Accounts[ID], Accounts[Account'#], "Unknown")</f>
        <v>7328</v>
      </c>
      <c r="I128" s="168" t="str">
        <f>_xlfn.XLOOKUP(Table1[[#This Row],[Institution_ID]], Institutions[ID], Institutions[Institution nickname], "Unknown")</f>
        <v>Discover</v>
      </c>
      <c r="J128" s="139" t="s">
        <v>214</v>
      </c>
      <c r="K128" s="129" t="s">
        <v>110</v>
      </c>
      <c r="L128" s="129" t="s">
        <v>108</v>
      </c>
      <c r="M128" s="130" t="str" cm="1">
        <f t="array" ref="M128">IFERROR(INDEX(CategoriesTable[Category type],MATCH(Table1[[#This Row],[Category]],CategoriesTable[Category name],0),0),"")</f>
        <v>Expense</v>
      </c>
      <c r="N128" s="130" t="str" cm="1">
        <f t="array" ref="N128">IFERROR(INDEX(SubcategoriesTable[Subcategory name],MATCH(Table1[[#This Row],[Category]],SubcategoriesTable[Category name],0),0),"")</f>
        <v>Variable</v>
      </c>
      <c r="O128" s="130">
        <v>11</v>
      </c>
      <c r="P128" s="130">
        <f>MONTH(Table1[[#This Row],[Date]])</f>
        <v>2</v>
      </c>
      <c r="Q128" s="130">
        <v>2021</v>
      </c>
      <c r="R128" s="166">
        <f>IF(ISBLANK(Table1[[#This Row],[Date]]),"",Table1[[#This Row],[Date]]-WEEKDAY(Table1[[#This Row],[Date]],2)+1)</f>
        <v>44235</v>
      </c>
      <c r="S128" s="131">
        <f>IF(ISBLANK(Table1[[#This Row],[Date]]),"",DATE(Table1[[#This Row],[Date_Year]],Table1[[#This Row],[Date_Month]],1))</f>
        <v>44228</v>
      </c>
    </row>
    <row r="129" spans="2:19" ht="15.75" x14ac:dyDescent="0.25">
      <c r="B129" s="133">
        <v>44237</v>
      </c>
      <c r="C129" s="128" t="s">
        <v>163</v>
      </c>
      <c r="D129" s="128" t="s">
        <v>2392</v>
      </c>
      <c r="E129" s="128" t="str" cm="1">
        <f t="array" ref="E129">IFERROR(INDEX(SubcategoriesTable[Subcategory name],MATCH(Table1[[#This Row],[Category]],SubcategoriesTable[Category name],0),0),"")</f>
        <v>Variable</v>
      </c>
      <c r="F129" s="134">
        <v>-3.99</v>
      </c>
      <c r="G129" s="167" t="str">
        <f>_xlfn.XLOOKUP(Table1[[#This Row],[Account_ID]], Accounts[ID], Accounts[Account nickname], "Unknown")</f>
        <v>Discover it chrome Card</v>
      </c>
      <c r="H129" s="137" t="str">
        <f>_xlfn.XLOOKUP(Table1[[#This Row],[Account_ID]], Accounts[ID], Accounts[Account'#], "Unknown")</f>
        <v>7328</v>
      </c>
      <c r="I129" s="168" t="str">
        <f>_xlfn.XLOOKUP(Table1[[#This Row],[Institution_ID]], Institutions[ID], Institutions[Institution nickname], "Unknown")</f>
        <v>Discover</v>
      </c>
      <c r="J129" s="139" t="s">
        <v>215</v>
      </c>
      <c r="K129" s="129" t="s">
        <v>110</v>
      </c>
      <c r="L129" s="129" t="s">
        <v>108</v>
      </c>
      <c r="M129" s="130" t="str" cm="1">
        <f t="array" ref="M129">IFERROR(INDEX(CategoriesTable[Category type],MATCH(Table1[[#This Row],[Category]],CategoriesTable[Category name],0),0),"")</f>
        <v>Expense</v>
      </c>
      <c r="N129" s="130" t="str" cm="1">
        <f t="array" ref="N129">IFERROR(INDEX(SubcategoriesTable[Subcategory name],MATCH(Table1[[#This Row],[Category]],SubcategoriesTable[Category name],0),0),"")</f>
        <v>Variable</v>
      </c>
      <c r="O129" s="130">
        <v>10</v>
      </c>
      <c r="P129" s="130">
        <f>MONTH(Table1[[#This Row],[Date]])</f>
        <v>2</v>
      </c>
      <c r="Q129" s="130">
        <v>2021</v>
      </c>
      <c r="R129" s="166">
        <f>IF(ISBLANK(Table1[[#This Row],[Date]]),"",Table1[[#This Row],[Date]]-WEEKDAY(Table1[[#This Row],[Date]],2)+1)</f>
        <v>44235</v>
      </c>
      <c r="S129" s="131">
        <f>IF(ISBLANK(Table1[[#This Row],[Date]]),"",DATE(Table1[[#This Row],[Date_Year]],Table1[[#This Row],[Date_Month]],1))</f>
        <v>44228</v>
      </c>
    </row>
    <row r="130" spans="2:19" ht="15.75" x14ac:dyDescent="0.25">
      <c r="B130" s="133">
        <v>44237</v>
      </c>
      <c r="C130" s="128" t="s">
        <v>171</v>
      </c>
      <c r="D130" s="128" t="s">
        <v>46</v>
      </c>
      <c r="E130" s="128" t="str" cm="1">
        <f t="array" ref="E130">IFERROR(INDEX(SubcategoriesTable[Subcategory name],MATCH(Table1[[#This Row],[Category]],SubcategoriesTable[Category name],0),0),"")</f>
        <v>Variable</v>
      </c>
      <c r="F130" s="134">
        <v>-4.7300000000000004</v>
      </c>
      <c r="G130" s="167" t="str">
        <f>_xlfn.XLOOKUP(Table1[[#This Row],[Account_ID]], Accounts[ID], Accounts[Account nickname], "Unknown")</f>
        <v>Discover it chrome Card</v>
      </c>
      <c r="H130" s="137" t="str">
        <f>_xlfn.XLOOKUP(Table1[[#This Row],[Account_ID]], Accounts[ID], Accounts[Account'#], "Unknown")</f>
        <v>7328</v>
      </c>
      <c r="I130" s="168" t="str">
        <f>_xlfn.XLOOKUP(Table1[[#This Row],[Institution_ID]], Institutions[ID], Institutions[Institution nickname], "Unknown")</f>
        <v>Discover</v>
      </c>
      <c r="J130" s="139" t="s">
        <v>216</v>
      </c>
      <c r="K130" s="129" t="s">
        <v>110</v>
      </c>
      <c r="L130" s="129" t="s">
        <v>108</v>
      </c>
      <c r="M130" s="130" t="str" cm="1">
        <f t="array" ref="M130">IFERROR(INDEX(CategoriesTable[Category type],MATCH(Table1[[#This Row],[Category]],CategoriesTable[Category name],0),0),"")</f>
        <v>Expense</v>
      </c>
      <c r="N130" s="130" t="str" cm="1">
        <f t="array" ref="N130">IFERROR(INDEX(SubcategoriesTable[Subcategory name],MATCH(Table1[[#This Row],[Category]],SubcategoriesTable[Category name],0),0),"")</f>
        <v>Variable</v>
      </c>
      <c r="O130" s="130">
        <v>10</v>
      </c>
      <c r="P130" s="130">
        <f>MONTH(Table1[[#This Row],[Date]])</f>
        <v>2</v>
      </c>
      <c r="Q130" s="130">
        <v>2021</v>
      </c>
      <c r="R130" s="166">
        <f>IF(ISBLANK(Table1[[#This Row],[Date]]),"",Table1[[#This Row],[Date]]-WEEKDAY(Table1[[#This Row],[Date]],2)+1)</f>
        <v>44235</v>
      </c>
      <c r="S130" s="131">
        <f>IF(ISBLANK(Table1[[#This Row],[Date]]),"",DATE(Table1[[#This Row],[Date_Year]],Table1[[#This Row],[Date_Month]],1))</f>
        <v>44228</v>
      </c>
    </row>
    <row r="131" spans="2:19" ht="15.75" x14ac:dyDescent="0.25">
      <c r="B131" s="133">
        <v>44236</v>
      </c>
      <c r="C131" s="128" t="s">
        <v>1185</v>
      </c>
      <c r="D131" s="128" t="s">
        <v>57</v>
      </c>
      <c r="E131" s="128" t="str" cm="1">
        <f t="array" ref="E131">IFERROR(INDEX(SubcategoriesTable[Subcategory name],MATCH(Table1[[#This Row],[Category]],SubcategoriesTable[Category name],0),0),"")</f>
        <v>Variable</v>
      </c>
      <c r="F131" s="134">
        <v>138.47999999999999</v>
      </c>
      <c r="G131" s="167" t="str">
        <f>_xlfn.XLOOKUP(Table1[[#This Row],[Account_ID]], Accounts[ID], Accounts[Account nickname], "Unknown")</f>
        <v>EVERYDAY CHECKING</v>
      </c>
      <c r="H131" s="137" t="str">
        <f>_xlfn.XLOOKUP(Table1[[#This Row],[Account_ID]], Accounts[ID], Accounts[Account'#], "Unknown")</f>
        <v>4636</v>
      </c>
      <c r="I131" s="168" t="str">
        <f>_xlfn.XLOOKUP(Table1[[#This Row],[Institution_ID]], Institutions[ID], Institutions[Institution nickname], "Unknown")</f>
        <v>Wells Fargo</v>
      </c>
      <c r="J131" s="139" t="s">
        <v>1389</v>
      </c>
      <c r="K131" s="129" t="s">
        <v>1229</v>
      </c>
      <c r="L131" s="129" t="s">
        <v>1228</v>
      </c>
      <c r="M131" s="130" t="str" cm="1">
        <f t="array" ref="M131">IFERROR(INDEX(CategoriesTable[Category type],MATCH(Table1[[#This Row],[Category]],CategoriesTable[Category name],0),0),"")</f>
        <v>Transfer</v>
      </c>
      <c r="N131" s="130" t="str" cm="1">
        <f t="array" ref="N131">IFERROR(INDEX(SubcategoriesTable[Subcategory name],MATCH(Table1[[#This Row],[Category]],SubcategoriesTable[Category name],0),0),"")</f>
        <v>Variable</v>
      </c>
      <c r="O131" s="130">
        <v>9</v>
      </c>
      <c r="P131" s="130">
        <f>MONTH(Table1[[#This Row],[Date]])</f>
        <v>2</v>
      </c>
      <c r="Q131" s="130">
        <v>2021</v>
      </c>
      <c r="R131" s="166">
        <f>IF(ISBLANK(Table1[[#This Row],[Date]]),"",Table1[[#This Row],[Date]]-WEEKDAY(Table1[[#This Row],[Date]],2)+1)</f>
        <v>44235</v>
      </c>
      <c r="S131" s="131">
        <f>IF(ISBLANK(Table1[[#This Row],[Date]]),"",DATE(Table1[[#This Row],[Date_Year]],Table1[[#This Row],[Date_Month]],1))</f>
        <v>44228</v>
      </c>
    </row>
    <row r="132" spans="2:19" ht="15.75" x14ac:dyDescent="0.25">
      <c r="B132" s="133">
        <v>44235</v>
      </c>
      <c r="C132" s="128" t="s">
        <v>1183</v>
      </c>
      <c r="D132" s="128" t="s">
        <v>1204</v>
      </c>
      <c r="E132" s="128" t="str" cm="1">
        <f t="array" ref="E132">IFERROR(INDEX(SubcategoriesTable[Subcategory name],MATCH(Table1[[#This Row],[Category]],SubcategoriesTable[Category name],0),0),"")</f>
        <v>Variable</v>
      </c>
      <c r="F132" s="134">
        <v>-10</v>
      </c>
      <c r="G132" s="167" t="str">
        <f>_xlfn.XLOOKUP(Table1[[#This Row],[Account_ID]], Accounts[ID], Accounts[Account nickname], "Unknown")</f>
        <v>EVERYDAY CHECKING</v>
      </c>
      <c r="H132" s="137" t="str">
        <f>_xlfn.XLOOKUP(Table1[[#This Row],[Account_ID]], Accounts[ID], Accounts[Account'#], "Unknown")</f>
        <v>4636</v>
      </c>
      <c r="I132" s="168" t="str">
        <f>_xlfn.XLOOKUP(Table1[[#This Row],[Institution_ID]], Institutions[ID], Institutions[Institution nickname], "Unknown")</f>
        <v>Wells Fargo</v>
      </c>
      <c r="J132" s="139" t="s">
        <v>1390</v>
      </c>
      <c r="K132" s="129" t="s">
        <v>1229</v>
      </c>
      <c r="L132" s="129" t="s">
        <v>1228</v>
      </c>
      <c r="M132" s="130" t="str" cm="1">
        <f t="array" ref="M132">IFERROR(INDEX(CategoriesTable[Category type],MATCH(Table1[[#This Row],[Category]],CategoriesTable[Category name],0),0),"")</f>
        <v>Savings</v>
      </c>
      <c r="N132" s="130" t="str" cm="1">
        <f t="array" ref="N132">IFERROR(INDEX(SubcategoriesTable[Subcategory name],MATCH(Table1[[#This Row],[Category]],SubcategoriesTable[Category name],0),0),"")</f>
        <v>Variable</v>
      </c>
      <c r="O132" s="130">
        <v>8</v>
      </c>
      <c r="P132" s="130">
        <f>MONTH(Table1[[#This Row],[Date]])</f>
        <v>2</v>
      </c>
      <c r="Q132" s="130">
        <v>2021</v>
      </c>
      <c r="R132" s="166">
        <f>IF(ISBLANK(Table1[[#This Row],[Date]]),"",Table1[[#This Row],[Date]]-WEEKDAY(Table1[[#This Row],[Date]],2)+1)</f>
        <v>44235</v>
      </c>
      <c r="S132" s="131">
        <f>IF(ISBLANK(Table1[[#This Row],[Date]]),"",DATE(Table1[[#This Row],[Date_Year]],Table1[[#This Row],[Date_Month]],1))</f>
        <v>44228</v>
      </c>
    </row>
    <row r="133" spans="2:19" ht="15.75" x14ac:dyDescent="0.25">
      <c r="B133" s="133">
        <v>44235</v>
      </c>
      <c r="C133" s="128" t="s">
        <v>1183</v>
      </c>
      <c r="D133" s="128" t="s">
        <v>1204</v>
      </c>
      <c r="E133" s="128" t="str" cm="1">
        <f t="array" ref="E133">IFERROR(INDEX(SubcategoriesTable[Subcategory name],MATCH(Table1[[#This Row],[Category]],SubcategoriesTable[Category name],0),0),"")</f>
        <v>Variable</v>
      </c>
      <c r="F133" s="134">
        <v>-40</v>
      </c>
      <c r="G133" s="167" t="str">
        <f>_xlfn.XLOOKUP(Table1[[#This Row],[Account_ID]], Accounts[ID], Accounts[Account nickname], "Unknown")</f>
        <v>EVERYDAY CHECKING</v>
      </c>
      <c r="H133" s="137" t="str">
        <f>_xlfn.XLOOKUP(Table1[[#This Row],[Account_ID]], Accounts[ID], Accounts[Account'#], "Unknown")</f>
        <v>4636</v>
      </c>
      <c r="I133" s="168" t="str">
        <f>_xlfn.XLOOKUP(Table1[[#This Row],[Institution_ID]], Institutions[ID], Institutions[Institution nickname], "Unknown")</f>
        <v>Wells Fargo</v>
      </c>
      <c r="J133" s="139" t="s">
        <v>1391</v>
      </c>
      <c r="K133" s="129" t="s">
        <v>1229</v>
      </c>
      <c r="L133" s="129" t="s">
        <v>1228</v>
      </c>
      <c r="M133" s="130" t="str" cm="1">
        <f t="array" ref="M133">IFERROR(INDEX(CategoriesTable[Category type],MATCH(Table1[[#This Row],[Category]],CategoriesTable[Category name],0),0),"")</f>
        <v>Savings</v>
      </c>
      <c r="N133" s="130" t="str" cm="1">
        <f t="array" ref="N133">IFERROR(INDEX(SubcategoriesTable[Subcategory name],MATCH(Table1[[#This Row],[Category]],SubcategoriesTable[Category name],0),0),"")</f>
        <v>Variable</v>
      </c>
      <c r="O133" s="130">
        <v>8</v>
      </c>
      <c r="P133" s="130">
        <f>MONTH(Table1[[#This Row],[Date]])</f>
        <v>2</v>
      </c>
      <c r="Q133" s="130">
        <v>2021</v>
      </c>
      <c r="R133" s="166">
        <f>IF(ISBLANK(Table1[[#This Row],[Date]]),"",Table1[[#This Row],[Date]]-WEEKDAY(Table1[[#This Row],[Date]],2)+1)</f>
        <v>44235</v>
      </c>
      <c r="S133" s="131">
        <f>IF(ISBLANK(Table1[[#This Row],[Date]]),"",DATE(Table1[[#This Row],[Date_Year]],Table1[[#This Row],[Date_Month]],1))</f>
        <v>44228</v>
      </c>
    </row>
    <row r="134" spans="2:19" ht="15.75" x14ac:dyDescent="0.25">
      <c r="B134" s="133">
        <v>44234</v>
      </c>
      <c r="C134" s="128" t="s">
        <v>180</v>
      </c>
      <c r="D134" s="128" t="s">
        <v>45</v>
      </c>
      <c r="E134" s="128" t="str" cm="1">
        <f t="array" ref="E134">IFERROR(INDEX(SubcategoriesTable[Subcategory name],MATCH(Table1[[#This Row],[Category]],SubcategoriesTable[Category name],0),0),"")</f>
        <v>Variable</v>
      </c>
      <c r="F134" s="134">
        <v>-9.36</v>
      </c>
      <c r="G134" s="167" t="str">
        <f>_xlfn.XLOOKUP(Table1[[#This Row],[Account_ID]], Accounts[ID], Accounts[Account nickname], "Unknown")</f>
        <v>Discover it chrome Card</v>
      </c>
      <c r="H134" s="137" t="str">
        <f>_xlfn.XLOOKUP(Table1[[#This Row],[Account_ID]], Accounts[ID], Accounts[Account'#], "Unknown")</f>
        <v>7328</v>
      </c>
      <c r="I134" s="168" t="str">
        <f>_xlfn.XLOOKUP(Table1[[#This Row],[Institution_ID]], Institutions[ID], Institutions[Institution nickname], "Unknown")</f>
        <v>Discover</v>
      </c>
      <c r="J134" s="139" t="s">
        <v>217</v>
      </c>
      <c r="K134" s="129" t="s">
        <v>110</v>
      </c>
      <c r="L134" s="129" t="s">
        <v>108</v>
      </c>
      <c r="M134" s="130" t="str" cm="1">
        <f t="array" ref="M134">IFERROR(INDEX(CategoriesTable[Category type],MATCH(Table1[[#This Row],[Category]],CategoriesTable[Category name],0),0),"")</f>
        <v>Expense</v>
      </c>
      <c r="N134" s="130" t="str" cm="1">
        <f t="array" ref="N134">IFERROR(INDEX(SubcategoriesTable[Subcategory name],MATCH(Table1[[#This Row],[Category]],SubcategoriesTable[Category name],0),0),"")</f>
        <v>Variable</v>
      </c>
      <c r="O134" s="130">
        <v>7</v>
      </c>
      <c r="P134" s="130">
        <f>MONTH(Table1[[#This Row],[Date]])</f>
        <v>2</v>
      </c>
      <c r="Q134" s="130">
        <v>2021</v>
      </c>
      <c r="R134" s="166">
        <f>IF(ISBLANK(Table1[[#This Row],[Date]]),"",Table1[[#This Row],[Date]]-WEEKDAY(Table1[[#This Row],[Date]],2)+1)</f>
        <v>44228</v>
      </c>
      <c r="S134" s="131">
        <f>IF(ISBLANK(Table1[[#This Row],[Date]]),"",DATE(Table1[[#This Row],[Date_Year]],Table1[[#This Row],[Date_Month]],1))</f>
        <v>44228</v>
      </c>
    </row>
    <row r="135" spans="2:19" ht="15.75" x14ac:dyDescent="0.25">
      <c r="B135" s="133">
        <v>44232</v>
      </c>
      <c r="C135" s="128" t="s">
        <v>50</v>
      </c>
      <c r="D135" s="128" t="s">
        <v>1204</v>
      </c>
      <c r="E135" s="128"/>
      <c r="F135" s="134">
        <v>40</v>
      </c>
      <c r="G135" s="167" t="str">
        <f>_xlfn.XLOOKUP(Table1[[#This Row],[Account_ID]], Accounts[ID], Accounts[Account nickname], "Unknown")</f>
        <v>Checking - 4480</v>
      </c>
      <c r="H135" s="137" t="str">
        <f>_xlfn.XLOOKUP(Table1[[#This Row],[Account_ID]], Accounts[ID], Accounts[Account'#], "Unknown")</f>
        <v>4480</v>
      </c>
      <c r="I135" s="168" t="str">
        <f>_xlfn.XLOOKUP(Table1[[#This Row],[Institution_ID]], Institutions[ID], Institutions[Institution nickname], "Unknown")</f>
        <v>Robinhood</v>
      </c>
      <c r="J135" s="139" t="s">
        <v>1223</v>
      </c>
      <c r="K135" s="129" t="s">
        <v>1208</v>
      </c>
      <c r="L135" s="173" t="s">
        <v>1207</v>
      </c>
      <c r="M135" s="130" t="str" cm="1">
        <f t="array" ref="M135">IFERROR(INDEX(CategoriesTable[Category type],MATCH(Table1[[#This Row],[Category]],CategoriesTable[Category name],0),0),"")</f>
        <v>Savings</v>
      </c>
      <c r="N135" s="130" t="str" cm="1">
        <f t="array" ref="N135">IFERROR(INDEX(SubcategoriesTable[Subcategory name],MATCH(Table1[[#This Row],[Category]],SubcategoriesTable[Category name],0),0),"")</f>
        <v>Variable</v>
      </c>
      <c r="O135" s="130">
        <v>5</v>
      </c>
      <c r="P135" s="130">
        <f>MONTH(Table1[[#This Row],[Date]])</f>
        <v>2</v>
      </c>
      <c r="Q135" s="130">
        <v>2021</v>
      </c>
      <c r="R135" s="166">
        <f>IF(ISBLANK(Table1[[#This Row],[Date]]),"",Table1[[#This Row],[Date]]-WEEKDAY(Table1[[#This Row],[Date]],2)+1)</f>
        <v>44228</v>
      </c>
      <c r="S135" s="131">
        <f>IF(ISBLANK(Table1[[#This Row],[Date]]),"",DATE(Table1[[#This Row],[Date_Year]],Table1[[#This Row],[Date_Month]],1))</f>
        <v>44228</v>
      </c>
    </row>
    <row r="136" spans="2:19" ht="15.75" x14ac:dyDescent="0.25">
      <c r="B136" s="133">
        <v>44232</v>
      </c>
      <c r="C136" s="128" t="s">
        <v>50</v>
      </c>
      <c r="D136" s="128" t="s">
        <v>1204</v>
      </c>
      <c r="E136" s="128"/>
      <c r="F136" s="134">
        <v>10</v>
      </c>
      <c r="G136" s="167" t="str">
        <f>_xlfn.XLOOKUP(Table1[[#This Row],[Account_ID]], Accounts[ID], Accounts[Account nickname], "Unknown")</f>
        <v>Checking - 4480</v>
      </c>
      <c r="H136" s="137" t="str">
        <f>_xlfn.XLOOKUP(Table1[[#This Row],[Account_ID]], Accounts[ID], Accounts[Account'#], "Unknown")</f>
        <v>4480</v>
      </c>
      <c r="I136" s="168" t="str">
        <f>_xlfn.XLOOKUP(Table1[[#This Row],[Institution_ID]], Institutions[ID], Institutions[Institution nickname], "Unknown")</f>
        <v>Robinhood</v>
      </c>
      <c r="J136" s="139" t="s">
        <v>1224</v>
      </c>
      <c r="K136" s="129" t="s">
        <v>1208</v>
      </c>
      <c r="L136" s="173" t="s">
        <v>1207</v>
      </c>
      <c r="M136" s="130" t="str" cm="1">
        <f t="array" ref="M136">IFERROR(INDEX(CategoriesTable[Category type],MATCH(Table1[[#This Row],[Category]],CategoriesTable[Category name],0),0),"")</f>
        <v>Savings</v>
      </c>
      <c r="N136" s="130" t="str" cm="1">
        <f t="array" ref="N136">IFERROR(INDEX(SubcategoriesTable[Subcategory name],MATCH(Table1[[#This Row],[Category]],SubcategoriesTable[Category name],0),0),"")</f>
        <v>Variable</v>
      </c>
      <c r="O136" s="130">
        <v>5</v>
      </c>
      <c r="P136" s="130">
        <f>MONTH(Table1[[#This Row],[Date]])</f>
        <v>2</v>
      </c>
      <c r="Q136" s="130">
        <v>2021</v>
      </c>
      <c r="R136" s="166">
        <f>IF(ISBLANK(Table1[[#This Row],[Date]]),"",Table1[[#This Row],[Date]]-WEEKDAY(Table1[[#This Row],[Date]],2)+1)</f>
        <v>44228</v>
      </c>
      <c r="S136" s="131">
        <f>IF(ISBLANK(Table1[[#This Row],[Date]]),"",DATE(Table1[[#This Row],[Date_Year]],Table1[[#This Row],[Date_Month]],1))</f>
        <v>44228</v>
      </c>
    </row>
    <row r="137" spans="2:19" ht="15.75" x14ac:dyDescent="0.25">
      <c r="B137" s="133">
        <v>44232</v>
      </c>
      <c r="C137" s="128" t="s">
        <v>171</v>
      </c>
      <c r="D137" s="128" t="s">
        <v>46</v>
      </c>
      <c r="E137" s="128" t="str" cm="1">
        <f t="array" ref="E137">IFERROR(INDEX(SubcategoriesTable[Subcategory name],MATCH(Table1[[#This Row],[Category]],SubcategoriesTable[Category name],0),0),"")</f>
        <v>Variable</v>
      </c>
      <c r="F137" s="134">
        <v>-1.63</v>
      </c>
      <c r="G137" s="167" t="str">
        <f>_xlfn.XLOOKUP(Table1[[#This Row],[Account_ID]], Accounts[ID], Accounts[Account nickname], "Unknown")</f>
        <v>Discover it chrome Card</v>
      </c>
      <c r="H137" s="137" t="str">
        <f>_xlfn.XLOOKUP(Table1[[#This Row],[Account_ID]], Accounts[ID], Accounts[Account'#], "Unknown")</f>
        <v>7328</v>
      </c>
      <c r="I137" s="168" t="str">
        <f>_xlfn.XLOOKUP(Table1[[#This Row],[Institution_ID]], Institutions[ID], Institutions[Institution nickname], "Unknown")</f>
        <v>Discover</v>
      </c>
      <c r="J137" s="139" t="s">
        <v>218</v>
      </c>
      <c r="K137" s="129" t="s">
        <v>110</v>
      </c>
      <c r="L137" s="129" t="s">
        <v>108</v>
      </c>
      <c r="M137" s="130" t="str" cm="1">
        <f t="array" ref="M137">IFERROR(INDEX(CategoriesTable[Category type],MATCH(Table1[[#This Row],[Category]],CategoriesTable[Category name],0),0),"")</f>
        <v>Expense</v>
      </c>
      <c r="N137" s="130" t="str" cm="1">
        <f t="array" ref="N137">IFERROR(INDEX(SubcategoriesTable[Subcategory name],MATCH(Table1[[#This Row],[Category]],SubcategoriesTable[Category name],0),0),"")</f>
        <v>Variable</v>
      </c>
      <c r="O137" s="130">
        <v>5</v>
      </c>
      <c r="P137" s="130">
        <f>MONTH(Table1[[#This Row],[Date]])</f>
        <v>2</v>
      </c>
      <c r="Q137" s="130">
        <v>2021</v>
      </c>
      <c r="R137" s="166">
        <f>IF(ISBLANK(Table1[[#This Row],[Date]]),"",Table1[[#This Row],[Date]]-WEEKDAY(Table1[[#This Row],[Date]],2)+1)</f>
        <v>44228</v>
      </c>
      <c r="S137" s="131">
        <f>IF(ISBLANK(Table1[[#This Row],[Date]]),"",DATE(Table1[[#This Row],[Date_Year]],Table1[[#This Row],[Date_Month]],1))</f>
        <v>44228</v>
      </c>
    </row>
    <row r="138" spans="2:19" ht="15.75" x14ac:dyDescent="0.25">
      <c r="B138" s="133">
        <v>44232</v>
      </c>
      <c r="C138" s="128" t="s">
        <v>171</v>
      </c>
      <c r="D138" s="128" t="s">
        <v>46</v>
      </c>
      <c r="E138" s="128" t="str" cm="1">
        <f t="array" ref="E138">IFERROR(INDEX(SubcategoriesTable[Subcategory name],MATCH(Table1[[#This Row],[Category]],SubcategoriesTable[Category name],0),0),"")</f>
        <v>Variable</v>
      </c>
      <c r="F138" s="134">
        <v>-2.4500000000000002</v>
      </c>
      <c r="G138" s="167" t="str">
        <f>_xlfn.XLOOKUP(Table1[[#This Row],[Account_ID]], Accounts[ID], Accounts[Account nickname], "Unknown")</f>
        <v>Discover it chrome Card</v>
      </c>
      <c r="H138" s="137" t="str">
        <f>_xlfn.XLOOKUP(Table1[[#This Row],[Account_ID]], Accounts[ID], Accounts[Account'#], "Unknown")</f>
        <v>7328</v>
      </c>
      <c r="I138" s="168" t="str">
        <f>_xlfn.XLOOKUP(Table1[[#This Row],[Institution_ID]], Institutions[ID], Institutions[Institution nickname], "Unknown")</f>
        <v>Discover</v>
      </c>
      <c r="J138" s="139" t="s">
        <v>219</v>
      </c>
      <c r="K138" s="129" t="s">
        <v>110</v>
      </c>
      <c r="L138" s="129" t="s">
        <v>108</v>
      </c>
      <c r="M138" s="130" t="str" cm="1">
        <f t="array" ref="M138">IFERROR(INDEX(CategoriesTable[Category type],MATCH(Table1[[#This Row],[Category]],CategoriesTable[Category name],0),0),"")</f>
        <v>Expense</v>
      </c>
      <c r="N138" s="130" t="str" cm="1">
        <f t="array" ref="N138">IFERROR(INDEX(SubcategoriesTable[Subcategory name],MATCH(Table1[[#This Row],[Category]],SubcategoriesTable[Category name],0),0),"")</f>
        <v>Variable</v>
      </c>
      <c r="O138" s="130">
        <v>5</v>
      </c>
      <c r="P138" s="130">
        <f>MONTH(Table1[[#This Row],[Date]])</f>
        <v>2</v>
      </c>
      <c r="Q138" s="130">
        <v>2021</v>
      </c>
      <c r="R138" s="166">
        <f>IF(ISBLANK(Table1[[#This Row],[Date]]),"",Table1[[#This Row],[Date]]-WEEKDAY(Table1[[#This Row],[Date]],2)+1)</f>
        <v>44228</v>
      </c>
      <c r="S138" s="131">
        <f>IF(ISBLANK(Table1[[#This Row],[Date]]),"",DATE(Table1[[#This Row],[Date_Year]],Table1[[#This Row],[Date_Month]],1))</f>
        <v>44228</v>
      </c>
    </row>
    <row r="139" spans="2:19" ht="15.75" x14ac:dyDescent="0.25">
      <c r="B139" s="133">
        <v>44231</v>
      </c>
      <c r="C139" s="128" t="s">
        <v>1183</v>
      </c>
      <c r="D139" s="128" t="s">
        <v>1204</v>
      </c>
      <c r="E139" s="128" t="str" cm="1">
        <f t="array" ref="E139">IFERROR(INDEX(SubcategoriesTable[Subcategory name],MATCH(Table1[[#This Row],[Category]],SubcategoriesTable[Category name],0),0),"")</f>
        <v>Variable</v>
      </c>
      <c r="F139" s="134">
        <v>-50</v>
      </c>
      <c r="G139" s="167" t="str">
        <f>_xlfn.XLOOKUP(Table1[[#This Row],[Account_ID]], Accounts[ID], Accounts[Account nickname], "Unknown")</f>
        <v>EVERYDAY CHECKING</v>
      </c>
      <c r="H139" s="137" t="str">
        <f>_xlfn.XLOOKUP(Table1[[#This Row],[Account_ID]], Accounts[ID], Accounts[Account'#], "Unknown")</f>
        <v>4636</v>
      </c>
      <c r="I139" s="168" t="str">
        <f>_xlfn.XLOOKUP(Table1[[#This Row],[Institution_ID]], Institutions[ID], Institutions[Institution nickname], "Unknown")</f>
        <v>Wells Fargo</v>
      </c>
      <c r="J139" s="139" t="s">
        <v>1392</v>
      </c>
      <c r="K139" s="129" t="s">
        <v>1229</v>
      </c>
      <c r="L139" s="129" t="s">
        <v>1228</v>
      </c>
      <c r="M139" s="130" t="str" cm="1">
        <f t="array" ref="M139">IFERROR(INDEX(CategoriesTable[Category type],MATCH(Table1[[#This Row],[Category]],CategoriesTable[Category name],0),0),"")</f>
        <v>Savings</v>
      </c>
      <c r="N139" s="130" t="str" cm="1">
        <f t="array" ref="N139">IFERROR(INDEX(SubcategoriesTable[Subcategory name],MATCH(Table1[[#This Row],[Category]],SubcategoriesTable[Category name],0),0),"")</f>
        <v>Variable</v>
      </c>
      <c r="O139" s="130">
        <v>4</v>
      </c>
      <c r="P139" s="130">
        <f>MONTH(Table1[[#This Row],[Date]])</f>
        <v>2</v>
      </c>
      <c r="Q139" s="130">
        <v>2021</v>
      </c>
      <c r="R139" s="166">
        <f>IF(ISBLANK(Table1[[#This Row],[Date]]),"",Table1[[#This Row],[Date]]-WEEKDAY(Table1[[#This Row],[Date]],2)+1)</f>
        <v>44228</v>
      </c>
      <c r="S139" s="131">
        <f>IF(ISBLANK(Table1[[#This Row],[Date]]),"",DATE(Table1[[#This Row],[Date_Year]],Table1[[#This Row],[Date_Month]],1))</f>
        <v>44228</v>
      </c>
    </row>
    <row r="140" spans="2:19" ht="15.75" x14ac:dyDescent="0.25">
      <c r="B140" s="133">
        <v>44230</v>
      </c>
      <c r="C140" s="128" t="s">
        <v>457</v>
      </c>
      <c r="D140" s="128" t="s">
        <v>46</v>
      </c>
      <c r="E140" s="128" t="str" cm="1">
        <f t="array" ref="E140">IFERROR(INDEX(SubcategoriesTable[Subcategory name],MATCH(Table1[[#This Row],[Category]],SubcategoriesTable[Category name],0),0),"")</f>
        <v>Variable</v>
      </c>
      <c r="F140" s="134">
        <v>-157.47</v>
      </c>
      <c r="G140" s="167" t="str">
        <f>_xlfn.XLOOKUP(Table1[[#This Row],[Account_ID]], Accounts[ID], Accounts[Account nickname], "Unknown")</f>
        <v>EVERYDAY CHECKING</v>
      </c>
      <c r="H140" s="137" t="str">
        <f>_xlfn.XLOOKUP(Table1[[#This Row],[Account_ID]], Accounts[ID], Accounts[Account'#], "Unknown")</f>
        <v>4636</v>
      </c>
      <c r="I140" s="168" t="str">
        <f>_xlfn.XLOOKUP(Table1[[#This Row],[Institution_ID]], Institutions[ID], Institutions[Institution nickname], "Unknown")</f>
        <v>Wells Fargo</v>
      </c>
      <c r="J140" s="139" t="s">
        <v>1393</v>
      </c>
      <c r="K140" s="129" t="s">
        <v>1229</v>
      </c>
      <c r="L140" s="129" t="s">
        <v>1228</v>
      </c>
      <c r="M140" s="130" t="str" cm="1">
        <f t="array" ref="M140">IFERROR(INDEX(CategoriesTable[Category type],MATCH(Table1[[#This Row],[Category]],CategoriesTable[Category name],0),0),"")</f>
        <v>Expense</v>
      </c>
      <c r="N140" s="130" t="str" cm="1">
        <f t="array" ref="N140">IFERROR(INDEX(SubcategoriesTable[Subcategory name],MATCH(Table1[[#This Row],[Category]],SubcategoriesTable[Category name],0),0),"")</f>
        <v>Variable</v>
      </c>
      <c r="O140" s="130">
        <v>3</v>
      </c>
      <c r="P140" s="130">
        <f>MONTH(Table1[[#This Row],[Date]])</f>
        <v>2</v>
      </c>
      <c r="Q140" s="130">
        <v>2021</v>
      </c>
      <c r="R140" s="166">
        <f>IF(ISBLANK(Table1[[#This Row],[Date]]),"",Table1[[#This Row],[Date]]-WEEKDAY(Table1[[#This Row],[Date]],2)+1)</f>
        <v>44228</v>
      </c>
      <c r="S140" s="131">
        <f>IF(ISBLANK(Table1[[#This Row],[Date]]),"",DATE(Table1[[#This Row],[Date_Year]],Table1[[#This Row],[Date_Month]],1))</f>
        <v>44228</v>
      </c>
    </row>
    <row r="141" spans="2:19" ht="15.75" x14ac:dyDescent="0.25">
      <c r="B141" s="133">
        <v>44230</v>
      </c>
      <c r="C141" s="128" t="s">
        <v>50</v>
      </c>
      <c r="D141" s="128" t="s">
        <v>1204</v>
      </c>
      <c r="E141" s="128"/>
      <c r="F141" s="134">
        <v>50</v>
      </c>
      <c r="G141" s="167" t="str">
        <f>_xlfn.XLOOKUP(Table1[[#This Row],[Account_ID]], Accounts[ID], Accounts[Account nickname], "Unknown")</f>
        <v>Checking - 4480</v>
      </c>
      <c r="H141" s="137" t="str">
        <f>_xlfn.XLOOKUP(Table1[[#This Row],[Account_ID]], Accounts[ID], Accounts[Account'#], "Unknown")</f>
        <v>4480</v>
      </c>
      <c r="I141" s="168" t="str">
        <f>_xlfn.XLOOKUP(Table1[[#This Row],[Institution_ID]], Institutions[ID], Institutions[Institution nickname], "Unknown")</f>
        <v>Robinhood</v>
      </c>
      <c r="J141" s="139" t="s">
        <v>1225</v>
      </c>
      <c r="K141" s="129" t="s">
        <v>1208</v>
      </c>
      <c r="L141" s="173" t="s">
        <v>1207</v>
      </c>
      <c r="M141" s="130" t="str" cm="1">
        <f t="array" ref="M141">IFERROR(INDEX(CategoriesTable[Category type],MATCH(Table1[[#This Row],[Category]],CategoriesTable[Category name],0),0),"")</f>
        <v>Savings</v>
      </c>
      <c r="N141" s="130" t="str" cm="1">
        <f t="array" ref="N141">IFERROR(INDEX(SubcategoriesTable[Subcategory name],MATCH(Table1[[#This Row],[Category]],SubcategoriesTable[Category name],0),0),"")</f>
        <v>Variable</v>
      </c>
      <c r="O141" s="130">
        <v>3</v>
      </c>
      <c r="P141" s="130">
        <f>MONTH(Table1[[#This Row],[Date]])</f>
        <v>2</v>
      </c>
      <c r="Q141" s="130">
        <v>2021</v>
      </c>
      <c r="R141" s="166">
        <f>IF(ISBLANK(Table1[[#This Row],[Date]]),"",Table1[[#This Row],[Date]]-WEEKDAY(Table1[[#This Row],[Date]],2)+1)</f>
        <v>44228</v>
      </c>
      <c r="S141" s="131">
        <f>IF(ISBLANK(Table1[[#This Row],[Date]]),"",DATE(Table1[[#This Row],[Date_Year]],Table1[[#This Row],[Date_Month]],1))</f>
        <v>44228</v>
      </c>
    </row>
    <row r="142" spans="2:19" ht="15.75" x14ac:dyDescent="0.25">
      <c r="B142" s="133">
        <v>44230</v>
      </c>
      <c r="C142" s="128" t="s">
        <v>146</v>
      </c>
      <c r="D142" s="128" t="s">
        <v>54</v>
      </c>
      <c r="E142" s="128" t="str" cm="1">
        <f t="array" ref="E142">IFERROR(INDEX(SubcategoriesTable[Subcategory name],MATCH(Table1[[#This Row],[Category]],SubcategoriesTable[Category name],0),0),"")</f>
        <v>Fixed</v>
      </c>
      <c r="F142" s="134">
        <v>-91.78</v>
      </c>
      <c r="G142" s="167" t="str">
        <f>_xlfn.XLOOKUP(Table1[[#This Row],[Account_ID]], Accounts[ID], Accounts[Account nickname], "Unknown")</f>
        <v>Discover it chrome Card</v>
      </c>
      <c r="H142" s="137" t="str">
        <f>_xlfn.XLOOKUP(Table1[[#This Row],[Account_ID]], Accounts[ID], Accounts[Account'#], "Unknown")</f>
        <v>7328</v>
      </c>
      <c r="I142" s="168" t="str">
        <f>_xlfn.XLOOKUP(Table1[[#This Row],[Institution_ID]], Institutions[ID], Institutions[Institution nickname], "Unknown")</f>
        <v>Discover</v>
      </c>
      <c r="J142" s="139" t="s">
        <v>220</v>
      </c>
      <c r="K142" s="129" t="s">
        <v>110</v>
      </c>
      <c r="L142" s="129" t="s">
        <v>108</v>
      </c>
      <c r="M142" s="130" t="str" cm="1">
        <f t="array" ref="M142">IFERROR(INDEX(CategoriesTable[Category type],MATCH(Table1[[#This Row],[Category]],CategoriesTable[Category name],0),0),"")</f>
        <v>Expense</v>
      </c>
      <c r="N142" s="130" t="str" cm="1">
        <f t="array" ref="N142">IFERROR(INDEX(SubcategoriesTable[Subcategory name],MATCH(Table1[[#This Row],[Category]],SubcategoriesTable[Category name],0),0),"")</f>
        <v>Fixed</v>
      </c>
      <c r="O142" s="130">
        <v>3</v>
      </c>
      <c r="P142" s="130">
        <f>MONTH(Table1[[#This Row],[Date]])</f>
        <v>2</v>
      </c>
      <c r="Q142" s="130">
        <v>2021</v>
      </c>
      <c r="R142" s="166">
        <f>IF(ISBLANK(Table1[[#This Row],[Date]]),"",Table1[[#This Row],[Date]]-WEEKDAY(Table1[[#This Row],[Date]],2)+1)</f>
        <v>44228</v>
      </c>
      <c r="S142" s="131">
        <f>IF(ISBLANK(Table1[[#This Row],[Date]]),"",DATE(Table1[[#This Row],[Date_Year]],Table1[[#This Row],[Date_Month]],1))</f>
        <v>44228</v>
      </c>
    </row>
    <row r="143" spans="2:19" ht="15.75" x14ac:dyDescent="0.25">
      <c r="B143" s="133">
        <v>44230</v>
      </c>
      <c r="C143" s="128" t="s">
        <v>195</v>
      </c>
      <c r="D143" s="128" t="s">
        <v>48</v>
      </c>
      <c r="E143" s="128" t="str" cm="1">
        <f t="array" ref="E143">IFERROR(INDEX(SubcategoriesTable[Subcategory name],MATCH(Table1[[#This Row],[Category]],SubcategoriesTable[Category name],0),0),"")</f>
        <v>Variable</v>
      </c>
      <c r="F143" s="134">
        <v>-15.09</v>
      </c>
      <c r="G143" s="167" t="str">
        <f>_xlfn.XLOOKUP(Table1[[#This Row],[Account_ID]], Accounts[ID], Accounts[Account nickname], "Unknown")</f>
        <v>Discover it chrome Card</v>
      </c>
      <c r="H143" s="137" t="str">
        <f>_xlfn.XLOOKUP(Table1[[#This Row],[Account_ID]], Accounts[ID], Accounts[Account'#], "Unknown")</f>
        <v>7328</v>
      </c>
      <c r="I143" s="168" t="str">
        <f>_xlfn.XLOOKUP(Table1[[#This Row],[Institution_ID]], Institutions[ID], Institutions[Institution nickname], "Unknown")</f>
        <v>Discover</v>
      </c>
      <c r="J143" s="139" t="s">
        <v>221</v>
      </c>
      <c r="K143" s="129" t="s">
        <v>110</v>
      </c>
      <c r="L143" s="129" t="s">
        <v>108</v>
      </c>
      <c r="M143" s="130" t="str" cm="1">
        <f t="array" ref="M143">IFERROR(INDEX(CategoriesTable[Category type],MATCH(Table1[[#This Row],[Category]],CategoriesTable[Category name],0),0),"")</f>
        <v>Expense</v>
      </c>
      <c r="N143" s="130" t="str" cm="1">
        <f t="array" ref="N143">IFERROR(INDEX(SubcategoriesTable[Subcategory name],MATCH(Table1[[#This Row],[Category]],SubcategoriesTable[Category name],0),0),"")</f>
        <v>Variable</v>
      </c>
      <c r="O143" s="130">
        <v>3</v>
      </c>
      <c r="P143" s="130">
        <f>MONTH(Table1[[#This Row],[Date]])</f>
        <v>2</v>
      </c>
      <c r="Q143" s="130">
        <v>2021</v>
      </c>
      <c r="R143" s="166">
        <f>IF(ISBLANK(Table1[[#This Row],[Date]]),"",Table1[[#This Row],[Date]]-WEEKDAY(Table1[[#This Row],[Date]],2)+1)</f>
        <v>44228</v>
      </c>
      <c r="S143" s="131">
        <f>IF(ISBLANK(Table1[[#This Row],[Date]]),"",DATE(Table1[[#This Row],[Date_Year]],Table1[[#This Row],[Date_Month]],1))</f>
        <v>44228</v>
      </c>
    </row>
    <row r="144" spans="2:19" ht="15.75" x14ac:dyDescent="0.25">
      <c r="B144" s="133">
        <v>44229</v>
      </c>
      <c r="C144" s="128" t="s">
        <v>1192</v>
      </c>
      <c r="D144" s="128" t="s">
        <v>56</v>
      </c>
      <c r="E144" s="128" t="str" cm="1">
        <f t="array" ref="E144">IFERROR(INDEX(SubcategoriesTable[Subcategory name],MATCH(Table1[[#This Row],[Category]],SubcategoriesTable[Category name],0),0),"")</f>
        <v>Variable</v>
      </c>
      <c r="F144" s="134">
        <v>-600</v>
      </c>
      <c r="G144" s="167" t="str">
        <f>_xlfn.XLOOKUP(Table1[[#This Row],[Account_ID]], Accounts[ID], Accounts[Account nickname], "Unknown")</f>
        <v>EVERYDAY CHECKING</v>
      </c>
      <c r="H144" s="137" t="str">
        <f>_xlfn.XLOOKUP(Table1[[#This Row],[Account_ID]], Accounts[ID], Accounts[Account'#], "Unknown")</f>
        <v>4636</v>
      </c>
      <c r="I144" s="168" t="str">
        <f>_xlfn.XLOOKUP(Table1[[#This Row],[Institution_ID]], Institutions[ID], Institutions[Institution nickname], "Unknown")</f>
        <v>Wells Fargo</v>
      </c>
      <c r="J144" s="139" t="s">
        <v>1394</v>
      </c>
      <c r="K144" s="129" t="s">
        <v>1229</v>
      </c>
      <c r="L144" s="129" t="s">
        <v>1228</v>
      </c>
      <c r="M144" s="130" t="str" cm="1">
        <f t="array" ref="M144">IFERROR(INDEX(CategoriesTable[Category type],MATCH(Table1[[#This Row],[Category]],CategoriesTable[Category name],0),0),"")</f>
        <v>Expense</v>
      </c>
      <c r="N144" s="130" t="str" cm="1">
        <f t="array" ref="N144">IFERROR(INDEX(SubcategoriesTable[Subcategory name],MATCH(Table1[[#This Row],[Category]],SubcategoriesTable[Category name],0),0),"")</f>
        <v>Variable</v>
      </c>
      <c r="O144" s="130">
        <v>2</v>
      </c>
      <c r="P144" s="130">
        <f>MONTH(Table1[[#This Row],[Date]])</f>
        <v>2</v>
      </c>
      <c r="Q144" s="130">
        <v>2021</v>
      </c>
      <c r="R144" s="166">
        <f>IF(ISBLANK(Table1[[#This Row],[Date]]),"",Table1[[#This Row],[Date]]-WEEKDAY(Table1[[#This Row],[Date]],2)+1)</f>
        <v>44228</v>
      </c>
      <c r="S144" s="131">
        <f>IF(ISBLANK(Table1[[#This Row],[Date]]),"",DATE(Table1[[#This Row],[Date_Year]],Table1[[#This Row],[Date_Month]],1))</f>
        <v>44228</v>
      </c>
    </row>
    <row r="145" spans="2:19" ht="15.75" x14ac:dyDescent="0.25">
      <c r="B145" s="133">
        <v>44229</v>
      </c>
      <c r="C145" s="128" t="s">
        <v>171</v>
      </c>
      <c r="D145" s="128" t="s">
        <v>46</v>
      </c>
      <c r="E145" s="128" t="str" cm="1">
        <f t="array" ref="E145">IFERROR(INDEX(SubcategoriesTable[Subcategory name],MATCH(Table1[[#This Row],[Category]],SubcategoriesTable[Category name],0),0),"")</f>
        <v>Variable</v>
      </c>
      <c r="F145" s="134">
        <v>-36.840000000000003</v>
      </c>
      <c r="G145" s="167" t="str">
        <f>_xlfn.XLOOKUP(Table1[[#This Row],[Account_ID]], Accounts[ID], Accounts[Account nickname], "Unknown")</f>
        <v>EVERYDAY CHECKING</v>
      </c>
      <c r="H145" s="137" t="str">
        <f>_xlfn.XLOOKUP(Table1[[#This Row],[Account_ID]], Accounts[ID], Accounts[Account'#], "Unknown")</f>
        <v>4636</v>
      </c>
      <c r="I145" s="168" t="str">
        <f>_xlfn.XLOOKUP(Table1[[#This Row],[Institution_ID]], Institutions[ID], Institutions[Institution nickname], "Unknown")</f>
        <v>Wells Fargo</v>
      </c>
      <c r="J145" s="139" t="s">
        <v>1395</v>
      </c>
      <c r="K145" s="129" t="s">
        <v>1229</v>
      </c>
      <c r="L145" s="129" t="s">
        <v>1228</v>
      </c>
      <c r="M145" s="130" t="str" cm="1">
        <f t="array" ref="M145">IFERROR(INDEX(CategoriesTable[Category type],MATCH(Table1[[#This Row],[Category]],CategoriesTable[Category name],0),0),"")</f>
        <v>Expense</v>
      </c>
      <c r="N145" s="130" t="str" cm="1">
        <f t="array" ref="N145">IFERROR(INDEX(SubcategoriesTable[Subcategory name],MATCH(Table1[[#This Row],[Category]],SubcategoriesTable[Category name],0),0),"")</f>
        <v>Variable</v>
      </c>
      <c r="O145" s="130">
        <v>2</v>
      </c>
      <c r="P145" s="130">
        <f>MONTH(Table1[[#This Row],[Date]])</f>
        <v>2</v>
      </c>
      <c r="Q145" s="130">
        <v>2021</v>
      </c>
      <c r="R145" s="166">
        <f>IF(ISBLANK(Table1[[#This Row],[Date]]),"",Table1[[#This Row],[Date]]-WEEKDAY(Table1[[#This Row],[Date]],2)+1)</f>
        <v>44228</v>
      </c>
      <c r="S145" s="131">
        <f>IF(ISBLANK(Table1[[#This Row],[Date]]),"",DATE(Table1[[#This Row],[Date_Year]],Table1[[#This Row],[Date_Month]],1))</f>
        <v>44228</v>
      </c>
    </row>
    <row r="146" spans="2:19" ht="15.75" x14ac:dyDescent="0.25">
      <c r="B146" s="133">
        <v>44229</v>
      </c>
      <c r="C146" s="128" t="s">
        <v>1193</v>
      </c>
      <c r="D146" s="128" t="s">
        <v>58</v>
      </c>
      <c r="E146" s="128" t="str" cm="1">
        <f t="array" ref="E146">IFERROR(INDEX(SubcategoriesTable[Subcategory name],MATCH(Table1[[#This Row],[Category]],SubcategoriesTable[Category name],0),0),"")</f>
        <v>Fixed</v>
      </c>
      <c r="F146" s="134">
        <v>-1</v>
      </c>
      <c r="G146" s="167" t="str">
        <f>_xlfn.XLOOKUP(Table1[[#This Row],[Account_ID]], Accounts[ID], Accounts[Account nickname], "Unknown")</f>
        <v>EVERYDAY CHECKING</v>
      </c>
      <c r="H146" s="137" t="str">
        <f>_xlfn.XLOOKUP(Table1[[#This Row],[Account_ID]], Accounts[ID], Accounts[Account'#], "Unknown")</f>
        <v>4636</v>
      </c>
      <c r="I146" s="168" t="str">
        <f>_xlfn.XLOOKUP(Table1[[#This Row],[Institution_ID]], Institutions[ID], Institutions[Institution nickname], "Unknown")</f>
        <v>Wells Fargo</v>
      </c>
      <c r="J146" s="139" t="s">
        <v>1396</v>
      </c>
      <c r="K146" s="129" t="s">
        <v>1229</v>
      </c>
      <c r="L146" s="129" t="s">
        <v>1228</v>
      </c>
      <c r="M146" s="130" t="str" cm="1">
        <f t="array" ref="M146">IFERROR(INDEX(CategoriesTable[Category type],MATCH(Table1[[#This Row],[Category]],CategoriesTable[Category name],0),0),"")</f>
        <v>Expense</v>
      </c>
      <c r="N146" s="130" t="str" cm="1">
        <f t="array" ref="N146">IFERROR(INDEX(SubcategoriesTable[Subcategory name],MATCH(Table1[[#This Row],[Category]],SubcategoriesTable[Category name],0),0),"")</f>
        <v>Fixed</v>
      </c>
      <c r="O146" s="130">
        <v>2</v>
      </c>
      <c r="P146" s="130">
        <f>MONTH(Table1[[#This Row],[Date]])</f>
        <v>2</v>
      </c>
      <c r="Q146" s="130">
        <v>2021</v>
      </c>
      <c r="R146" s="166">
        <f>IF(ISBLANK(Table1[[#This Row],[Date]]),"",Table1[[#This Row],[Date]]-WEEKDAY(Table1[[#This Row],[Date]],2)+1)</f>
        <v>44228</v>
      </c>
      <c r="S146" s="131">
        <f>IF(ISBLANK(Table1[[#This Row],[Date]]),"",DATE(Table1[[#This Row],[Date_Year]],Table1[[#This Row],[Date_Month]],1))</f>
        <v>44228</v>
      </c>
    </row>
    <row r="147" spans="2:19" ht="15.75" x14ac:dyDescent="0.25">
      <c r="B147" s="133">
        <v>44229</v>
      </c>
      <c r="C147" s="128" t="s">
        <v>508</v>
      </c>
      <c r="D147" s="128" t="s">
        <v>50</v>
      </c>
      <c r="E147" s="128" t="str" cm="1">
        <f t="array" ref="E147">IFERROR(INDEX(SubcategoriesTable[Subcategory name],MATCH(Table1[[#This Row],[Category]],SubcategoriesTable[Category name],0),0),"")</f>
        <v>Variable</v>
      </c>
      <c r="F147" s="134">
        <v>495</v>
      </c>
      <c r="G147" s="167" t="str">
        <f>_xlfn.XLOOKUP(Table1[[#This Row],[Account_ID]], Accounts[ID], Accounts[Account nickname], "Unknown")</f>
        <v>EVERYDAY CHECKING</v>
      </c>
      <c r="H147" s="137" t="str">
        <f>_xlfn.XLOOKUP(Table1[[#This Row],[Account_ID]], Accounts[ID], Accounts[Account'#], "Unknown")</f>
        <v>4636</v>
      </c>
      <c r="I147" s="168" t="str">
        <f>_xlfn.XLOOKUP(Table1[[#This Row],[Institution_ID]], Institutions[ID], Institutions[Institution nickname], "Unknown")</f>
        <v>Wells Fargo</v>
      </c>
      <c r="J147" s="139" t="s">
        <v>1397</v>
      </c>
      <c r="K147" s="129" t="s">
        <v>1229</v>
      </c>
      <c r="L147" s="129" t="s">
        <v>1228</v>
      </c>
      <c r="M147" s="130" t="str" cm="1">
        <f t="array" ref="M147">IFERROR(INDEX(CategoriesTable[Category type],MATCH(Table1[[#This Row],[Category]],CategoriesTable[Category name],0),0),"")</f>
        <v>Transfer</v>
      </c>
      <c r="N147" s="130" t="str" cm="1">
        <f t="array" ref="N147">IFERROR(INDEX(SubcategoriesTable[Subcategory name],MATCH(Table1[[#This Row],[Category]],SubcategoriesTable[Category name],0),0),"")</f>
        <v>Variable</v>
      </c>
      <c r="O147" s="130">
        <v>2</v>
      </c>
      <c r="P147" s="130">
        <f>MONTH(Table1[[#This Row],[Date]])</f>
        <v>2</v>
      </c>
      <c r="Q147" s="130">
        <v>2021</v>
      </c>
      <c r="R147" s="166">
        <f>IF(ISBLANK(Table1[[#This Row],[Date]]),"",Table1[[#This Row],[Date]]-WEEKDAY(Table1[[#This Row],[Date]],2)+1)</f>
        <v>44228</v>
      </c>
      <c r="S147" s="131">
        <f>IF(ISBLANK(Table1[[#This Row],[Date]]),"",DATE(Table1[[#This Row],[Date_Year]],Table1[[#This Row],[Date_Month]],1))</f>
        <v>44228</v>
      </c>
    </row>
    <row r="148" spans="2:19" ht="15.75" x14ac:dyDescent="0.25">
      <c r="B148" s="133">
        <v>44229</v>
      </c>
      <c r="C148" s="128" t="s">
        <v>171</v>
      </c>
      <c r="D148" s="128" t="s">
        <v>46</v>
      </c>
      <c r="E148" s="128" t="str" cm="1">
        <f t="array" ref="E148">IFERROR(INDEX(SubcategoriesTable[Subcategory name],MATCH(Table1[[#This Row],[Category]],SubcategoriesTable[Category name],0),0),"")</f>
        <v>Variable</v>
      </c>
      <c r="F148" s="134">
        <v>-37.01</v>
      </c>
      <c r="G148" s="167" t="str">
        <f>_xlfn.XLOOKUP(Table1[[#This Row],[Account_ID]], Accounts[ID], Accounts[Account nickname], "Unknown")</f>
        <v>Discover it chrome Card</v>
      </c>
      <c r="H148" s="137" t="str">
        <f>_xlfn.XLOOKUP(Table1[[#This Row],[Account_ID]], Accounts[ID], Accounts[Account'#], "Unknown")</f>
        <v>7328</v>
      </c>
      <c r="I148" s="168" t="str">
        <f>_xlfn.XLOOKUP(Table1[[#This Row],[Institution_ID]], Institutions[ID], Institutions[Institution nickname], "Unknown")</f>
        <v>Discover</v>
      </c>
      <c r="J148" s="139" t="s">
        <v>222</v>
      </c>
      <c r="K148" s="129" t="s">
        <v>110</v>
      </c>
      <c r="L148" s="129" t="s">
        <v>108</v>
      </c>
      <c r="M148" s="130" t="str" cm="1">
        <f t="array" ref="M148">IFERROR(INDEX(CategoriesTable[Category type],MATCH(Table1[[#This Row],[Category]],CategoriesTable[Category name],0),0),"")</f>
        <v>Expense</v>
      </c>
      <c r="N148" s="130" t="str" cm="1">
        <f t="array" ref="N148">IFERROR(INDEX(SubcategoriesTable[Subcategory name],MATCH(Table1[[#This Row],[Category]],SubcategoriesTable[Category name],0),0),"")</f>
        <v>Variable</v>
      </c>
      <c r="O148" s="130">
        <v>2</v>
      </c>
      <c r="P148" s="130">
        <f>MONTH(Table1[[#This Row],[Date]])</f>
        <v>2</v>
      </c>
      <c r="Q148" s="130">
        <v>2021</v>
      </c>
      <c r="R148" s="166">
        <f>IF(ISBLANK(Table1[[#This Row],[Date]]),"",Table1[[#This Row],[Date]]-WEEKDAY(Table1[[#This Row],[Date]],2)+1)</f>
        <v>44228</v>
      </c>
      <c r="S148" s="131">
        <f>IF(ISBLANK(Table1[[#This Row],[Date]]),"",DATE(Table1[[#This Row],[Date_Year]],Table1[[#This Row],[Date_Month]],1))</f>
        <v>44228</v>
      </c>
    </row>
    <row r="149" spans="2:19" ht="15.75" x14ac:dyDescent="0.25">
      <c r="B149" s="133">
        <v>44229</v>
      </c>
      <c r="C149" s="128" t="s">
        <v>223</v>
      </c>
      <c r="D149" s="128" t="s">
        <v>2392</v>
      </c>
      <c r="E149" s="128" t="str" cm="1">
        <f t="array" ref="E149">IFERROR(INDEX(SubcategoriesTable[Subcategory name],MATCH(Table1[[#This Row],[Category]],SubcategoriesTable[Category name],0),0),"")</f>
        <v>Variable</v>
      </c>
      <c r="F149" s="134">
        <v>-10</v>
      </c>
      <c r="G149" s="167" t="str">
        <f>_xlfn.XLOOKUP(Table1[[#This Row],[Account_ID]], Accounts[ID], Accounts[Account nickname], "Unknown")</f>
        <v>Discover it chrome Card</v>
      </c>
      <c r="H149" s="137" t="str">
        <f>_xlfn.XLOOKUP(Table1[[#This Row],[Account_ID]], Accounts[ID], Accounts[Account'#], "Unknown")</f>
        <v>7328</v>
      </c>
      <c r="I149" s="168" t="str">
        <f>_xlfn.XLOOKUP(Table1[[#This Row],[Institution_ID]], Institutions[ID], Institutions[Institution nickname], "Unknown")</f>
        <v>Discover</v>
      </c>
      <c r="J149" s="139" t="s">
        <v>224</v>
      </c>
      <c r="K149" s="129" t="s">
        <v>110</v>
      </c>
      <c r="L149" s="129" t="s">
        <v>108</v>
      </c>
      <c r="M149" s="130" t="str" cm="1">
        <f t="array" ref="M149">IFERROR(INDEX(CategoriesTable[Category type],MATCH(Table1[[#This Row],[Category]],CategoriesTable[Category name],0),0),"")</f>
        <v>Expense</v>
      </c>
      <c r="N149" s="130" t="str" cm="1">
        <f t="array" ref="N149">IFERROR(INDEX(SubcategoriesTable[Subcategory name],MATCH(Table1[[#This Row],[Category]],SubcategoriesTable[Category name],0),0),"")</f>
        <v>Variable</v>
      </c>
      <c r="O149" s="130">
        <v>2</v>
      </c>
      <c r="P149" s="130">
        <f>MONTH(Table1[[#This Row],[Date]])</f>
        <v>2</v>
      </c>
      <c r="Q149" s="130">
        <v>2021</v>
      </c>
      <c r="R149" s="166">
        <f>IF(ISBLANK(Table1[[#This Row],[Date]]),"",Table1[[#This Row],[Date]]-WEEKDAY(Table1[[#This Row],[Date]],2)+1)</f>
        <v>44228</v>
      </c>
      <c r="S149" s="131">
        <f>IF(ISBLANK(Table1[[#This Row],[Date]]),"",DATE(Table1[[#This Row],[Date_Year]],Table1[[#This Row],[Date_Month]],1))</f>
        <v>44228</v>
      </c>
    </row>
    <row r="150" spans="2:19" ht="15.75" x14ac:dyDescent="0.25">
      <c r="B150" s="133">
        <v>44228</v>
      </c>
      <c r="C150" s="128" t="s">
        <v>171</v>
      </c>
      <c r="D150" s="128" t="s">
        <v>46</v>
      </c>
      <c r="E150" s="128" t="str" cm="1">
        <f t="array" ref="E150">IFERROR(INDEX(SubcategoriesTable[Subcategory name],MATCH(Table1[[#This Row],[Category]],SubcategoriesTable[Category name],0),0),"")</f>
        <v>Variable</v>
      </c>
      <c r="F150" s="134">
        <v>-15.92</v>
      </c>
      <c r="G150" s="167" t="str">
        <f>_xlfn.XLOOKUP(Table1[[#This Row],[Account_ID]], Accounts[ID], Accounts[Account nickname], "Unknown")</f>
        <v>Discover it chrome Card</v>
      </c>
      <c r="H150" s="137" t="str">
        <f>_xlfn.XLOOKUP(Table1[[#This Row],[Account_ID]], Accounts[ID], Accounts[Account'#], "Unknown")</f>
        <v>7328</v>
      </c>
      <c r="I150" s="168" t="str">
        <f>_xlfn.XLOOKUP(Table1[[#This Row],[Institution_ID]], Institutions[ID], Institutions[Institution nickname], "Unknown")</f>
        <v>Discover</v>
      </c>
      <c r="J150" s="139" t="s">
        <v>225</v>
      </c>
      <c r="K150" s="129" t="s">
        <v>110</v>
      </c>
      <c r="L150" s="129" t="s">
        <v>108</v>
      </c>
      <c r="M150" s="130" t="str" cm="1">
        <f t="array" ref="M150">IFERROR(INDEX(CategoriesTable[Category type],MATCH(Table1[[#This Row],[Category]],CategoriesTable[Category name],0),0),"")</f>
        <v>Expense</v>
      </c>
      <c r="N150" s="130" t="str" cm="1">
        <f t="array" ref="N150">IFERROR(INDEX(SubcategoriesTable[Subcategory name],MATCH(Table1[[#This Row],[Category]],SubcategoriesTable[Category name],0),0),"")</f>
        <v>Variable</v>
      </c>
      <c r="O150" s="130">
        <v>1</v>
      </c>
      <c r="P150" s="130">
        <f>MONTH(Table1[[#This Row],[Date]])</f>
        <v>2</v>
      </c>
      <c r="Q150" s="130">
        <v>2021</v>
      </c>
      <c r="R150" s="166">
        <f>IF(ISBLANK(Table1[[#This Row],[Date]]),"",Table1[[#This Row],[Date]]-WEEKDAY(Table1[[#This Row],[Date]],2)+1)</f>
        <v>44228</v>
      </c>
      <c r="S150" s="131">
        <f>IF(ISBLANK(Table1[[#This Row],[Date]]),"",DATE(Table1[[#This Row],[Date_Year]],Table1[[#This Row],[Date_Month]],1))</f>
        <v>44228</v>
      </c>
    </row>
    <row r="151" spans="2:19" ht="15.75" x14ac:dyDescent="0.25">
      <c r="B151" s="133">
        <v>44228</v>
      </c>
      <c r="C151" s="128" t="s">
        <v>152</v>
      </c>
      <c r="D151" s="128" t="s">
        <v>54</v>
      </c>
      <c r="E151" s="128" t="str" cm="1">
        <f t="array" ref="E151">IFERROR(INDEX(SubcategoriesTable[Subcategory name],MATCH(Table1[[#This Row],[Category]],SubcategoriesTable[Category name],0),0),"")</f>
        <v>Fixed</v>
      </c>
      <c r="F151" s="134">
        <v>-13.99</v>
      </c>
      <c r="G151" s="167" t="str">
        <f>_xlfn.XLOOKUP(Table1[[#This Row],[Account_ID]], Accounts[ID], Accounts[Account nickname], "Unknown")</f>
        <v>Discover it chrome Card</v>
      </c>
      <c r="H151" s="137" t="str">
        <f>_xlfn.XLOOKUP(Table1[[#This Row],[Account_ID]], Accounts[ID], Accounts[Account'#], "Unknown")</f>
        <v>7328</v>
      </c>
      <c r="I151" s="168" t="str">
        <f>_xlfn.XLOOKUP(Table1[[#This Row],[Institution_ID]], Institutions[ID], Institutions[Institution nickname], "Unknown")</f>
        <v>Discover</v>
      </c>
      <c r="J151" s="139" t="s">
        <v>226</v>
      </c>
      <c r="K151" s="129" t="s">
        <v>110</v>
      </c>
      <c r="L151" s="129" t="s">
        <v>108</v>
      </c>
      <c r="M151" s="130" t="str" cm="1">
        <f t="array" ref="M151">IFERROR(INDEX(CategoriesTable[Category type],MATCH(Table1[[#This Row],[Category]],CategoriesTable[Category name],0),0),"")</f>
        <v>Expense</v>
      </c>
      <c r="N151" s="130" t="str" cm="1">
        <f t="array" ref="N151">IFERROR(INDEX(SubcategoriesTable[Subcategory name],MATCH(Table1[[#This Row],[Category]],SubcategoriesTable[Category name],0),0),"")</f>
        <v>Fixed</v>
      </c>
      <c r="O151" s="130">
        <v>1</v>
      </c>
      <c r="P151" s="130">
        <f>MONTH(Table1[[#This Row],[Date]])</f>
        <v>2</v>
      </c>
      <c r="Q151" s="130">
        <v>2021</v>
      </c>
      <c r="R151" s="166">
        <f>IF(ISBLANK(Table1[[#This Row],[Date]]),"",Table1[[#This Row],[Date]]-WEEKDAY(Table1[[#This Row],[Date]],2)+1)</f>
        <v>44228</v>
      </c>
      <c r="S151" s="131">
        <f>IF(ISBLANK(Table1[[#This Row],[Date]]),"",DATE(Table1[[#This Row],[Date_Year]],Table1[[#This Row],[Date_Month]],1))</f>
        <v>44228</v>
      </c>
    </row>
    <row r="152" spans="2:19" ht="15.75" x14ac:dyDescent="0.25">
      <c r="B152" s="133">
        <v>44228</v>
      </c>
      <c r="C152" s="128" t="s">
        <v>148</v>
      </c>
      <c r="D152" s="128" t="s">
        <v>54</v>
      </c>
      <c r="E152" s="128" t="str" cm="1">
        <f t="array" ref="E152">IFERROR(INDEX(SubcategoriesTable[Subcategory name],MATCH(Table1[[#This Row],[Category]],SubcategoriesTable[Category name],0),0),"")</f>
        <v>Fixed</v>
      </c>
      <c r="F152" s="134">
        <v>-9.99</v>
      </c>
      <c r="G152" s="167" t="str">
        <f>_xlfn.XLOOKUP(Table1[[#This Row],[Account_ID]], Accounts[ID], Accounts[Account nickname], "Unknown")</f>
        <v>Discover it chrome Card</v>
      </c>
      <c r="H152" s="137" t="str">
        <f>_xlfn.XLOOKUP(Table1[[#This Row],[Account_ID]], Accounts[ID], Accounts[Account'#], "Unknown")</f>
        <v>7328</v>
      </c>
      <c r="I152" s="168" t="str">
        <f>_xlfn.XLOOKUP(Table1[[#This Row],[Institution_ID]], Institutions[ID], Institutions[Institution nickname], "Unknown")</f>
        <v>Discover</v>
      </c>
      <c r="J152" s="139" t="s">
        <v>227</v>
      </c>
      <c r="K152" s="129" t="s">
        <v>110</v>
      </c>
      <c r="L152" s="129" t="s">
        <v>108</v>
      </c>
      <c r="M152" s="130" t="str" cm="1">
        <f t="array" ref="M152">IFERROR(INDEX(CategoriesTable[Category type],MATCH(Table1[[#This Row],[Category]],CategoriesTable[Category name],0),0),"")</f>
        <v>Expense</v>
      </c>
      <c r="N152" s="130" t="str" cm="1">
        <f t="array" ref="N152">IFERROR(INDEX(SubcategoriesTable[Subcategory name],MATCH(Table1[[#This Row],[Category]],SubcategoriesTable[Category name],0),0),"")</f>
        <v>Fixed</v>
      </c>
      <c r="O152" s="130">
        <v>1</v>
      </c>
      <c r="P152" s="130">
        <f>MONTH(Table1[[#This Row],[Date]])</f>
        <v>2</v>
      </c>
      <c r="Q152" s="130">
        <v>2021</v>
      </c>
      <c r="R152" s="166">
        <f>IF(ISBLANK(Table1[[#This Row],[Date]]),"",Table1[[#This Row],[Date]]-WEEKDAY(Table1[[#This Row],[Date]],2)+1)</f>
        <v>44228</v>
      </c>
      <c r="S152" s="131">
        <f>IF(ISBLANK(Table1[[#This Row],[Date]]),"",DATE(Table1[[#This Row],[Date_Year]],Table1[[#This Row],[Date_Month]],1))</f>
        <v>44228</v>
      </c>
    </row>
    <row r="153" spans="2:19" ht="15.75" x14ac:dyDescent="0.25">
      <c r="B153" s="133">
        <v>44227</v>
      </c>
      <c r="C153" s="128" t="s">
        <v>228</v>
      </c>
      <c r="D153" s="128" t="s">
        <v>45</v>
      </c>
      <c r="E153" s="128" t="str" cm="1">
        <f t="array" ref="E153">IFERROR(INDEX(SubcategoriesTable[Subcategory name],MATCH(Table1[[#This Row],[Category]],SubcategoriesTable[Category name],0),0),"")</f>
        <v>Variable</v>
      </c>
      <c r="F153" s="134">
        <v>-9.89</v>
      </c>
      <c r="G153" s="167" t="str">
        <f>_xlfn.XLOOKUP(Table1[[#This Row],[Account_ID]], Accounts[ID], Accounts[Account nickname], "Unknown")</f>
        <v>Discover it chrome Card</v>
      </c>
      <c r="H153" s="137" t="str">
        <f>_xlfn.XLOOKUP(Table1[[#This Row],[Account_ID]], Accounts[ID], Accounts[Account'#], "Unknown")</f>
        <v>7328</v>
      </c>
      <c r="I153" s="168" t="str">
        <f>_xlfn.XLOOKUP(Table1[[#This Row],[Institution_ID]], Institutions[ID], Institutions[Institution nickname], "Unknown")</f>
        <v>Discover</v>
      </c>
      <c r="J153" s="139" t="s">
        <v>229</v>
      </c>
      <c r="K153" s="129" t="s">
        <v>110</v>
      </c>
      <c r="L153" s="129" t="s">
        <v>108</v>
      </c>
      <c r="M153" s="130" t="str" cm="1">
        <f t="array" ref="M153">IFERROR(INDEX(CategoriesTable[Category type],MATCH(Table1[[#This Row],[Category]],CategoriesTable[Category name],0),0),"")</f>
        <v>Expense</v>
      </c>
      <c r="N153" s="130" t="str" cm="1">
        <f t="array" ref="N153">IFERROR(INDEX(SubcategoriesTable[Subcategory name],MATCH(Table1[[#This Row],[Category]],SubcategoriesTable[Category name],0),0),"")</f>
        <v>Variable</v>
      </c>
      <c r="O153" s="130">
        <v>31</v>
      </c>
      <c r="P153" s="130">
        <f>MONTH(Table1[[#This Row],[Date]])</f>
        <v>1</v>
      </c>
      <c r="Q153" s="130">
        <v>2021</v>
      </c>
      <c r="R153" s="166">
        <f>IF(ISBLANK(Table1[[#This Row],[Date]]),"",Table1[[#This Row],[Date]]-WEEKDAY(Table1[[#This Row],[Date]],2)+1)</f>
        <v>44221</v>
      </c>
      <c r="S153" s="131">
        <f>IF(ISBLANK(Table1[[#This Row],[Date]]),"",DATE(Table1[[#This Row],[Date_Year]],Table1[[#This Row],[Date_Month]],1))</f>
        <v>44197</v>
      </c>
    </row>
    <row r="154" spans="2:19" ht="15.75" x14ac:dyDescent="0.25">
      <c r="B154" s="133">
        <v>44227</v>
      </c>
      <c r="C154" s="128" t="s">
        <v>115</v>
      </c>
      <c r="D154" s="128" t="s">
        <v>48</v>
      </c>
      <c r="E154" s="128" t="str" cm="1">
        <f t="array" ref="E154">IFERROR(INDEX(SubcategoriesTable[Subcategory name],MATCH(Table1[[#This Row],[Category]],SubcategoriesTable[Category name],0),0),"")</f>
        <v>Variable</v>
      </c>
      <c r="F154" s="134">
        <v>-19.22</v>
      </c>
      <c r="G154" s="167" t="str">
        <f>_xlfn.XLOOKUP(Table1[[#This Row],[Account_ID]], Accounts[ID], Accounts[Account nickname], "Unknown")</f>
        <v>Discover it chrome Card</v>
      </c>
      <c r="H154" s="137" t="str">
        <f>_xlfn.XLOOKUP(Table1[[#This Row],[Account_ID]], Accounts[ID], Accounts[Account'#], "Unknown")</f>
        <v>7328</v>
      </c>
      <c r="I154" s="168" t="str">
        <f>_xlfn.XLOOKUP(Table1[[#This Row],[Institution_ID]], Institutions[ID], Institutions[Institution nickname], "Unknown")</f>
        <v>Discover</v>
      </c>
      <c r="J154" s="139" t="s">
        <v>230</v>
      </c>
      <c r="K154" s="129" t="s">
        <v>110</v>
      </c>
      <c r="L154" s="129" t="s">
        <v>108</v>
      </c>
      <c r="M154" s="130" t="str" cm="1">
        <f t="array" ref="M154">IFERROR(INDEX(CategoriesTable[Category type],MATCH(Table1[[#This Row],[Category]],CategoriesTable[Category name],0),0),"")</f>
        <v>Expense</v>
      </c>
      <c r="N154" s="130" t="str" cm="1">
        <f t="array" ref="N154">IFERROR(INDEX(SubcategoriesTable[Subcategory name],MATCH(Table1[[#This Row],[Category]],SubcategoriesTable[Category name],0),0),"")</f>
        <v>Variable</v>
      </c>
      <c r="O154" s="130">
        <v>31</v>
      </c>
      <c r="P154" s="130">
        <f>MONTH(Table1[[#This Row],[Date]])</f>
        <v>1</v>
      </c>
      <c r="Q154" s="130">
        <v>2021</v>
      </c>
      <c r="R154" s="166">
        <f>IF(ISBLANK(Table1[[#This Row],[Date]]),"",Table1[[#This Row],[Date]]-WEEKDAY(Table1[[#This Row],[Date]],2)+1)</f>
        <v>44221</v>
      </c>
      <c r="S154" s="131">
        <f>IF(ISBLANK(Table1[[#This Row],[Date]]),"",DATE(Table1[[#This Row],[Date_Year]],Table1[[#This Row],[Date_Month]],1))</f>
        <v>44197</v>
      </c>
    </row>
    <row r="155" spans="2:19" ht="15.75" x14ac:dyDescent="0.25">
      <c r="B155" s="133">
        <v>44226</v>
      </c>
      <c r="C155" s="128" t="s">
        <v>195</v>
      </c>
      <c r="D155" s="128" t="s">
        <v>48</v>
      </c>
      <c r="E155" s="128" t="str" cm="1">
        <f t="array" ref="E155">IFERROR(INDEX(SubcategoriesTable[Subcategory name],MATCH(Table1[[#This Row],[Category]],SubcategoriesTable[Category name],0),0),"")</f>
        <v>Variable</v>
      </c>
      <c r="F155" s="134">
        <v>-7.42</v>
      </c>
      <c r="G155" s="167" t="str">
        <f>_xlfn.XLOOKUP(Table1[[#This Row],[Account_ID]], Accounts[ID], Accounts[Account nickname], "Unknown")</f>
        <v>Discover it chrome Card</v>
      </c>
      <c r="H155" s="137" t="str">
        <f>_xlfn.XLOOKUP(Table1[[#This Row],[Account_ID]], Accounts[ID], Accounts[Account'#], "Unknown")</f>
        <v>7328</v>
      </c>
      <c r="I155" s="168" t="str">
        <f>_xlfn.XLOOKUP(Table1[[#This Row],[Institution_ID]], Institutions[ID], Institutions[Institution nickname], "Unknown")</f>
        <v>Discover</v>
      </c>
      <c r="J155" s="139" t="s">
        <v>231</v>
      </c>
      <c r="K155" s="129" t="s">
        <v>110</v>
      </c>
      <c r="L155" s="129" t="s">
        <v>108</v>
      </c>
      <c r="M155" s="130" t="str" cm="1">
        <f t="array" ref="M155">IFERROR(INDEX(CategoriesTable[Category type],MATCH(Table1[[#This Row],[Category]],CategoriesTable[Category name],0),0),"")</f>
        <v>Expense</v>
      </c>
      <c r="N155" s="130" t="str" cm="1">
        <f t="array" ref="N155">IFERROR(INDEX(SubcategoriesTable[Subcategory name],MATCH(Table1[[#This Row],[Category]],SubcategoriesTable[Category name],0),0),"")</f>
        <v>Variable</v>
      </c>
      <c r="O155" s="130">
        <v>30</v>
      </c>
      <c r="P155" s="130">
        <f>MONTH(Table1[[#This Row],[Date]])</f>
        <v>1</v>
      </c>
      <c r="Q155" s="130">
        <v>2021</v>
      </c>
      <c r="R155" s="166">
        <f>IF(ISBLANK(Table1[[#This Row],[Date]]),"",Table1[[#This Row],[Date]]-WEEKDAY(Table1[[#This Row],[Date]],2)+1)</f>
        <v>44221</v>
      </c>
      <c r="S155" s="131">
        <f>IF(ISBLANK(Table1[[#This Row],[Date]]),"",DATE(Table1[[#This Row],[Date_Year]],Table1[[#This Row],[Date_Month]],1))</f>
        <v>44197</v>
      </c>
    </row>
    <row r="156" spans="2:19" ht="15.75" x14ac:dyDescent="0.25">
      <c r="B156" s="133">
        <v>44225</v>
      </c>
      <c r="C156" s="128" t="s">
        <v>1181</v>
      </c>
      <c r="D156" s="128" t="s">
        <v>59</v>
      </c>
      <c r="E156" s="128" t="str" cm="1">
        <f t="array" ref="E156">IFERROR(INDEX(SubcategoriesTable[Subcategory name],MATCH(Table1[[#This Row],[Category]],SubcategoriesTable[Category name],0),0),"")</f>
        <v>Fixed</v>
      </c>
      <c r="F156" s="134">
        <v>1459.64</v>
      </c>
      <c r="G156" s="167" t="str">
        <f>_xlfn.XLOOKUP(Table1[[#This Row],[Account_ID]], Accounts[ID], Accounts[Account nickname], "Unknown")</f>
        <v>EVERYDAY CHECKING</v>
      </c>
      <c r="H156" s="137" t="str">
        <f>_xlfn.XLOOKUP(Table1[[#This Row],[Account_ID]], Accounts[ID], Accounts[Account'#], "Unknown")</f>
        <v>4636</v>
      </c>
      <c r="I156" s="168" t="str">
        <f>_xlfn.XLOOKUP(Table1[[#This Row],[Institution_ID]], Institutions[ID], Institutions[Institution nickname], "Unknown")</f>
        <v>Wells Fargo</v>
      </c>
      <c r="J156" s="139" t="s">
        <v>1398</v>
      </c>
      <c r="K156" s="129" t="s">
        <v>1229</v>
      </c>
      <c r="L156" s="129" t="s">
        <v>1228</v>
      </c>
      <c r="M156" s="130" t="str" cm="1">
        <f t="array" ref="M156">IFERROR(INDEX(CategoriesTable[Category type],MATCH(Table1[[#This Row],[Category]],CategoriesTable[Category name],0),0),"")</f>
        <v>Income</v>
      </c>
      <c r="N156" s="130" t="str" cm="1">
        <f t="array" ref="N156">IFERROR(INDEX(SubcategoriesTable[Subcategory name],MATCH(Table1[[#This Row],[Category]],SubcategoriesTable[Category name],0),0),"")</f>
        <v>Fixed</v>
      </c>
      <c r="O156" s="130">
        <v>29</v>
      </c>
      <c r="P156" s="130">
        <f>MONTH(Table1[[#This Row],[Date]])</f>
        <v>1</v>
      </c>
      <c r="Q156" s="130">
        <v>2021</v>
      </c>
      <c r="R156" s="166">
        <f>IF(ISBLANK(Table1[[#This Row],[Date]]),"",Table1[[#This Row],[Date]]-WEEKDAY(Table1[[#This Row],[Date]],2)+1)</f>
        <v>44221</v>
      </c>
      <c r="S156" s="131">
        <f>IF(ISBLANK(Table1[[#This Row],[Date]]),"",DATE(Table1[[#This Row],[Date_Year]],Table1[[#This Row],[Date_Month]],1))</f>
        <v>44197</v>
      </c>
    </row>
    <row r="157" spans="2:19" ht="15.75" x14ac:dyDescent="0.25">
      <c r="B157" s="133">
        <v>44225</v>
      </c>
      <c r="C157" s="128" t="s">
        <v>508</v>
      </c>
      <c r="D157" s="128" t="s">
        <v>78</v>
      </c>
      <c r="E157" s="128" t="str" cm="1">
        <f t="array" ref="E157">IFERROR(INDEX(SubcategoriesTable[Subcategory name],MATCH(Table1[[#This Row],[Category]],SubcategoriesTable[Category name],0),0),"")</f>
        <v>Fixed</v>
      </c>
      <c r="F157" s="134">
        <v>-700</v>
      </c>
      <c r="G157" s="167" t="str">
        <f>_xlfn.XLOOKUP(Table1[[#This Row],[Account_ID]], Accounts[ID], Accounts[Account nickname], "Unknown")</f>
        <v>EVERYDAY CHECKING</v>
      </c>
      <c r="H157" s="137" t="str">
        <f>_xlfn.XLOOKUP(Table1[[#This Row],[Account_ID]], Accounts[ID], Accounts[Account'#], "Unknown")</f>
        <v>4636</v>
      </c>
      <c r="I157" s="168" t="str">
        <f>_xlfn.XLOOKUP(Table1[[#This Row],[Institution_ID]], Institutions[ID], Institutions[Institution nickname], "Unknown")</f>
        <v>Wells Fargo</v>
      </c>
      <c r="J157" s="139" t="s">
        <v>1399</v>
      </c>
      <c r="K157" s="129" t="s">
        <v>1229</v>
      </c>
      <c r="L157" s="129" t="s">
        <v>1228</v>
      </c>
      <c r="M157" s="130" t="str" cm="1">
        <f t="array" ref="M157">IFERROR(INDEX(CategoriesTable[Category type],MATCH(Table1[[#This Row],[Category]],CategoriesTable[Category name],0),0),"")</f>
        <v>Expense</v>
      </c>
      <c r="N157" s="130" t="str" cm="1">
        <f t="array" ref="N157">IFERROR(INDEX(SubcategoriesTable[Subcategory name],MATCH(Table1[[#This Row],[Category]],SubcategoriesTable[Category name],0),0),"")</f>
        <v>Fixed</v>
      </c>
      <c r="O157" s="130">
        <v>29</v>
      </c>
      <c r="P157" s="130">
        <f>MONTH(Table1[[#This Row],[Date]])</f>
        <v>1</v>
      </c>
      <c r="Q157" s="130">
        <v>2021</v>
      </c>
      <c r="R157" s="166">
        <f>IF(ISBLANK(Table1[[#This Row],[Date]]),"",Table1[[#This Row],[Date]]-WEEKDAY(Table1[[#This Row],[Date]],2)+1)</f>
        <v>44221</v>
      </c>
      <c r="S157" s="131">
        <f>IF(ISBLANK(Table1[[#This Row],[Date]]),"",DATE(Table1[[#This Row],[Date_Year]],Table1[[#This Row],[Date_Month]],1))</f>
        <v>44197</v>
      </c>
    </row>
    <row r="158" spans="2:19" ht="15.75" x14ac:dyDescent="0.25">
      <c r="B158" s="133">
        <v>44225</v>
      </c>
      <c r="C158" s="128" t="s">
        <v>508</v>
      </c>
      <c r="D158" s="128" t="s">
        <v>50</v>
      </c>
      <c r="E158" s="128" t="str" cm="1">
        <f t="array" ref="E158">IFERROR(INDEX(SubcategoriesTable[Subcategory name],MATCH(Table1[[#This Row],[Category]],SubcategoriesTable[Category name],0),0),"")</f>
        <v>Variable</v>
      </c>
      <c r="F158" s="134">
        <v>-728.15</v>
      </c>
      <c r="G158" s="167" t="str">
        <f>_xlfn.XLOOKUP(Table1[[#This Row],[Account_ID]], Accounts[ID], Accounts[Account nickname], "Unknown")</f>
        <v>EVERYDAY CHECKING</v>
      </c>
      <c r="H158" s="137" t="str">
        <f>_xlfn.XLOOKUP(Table1[[#This Row],[Account_ID]], Accounts[ID], Accounts[Account'#], "Unknown")</f>
        <v>4636</v>
      </c>
      <c r="I158" s="168" t="str">
        <f>_xlfn.XLOOKUP(Table1[[#This Row],[Institution_ID]], Institutions[ID], Institutions[Institution nickname], "Unknown")</f>
        <v>Wells Fargo</v>
      </c>
      <c r="J158" s="139" t="s">
        <v>1400</v>
      </c>
      <c r="K158" s="129" t="s">
        <v>1229</v>
      </c>
      <c r="L158" s="129" t="s">
        <v>1228</v>
      </c>
      <c r="M158" s="130" t="str" cm="1">
        <f t="array" ref="M158">IFERROR(INDEX(CategoriesTable[Category type],MATCH(Table1[[#This Row],[Category]],CategoriesTable[Category name],0),0),"")</f>
        <v>Transfer</v>
      </c>
      <c r="N158" s="130" t="str" cm="1">
        <f t="array" ref="N158">IFERROR(INDEX(SubcategoriesTable[Subcategory name],MATCH(Table1[[#This Row],[Category]],SubcategoriesTable[Category name],0),0),"")</f>
        <v>Variable</v>
      </c>
      <c r="O158" s="130">
        <v>29</v>
      </c>
      <c r="P158" s="130">
        <f>MONTH(Table1[[#This Row],[Date]])</f>
        <v>1</v>
      </c>
      <c r="Q158" s="130">
        <v>2021</v>
      </c>
      <c r="R158" s="166">
        <f>IF(ISBLANK(Table1[[#This Row],[Date]]),"",Table1[[#This Row],[Date]]-WEEKDAY(Table1[[#This Row],[Date]],2)+1)</f>
        <v>44221</v>
      </c>
      <c r="S158" s="131">
        <f>IF(ISBLANK(Table1[[#This Row],[Date]]),"",DATE(Table1[[#This Row],[Date_Year]],Table1[[#This Row],[Date_Month]],1))</f>
        <v>44197</v>
      </c>
    </row>
    <row r="159" spans="2:19" ht="15.75" x14ac:dyDescent="0.25">
      <c r="B159" s="133">
        <v>44224</v>
      </c>
      <c r="C159" s="128" t="s">
        <v>1194</v>
      </c>
      <c r="D159" s="128" t="s">
        <v>59</v>
      </c>
      <c r="E159" s="128" t="str" cm="1">
        <f t="array" ref="E159">IFERROR(INDEX(SubcategoriesTable[Subcategory name],MATCH(Table1[[#This Row],[Category]],SubcategoriesTable[Category name],0),0),"")</f>
        <v>Fixed</v>
      </c>
      <c r="F159" s="134">
        <v>388.47</v>
      </c>
      <c r="G159" s="167" t="str">
        <f>_xlfn.XLOOKUP(Table1[[#This Row],[Account_ID]], Accounts[ID], Accounts[Account nickname], "Unknown")</f>
        <v>EVERYDAY CHECKING</v>
      </c>
      <c r="H159" s="137" t="str">
        <f>_xlfn.XLOOKUP(Table1[[#This Row],[Account_ID]], Accounts[ID], Accounts[Account'#], "Unknown")</f>
        <v>4636</v>
      </c>
      <c r="I159" s="168" t="str">
        <f>_xlfn.XLOOKUP(Table1[[#This Row],[Institution_ID]], Institutions[ID], Institutions[Institution nickname], "Unknown")</f>
        <v>Wells Fargo</v>
      </c>
      <c r="J159" s="139" t="s">
        <v>1401</v>
      </c>
      <c r="K159" s="129" t="s">
        <v>1229</v>
      </c>
      <c r="L159" s="129" t="s">
        <v>1228</v>
      </c>
      <c r="M159" s="130" t="str" cm="1">
        <f t="array" ref="M159">IFERROR(INDEX(CategoriesTable[Category type],MATCH(Table1[[#This Row],[Category]],CategoriesTable[Category name],0),0),"")</f>
        <v>Income</v>
      </c>
      <c r="N159" s="130" t="str" cm="1">
        <f t="array" ref="N159">IFERROR(INDEX(SubcategoriesTable[Subcategory name],MATCH(Table1[[#This Row],[Category]],SubcategoriesTable[Category name],0),0),"")</f>
        <v>Fixed</v>
      </c>
      <c r="O159" s="130">
        <v>28</v>
      </c>
      <c r="P159" s="130">
        <f>MONTH(Table1[[#This Row],[Date]])</f>
        <v>1</v>
      </c>
      <c r="Q159" s="130">
        <v>2021</v>
      </c>
      <c r="R159" s="166">
        <f>IF(ISBLANK(Table1[[#This Row],[Date]]),"",Table1[[#This Row],[Date]]-WEEKDAY(Table1[[#This Row],[Date]],2)+1)</f>
        <v>44221</v>
      </c>
      <c r="S159" s="131">
        <f>IF(ISBLANK(Table1[[#This Row],[Date]]),"",DATE(Table1[[#This Row],[Date_Year]],Table1[[#This Row],[Date_Month]],1))</f>
        <v>44197</v>
      </c>
    </row>
    <row r="160" spans="2:19" ht="15.75" x14ac:dyDescent="0.25">
      <c r="B160" s="133">
        <v>44224</v>
      </c>
      <c r="C160" s="128" t="s">
        <v>1183</v>
      </c>
      <c r="D160" s="128" t="s">
        <v>1204</v>
      </c>
      <c r="E160" s="128" t="str" cm="1">
        <f t="array" ref="E160">IFERROR(INDEX(SubcategoriesTable[Subcategory name],MATCH(Table1[[#This Row],[Category]],SubcategoriesTable[Category name],0),0),"")</f>
        <v>Variable</v>
      </c>
      <c r="F160" s="134">
        <v>-50</v>
      </c>
      <c r="G160" s="167" t="str">
        <f>_xlfn.XLOOKUP(Table1[[#This Row],[Account_ID]], Accounts[ID], Accounts[Account nickname], "Unknown")</f>
        <v>EVERYDAY CHECKING</v>
      </c>
      <c r="H160" s="137" t="str">
        <f>_xlfn.XLOOKUP(Table1[[#This Row],[Account_ID]], Accounts[ID], Accounts[Account'#], "Unknown")</f>
        <v>4636</v>
      </c>
      <c r="I160" s="168" t="str">
        <f>_xlfn.XLOOKUP(Table1[[#This Row],[Institution_ID]], Institutions[ID], Institutions[Institution nickname], "Unknown")</f>
        <v>Wells Fargo</v>
      </c>
      <c r="J160" s="139" t="s">
        <v>1402</v>
      </c>
      <c r="K160" s="129" t="s">
        <v>1229</v>
      </c>
      <c r="L160" s="129" t="s">
        <v>1228</v>
      </c>
      <c r="M160" s="130" t="str" cm="1">
        <f t="array" ref="M160">IFERROR(INDEX(CategoriesTable[Category type],MATCH(Table1[[#This Row],[Category]],CategoriesTable[Category name],0),0),"")</f>
        <v>Savings</v>
      </c>
      <c r="N160" s="130" t="str" cm="1">
        <f t="array" ref="N160">IFERROR(INDEX(SubcategoriesTable[Subcategory name],MATCH(Table1[[#This Row],[Category]],SubcategoriesTable[Category name],0),0),"")</f>
        <v>Variable</v>
      </c>
      <c r="O160" s="130">
        <v>28</v>
      </c>
      <c r="P160" s="130">
        <f>MONTH(Table1[[#This Row],[Date]])</f>
        <v>1</v>
      </c>
      <c r="Q160" s="130">
        <v>2021</v>
      </c>
      <c r="R160" s="166">
        <f>IF(ISBLANK(Table1[[#This Row],[Date]]),"",Table1[[#This Row],[Date]]-WEEKDAY(Table1[[#This Row],[Date]],2)+1)</f>
        <v>44221</v>
      </c>
      <c r="S160" s="131">
        <f>IF(ISBLANK(Table1[[#This Row],[Date]]),"",DATE(Table1[[#This Row],[Date_Year]],Table1[[#This Row],[Date_Month]],1))</f>
        <v>44197</v>
      </c>
    </row>
    <row r="161" spans="2:19" ht="15.75" x14ac:dyDescent="0.25">
      <c r="B161" s="133">
        <v>44224</v>
      </c>
      <c r="C161" s="128" t="s">
        <v>1183</v>
      </c>
      <c r="D161" s="128" t="s">
        <v>1204</v>
      </c>
      <c r="E161" s="128" t="str" cm="1">
        <f t="array" ref="E161">IFERROR(INDEX(SubcategoriesTable[Subcategory name],MATCH(Table1[[#This Row],[Category]],SubcategoriesTable[Category name],0),0),"")</f>
        <v>Variable</v>
      </c>
      <c r="F161" s="134">
        <v>-100</v>
      </c>
      <c r="G161" s="167" t="str">
        <f>_xlfn.XLOOKUP(Table1[[#This Row],[Account_ID]], Accounts[ID], Accounts[Account nickname], "Unknown")</f>
        <v>EVERYDAY CHECKING</v>
      </c>
      <c r="H161" s="137" t="str">
        <f>_xlfn.XLOOKUP(Table1[[#This Row],[Account_ID]], Accounts[ID], Accounts[Account'#], "Unknown")</f>
        <v>4636</v>
      </c>
      <c r="I161" s="168" t="str">
        <f>_xlfn.XLOOKUP(Table1[[#This Row],[Institution_ID]], Institutions[ID], Institutions[Institution nickname], "Unknown")</f>
        <v>Wells Fargo</v>
      </c>
      <c r="J161" s="139" t="s">
        <v>1403</v>
      </c>
      <c r="K161" s="129" t="s">
        <v>1229</v>
      </c>
      <c r="L161" s="129" t="s">
        <v>1228</v>
      </c>
      <c r="M161" s="130" t="str" cm="1">
        <f t="array" ref="M161">IFERROR(INDEX(CategoriesTable[Category type],MATCH(Table1[[#This Row],[Category]],CategoriesTable[Category name],0),0),"")</f>
        <v>Savings</v>
      </c>
      <c r="N161" s="130" t="str" cm="1">
        <f t="array" ref="N161">IFERROR(INDEX(SubcategoriesTable[Subcategory name],MATCH(Table1[[#This Row],[Category]],SubcategoriesTable[Category name],0),0),"")</f>
        <v>Variable</v>
      </c>
      <c r="O161" s="130">
        <v>28</v>
      </c>
      <c r="P161" s="130">
        <f>MONTH(Table1[[#This Row],[Date]])</f>
        <v>1</v>
      </c>
      <c r="Q161" s="130">
        <v>2021</v>
      </c>
      <c r="R161" s="166">
        <f>IF(ISBLANK(Table1[[#This Row],[Date]]),"",Table1[[#This Row],[Date]]-WEEKDAY(Table1[[#This Row],[Date]],2)+1)</f>
        <v>44221</v>
      </c>
      <c r="S161" s="131">
        <f>IF(ISBLANK(Table1[[#This Row],[Date]]),"",DATE(Table1[[#This Row],[Date_Year]],Table1[[#This Row],[Date_Month]],1))</f>
        <v>44197</v>
      </c>
    </row>
    <row r="162" spans="2:19" ht="15.75" x14ac:dyDescent="0.25">
      <c r="B162" s="133">
        <v>44224</v>
      </c>
      <c r="C162" s="128" t="s">
        <v>154</v>
      </c>
      <c r="D162" s="128" t="s">
        <v>51</v>
      </c>
      <c r="E162" s="128" t="str" cm="1">
        <f t="array" ref="E162">IFERROR(INDEX(SubcategoriesTable[Subcategory name],MATCH(Table1[[#This Row],[Category]],SubcategoriesTable[Category name],0),0),"")</f>
        <v>Variable</v>
      </c>
      <c r="F162" s="134">
        <v>-9.9499999999999993</v>
      </c>
      <c r="G162" s="167" t="str">
        <f>_xlfn.XLOOKUP(Table1[[#This Row],[Account_ID]], Accounts[ID], Accounts[Account nickname], "Unknown")</f>
        <v>Discover it chrome Card</v>
      </c>
      <c r="H162" s="137" t="str">
        <f>_xlfn.XLOOKUP(Table1[[#This Row],[Account_ID]], Accounts[ID], Accounts[Account'#], "Unknown")</f>
        <v>7328</v>
      </c>
      <c r="I162" s="168" t="str">
        <f>_xlfn.XLOOKUP(Table1[[#This Row],[Institution_ID]], Institutions[ID], Institutions[Institution nickname], "Unknown")</f>
        <v>Discover</v>
      </c>
      <c r="J162" s="139" t="s">
        <v>232</v>
      </c>
      <c r="K162" s="129" t="s">
        <v>110</v>
      </c>
      <c r="L162" s="129" t="s">
        <v>108</v>
      </c>
      <c r="M162" s="130" t="str" cm="1">
        <f t="array" ref="M162">IFERROR(INDEX(CategoriesTable[Category type],MATCH(Table1[[#This Row],[Category]],CategoriesTable[Category name],0),0),"")</f>
        <v>Expense</v>
      </c>
      <c r="N162" s="130" t="str" cm="1">
        <f t="array" ref="N162">IFERROR(INDEX(SubcategoriesTable[Subcategory name],MATCH(Table1[[#This Row],[Category]],SubcategoriesTable[Category name],0),0),"")</f>
        <v>Variable</v>
      </c>
      <c r="O162" s="130">
        <v>28</v>
      </c>
      <c r="P162" s="130">
        <f>MONTH(Table1[[#This Row],[Date]])</f>
        <v>1</v>
      </c>
      <c r="Q162" s="130">
        <v>2021</v>
      </c>
      <c r="R162" s="166">
        <f>IF(ISBLANK(Table1[[#This Row],[Date]]),"",Table1[[#This Row],[Date]]-WEEKDAY(Table1[[#This Row],[Date]],2)+1)</f>
        <v>44221</v>
      </c>
      <c r="S162" s="131">
        <f>IF(ISBLANK(Table1[[#This Row],[Date]]),"",DATE(Table1[[#This Row],[Date_Year]],Table1[[#This Row],[Date_Month]],1))</f>
        <v>44197</v>
      </c>
    </row>
    <row r="163" spans="2:19" ht="15.75" x14ac:dyDescent="0.25">
      <c r="B163" s="133">
        <v>44223</v>
      </c>
      <c r="C163" s="128" t="s">
        <v>50</v>
      </c>
      <c r="D163" s="128" t="s">
        <v>1204</v>
      </c>
      <c r="E163" s="128"/>
      <c r="F163" s="134">
        <v>100</v>
      </c>
      <c r="G163" s="167" t="str">
        <f>_xlfn.XLOOKUP(Table1[[#This Row],[Account_ID]], Accounts[ID], Accounts[Account nickname], "Unknown")</f>
        <v>Checking - 4480</v>
      </c>
      <c r="H163" s="137" t="str">
        <f>_xlfn.XLOOKUP(Table1[[#This Row],[Account_ID]], Accounts[ID], Accounts[Account'#], "Unknown")</f>
        <v>4480</v>
      </c>
      <c r="I163" s="168" t="str">
        <f>_xlfn.XLOOKUP(Table1[[#This Row],[Institution_ID]], Institutions[ID], Institutions[Institution nickname], "Unknown")</f>
        <v>Robinhood</v>
      </c>
      <c r="J163" s="139" t="s">
        <v>1226</v>
      </c>
      <c r="K163" s="129" t="s">
        <v>1208</v>
      </c>
      <c r="L163" s="173" t="s">
        <v>1207</v>
      </c>
      <c r="M163" s="130" t="str" cm="1">
        <f t="array" ref="M163">IFERROR(INDEX(CategoriesTable[Category type],MATCH(Table1[[#This Row],[Category]],CategoriesTable[Category name],0),0),"")</f>
        <v>Savings</v>
      </c>
      <c r="N163" s="130" t="str" cm="1">
        <f t="array" ref="N163">IFERROR(INDEX(SubcategoriesTable[Subcategory name],MATCH(Table1[[#This Row],[Category]],SubcategoriesTable[Category name],0),0),"")</f>
        <v>Variable</v>
      </c>
      <c r="O163" s="130">
        <v>27</v>
      </c>
      <c r="P163" s="130">
        <f>MONTH(Table1[[#This Row],[Date]])</f>
        <v>1</v>
      </c>
      <c r="Q163" s="130">
        <v>2021</v>
      </c>
      <c r="R163" s="166">
        <f>IF(ISBLANK(Table1[[#This Row],[Date]]),"",Table1[[#This Row],[Date]]-WEEKDAY(Table1[[#This Row],[Date]],2)+1)</f>
        <v>44221</v>
      </c>
      <c r="S163" s="131">
        <f>IF(ISBLANK(Table1[[#This Row],[Date]]),"",DATE(Table1[[#This Row],[Date_Year]],Table1[[#This Row],[Date_Month]],1))</f>
        <v>44197</v>
      </c>
    </row>
    <row r="164" spans="2:19" ht="15.75" x14ac:dyDescent="0.25">
      <c r="B164" s="133">
        <v>44223</v>
      </c>
      <c r="C164" s="128" t="s">
        <v>50</v>
      </c>
      <c r="D164" s="128" t="s">
        <v>1204</v>
      </c>
      <c r="E164" s="128"/>
      <c r="F164" s="134">
        <v>50</v>
      </c>
      <c r="G164" s="167" t="str">
        <f>_xlfn.XLOOKUP(Table1[[#This Row],[Account_ID]], Accounts[ID], Accounts[Account nickname], "Unknown")</f>
        <v>Checking - 4480</v>
      </c>
      <c r="H164" s="137" t="str">
        <f>_xlfn.XLOOKUP(Table1[[#This Row],[Account_ID]], Accounts[ID], Accounts[Account'#], "Unknown")</f>
        <v>4480</v>
      </c>
      <c r="I164" s="168" t="str">
        <f>_xlfn.XLOOKUP(Table1[[#This Row],[Institution_ID]], Institutions[ID], Institutions[Institution nickname], "Unknown")</f>
        <v>Robinhood</v>
      </c>
      <c r="J164" s="139" t="s">
        <v>1227</v>
      </c>
      <c r="K164" s="129" t="s">
        <v>1208</v>
      </c>
      <c r="L164" s="173" t="s">
        <v>1207</v>
      </c>
      <c r="M164" s="130" t="str" cm="1">
        <f t="array" ref="M164">IFERROR(INDEX(CategoriesTable[Category type],MATCH(Table1[[#This Row],[Category]],CategoriesTable[Category name],0),0),"")</f>
        <v>Savings</v>
      </c>
      <c r="N164" s="130" t="str" cm="1">
        <f t="array" ref="N164">IFERROR(INDEX(SubcategoriesTable[Subcategory name],MATCH(Table1[[#This Row],[Category]],SubcategoriesTable[Category name],0),0),"")</f>
        <v>Variable</v>
      </c>
      <c r="O164" s="130">
        <v>27</v>
      </c>
      <c r="P164" s="130">
        <f>MONTH(Table1[[#This Row],[Date]])</f>
        <v>1</v>
      </c>
      <c r="Q164" s="130">
        <v>2021</v>
      </c>
      <c r="R164" s="166">
        <f>IF(ISBLANK(Table1[[#This Row],[Date]]),"",Table1[[#This Row],[Date]]-WEEKDAY(Table1[[#This Row],[Date]],2)+1)</f>
        <v>44221</v>
      </c>
      <c r="S164" s="131">
        <f>IF(ISBLANK(Table1[[#This Row],[Date]]),"",DATE(Table1[[#This Row],[Date_Year]],Table1[[#This Row],[Date_Month]],1))</f>
        <v>44197</v>
      </c>
    </row>
    <row r="165" spans="2:19" ht="15.75" x14ac:dyDescent="0.25">
      <c r="B165" s="133">
        <v>44223</v>
      </c>
      <c r="C165" s="128" t="s">
        <v>171</v>
      </c>
      <c r="D165" s="128" t="s">
        <v>46</v>
      </c>
      <c r="E165" s="128" t="str" cm="1">
        <f t="array" ref="E165">IFERROR(INDEX(SubcategoriesTable[Subcategory name],MATCH(Table1[[#This Row],[Category]],SubcategoriesTable[Category name],0),0),"")</f>
        <v>Variable</v>
      </c>
      <c r="F165" s="134">
        <v>-1.51</v>
      </c>
      <c r="G165" s="167" t="str">
        <f>_xlfn.XLOOKUP(Table1[[#This Row],[Account_ID]], Accounts[ID], Accounts[Account nickname], "Unknown")</f>
        <v>Discover it chrome Card</v>
      </c>
      <c r="H165" s="137" t="str">
        <f>_xlfn.XLOOKUP(Table1[[#This Row],[Account_ID]], Accounts[ID], Accounts[Account'#], "Unknown")</f>
        <v>7328</v>
      </c>
      <c r="I165" s="168" t="str">
        <f>_xlfn.XLOOKUP(Table1[[#This Row],[Institution_ID]], Institutions[ID], Institutions[Institution nickname], "Unknown")</f>
        <v>Discover</v>
      </c>
      <c r="J165" s="139" t="s">
        <v>233</v>
      </c>
      <c r="K165" s="129" t="s">
        <v>110</v>
      </c>
      <c r="L165" s="129" t="s">
        <v>108</v>
      </c>
      <c r="M165" s="130" t="str" cm="1">
        <f t="array" ref="M165">IFERROR(INDEX(CategoriesTable[Category type],MATCH(Table1[[#This Row],[Category]],CategoriesTable[Category name],0),0),"")</f>
        <v>Expense</v>
      </c>
      <c r="N165" s="130" t="str" cm="1">
        <f t="array" ref="N165">IFERROR(INDEX(SubcategoriesTable[Subcategory name],MATCH(Table1[[#This Row],[Category]],SubcategoriesTable[Category name],0),0),"")</f>
        <v>Variable</v>
      </c>
      <c r="O165" s="130">
        <v>27</v>
      </c>
      <c r="P165" s="130">
        <f>MONTH(Table1[[#This Row],[Date]])</f>
        <v>1</v>
      </c>
      <c r="Q165" s="130">
        <v>2021</v>
      </c>
      <c r="R165" s="166">
        <f>IF(ISBLANK(Table1[[#This Row],[Date]]),"",Table1[[#This Row],[Date]]-WEEKDAY(Table1[[#This Row],[Date]],2)+1)</f>
        <v>44221</v>
      </c>
      <c r="S165" s="131">
        <f>IF(ISBLANK(Table1[[#This Row],[Date]]),"",DATE(Table1[[#This Row],[Date_Year]],Table1[[#This Row],[Date_Month]],1))</f>
        <v>44197</v>
      </c>
    </row>
    <row r="166" spans="2:19" ht="15.75" x14ac:dyDescent="0.25">
      <c r="B166" s="133">
        <v>44223</v>
      </c>
      <c r="C166" s="128" t="s">
        <v>171</v>
      </c>
      <c r="D166" s="128" t="s">
        <v>46</v>
      </c>
      <c r="E166" s="128" t="str" cm="1">
        <f t="array" ref="E166">IFERROR(INDEX(SubcategoriesTable[Subcategory name],MATCH(Table1[[#This Row],[Category]],SubcategoriesTable[Category name],0),0),"")</f>
        <v>Variable</v>
      </c>
      <c r="F166" s="134">
        <v>-2.2400000000000002</v>
      </c>
      <c r="G166" s="167" t="str">
        <f>_xlfn.XLOOKUP(Table1[[#This Row],[Account_ID]], Accounts[ID], Accounts[Account nickname], "Unknown")</f>
        <v>Discover it chrome Card</v>
      </c>
      <c r="H166" s="137" t="str">
        <f>_xlfn.XLOOKUP(Table1[[#This Row],[Account_ID]], Accounts[ID], Accounts[Account'#], "Unknown")</f>
        <v>7328</v>
      </c>
      <c r="I166" s="168" t="str">
        <f>_xlfn.XLOOKUP(Table1[[#This Row],[Institution_ID]], Institutions[ID], Institutions[Institution nickname], "Unknown")</f>
        <v>Discover</v>
      </c>
      <c r="J166" s="139" t="s">
        <v>234</v>
      </c>
      <c r="K166" s="129" t="s">
        <v>110</v>
      </c>
      <c r="L166" s="129" t="s">
        <v>108</v>
      </c>
      <c r="M166" s="130" t="str" cm="1">
        <f t="array" ref="M166">IFERROR(INDEX(CategoriesTable[Category type],MATCH(Table1[[#This Row],[Category]],CategoriesTable[Category name],0),0),"")</f>
        <v>Expense</v>
      </c>
      <c r="N166" s="130" t="str" cm="1">
        <f t="array" ref="N166">IFERROR(INDEX(SubcategoriesTable[Subcategory name],MATCH(Table1[[#This Row],[Category]],SubcategoriesTable[Category name],0),0),"")</f>
        <v>Variable</v>
      </c>
      <c r="O166" s="130">
        <v>27</v>
      </c>
      <c r="P166" s="130">
        <f>MONTH(Table1[[#This Row],[Date]])</f>
        <v>1</v>
      </c>
      <c r="Q166" s="130">
        <v>2021</v>
      </c>
      <c r="R166" s="166">
        <f>IF(ISBLANK(Table1[[#This Row],[Date]]),"",Table1[[#This Row],[Date]]-WEEKDAY(Table1[[#This Row],[Date]],2)+1)</f>
        <v>44221</v>
      </c>
      <c r="S166" s="131">
        <f>IF(ISBLANK(Table1[[#This Row],[Date]]),"",DATE(Table1[[#This Row],[Date_Year]],Table1[[#This Row],[Date_Month]],1))</f>
        <v>44197</v>
      </c>
    </row>
    <row r="167" spans="2:19" ht="15.75" x14ac:dyDescent="0.25">
      <c r="B167" s="133">
        <v>44223</v>
      </c>
      <c r="C167" s="128" t="s">
        <v>191</v>
      </c>
      <c r="D167" s="128" t="s">
        <v>48</v>
      </c>
      <c r="E167" s="128" t="str" cm="1">
        <f t="array" ref="E167">IFERROR(INDEX(SubcategoriesTable[Subcategory name],MATCH(Table1[[#This Row],[Category]],SubcategoriesTable[Category name],0),0),"")</f>
        <v>Variable</v>
      </c>
      <c r="F167" s="134">
        <v>-4.75</v>
      </c>
      <c r="G167" s="167" t="str">
        <f>_xlfn.XLOOKUP(Table1[[#This Row],[Account_ID]], Accounts[ID], Accounts[Account nickname], "Unknown")</f>
        <v>Discover it chrome Card</v>
      </c>
      <c r="H167" s="137" t="str">
        <f>_xlfn.XLOOKUP(Table1[[#This Row],[Account_ID]], Accounts[ID], Accounts[Account'#], "Unknown")</f>
        <v>7328</v>
      </c>
      <c r="I167" s="168" t="str">
        <f>_xlfn.XLOOKUP(Table1[[#This Row],[Institution_ID]], Institutions[ID], Institutions[Institution nickname], "Unknown")</f>
        <v>Discover</v>
      </c>
      <c r="J167" s="139" t="s">
        <v>235</v>
      </c>
      <c r="K167" s="129" t="s">
        <v>110</v>
      </c>
      <c r="L167" s="129" t="s">
        <v>108</v>
      </c>
      <c r="M167" s="130" t="str" cm="1">
        <f t="array" ref="M167">IFERROR(INDEX(CategoriesTable[Category type],MATCH(Table1[[#This Row],[Category]],CategoriesTable[Category name],0),0),"")</f>
        <v>Expense</v>
      </c>
      <c r="N167" s="130" t="str" cm="1">
        <f t="array" ref="N167">IFERROR(INDEX(SubcategoriesTable[Subcategory name],MATCH(Table1[[#This Row],[Category]],SubcategoriesTable[Category name],0),0),"")</f>
        <v>Variable</v>
      </c>
      <c r="O167" s="130">
        <v>27</v>
      </c>
      <c r="P167" s="130">
        <f>MONTH(Table1[[#This Row],[Date]])</f>
        <v>1</v>
      </c>
      <c r="Q167" s="130">
        <v>2021</v>
      </c>
      <c r="R167" s="166">
        <f>IF(ISBLANK(Table1[[#This Row],[Date]]),"",Table1[[#This Row],[Date]]-WEEKDAY(Table1[[#This Row],[Date]],2)+1)</f>
        <v>44221</v>
      </c>
      <c r="S167" s="131">
        <f>IF(ISBLANK(Table1[[#This Row],[Date]]),"",DATE(Table1[[#This Row],[Date_Year]],Table1[[#This Row],[Date_Month]],1))</f>
        <v>44197</v>
      </c>
    </row>
    <row r="168" spans="2:19" ht="15.75" x14ac:dyDescent="0.25">
      <c r="B168" s="133">
        <v>44222</v>
      </c>
      <c r="C168" s="128" t="s">
        <v>1182</v>
      </c>
      <c r="D168" s="128" t="s">
        <v>50</v>
      </c>
      <c r="E168" s="128" t="str" cm="1">
        <f t="array" ref="E168">IFERROR(INDEX(SubcategoriesTable[Subcategory name],MATCH(Table1[[#This Row],[Category]],SubcategoriesTable[Category name],0),0),"")</f>
        <v>Variable</v>
      </c>
      <c r="F168" s="134">
        <v>155</v>
      </c>
      <c r="G168" s="167" t="str">
        <f>_xlfn.XLOOKUP(Table1[[#This Row],[Account_ID]], Accounts[ID], Accounts[Account nickname], "Unknown")</f>
        <v>EVERYDAY CHECKING</v>
      </c>
      <c r="H168" s="137" t="str">
        <f>_xlfn.XLOOKUP(Table1[[#This Row],[Account_ID]], Accounts[ID], Accounts[Account'#], "Unknown")</f>
        <v>4636</v>
      </c>
      <c r="I168" s="168" t="str">
        <f>_xlfn.XLOOKUP(Table1[[#This Row],[Institution_ID]], Institutions[ID], Institutions[Institution nickname], "Unknown")</f>
        <v>Wells Fargo</v>
      </c>
      <c r="J168" s="139" t="s">
        <v>1404</v>
      </c>
      <c r="K168" s="129" t="s">
        <v>1229</v>
      </c>
      <c r="L168" s="129" t="s">
        <v>1228</v>
      </c>
      <c r="M168" s="130" t="str" cm="1">
        <f t="array" ref="M168">IFERROR(INDEX(CategoriesTable[Category type],MATCH(Table1[[#This Row],[Category]],CategoriesTable[Category name],0),0),"")</f>
        <v>Transfer</v>
      </c>
      <c r="N168" s="130" t="str" cm="1">
        <f t="array" ref="N168">IFERROR(INDEX(SubcategoriesTable[Subcategory name],MATCH(Table1[[#This Row],[Category]],SubcategoriesTable[Category name],0),0),"")</f>
        <v>Variable</v>
      </c>
      <c r="O168" s="130">
        <v>26</v>
      </c>
      <c r="P168" s="130">
        <f>MONTH(Table1[[#This Row],[Date]])</f>
        <v>1</v>
      </c>
      <c r="Q168" s="130">
        <v>2021</v>
      </c>
      <c r="R168" s="166">
        <f>IF(ISBLANK(Table1[[#This Row],[Date]]),"",Table1[[#This Row],[Date]]-WEEKDAY(Table1[[#This Row],[Date]],2)+1)</f>
        <v>44221</v>
      </c>
      <c r="S168" s="131">
        <f>IF(ISBLANK(Table1[[#This Row],[Date]]),"",DATE(Table1[[#This Row],[Date_Year]],Table1[[#This Row],[Date_Month]],1))</f>
        <v>44197</v>
      </c>
    </row>
    <row r="169" spans="2:19" ht="15.75" x14ac:dyDescent="0.25">
      <c r="B169" s="133">
        <v>44222</v>
      </c>
      <c r="C169" s="128" t="s">
        <v>180</v>
      </c>
      <c r="D169" s="128" t="s">
        <v>45</v>
      </c>
      <c r="E169" s="128" t="str" cm="1">
        <f t="array" ref="E169">IFERROR(INDEX(SubcategoriesTable[Subcategory name],MATCH(Table1[[#This Row],[Category]],SubcategoriesTable[Category name],0),0),"")</f>
        <v>Variable</v>
      </c>
      <c r="F169" s="134">
        <v>-8.23</v>
      </c>
      <c r="G169" s="167" t="str">
        <f>_xlfn.XLOOKUP(Table1[[#This Row],[Account_ID]], Accounts[ID], Accounts[Account nickname], "Unknown")</f>
        <v>Discover it chrome Card</v>
      </c>
      <c r="H169" s="137" t="str">
        <f>_xlfn.XLOOKUP(Table1[[#This Row],[Account_ID]], Accounts[ID], Accounts[Account'#], "Unknown")</f>
        <v>7328</v>
      </c>
      <c r="I169" s="168" t="str">
        <f>_xlfn.XLOOKUP(Table1[[#This Row],[Institution_ID]], Institutions[ID], Institutions[Institution nickname], "Unknown")</f>
        <v>Discover</v>
      </c>
      <c r="J169" s="139" t="s">
        <v>236</v>
      </c>
      <c r="K169" s="129" t="s">
        <v>110</v>
      </c>
      <c r="L169" s="129" t="s">
        <v>108</v>
      </c>
      <c r="M169" s="130" t="str" cm="1">
        <f t="array" ref="M169">IFERROR(INDEX(CategoriesTable[Category type],MATCH(Table1[[#This Row],[Category]],CategoriesTable[Category name],0),0),"")</f>
        <v>Expense</v>
      </c>
      <c r="N169" s="130" t="str" cm="1">
        <f t="array" ref="N169">IFERROR(INDEX(SubcategoriesTable[Subcategory name],MATCH(Table1[[#This Row],[Category]],SubcategoriesTable[Category name],0),0),"")</f>
        <v>Variable</v>
      </c>
      <c r="O169" s="130">
        <v>26</v>
      </c>
      <c r="P169" s="130">
        <f>MONTH(Table1[[#This Row],[Date]])</f>
        <v>1</v>
      </c>
      <c r="Q169" s="130">
        <v>2021</v>
      </c>
      <c r="R169" s="166">
        <f>IF(ISBLANK(Table1[[#This Row],[Date]]),"",Table1[[#This Row],[Date]]-WEEKDAY(Table1[[#This Row],[Date]],2)+1)</f>
        <v>44221</v>
      </c>
      <c r="S169" s="131">
        <f>IF(ISBLANK(Table1[[#This Row],[Date]]),"",DATE(Table1[[#This Row],[Date_Year]],Table1[[#This Row],[Date_Month]],1))</f>
        <v>44197</v>
      </c>
    </row>
    <row r="170" spans="2:19" ht="15.75" x14ac:dyDescent="0.25">
      <c r="B170" s="133">
        <v>44222</v>
      </c>
      <c r="C170" s="128" t="s">
        <v>237</v>
      </c>
      <c r="D170" s="128" t="s">
        <v>48</v>
      </c>
      <c r="E170" s="128" t="str" cm="1">
        <f t="array" ref="E170">IFERROR(INDEX(SubcategoriesTable[Subcategory name],MATCH(Table1[[#This Row],[Category]],SubcategoriesTable[Category name],0),0),"")</f>
        <v>Variable</v>
      </c>
      <c r="F170" s="134">
        <v>-63.87</v>
      </c>
      <c r="G170" s="167" t="str">
        <f>_xlfn.XLOOKUP(Table1[[#This Row],[Account_ID]], Accounts[ID], Accounts[Account nickname], "Unknown")</f>
        <v>Discover it chrome Card</v>
      </c>
      <c r="H170" s="137" t="str">
        <f>_xlfn.XLOOKUP(Table1[[#This Row],[Account_ID]], Accounts[ID], Accounts[Account'#], "Unknown")</f>
        <v>7328</v>
      </c>
      <c r="I170" s="168" t="str">
        <f>_xlfn.XLOOKUP(Table1[[#This Row],[Institution_ID]], Institutions[ID], Institutions[Institution nickname], "Unknown")</f>
        <v>Discover</v>
      </c>
      <c r="J170" s="139" t="s">
        <v>238</v>
      </c>
      <c r="K170" s="129" t="s">
        <v>110</v>
      </c>
      <c r="L170" s="129" t="s">
        <v>108</v>
      </c>
      <c r="M170" s="130" t="str" cm="1">
        <f t="array" ref="M170">IFERROR(INDEX(CategoriesTable[Category type],MATCH(Table1[[#This Row],[Category]],CategoriesTable[Category name],0),0),"")</f>
        <v>Expense</v>
      </c>
      <c r="N170" s="130" t="str" cm="1">
        <f t="array" ref="N170">IFERROR(INDEX(SubcategoriesTable[Subcategory name],MATCH(Table1[[#This Row],[Category]],SubcategoriesTable[Category name],0),0),"")</f>
        <v>Variable</v>
      </c>
      <c r="O170" s="130">
        <v>26</v>
      </c>
      <c r="P170" s="130">
        <f>MONTH(Table1[[#This Row],[Date]])</f>
        <v>1</v>
      </c>
      <c r="Q170" s="130">
        <v>2021</v>
      </c>
      <c r="R170" s="166">
        <f>IF(ISBLANK(Table1[[#This Row],[Date]]),"",Table1[[#This Row],[Date]]-WEEKDAY(Table1[[#This Row],[Date]],2)+1)</f>
        <v>44221</v>
      </c>
      <c r="S170" s="131">
        <f>IF(ISBLANK(Table1[[#This Row],[Date]]),"",DATE(Table1[[#This Row],[Date_Year]],Table1[[#This Row],[Date_Month]],1))</f>
        <v>44197</v>
      </c>
    </row>
    <row r="171" spans="2:19" ht="15.75" x14ac:dyDescent="0.25">
      <c r="B171" s="133">
        <v>44221</v>
      </c>
      <c r="C171" s="128" t="s">
        <v>239</v>
      </c>
      <c r="D171" s="128" t="s">
        <v>52</v>
      </c>
      <c r="E171" s="128" t="str" cm="1">
        <f t="array" ref="E171">IFERROR(INDEX(SubcategoriesTable[Subcategory name],MATCH(Table1[[#This Row],[Category]],SubcategoriesTable[Category name],0),0),"")</f>
        <v>Variable</v>
      </c>
      <c r="F171" s="134">
        <v>-2.76</v>
      </c>
      <c r="G171" s="167" t="str">
        <f>_xlfn.XLOOKUP(Table1[[#This Row],[Account_ID]], Accounts[ID], Accounts[Account nickname], "Unknown")</f>
        <v>Discover it chrome Card</v>
      </c>
      <c r="H171" s="137" t="str">
        <f>_xlfn.XLOOKUP(Table1[[#This Row],[Account_ID]], Accounts[ID], Accounts[Account'#], "Unknown")</f>
        <v>7328</v>
      </c>
      <c r="I171" s="168" t="str">
        <f>_xlfn.XLOOKUP(Table1[[#This Row],[Institution_ID]], Institutions[ID], Institutions[Institution nickname], "Unknown")</f>
        <v>Discover</v>
      </c>
      <c r="J171" s="139" t="s">
        <v>240</v>
      </c>
      <c r="K171" s="129" t="s">
        <v>110</v>
      </c>
      <c r="L171" s="129" t="s">
        <v>108</v>
      </c>
      <c r="M171" s="130" t="str" cm="1">
        <f t="array" ref="M171">IFERROR(INDEX(CategoriesTable[Category type],MATCH(Table1[[#This Row],[Category]],CategoriesTable[Category name],0),0),"")</f>
        <v>Expense</v>
      </c>
      <c r="N171" s="130" t="str" cm="1">
        <f t="array" ref="N171">IFERROR(INDEX(SubcategoriesTable[Subcategory name],MATCH(Table1[[#This Row],[Category]],SubcategoriesTable[Category name],0),0),"")</f>
        <v>Variable</v>
      </c>
      <c r="O171" s="130">
        <v>25</v>
      </c>
      <c r="P171" s="130">
        <f>MONTH(Table1[[#This Row],[Date]])</f>
        <v>1</v>
      </c>
      <c r="Q171" s="130">
        <v>2021</v>
      </c>
      <c r="R171" s="166">
        <f>IF(ISBLANK(Table1[[#This Row],[Date]]),"",Table1[[#This Row],[Date]]-WEEKDAY(Table1[[#This Row],[Date]],2)+1)</f>
        <v>44221</v>
      </c>
      <c r="S171" s="131">
        <f>IF(ISBLANK(Table1[[#This Row],[Date]]),"",DATE(Table1[[#This Row],[Date_Year]],Table1[[#This Row],[Date_Month]],1))</f>
        <v>44197</v>
      </c>
    </row>
    <row r="172" spans="2:19" ht="15.75" x14ac:dyDescent="0.25">
      <c r="B172" s="133">
        <v>44221</v>
      </c>
      <c r="C172" s="128" t="s">
        <v>239</v>
      </c>
      <c r="D172" s="128" t="s">
        <v>52</v>
      </c>
      <c r="E172" s="128" t="str" cm="1">
        <f t="array" ref="E172">IFERROR(INDEX(SubcategoriesTable[Subcategory name],MATCH(Table1[[#This Row],[Category]],SubcategoriesTable[Category name],0),0),"")</f>
        <v>Variable</v>
      </c>
      <c r="F172" s="134">
        <v>-22.97</v>
      </c>
      <c r="G172" s="167" t="str">
        <f>_xlfn.XLOOKUP(Table1[[#This Row],[Account_ID]], Accounts[ID], Accounts[Account nickname], "Unknown")</f>
        <v>Discover it chrome Card</v>
      </c>
      <c r="H172" s="137" t="str">
        <f>_xlfn.XLOOKUP(Table1[[#This Row],[Account_ID]], Accounts[ID], Accounts[Account'#], "Unknown")</f>
        <v>7328</v>
      </c>
      <c r="I172" s="168" t="str">
        <f>_xlfn.XLOOKUP(Table1[[#This Row],[Institution_ID]], Institutions[ID], Institutions[Institution nickname], "Unknown")</f>
        <v>Discover</v>
      </c>
      <c r="J172" s="171" t="s">
        <v>241</v>
      </c>
      <c r="K172" s="129" t="s">
        <v>110</v>
      </c>
      <c r="L172" s="129" t="s">
        <v>108</v>
      </c>
      <c r="M172" s="130" t="str" cm="1">
        <f t="array" ref="M172">IFERROR(INDEX(CategoriesTable[Category type],MATCH(Table1[[#This Row],[Category]],CategoriesTable[Category name],0),0),"")</f>
        <v>Expense</v>
      </c>
      <c r="N172" s="130" t="str" cm="1">
        <f t="array" ref="N172">IFERROR(INDEX(SubcategoriesTable[Subcategory name],MATCH(Table1[[#This Row],[Category]],SubcategoriesTable[Category name],0),0),"")</f>
        <v>Variable</v>
      </c>
      <c r="O172" s="130">
        <v>25</v>
      </c>
      <c r="P172" s="130">
        <f>MONTH(Table1[[#This Row],[Date]])</f>
        <v>1</v>
      </c>
      <c r="Q172" s="130">
        <v>2021</v>
      </c>
      <c r="R172" s="166">
        <f>IF(ISBLANK(Table1[[#This Row],[Date]]),"",Table1[[#This Row],[Date]]-WEEKDAY(Table1[[#This Row],[Date]],2)+1)</f>
        <v>44221</v>
      </c>
      <c r="S172" s="131">
        <f>IF(ISBLANK(Table1[[#This Row],[Date]]),"",DATE(Table1[[#This Row],[Date_Year]],Table1[[#This Row],[Date_Month]],1))</f>
        <v>44197</v>
      </c>
    </row>
    <row r="173" spans="2:19" ht="15.75" x14ac:dyDescent="0.25">
      <c r="B173" s="133">
        <v>44219</v>
      </c>
      <c r="C173" s="128" t="s">
        <v>242</v>
      </c>
      <c r="D173" s="128" t="s">
        <v>46</v>
      </c>
      <c r="E173" s="128" t="str" cm="1">
        <f t="array" ref="E173">IFERROR(INDEX(SubcategoriesTable[Subcategory name],MATCH(Table1[[#This Row],[Category]],SubcategoriesTable[Category name],0),0),"")</f>
        <v>Variable</v>
      </c>
      <c r="F173" s="134">
        <v>-84.43</v>
      </c>
      <c r="G173" s="167" t="str">
        <f>_xlfn.XLOOKUP(Table1[[#This Row],[Account_ID]], Accounts[ID], Accounts[Account nickname], "Unknown")</f>
        <v>Discover it chrome Card</v>
      </c>
      <c r="H173" s="137" t="str">
        <f>_xlfn.XLOOKUP(Table1[[#This Row],[Account_ID]], Accounts[ID], Accounts[Account'#], "Unknown")</f>
        <v>7328</v>
      </c>
      <c r="I173" s="168" t="str">
        <f>_xlfn.XLOOKUP(Table1[[#This Row],[Institution_ID]], Institutions[ID], Institutions[Institution nickname], "Unknown")</f>
        <v>Discover</v>
      </c>
      <c r="J173" s="139" t="s">
        <v>243</v>
      </c>
      <c r="K173" s="129" t="s">
        <v>110</v>
      </c>
      <c r="L173" s="129" t="s">
        <v>108</v>
      </c>
      <c r="M173" s="130" t="str" cm="1">
        <f t="array" ref="M173">IFERROR(INDEX(CategoriesTable[Category type],MATCH(Table1[[#This Row],[Category]],CategoriesTable[Category name],0),0),"")</f>
        <v>Expense</v>
      </c>
      <c r="N173" s="130" t="str" cm="1">
        <f t="array" ref="N173">IFERROR(INDEX(SubcategoriesTable[Subcategory name],MATCH(Table1[[#This Row],[Category]],SubcategoriesTable[Category name],0),0),"")</f>
        <v>Variable</v>
      </c>
      <c r="O173" s="130">
        <v>23</v>
      </c>
      <c r="P173" s="130">
        <f>MONTH(Table1[[#This Row],[Date]])</f>
        <v>1</v>
      </c>
      <c r="Q173" s="130">
        <v>2021</v>
      </c>
      <c r="R173" s="166">
        <f>IF(ISBLANK(Table1[[#This Row],[Date]]),"",Table1[[#This Row],[Date]]-WEEKDAY(Table1[[#This Row],[Date]],2)+1)</f>
        <v>44214</v>
      </c>
      <c r="S173" s="131">
        <f>IF(ISBLANK(Table1[[#This Row],[Date]]),"",DATE(Table1[[#This Row],[Date_Year]],Table1[[#This Row],[Date_Month]],1))</f>
        <v>44197</v>
      </c>
    </row>
    <row r="174" spans="2:19" ht="15.75" x14ac:dyDescent="0.25">
      <c r="B174" s="133">
        <v>44219</v>
      </c>
      <c r="C174" s="128" t="s">
        <v>244</v>
      </c>
      <c r="D174" s="128" t="s">
        <v>46</v>
      </c>
      <c r="E174" s="128" t="str" cm="1">
        <f t="array" ref="E174">IFERROR(INDEX(SubcategoriesTable[Subcategory name],MATCH(Table1[[#This Row],[Category]],SubcategoriesTable[Category name],0),0),"")</f>
        <v>Variable</v>
      </c>
      <c r="F174" s="134">
        <v>-3.35</v>
      </c>
      <c r="G174" s="167" t="str">
        <f>_xlfn.XLOOKUP(Table1[[#This Row],[Account_ID]], Accounts[ID], Accounts[Account nickname], "Unknown")</f>
        <v>Discover it chrome Card</v>
      </c>
      <c r="H174" s="137" t="str">
        <f>_xlfn.XLOOKUP(Table1[[#This Row],[Account_ID]], Accounts[ID], Accounts[Account'#], "Unknown")</f>
        <v>7328</v>
      </c>
      <c r="I174" s="168" t="str">
        <f>_xlfn.XLOOKUP(Table1[[#This Row],[Institution_ID]], Institutions[ID], Institutions[Institution nickname], "Unknown")</f>
        <v>Discover</v>
      </c>
      <c r="J174" s="139" t="s">
        <v>245</v>
      </c>
      <c r="K174" s="129" t="s">
        <v>110</v>
      </c>
      <c r="L174" s="129" t="s">
        <v>108</v>
      </c>
      <c r="M174" s="130" t="str" cm="1">
        <f t="array" ref="M174">IFERROR(INDEX(CategoriesTable[Category type],MATCH(Table1[[#This Row],[Category]],CategoriesTable[Category name],0),0),"")</f>
        <v>Expense</v>
      </c>
      <c r="N174" s="130" t="str" cm="1">
        <f t="array" ref="N174">IFERROR(INDEX(SubcategoriesTable[Subcategory name],MATCH(Table1[[#This Row],[Category]],SubcategoriesTable[Category name],0),0),"")</f>
        <v>Variable</v>
      </c>
      <c r="O174" s="130">
        <v>23</v>
      </c>
      <c r="P174" s="130">
        <f>MONTH(Table1[[#This Row],[Date]])</f>
        <v>1</v>
      </c>
      <c r="Q174" s="130">
        <v>2021</v>
      </c>
      <c r="R174" s="166">
        <f>IF(ISBLANK(Table1[[#This Row],[Date]]),"",Table1[[#This Row],[Date]]-WEEKDAY(Table1[[#This Row],[Date]],2)+1)</f>
        <v>44214</v>
      </c>
      <c r="S174" s="131">
        <f>IF(ISBLANK(Table1[[#This Row],[Date]]),"",DATE(Table1[[#This Row],[Date_Year]],Table1[[#This Row],[Date_Month]],1))</f>
        <v>44197</v>
      </c>
    </row>
    <row r="175" spans="2:19" ht="15.75" x14ac:dyDescent="0.25">
      <c r="B175" s="133">
        <v>44219</v>
      </c>
      <c r="C175" s="128" t="s">
        <v>246</v>
      </c>
      <c r="D175" s="128" t="s">
        <v>45</v>
      </c>
      <c r="E175" s="128" t="str" cm="1">
        <f t="array" ref="E175">IFERROR(INDEX(SubcategoriesTable[Subcategory name],MATCH(Table1[[#This Row],[Category]],SubcategoriesTable[Category name],0),0),"")</f>
        <v>Variable</v>
      </c>
      <c r="F175" s="134">
        <v>-14.68</v>
      </c>
      <c r="G175" s="167" t="str">
        <f>_xlfn.XLOOKUP(Table1[[#This Row],[Account_ID]], Accounts[ID], Accounts[Account nickname], "Unknown")</f>
        <v>Discover it chrome Card</v>
      </c>
      <c r="H175" s="137" t="str">
        <f>_xlfn.XLOOKUP(Table1[[#This Row],[Account_ID]], Accounts[ID], Accounts[Account'#], "Unknown")</f>
        <v>7328</v>
      </c>
      <c r="I175" s="168" t="str">
        <f>_xlfn.XLOOKUP(Table1[[#This Row],[Institution_ID]], Institutions[ID], Institutions[Institution nickname], "Unknown")</f>
        <v>Discover</v>
      </c>
      <c r="J175" s="139" t="s">
        <v>247</v>
      </c>
      <c r="K175" s="129" t="s">
        <v>110</v>
      </c>
      <c r="L175" s="129" t="s">
        <v>108</v>
      </c>
      <c r="M175" s="130" t="str" cm="1">
        <f t="array" ref="M175">IFERROR(INDEX(CategoriesTable[Category type],MATCH(Table1[[#This Row],[Category]],CategoriesTable[Category name],0),0),"")</f>
        <v>Expense</v>
      </c>
      <c r="N175" s="130" t="str" cm="1">
        <f t="array" ref="N175">IFERROR(INDEX(SubcategoriesTable[Subcategory name],MATCH(Table1[[#This Row],[Category]],SubcategoriesTable[Category name],0),0),"")</f>
        <v>Variable</v>
      </c>
      <c r="O175" s="130">
        <v>23</v>
      </c>
      <c r="P175" s="130">
        <f>MONTH(Table1[[#This Row],[Date]])</f>
        <v>1</v>
      </c>
      <c r="Q175" s="130">
        <v>2021</v>
      </c>
      <c r="R175" s="166">
        <f>IF(ISBLANK(Table1[[#This Row],[Date]]),"",Table1[[#This Row],[Date]]-WEEKDAY(Table1[[#This Row],[Date]],2)+1)</f>
        <v>44214</v>
      </c>
      <c r="S175" s="131">
        <f>IF(ISBLANK(Table1[[#This Row],[Date]]),"",DATE(Table1[[#This Row],[Date_Year]],Table1[[#This Row],[Date_Month]],1))</f>
        <v>44197</v>
      </c>
    </row>
    <row r="176" spans="2:19" ht="15.75" x14ac:dyDescent="0.25">
      <c r="B176" s="133">
        <v>44218</v>
      </c>
      <c r="C176" s="128" t="s">
        <v>195</v>
      </c>
      <c r="D176" s="128" t="s">
        <v>48</v>
      </c>
      <c r="E176" s="128" t="str" cm="1">
        <f t="array" ref="E176">IFERROR(INDEX(SubcategoriesTable[Subcategory name],MATCH(Table1[[#This Row],[Category]],SubcategoriesTable[Category name],0),0),"")</f>
        <v>Variable</v>
      </c>
      <c r="F176" s="134">
        <v>-15.61</v>
      </c>
      <c r="G176" s="167" t="str">
        <f>_xlfn.XLOOKUP(Table1[[#This Row],[Account_ID]], Accounts[ID], Accounts[Account nickname], "Unknown")</f>
        <v>Discover it chrome Card</v>
      </c>
      <c r="H176" s="137" t="str">
        <f>_xlfn.XLOOKUP(Table1[[#This Row],[Account_ID]], Accounts[ID], Accounts[Account'#], "Unknown")</f>
        <v>7328</v>
      </c>
      <c r="I176" s="168" t="str">
        <f>_xlfn.XLOOKUP(Table1[[#This Row],[Institution_ID]], Institutions[ID], Institutions[Institution nickname], "Unknown")</f>
        <v>Discover</v>
      </c>
      <c r="J176" s="139" t="s">
        <v>248</v>
      </c>
      <c r="K176" s="129" t="s">
        <v>110</v>
      </c>
      <c r="L176" s="129" t="s">
        <v>108</v>
      </c>
      <c r="M176" s="130" t="str" cm="1">
        <f t="array" ref="M176">IFERROR(INDEX(CategoriesTable[Category type],MATCH(Table1[[#This Row],[Category]],CategoriesTable[Category name],0),0),"")</f>
        <v>Expense</v>
      </c>
      <c r="N176" s="130" t="str" cm="1">
        <f t="array" ref="N176">IFERROR(INDEX(SubcategoriesTable[Subcategory name],MATCH(Table1[[#This Row],[Category]],SubcategoriesTable[Category name],0),0),"")</f>
        <v>Variable</v>
      </c>
      <c r="O176" s="130">
        <v>22</v>
      </c>
      <c r="P176" s="130">
        <f>MONTH(Table1[[#This Row],[Date]])</f>
        <v>1</v>
      </c>
      <c r="Q176" s="130">
        <v>2021</v>
      </c>
      <c r="R176" s="166">
        <f>IF(ISBLANK(Table1[[#This Row],[Date]]),"",Table1[[#This Row],[Date]]-WEEKDAY(Table1[[#This Row],[Date]],2)+1)</f>
        <v>44214</v>
      </c>
      <c r="S176" s="131">
        <f>IF(ISBLANK(Table1[[#This Row],[Date]]),"",DATE(Table1[[#This Row],[Date_Year]],Table1[[#This Row],[Date_Month]],1))</f>
        <v>44197</v>
      </c>
    </row>
    <row r="177" spans="2:19" ht="15.75" x14ac:dyDescent="0.25">
      <c r="B177" s="133">
        <v>44217</v>
      </c>
      <c r="C177" s="128" t="s">
        <v>1195</v>
      </c>
      <c r="D177" s="128" t="s">
        <v>53</v>
      </c>
      <c r="E177" s="128" t="str" cm="1">
        <f t="array" ref="E177">IFERROR(INDEX(SubcategoriesTable[Subcategory name],MATCH(Table1[[#This Row],[Category]],SubcategoriesTable[Category name],0),0),"")</f>
        <v>Variable</v>
      </c>
      <c r="F177" s="134">
        <v>-75</v>
      </c>
      <c r="G177" s="167" t="str">
        <f>_xlfn.XLOOKUP(Table1[[#This Row],[Account_ID]], Accounts[ID], Accounts[Account nickname], "Unknown")</f>
        <v>EVERYDAY CHECKING</v>
      </c>
      <c r="H177" s="137" t="str">
        <f>_xlfn.XLOOKUP(Table1[[#This Row],[Account_ID]], Accounts[ID], Accounts[Account'#], "Unknown")</f>
        <v>4636</v>
      </c>
      <c r="I177" s="168" t="str">
        <f>_xlfn.XLOOKUP(Table1[[#This Row],[Institution_ID]], Institutions[ID], Institutions[Institution nickname], "Unknown")</f>
        <v>Wells Fargo</v>
      </c>
      <c r="J177" s="139" t="s">
        <v>1405</v>
      </c>
      <c r="K177" s="129" t="s">
        <v>1229</v>
      </c>
      <c r="L177" s="129" t="s">
        <v>1228</v>
      </c>
      <c r="M177" s="130" t="str" cm="1">
        <f t="array" ref="M177">IFERROR(INDEX(CategoriesTable[Category type],MATCH(Table1[[#This Row],[Category]],CategoriesTable[Category name],0),0),"")</f>
        <v>Expense</v>
      </c>
      <c r="N177" s="130" t="str" cm="1">
        <f t="array" ref="N177">IFERROR(INDEX(SubcategoriesTable[Subcategory name],MATCH(Table1[[#This Row],[Category]],SubcategoriesTable[Category name],0),0),"")</f>
        <v>Variable</v>
      </c>
      <c r="O177" s="130">
        <v>21</v>
      </c>
      <c r="P177" s="130">
        <f>MONTH(Table1[[#This Row],[Date]])</f>
        <v>1</v>
      </c>
      <c r="Q177" s="130">
        <v>2021</v>
      </c>
      <c r="R177" s="166">
        <f>IF(ISBLANK(Table1[[#This Row],[Date]]),"",Table1[[#This Row],[Date]]-WEEKDAY(Table1[[#This Row],[Date]],2)+1)</f>
        <v>44214</v>
      </c>
      <c r="S177" s="131">
        <f>IF(ISBLANK(Table1[[#This Row],[Date]]),"",DATE(Table1[[#This Row],[Date_Year]],Table1[[#This Row],[Date_Month]],1))</f>
        <v>44197</v>
      </c>
    </row>
    <row r="178" spans="2:19" ht="15.75" x14ac:dyDescent="0.25">
      <c r="B178" s="133">
        <v>44217</v>
      </c>
      <c r="C178" s="128" t="s">
        <v>182</v>
      </c>
      <c r="D178" s="128" t="s">
        <v>2392</v>
      </c>
      <c r="E178" s="128" t="str" cm="1">
        <f t="array" ref="E178">IFERROR(INDEX(SubcategoriesTable[Subcategory name],MATCH(Table1[[#This Row],[Category]],SubcategoriesTable[Category name],0),0),"")</f>
        <v>Variable</v>
      </c>
      <c r="F178" s="134">
        <v>-9.9499999999999993</v>
      </c>
      <c r="G178" s="167" t="str">
        <f>_xlfn.XLOOKUP(Table1[[#This Row],[Account_ID]], Accounts[ID], Accounts[Account nickname], "Unknown")</f>
        <v>Discover it chrome Card</v>
      </c>
      <c r="H178" s="137" t="str">
        <f>_xlfn.XLOOKUP(Table1[[#This Row],[Account_ID]], Accounts[ID], Accounts[Account'#], "Unknown")</f>
        <v>7328</v>
      </c>
      <c r="I178" s="168" t="str">
        <f>_xlfn.XLOOKUP(Table1[[#This Row],[Institution_ID]], Institutions[ID], Institutions[Institution nickname], "Unknown")</f>
        <v>Discover</v>
      </c>
      <c r="J178" s="139" t="s">
        <v>249</v>
      </c>
      <c r="K178" s="129" t="s">
        <v>110</v>
      </c>
      <c r="L178" s="129" t="s">
        <v>108</v>
      </c>
      <c r="M178" s="130" t="str" cm="1">
        <f t="array" ref="M178">IFERROR(INDEX(CategoriesTable[Category type],MATCH(Table1[[#This Row],[Category]],CategoriesTable[Category name],0),0),"")</f>
        <v>Expense</v>
      </c>
      <c r="N178" s="130" t="str" cm="1">
        <f t="array" ref="N178">IFERROR(INDEX(SubcategoriesTable[Subcategory name],MATCH(Table1[[#This Row],[Category]],SubcategoriesTable[Category name],0),0),"")</f>
        <v>Variable</v>
      </c>
      <c r="O178" s="130">
        <v>21</v>
      </c>
      <c r="P178" s="130">
        <f>MONTH(Table1[[#This Row],[Date]])</f>
        <v>1</v>
      </c>
      <c r="Q178" s="130">
        <v>2021</v>
      </c>
      <c r="R178" s="166">
        <f>IF(ISBLANK(Table1[[#This Row],[Date]]),"",Table1[[#This Row],[Date]]-WEEKDAY(Table1[[#This Row],[Date]],2)+1)</f>
        <v>44214</v>
      </c>
      <c r="S178" s="131">
        <f>IF(ISBLANK(Table1[[#This Row],[Date]]),"",DATE(Table1[[#This Row],[Date_Year]],Table1[[#This Row],[Date_Month]],1))</f>
        <v>44197</v>
      </c>
    </row>
    <row r="179" spans="2:19" ht="15.75" x14ac:dyDescent="0.25">
      <c r="B179" s="133">
        <v>44217</v>
      </c>
      <c r="C179" s="128" t="s">
        <v>184</v>
      </c>
      <c r="D179" s="128" t="s">
        <v>54</v>
      </c>
      <c r="E179" s="128" t="str" cm="1">
        <f t="array" ref="E179">IFERROR(INDEX(SubcategoriesTable[Subcategory name],MATCH(Table1[[#This Row],[Category]],SubcategoriesTable[Category name],0),0),"")</f>
        <v>Fixed</v>
      </c>
      <c r="F179" s="134">
        <v>-7.99</v>
      </c>
      <c r="G179" s="167" t="str">
        <f>_xlfn.XLOOKUP(Table1[[#This Row],[Account_ID]], Accounts[ID], Accounts[Account nickname], "Unknown")</f>
        <v>Discover it chrome Card</v>
      </c>
      <c r="H179" s="137" t="str">
        <f>_xlfn.XLOOKUP(Table1[[#This Row],[Account_ID]], Accounts[ID], Accounts[Account'#], "Unknown")</f>
        <v>7328</v>
      </c>
      <c r="I179" s="168" t="str">
        <f>_xlfn.XLOOKUP(Table1[[#This Row],[Institution_ID]], Institutions[ID], Institutions[Institution nickname], "Unknown")</f>
        <v>Discover</v>
      </c>
      <c r="J179" s="139" t="s">
        <v>250</v>
      </c>
      <c r="K179" s="129" t="s">
        <v>110</v>
      </c>
      <c r="L179" s="129" t="s">
        <v>108</v>
      </c>
      <c r="M179" s="130" t="str" cm="1">
        <f t="array" ref="M179">IFERROR(INDEX(CategoriesTable[Category type],MATCH(Table1[[#This Row],[Category]],CategoriesTable[Category name],0),0),"")</f>
        <v>Expense</v>
      </c>
      <c r="N179" s="130" t="str" cm="1">
        <f t="array" ref="N179">IFERROR(INDEX(SubcategoriesTable[Subcategory name],MATCH(Table1[[#This Row],[Category]],SubcategoriesTable[Category name],0),0),"")</f>
        <v>Fixed</v>
      </c>
      <c r="O179" s="130">
        <v>21</v>
      </c>
      <c r="P179" s="130">
        <f>MONTH(Table1[[#This Row],[Date]])</f>
        <v>1</v>
      </c>
      <c r="Q179" s="130">
        <v>2021</v>
      </c>
      <c r="R179" s="166">
        <f>IF(ISBLANK(Table1[[#This Row],[Date]]),"",Table1[[#This Row],[Date]]-WEEKDAY(Table1[[#This Row],[Date]],2)+1)</f>
        <v>44214</v>
      </c>
      <c r="S179" s="131">
        <f>IF(ISBLANK(Table1[[#This Row],[Date]]),"",DATE(Table1[[#This Row],[Date_Year]],Table1[[#This Row],[Date_Month]],1))</f>
        <v>44197</v>
      </c>
    </row>
    <row r="180" spans="2:19" ht="15.75" x14ac:dyDescent="0.25">
      <c r="B180" s="133">
        <v>44216</v>
      </c>
      <c r="C180" s="128" t="s">
        <v>1196</v>
      </c>
      <c r="D180" s="128" t="s">
        <v>56</v>
      </c>
      <c r="E180" s="128" t="str" cm="1">
        <f t="array" ref="E180">IFERROR(INDEX(SubcategoriesTable[Subcategory name],MATCH(Table1[[#This Row],[Category]],SubcategoriesTable[Category name],0),0),"")</f>
        <v>Variable</v>
      </c>
      <c r="F180" s="134">
        <v>-155</v>
      </c>
      <c r="G180" s="167" t="str">
        <f>_xlfn.XLOOKUP(Table1[[#This Row],[Account_ID]], Accounts[ID], Accounts[Account nickname], "Unknown")</f>
        <v>EVERYDAY CHECKING</v>
      </c>
      <c r="H180" s="137" t="str">
        <f>_xlfn.XLOOKUP(Table1[[#This Row],[Account_ID]], Accounts[ID], Accounts[Account'#], "Unknown")</f>
        <v>4636</v>
      </c>
      <c r="I180" s="168" t="str">
        <f>_xlfn.XLOOKUP(Table1[[#This Row],[Institution_ID]], Institutions[ID], Institutions[Institution nickname], "Unknown")</f>
        <v>Wells Fargo</v>
      </c>
      <c r="J180" s="139" t="s">
        <v>1406</v>
      </c>
      <c r="K180" s="129" t="s">
        <v>1229</v>
      </c>
      <c r="L180" s="129" t="s">
        <v>1228</v>
      </c>
      <c r="M180" s="130" t="str" cm="1">
        <f t="array" ref="M180">IFERROR(INDEX(CategoriesTable[Category type],MATCH(Table1[[#This Row],[Category]],CategoriesTable[Category name],0),0),"")</f>
        <v>Expense</v>
      </c>
      <c r="N180" s="130" t="str" cm="1">
        <f t="array" ref="N180">IFERROR(INDEX(SubcategoriesTable[Subcategory name],MATCH(Table1[[#This Row],[Category]],SubcategoriesTable[Category name],0),0),"")</f>
        <v>Variable</v>
      </c>
      <c r="O180" s="130">
        <v>20</v>
      </c>
      <c r="P180" s="130">
        <f>MONTH(Table1[[#This Row],[Date]])</f>
        <v>1</v>
      </c>
      <c r="Q180" s="130">
        <v>2021</v>
      </c>
      <c r="R180" s="166">
        <f>IF(ISBLANK(Table1[[#This Row],[Date]]),"",Table1[[#This Row],[Date]]-WEEKDAY(Table1[[#This Row],[Date]],2)+1)</f>
        <v>44214</v>
      </c>
      <c r="S180" s="131">
        <f>IF(ISBLANK(Table1[[#This Row],[Date]]),"",DATE(Table1[[#This Row],[Date_Year]],Table1[[#This Row],[Date_Month]],1))</f>
        <v>44197</v>
      </c>
    </row>
    <row r="181" spans="2:19" ht="15.75" x14ac:dyDescent="0.25">
      <c r="B181" s="133">
        <v>44216</v>
      </c>
      <c r="C181" s="128" t="s">
        <v>195</v>
      </c>
      <c r="D181" s="128" t="s">
        <v>48</v>
      </c>
      <c r="E181" s="128" t="str" cm="1">
        <f t="array" ref="E181">IFERROR(INDEX(SubcategoriesTable[Subcategory name],MATCH(Table1[[#This Row],[Category]],SubcategoriesTable[Category name],0),0),"")</f>
        <v>Variable</v>
      </c>
      <c r="F181" s="134">
        <v>-15.15</v>
      </c>
      <c r="G181" s="167" t="str">
        <f>_xlfn.XLOOKUP(Table1[[#This Row],[Account_ID]], Accounts[ID], Accounts[Account nickname], "Unknown")</f>
        <v>Discover it chrome Card</v>
      </c>
      <c r="H181" s="137" t="str">
        <f>_xlfn.XLOOKUP(Table1[[#This Row],[Account_ID]], Accounts[ID], Accounts[Account'#], "Unknown")</f>
        <v>7328</v>
      </c>
      <c r="I181" s="168" t="str">
        <f>_xlfn.XLOOKUP(Table1[[#This Row],[Institution_ID]], Institutions[ID], Institutions[Institution nickname], "Unknown")</f>
        <v>Discover</v>
      </c>
      <c r="J181" s="139" t="s">
        <v>251</v>
      </c>
      <c r="K181" s="129" t="s">
        <v>110</v>
      </c>
      <c r="L181" s="129" t="s">
        <v>108</v>
      </c>
      <c r="M181" s="130" t="str" cm="1">
        <f t="array" ref="M181">IFERROR(INDEX(CategoriesTable[Category type],MATCH(Table1[[#This Row],[Category]],CategoriesTable[Category name],0),0),"")</f>
        <v>Expense</v>
      </c>
      <c r="N181" s="130" t="str" cm="1">
        <f t="array" ref="N181">IFERROR(INDEX(SubcategoriesTable[Subcategory name],MATCH(Table1[[#This Row],[Category]],SubcategoriesTable[Category name],0),0),"")</f>
        <v>Variable</v>
      </c>
      <c r="O181" s="130">
        <v>20</v>
      </c>
      <c r="P181" s="130">
        <f>MONTH(Table1[[#This Row],[Date]])</f>
        <v>1</v>
      </c>
      <c r="Q181" s="130">
        <v>2021</v>
      </c>
      <c r="R181" s="166">
        <f>IF(ISBLANK(Table1[[#This Row],[Date]]),"",Table1[[#This Row],[Date]]-WEEKDAY(Table1[[#This Row],[Date]],2)+1)</f>
        <v>44214</v>
      </c>
      <c r="S181" s="131">
        <f>IF(ISBLANK(Table1[[#This Row],[Date]]),"",DATE(Table1[[#This Row],[Date_Year]],Table1[[#This Row],[Date_Month]],1))</f>
        <v>44197</v>
      </c>
    </row>
    <row r="182" spans="2:19" ht="15.75" x14ac:dyDescent="0.25">
      <c r="B182" s="133">
        <v>44215</v>
      </c>
      <c r="C182" s="128" t="s">
        <v>508</v>
      </c>
      <c r="D182" s="128" t="s">
        <v>50</v>
      </c>
      <c r="E182" s="128" t="str" cm="1">
        <f t="array" ref="E182">IFERROR(INDEX(SubcategoriesTable[Subcategory name],MATCH(Table1[[#This Row],[Category]],SubcategoriesTable[Category name],0),0),"")</f>
        <v>Variable</v>
      </c>
      <c r="F182" s="134">
        <v>150</v>
      </c>
      <c r="G182" s="167" t="str">
        <f>_xlfn.XLOOKUP(Table1[[#This Row],[Account_ID]], Accounts[ID], Accounts[Account nickname], "Unknown")</f>
        <v>EVERYDAY CHECKING</v>
      </c>
      <c r="H182" s="137" t="str">
        <f>_xlfn.XLOOKUP(Table1[[#This Row],[Account_ID]], Accounts[ID], Accounts[Account'#], "Unknown")</f>
        <v>4636</v>
      </c>
      <c r="I182" s="168" t="str">
        <f>_xlfn.XLOOKUP(Table1[[#This Row],[Institution_ID]], Institutions[ID], Institutions[Institution nickname], "Unknown")</f>
        <v>Wells Fargo</v>
      </c>
      <c r="J182" s="139" t="s">
        <v>1407</v>
      </c>
      <c r="K182" s="129" t="s">
        <v>1229</v>
      </c>
      <c r="L182" s="129" t="s">
        <v>1228</v>
      </c>
      <c r="M182" s="130" t="str" cm="1">
        <f t="array" ref="M182">IFERROR(INDEX(CategoriesTable[Category type],MATCH(Table1[[#This Row],[Category]],CategoriesTable[Category name],0),0),"")</f>
        <v>Transfer</v>
      </c>
      <c r="N182" s="130" t="str" cm="1">
        <f t="array" ref="N182">IFERROR(INDEX(SubcategoriesTable[Subcategory name],MATCH(Table1[[#This Row],[Category]],SubcategoriesTable[Category name],0),0),"")</f>
        <v>Variable</v>
      </c>
      <c r="O182" s="130">
        <v>19</v>
      </c>
      <c r="P182" s="130">
        <f>MONTH(Table1[[#This Row],[Date]])</f>
        <v>1</v>
      </c>
      <c r="Q182" s="130">
        <v>2021</v>
      </c>
      <c r="R182" s="166">
        <f>IF(ISBLANK(Table1[[#This Row],[Date]]),"",Table1[[#This Row],[Date]]-WEEKDAY(Table1[[#This Row],[Date]],2)+1)</f>
        <v>44214</v>
      </c>
      <c r="S182" s="131">
        <f>IF(ISBLANK(Table1[[#This Row],[Date]]),"",DATE(Table1[[#This Row],[Date_Year]],Table1[[#This Row],[Date_Month]],1))</f>
        <v>44197</v>
      </c>
    </row>
    <row r="183" spans="2:19" ht="15.75" x14ac:dyDescent="0.25">
      <c r="B183" s="133">
        <v>44215</v>
      </c>
      <c r="C183" s="128" t="s">
        <v>508</v>
      </c>
      <c r="D183" s="128" t="s">
        <v>54</v>
      </c>
      <c r="E183" s="128" t="str" cm="1">
        <f t="array" ref="E183">IFERROR(INDEX(SubcategoriesTable[Subcategory name],MATCH(Table1[[#This Row],[Category]],SubcategoriesTable[Category name],0),0),"")</f>
        <v>Fixed</v>
      </c>
      <c r="F183" s="134">
        <v>-78.86</v>
      </c>
      <c r="G183" s="167" t="str">
        <f>_xlfn.XLOOKUP(Table1[[#This Row],[Account_ID]], Accounts[ID], Accounts[Account nickname], "Unknown")</f>
        <v>EVERYDAY CHECKING</v>
      </c>
      <c r="H183" s="137" t="str">
        <f>_xlfn.XLOOKUP(Table1[[#This Row],[Account_ID]], Accounts[ID], Accounts[Account'#], "Unknown")</f>
        <v>4636</v>
      </c>
      <c r="I183" s="168" t="str">
        <f>_xlfn.XLOOKUP(Table1[[#This Row],[Institution_ID]], Institutions[ID], Institutions[Institution nickname], "Unknown")</f>
        <v>Wells Fargo</v>
      </c>
      <c r="J183" s="139" t="s">
        <v>1408</v>
      </c>
      <c r="K183" s="129" t="s">
        <v>1229</v>
      </c>
      <c r="L183" s="129" t="s">
        <v>1228</v>
      </c>
      <c r="M183" s="130" t="str" cm="1">
        <f t="array" ref="M183">IFERROR(INDEX(CategoriesTable[Category type],MATCH(Table1[[#This Row],[Category]],CategoriesTable[Category name],0),0),"")</f>
        <v>Expense</v>
      </c>
      <c r="N183" s="130" t="str" cm="1">
        <f t="array" ref="N183">IFERROR(INDEX(SubcategoriesTable[Subcategory name],MATCH(Table1[[#This Row],[Category]],SubcategoriesTable[Category name],0),0),"")</f>
        <v>Fixed</v>
      </c>
      <c r="O183" s="130">
        <v>19</v>
      </c>
      <c r="P183" s="130">
        <f>MONTH(Table1[[#This Row],[Date]])</f>
        <v>1</v>
      </c>
      <c r="Q183" s="130">
        <v>2021</v>
      </c>
      <c r="R183" s="166">
        <f>IF(ISBLANK(Table1[[#This Row],[Date]]),"",Table1[[#This Row],[Date]]-WEEKDAY(Table1[[#This Row],[Date]],2)+1)</f>
        <v>44214</v>
      </c>
      <c r="S183" s="131">
        <f>IF(ISBLANK(Table1[[#This Row],[Date]]),"",DATE(Table1[[#This Row],[Date_Year]],Table1[[#This Row],[Date_Month]],1))</f>
        <v>44197</v>
      </c>
    </row>
    <row r="184" spans="2:19" ht="15.75" x14ac:dyDescent="0.25">
      <c r="B184" s="133">
        <v>44215</v>
      </c>
      <c r="C184" s="128" t="s">
        <v>508</v>
      </c>
      <c r="D184" s="128" t="s">
        <v>50</v>
      </c>
      <c r="E184" s="128" t="str" cm="1">
        <f t="array" ref="E184">IFERROR(INDEX(SubcategoriesTable[Subcategory name],MATCH(Table1[[#This Row],[Category]],SubcategoriesTable[Category name],0),0),"")</f>
        <v>Variable</v>
      </c>
      <c r="F184" s="134">
        <v>-569.12</v>
      </c>
      <c r="G184" s="167" t="str">
        <f>_xlfn.XLOOKUP(Table1[[#This Row],[Account_ID]], Accounts[ID], Accounts[Account nickname], "Unknown")</f>
        <v>EVERYDAY CHECKING</v>
      </c>
      <c r="H184" s="137" t="str">
        <f>_xlfn.XLOOKUP(Table1[[#This Row],[Account_ID]], Accounts[ID], Accounts[Account'#], "Unknown")</f>
        <v>4636</v>
      </c>
      <c r="I184" s="168" t="str">
        <f>_xlfn.XLOOKUP(Table1[[#This Row],[Institution_ID]], Institutions[ID], Institutions[Institution nickname], "Unknown")</f>
        <v>Wells Fargo</v>
      </c>
      <c r="J184" s="139" t="s">
        <v>1409</v>
      </c>
      <c r="K184" s="129" t="s">
        <v>1229</v>
      </c>
      <c r="L184" s="129" t="s">
        <v>1228</v>
      </c>
      <c r="M184" s="130" t="str" cm="1">
        <f t="array" ref="M184">IFERROR(INDEX(CategoriesTable[Category type],MATCH(Table1[[#This Row],[Category]],CategoriesTable[Category name],0),0),"")</f>
        <v>Transfer</v>
      </c>
      <c r="N184" s="130" t="str" cm="1">
        <f t="array" ref="N184">IFERROR(INDEX(SubcategoriesTable[Subcategory name],MATCH(Table1[[#This Row],[Category]],SubcategoriesTable[Category name],0),0),"")</f>
        <v>Variable</v>
      </c>
      <c r="O184" s="130">
        <v>19</v>
      </c>
      <c r="P184" s="130">
        <f>MONTH(Table1[[#This Row],[Date]])</f>
        <v>1</v>
      </c>
      <c r="Q184" s="130">
        <v>2021</v>
      </c>
      <c r="R184" s="166">
        <f>IF(ISBLANK(Table1[[#This Row],[Date]]),"",Table1[[#This Row],[Date]]-WEEKDAY(Table1[[#This Row],[Date]],2)+1)</f>
        <v>44214</v>
      </c>
      <c r="S184" s="131">
        <f>IF(ISBLANK(Table1[[#This Row],[Date]]),"",DATE(Table1[[#This Row],[Date_Year]],Table1[[#This Row],[Date_Month]],1))</f>
        <v>44197</v>
      </c>
    </row>
    <row r="185" spans="2:19" ht="15.75" x14ac:dyDescent="0.25">
      <c r="B185" s="133">
        <v>44215</v>
      </c>
      <c r="C185" s="128" t="s">
        <v>171</v>
      </c>
      <c r="D185" s="128" t="s">
        <v>46</v>
      </c>
      <c r="E185" s="128" t="str" cm="1">
        <f t="array" ref="E185">IFERROR(INDEX(SubcategoriesTable[Subcategory name],MATCH(Table1[[#This Row],[Category]],SubcategoriesTable[Category name],0),0),"")</f>
        <v>Variable</v>
      </c>
      <c r="F185" s="134">
        <v>-2.86</v>
      </c>
      <c r="G185" s="167" t="str">
        <f>_xlfn.XLOOKUP(Table1[[#This Row],[Account_ID]], Accounts[ID], Accounts[Account nickname], "Unknown")</f>
        <v>Discover it chrome Card</v>
      </c>
      <c r="H185" s="137" t="str">
        <f>_xlfn.XLOOKUP(Table1[[#This Row],[Account_ID]], Accounts[ID], Accounts[Account'#], "Unknown")</f>
        <v>7328</v>
      </c>
      <c r="I185" s="168" t="str">
        <f>_xlfn.XLOOKUP(Table1[[#This Row],[Institution_ID]], Institutions[ID], Institutions[Institution nickname], "Unknown")</f>
        <v>Discover</v>
      </c>
      <c r="J185" s="139" t="s">
        <v>252</v>
      </c>
      <c r="K185" s="129" t="s">
        <v>110</v>
      </c>
      <c r="L185" s="129" t="s">
        <v>108</v>
      </c>
      <c r="M185" s="130" t="str" cm="1">
        <f t="array" ref="M185">IFERROR(INDEX(CategoriesTable[Category type],MATCH(Table1[[#This Row],[Category]],CategoriesTable[Category name],0),0),"")</f>
        <v>Expense</v>
      </c>
      <c r="N185" s="130" t="str" cm="1">
        <f t="array" ref="N185">IFERROR(INDEX(SubcategoriesTable[Subcategory name],MATCH(Table1[[#This Row],[Category]],SubcategoriesTable[Category name],0),0),"")</f>
        <v>Variable</v>
      </c>
      <c r="O185" s="130">
        <v>19</v>
      </c>
      <c r="P185" s="130">
        <f>MONTH(Table1[[#This Row],[Date]])</f>
        <v>1</v>
      </c>
      <c r="Q185" s="130">
        <v>2021</v>
      </c>
      <c r="R185" s="166">
        <f>IF(ISBLANK(Table1[[#This Row],[Date]]),"",Table1[[#This Row],[Date]]-WEEKDAY(Table1[[#This Row],[Date]],2)+1)</f>
        <v>44214</v>
      </c>
      <c r="S185" s="131">
        <f>IF(ISBLANK(Table1[[#This Row],[Date]]),"",DATE(Table1[[#This Row],[Date_Year]],Table1[[#This Row],[Date_Month]],1))</f>
        <v>44197</v>
      </c>
    </row>
    <row r="186" spans="2:19" ht="15.75" x14ac:dyDescent="0.25">
      <c r="B186" s="133">
        <v>44215</v>
      </c>
      <c r="C186" s="128" t="s">
        <v>180</v>
      </c>
      <c r="D186" s="128" t="s">
        <v>45</v>
      </c>
      <c r="E186" s="128" t="str" cm="1">
        <f t="array" ref="E186">IFERROR(INDEX(SubcategoriesTable[Subcategory name],MATCH(Table1[[#This Row],[Category]],SubcategoriesTable[Category name],0),0),"")</f>
        <v>Variable</v>
      </c>
      <c r="F186" s="134">
        <v>-8.23</v>
      </c>
      <c r="G186" s="167" t="str">
        <f>_xlfn.XLOOKUP(Table1[[#This Row],[Account_ID]], Accounts[ID], Accounts[Account nickname], "Unknown")</f>
        <v>Discover it chrome Card</v>
      </c>
      <c r="H186" s="137" t="str">
        <f>_xlfn.XLOOKUP(Table1[[#This Row],[Account_ID]], Accounts[ID], Accounts[Account'#], "Unknown")</f>
        <v>7328</v>
      </c>
      <c r="I186" s="168" t="str">
        <f>_xlfn.XLOOKUP(Table1[[#This Row],[Institution_ID]], Institutions[ID], Institutions[Institution nickname], "Unknown")</f>
        <v>Discover</v>
      </c>
      <c r="J186" s="139" t="s">
        <v>253</v>
      </c>
      <c r="K186" s="129" t="s">
        <v>110</v>
      </c>
      <c r="L186" s="129" t="s">
        <v>108</v>
      </c>
      <c r="M186" s="130" t="str" cm="1">
        <f t="array" ref="M186">IFERROR(INDEX(CategoriesTable[Category type],MATCH(Table1[[#This Row],[Category]],CategoriesTable[Category name],0),0),"")</f>
        <v>Expense</v>
      </c>
      <c r="N186" s="130" t="str" cm="1">
        <f t="array" ref="N186">IFERROR(INDEX(SubcategoriesTable[Subcategory name],MATCH(Table1[[#This Row],[Category]],SubcategoriesTable[Category name],0),0),"")</f>
        <v>Variable</v>
      </c>
      <c r="O186" s="130">
        <v>19</v>
      </c>
      <c r="P186" s="130">
        <f>MONTH(Table1[[#This Row],[Date]])</f>
        <v>1</v>
      </c>
      <c r="Q186" s="130">
        <v>2021</v>
      </c>
      <c r="R186" s="166">
        <f>IF(ISBLANK(Table1[[#This Row],[Date]]),"",Table1[[#This Row],[Date]]-WEEKDAY(Table1[[#This Row],[Date]],2)+1)</f>
        <v>44214</v>
      </c>
      <c r="S186" s="131">
        <f>IF(ISBLANK(Table1[[#This Row],[Date]]),"",DATE(Table1[[#This Row],[Date_Year]],Table1[[#This Row],[Date_Month]],1))</f>
        <v>44197</v>
      </c>
    </row>
    <row r="187" spans="2:19" ht="15.75" x14ac:dyDescent="0.25">
      <c r="B187" s="133">
        <v>44215</v>
      </c>
      <c r="C187" s="128" t="s">
        <v>254</v>
      </c>
      <c r="D187" s="128" t="s">
        <v>46</v>
      </c>
      <c r="E187" s="128" t="str" cm="1">
        <f t="array" ref="E187">IFERROR(INDEX(SubcategoriesTable[Subcategory name],MATCH(Table1[[#This Row],[Category]],SubcategoriesTable[Category name],0),0),"")</f>
        <v>Variable</v>
      </c>
      <c r="F187" s="134">
        <v>-99.9</v>
      </c>
      <c r="G187" s="167" t="str">
        <f>_xlfn.XLOOKUP(Table1[[#This Row],[Account_ID]], Accounts[ID], Accounts[Account nickname], "Unknown")</f>
        <v>Discover it chrome Card</v>
      </c>
      <c r="H187" s="137" t="str">
        <f>_xlfn.XLOOKUP(Table1[[#This Row],[Account_ID]], Accounts[ID], Accounts[Account'#], "Unknown")</f>
        <v>7328</v>
      </c>
      <c r="I187" s="168" t="str">
        <f>_xlfn.XLOOKUP(Table1[[#This Row],[Institution_ID]], Institutions[ID], Institutions[Institution nickname], "Unknown")</f>
        <v>Discover</v>
      </c>
      <c r="J187" s="139" t="s">
        <v>255</v>
      </c>
      <c r="K187" s="129" t="s">
        <v>110</v>
      </c>
      <c r="L187" s="129" t="s">
        <v>108</v>
      </c>
      <c r="M187" s="130" t="str" cm="1">
        <f t="array" ref="M187">IFERROR(INDEX(CategoriesTable[Category type],MATCH(Table1[[#This Row],[Category]],CategoriesTable[Category name],0),0),"")</f>
        <v>Expense</v>
      </c>
      <c r="N187" s="130" t="str" cm="1">
        <f t="array" ref="N187">IFERROR(INDEX(SubcategoriesTable[Subcategory name],MATCH(Table1[[#This Row],[Category]],SubcategoriesTable[Category name],0),0),"")</f>
        <v>Variable</v>
      </c>
      <c r="O187" s="130">
        <v>19</v>
      </c>
      <c r="P187" s="130">
        <f>MONTH(Table1[[#This Row],[Date]])</f>
        <v>1</v>
      </c>
      <c r="Q187" s="130">
        <v>2021</v>
      </c>
      <c r="R187" s="166">
        <f>IF(ISBLANK(Table1[[#This Row],[Date]]),"",Table1[[#This Row],[Date]]-WEEKDAY(Table1[[#This Row],[Date]],2)+1)</f>
        <v>44214</v>
      </c>
      <c r="S187" s="131">
        <f>IF(ISBLANK(Table1[[#This Row],[Date]]),"",DATE(Table1[[#This Row],[Date_Year]],Table1[[#This Row],[Date_Month]],1))</f>
        <v>44197</v>
      </c>
    </row>
    <row r="188" spans="2:19" ht="15.75" x14ac:dyDescent="0.25">
      <c r="B188" s="133">
        <v>44212</v>
      </c>
      <c r="C188" s="128" t="s">
        <v>256</v>
      </c>
      <c r="D188" s="128" t="s">
        <v>46</v>
      </c>
      <c r="E188" s="128" t="str" cm="1">
        <f t="array" ref="E188">IFERROR(INDEX(SubcategoriesTable[Subcategory name],MATCH(Table1[[#This Row],[Category]],SubcategoriesTable[Category name],0),0),"")</f>
        <v>Variable</v>
      </c>
      <c r="F188" s="134">
        <v>-58.29</v>
      </c>
      <c r="G188" s="167" t="str">
        <f>_xlfn.XLOOKUP(Table1[[#This Row],[Account_ID]], Accounts[ID], Accounts[Account nickname], "Unknown")</f>
        <v>Discover it chrome Card</v>
      </c>
      <c r="H188" s="137" t="str">
        <f>_xlfn.XLOOKUP(Table1[[#This Row],[Account_ID]], Accounts[ID], Accounts[Account'#], "Unknown")</f>
        <v>7328</v>
      </c>
      <c r="I188" s="168" t="str">
        <f>_xlfn.XLOOKUP(Table1[[#This Row],[Institution_ID]], Institutions[ID], Institutions[Institution nickname], "Unknown")</f>
        <v>Discover</v>
      </c>
      <c r="J188" s="139" t="s">
        <v>257</v>
      </c>
      <c r="K188" s="129" t="s">
        <v>110</v>
      </c>
      <c r="L188" s="129" t="s">
        <v>108</v>
      </c>
      <c r="M188" s="130" t="str" cm="1">
        <f t="array" ref="M188">IFERROR(INDEX(CategoriesTable[Category type],MATCH(Table1[[#This Row],[Category]],CategoriesTable[Category name],0),0),"")</f>
        <v>Expense</v>
      </c>
      <c r="N188" s="130" t="str" cm="1">
        <f t="array" ref="N188">IFERROR(INDEX(SubcategoriesTable[Subcategory name],MATCH(Table1[[#This Row],[Category]],SubcategoriesTable[Category name],0),0),"")</f>
        <v>Variable</v>
      </c>
      <c r="O188" s="130">
        <v>16</v>
      </c>
      <c r="P188" s="130">
        <f>MONTH(Table1[[#This Row],[Date]])</f>
        <v>1</v>
      </c>
      <c r="Q188" s="130">
        <v>2021</v>
      </c>
      <c r="R188" s="166">
        <f>IF(ISBLANK(Table1[[#This Row],[Date]]),"",Table1[[#This Row],[Date]]-WEEKDAY(Table1[[#This Row],[Date]],2)+1)</f>
        <v>44207</v>
      </c>
      <c r="S188" s="131">
        <f>IF(ISBLANK(Table1[[#This Row],[Date]]),"",DATE(Table1[[#This Row],[Date_Year]],Table1[[#This Row],[Date_Month]],1))</f>
        <v>44197</v>
      </c>
    </row>
    <row r="189" spans="2:19" ht="15.75" x14ac:dyDescent="0.25">
      <c r="B189" s="133">
        <v>44211</v>
      </c>
      <c r="C189" s="128" t="s">
        <v>1180</v>
      </c>
      <c r="D189" s="128" t="s">
        <v>50</v>
      </c>
      <c r="E189" s="128" t="str" cm="1">
        <f t="array" ref="E189">IFERROR(INDEX(SubcategoriesTable[Subcategory name],MATCH(Table1[[#This Row],[Category]],SubcategoriesTable[Category name],0),0),"")</f>
        <v>Variable</v>
      </c>
      <c r="F189" s="134">
        <v>-729.23</v>
      </c>
      <c r="G189" s="167" t="str">
        <f>_xlfn.XLOOKUP(Table1[[#This Row],[Account_ID]], Accounts[ID], Accounts[Account nickname], "Unknown")</f>
        <v>EVERYDAY CHECKING</v>
      </c>
      <c r="H189" s="137" t="str">
        <f>_xlfn.XLOOKUP(Table1[[#This Row],[Account_ID]], Accounts[ID], Accounts[Account'#], "Unknown")</f>
        <v>4636</v>
      </c>
      <c r="I189" s="168" t="str">
        <f>_xlfn.XLOOKUP(Table1[[#This Row],[Institution_ID]], Institutions[ID], Institutions[Institution nickname], "Unknown")</f>
        <v>Wells Fargo</v>
      </c>
      <c r="J189" s="139" t="s">
        <v>1410</v>
      </c>
      <c r="K189" s="129" t="s">
        <v>1229</v>
      </c>
      <c r="L189" s="129" t="s">
        <v>1228</v>
      </c>
      <c r="M189" s="130" t="str" cm="1">
        <f t="array" ref="M189">IFERROR(INDEX(CategoriesTable[Category type],MATCH(Table1[[#This Row],[Category]],CategoriesTable[Category name],0),0),"")</f>
        <v>Transfer</v>
      </c>
      <c r="N189" s="130" t="str" cm="1">
        <f t="array" ref="N189">IFERROR(INDEX(SubcategoriesTable[Subcategory name],MATCH(Table1[[#This Row],[Category]],SubcategoriesTable[Category name],0),0),"")</f>
        <v>Variable</v>
      </c>
      <c r="O189" s="130">
        <v>15</v>
      </c>
      <c r="P189" s="130">
        <f>MONTH(Table1[[#This Row],[Date]])</f>
        <v>1</v>
      </c>
      <c r="Q189" s="130">
        <v>2021</v>
      </c>
      <c r="R189" s="166">
        <f>IF(ISBLANK(Table1[[#This Row],[Date]]),"",Table1[[#This Row],[Date]]-WEEKDAY(Table1[[#This Row],[Date]],2)+1)</f>
        <v>44207</v>
      </c>
      <c r="S189" s="131">
        <f>IF(ISBLANK(Table1[[#This Row],[Date]]),"",DATE(Table1[[#This Row],[Date_Year]],Table1[[#This Row],[Date_Month]],1))</f>
        <v>44197</v>
      </c>
    </row>
    <row r="190" spans="2:19" ht="15.75" x14ac:dyDescent="0.25">
      <c r="B190" s="133">
        <v>44211</v>
      </c>
      <c r="C190" s="128" t="s">
        <v>1181</v>
      </c>
      <c r="D190" s="128" t="s">
        <v>59</v>
      </c>
      <c r="E190" s="128" t="str" cm="1">
        <f t="array" ref="E190">IFERROR(INDEX(SubcategoriesTable[Subcategory name],MATCH(Table1[[#This Row],[Category]],SubcategoriesTable[Category name],0),0),"")</f>
        <v>Fixed</v>
      </c>
      <c r="F190" s="134">
        <v>1459.65</v>
      </c>
      <c r="G190" s="167" t="str">
        <f>_xlfn.XLOOKUP(Table1[[#This Row],[Account_ID]], Accounts[ID], Accounts[Account nickname], "Unknown")</f>
        <v>EVERYDAY CHECKING</v>
      </c>
      <c r="H190" s="137" t="str">
        <f>_xlfn.XLOOKUP(Table1[[#This Row],[Account_ID]], Accounts[ID], Accounts[Account'#], "Unknown")</f>
        <v>4636</v>
      </c>
      <c r="I190" s="168" t="str">
        <f>_xlfn.XLOOKUP(Table1[[#This Row],[Institution_ID]], Institutions[ID], Institutions[Institution nickname], "Unknown")</f>
        <v>Wells Fargo</v>
      </c>
      <c r="J190" s="139" t="s">
        <v>1411</v>
      </c>
      <c r="K190" s="129" t="s">
        <v>1229</v>
      </c>
      <c r="L190" s="129" t="s">
        <v>1228</v>
      </c>
      <c r="M190" s="130" t="str" cm="1">
        <f t="array" ref="M190">IFERROR(INDEX(CategoriesTable[Category type],MATCH(Table1[[#This Row],[Category]],CategoriesTable[Category name],0),0),"")</f>
        <v>Income</v>
      </c>
      <c r="N190" s="130" t="str" cm="1">
        <f t="array" ref="N190">IFERROR(INDEX(SubcategoriesTable[Subcategory name],MATCH(Table1[[#This Row],[Category]],SubcategoriesTable[Category name],0),0),"")</f>
        <v>Fixed</v>
      </c>
      <c r="O190" s="130">
        <v>15</v>
      </c>
      <c r="P190" s="130">
        <f>MONTH(Table1[[#This Row],[Date]])</f>
        <v>1</v>
      </c>
      <c r="Q190" s="130">
        <v>2021</v>
      </c>
      <c r="R190" s="166">
        <f>IF(ISBLANK(Table1[[#This Row],[Date]]),"",Table1[[#This Row],[Date]]-WEEKDAY(Table1[[#This Row],[Date]],2)+1)</f>
        <v>44207</v>
      </c>
      <c r="S190" s="131">
        <f>IF(ISBLANK(Table1[[#This Row],[Date]]),"",DATE(Table1[[#This Row],[Date_Year]],Table1[[#This Row],[Date_Month]],1))</f>
        <v>44197</v>
      </c>
    </row>
    <row r="191" spans="2:19" ht="15.75" x14ac:dyDescent="0.25">
      <c r="B191" s="133">
        <v>44211</v>
      </c>
      <c r="C191" s="128" t="s">
        <v>206</v>
      </c>
      <c r="D191" s="128" t="s">
        <v>57</v>
      </c>
      <c r="E191" s="128" t="str" cm="1">
        <f t="array" ref="E191">IFERROR(INDEX(SubcategoriesTable[Subcategory name],MATCH(Table1[[#This Row],[Category]],SubcategoriesTable[Category name],0),0),"")</f>
        <v>Variable</v>
      </c>
      <c r="F191" s="134">
        <v>22.18</v>
      </c>
      <c r="G191" s="167" t="str">
        <f>_xlfn.XLOOKUP(Table1[[#This Row],[Account_ID]], Accounts[ID], Accounts[Account nickname], "Unknown")</f>
        <v>Discover it chrome Card</v>
      </c>
      <c r="H191" s="137" t="str">
        <f>_xlfn.XLOOKUP(Table1[[#This Row],[Account_ID]], Accounts[ID], Accounts[Account'#], "Unknown")</f>
        <v>7328</v>
      </c>
      <c r="I191" s="168" t="str">
        <f>_xlfn.XLOOKUP(Table1[[#This Row],[Institution_ID]], Institutions[ID], Institutions[Institution nickname], "Unknown")</f>
        <v>Discover</v>
      </c>
      <c r="J191" s="139" t="s">
        <v>258</v>
      </c>
      <c r="K191" s="129" t="s">
        <v>110</v>
      </c>
      <c r="L191" s="129" t="s">
        <v>108</v>
      </c>
      <c r="M191" s="130" t="str" cm="1">
        <f t="array" ref="M191">IFERROR(INDEX(CategoriesTable[Category type],MATCH(Table1[[#This Row],[Category]],CategoriesTable[Category name],0),0),"")</f>
        <v>Transfer</v>
      </c>
      <c r="N191" s="130" t="str" cm="1">
        <f t="array" ref="N191">IFERROR(INDEX(SubcategoriesTable[Subcategory name],MATCH(Table1[[#This Row],[Category]],SubcategoriesTable[Category name],0),0),"")</f>
        <v>Variable</v>
      </c>
      <c r="O191" s="130">
        <v>15</v>
      </c>
      <c r="P191" s="130">
        <f>MONTH(Table1[[#This Row],[Date]])</f>
        <v>1</v>
      </c>
      <c r="Q191" s="130">
        <v>2021</v>
      </c>
      <c r="R191" s="166">
        <f>IF(ISBLANK(Table1[[#This Row],[Date]]),"",Table1[[#This Row],[Date]]-WEEKDAY(Table1[[#This Row],[Date]],2)+1)</f>
        <v>44207</v>
      </c>
      <c r="S191" s="131">
        <f>IF(ISBLANK(Table1[[#This Row],[Date]]),"",DATE(Table1[[#This Row],[Date_Year]],Table1[[#This Row],[Date_Month]],1))</f>
        <v>44197</v>
      </c>
    </row>
    <row r="192" spans="2:19" ht="15.75" x14ac:dyDescent="0.25">
      <c r="B192" s="133">
        <v>44211</v>
      </c>
      <c r="C192" s="128" t="s">
        <v>259</v>
      </c>
      <c r="D192" s="128" t="s">
        <v>50</v>
      </c>
      <c r="E192" s="128" t="str" cm="1">
        <f t="array" ref="E192">IFERROR(INDEX(SubcategoriesTable[Subcategory name],MATCH(Table1[[#This Row],[Category]],SubcategoriesTable[Category name],0),0),"")</f>
        <v>Variable</v>
      </c>
      <c r="F192" s="134">
        <v>728.15</v>
      </c>
      <c r="G192" s="167" t="str">
        <f>_xlfn.XLOOKUP(Table1[[#This Row],[Account_ID]], Accounts[ID], Accounts[Account nickname], "Unknown")</f>
        <v>Discover it chrome Card</v>
      </c>
      <c r="H192" s="137" t="str">
        <f>_xlfn.XLOOKUP(Table1[[#This Row],[Account_ID]], Accounts[ID], Accounts[Account'#], "Unknown")</f>
        <v>7328</v>
      </c>
      <c r="I192" s="168" t="str">
        <f>_xlfn.XLOOKUP(Table1[[#This Row],[Institution_ID]], Institutions[ID], Institutions[Institution nickname], "Unknown")</f>
        <v>Discover</v>
      </c>
      <c r="J192" s="139" t="s">
        <v>260</v>
      </c>
      <c r="K192" s="129" t="s">
        <v>110</v>
      </c>
      <c r="L192" s="129" t="s">
        <v>108</v>
      </c>
      <c r="M192" s="130" t="str" cm="1">
        <f t="array" ref="M192">IFERROR(INDEX(CategoriesTable[Category type],MATCH(Table1[[#This Row],[Category]],CategoriesTable[Category name],0),0),"")</f>
        <v>Transfer</v>
      </c>
      <c r="N192" s="130" t="str" cm="1">
        <f t="array" ref="N192">IFERROR(INDEX(SubcategoriesTable[Subcategory name],MATCH(Table1[[#This Row],[Category]],SubcategoriesTable[Category name],0),0),"")</f>
        <v>Variable</v>
      </c>
      <c r="O192" s="130">
        <v>15</v>
      </c>
      <c r="P192" s="130">
        <f>MONTH(Table1[[#This Row],[Date]])</f>
        <v>1</v>
      </c>
      <c r="Q192" s="130">
        <v>2021</v>
      </c>
      <c r="R192" s="166">
        <f>IF(ISBLANK(Table1[[#This Row],[Date]]),"",Table1[[#This Row],[Date]]-WEEKDAY(Table1[[#This Row],[Date]],2)+1)</f>
        <v>44207</v>
      </c>
      <c r="S192" s="131">
        <f>IF(ISBLANK(Table1[[#This Row],[Date]]),"",DATE(Table1[[#This Row],[Date_Year]],Table1[[#This Row],[Date_Month]],1))</f>
        <v>44197</v>
      </c>
    </row>
    <row r="193" spans="2:19" ht="15.75" x14ac:dyDescent="0.25">
      <c r="B193" s="133">
        <v>44211</v>
      </c>
      <c r="C193" s="128" t="s">
        <v>113</v>
      </c>
      <c r="D193" s="128" t="s">
        <v>50</v>
      </c>
      <c r="E193" s="128" t="str" cm="1">
        <f t="array" ref="E193">IFERROR(INDEX(SubcategoriesTable[Subcategory name],MATCH(Table1[[#This Row],[Category]],SubcategoriesTable[Category name],0),0),"")</f>
        <v>Variable</v>
      </c>
      <c r="F193" s="134">
        <v>729.23</v>
      </c>
      <c r="G193" s="167" t="str">
        <f>_xlfn.XLOOKUP(Table1[[#This Row],[Account_ID]], Accounts[ID], Accounts[Account nickname], "Unknown")</f>
        <v>Discover it chrome Card</v>
      </c>
      <c r="H193" s="137" t="str">
        <f>_xlfn.XLOOKUP(Table1[[#This Row],[Account_ID]], Accounts[ID], Accounts[Account'#], "Unknown")</f>
        <v>7328</v>
      </c>
      <c r="I193" s="168" t="str">
        <f>_xlfn.XLOOKUP(Table1[[#This Row],[Institution_ID]], Institutions[ID], Institutions[Institution nickname], "Unknown")</f>
        <v>Discover</v>
      </c>
      <c r="J193" s="139" t="s">
        <v>261</v>
      </c>
      <c r="K193" s="129" t="s">
        <v>110</v>
      </c>
      <c r="L193" s="129" t="s">
        <v>108</v>
      </c>
      <c r="M193" s="130" t="str" cm="1">
        <f t="array" ref="M193">IFERROR(INDEX(CategoriesTable[Category type],MATCH(Table1[[#This Row],[Category]],CategoriesTable[Category name],0),0),"")</f>
        <v>Transfer</v>
      </c>
      <c r="N193" s="130" t="str" cm="1">
        <f t="array" ref="N193">IFERROR(INDEX(SubcategoriesTable[Subcategory name],MATCH(Table1[[#This Row],[Category]],SubcategoriesTable[Category name],0),0),"")</f>
        <v>Variable</v>
      </c>
      <c r="O193" s="130">
        <v>15</v>
      </c>
      <c r="P193" s="130">
        <f>MONTH(Table1[[#This Row],[Date]])</f>
        <v>1</v>
      </c>
      <c r="Q193" s="130">
        <v>2021</v>
      </c>
      <c r="R193" s="166">
        <f>IF(ISBLANK(Table1[[#This Row],[Date]]),"",Table1[[#This Row],[Date]]-WEEKDAY(Table1[[#This Row],[Date]],2)+1)</f>
        <v>44207</v>
      </c>
      <c r="S193" s="131">
        <f>IF(ISBLANK(Table1[[#This Row],[Date]]),"",DATE(Table1[[#This Row],[Date_Year]],Table1[[#This Row],[Date_Month]],1))</f>
        <v>44197</v>
      </c>
    </row>
    <row r="194" spans="2:19" ht="15.75" x14ac:dyDescent="0.25">
      <c r="B194" s="133">
        <v>44211</v>
      </c>
      <c r="C194" s="128" t="s">
        <v>125</v>
      </c>
      <c r="D194" s="128" t="s">
        <v>45</v>
      </c>
      <c r="E194" s="128" t="str" cm="1">
        <f t="array" ref="E194">IFERROR(INDEX(SubcategoriesTable[Subcategory name],MATCH(Table1[[#This Row],[Category]],SubcategoriesTable[Category name],0),0),"")</f>
        <v>Variable</v>
      </c>
      <c r="F194" s="134">
        <v>-4.32</v>
      </c>
      <c r="G194" s="167" t="str">
        <f>_xlfn.XLOOKUP(Table1[[#This Row],[Account_ID]], Accounts[ID], Accounts[Account nickname], "Unknown")</f>
        <v>Discover it chrome Card</v>
      </c>
      <c r="H194" s="137" t="str">
        <f>_xlfn.XLOOKUP(Table1[[#This Row],[Account_ID]], Accounts[ID], Accounts[Account'#], "Unknown")</f>
        <v>7328</v>
      </c>
      <c r="I194" s="168" t="str">
        <f>_xlfn.XLOOKUP(Table1[[#This Row],[Institution_ID]], Institutions[ID], Institutions[Institution nickname], "Unknown")</f>
        <v>Discover</v>
      </c>
      <c r="J194" s="139" t="s">
        <v>262</v>
      </c>
      <c r="K194" s="129" t="s">
        <v>110</v>
      </c>
      <c r="L194" s="129" t="s">
        <v>108</v>
      </c>
      <c r="M194" s="130" t="str" cm="1">
        <f t="array" ref="M194">IFERROR(INDEX(CategoriesTable[Category type],MATCH(Table1[[#This Row],[Category]],CategoriesTable[Category name],0),0),"")</f>
        <v>Expense</v>
      </c>
      <c r="N194" s="130" t="str" cm="1">
        <f t="array" ref="N194">IFERROR(INDEX(SubcategoriesTable[Subcategory name],MATCH(Table1[[#This Row],[Category]],SubcategoriesTable[Category name],0),0),"")</f>
        <v>Variable</v>
      </c>
      <c r="O194" s="130">
        <v>15</v>
      </c>
      <c r="P194" s="130">
        <f>MONTH(Table1[[#This Row],[Date]])</f>
        <v>1</v>
      </c>
      <c r="Q194" s="130">
        <v>2021</v>
      </c>
      <c r="R194" s="166">
        <f>IF(ISBLANK(Table1[[#This Row],[Date]]),"",Table1[[#This Row],[Date]]-WEEKDAY(Table1[[#This Row],[Date]],2)+1)</f>
        <v>44207</v>
      </c>
      <c r="S194" s="131">
        <f>IF(ISBLANK(Table1[[#This Row],[Date]]),"",DATE(Table1[[#This Row],[Date_Year]],Table1[[#This Row],[Date_Month]],1))</f>
        <v>44197</v>
      </c>
    </row>
    <row r="195" spans="2:19" ht="15.75" x14ac:dyDescent="0.25">
      <c r="B195" s="133">
        <v>44211</v>
      </c>
      <c r="C195" s="128" t="s">
        <v>263</v>
      </c>
      <c r="D195" s="128" t="s">
        <v>46</v>
      </c>
      <c r="E195" s="128" t="str" cm="1">
        <f t="array" ref="E195">IFERROR(INDEX(SubcategoriesTable[Subcategory name],MATCH(Table1[[#This Row],[Category]],SubcategoriesTable[Category name],0),0),"")</f>
        <v>Variable</v>
      </c>
      <c r="F195" s="134">
        <v>-21.19</v>
      </c>
      <c r="G195" s="167" t="str">
        <f>_xlfn.XLOOKUP(Table1[[#This Row],[Account_ID]], Accounts[ID], Accounts[Account nickname], "Unknown")</f>
        <v>Discover it chrome Card</v>
      </c>
      <c r="H195" s="137" t="str">
        <f>_xlfn.XLOOKUP(Table1[[#This Row],[Account_ID]], Accounts[ID], Accounts[Account'#], "Unknown")</f>
        <v>7328</v>
      </c>
      <c r="I195" s="168" t="str">
        <f>_xlfn.XLOOKUP(Table1[[#This Row],[Institution_ID]], Institutions[ID], Institutions[Institution nickname], "Unknown")</f>
        <v>Discover</v>
      </c>
      <c r="J195" s="139" t="s">
        <v>264</v>
      </c>
      <c r="K195" s="129" t="s">
        <v>110</v>
      </c>
      <c r="L195" s="129" t="s">
        <v>108</v>
      </c>
      <c r="M195" s="130" t="str" cm="1">
        <f t="array" ref="M195">IFERROR(INDEX(CategoriesTable[Category type],MATCH(Table1[[#This Row],[Category]],CategoriesTable[Category name],0),0),"")</f>
        <v>Expense</v>
      </c>
      <c r="N195" s="130" t="str" cm="1">
        <f t="array" ref="N195">IFERROR(INDEX(SubcategoriesTable[Subcategory name],MATCH(Table1[[#This Row],[Category]],SubcategoriesTable[Category name],0),0),"")</f>
        <v>Variable</v>
      </c>
      <c r="O195" s="130">
        <v>15</v>
      </c>
      <c r="P195" s="130">
        <f>MONTH(Table1[[#This Row],[Date]])</f>
        <v>1</v>
      </c>
      <c r="Q195" s="130">
        <v>2021</v>
      </c>
      <c r="R195" s="166">
        <f>IF(ISBLANK(Table1[[#This Row],[Date]]),"",Table1[[#This Row],[Date]]-WEEKDAY(Table1[[#This Row],[Date]],2)+1)</f>
        <v>44207</v>
      </c>
      <c r="S195" s="131">
        <f>IF(ISBLANK(Table1[[#This Row],[Date]]),"",DATE(Table1[[#This Row],[Date_Year]],Table1[[#This Row],[Date_Month]],1))</f>
        <v>44197</v>
      </c>
    </row>
    <row r="196" spans="2:19" ht="15.75" x14ac:dyDescent="0.25">
      <c r="B196" s="133">
        <v>44211</v>
      </c>
      <c r="C196" s="128" t="s">
        <v>115</v>
      </c>
      <c r="D196" s="128" t="s">
        <v>48</v>
      </c>
      <c r="E196" s="128" t="str" cm="1">
        <f t="array" ref="E196">IFERROR(INDEX(SubcategoriesTable[Subcategory name],MATCH(Table1[[#This Row],[Category]],SubcategoriesTable[Category name],0),0),"")</f>
        <v>Variable</v>
      </c>
      <c r="F196" s="134">
        <v>-19.399999999999999</v>
      </c>
      <c r="G196" s="167" t="str">
        <f>_xlfn.XLOOKUP(Table1[[#This Row],[Account_ID]], Accounts[ID], Accounts[Account nickname], "Unknown")</f>
        <v>Discover it chrome Card</v>
      </c>
      <c r="H196" s="137" t="str">
        <f>_xlfn.XLOOKUP(Table1[[#This Row],[Account_ID]], Accounts[ID], Accounts[Account'#], "Unknown")</f>
        <v>7328</v>
      </c>
      <c r="I196" s="168" t="str">
        <f>_xlfn.XLOOKUP(Table1[[#This Row],[Institution_ID]], Institutions[ID], Institutions[Institution nickname], "Unknown")</f>
        <v>Discover</v>
      </c>
      <c r="J196" s="139" t="s">
        <v>265</v>
      </c>
      <c r="K196" s="129" t="s">
        <v>110</v>
      </c>
      <c r="L196" s="129" t="s">
        <v>108</v>
      </c>
      <c r="M196" s="130" t="str" cm="1">
        <f t="array" ref="M196">IFERROR(INDEX(CategoriesTable[Category type],MATCH(Table1[[#This Row],[Category]],CategoriesTable[Category name],0),0),"")</f>
        <v>Expense</v>
      </c>
      <c r="N196" s="130" t="str" cm="1">
        <f t="array" ref="N196">IFERROR(INDEX(SubcategoriesTable[Subcategory name],MATCH(Table1[[#This Row],[Category]],SubcategoriesTable[Category name],0),0),"")</f>
        <v>Variable</v>
      </c>
      <c r="O196" s="130">
        <v>15</v>
      </c>
      <c r="P196" s="130">
        <f>MONTH(Table1[[#This Row],[Date]])</f>
        <v>1</v>
      </c>
      <c r="Q196" s="130">
        <v>2021</v>
      </c>
      <c r="R196" s="166">
        <f>IF(ISBLANK(Table1[[#This Row],[Date]]),"",Table1[[#This Row],[Date]]-WEEKDAY(Table1[[#This Row],[Date]],2)+1)</f>
        <v>44207</v>
      </c>
      <c r="S196" s="131">
        <f>IF(ISBLANK(Table1[[#This Row],[Date]]),"",DATE(Table1[[#This Row],[Date_Year]],Table1[[#This Row],[Date_Month]],1))</f>
        <v>44197</v>
      </c>
    </row>
    <row r="197" spans="2:19" ht="15.75" x14ac:dyDescent="0.25">
      <c r="B197" s="133">
        <v>44208</v>
      </c>
      <c r="C197" s="128" t="s">
        <v>239</v>
      </c>
      <c r="D197" s="128" t="s">
        <v>52</v>
      </c>
      <c r="E197" s="128" t="str" cm="1">
        <f t="array" ref="E197">IFERROR(INDEX(SubcategoriesTable[Subcategory name],MATCH(Table1[[#This Row],[Category]],SubcategoriesTable[Category name],0),0),"")</f>
        <v>Variable</v>
      </c>
      <c r="F197" s="134">
        <v>-23.27</v>
      </c>
      <c r="G197" s="167" t="str">
        <f>_xlfn.XLOOKUP(Table1[[#This Row],[Account_ID]], Accounts[ID], Accounts[Account nickname], "Unknown")</f>
        <v>Discover it chrome Card</v>
      </c>
      <c r="H197" s="137" t="str">
        <f>_xlfn.XLOOKUP(Table1[[#This Row],[Account_ID]], Accounts[ID], Accounts[Account'#], "Unknown")</f>
        <v>7328</v>
      </c>
      <c r="I197" s="168" t="str">
        <f>_xlfn.XLOOKUP(Table1[[#This Row],[Institution_ID]], Institutions[ID], Institutions[Institution nickname], "Unknown")</f>
        <v>Discover</v>
      </c>
      <c r="J197" s="139" t="s">
        <v>266</v>
      </c>
      <c r="K197" s="129" t="s">
        <v>110</v>
      </c>
      <c r="L197" s="129" t="s">
        <v>108</v>
      </c>
      <c r="M197" s="130" t="str" cm="1">
        <f t="array" ref="M197">IFERROR(INDEX(CategoriesTable[Category type],MATCH(Table1[[#This Row],[Category]],CategoriesTable[Category name],0),0),"")</f>
        <v>Expense</v>
      </c>
      <c r="N197" s="130" t="str" cm="1">
        <f t="array" ref="N197">IFERROR(INDEX(SubcategoriesTable[Subcategory name],MATCH(Table1[[#This Row],[Category]],SubcategoriesTable[Category name],0),0),"")</f>
        <v>Variable</v>
      </c>
      <c r="O197" s="130">
        <v>12</v>
      </c>
      <c r="P197" s="130">
        <f>MONTH(Table1[[#This Row],[Date]])</f>
        <v>1</v>
      </c>
      <c r="Q197" s="130">
        <v>2021</v>
      </c>
      <c r="R197" s="166">
        <f>IF(ISBLANK(Table1[[#This Row],[Date]]),"",Table1[[#This Row],[Date]]-WEEKDAY(Table1[[#This Row],[Date]],2)+1)</f>
        <v>44207</v>
      </c>
      <c r="S197" s="131">
        <f>IF(ISBLANK(Table1[[#This Row],[Date]]),"",DATE(Table1[[#This Row],[Date_Year]],Table1[[#This Row],[Date_Month]],1))</f>
        <v>44197</v>
      </c>
    </row>
    <row r="198" spans="2:19" ht="15.75" x14ac:dyDescent="0.25">
      <c r="B198" s="133">
        <v>44208</v>
      </c>
      <c r="C198" s="128" t="s">
        <v>267</v>
      </c>
      <c r="D198" s="128" t="s">
        <v>46</v>
      </c>
      <c r="E198" s="128" t="str" cm="1">
        <f t="array" ref="E198">IFERROR(INDEX(SubcategoriesTable[Subcategory name],MATCH(Table1[[#This Row],[Category]],SubcategoriesTable[Category name],0),0),"")</f>
        <v>Variable</v>
      </c>
      <c r="F198" s="134">
        <v>-3.33</v>
      </c>
      <c r="G198" s="167" t="str">
        <f>_xlfn.XLOOKUP(Table1[[#This Row],[Account_ID]], Accounts[ID], Accounts[Account nickname], "Unknown")</f>
        <v>Discover it chrome Card</v>
      </c>
      <c r="H198" s="137" t="str">
        <f>_xlfn.XLOOKUP(Table1[[#This Row],[Account_ID]], Accounts[ID], Accounts[Account'#], "Unknown")</f>
        <v>7328</v>
      </c>
      <c r="I198" s="168" t="str">
        <f>_xlfn.XLOOKUP(Table1[[#This Row],[Institution_ID]], Institutions[ID], Institutions[Institution nickname], "Unknown")</f>
        <v>Discover</v>
      </c>
      <c r="J198" s="139" t="s">
        <v>268</v>
      </c>
      <c r="K198" s="129" t="s">
        <v>110</v>
      </c>
      <c r="L198" s="129" t="s">
        <v>108</v>
      </c>
      <c r="M198" s="130" t="str" cm="1">
        <f t="array" ref="M198">IFERROR(INDEX(CategoriesTable[Category type],MATCH(Table1[[#This Row],[Category]],CategoriesTable[Category name],0),0),"")</f>
        <v>Expense</v>
      </c>
      <c r="N198" s="130" t="str" cm="1">
        <f t="array" ref="N198">IFERROR(INDEX(SubcategoriesTable[Subcategory name],MATCH(Table1[[#This Row],[Category]],SubcategoriesTable[Category name],0),0),"")</f>
        <v>Variable</v>
      </c>
      <c r="O198" s="130">
        <v>12</v>
      </c>
      <c r="P198" s="130">
        <f>MONTH(Table1[[#This Row],[Date]])</f>
        <v>1</v>
      </c>
      <c r="Q198" s="130">
        <v>2021</v>
      </c>
      <c r="R198" s="166">
        <f>IF(ISBLANK(Table1[[#This Row],[Date]]),"",Table1[[#This Row],[Date]]-WEEKDAY(Table1[[#This Row],[Date]],2)+1)</f>
        <v>44207</v>
      </c>
      <c r="S198" s="131">
        <f>IF(ISBLANK(Table1[[#This Row],[Date]]),"",DATE(Table1[[#This Row],[Date_Year]],Table1[[#This Row],[Date_Month]],1))</f>
        <v>44197</v>
      </c>
    </row>
    <row r="199" spans="2:19" ht="15.75" x14ac:dyDescent="0.25">
      <c r="B199" s="133">
        <v>44208</v>
      </c>
      <c r="C199" s="128" t="s">
        <v>209</v>
      </c>
      <c r="D199" s="128" t="s">
        <v>54</v>
      </c>
      <c r="E199" s="128" t="str" cm="1">
        <f t="array" ref="E199">IFERROR(INDEX(SubcategoriesTable[Subcategory name],MATCH(Table1[[#This Row],[Category]],SubcategoriesTable[Category name],0),0),"")</f>
        <v>Fixed</v>
      </c>
      <c r="F199" s="134">
        <v>-1.99</v>
      </c>
      <c r="G199" s="167" t="str">
        <f>_xlfn.XLOOKUP(Table1[[#This Row],[Account_ID]], Accounts[ID], Accounts[Account nickname], "Unknown")</f>
        <v>Discover it chrome Card</v>
      </c>
      <c r="H199" s="137" t="str">
        <f>_xlfn.XLOOKUP(Table1[[#This Row],[Account_ID]], Accounts[ID], Accounts[Account'#], "Unknown")</f>
        <v>7328</v>
      </c>
      <c r="I199" s="168" t="str">
        <f>_xlfn.XLOOKUP(Table1[[#This Row],[Institution_ID]], Institutions[ID], Institutions[Institution nickname], "Unknown")</f>
        <v>Discover</v>
      </c>
      <c r="J199" s="139" t="s">
        <v>269</v>
      </c>
      <c r="K199" s="129" t="s">
        <v>110</v>
      </c>
      <c r="L199" s="129" t="s">
        <v>108</v>
      </c>
      <c r="M199" s="130" t="str" cm="1">
        <f t="array" ref="M199">IFERROR(INDEX(CategoriesTable[Category type],MATCH(Table1[[#This Row],[Category]],CategoriesTable[Category name],0),0),"")</f>
        <v>Expense</v>
      </c>
      <c r="N199" s="130" t="str" cm="1">
        <f t="array" ref="N199">IFERROR(INDEX(SubcategoriesTable[Subcategory name],MATCH(Table1[[#This Row],[Category]],SubcategoriesTable[Category name],0),0),"")</f>
        <v>Fixed</v>
      </c>
      <c r="O199" s="130">
        <v>12</v>
      </c>
      <c r="P199" s="130">
        <f>MONTH(Table1[[#This Row],[Date]])</f>
        <v>1</v>
      </c>
      <c r="Q199" s="130">
        <v>2021</v>
      </c>
      <c r="R199" s="166">
        <f>IF(ISBLANK(Table1[[#This Row],[Date]]),"",Table1[[#This Row],[Date]]-WEEKDAY(Table1[[#This Row],[Date]],2)+1)</f>
        <v>44207</v>
      </c>
      <c r="S199" s="131">
        <f>IF(ISBLANK(Table1[[#This Row],[Date]]),"",DATE(Table1[[#This Row],[Date_Year]],Table1[[#This Row],[Date_Month]],1))</f>
        <v>44197</v>
      </c>
    </row>
    <row r="200" spans="2:19" ht="15.75" x14ac:dyDescent="0.25">
      <c r="B200" s="133">
        <v>44207</v>
      </c>
      <c r="C200" s="128" t="s">
        <v>270</v>
      </c>
      <c r="D200" s="128" t="s">
        <v>50</v>
      </c>
      <c r="E200" s="128" t="str" cm="1">
        <f t="array" ref="E200">IFERROR(INDEX(SubcategoriesTable[Subcategory name],MATCH(Table1[[#This Row],[Category]],SubcategoriesTable[Category name],0),0),"")</f>
        <v>Variable</v>
      </c>
      <c r="F200" s="134">
        <v>-103</v>
      </c>
      <c r="G200" s="167" t="str">
        <f>_xlfn.XLOOKUP(Table1[[#This Row],[Account_ID]], Accounts[ID], Accounts[Account nickname], "Unknown")</f>
        <v>Discover it chrome Card</v>
      </c>
      <c r="H200" s="137" t="str">
        <f>_xlfn.XLOOKUP(Table1[[#This Row],[Account_ID]], Accounts[ID], Accounts[Account'#], "Unknown")</f>
        <v>7328</v>
      </c>
      <c r="I200" s="168" t="str">
        <f>_xlfn.XLOOKUP(Table1[[#This Row],[Institution_ID]], Institutions[ID], Institutions[Institution nickname], "Unknown")</f>
        <v>Discover</v>
      </c>
      <c r="J200" s="139" t="s">
        <v>271</v>
      </c>
      <c r="K200" s="129" t="s">
        <v>110</v>
      </c>
      <c r="L200" s="129" t="s">
        <v>108</v>
      </c>
      <c r="M200" s="130" t="str" cm="1">
        <f t="array" ref="M200">IFERROR(INDEX(CategoriesTable[Category type],MATCH(Table1[[#This Row],[Category]],CategoriesTable[Category name],0),0),"")</f>
        <v>Transfer</v>
      </c>
      <c r="N200" s="130" t="str" cm="1">
        <f t="array" ref="N200">IFERROR(INDEX(SubcategoriesTable[Subcategory name],MATCH(Table1[[#This Row],[Category]],SubcategoriesTable[Category name],0),0),"")</f>
        <v>Variable</v>
      </c>
      <c r="O200" s="130">
        <v>11</v>
      </c>
      <c r="P200" s="130">
        <f>MONTH(Table1[[#This Row],[Date]])</f>
        <v>1</v>
      </c>
      <c r="Q200" s="130">
        <v>2021</v>
      </c>
      <c r="R200" s="166">
        <f>IF(ISBLANK(Table1[[#This Row],[Date]]),"",Table1[[#This Row],[Date]]-WEEKDAY(Table1[[#This Row],[Date]],2)+1)</f>
        <v>44207</v>
      </c>
      <c r="S200" s="131">
        <f>IF(ISBLANK(Table1[[#This Row],[Date]]),"",DATE(Table1[[#This Row],[Date_Year]],Table1[[#This Row],[Date_Month]],1))</f>
        <v>44197</v>
      </c>
    </row>
    <row r="201" spans="2:19" ht="15.75" x14ac:dyDescent="0.25">
      <c r="B201" s="133">
        <v>44207</v>
      </c>
      <c r="C201" s="128" t="s">
        <v>272</v>
      </c>
      <c r="D201" s="128" t="s">
        <v>56</v>
      </c>
      <c r="E201" s="128" t="str" cm="1">
        <f t="array" ref="E201">IFERROR(INDEX(SubcategoriesTable[Subcategory name],MATCH(Table1[[#This Row],[Category]],SubcategoriesTable[Category name],0),0),"")</f>
        <v>Variable</v>
      </c>
      <c r="F201" s="134">
        <v>-49</v>
      </c>
      <c r="G201" s="167" t="str">
        <f>_xlfn.XLOOKUP(Table1[[#This Row],[Account_ID]], Accounts[ID], Accounts[Account nickname], "Unknown")</f>
        <v>Discover it chrome Card</v>
      </c>
      <c r="H201" s="137" t="str">
        <f>_xlfn.XLOOKUP(Table1[[#This Row],[Account_ID]], Accounts[ID], Accounts[Account'#], "Unknown")</f>
        <v>7328</v>
      </c>
      <c r="I201" s="168" t="str">
        <f>_xlfn.XLOOKUP(Table1[[#This Row],[Institution_ID]], Institutions[ID], Institutions[Institution nickname], "Unknown")</f>
        <v>Discover</v>
      </c>
      <c r="J201" s="139" t="s">
        <v>273</v>
      </c>
      <c r="K201" s="129" t="s">
        <v>110</v>
      </c>
      <c r="L201" s="129" t="s">
        <v>108</v>
      </c>
      <c r="M201" s="130" t="str" cm="1">
        <f t="array" ref="M201">IFERROR(INDEX(CategoriesTable[Category type],MATCH(Table1[[#This Row],[Category]],CategoriesTable[Category name],0),0),"")</f>
        <v>Expense</v>
      </c>
      <c r="N201" s="130" t="str" cm="1">
        <f t="array" ref="N201">IFERROR(INDEX(SubcategoriesTable[Subcategory name],MATCH(Table1[[#This Row],[Category]],SubcategoriesTable[Category name],0),0),"")</f>
        <v>Variable</v>
      </c>
      <c r="O201" s="130">
        <v>11</v>
      </c>
      <c r="P201" s="130">
        <f>MONTH(Table1[[#This Row],[Date]])</f>
        <v>1</v>
      </c>
      <c r="Q201" s="130">
        <v>2021</v>
      </c>
      <c r="R201" s="166">
        <f>IF(ISBLANK(Table1[[#This Row],[Date]]),"",Table1[[#This Row],[Date]]-WEEKDAY(Table1[[#This Row],[Date]],2)+1)</f>
        <v>44207</v>
      </c>
      <c r="S201" s="131">
        <f>IF(ISBLANK(Table1[[#This Row],[Date]]),"",DATE(Table1[[#This Row],[Date_Year]],Table1[[#This Row],[Date_Month]],1))</f>
        <v>44197</v>
      </c>
    </row>
    <row r="202" spans="2:19" ht="15.75" x14ac:dyDescent="0.25">
      <c r="B202" s="133">
        <v>44206</v>
      </c>
      <c r="C202" s="128" t="s">
        <v>163</v>
      </c>
      <c r="D202" s="128" t="s">
        <v>54</v>
      </c>
      <c r="E202" s="128" t="str" cm="1">
        <f t="array" ref="E202">IFERROR(INDEX(SubcategoriesTable[Subcategory name],MATCH(Table1[[#This Row],[Category]],SubcategoriesTable[Category name],0),0),"")</f>
        <v>Fixed</v>
      </c>
      <c r="F202" s="134">
        <v>-14.99</v>
      </c>
      <c r="G202" s="167" t="str">
        <f>_xlfn.XLOOKUP(Table1[[#This Row],[Account_ID]], Accounts[ID], Accounts[Account nickname], "Unknown")</f>
        <v>Discover it chrome Card</v>
      </c>
      <c r="H202" s="137" t="str">
        <f>_xlfn.XLOOKUP(Table1[[#This Row],[Account_ID]], Accounts[ID], Accounts[Account'#], "Unknown")</f>
        <v>7328</v>
      </c>
      <c r="I202" s="168" t="str">
        <f>_xlfn.XLOOKUP(Table1[[#This Row],[Institution_ID]], Institutions[ID], Institutions[Institution nickname], "Unknown")</f>
        <v>Discover</v>
      </c>
      <c r="J202" s="139" t="s">
        <v>274</v>
      </c>
      <c r="K202" s="129" t="s">
        <v>110</v>
      </c>
      <c r="L202" s="129" t="s">
        <v>108</v>
      </c>
      <c r="M202" s="130" t="str" cm="1">
        <f t="array" ref="M202">IFERROR(INDEX(CategoriesTable[Category type],MATCH(Table1[[#This Row],[Category]],CategoriesTable[Category name],0),0),"")</f>
        <v>Expense</v>
      </c>
      <c r="N202" s="130" t="str" cm="1">
        <f t="array" ref="N202">IFERROR(INDEX(SubcategoriesTable[Subcategory name],MATCH(Table1[[#This Row],[Category]],SubcategoriesTable[Category name],0),0),"")</f>
        <v>Fixed</v>
      </c>
      <c r="O202" s="130">
        <v>10</v>
      </c>
      <c r="P202" s="130">
        <f>MONTH(Table1[[#This Row],[Date]])</f>
        <v>1</v>
      </c>
      <c r="Q202" s="130">
        <v>2021</v>
      </c>
      <c r="R202" s="166">
        <f>IF(ISBLANK(Table1[[#This Row],[Date]]),"",Table1[[#This Row],[Date]]-WEEKDAY(Table1[[#This Row],[Date]],2)+1)</f>
        <v>44200</v>
      </c>
      <c r="S202" s="131">
        <f>IF(ISBLANK(Table1[[#This Row],[Date]]),"",DATE(Table1[[#This Row],[Date_Year]],Table1[[#This Row],[Date_Month]],1))</f>
        <v>44197</v>
      </c>
    </row>
    <row r="203" spans="2:19" ht="15.75" x14ac:dyDescent="0.25">
      <c r="B203" s="133">
        <v>44206</v>
      </c>
      <c r="C203" s="128" t="s">
        <v>275</v>
      </c>
      <c r="D203" s="128" t="s">
        <v>56</v>
      </c>
      <c r="E203" s="128" t="str" cm="1">
        <f t="array" ref="E203">IFERROR(INDEX(SubcategoriesTable[Subcategory name],MATCH(Table1[[#This Row],[Category]],SubcategoriesTable[Category name],0),0),"")</f>
        <v>Variable</v>
      </c>
      <c r="F203" s="134">
        <v>-11.45</v>
      </c>
      <c r="G203" s="167" t="str">
        <f>_xlfn.XLOOKUP(Table1[[#This Row],[Account_ID]], Accounts[ID], Accounts[Account nickname], "Unknown")</f>
        <v>Discover it chrome Card</v>
      </c>
      <c r="H203" s="137" t="str">
        <f>_xlfn.XLOOKUP(Table1[[#This Row],[Account_ID]], Accounts[ID], Accounts[Account'#], "Unknown")</f>
        <v>7328</v>
      </c>
      <c r="I203" s="168" t="str">
        <f>_xlfn.XLOOKUP(Table1[[#This Row],[Institution_ID]], Institutions[ID], Institutions[Institution nickname], "Unknown")</f>
        <v>Discover</v>
      </c>
      <c r="J203" s="139" t="s">
        <v>276</v>
      </c>
      <c r="K203" s="129" t="s">
        <v>110</v>
      </c>
      <c r="L203" s="129" t="s">
        <v>108</v>
      </c>
      <c r="M203" s="130" t="str" cm="1">
        <f t="array" ref="M203">IFERROR(INDEX(CategoriesTable[Category type],MATCH(Table1[[#This Row],[Category]],CategoriesTable[Category name],0),0),"")</f>
        <v>Expense</v>
      </c>
      <c r="N203" s="130" t="str" cm="1">
        <f t="array" ref="N203">IFERROR(INDEX(SubcategoriesTable[Subcategory name],MATCH(Table1[[#This Row],[Category]],SubcategoriesTable[Category name],0),0),"")</f>
        <v>Variable</v>
      </c>
      <c r="O203" s="130">
        <v>10</v>
      </c>
      <c r="P203" s="130">
        <f>MONTH(Table1[[#This Row],[Date]])</f>
        <v>1</v>
      </c>
      <c r="Q203" s="130">
        <v>2021</v>
      </c>
      <c r="R203" s="166">
        <f>IF(ISBLANK(Table1[[#This Row],[Date]]),"",Table1[[#This Row],[Date]]-WEEKDAY(Table1[[#This Row],[Date]],2)+1)</f>
        <v>44200</v>
      </c>
      <c r="S203" s="131">
        <f>IF(ISBLANK(Table1[[#This Row],[Date]]),"",DATE(Table1[[#This Row],[Date_Year]],Table1[[#This Row],[Date_Month]],1))</f>
        <v>44197</v>
      </c>
    </row>
    <row r="204" spans="2:19" ht="15.75" x14ac:dyDescent="0.25">
      <c r="B204" s="133">
        <v>44206</v>
      </c>
      <c r="C204" s="128" t="s">
        <v>275</v>
      </c>
      <c r="D204" s="128" t="s">
        <v>56</v>
      </c>
      <c r="E204" s="128" t="str" cm="1">
        <f t="array" ref="E204">IFERROR(INDEX(SubcategoriesTable[Subcategory name],MATCH(Table1[[#This Row],[Category]],SubcategoriesTable[Category name],0),0),"")</f>
        <v>Variable</v>
      </c>
      <c r="F204" s="134">
        <v>-14.47</v>
      </c>
      <c r="G204" s="167" t="str">
        <f>_xlfn.XLOOKUP(Table1[[#This Row],[Account_ID]], Accounts[ID], Accounts[Account nickname], "Unknown")</f>
        <v>Discover it chrome Card</v>
      </c>
      <c r="H204" s="137" t="str">
        <f>_xlfn.XLOOKUP(Table1[[#This Row],[Account_ID]], Accounts[ID], Accounts[Account'#], "Unknown")</f>
        <v>7328</v>
      </c>
      <c r="I204" s="168" t="str">
        <f>_xlfn.XLOOKUP(Table1[[#This Row],[Institution_ID]], Institutions[ID], Institutions[Institution nickname], "Unknown")</f>
        <v>Discover</v>
      </c>
      <c r="J204" s="139" t="s">
        <v>277</v>
      </c>
      <c r="K204" s="129" t="s">
        <v>110</v>
      </c>
      <c r="L204" s="129" t="s">
        <v>108</v>
      </c>
      <c r="M204" s="130" t="str" cm="1">
        <f t="array" ref="M204">IFERROR(INDEX(CategoriesTable[Category type],MATCH(Table1[[#This Row],[Category]],CategoriesTable[Category name],0),0),"")</f>
        <v>Expense</v>
      </c>
      <c r="N204" s="130" t="str" cm="1">
        <f t="array" ref="N204">IFERROR(INDEX(SubcategoriesTable[Subcategory name],MATCH(Table1[[#This Row],[Category]],SubcategoriesTable[Category name],0),0),"")</f>
        <v>Variable</v>
      </c>
      <c r="O204" s="130">
        <v>10</v>
      </c>
      <c r="P204" s="130">
        <f>MONTH(Table1[[#This Row],[Date]])</f>
        <v>1</v>
      </c>
      <c r="Q204" s="130">
        <v>2021</v>
      </c>
      <c r="R204" s="166">
        <f>IF(ISBLANK(Table1[[#This Row],[Date]]),"",Table1[[#This Row],[Date]]-WEEKDAY(Table1[[#This Row],[Date]],2)+1)</f>
        <v>44200</v>
      </c>
      <c r="S204" s="131">
        <f>IF(ISBLANK(Table1[[#This Row],[Date]]),"",DATE(Table1[[#This Row],[Date_Year]],Table1[[#This Row],[Date_Month]],1))</f>
        <v>44197</v>
      </c>
    </row>
    <row r="205" spans="2:19" ht="15.75" x14ac:dyDescent="0.25">
      <c r="B205" s="133">
        <v>44206</v>
      </c>
      <c r="C205" s="128" t="s">
        <v>115</v>
      </c>
      <c r="D205" s="128" t="s">
        <v>48</v>
      </c>
      <c r="E205" s="128" t="str" cm="1">
        <f t="array" ref="E205">IFERROR(INDEX(SubcategoriesTable[Subcategory name],MATCH(Table1[[#This Row],[Category]],SubcategoriesTable[Category name],0),0),"")</f>
        <v>Variable</v>
      </c>
      <c r="F205" s="134">
        <v>-74.16</v>
      </c>
      <c r="G205" s="167" t="str">
        <f>_xlfn.XLOOKUP(Table1[[#This Row],[Account_ID]], Accounts[ID], Accounts[Account nickname], "Unknown")</f>
        <v>Discover it chrome Card</v>
      </c>
      <c r="H205" s="137" t="str">
        <f>_xlfn.XLOOKUP(Table1[[#This Row],[Account_ID]], Accounts[ID], Accounts[Account'#], "Unknown")</f>
        <v>7328</v>
      </c>
      <c r="I205" s="168" t="str">
        <f>_xlfn.XLOOKUP(Table1[[#This Row],[Institution_ID]], Institutions[ID], Institutions[Institution nickname], "Unknown")</f>
        <v>Discover</v>
      </c>
      <c r="J205" s="139" t="s">
        <v>278</v>
      </c>
      <c r="K205" s="129" t="s">
        <v>110</v>
      </c>
      <c r="L205" s="129" t="s">
        <v>108</v>
      </c>
      <c r="M205" s="130" t="str" cm="1">
        <f t="array" ref="M205">IFERROR(INDEX(CategoriesTable[Category type],MATCH(Table1[[#This Row],[Category]],CategoriesTable[Category name],0),0),"")</f>
        <v>Expense</v>
      </c>
      <c r="N205" s="130" t="str" cm="1">
        <f t="array" ref="N205">IFERROR(INDEX(SubcategoriesTable[Subcategory name],MATCH(Table1[[#This Row],[Category]],SubcategoriesTable[Category name],0),0),"")</f>
        <v>Variable</v>
      </c>
      <c r="O205" s="130">
        <v>10</v>
      </c>
      <c r="P205" s="130">
        <f>MONTH(Table1[[#This Row],[Date]])</f>
        <v>1</v>
      </c>
      <c r="Q205" s="130">
        <v>2021</v>
      </c>
      <c r="R205" s="166">
        <f>IF(ISBLANK(Table1[[#This Row],[Date]]),"",Table1[[#This Row],[Date]]-WEEKDAY(Table1[[#This Row],[Date]],2)+1)</f>
        <v>44200</v>
      </c>
      <c r="S205" s="131">
        <f>IF(ISBLANK(Table1[[#This Row],[Date]]),"",DATE(Table1[[#This Row],[Date_Year]],Table1[[#This Row],[Date_Month]],1))</f>
        <v>44197</v>
      </c>
    </row>
    <row r="206" spans="2:19" ht="15.75" x14ac:dyDescent="0.25">
      <c r="B206" s="133">
        <v>44205</v>
      </c>
      <c r="C206" s="128" t="s">
        <v>279</v>
      </c>
      <c r="D206" s="128" t="s">
        <v>60</v>
      </c>
      <c r="E206" s="128" t="str" cm="1">
        <f t="array" ref="E206">IFERROR(INDEX(SubcategoriesTable[Subcategory name],MATCH(Table1[[#This Row],[Category]],SubcategoriesTable[Category name],0),0),"")</f>
        <v>Variable</v>
      </c>
      <c r="F206" s="134">
        <v>-30</v>
      </c>
      <c r="G206" s="167" t="str">
        <f>_xlfn.XLOOKUP(Table1[[#This Row],[Account_ID]], Accounts[ID], Accounts[Account nickname], "Unknown")</f>
        <v>Discover it chrome Card</v>
      </c>
      <c r="H206" s="137" t="str">
        <f>_xlfn.XLOOKUP(Table1[[#This Row],[Account_ID]], Accounts[ID], Accounts[Account'#], "Unknown")</f>
        <v>7328</v>
      </c>
      <c r="I206" s="168" t="str">
        <f>_xlfn.XLOOKUP(Table1[[#This Row],[Institution_ID]], Institutions[ID], Institutions[Institution nickname], "Unknown")</f>
        <v>Discover</v>
      </c>
      <c r="J206" s="139" t="s">
        <v>280</v>
      </c>
      <c r="K206" s="129" t="s">
        <v>110</v>
      </c>
      <c r="L206" s="129" t="s">
        <v>108</v>
      </c>
      <c r="M206" s="130" t="str" cm="1">
        <f t="array" ref="M206">IFERROR(INDEX(CategoriesTable[Category type],MATCH(Table1[[#This Row],[Category]],CategoriesTable[Category name],0),0),"")</f>
        <v>Expense</v>
      </c>
      <c r="N206" s="130" t="str" cm="1">
        <f t="array" ref="N206">IFERROR(INDEX(SubcategoriesTable[Subcategory name],MATCH(Table1[[#This Row],[Category]],SubcategoriesTable[Category name],0),0),"")</f>
        <v>Variable</v>
      </c>
      <c r="O206" s="130">
        <v>9</v>
      </c>
      <c r="P206" s="130">
        <f>MONTH(Table1[[#This Row],[Date]])</f>
        <v>1</v>
      </c>
      <c r="Q206" s="130">
        <v>2021</v>
      </c>
      <c r="R206" s="166">
        <f>IF(ISBLANK(Table1[[#This Row],[Date]]),"",Table1[[#This Row],[Date]]-WEEKDAY(Table1[[#This Row],[Date]],2)+1)</f>
        <v>44200</v>
      </c>
      <c r="S206" s="131">
        <f>IF(ISBLANK(Table1[[#This Row],[Date]]),"",DATE(Table1[[#This Row],[Date_Year]],Table1[[#This Row],[Date_Month]],1))</f>
        <v>44197</v>
      </c>
    </row>
    <row r="207" spans="2:19" ht="15.75" x14ac:dyDescent="0.25">
      <c r="B207" s="133">
        <v>44205</v>
      </c>
      <c r="C207" s="128" t="s">
        <v>115</v>
      </c>
      <c r="D207" s="128" t="s">
        <v>48</v>
      </c>
      <c r="E207" s="128" t="str" cm="1">
        <f t="array" ref="E207">IFERROR(INDEX(SubcategoriesTable[Subcategory name],MATCH(Table1[[#This Row],[Category]],SubcategoriesTable[Category name],0),0),"")</f>
        <v>Variable</v>
      </c>
      <c r="F207" s="134">
        <v>-37.5</v>
      </c>
      <c r="G207" s="167" t="str">
        <f>_xlfn.XLOOKUP(Table1[[#This Row],[Account_ID]], Accounts[ID], Accounts[Account nickname], "Unknown")</f>
        <v>Discover it chrome Card</v>
      </c>
      <c r="H207" s="137" t="str">
        <f>_xlfn.XLOOKUP(Table1[[#This Row],[Account_ID]], Accounts[ID], Accounts[Account'#], "Unknown")</f>
        <v>7328</v>
      </c>
      <c r="I207" s="168" t="str">
        <f>_xlfn.XLOOKUP(Table1[[#This Row],[Institution_ID]], Institutions[ID], Institutions[Institution nickname], "Unknown")</f>
        <v>Discover</v>
      </c>
      <c r="J207" s="139" t="s">
        <v>281</v>
      </c>
      <c r="K207" s="129" t="s">
        <v>110</v>
      </c>
      <c r="L207" s="129" t="s">
        <v>108</v>
      </c>
      <c r="M207" s="130" t="str" cm="1">
        <f t="array" ref="M207">IFERROR(INDEX(CategoriesTable[Category type],MATCH(Table1[[#This Row],[Category]],CategoriesTable[Category name],0),0),"")</f>
        <v>Expense</v>
      </c>
      <c r="N207" s="130" t="str" cm="1">
        <f t="array" ref="N207">IFERROR(INDEX(SubcategoriesTable[Subcategory name],MATCH(Table1[[#This Row],[Category]],SubcategoriesTable[Category name],0),0),"")</f>
        <v>Variable</v>
      </c>
      <c r="O207" s="130">
        <v>9</v>
      </c>
      <c r="P207" s="130">
        <f>MONTH(Table1[[#This Row],[Date]])</f>
        <v>1</v>
      </c>
      <c r="Q207" s="130">
        <v>2021</v>
      </c>
      <c r="R207" s="166">
        <f>IF(ISBLANK(Table1[[#This Row],[Date]]),"",Table1[[#This Row],[Date]]-WEEKDAY(Table1[[#This Row],[Date]],2)+1)</f>
        <v>44200</v>
      </c>
      <c r="S207" s="131">
        <f>IF(ISBLANK(Table1[[#This Row],[Date]]),"",DATE(Table1[[#This Row],[Date_Year]],Table1[[#This Row],[Date_Month]],1))</f>
        <v>44197</v>
      </c>
    </row>
    <row r="208" spans="2:19" ht="15.75" x14ac:dyDescent="0.25">
      <c r="B208" s="133">
        <v>44204</v>
      </c>
      <c r="C208" s="128" t="s">
        <v>171</v>
      </c>
      <c r="D208" s="128" t="s">
        <v>46</v>
      </c>
      <c r="E208" s="128" t="str" cm="1">
        <f t="array" ref="E208">IFERROR(INDEX(SubcategoriesTable[Subcategory name],MATCH(Table1[[#This Row],[Category]],SubcategoriesTable[Category name],0),0),"")</f>
        <v>Variable</v>
      </c>
      <c r="F208" s="134">
        <v>-3.37</v>
      </c>
      <c r="G208" s="167" t="str">
        <f>_xlfn.XLOOKUP(Table1[[#This Row],[Account_ID]], Accounts[ID], Accounts[Account nickname], "Unknown")</f>
        <v>Discover it chrome Card</v>
      </c>
      <c r="H208" s="137" t="str">
        <f>_xlfn.XLOOKUP(Table1[[#This Row],[Account_ID]], Accounts[ID], Accounts[Account'#], "Unknown")</f>
        <v>7328</v>
      </c>
      <c r="I208" s="168" t="str">
        <f>_xlfn.XLOOKUP(Table1[[#This Row],[Institution_ID]], Institutions[ID], Institutions[Institution nickname], "Unknown")</f>
        <v>Discover</v>
      </c>
      <c r="J208" s="139" t="s">
        <v>282</v>
      </c>
      <c r="K208" s="129" t="s">
        <v>110</v>
      </c>
      <c r="L208" s="129" t="s">
        <v>108</v>
      </c>
      <c r="M208" s="130" t="str" cm="1">
        <f t="array" ref="M208">IFERROR(INDEX(CategoriesTable[Category type],MATCH(Table1[[#This Row],[Category]],CategoriesTable[Category name],0),0),"")</f>
        <v>Expense</v>
      </c>
      <c r="N208" s="130" t="str" cm="1">
        <f t="array" ref="N208">IFERROR(INDEX(SubcategoriesTable[Subcategory name],MATCH(Table1[[#This Row],[Category]],SubcategoriesTable[Category name],0),0),"")</f>
        <v>Variable</v>
      </c>
      <c r="O208" s="130">
        <v>8</v>
      </c>
      <c r="P208" s="130">
        <f>MONTH(Table1[[#This Row],[Date]])</f>
        <v>1</v>
      </c>
      <c r="Q208" s="130">
        <v>2021</v>
      </c>
      <c r="R208" s="166">
        <f>IF(ISBLANK(Table1[[#This Row],[Date]]),"",Table1[[#This Row],[Date]]-WEEKDAY(Table1[[#This Row],[Date]],2)+1)</f>
        <v>44200</v>
      </c>
      <c r="S208" s="131">
        <f>IF(ISBLANK(Table1[[#This Row],[Date]]),"",DATE(Table1[[#This Row],[Date_Year]],Table1[[#This Row],[Date_Month]],1))</f>
        <v>44197</v>
      </c>
    </row>
    <row r="209" spans="2:19" ht="15.75" x14ac:dyDescent="0.25">
      <c r="B209" s="133">
        <v>44204</v>
      </c>
      <c r="C209" s="128" t="s">
        <v>283</v>
      </c>
      <c r="D209" s="128" t="s">
        <v>51</v>
      </c>
      <c r="E209" s="128" t="str" cm="1">
        <f t="array" ref="E209">IFERROR(INDEX(SubcategoriesTable[Subcategory name],MATCH(Table1[[#This Row],[Category]],SubcategoriesTable[Category name],0),0),"")</f>
        <v>Variable</v>
      </c>
      <c r="F209" s="134">
        <v>-40.51</v>
      </c>
      <c r="G209" s="167" t="str">
        <f>_xlfn.XLOOKUP(Table1[[#This Row],[Account_ID]], Accounts[ID], Accounts[Account nickname], "Unknown")</f>
        <v>Discover it chrome Card</v>
      </c>
      <c r="H209" s="137" t="str">
        <f>_xlfn.XLOOKUP(Table1[[#This Row],[Account_ID]], Accounts[ID], Accounts[Account'#], "Unknown")</f>
        <v>7328</v>
      </c>
      <c r="I209" s="168" t="str">
        <f>_xlfn.XLOOKUP(Table1[[#This Row],[Institution_ID]], Institutions[ID], Institutions[Institution nickname], "Unknown")</f>
        <v>Discover</v>
      </c>
      <c r="J209" s="139" t="s">
        <v>284</v>
      </c>
      <c r="K209" s="129" t="s">
        <v>110</v>
      </c>
      <c r="L209" s="129" t="s">
        <v>108</v>
      </c>
      <c r="M209" s="130" t="str" cm="1">
        <f t="array" ref="M209">IFERROR(INDEX(CategoriesTable[Category type],MATCH(Table1[[#This Row],[Category]],CategoriesTable[Category name],0),0),"")</f>
        <v>Expense</v>
      </c>
      <c r="N209" s="130" t="str" cm="1">
        <f t="array" ref="N209">IFERROR(INDEX(SubcategoriesTable[Subcategory name],MATCH(Table1[[#This Row],[Category]],SubcategoriesTable[Category name],0),0),"")</f>
        <v>Variable</v>
      </c>
      <c r="O209" s="130">
        <v>8</v>
      </c>
      <c r="P209" s="130">
        <f>MONTH(Table1[[#This Row],[Date]])</f>
        <v>1</v>
      </c>
      <c r="Q209" s="130">
        <v>2021</v>
      </c>
      <c r="R209" s="166">
        <f>IF(ISBLANK(Table1[[#This Row],[Date]]),"",Table1[[#This Row],[Date]]-WEEKDAY(Table1[[#This Row],[Date]],2)+1)</f>
        <v>44200</v>
      </c>
      <c r="S209" s="131">
        <f>IF(ISBLANK(Table1[[#This Row],[Date]]),"",DATE(Table1[[#This Row],[Date_Year]],Table1[[#This Row],[Date_Month]],1))</f>
        <v>44197</v>
      </c>
    </row>
    <row r="210" spans="2:19" ht="15.75" x14ac:dyDescent="0.25">
      <c r="B210" s="133">
        <v>44203</v>
      </c>
      <c r="C210" s="128" t="s">
        <v>285</v>
      </c>
      <c r="D210" s="128" t="s">
        <v>45</v>
      </c>
      <c r="E210" s="128" t="str" cm="1">
        <f t="array" ref="E210">IFERROR(INDEX(SubcategoriesTable[Subcategory name],MATCH(Table1[[#This Row],[Category]],SubcategoriesTable[Category name],0),0),"")</f>
        <v>Variable</v>
      </c>
      <c r="F210" s="134">
        <v>-12.09</v>
      </c>
      <c r="G210" s="167" t="str">
        <f>_xlfn.XLOOKUP(Table1[[#This Row],[Account_ID]], Accounts[ID], Accounts[Account nickname], "Unknown")</f>
        <v>Discover it chrome Card</v>
      </c>
      <c r="H210" s="137" t="str">
        <f>_xlfn.XLOOKUP(Table1[[#This Row],[Account_ID]], Accounts[ID], Accounts[Account'#], "Unknown")</f>
        <v>7328</v>
      </c>
      <c r="I210" s="168" t="str">
        <f>_xlfn.XLOOKUP(Table1[[#This Row],[Institution_ID]], Institutions[ID], Institutions[Institution nickname], "Unknown")</f>
        <v>Discover</v>
      </c>
      <c r="J210" s="139" t="s">
        <v>286</v>
      </c>
      <c r="K210" s="129" t="s">
        <v>110</v>
      </c>
      <c r="L210" s="129" t="s">
        <v>108</v>
      </c>
      <c r="M210" s="130" t="str" cm="1">
        <f t="array" ref="M210">IFERROR(INDEX(CategoriesTable[Category type],MATCH(Table1[[#This Row],[Category]],CategoriesTable[Category name],0),0),"")</f>
        <v>Expense</v>
      </c>
      <c r="N210" s="130" t="str" cm="1">
        <f t="array" ref="N210">IFERROR(INDEX(SubcategoriesTable[Subcategory name],MATCH(Table1[[#This Row],[Category]],SubcategoriesTable[Category name],0),0),"")</f>
        <v>Variable</v>
      </c>
      <c r="O210" s="130">
        <v>7</v>
      </c>
      <c r="P210" s="130">
        <f>MONTH(Table1[[#This Row],[Date]])</f>
        <v>1</v>
      </c>
      <c r="Q210" s="130">
        <v>2021</v>
      </c>
      <c r="R210" s="166">
        <f>IF(ISBLANK(Table1[[#This Row],[Date]]),"",Table1[[#This Row],[Date]]-WEEKDAY(Table1[[#This Row],[Date]],2)+1)</f>
        <v>44200</v>
      </c>
      <c r="S210" s="131">
        <f>IF(ISBLANK(Table1[[#This Row],[Date]]),"",DATE(Table1[[#This Row],[Date_Year]],Table1[[#This Row],[Date_Month]],1))</f>
        <v>44197</v>
      </c>
    </row>
    <row r="211" spans="2:19" ht="15.75" x14ac:dyDescent="0.25">
      <c r="B211" s="133">
        <v>44203</v>
      </c>
      <c r="C211" s="128" t="s">
        <v>287</v>
      </c>
      <c r="D211" s="128" t="s">
        <v>45</v>
      </c>
      <c r="E211" s="128" t="str" cm="1">
        <f t="array" ref="E211">IFERROR(INDEX(SubcategoriesTable[Subcategory name],MATCH(Table1[[#This Row],[Category]],SubcategoriesTable[Category name],0),0),"")</f>
        <v>Variable</v>
      </c>
      <c r="F211" s="134">
        <v>-44</v>
      </c>
      <c r="G211" s="167" t="str">
        <f>_xlfn.XLOOKUP(Table1[[#This Row],[Account_ID]], Accounts[ID], Accounts[Account nickname], "Unknown")</f>
        <v>Discover it chrome Card</v>
      </c>
      <c r="H211" s="137" t="str">
        <f>_xlfn.XLOOKUP(Table1[[#This Row],[Account_ID]], Accounts[ID], Accounts[Account'#], "Unknown")</f>
        <v>7328</v>
      </c>
      <c r="I211" s="168" t="str">
        <f>_xlfn.XLOOKUP(Table1[[#This Row],[Institution_ID]], Institutions[ID], Institutions[Institution nickname], "Unknown")</f>
        <v>Discover</v>
      </c>
      <c r="J211" s="139" t="s">
        <v>288</v>
      </c>
      <c r="K211" s="129" t="s">
        <v>110</v>
      </c>
      <c r="L211" s="129" t="s">
        <v>108</v>
      </c>
      <c r="M211" s="130" t="str" cm="1">
        <f t="array" ref="M211">IFERROR(INDEX(CategoriesTable[Category type],MATCH(Table1[[#This Row],[Category]],CategoriesTable[Category name],0),0),"")</f>
        <v>Expense</v>
      </c>
      <c r="N211" s="130" t="str" cm="1">
        <f t="array" ref="N211">IFERROR(INDEX(SubcategoriesTable[Subcategory name],MATCH(Table1[[#This Row],[Category]],SubcategoriesTable[Category name],0),0),"")</f>
        <v>Variable</v>
      </c>
      <c r="O211" s="130">
        <v>7</v>
      </c>
      <c r="P211" s="130">
        <f>MONTH(Table1[[#This Row],[Date]])</f>
        <v>1</v>
      </c>
      <c r="Q211" s="130">
        <v>2021</v>
      </c>
      <c r="R211" s="166">
        <f>IF(ISBLANK(Table1[[#This Row],[Date]]),"",Table1[[#This Row],[Date]]-WEEKDAY(Table1[[#This Row],[Date]],2)+1)</f>
        <v>44200</v>
      </c>
      <c r="S211" s="131">
        <f>IF(ISBLANK(Table1[[#This Row],[Date]]),"",DATE(Table1[[#This Row],[Date_Year]],Table1[[#This Row],[Date_Month]],1))</f>
        <v>44197</v>
      </c>
    </row>
    <row r="212" spans="2:19" ht="15.75" x14ac:dyDescent="0.25">
      <c r="B212" s="133">
        <v>44203</v>
      </c>
      <c r="C212" s="128" t="s">
        <v>195</v>
      </c>
      <c r="D212" s="128" t="s">
        <v>48</v>
      </c>
      <c r="E212" s="128" t="str" cm="1">
        <f t="array" ref="E212">IFERROR(INDEX(SubcategoriesTable[Subcategory name],MATCH(Table1[[#This Row],[Category]],SubcategoriesTable[Category name],0),0),"")</f>
        <v>Variable</v>
      </c>
      <c r="F212" s="134">
        <v>-14.52</v>
      </c>
      <c r="G212" s="167" t="str">
        <f>_xlfn.XLOOKUP(Table1[[#This Row],[Account_ID]], Accounts[ID], Accounts[Account nickname], "Unknown")</f>
        <v>Discover it chrome Card</v>
      </c>
      <c r="H212" s="137" t="str">
        <f>_xlfn.XLOOKUP(Table1[[#This Row],[Account_ID]], Accounts[ID], Accounts[Account'#], "Unknown")</f>
        <v>7328</v>
      </c>
      <c r="I212" s="168" t="str">
        <f>_xlfn.XLOOKUP(Table1[[#This Row],[Institution_ID]], Institutions[ID], Institutions[Institution nickname], "Unknown")</f>
        <v>Discover</v>
      </c>
      <c r="J212" s="139" t="s">
        <v>289</v>
      </c>
      <c r="K212" s="129" t="s">
        <v>110</v>
      </c>
      <c r="L212" s="129" t="s">
        <v>108</v>
      </c>
      <c r="M212" s="130" t="str" cm="1">
        <f t="array" ref="M212">IFERROR(INDEX(CategoriesTable[Category type],MATCH(Table1[[#This Row],[Category]],CategoriesTable[Category name],0),0),"")</f>
        <v>Expense</v>
      </c>
      <c r="N212" s="130" t="str" cm="1">
        <f t="array" ref="N212">IFERROR(INDEX(SubcategoriesTable[Subcategory name],MATCH(Table1[[#This Row],[Category]],SubcategoriesTable[Category name],0),0),"")</f>
        <v>Variable</v>
      </c>
      <c r="O212" s="130">
        <v>7</v>
      </c>
      <c r="P212" s="130">
        <f>MONTH(Table1[[#This Row],[Date]])</f>
        <v>1</v>
      </c>
      <c r="Q212" s="130">
        <v>2021</v>
      </c>
      <c r="R212" s="166">
        <f>IF(ISBLANK(Table1[[#This Row],[Date]]),"",Table1[[#This Row],[Date]]-WEEKDAY(Table1[[#This Row],[Date]],2)+1)</f>
        <v>44200</v>
      </c>
      <c r="S212" s="131">
        <f>IF(ISBLANK(Table1[[#This Row],[Date]]),"",DATE(Table1[[#This Row],[Date_Year]],Table1[[#This Row],[Date_Month]],1))</f>
        <v>44197</v>
      </c>
    </row>
    <row r="213" spans="2:19" ht="15.75" x14ac:dyDescent="0.25">
      <c r="B213" s="133">
        <v>44202</v>
      </c>
      <c r="C213" s="128" t="s">
        <v>290</v>
      </c>
      <c r="D213" s="128" t="s">
        <v>56</v>
      </c>
      <c r="E213" s="128" t="str" cm="1">
        <f t="array" ref="E213">IFERROR(INDEX(SubcategoriesTable[Subcategory name],MATCH(Table1[[#This Row],[Category]],SubcategoriesTable[Category name],0),0),"")</f>
        <v>Variable</v>
      </c>
      <c r="F213" s="134">
        <v>-24.95</v>
      </c>
      <c r="G213" s="167" t="str">
        <f>_xlfn.XLOOKUP(Table1[[#This Row],[Account_ID]], Accounts[ID], Accounts[Account nickname], "Unknown")</f>
        <v>Discover it chrome Card</v>
      </c>
      <c r="H213" s="137" t="str">
        <f>_xlfn.XLOOKUP(Table1[[#This Row],[Account_ID]], Accounts[ID], Accounts[Account'#], "Unknown")</f>
        <v>7328</v>
      </c>
      <c r="I213" s="168" t="str">
        <f>_xlfn.XLOOKUP(Table1[[#This Row],[Institution_ID]], Institutions[ID], Institutions[Institution nickname], "Unknown")</f>
        <v>Discover</v>
      </c>
      <c r="J213" s="139" t="s">
        <v>291</v>
      </c>
      <c r="K213" s="129" t="s">
        <v>110</v>
      </c>
      <c r="L213" s="129" t="s">
        <v>108</v>
      </c>
      <c r="M213" s="130" t="str" cm="1">
        <f t="array" ref="M213">IFERROR(INDEX(CategoriesTable[Category type],MATCH(Table1[[#This Row],[Category]],CategoriesTable[Category name],0),0),"")</f>
        <v>Expense</v>
      </c>
      <c r="N213" s="130" t="str" cm="1">
        <f t="array" ref="N213">IFERROR(INDEX(SubcategoriesTable[Subcategory name],MATCH(Table1[[#This Row],[Category]],SubcategoriesTable[Category name],0),0),"")</f>
        <v>Variable</v>
      </c>
      <c r="O213" s="130">
        <v>6</v>
      </c>
      <c r="P213" s="130">
        <f>MONTH(Table1[[#This Row],[Date]])</f>
        <v>1</v>
      </c>
      <c r="Q213" s="130">
        <v>2021</v>
      </c>
      <c r="R213" s="166">
        <f>IF(ISBLANK(Table1[[#This Row],[Date]]),"",Table1[[#This Row],[Date]]-WEEKDAY(Table1[[#This Row],[Date]],2)+1)</f>
        <v>44200</v>
      </c>
      <c r="S213" s="131">
        <f>IF(ISBLANK(Table1[[#This Row],[Date]]),"",DATE(Table1[[#This Row],[Date_Year]],Table1[[#This Row],[Date_Month]],1))</f>
        <v>44197</v>
      </c>
    </row>
    <row r="214" spans="2:19" ht="15.75" x14ac:dyDescent="0.25">
      <c r="B214" s="133">
        <v>44202</v>
      </c>
      <c r="C214" s="128" t="s">
        <v>292</v>
      </c>
      <c r="D214" s="128" t="s">
        <v>51</v>
      </c>
      <c r="E214" s="128" t="str" cm="1">
        <f t="array" ref="E214">IFERROR(INDEX(SubcategoriesTable[Subcategory name],MATCH(Table1[[#This Row],[Category]],SubcategoriesTable[Category name],0),0),"")</f>
        <v>Variable</v>
      </c>
      <c r="F214" s="134">
        <v>-30</v>
      </c>
      <c r="G214" s="167" t="str">
        <f>_xlfn.XLOOKUP(Table1[[#This Row],[Account_ID]], Accounts[ID], Accounts[Account nickname], "Unknown")</f>
        <v>Discover it chrome Card</v>
      </c>
      <c r="H214" s="137" t="str">
        <f>_xlfn.XLOOKUP(Table1[[#This Row],[Account_ID]], Accounts[ID], Accounts[Account'#], "Unknown")</f>
        <v>7328</v>
      </c>
      <c r="I214" s="168" t="str">
        <f>_xlfn.XLOOKUP(Table1[[#This Row],[Institution_ID]], Institutions[ID], Institutions[Institution nickname], "Unknown")</f>
        <v>Discover</v>
      </c>
      <c r="J214" s="139" t="s">
        <v>293</v>
      </c>
      <c r="K214" s="129" t="s">
        <v>110</v>
      </c>
      <c r="L214" s="129" t="s">
        <v>108</v>
      </c>
      <c r="M214" s="130" t="str" cm="1">
        <f t="array" ref="M214">IFERROR(INDEX(CategoriesTable[Category type],MATCH(Table1[[#This Row],[Category]],CategoriesTable[Category name],0),0),"")</f>
        <v>Expense</v>
      </c>
      <c r="N214" s="130" t="str" cm="1">
        <f t="array" ref="N214">IFERROR(INDEX(SubcategoriesTable[Subcategory name],MATCH(Table1[[#This Row],[Category]],SubcategoriesTable[Category name],0),0),"")</f>
        <v>Variable</v>
      </c>
      <c r="O214" s="130">
        <v>6</v>
      </c>
      <c r="P214" s="130">
        <f>MONTH(Table1[[#This Row],[Date]])</f>
        <v>1</v>
      </c>
      <c r="Q214" s="130">
        <v>2021</v>
      </c>
      <c r="R214" s="166">
        <f>IF(ISBLANK(Table1[[#This Row],[Date]]),"",Table1[[#This Row],[Date]]-WEEKDAY(Table1[[#This Row],[Date]],2)+1)</f>
        <v>44200</v>
      </c>
      <c r="S214" s="131">
        <f>IF(ISBLANK(Table1[[#This Row],[Date]]),"",DATE(Table1[[#This Row],[Date_Year]],Table1[[#This Row],[Date_Month]],1))</f>
        <v>44197</v>
      </c>
    </row>
    <row r="215" spans="2:19" ht="15.75" x14ac:dyDescent="0.25">
      <c r="B215" s="133">
        <v>44202</v>
      </c>
      <c r="C215" s="128" t="s">
        <v>195</v>
      </c>
      <c r="D215" s="128" t="s">
        <v>48</v>
      </c>
      <c r="E215" s="128" t="str" cm="1">
        <f t="array" ref="E215">IFERROR(INDEX(SubcategoriesTable[Subcategory name],MATCH(Table1[[#This Row],[Category]],SubcategoriesTable[Category name],0),0),"")</f>
        <v>Variable</v>
      </c>
      <c r="F215" s="134">
        <v>-24.24</v>
      </c>
      <c r="G215" s="167" t="str">
        <f>_xlfn.XLOOKUP(Table1[[#This Row],[Account_ID]], Accounts[ID], Accounts[Account nickname], "Unknown")</f>
        <v>Discover it chrome Card</v>
      </c>
      <c r="H215" s="137" t="str">
        <f>_xlfn.XLOOKUP(Table1[[#This Row],[Account_ID]], Accounts[ID], Accounts[Account'#], "Unknown")</f>
        <v>7328</v>
      </c>
      <c r="I215" s="168" t="str">
        <f>_xlfn.XLOOKUP(Table1[[#This Row],[Institution_ID]], Institutions[ID], Institutions[Institution nickname], "Unknown")</f>
        <v>Discover</v>
      </c>
      <c r="J215" s="139" t="s">
        <v>294</v>
      </c>
      <c r="K215" s="129" t="s">
        <v>110</v>
      </c>
      <c r="L215" s="129" t="s">
        <v>108</v>
      </c>
      <c r="M215" s="130" t="str" cm="1">
        <f t="array" ref="M215">IFERROR(INDEX(CategoriesTable[Category type],MATCH(Table1[[#This Row],[Category]],CategoriesTable[Category name],0),0),"")</f>
        <v>Expense</v>
      </c>
      <c r="N215" s="130" t="str" cm="1">
        <f t="array" ref="N215">IFERROR(INDEX(SubcategoriesTable[Subcategory name],MATCH(Table1[[#This Row],[Category]],SubcategoriesTable[Category name],0),0),"")</f>
        <v>Variable</v>
      </c>
      <c r="O215" s="130">
        <v>6</v>
      </c>
      <c r="P215" s="130">
        <f>MONTH(Table1[[#This Row],[Date]])</f>
        <v>1</v>
      </c>
      <c r="Q215" s="130">
        <v>2021</v>
      </c>
      <c r="R215" s="166">
        <f>IF(ISBLANK(Table1[[#This Row],[Date]]),"",Table1[[#This Row],[Date]]-WEEKDAY(Table1[[#This Row],[Date]],2)+1)</f>
        <v>44200</v>
      </c>
      <c r="S215" s="131">
        <f>IF(ISBLANK(Table1[[#This Row],[Date]]),"",DATE(Table1[[#This Row],[Date_Year]],Table1[[#This Row],[Date_Month]],1))</f>
        <v>44197</v>
      </c>
    </row>
    <row r="216" spans="2:19" ht="15.75" x14ac:dyDescent="0.25">
      <c r="B216" s="133">
        <v>44201</v>
      </c>
      <c r="C216" s="128" t="s">
        <v>295</v>
      </c>
      <c r="D216" s="128" t="s">
        <v>56</v>
      </c>
      <c r="E216" s="128" t="str" cm="1">
        <f t="array" ref="E216">IFERROR(INDEX(SubcategoriesTable[Subcategory name],MATCH(Table1[[#This Row],[Category]],SubcategoriesTable[Category name],0),0),"")</f>
        <v>Variable</v>
      </c>
      <c r="F216" s="134">
        <v>-39.950000000000003</v>
      </c>
      <c r="G216" s="167" t="str">
        <f>_xlfn.XLOOKUP(Table1[[#This Row],[Account_ID]], Accounts[ID], Accounts[Account nickname], "Unknown")</f>
        <v>Discover it chrome Card</v>
      </c>
      <c r="H216" s="137" t="str">
        <f>_xlfn.XLOOKUP(Table1[[#This Row],[Account_ID]], Accounts[ID], Accounts[Account'#], "Unknown")</f>
        <v>7328</v>
      </c>
      <c r="I216" s="168" t="str">
        <f>_xlfn.XLOOKUP(Table1[[#This Row],[Institution_ID]], Institutions[ID], Institutions[Institution nickname], "Unknown")</f>
        <v>Discover</v>
      </c>
      <c r="J216" s="139" t="s">
        <v>296</v>
      </c>
      <c r="K216" s="129" t="s">
        <v>110</v>
      </c>
      <c r="L216" s="129" t="s">
        <v>108</v>
      </c>
      <c r="M216" s="130" t="str" cm="1">
        <f t="array" ref="M216">IFERROR(INDEX(CategoriesTable[Category type],MATCH(Table1[[#This Row],[Category]],CategoriesTable[Category name],0),0),"")</f>
        <v>Expense</v>
      </c>
      <c r="N216" s="130" t="str" cm="1">
        <f t="array" ref="N216">IFERROR(INDEX(SubcategoriesTable[Subcategory name],MATCH(Table1[[#This Row],[Category]],SubcategoriesTable[Category name],0),0),"")</f>
        <v>Variable</v>
      </c>
      <c r="O216" s="130">
        <v>5</v>
      </c>
      <c r="P216" s="130">
        <f>MONTH(Table1[[#This Row],[Date]])</f>
        <v>1</v>
      </c>
      <c r="Q216" s="130">
        <v>2021</v>
      </c>
      <c r="R216" s="166">
        <f>IF(ISBLANK(Table1[[#This Row],[Date]]),"",Table1[[#This Row],[Date]]-WEEKDAY(Table1[[#This Row],[Date]],2)+1)</f>
        <v>44200</v>
      </c>
      <c r="S216" s="131">
        <f>IF(ISBLANK(Table1[[#This Row],[Date]]),"",DATE(Table1[[#This Row],[Date_Year]],Table1[[#This Row],[Date_Month]],1))</f>
        <v>44197</v>
      </c>
    </row>
    <row r="217" spans="2:19" ht="15.75" x14ac:dyDescent="0.25">
      <c r="B217" s="133">
        <v>44201</v>
      </c>
      <c r="C217" s="128" t="s">
        <v>146</v>
      </c>
      <c r="D217" s="128" t="s">
        <v>54</v>
      </c>
      <c r="E217" s="128" t="str" cm="1">
        <f t="array" ref="E217">IFERROR(INDEX(SubcategoriesTable[Subcategory name],MATCH(Table1[[#This Row],[Category]],SubcategoriesTable[Category name],0),0),"")</f>
        <v>Fixed</v>
      </c>
      <c r="F217" s="134">
        <v>-91.78</v>
      </c>
      <c r="G217" s="167" t="str">
        <f>_xlfn.XLOOKUP(Table1[[#This Row],[Account_ID]], Accounts[ID], Accounts[Account nickname], "Unknown")</f>
        <v>Discover it chrome Card</v>
      </c>
      <c r="H217" s="137" t="str">
        <f>_xlfn.XLOOKUP(Table1[[#This Row],[Account_ID]], Accounts[ID], Accounts[Account'#], "Unknown")</f>
        <v>7328</v>
      </c>
      <c r="I217" s="168" t="str">
        <f>_xlfn.XLOOKUP(Table1[[#This Row],[Institution_ID]], Institutions[ID], Institutions[Institution nickname], "Unknown")</f>
        <v>Discover</v>
      </c>
      <c r="J217" s="139" t="s">
        <v>297</v>
      </c>
      <c r="K217" s="129" t="s">
        <v>110</v>
      </c>
      <c r="L217" s="129" t="s">
        <v>108</v>
      </c>
      <c r="M217" s="130" t="str" cm="1">
        <f t="array" ref="M217">IFERROR(INDEX(CategoriesTable[Category type],MATCH(Table1[[#This Row],[Category]],CategoriesTable[Category name],0),0),"")</f>
        <v>Expense</v>
      </c>
      <c r="N217" s="130" t="str" cm="1">
        <f t="array" ref="N217">IFERROR(INDEX(SubcategoriesTable[Subcategory name],MATCH(Table1[[#This Row],[Category]],SubcategoriesTable[Category name],0),0),"")</f>
        <v>Fixed</v>
      </c>
      <c r="O217" s="130">
        <v>5</v>
      </c>
      <c r="P217" s="130">
        <f>MONTH(Table1[[#This Row],[Date]])</f>
        <v>1</v>
      </c>
      <c r="Q217" s="130">
        <v>2021</v>
      </c>
      <c r="R217" s="166">
        <f>IF(ISBLANK(Table1[[#This Row],[Date]]),"",Table1[[#This Row],[Date]]-WEEKDAY(Table1[[#This Row],[Date]],2)+1)</f>
        <v>44200</v>
      </c>
      <c r="S217" s="131">
        <f>IF(ISBLANK(Table1[[#This Row],[Date]]),"",DATE(Table1[[#This Row],[Date_Year]],Table1[[#This Row],[Date_Month]],1))</f>
        <v>44197</v>
      </c>
    </row>
    <row r="218" spans="2:19" ht="15.75" x14ac:dyDescent="0.25">
      <c r="B218" s="133">
        <v>44201</v>
      </c>
      <c r="C218" s="128" t="s">
        <v>127</v>
      </c>
      <c r="D218" s="128" t="s">
        <v>46</v>
      </c>
      <c r="E218" s="128" t="str" cm="1">
        <f t="array" ref="E218">IFERROR(INDEX(SubcategoriesTable[Subcategory name],MATCH(Table1[[#This Row],[Category]],SubcategoriesTable[Category name],0),0),"")</f>
        <v>Variable</v>
      </c>
      <c r="F218" s="134">
        <v>-19.989999999999998</v>
      </c>
      <c r="G218" s="167" t="str">
        <f>_xlfn.XLOOKUP(Table1[[#This Row],[Account_ID]], Accounts[ID], Accounts[Account nickname], "Unknown")</f>
        <v>Discover it chrome Card</v>
      </c>
      <c r="H218" s="137" t="str">
        <f>_xlfn.XLOOKUP(Table1[[#This Row],[Account_ID]], Accounts[ID], Accounts[Account'#], "Unknown")</f>
        <v>7328</v>
      </c>
      <c r="I218" s="168" t="str">
        <f>_xlfn.XLOOKUP(Table1[[#This Row],[Institution_ID]], Institutions[ID], Institutions[Institution nickname], "Unknown")</f>
        <v>Discover</v>
      </c>
      <c r="J218" s="139" t="s">
        <v>298</v>
      </c>
      <c r="K218" s="129" t="s">
        <v>110</v>
      </c>
      <c r="L218" s="129" t="s">
        <v>108</v>
      </c>
      <c r="M218" s="130" t="str" cm="1">
        <f t="array" ref="M218">IFERROR(INDEX(CategoriesTable[Category type],MATCH(Table1[[#This Row],[Category]],CategoriesTable[Category name],0),0),"")</f>
        <v>Expense</v>
      </c>
      <c r="N218" s="130" t="str" cm="1">
        <f t="array" ref="N218">IFERROR(INDEX(SubcategoriesTable[Subcategory name],MATCH(Table1[[#This Row],[Category]],SubcategoriesTable[Category name],0),0),"")</f>
        <v>Variable</v>
      </c>
      <c r="O218" s="130">
        <v>5</v>
      </c>
      <c r="P218" s="130">
        <f>MONTH(Table1[[#This Row],[Date]])</f>
        <v>1</v>
      </c>
      <c r="Q218" s="130">
        <v>2021</v>
      </c>
      <c r="R218" s="166">
        <f>IF(ISBLANK(Table1[[#This Row],[Date]]),"",Table1[[#This Row],[Date]]-WEEKDAY(Table1[[#This Row],[Date]],2)+1)</f>
        <v>44200</v>
      </c>
      <c r="S218" s="131">
        <f>IF(ISBLANK(Table1[[#This Row],[Date]]),"",DATE(Table1[[#This Row],[Date_Year]],Table1[[#This Row],[Date_Month]],1))</f>
        <v>44197</v>
      </c>
    </row>
    <row r="219" spans="2:19" ht="15.75" x14ac:dyDescent="0.25">
      <c r="B219" s="133">
        <v>44200</v>
      </c>
      <c r="C219" s="128" t="s">
        <v>1180</v>
      </c>
      <c r="D219" s="128" t="s">
        <v>50</v>
      </c>
      <c r="E219" s="128" t="str" cm="1">
        <f t="array" ref="E219">IFERROR(INDEX(SubcategoriesTable[Subcategory name],MATCH(Table1[[#This Row],[Category]],SubcategoriesTable[Category name],0),0),"")</f>
        <v>Variable</v>
      </c>
      <c r="F219" s="134">
        <v>-700</v>
      </c>
      <c r="G219" s="167" t="str">
        <f>_xlfn.XLOOKUP(Table1[[#This Row],[Account_ID]], Accounts[ID], Accounts[Account nickname], "Unknown")</f>
        <v>EVERYDAY CHECKING</v>
      </c>
      <c r="H219" s="137" t="str">
        <f>_xlfn.XLOOKUP(Table1[[#This Row],[Account_ID]], Accounts[ID], Accounts[Account'#], "Unknown")</f>
        <v>4636</v>
      </c>
      <c r="I219" s="168" t="str">
        <f>_xlfn.XLOOKUP(Table1[[#This Row],[Institution_ID]], Institutions[ID], Institutions[Institution nickname], "Unknown")</f>
        <v>Wells Fargo</v>
      </c>
      <c r="J219" s="139" t="s">
        <v>1412</v>
      </c>
      <c r="K219" s="129" t="s">
        <v>1229</v>
      </c>
      <c r="L219" s="129" t="s">
        <v>1228</v>
      </c>
      <c r="M219" s="130" t="str" cm="1">
        <f t="array" ref="M219">IFERROR(INDEX(CategoriesTable[Category type],MATCH(Table1[[#This Row],[Category]],CategoriesTable[Category name],0),0),"")</f>
        <v>Transfer</v>
      </c>
      <c r="N219" s="130" t="str" cm="1">
        <f t="array" ref="N219">IFERROR(INDEX(SubcategoriesTable[Subcategory name],MATCH(Table1[[#This Row],[Category]],SubcategoriesTable[Category name],0),0),"")</f>
        <v>Variable</v>
      </c>
      <c r="O219" s="130">
        <v>4</v>
      </c>
      <c r="P219" s="130">
        <f>MONTH(Table1[[#This Row],[Date]])</f>
        <v>1</v>
      </c>
      <c r="Q219" s="130">
        <v>2021</v>
      </c>
      <c r="R219" s="166">
        <f>IF(ISBLANK(Table1[[#This Row],[Date]]),"",Table1[[#This Row],[Date]]-WEEKDAY(Table1[[#This Row],[Date]],2)+1)</f>
        <v>44200</v>
      </c>
      <c r="S219" s="131">
        <f>IF(ISBLANK(Table1[[#This Row],[Date]]),"",DATE(Table1[[#This Row],[Date_Year]],Table1[[#This Row],[Date_Month]],1))</f>
        <v>44197</v>
      </c>
    </row>
    <row r="220" spans="2:19" ht="15.75" x14ac:dyDescent="0.25">
      <c r="B220" s="133">
        <v>44200</v>
      </c>
      <c r="C220" s="128" t="s">
        <v>1197</v>
      </c>
      <c r="D220" s="128" t="s">
        <v>57</v>
      </c>
      <c r="E220" s="128" t="str" cm="1">
        <f t="array" ref="E220">IFERROR(INDEX(SubcategoriesTable[Subcategory name],MATCH(Table1[[#This Row],[Category]],SubcategoriesTable[Category name],0),0),"")</f>
        <v>Variable</v>
      </c>
      <c r="F220" s="134">
        <v>600</v>
      </c>
      <c r="G220" s="167" t="str">
        <f>_xlfn.XLOOKUP(Table1[[#This Row],[Account_ID]], Accounts[ID], Accounts[Account nickname], "Unknown")</f>
        <v>EVERYDAY CHECKING</v>
      </c>
      <c r="H220" s="137" t="str">
        <f>_xlfn.XLOOKUP(Table1[[#This Row],[Account_ID]], Accounts[ID], Accounts[Account'#], "Unknown")</f>
        <v>4636</v>
      </c>
      <c r="I220" s="168" t="str">
        <f>_xlfn.XLOOKUP(Table1[[#This Row],[Institution_ID]], Institutions[ID], Institutions[Institution nickname], "Unknown")</f>
        <v>Wells Fargo</v>
      </c>
      <c r="J220" s="139" t="s">
        <v>1413</v>
      </c>
      <c r="K220" s="129" t="s">
        <v>1229</v>
      </c>
      <c r="L220" s="129" t="s">
        <v>1228</v>
      </c>
      <c r="M220" s="130" t="str" cm="1">
        <f t="array" ref="M220">IFERROR(INDEX(CategoriesTable[Category type],MATCH(Table1[[#This Row],[Category]],CategoriesTable[Category name],0),0),"")</f>
        <v>Transfer</v>
      </c>
      <c r="N220" s="130" t="str" cm="1">
        <f t="array" ref="N220">IFERROR(INDEX(SubcategoriesTable[Subcategory name],MATCH(Table1[[#This Row],[Category]],SubcategoriesTable[Category name],0),0),"")</f>
        <v>Variable</v>
      </c>
      <c r="O220" s="130">
        <v>4</v>
      </c>
      <c r="P220" s="130">
        <f>MONTH(Table1[[#This Row],[Date]])</f>
        <v>1</v>
      </c>
      <c r="Q220" s="130">
        <v>2021</v>
      </c>
      <c r="R220" s="166">
        <f>IF(ISBLANK(Table1[[#This Row],[Date]]),"",Table1[[#This Row],[Date]]-WEEKDAY(Table1[[#This Row],[Date]],2)+1)</f>
        <v>44200</v>
      </c>
      <c r="S220" s="131">
        <f>IF(ISBLANK(Table1[[#This Row],[Date]]),"",DATE(Table1[[#This Row],[Date_Year]],Table1[[#This Row],[Date_Month]],1))</f>
        <v>44197</v>
      </c>
    </row>
    <row r="221" spans="2:19" ht="15.75" x14ac:dyDescent="0.25">
      <c r="B221" s="133">
        <v>44197</v>
      </c>
      <c r="C221" s="128" t="s">
        <v>113</v>
      </c>
      <c r="D221" s="128" t="s">
        <v>50</v>
      </c>
      <c r="E221" s="128" t="str" cm="1">
        <f t="array" ref="E221">IFERROR(INDEX(SubcategoriesTable[Subcategory name],MATCH(Table1[[#This Row],[Category]],SubcategoriesTable[Category name],0),0),"")</f>
        <v>Variable</v>
      </c>
      <c r="F221" s="134">
        <v>700</v>
      </c>
      <c r="G221" s="167" t="str">
        <f>_xlfn.XLOOKUP(Table1[[#This Row],[Account_ID]], Accounts[ID], Accounts[Account nickname], "Unknown")</f>
        <v>Discover it chrome Card</v>
      </c>
      <c r="H221" s="137" t="str">
        <f>_xlfn.XLOOKUP(Table1[[#This Row],[Account_ID]], Accounts[ID], Accounts[Account'#], "Unknown")</f>
        <v>7328</v>
      </c>
      <c r="I221" s="168" t="str">
        <f>_xlfn.XLOOKUP(Table1[[#This Row],[Institution_ID]], Institutions[ID], Institutions[Institution nickname], "Unknown")</f>
        <v>Discover</v>
      </c>
      <c r="J221" s="139" t="s">
        <v>299</v>
      </c>
      <c r="K221" s="129" t="s">
        <v>110</v>
      </c>
      <c r="L221" s="129" t="s">
        <v>108</v>
      </c>
      <c r="M221" s="130" t="str" cm="1">
        <f t="array" ref="M221">IFERROR(INDEX(CategoriesTable[Category type],MATCH(Table1[[#This Row],[Category]],CategoriesTable[Category name],0),0),"")</f>
        <v>Transfer</v>
      </c>
      <c r="N221" s="130" t="str" cm="1">
        <f t="array" ref="N221">IFERROR(INDEX(SubcategoriesTable[Subcategory name],MATCH(Table1[[#This Row],[Category]],SubcategoriesTable[Category name],0),0),"")</f>
        <v>Variable</v>
      </c>
      <c r="O221" s="130">
        <v>1</v>
      </c>
      <c r="P221" s="130">
        <f>MONTH(Table1[[#This Row],[Date]])</f>
        <v>1</v>
      </c>
      <c r="Q221" s="130">
        <v>2021</v>
      </c>
      <c r="R221" s="166">
        <f>IF(ISBLANK(Table1[[#This Row],[Date]]),"",Table1[[#This Row],[Date]]-WEEKDAY(Table1[[#This Row],[Date]],2)+1)</f>
        <v>44193</v>
      </c>
      <c r="S221" s="131">
        <f>IF(ISBLANK(Table1[[#This Row],[Date]]),"",DATE(Table1[[#This Row],[Date_Year]],Table1[[#This Row],[Date_Month]],1))</f>
        <v>44197</v>
      </c>
    </row>
    <row r="222" spans="2:19" ht="15.75" x14ac:dyDescent="0.25">
      <c r="B222" s="133">
        <v>44197</v>
      </c>
      <c r="C222" s="128" t="s">
        <v>152</v>
      </c>
      <c r="D222" s="128" t="s">
        <v>54</v>
      </c>
      <c r="E222" s="128" t="str" cm="1">
        <f t="array" ref="E222">IFERROR(INDEX(SubcategoriesTable[Subcategory name],MATCH(Table1[[#This Row],[Category]],SubcategoriesTable[Category name],0),0),"")</f>
        <v>Fixed</v>
      </c>
      <c r="F222" s="134">
        <v>-13.99</v>
      </c>
      <c r="G222" s="167" t="str">
        <f>_xlfn.XLOOKUP(Table1[[#This Row],[Account_ID]], Accounts[ID], Accounts[Account nickname], "Unknown")</f>
        <v>Discover it chrome Card</v>
      </c>
      <c r="H222" s="137" t="str">
        <f>_xlfn.XLOOKUP(Table1[[#This Row],[Account_ID]], Accounts[ID], Accounts[Account'#], "Unknown")</f>
        <v>7328</v>
      </c>
      <c r="I222" s="168" t="str">
        <f>_xlfn.XLOOKUP(Table1[[#This Row],[Institution_ID]], Institutions[ID], Institutions[Institution nickname], "Unknown")</f>
        <v>Discover</v>
      </c>
      <c r="J222" s="139" t="s">
        <v>300</v>
      </c>
      <c r="K222" s="129" t="s">
        <v>110</v>
      </c>
      <c r="L222" s="129" t="s">
        <v>108</v>
      </c>
      <c r="M222" s="130" t="str" cm="1">
        <f t="array" ref="M222">IFERROR(INDEX(CategoriesTable[Category type],MATCH(Table1[[#This Row],[Category]],CategoriesTable[Category name],0),0),"")</f>
        <v>Expense</v>
      </c>
      <c r="N222" s="130" t="str" cm="1">
        <f t="array" ref="N222">IFERROR(INDEX(SubcategoriesTable[Subcategory name],MATCH(Table1[[#This Row],[Category]],SubcategoriesTable[Category name],0),0),"")</f>
        <v>Fixed</v>
      </c>
      <c r="O222" s="130">
        <v>1</v>
      </c>
      <c r="P222" s="130">
        <f>MONTH(Table1[[#This Row],[Date]])</f>
        <v>1</v>
      </c>
      <c r="Q222" s="130">
        <v>2021</v>
      </c>
      <c r="R222" s="166">
        <f>IF(ISBLANK(Table1[[#This Row],[Date]]),"",Table1[[#This Row],[Date]]-WEEKDAY(Table1[[#This Row],[Date]],2)+1)</f>
        <v>44193</v>
      </c>
      <c r="S222" s="131">
        <f>IF(ISBLANK(Table1[[#This Row],[Date]]),"",DATE(Table1[[#This Row],[Date_Year]],Table1[[#This Row],[Date_Month]],1))</f>
        <v>44197</v>
      </c>
    </row>
    <row r="223" spans="2:19" ht="15.75" x14ac:dyDescent="0.25">
      <c r="B223" s="133">
        <v>44197</v>
      </c>
      <c r="C223" s="128" t="s">
        <v>148</v>
      </c>
      <c r="D223" s="128" t="s">
        <v>54</v>
      </c>
      <c r="E223" s="128" t="str" cm="1">
        <f t="array" ref="E223">IFERROR(INDEX(SubcategoriesTable[Subcategory name],MATCH(Table1[[#This Row],[Category]],SubcategoriesTable[Category name],0),0),"")</f>
        <v>Fixed</v>
      </c>
      <c r="F223" s="134">
        <v>-9.99</v>
      </c>
      <c r="G223" s="167" t="str">
        <f>_xlfn.XLOOKUP(Table1[[#This Row],[Account_ID]], Accounts[ID], Accounts[Account nickname], "Unknown")</f>
        <v>Discover it chrome Card</v>
      </c>
      <c r="H223" s="137" t="str">
        <f>_xlfn.XLOOKUP(Table1[[#This Row],[Account_ID]], Accounts[ID], Accounts[Account'#], "Unknown")</f>
        <v>7328</v>
      </c>
      <c r="I223" s="168" t="str">
        <f>_xlfn.XLOOKUP(Table1[[#This Row],[Institution_ID]], Institutions[ID], Institutions[Institution nickname], "Unknown")</f>
        <v>Discover</v>
      </c>
      <c r="J223" s="139" t="s">
        <v>301</v>
      </c>
      <c r="K223" s="129" t="s">
        <v>110</v>
      </c>
      <c r="L223" s="129" t="s">
        <v>108</v>
      </c>
      <c r="M223" s="130" t="str" cm="1">
        <f t="array" ref="M223">IFERROR(INDEX(CategoriesTable[Category type],MATCH(Table1[[#This Row],[Category]],CategoriesTable[Category name],0),0),"")</f>
        <v>Expense</v>
      </c>
      <c r="N223" s="130" t="str" cm="1">
        <f t="array" ref="N223">IFERROR(INDEX(SubcategoriesTable[Subcategory name],MATCH(Table1[[#This Row],[Category]],SubcategoriesTable[Category name],0),0),"")</f>
        <v>Fixed</v>
      </c>
      <c r="O223" s="130">
        <v>1</v>
      </c>
      <c r="P223" s="130">
        <f>MONTH(Table1[[#This Row],[Date]])</f>
        <v>1</v>
      </c>
      <c r="Q223" s="130">
        <v>2021</v>
      </c>
      <c r="R223" s="166">
        <f>IF(ISBLANK(Table1[[#This Row],[Date]]),"",Table1[[#This Row],[Date]]-WEEKDAY(Table1[[#This Row],[Date]],2)+1)</f>
        <v>44193</v>
      </c>
      <c r="S223" s="131">
        <f>IF(ISBLANK(Table1[[#This Row],[Date]]),"",DATE(Table1[[#This Row],[Date_Year]],Table1[[#This Row],[Date_Month]],1))</f>
        <v>44197</v>
      </c>
    </row>
    <row r="224" spans="2:19" ht="15.75" x14ac:dyDescent="0.25">
      <c r="B224" s="133">
        <v>44197</v>
      </c>
      <c r="C224" s="128" t="s">
        <v>302</v>
      </c>
      <c r="D224" s="128" t="s">
        <v>52</v>
      </c>
      <c r="E224" s="128" t="str" cm="1">
        <f t="array" ref="E224">IFERROR(INDEX(SubcategoriesTable[Subcategory name],MATCH(Table1[[#This Row],[Category]],SubcategoriesTable[Category name],0),0),"")</f>
        <v>Variable</v>
      </c>
      <c r="F224" s="134">
        <v>-18.87</v>
      </c>
      <c r="G224" s="167" t="str">
        <f>_xlfn.XLOOKUP(Table1[[#This Row],[Account_ID]], Accounts[ID], Accounts[Account nickname], "Unknown")</f>
        <v>Discover it chrome Card</v>
      </c>
      <c r="H224" s="137" t="str">
        <f>_xlfn.XLOOKUP(Table1[[#This Row],[Account_ID]], Accounts[ID], Accounts[Account'#], "Unknown")</f>
        <v>7328</v>
      </c>
      <c r="I224" s="168" t="str">
        <f>_xlfn.XLOOKUP(Table1[[#This Row],[Institution_ID]], Institutions[ID], Institutions[Institution nickname], "Unknown")</f>
        <v>Discover</v>
      </c>
      <c r="J224" s="139" t="s">
        <v>303</v>
      </c>
      <c r="K224" s="129" t="s">
        <v>110</v>
      </c>
      <c r="L224" s="129" t="s">
        <v>108</v>
      </c>
      <c r="M224" s="130" t="str" cm="1">
        <f t="array" ref="M224">IFERROR(INDEX(CategoriesTable[Category type],MATCH(Table1[[#This Row],[Category]],CategoriesTable[Category name],0),0),"")</f>
        <v>Expense</v>
      </c>
      <c r="N224" s="130" t="str" cm="1">
        <f t="array" ref="N224">IFERROR(INDEX(SubcategoriesTable[Subcategory name],MATCH(Table1[[#This Row],[Category]],SubcategoriesTable[Category name],0),0),"")</f>
        <v>Variable</v>
      </c>
      <c r="O224" s="130">
        <v>1</v>
      </c>
      <c r="P224" s="130">
        <f>MONTH(Table1[[#This Row],[Date]])</f>
        <v>1</v>
      </c>
      <c r="Q224" s="130">
        <v>2021</v>
      </c>
      <c r="R224" s="166">
        <f>IF(ISBLANK(Table1[[#This Row],[Date]]),"",Table1[[#This Row],[Date]]-WEEKDAY(Table1[[#This Row],[Date]],2)+1)</f>
        <v>44193</v>
      </c>
      <c r="S224" s="131">
        <f>IF(ISBLANK(Table1[[#This Row],[Date]]),"",DATE(Table1[[#This Row],[Date_Year]],Table1[[#This Row],[Date_Month]],1))</f>
        <v>44197</v>
      </c>
    </row>
    <row r="225" spans="2:19" ht="15.75" x14ac:dyDescent="0.25">
      <c r="B225" s="133">
        <v>44196</v>
      </c>
      <c r="C225" s="128" t="s">
        <v>1181</v>
      </c>
      <c r="D225" s="128" t="s">
        <v>59</v>
      </c>
      <c r="E225" s="128" t="str" cm="1">
        <f t="array" ref="E225">IFERROR(INDEX(SubcategoriesTable[Subcategory name],MATCH(Table1[[#This Row],[Category]],SubcategoriesTable[Category name],0),0),"")</f>
        <v>Fixed</v>
      </c>
      <c r="F225" s="134">
        <v>1538.5</v>
      </c>
      <c r="G225" s="167" t="str">
        <f>_xlfn.XLOOKUP(Table1[[#This Row],[Account_ID]], Accounts[ID], Accounts[Account nickname], "Unknown")</f>
        <v>EVERYDAY CHECKING</v>
      </c>
      <c r="H225" s="137" t="str">
        <f>_xlfn.XLOOKUP(Table1[[#This Row],[Account_ID]], Accounts[ID], Accounts[Account'#], "Unknown")</f>
        <v>4636</v>
      </c>
      <c r="I225" s="168" t="str">
        <f>_xlfn.XLOOKUP(Table1[[#This Row],[Institution_ID]], Institutions[ID], Institutions[Institution nickname], "Unknown")</f>
        <v>Wells Fargo</v>
      </c>
      <c r="J225" s="139" t="s">
        <v>1414</v>
      </c>
      <c r="K225" s="129" t="s">
        <v>1229</v>
      </c>
      <c r="L225" s="129" t="s">
        <v>1228</v>
      </c>
      <c r="M225" s="130" t="str" cm="1">
        <f t="array" ref="M225">IFERROR(INDEX(CategoriesTable[Category type],MATCH(Table1[[#This Row],[Category]],CategoriesTable[Category name],0),0),"")</f>
        <v>Income</v>
      </c>
      <c r="N225" s="130" t="str" cm="1">
        <f t="array" ref="N225">IFERROR(INDEX(SubcategoriesTable[Subcategory name],MATCH(Table1[[#This Row],[Category]],SubcategoriesTable[Category name],0),0),"")</f>
        <v>Fixed</v>
      </c>
      <c r="O225" s="130">
        <v>31</v>
      </c>
      <c r="P225" s="130">
        <f>MONTH(Table1[[#This Row],[Date]])</f>
        <v>12</v>
      </c>
      <c r="Q225" s="130">
        <v>2020</v>
      </c>
      <c r="R225" s="166">
        <f>IF(ISBLANK(Table1[[#This Row],[Date]]),"",Table1[[#This Row],[Date]]-WEEKDAY(Table1[[#This Row],[Date]],2)+1)</f>
        <v>44193</v>
      </c>
      <c r="S225" s="131">
        <f>IF(ISBLANK(Table1[[#This Row],[Date]]),"",DATE(Table1[[#This Row],[Date_Year]],Table1[[#This Row],[Date_Month]],1))</f>
        <v>44166</v>
      </c>
    </row>
    <row r="226" spans="2:19" ht="15.75" x14ac:dyDescent="0.25">
      <c r="B226" s="133">
        <v>44196</v>
      </c>
      <c r="C226" s="128" t="s">
        <v>1198</v>
      </c>
      <c r="D226" s="128" t="s">
        <v>58</v>
      </c>
      <c r="E226" s="128" t="str" cm="1">
        <f t="array" ref="E226">IFERROR(INDEX(SubcategoriesTable[Subcategory name],MATCH(Table1[[#This Row],[Category]],SubcategoriesTable[Category name],0),0),"")</f>
        <v>Fixed</v>
      </c>
      <c r="F226" s="134">
        <v>-1000</v>
      </c>
      <c r="G226" s="167" t="str">
        <f>_xlfn.XLOOKUP(Table1[[#This Row],[Account_ID]], Accounts[ID], Accounts[Account nickname], "Unknown")</f>
        <v>EVERYDAY CHECKING</v>
      </c>
      <c r="H226" s="137" t="str">
        <f>_xlfn.XLOOKUP(Table1[[#This Row],[Account_ID]], Accounts[ID], Accounts[Account'#], "Unknown")</f>
        <v>4636</v>
      </c>
      <c r="I226" s="168" t="str">
        <f>_xlfn.XLOOKUP(Table1[[#This Row],[Institution_ID]], Institutions[ID], Institutions[Institution nickname], "Unknown")</f>
        <v>Wells Fargo</v>
      </c>
      <c r="J226" s="139" t="s">
        <v>1415</v>
      </c>
      <c r="K226" s="129" t="s">
        <v>1229</v>
      </c>
      <c r="L226" s="129" t="s">
        <v>1228</v>
      </c>
      <c r="M226" s="130" t="str" cm="1">
        <f t="array" ref="M226">IFERROR(INDEX(CategoriesTable[Category type],MATCH(Table1[[#This Row],[Category]],CategoriesTable[Category name],0),0),"")</f>
        <v>Expense</v>
      </c>
      <c r="N226" s="130" t="str" cm="1">
        <f t="array" ref="N226">IFERROR(INDEX(SubcategoriesTable[Subcategory name],MATCH(Table1[[#This Row],[Category]],SubcategoriesTable[Category name],0),0),"")</f>
        <v>Fixed</v>
      </c>
      <c r="O226" s="130">
        <v>31</v>
      </c>
      <c r="P226" s="130">
        <f>MONTH(Table1[[#This Row],[Date]])</f>
        <v>12</v>
      </c>
      <c r="Q226" s="130">
        <v>2020</v>
      </c>
      <c r="R226" s="166">
        <f>IF(ISBLANK(Table1[[#This Row],[Date]]),"",Table1[[#This Row],[Date]]-WEEKDAY(Table1[[#This Row],[Date]],2)+1)</f>
        <v>44193</v>
      </c>
      <c r="S226" s="131">
        <f>IF(ISBLANK(Table1[[#This Row],[Date]]),"",DATE(Table1[[#This Row],[Date_Year]],Table1[[#This Row],[Date_Month]],1))</f>
        <v>44166</v>
      </c>
    </row>
    <row r="227" spans="2:19" ht="15.75" x14ac:dyDescent="0.25">
      <c r="B227" s="133">
        <v>44196</v>
      </c>
      <c r="C227" s="128" t="s">
        <v>508</v>
      </c>
      <c r="D227" s="128" t="s">
        <v>50</v>
      </c>
      <c r="E227" s="128" t="str" cm="1">
        <f t="array" ref="E227">IFERROR(INDEX(SubcategoriesTable[Subcategory name],MATCH(Table1[[#This Row],[Category]],SubcategoriesTable[Category name],0),0),"")</f>
        <v>Variable</v>
      </c>
      <c r="F227" s="134">
        <v>156.19999999999999</v>
      </c>
      <c r="G227" s="167" t="str">
        <f>_xlfn.XLOOKUP(Table1[[#This Row],[Account_ID]], Accounts[ID], Accounts[Account nickname], "Unknown")</f>
        <v>EVERYDAY CHECKING</v>
      </c>
      <c r="H227" s="137" t="str">
        <f>_xlfn.XLOOKUP(Table1[[#This Row],[Account_ID]], Accounts[ID], Accounts[Account'#], "Unknown")</f>
        <v>4636</v>
      </c>
      <c r="I227" s="168" t="str">
        <f>_xlfn.XLOOKUP(Table1[[#This Row],[Institution_ID]], Institutions[ID], Institutions[Institution nickname], "Unknown")</f>
        <v>Wells Fargo</v>
      </c>
      <c r="J227" s="139" t="s">
        <v>1416</v>
      </c>
      <c r="K227" s="129" t="s">
        <v>1229</v>
      </c>
      <c r="L227" s="129" t="s">
        <v>1228</v>
      </c>
      <c r="M227" s="130" t="str" cm="1">
        <f t="array" ref="M227">IFERROR(INDEX(CategoriesTable[Category type],MATCH(Table1[[#This Row],[Category]],CategoriesTable[Category name],0),0),"")</f>
        <v>Transfer</v>
      </c>
      <c r="N227" s="130" t="str" cm="1">
        <f t="array" ref="N227">IFERROR(INDEX(SubcategoriesTable[Subcategory name],MATCH(Table1[[#This Row],[Category]],SubcategoriesTable[Category name],0),0),"")</f>
        <v>Variable</v>
      </c>
      <c r="O227" s="130">
        <v>31</v>
      </c>
      <c r="P227" s="130">
        <f>MONTH(Table1[[#This Row],[Date]])</f>
        <v>12</v>
      </c>
      <c r="Q227" s="130">
        <v>2020</v>
      </c>
      <c r="R227" s="166">
        <f>IF(ISBLANK(Table1[[#This Row],[Date]]),"",Table1[[#This Row],[Date]]-WEEKDAY(Table1[[#This Row],[Date]],2)+1)</f>
        <v>44193</v>
      </c>
      <c r="S227" s="131">
        <f>IF(ISBLANK(Table1[[#This Row],[Date]]),"",DATE(Table1[[#This Row],[Date_Year]],Table1[[#This Row],[Date_Month]],1))</f>
        <v>44166</v>
      </c>
    </row>
    <row r="228" spans="2:19" ht="15.75" x14ac:dyDescent="0.25">
      <c r="B228" s="133">
        <v>44196</v>
      </c>
      <c r="C228" s="128" t="s">
        <v>508</v>
      </c>
      <c r="D228" s="128" t="s">
        <v>78</v>
      </c>
      <c r="E228" s="128" t="str" cm="1">
        <f t="array" ref="E228">IFERROR(INDEX(SubcategoriesTable[Subcategory name],MATCH(Table1[[#This Row],[Category]],SubcategoriesTable[Category name],0),0),"")</f>
        <v>Fixed</v>
      </c>
      <c r="F228" s="134">
        <v>-700</v>
      </c>
      <c r="G228" s="167" t="str">
        <f>_xlfn.XLOOKUP(Table1[[#This Row],[Account_ID]], Accounts[ID], Accounts[Account nickname], "Unknown")</f>
        <v>EVERYDAY CHECKING</v>
      </c>
      <c r="H228" s="137" t="str">
        <f>_xlfn.XLOOKUP(Table1[[#This Row],[Account_ID]], Accounts[ID], Accounts[Account'#], "Unknown")</f>
        <v>4636</v>
      </c>
      <c r="I228" s="168" t="str">
        <f>_xlfn.XLOOKUP(Table1[[#This Row],[Institution_ID]], Institutions[ID], Institutions[Institution nickname], "Unknown")</f>
        <v>Wells Fargo</v>
      </c>
      <c r="J228" s="139" t="s">
        <v>1417</v>
      </c>
      <c r="K228" s="129" t="s">
        <v>1229</v>
      </c>
      <c r="L228" s="129" t="s">
        <v>1228</v>
      </c>
      <c r="M228" s="130" t="str" cm="1">
        <f t="array" ref="M228">IFERROR(INDEX(CategoriesTable[Category type],MATCH(Table1[[#This Row],[Category]],CategoriesTable[Category name],0),0),"")</f>
        <v>Expense</v>
      </c>
      <c r="N228" s="130" t="str" cm="1">
        <f t="array" ref="N228">IFERROR(INDEX(SubcategoriesTable[Subcategory name],MATCH(Table1[[#This Row],[Category]],SubcategoriesTable[Category name],0),0),"")</f>
        <v>Fixed</v>
      </c>
      <c r="O228" s="130">
        <v>31</v>
      </c>
      <c r="P228" s="130">
        <f>MONTH(Table1[[#This Row],[Date]])</f>
        <v>12</v>
      </c>
      <c r="Q228" s="130">
        <v>2020</v>
      </c>
      <c r="R228" s="166">
        <f>IF(ISBLANK(Table1[[#This Row],[Date]]),"",Table1[[#This Row],[Date]]-WEEKDAY(Table1[[#This Row],[Date]],2)+1)</f>
        <v>44193</v>
      </c>
      <c r="S228" s="131">
        <f>IF(ISBLANK(Table1[[#This Row],[Date]]),"",DATE(Table1[[#This Row],[Date_Year]],Table1[[#This Row],[Date_Month]],1))</f>
        <v>44166</v>
      </c>
    </row>
    <row r="229" spans="2:19" ht="15.75" x14ac:dyDescent="0.25">
      <c r="B229" s="133">
        <v>44196</v>
      </c>
      <c r="C229" s="128" t="s">
        <v>304</v>
      </c>
      <c r="D229" s="128" t="s">
        <v>46</v>
      </c>
      <c r="E229" s="128" t="str" cm="1">
        <f t="array" ref="E229">IFERROR(INDEX(SubcategoriesTable[Subcategory name],MATCH(Table1[[#This Row],[Category]],SubcategoriesTable[Category name],0),0),"")</f>
        <v>Variable</v>
      </c>
      <c r="F229" s="134">
        <v>-119</v>
      </c>
      <c r="G229" s="167" t="str">
        <f>_xlfn.XLOOKUP(Table1[[#This Row],[Account_ID]], Accounts[ID], Accounts[Account nickname], "Unknown")</f>
        <v>Discover it chrome Card</v>
      </c>
      <c r="H229" s="137" t="str">
        <f>_xlfn.XLOOKUP(Table1[[#This Row],[Account_ID]], Accounts[ID], Accounts[Account'#], "Unknown")</f>
        <v>7328</v>
      </c>
      <c r="I229" s="168" t="str">
        <f>_xlfn.XLOOKUP(Table1[[#This Row],[Institution_ID]], Institutions[ID], Institutions[Institution nickname], "Unknown")</f>
        <v>Discover</v>
      </c>
      <c r="J229" s="139" t="s">
        <v>305</v>
      </c>
      <c r="K229" s="129" t="s">
        <v>110</v>
      </c>
      <c r="L229" s="129" t="s">
        <v>108</v>
      </c>
      <c r="M229" s="130" t="str" cm="1">
        <f t="array" ref="M229">IFERROR(INDEX(CategoriesTable[Category type],MATCH(Table1[[#This Row],[Category]],CategoriesTable[Category name],0),0),"")</f>
        <v>Expense</v>
      </c>
      <c r="N229" s="130" t="str" cm="1">
        <f t="array" ref="N229">IFERROR(INDEX(SubcategoriesTable[Subcategory name],MATCH(Table1[[#This Row],[Category]],SubcategoriesTable[Category name],0),0),"")</f>
        <v>Variable</v>
      </c>
      <c r="O229" s="130">
        <v>31</v>
      </c>
      <c r="P229" s="130">
        <f>MONTH(Table1[[#This Row],[Date]])</f>
        <v>12</v>
      </c>
      <c r="Q229" s="130">
        <v>2020</v>
      </c>
      <c r="R229" s="166">
        <f>IF(ISBLANK(Table1[[#This Row],[Date]]),"",Table1[[#This Row],[Date]]-WEEKDAY(Table1[[#This Row],[Date]],2)+1)</f>
        <v>44193</v>
      </c>
      <c r="S229" s="131">
        <f>IF(ISBLANK(Table1[[#This Row],[Date]]),"",DATE(Table1[[#This Row],[Date_Year]],Table1[[#This Row],[Date_Month]],1))</f>
        <v>44166</v>
      </c>
    </row>
    <row r="230" spans="2:19" ht="15.75" x14ac:dyDescent="0.25">
      <c r="B230" s="133">
        <v>44195</v>
      </c>
      <c r="C230" s="128" t="s">
        <v>195</v>
      </c>
      <c r="D230" s="128" t="s">
        <v>48</v>
      </c>
      <c r="E230" s="128" t="str" cm="1">
        <f t="array" ref="E230">IFERROR(INDEX(SubcategoriesTable[Subcategory name],MATCH(Table1[[#This Row],[Category]],SubcategoriesTable[Category name],0),0),"")</f>
        <v>Variable</v>
      </c>
      <c r="F230" s="134">
        <v>-6.85</v>
      </c>
      <c r="G230" s="167" t="str">
        <f>_xlfn.XLOOKUP(Table1[[#This Row],[Account_ID]], Accounts[ID], Accounts[Account nickname], "Unknown")</f>
        <v>Discover it chrome Card</v>
      </c>
      <c r="H230" s="137" t="str">
        <f>_xlfn.XLOOKUP(Table1[[#This Row],[Account_ID]], Accounts[ID], Accounts[Account'#], "Unknown")</f>
        <v>7328</v>
      </c>
      <c r="I230" s="168" t="str">
        <f>_xlfn.XLOOKUP(Table1[[#This Row],[Institution_ID]], Institutions[ID], Institutions[Institution nickname], "Unknown")</f>
        <v>Discover</v>
      </c>
      <c r="J230" s="139" t="s">
        <v>306</v>
      </c>
      <c r="K230" s="129" t="s">
        <v>110</v>
      </c>
      <c r="L230" s="129" t="s">
        <v>108</v>
      </c>
      <c r="M230" s="130" t="str" cm="1">
        <f t="array" ref="M230">IFERROR(INDEX(CategoriesTable[Category type],MATCH(Table1[[#This Row],[Category]],CategoriesTable[Category name],0),0),"")</f>
        <v>Expense</v>
      </c>
      <c r="N230" s="130" t="str" cm="1">
        <f t="array" ref="N230">IFERROR(INDEX(SubcategoriesTable[Subcategory name],MATCH(Table1[[#This Row],[Category]],SubcategoriesTable[Category name],0),0),"")</f>
        <v>Variable</v>
      </c>
      <c r="O230" s="130">
        <v>30</v>
      </c>
      <c r="P230" s="130">
        <f>MONTH(Table1[[#This Row],[Date]])</f>
        <v>12</v>
      </c>
      <c r="Q230" s="130">
        <v>2020</v>
      </c>
      <c r="R230" s="166">
        <f>IF(ISBLANK(Table1[[#This Row],[Date]]),"",Table1[[#This Row],[Date]]-WEEKDAY(Table1[[#This Row],[Date]],2)+1)</f>
        <v>44193</v>
      </c>
      <c r="S230" s="131">
        <f>IF(ISBLANK(Table1[[#This Row],[Date]]),"",DATE(Table1[[#This Row],[Date_Year]],Table1[[#This Row],[Date_Month]],1))</f>
        <v>44166</v>
      </c>
    </row>
    <row r="231" spans="2:19" ht="15.75" x14ac:dyDescent="0.25">
      <c r="B231" s="133">
        <v>44195</v>
      </c>
      <c r="C231" s="128" t="s">
        <v>195</v>
      </c>
      <c r="D231" s="128" t="s">
        <v>48</v>
      </c>
      <c r="E231" s="128" t="str" cm="1">
        <f t="array" ref="E231">IFERROR(INDEX(SubcategoriesTable[Subcategory name],MATCH(Table1[[#This Row],[Category]],SubcategoriesTable[Category name],0),0),"")</f>
        <v>Variable</v>
      </c>
      <c r="F231" s="134">
        <v>-18.16</v>
      </c>
      <c r="G231" s="167" t="str">
        <f>_xlfn.XLOOKUP(Table1[[#This Row],[Account_ID]], Accounts[ID], Accounts[Account nickname], "Unknown")</f>
        <v>Discover it chrome Card</v>
      </c>
      <c r="H231" s="137" t="str">
        <f>_xlfn.XLOOKUP(Table1[[#This Row],[Account_ID]], Accounts[ID], Accounts[Account'#], "Unknown")</f>
        <v>7328</v>
      </c>
      <c r="I231" s="168" t="str">
        <f>_xlfn.XLOOKUP(Table1[[#This Row],[Institution_ID]], Institutions[ID], Institutions[Institution nickname], "Unknown")</f>
        <v>Discover</v>
      </c>
      <c r="J231" s="171" t="s">
        <v>307</v>
      </c>
      <c r="K231" s="129" t="s">
        <v>110</v>
      </c>
      <c r="L231" s="129" t="s">
        <v>108</v>
      </c>
      <c r="M231" s="130" t="str" cm="1">
        <f t="array" ref="M231">IFERROR(INDEX(CategoriesTable[Category type],MATCH(Table1[[#This Row],[Category]],CategoriesTable[Category name],0),0),"")</f>
        <v>Expense</v>
      </c>
      <c r="N231" s="130" t="str" cm="1">
        <f t="array" ref="N231">IFERROR(INDEX(SubcategoriesTable[Subcategory name],MATCH(Table1[[#This Row],[Category]],SubcategoriesTable[Category name],0),0),"")</f>
        <v>Variable</v>
      </c>
      <c r="O231" s="130">
        <v>30</v>
      </c>
      <c r="P231" s="130">
        <f>MONTH(Table1[[#This Row],[Date]])</f>
        <v>12</v>
      </c>
      <c r="Q231" s="130">
        <v>2020</v>
      </c>
      <c r="R231" s="166">
        <f>IF(ISBLANK(Table1[[#This Row],[Date]]),"",Table1[[#This Row],[Date]]-WEEKDAY(Table1[[#This Row],[Date]],2)+1)</f>
        <v>44193</v>
      </c>
      <c r="S231" s="131">
        <f>IF(ISBLANK(Table1[[#This Row],[Date]]),"",DATE(Table1[[#This Row],[Date_Year]],Table1[[#This Row],[Date_Month]],1))</f>
        <v>44166</v>
      </c>
    </row>
    <row r="232" spans="2:19" ht="15.75" x14ac:dyDescent="0.25">
      <c r="B232" s="133">
        <v>44194</v>
      </c>
      <c r="C232" s="128" t="s">
        <v>1199</v>
      </c>
      <c r="D232" s="128" t="s">
        <v>57</v>
      </c>
      <c r="E232" s="128" t="str" cm="1">
        <f t="array" ref="E232">IFERROR(INDEX(SubcategoriesTable[Subcategory name],MATCH(Table1[[#This Row],[Category]],SubcategoriesTable[Category name],0),0),"")</f>
        <v>Variable</v>
      </c>
      <c r="F232" s="134">
        <v>105</v>
      </c>
      <c r="G232" s="167" t="str">
        <f>_xlfn.XLOOKUP(Table1[[#This Row],[Account_ID]], Accounts[ID], Accounts[Account nickname], "Unknown")</f>
        <v>EVERYDAY CHECKING</v>
      </c>
      <c r="H232" s="137" t="str">
        <f>_xlfn.XLOOKUP(Table1[[#This Row],[Account_ID]], Accounts[ID], Accounts[Account'#], "Unknown")</f>
        <v>4636</v>
      </c>
      <c r="I232" s="168" t="str">
        <f>_xlfn.XLOOKUP(Table1[[#This Row],[Institution_ID]], Institutions[ID], Institutions[Institution nickname], "Unknown")</f>
        <v>Wells Fargo</v>
      </c>
      <c r="J232" s="139" t="s">
        <v>1418</v>
      </c>
      <c r="K232" s="129" t="s">
        <v>1229</v>
      </c>
      <c r="L232" s="129" t="s">
        <v>1228</v>
      </c>
      <c r="M232" s="130" t="str" cm="1">
        <f t="array" ref="M232">IFERROR(INDEX(CategoriesTable[Category type],MATCH(Table1[[#This Row],[Category]],CategoriesTable[Category name],0),0),"")</f>
        <v>Transfer</v>
      </c>
      <c r="N232" s="130" t="str" cm="1">
        <f t="array" ref="N232">IFERROR(INDEX(SubcategoriesTable[Subcategory name],MATCH(Table1[[#This Row],[Category]],SubcategoriesTable[Category name],0),0),"")</f>
        <v>Variable</v>
      </c>
      <c r="O232" s="130">
        <v>29</v>
      </c>
      <c r="P232" s="130">
        <f>MONTH(Table1[[#This Row],[Date]])</f>
        <v>12</v>
      </c>
      <c r="Q232" s="130">
        <v>2020</v>
      </c>
      <c r="R232" s="166">
        <f>IF(ISBLANK(Table1[[#This Row],[Date]]),"",Table1[[#This Row],[Date]]-WEEKDAY(Table1[[#This Row],[Date]],2)+1)</f>
        <v>44193</v>
      </c>
      <c r="S232" s="131">
        <f>IF(ISBLANK(Table1[[#This Row],[Date]]),"",DATE(Table1[[#This Row],[Date_Year]],Table1[[#This Row],[Date_Month]],1))</f>
        <v>44166</v>
      </c>
    </row>
    <row r="233" spans="2:19" ht="15.75" x14ac:dyDescent="0.25">
      <c r="B233" s="133">
        <v>44193</v>
      </c>
      <c r="C233" s="128" t="s">
        <v>1198</v>
      </c>
      <c r="D233" s="128" t="s">
        <v>58</v>
      </c>
      <c r="E233" s="128" t="str" cm="1">
        <f t="array" ref="E233">IFERROR(INDEX(SubcategoriesTable[Subcategory name],MATCH(Table1[[#This Row],[Category]],SubcategoriesTable[Category name],0),0),"")</f>
        <v>Fixed</v>
      </c>
      <c r="F233" s="134">
        <v>-300</v>
      </c>
      <c r="G233" s="167" t="str">
        <f>_xlfn.XLOOKUP(Table1[[#This Row],[Account_ID]], Accounts[ID], Accounts[Account nickname], "Unknown")</f>
        <v>EVERYDAY CHECKING</v>
      </c>
      <c r="H233" s="137" t="str">
        <f>_xlfn.XLOOKUP(Table1[[#This Row],[Account_ID]], Accounts[ID], Accounts[Account'#], "Unknown")</f>
        <v>4636</v>
      </c>
      <c r="I233" s="168" t="str">
        <f>_xlfn.XLOOKUP(Table1[[#This Row],[Institution_ID]], Institutions[ID], Institutions[Institution nickname], "Unknown")</f>
        <v>Wells Fargo</v>
      </c>
      <c r="J233" s="139" t="s">
        <v>1419</v>
      </c>
      <c r="K233" s="129" t="s">
        <v>1229</v>
      </c>
      <c r="L233" s="129" t="s">
        <v>1228</v>
      </c>
      <c r="M233" s="130" t="str" cm="1">
        <f t="array" ref="M233">IFERROR(INDEX(CategoriesTable[Category type],MATCH(Table1[[#This Row],[Category]],CategoriesTable[Category name],0),0),"")</f>
        <v>Expense</v>
      </c>
      <c r="N233" s="130" t="str" cm="1">
        <f t="array" ref="N233">IFERROR(INDEX(SubcategoriesTable[Subcategory name],MATCH(Table1[[#This Row],[Category]],SubcategoriesTable[Category name],0),0),"")</f>
        <v>Fixed</v>
      </c>
      <c r="O233" s="130">
        <v>28</v>
      </c>
      <c r="P233" s="130">
        <f>MONTH(Table1[[#This Row],[Date]])</f>
        <v>12</v>
      </c>
      <c r="Q233" s="130">
        <v>2020</v>
      </c>
      <c r="R233" s="166">
        <f>IF(ISBLANK(Table1[[#This Row],[Date]]),"",Table1[[#This Row],[Date]]-WEEKDAY(Table1[[#This Row],[Date]],2)+1)</f>
        <v>44193</v>
      </c>
      <c r="S233" s="131">
        <f>IF(ISBLANK(Table1[[#This Row],[Date]]),"",DATE(Table1[[#This Row],[Date_Year]],Table1[[#This Row],[Date_Month]],1))</f>
        <v>44166</v>
      </c>
    </row>
    <row r="234" spans="2:19" ht="15.75" x14ac:dyDescent="0.25">
      <c r="B234" s="133">
        <v>44193</v>
      </c>
      <c r="C234" s="128" t="s">
        <v>154</v>
      </c>
      <c r="D234" s="128" t="s">
        <v>51</v>
      </c>
      <c r="E234" s="128" t="str" cm="1">
        <f t="array" ref="E234">IFERROR(INDEX(SubcategoriesTable[Subcategory name],MATCH(Table1[[#This Row],[Category]],SubcategoriesTable[Category name],0),0),"")</f>
        <v>Variable</v>
      </c>
      <c r="F234" s="134">
        <v>-9.9499999999999993</v>
      </c>
      <c r="G234" s="167" t="str">
        <f>_xlfn.XLOOKUP(Table1[[#This Row],[Account_ID]], Accounts[ID], Accounts[Account nickname], "Unknown")</f>
        <v>Discover it chrome Card</v>
      </c>
      <c r="H234" s="137" t="str">
        <f>_xlfn.XLOOKUP(Table1[[#This Row],[Account_ID]], Accounts[ID], Accounts[Account'#], "Unknown")</f>
        <v>7328</v>
      </c>
      <c r="I234" s="168" t="str">
        <f>_xlfn.XLOOKUP(Table1[[#This Row],[Institution_ID]], Institutions[ID], Institutions[Institution nickname], "Unknown")</f>
        <v>Discover</v>
      </c>
      <c r="J234" s="139" t="s">
        <v>308</v>
      </c>
      <c r="K234" s="129" t="s">
        <v>110</v>
      </c>
      <c r="L234" s="129" t="s">
        <v>108</v>
      </c>
      <c r="M234" s="130" t="str" cm="1">
        <f t="array" ref="M234">IFERROR(INDEX(CategoriesTable[Category type],MATCH(Table1[[#This Row],[Category]],CategoriesTable[Category name],0),0),"")</f>
        <v>Expense</v>
      </c>
      <c r="N234" s="130" t="str" cm="1">
        <f t="array" ref="N234">IFERROR(INDEX(SubcategoriesTable[Subcategory name],MATCH(Table1[[#This Row],[Category]],SubcategoriesTable[Category name],0),0),"")</f>
        <v>Variable</v>
      </c>
      <c r="O234" s="130">
        <v>28</v>
      </c>
      <c r="P234" s="130">
        <f>MONTH(Table1[[#This Row],[Date]])</f>
        <v>12</v>
      </c>
      <c r="Q234" s="130">
        <v>2020</v>
      </c>
      <c r="R234" s="166">
        <f>IF(ISBLANK(Table1[[#This Row],[Date]]),"",Table1[[#This Row],[Date]]-WEEKDAY(Table1[[#This Row],[Date]],2)+1)</f>
        <v>44193</v>
      </c>
      <c r="S234" s="131">
        <f>IF(ISBLANK(Table1[[#This Row],[Date]]),"",DATE(Table1[[#This Row],[Date_Year]],Table1[[#This Row],[Date_Month]],1))</f>
        <v>44166</v>
      </c>
    </row>
    <row r="235" spans="2:19" ht="15.75" x14ac:dyDescent="0.25">
      <c r="B235" s="133">
        <v>44193</v>
      </c>
      <c r="C235" s="128" t="s">
        <v>195</v>
      </c>
      <c r="D235" s="128" t="s">
        <v>48</v>
      </c>
      <c r="E235" s="128" t="str" cm="1">
        <f t="array" ref="E235">IFERROR(INDEX(SubcategoriesTable[Subcategory name],MATCH(Table1[[#This Row],[Category]],SubcategoriesTable[Category name],0),0),"")</f>
        <v>Variable</v>
      </c>
      <c r="F235" s="134">
        <v>-11.56</v>
      </c>
      <c r="G235" s="167" t="str">
        <f>_xlfn.XLOOKUP(Table1[[#This Row],[Account_ID]], Accounts[ID], Accounts[Account nickname], "Unknown")</f>
        <v>Discover it chrome Card</v>
      </c>
      <c r="H235" s="137" t="str">
        <f>_xlfn.XLOOKUP(Table1[[#This Row],[Account_ID]], Accounts[ID], Accounts[Account'#], "Unknown")</f>
        <v>7328</v>
      </c>
      <c r="I235" s="168" t="str">
        <f>_xlfn.XLOOKUP(Table1[[#This Row],[Institution_ID]], Institutions[ID], Institutions[Institution nickname], "Unknown")</f>
        <v>Discover</v>
      </c>
      <c r="J235" s="139" t="s">
        <v>309</v>
      </c>
      <c r="K235" s="129" t="s">
        <v>110</v>
      </c>
      <c r="L235" s="129" t="s">
        <v>108</v>
      </c>
      <c r="M235" s="130" t="str" cm="1">
        <f t="array" ref="M235">IFERROR(INDEX(CategoriesTable[Category type],MATCH(Table1[[#This Row],[Category]],CategoriesTable[Category name],0),0),"")</f>
        <v>Expense</v>
      </c>
      <c r="N235" s="130" t="str" cm="1">
        <f t="array" ref="N235">IFERROR(INDEX(SubcategoriesTable[Subcategory name],MATCH(Table1[[#This Row],[Category]],SubcategoriesTable[Category name],0),0),"")</f>
        <v>Variable</v>
      </c>
      <c r="O235" s="130">
        <v>28</v>
      </c>
      <c r="P235" s="130">
        <f>MONTH(Table1[[#This Row],[Date]])</f>
        <v>12</v>
      </c>
      <c r="Q235" s="130">
        <v>2020</v>
      </c>
      <c r="R235" s="166">
        <f>IF(ISBLANK(Table1[[#This Row],[Date]]),"",Table1[[#This Row],[Date]]-WEEKDAY(Table1[[#This Row],[Date]],2)+1)</f>
        <v>44193</v>
      </c>
      <c r="S235" s="131">
        <f>IF(ISBLANK(Table1[[#This Row],[Date]]),"",DATE(Table1[[#This Row],[Date_Year]],Table1[[#This Row],[Date_Month]],1))</f>
        <v>44166</v>
      </c>
    </row>
    <row r="236" spans="2:19" ht="15.75" x14ac:dyDescent="0.25">
      <c r="B236" s="133">
        <v>44192</v>
      </c>
      <c r="C236" s="128" t="s">
        <v>239</v>
      </c>
      <c r="D236" s="128" t="s">
        <v>52</v>
      </c>
      <c r="E236" s="128" t="str" cm="1">
        <f t="array" ref="E236">IFERROR(INDEX(SubcategoriesTable[Subcategory name],MATCH(Table1[[#This Row],[Category]],SubcategoriesTable[Category name],0),0),"")</f>
        <v>Variable</v>
      </c>
      <c r="F236" s="134">
        <v>-22.32</v>
      </c>
      <c r="G236" s="167" t="str">
        <f>_xlfn.XLOOKUP(Table1[[#This Row],[Account_ID]], Accounts[ID], Accounts[Account nickname], "Unknown")</f>
        <v>Discover it chrome Card</v>
      </c>
      <c r="H236" s="137" t="str">
        <f>_xlfn.XLOOKUP(Table1[[#This Row],[Account_ID]], Accounts[ID], Accounts[Account'#], "Unknown")</f>
        <v>7328</v>
      </c>
      <c r="I236" s="168" t="str">
        <f>_xlfn.XLOOKUP(Table1[[#This Row],[Institution_ID]], Institutions[ID], Institutions[Institution nickname], "Unknown")</f>
        <v>Discover</v>
      </c>
      <c r="J236" s="139" t="s">
        <v>310</v>
      </c>
      <c r="K236" s="129" t="s">
        <v>110</v>
      </c>
      <c r="L236" s="129" t="s">
        <v>108</v>
      </c>
      <c r="M236" s="130" t="str" cm="1">
        <f t="array" ref="M236">IFERROR(INDEX(CategoriesTable[Category type],MATCH(Table1[[#This Row],[Category]],CategoriesTable[Category name],0),0),"")</f>
        <v>Expense</v>
      </c>
      <c r="N236" s="130" t="str" cm="1">
        <f t="array" ref="N236">IFERROR(INDEX(SubcategoriesTable[Subcategory name],MATCH(Table1[[#This Row],[Category]],SubcategoriesTable[Category name],0),0),"")</f>
        <v>Variable</v>
      </c>
      <c r="O236" s="130">
        <v>27</v>
      </c>
      <c r="P236" s="130">
        <f>MONTH(Table1[[#This Row],[Date]])</f>
        <v>12</v>
      </c>
      <c r="Q236" s="130">
        <v>2020</v>
      </c>
      <c r="R236" s="166">
        <f>IF(ISBLANK(Table1[[#This Row],[Date]]),"",Table1[[#This Row],[Date]]-WEEKDAY(Table1[[#This Row],[Date]],2)+1)</f>
        <v>44186</v>
      </c>
      <c r="S236" s="131">
        <f>IF(ISBLANK(Table1[[#This Row],[Date]]),"",DATE(Table1[[#This Row],[Date_Year]],Table1[[#This Row],[Date_Month]],1))</f>
        <v>44166</v>
      </c>
    </row>
    <row r="237" spans="2:19" ht="15.75" x14ac:dyDescent="0.25">
      <c r="B237" s="133">
        <v>44192</v>
      </c>
      <c r="C237" s="128" t="s">
        <v>195</v>
      </c>
      <c r="D237" s="128" t="s">
        <v>48</v>
      </c>
      <c r="E237" s="128" t="str" cm="1">
        <f t="array" ref="E237">IFERROR(INDEX(SubcategoriesTable[Subcategory name],MATCH(Table1[[#This Row],[Category]],SubcategoriesTable[Category name],0),0),"")</f>
        <v>Variable</v>
      </c>
      <c r="F237" s="134">
        <v>-4.3600000000000003</v>
      </c>
      <c r="G237" s="167" t="str">
        <f>_xlfn.XLOOKUP(Table1[[#This Row],[Account_ID]], Accounts[ID], Accounts[Account nickname], "Unknown")</f>
        <v>Discover it chrome Card</v>
      </c>
      <c r="H237" s="137" t="str">
        <f>_xlfn.XLOOKUP(Table1[[#This Row],[Account_ID]], Accounts[ID], Accounts[Account'#], "Unknown")</f>
        <v>7328</v>
      </c>
      <c r="I237" s="168" t="str">
        <f>_xlfn.XLOOKUP(Table1[[#This Row],[Institution_ID]], Institutions[ID], Institutions[Institution nickname], "Unknown")</f>
        <v>Discover</v>
      </c>
      <c r="J237" s="139" t="s">
        <v>311</v>
      </c>
      <c r="K237" s="129" t="s">
        <v>110</v>
      </c>
      <c r="L237" s="129" t="s">
        <v>108</v>
      </c>
      <c r="M237" s="130" t="str" cm="1">
        <f t="array" ref="M237">IFERROR(INDEX(CategoriesTable[Category type],MATCH(Table1[[#This Row],[Category]],CategoriesTable[Category name],0),0),"")</f>
        <v>Expense</v>
      </c>
      <c r="N237" s="130" t="str" cm="1">
        <f t="array" ref="N237">IFERROR(INDEX(SubcategoriesTable[Subcategory name],MATCH(Table1[[#This Row],[Category]],SubcategoriesTable[Category name],0),0),"")</f>
        <v>Variable</v>
      </c>
      <c r="O237" s="130">
        <v>27</v>
      </c>
      <c r="P237" s="130">
        <f>MONTH(Table1[[#This Row],[Date]])</f>
        <v>12</v>
      </c>
      <c r="Q237" s="130">
        <v>2020</v>
      </c>
      <c r="R237" s="166">
        <f>IF(ISBLANK(Table1[[#This Row],[Date]]),"",Table1[[#This Row],[Date]]-WEEKDAY(Table1[[#This Row],[Date]],2)+1)</f>
        <v>44186</v>
      </c>
      <c r="S237" s="131">
        <f>IF(ISBLANK(Table1[[#This Row],[Date]]),"",DATE(Table1[[#This Row],[Date_Year]],Table1[[#This Row],[Date_Month]],1))</f>
        <v>44166</v>
      </c>
    </row>
    <row r="238" spans="2:19" ht="15.75" x14ac:dyDescent="0.25">
      <c r="B238" s="133">
        <v>44192</v>
      </c>
      <c r="C238" s="128" t="s">
        <v>195</v>
      </c>
      <c r="D238" s="128" t="s">
        <v>48</v>
      </c>
      <c r="E238" s="128" t="str" cm="1">
        <f t="array" ref="E238">IFERROR(INDEX(SubcategoriesTable[Subcategory name],MATCH(Table1[[#This Row],[Category]],SubcategoriesTable[Category name],0),0),"")</f>
        <v>Variable</v>
      </c>
      <c r="F238" s="134">
        <v>-27.03</v>
      </c>
      <c r="G238" s="167" t="str">
        <f>_xlfn.XLOOKUP(Table1[[#This Row],[Account_ID]], Accounts[ID], Accounts[Account nickname], "Unknown")</f>
        <v>Discover it chrome Card</v>
      </c>
      <c r="H238" s="137" t="str">
        <f>_xlfn.XLOOKUP(Table1[[#This Row],[Account_ID]], Accounts[ID], Accounts[Account'#], "Unknown")</f>
        <v>7328</v>
      </c>
      <c r="I238" s="168" t="str">
        <f>_xlfn.XLOOKUP(Table1[[#This Row],[Institution_ID]], Institutions[ID], Institutions[Institution nickname], "Unknown")</f>
        <v>Discover</v>
      </c>
      <c r="J238" s="139" t="s">
        <v>312</v>
      </c>
      <c r="K238" s="129" t="s">
        <v>110</v>
      </c>
      <c r="L238" s="129" t="s">
        <v>108</v>
      </c>
      <c r="M238" s="130" t="str" cm="1">
        <f t="array" ref="M238">IFERROR(INDEX(CategoriesTable[Category type],MATCH(Table1[[#This Row],[Category]],CategoriesTable[Category name],0),0),"")</f>
        <v>Expense</v>
      </c>
      <c r="N238" s="130" t="str" cm="1">
        <f t="array" ref="N238">IFERROR(INDEX(SubcategoriesTable[Subcategory name],MATCH(Table1[[#This Row],[Category]],SubcategoriesTable[Category name],0),0),"")</f>
        <v>Variable</v>
      </c>
      <c r="O238" s="130">
        <v>27</v>
      </c>
      <c r="P238" s="130">
        <f>MONTH(Table1[[#This Row],[Date]])</f>
        <v>12</v>
      </c>
      <c r="Q238" s="130">
        <v>2020</v>
      </c>
      <c r="R238" s="166">
        <f>IF(ISBLANK(Table1[[#This Row],[Date]]),"",Table1[[#This Row],[Date]]-WEEKDAY(Table1[[#This Row],[Date]],2)+1)</f>
        <v>44186</v>
      </c>
      <c r="S238" s="131">
        <f>IF(ISBLANK(Table1[[#This Row],[Date]]),"",DATE(Table1[[#This Row],[Date_Year]],Table1[[#This Row],[Date_Month]],1))</f>
        <v>44166</v>
      </c>
    </row>
    <row r="239" spans="2:19" ht="15.75" x14ac:dyDescent="0.25">
      <c r="B239" s="133">
        <v>44189</v>
      </c>
      <c r="C239" s="128" t="s">
        <v>313</v>
      </c>
      <c r="D239" s="128" t="s">
        <v>46</v>
      </c>
      <c r="E239" s="128" t="str" cm="1">
        <f t="array" ref="E239">IFERROR(INDEX(SubcategoriesTable[Subcategory name],MATCH(Table1[[#This Row],[Category]],SubcategoriesTable[Category name],0),0),"")</f>
        <v>Variable</v>
      </c>
      <c r="F239" s="134">
        <v>-99.99</v>
      </c>
      <c r="G239" s="167" t="str">
        <f>_xlfn.XLOOKUP(Table1[[#This Row],[Account_ID]], Accounts[ID], Accounts[Account nickname], "Unknown")</f>
        <v>Discover it chrome Card</v>
      </c>
      <c r="H239" s="137" t="str">
        <f>_xlfn.XLOOKUP(Table1[[#This Row],[Account_ID]], Accounts[ID], Accounts[Account'#], "Unknown")</f>
        <v>7328</v>
      </c>
      <c r="I239" s="168" t="str">
        <f>_xlfn.XLOOKUP(Table1[[#This Row],[Institution_ID]], Institutions[ID], Institutions[Institution nickname], "Unknown")</f>
        <v>Discover</v>
      </c>
      <c r="J239" s="139" t="s">
        <v>314</v>
      </c>
      <c r="K239" s="129" t="s">
        <v>110</v>
      </c>
      <c r="L239" s="129" t="s">
        <v>108</v>
      </c>
      <c r="M239" s="130" t="str" cm="1">
        <f t="array" ref="M239">IFERROR(INDEX(CategoriesTable[Category type],MATCH(Table1[[#This Row],[Category]],CategoriesTable[Category name],0),0),"")</f>
        <v>Expense</v>
      </c>
      <c r="N239" s="130" t="str" cm="1">
        <f t="array" ref="N239">IFERROR(INDEX(SubcategoriesTable[Subcategory name],MATCH(Table1[[#This Row],[Category]],SubcategoriesTable[Category name],0),0),"")</f>
        <v>Variable</v>
      </c>
      <c r="O239" s="130">
        <v>24</v>
      </c>
      <c r="P239" s="130">
        <f>MONTH(Table1[[#This Row],[Date]])</f>
        <v>12</v>
      </c>
      <c r="Q239" s="130">
        <v>2020</v>
      </c>
      <c r="R239" s="166">
        <f>IF(ISBLANK(Table1[[#This Row],[Date]]),"",Table1[[#This Row],[Date]]-WEEKDAY(Table1[[#This Row],[Date]],2)+1)</f>
        <v>44186</v>
      </c>
      <c r="S239" s="131">
        <f>IF(ISBLANK(Table1[[#This Row],[Date]]),"",DATE(Table1[[#This Row],[Date_Year]],Table1[[#This Row],[Date_Month]],1))</f>
        <v>44166</v>
      </c>
    </row>
    <row r="240" spans="2:19" ht="15.75" x14ac:dyDescent="0.25">
      <c r="B240" s="133">
        <v>44189</v>
      </c>
      <c r="C240" s="128" t="s">
        <v>125</v>
      </c>
      <c r="D240" s="128" t="s">
        <v>45</v>
      </c>
      <c r="E240" s="128" t="str" cm="1">
        <f t="array" ref="E240">IFERROR(INDEX(SubcategoriesTable[Subcategory name],MATCH(Table1[[#This Row],[Category]],SubcategoriesTable[Category name],0),0),"")</f>
        <v>Variable</v>
      </c>
      <c r="F240" s="134">
        <v>-5.7</v>
      </c>
      <c r="G240" s="167" t="str">
        <f>_xlfn.XLOOKUP(Table1[[#This Row],[Account_ID]], Accounts[ID], Accounts[Account nickname], "Unknown")</f>
        <v>Discover it chrome Card</v>
      </c>
      <c r="H240" s="137" t="str">
        <f>_xlfn.XLOOKUP(Table1[[#This Row],[Account_ID]], Accounts[ID], Accounts[Account'#], "Unknown")</f>
        <v>7328</v>
      </c>
      <c r="I240" s="168" t="str">
        <f>_xlfn.XLOOKUP(Table1[[#This Row],[Institution_ID]], Institutions[ID], Institutions[Institution nickname], "Unknown")</f>
        <v>Discover</v>
      </c>
      <c r="J240" s="139" t="s">
        <v>315</v>
      </c>
      <c r="K240" s="129" t="s">
        <v>110</v>
      </c>
      <c r="L240" s="129" t="s">
        <v>108</v>
      </c>
      <c r="M240" s="130" t="str" cm="1">
        <f t="array" ref="M240">IFERROR(INDEX(CategoriesTable[Category type],MATCH(Table1[[#This Row],[Category]],CategoriesTable[Category name],0),0),"")</f>
        <v>Expense</v>
      </c>
      <c r="N240" s="130" t="str" cm="1">
        <f t="array" ref="N240">IFERROR(INDEX(SubcategoriesTable[Subcategory name],MATCH(Table1[[#This Row],[Category]],SubcategoriesTable[Category name],0),0),"")</f>
        <v>Variable</v>
      </c>
      <c r="O240" s="130">
        <v>24</v>
      </c>
      <c r="P240" s="130">
        <f>MONTH(Table1[[#This Row],[Date]])</f>
        <v>12</v>
      </c>
      <c r="Q240" s="130">
        <v>2020</v>
      </c>
      <c r="R240" s="166">
        <f>IF(ISBLANK(Table1[[#This Row],[Date]]),"",Table1[[#This Row],[Date]]-WEEKDAY(Table1[[#This Row],[Date]],2)+1)</f>
        <v>44186</v>
      </c>
      <c r="S240" s="131">
        <f>IF(ISBLANK(Table1[[#This Row],[Date]]),"",DATE(Table1[[#This Row],[Date_Year]],Table1[[#This Row],[Date_Month]],1))</f>
        <v>44166</v>
      </c>
    </row>
    <row r="241" spans="2:19" ht="15.75" x14ac:dyDescent="0.25">
      <c r="B241" s="133">
        <v>44189</v>
      </c>
      <c r="C241" s="128" t="s">
        <v>195</v>
      </c>
      <c r="D241" s="128" t="s">
        <v>48</v>
      </c>
      <c r="E241" s="128" t="str" cm="1">
        <f t="array" ref="E241">IFERROR(INDEX(SubcategoriesTable[Subcategory name],MATCH(Table1[[#This Row],[Category]],SubcategoriesTable[Category name],0),0),"")</f>
        <v>Variable</v>
      </c>
      <c r="F241" s="134">
        <v>-17.190000000000001</v>
      </c>
      <c r="G241" s="167" t="str">
        <f>_xlfn.XLOOKUP(Table1[[#This Row],[Account_ID]], Accounts[ID], Accounts[Account nickname], "Unknown")</f>
        <v>Discover it chrome Card</v>
      </c>
      <c r="H241" s="137" t="str">
        <f>_xlfn.XLOOKUP(Table1[[#This Row],[Account_ID]], Accounts[ID], Accounts[Account'#], "Unknown")</f>
        <v>7328</v>
      </c>
      <c r="I241" s="168" t="str">
        <f>_xlfn.XLOOKUP(Table1[[#This Row],[Institution_ID]], Institutions[ID], Institutions[Institution nickname], "Unknown")</f>
        <v>Discover</v>
      </c>
      <c r="J241" s="139" t="s">
        <v>316</v>
      </c>
      <c r="K241" s="129" t="s">
        <v>110</v>
      </c>
      <c r="L241" s="129" t="s">
        <v>108</v>
      </c>
      <c r="M241" s="130" t="str" cm="1">
        <f t="array" ref="M241">IFERROR(INDEX(CategoriesTable[Category type],MATCH(Table1[[#This Row],[Category]],CategoriesTable[Category name],0),0),"")</f>
        <v>Expense</v>
      </c>
      <c r="N241" s="130" t="str" cm="1">
        <f t="array" ref="N241">IFERROR(INDEX(SubcategoriesTable[Subcategory name],MATCH(Table1[[#This Row],[Category]],SubcategoriesTable[Category name],0),0),"")</f>
        <v>Variable</v>
      </c>
      <c r="O241" s="130">
        <v>24</v>
      </c>
      <c r="P241" s="130">
        <f>MONTH(Table1[[#This Row],[Date]])</f>
        <v>12</v>
      </c>
      <c r="Q241" s="130">
        <v>2020</v>
      </c>
      <c r="R241" s="166">
        <f>IF(ISBLANK(Table1[[#This Row],[Date]]),"",Table1[[#This Row],[Date]]-WEEKDAY(Table1[[#This Row],[Date]],2)+1)</f>
        <v>44186</v>
      </c>
      <c r="S241" s="131">
        <f>IF(ISBLANK(Table1[[#This Row],[Date]]),"",DATE(Table1[[#This Row],[Date_Year]],Table1[[#This Row],[Date_Month]],1))</f>
        <v>44166</v>
      </c>
    </row>
    <row r="242" spans="2:19" ht="15.75" x14ac:dyDescent="0.25">
      <c r="B242" s="133">
        <v>44188</v>
      </c>
      <c r="C242" s="128" t="s">
        <v>125</v>
      </c>
      <c r="D242" s="128" t="s">
        <v>45</v>
      </c>
      <c r="E242" s="128" t="str" cm="1">
        <f t="array" ref="E242">IFERROR(INDEX(SubcategoriesTable[Subcategory name],MATCH(Table1[[#This Row],[Category]],SubcategoriesTable[Category name],0),0),"")</f>
        <v>Variable</v>
      </c>
      <c r="F242" s="134">
        <v>-13.25</v>
      </c>
      <c r="G242" s="167" t="str">
        <f>_xlfn.XLOOKUP(Table1[[#This Row],[Account_ID]], Accounts[ID], Accounts[Account nickname], "Unknown")</f>
        <v>Discover it chrome Card</v>
      </c>
      <c r="H242" s="137" t="str">
        <f>_xlfn.XLOOKUP(Table1[[#This Row],[Account_ID]], Accounts[ID], Accounts[Account'#], "Unknown")</f>
        <v>7328</v>
      </c>
      <c r="I242" s="168" t="str">
        <f>_xlfn.XLOOKUP(Table1[[#This Row],[Institution_ID]], Institutions[ID], Institutions[Institution nickname], "Unknown")</f>
        <v>Discover</v>
      </c>
      <c r="J242" s="139" t="s">
        <v>317</v>
      </c>
      <c r="K242" s="129" t="s">
        <v>110</v>
      </c>
      <c r="L242" s="129" t="s">
        <v>108</v>
      </c>
      <c r="M242" s="130" t="str" cm="1">
        <f t="array" ref="M242">IFERROR(INDEX(CategoriesTable[Category type],MATCH(Table1[[#This Row],[Category]],CategoriesTable[Category name],0),0),"")</f>
        <v>Expense</v>
      </c>
      <c r="N242" s="130" t="str" cm="1">
        <f t="array" ref="N242">IFERROR(INDEX(SubcategoriesTable[Subcategory name],MATCH(Table1[[#This Row],[Category]],SubcategoriesTable[Category name],0),0),"")</f>
        <v>Variable</v>
      </c>
      <c r="O242" s="130">
        <v>23</v>
      </c>
      <c r="P242" s="130">
        <f>MONTH(Table1[[#This Row],[Date]])</f>
        <v>12</v>
      </c>
      <c r="Q242" s="130">
        <v>2020</v>
      </c>
      <c r="R242" s="166">
        <f>IF(ISBLANK(Table1[[#This Row],[Date]]),"",Table1[[#This Row],[Date]]-WEEKDAY(Table1[[#This Row],[Date]],2)+1)</f>
        <v>44186</v>
      </c>
      <c r="S242" s="131">
        <f>IF(ISBLANK(Table1[[#This Row],[Date]]),"",DATE(Table1[[#This Row],[Date_Year]],Table1[[#This Row],[Date_Month]],1))</f>
        <v>44166</v>
      </c>
    </row>
    <row r="243" spans="2:19" ht="15.75" x14ac:dyDescent="0.25">
      <c r="B243" s="133">
        <v>44187</v>
      </c>
      <c r="C243" s="128" t="s">
        <v>318</v>
      </c>
      <c r="D243" s="128" t="s">
        <v>46</v>
      </c>
      <c r="E243" s="128" t="str" cm="1">
        <f t="array" ref="E243">IFERROR(INDEX(SubcategoriesTable[Subcategory name],MATCH(Table1[[#This Row],[Category]],SubcategoriesTable[Category name],0),0),"")</f>
        <v>Variable</v>
      </c>
      <c r="F243" s="134">
        <v>84.79</v>
      </c>
      <c r="G243" s="167" t="str">
        <f>_xlfn.XLOOKUP(Table1[[#This Row],[Account_ID]], Accounts[ID], Accounts[Account nickname], "Unknown")</f>
        <v>Discover it chrome Card</v>
      </c>
      <c r="H243" s="137" t="str">
        <f>_xlfn.XLOOKUP(Table1[[#This Row],[Account_ID]], Accounts[ID], Accounts[Account'#], "Unknown")</f>
        <v>7328</v>
      </c>
      <c r="I243" s="168" t="str">
        <f>_xlfn.XLOOKUP(Table1[[#This Row],[Institution_ID]], Institutions[ID], Institutions[Institution nickname], "Unknown")</f>
        <v>Discover</v>
      </c>
      <c r="J243" s="139" t="s">
        <v>319</v>
      </c>
      <c r="K243" s="129" t="s">
        <v>110</v>
      </c>
      <c r="L243" s="129" t="s">
        <v>108</v>
      </c>
      <c r="M243" s="130" t="str" cm="1">
        <f t="array" ref="M243">IFERROR(INDEX(CategoriesTable[Category type],MATCH(Table1[[#This Row],[Category]],CategoriesTable[Category name],0),0),"")</f>
        <v>Expense</v>
      </c>
      <c r="N243" s="130" t="str" cm="1">
        <f t="array" ref="N243">IFERROR(INDEX(SubcategoriesTable[Subcategory name],MATCH(Table1[[#This Row],[Category]],SubcategoriesTable[Category name],0),0),"")</f>
        <v>Variable</v>
      </c>
      <c r="O243" s="130">
        <v>22</v>
      </c>
      <c r="P243" s="130">
        <f>MONTH(Table1[[#This Row],[Date]])</f>
        <v>12</v>
      </c>
      <c r="Q243" s="130">
        <v>2020</v>
      </c>
      <c r="R243" s="166">
        <f>IF(ISBLANK(Table1[[#This Row],[Date]]),"",Table1[[#This Row],[Date]]-WEEKDAY(Table1[[#This Row],[Date]],2)+1)</f>
        <v>44186</v>
      </c>
      <c r="S243" s="131">
        <f>IF(ISBLANK(Table1[[#This Row],[Date]]),"",DATE(Table1[[#This Row],[Date_Year]],Table1[[#This Row],[Date_Month]],1))</f>
        <v>44166</v>
      </c>
    </row>
    <row r="244" spans="2:19" ht="15.75" x14ac:dyDescent="0.25">
      <c r="B244" s="133">
        <v>44187</v>
      </c>
      <c r="C244" s="128" t="s">
        <v>318</v>
      </c>
      <c r="D244" s="128" t="s">
        <v>46</v>
      </c>
      <c r="E244" s="128" t="str" cm="1">
        <f t="array" ref="E244">IFERROR(INDEX(SubcategoriesTable[Subcategory name],MATCH(Table1[[#This Row],[Category]],SubcategoriesTable[Category name],0),0),"")</f>
        <v>Variable</v>
      </c>
      <c r="F244" s="134">
        <v>-133.51</v>
      </c>
      <c r="G244" s="167" t="str">
        <f>_xlfn.XLOOKUP(Table1[[#This Row],[Account_ID]], Accounts[ID], Accounts[Account nickname], "Unknown")</f>
        <v>Discover it chrome Card</v>
      </c>
      <c r="H244" s="137" t="str">
        <f>_xlfn.XLOOKUP(Table1[[#This Row],[Account_ID]], Accounts[ID], Accounts[Account'#], "Unknown")</f>
        <v>7328</v>
      </c>
      <c r="I244" s="168" t="str">
        <f>_xlfn.XLOOKUP(Table1[[#This Row],[Institution_ID]], Institutions[ID], Institutions[Institution nickname], "Unknown")</f>
        <v>Discover</v>
      </c>
      <c r="J244" s="139" t="s">
        <v>320</v>
      </c>
      <c r="K244" s="129" t="s">
        <v>110</v>
      </c>
      <c r="L244" s="129" t="s">
        <v>108</v>
      </c>
      <c r="M244" s="130" t="str" cm="1">
        <f t="array" ref="M244">IFERROR(INDEX(CategoriesTable[Category type],MATCH(Table1[[#This Row],[Category]],CategoriesTable[Category name],0),0),"")</f>
        <v>Expense</v>
      </c>
      <c r="N244" s="130" t="str" cm="1">
        <f t="array" ref="N244">IFERROR(INDEX(SubcategoriesTable[Subcategory name],MATCH(Table1[[#This Row],[Category]],SubcategoriesTable[Category name],0),0),"")</f>
        <v>Variable</v>
      </c>
      <c r="O244" s="130">
        <v>22</v>
      </c>
      <c r="P244" s="130">
        <f>MONTH(Table1[[#This Row],[Date]])</f>
        <v>12</v>
      </c>
      <c r="Q244" s="130">
        <v>2020</v>
      </c>
      <c r="R244" s="166">
        <f>IF(ISBLANK(Table1[[#This Row],[Date]]),"",Table1[[#This Row],[Date]]-WEEKDAY(Table1[[#This Row],[Date]],2)+1)</f>
        <v>44186</v>
      </c>
      <c r="S244" s="131">
        <f>IF(ISBLANK(Table1[[#This Row],[Date]]),"",DATE(Table1[[#This Row],[Date_Year]],Table1[[#This Row],[Date_Month]],1))</f>
        <v>44166</v>
      </c>
    </row>
    <row r="245" spans="2:19" ht="15.75" x14ac:dyDescent="0.25">
      <c r="B245" s="133">
        <v>44187</v>
      </c>
      <c r="C245" s="128" t="s">
        <v>318</v>
      </c>
      <c r="D245" s="128" t="s">
        <v>46</v>
      </c>
      <c r="E245" s="128" t="str" cm="1">
        <f t="array" ref="E245">IFERROR(INDEX(SubcategoriesTable[Subcategory name],MATCH(Table1[[#This Row],[Category]],SubcategoriesTable[Category name],0),0),"")</f>
        <v>Variable</v>
      </c>
      <c r="F245" s="134">
        <v>-169.57</v>
      </c>
      <c r="G245" s="167" t="str">
        <f>_xlfn.XLOOKUP(Table1[[#This Row],[Account_ID]], Accounts[ID], Accounts[Account nickname], "Unknown")</f>
        <v>Discover it chrome Card</v>
      </c>
      <c r="H245" s="137" t="str">
        <f>_xlfn.XLOOKUP(Table1[[#This Row],[Account_ID]], Accounts[ID], Accounts[Account'#], "Unknown")</f>
        <v>7328</v>
      </c>
      <c r="I245" s="168" t="str">
        <f>_xlfn.XLOOKUP(Table1[[#This Row],[Institution_ID]], Institutions[ID], Institutions[Institution nickname], "Unknown")</f>
        <v>Discover</v>
      </c>
      <c r="J245" s="139" t="s">
        <v>321</v>
      </c>
      <c r="K245" s="129" t="s">
        <v>110</v>
      </c>
      <c r="L245" s="129" t="s">
        <v>108</v>
      </c>
      <c r="M245" s="130" t="str" cm="1">
        <f t="array" ref="M245">IFERROR(INDEX(CategoriesTable[Category type],MATCH(Table1[[#This Row],[Category]],CategoriesTable[Category name],0),0),"")</f>
        <v>Expense</v>
      </c>
      <c r="N245" s="130" t="str" cm="1">
        <f t="array" ref="N245">IFERROR(INDEX(SubcategoriesTable[Subcategory name],MATCH(Table1[[#This Row],[Category]],SubcategoriesTable[Category name],0),0),"")</f>
        <v>Variable</v>
      </c>
      <c r="O245" s="130">
        <v>22</v>
      </c>
      <c r="P245" s="130">
        <f>MONTH(Table1[[#This Row],[Date]])</f>
        <v>12</v>
      </c>
      <c r="Q245" s="130">
        <v>2020</v>
      </c>
      <c r="R245" s="166">
        <f>IF(ISBLANK(Table1[[#This Row],[Date]]),"",Table1[[#This Row],[Date]]-WEEKDAY(Table1[[#This Row],[Date]],2)+1)</f>
        <v>44186</v>
      </c>
      <c r="S245" s="131">
        <f>IF(ISBLANK(Table1[[#This Row],[Date]]),"",DATE(Table1[[#This Row],[Date_Year]],Table1[[#This Row],[Date_Month]],1))</f>
        <v>44166</v>
      </c>
    </row>
    <row r="246" spans="2:19" ht="15.75" x14ac:dyDescent="0.25">
      <c r="B246" s="133">
        <v>44186</v>
      </c>
      <c r="C246" s="128" t="s">
        <v>1200</v>
      </c>
      <c r="D246" s="128" t="s">
        <v>50</v>
      </c>
      <c r="E246" s="128" t="str" cm="1">
        <f t="array" ref="E246">IFERROR(INDEX(SubcategoriesTable[Subcategory name],MATCH(Table1[[#This Row],[Category]],SubcategoriesTable[Category name],0),0),"")</f>
        <v>Variable</v>
      </c>
      <c r="F246" s="134">
        <v>-1231</v>
      </c>
      <c r="G246" s="167" t="str">
        <f>_xlfn.XLOOKUP(Table1[[#This Row],[Account_ID]], Accounts[ID], Accounts[Account nickname], "Unknown")</f>
        <v>EVERYDAY CHECKING</v>
      </c>
      <c r="H246" s="137" t="str">
        <f>_xlfn.XLOOKUP(Table1[[#This Row],[Account_ID]], Accounts[ID], Accounts[Account'#], "Unknown")</f>
        <v>4636</v>
      </c>
      <c r="I246" s="168" t="str">
        <f>_xlfn.XLOOKUP(Table1[[#This Row],[Institution_ID]], Institutions[ID], Institutions[Institution nickname], "Unknown")</f>
        <v>Wells Fargo</v>
      </c>
      <c r="J246" s="139" t="s">
        <v>1420</v>
      </c>
      <c r="K246" s="129" t="s">
        <v>1229</v>
      </c>
      <c r="L246" s="129" t="s">
        <v>1228</v>
      </c>
      <c r="M246" s="130" t="str" cm="1">
        <f t="array" ref="M246">IFERROR(INDEX(CategoriesTable[Category type],MATCH(Table1[[#This Row],[Category]],CategoriesTable[Category name],0),0),"")</f>
        <v>Transfer</v>
      </c>
      <c r="N246" s="130" t="str" cm="1">
        <f t="array" ref="N246">IFERROR(INDEX(SubcategoriesTable[Subcategory name],MATCH(Table1[[#This Row],[Category]],SubcategoriesTable[Category name],0),0),"")</f>
        <v>Variable</v>
      </c>
      <c r="O246" s="130">
        <v>21</v>
      </c>
      <c r="P246" s="130">
        <f>MONTH(Table1[[#This Row],[Date]])</f>
        <v>12</v>
      </c>
      <c r="Q246" s="130">
        <v>2020</v>
      </c>
      <c r="R246" s="166">
        <f>IF(ISBLANK(Table1[[#This Row],[Date]]),"",Table1[[#This Row],[Date]]-WEEKDAY(Table1[[#This Row],[Date]],2)+1)</f>
        <v>44186</v>
      </c>
      <c r="S246" s="131">
        <f>IF(ISBLANK(Table1[[#This Row],[Date]]),"",DATE(Table1[[#This Row],[Date_Year]],Table1[[#This Row],[Date_Month]],1))</f>
        <v>44166</v>
      </c>
    </row>
    <row r="247" spans="2:19" ht="15.75" x14ac:dyDescent="0.25">
      <c r="B247" s="133">
        <v>44186</v>
      </c>
      <c r="C247" s="128" t="s">
        <v>508</v>
      </c>
      <c r="D247" s="128" t="s">
        <v>50</v>
      </c>
      <c r="E247" s="128" t="str" cm="1">
        <f t="array" ref="E247">IFERROR(INDEX(SubcategoriesTable[Subcategory name],MATCH(Table1[[#This Row],[Category]],SubcategoriesTable[Category name],0),0),"")</f>
        <v>Variable</v>
      </c>
      <c r="F247" s="134">
        <v>-60</v>
      </c>
      <c r="G247" s="167" t="str">
        <f>_xlfn.XLOOKUP(Table1[[#This Row],[Account_ID]], Accounts[ID], Accounts[Account nickname], "Unknown")</f>
        <v>EVERYDAY CHECKING</v>
      </c>
      <c r="H247" s="137" t="str">
        <f>_xlfn.XLOOKUP(Table1[[#This Row],[Account_ID]], Accounts[ID], Accounts[Account'#], "Unknown")</f>
        <v>4636</v>
      </c>
      <c r="I247" s="168" t="str">
        <f>_xlfn.XLOOKUP(Table1[[#This Row],[Institution_ID]], Institutions[ID], Institutions[Institution nickname], "Unknown")</f>
        <v>Wells Fargo</v>
      </c>
      <c r="J247" s="139" t="s">
        <v>1421</v>
      </c>
      <c r="K247" s="129" t="s">
        <v>1229</v>
      </c>
      <c r="L247" s="129" t="s">
        <v>1228</v>
      </c>
      <c r="M247" s="130" t="str" cm="1">
        <f t="array" ref="M247">IFERROR(INDEX(CategoriesTable[Category type],MATCH(Table1[[#This Row],[Category]],CategoriesTable[Category name],0),0),"")</f>
        <v>Transfer</v>
      </c>
      <c r="N247" s="130" t="str" cm="1">
        <f t="array" ref="N247">IFERROR(INDEX(SubcategoriesTable[Subcategory name],MATCH(Table1[[#This Row],[Category]],SubcategoriesTable[Category name],0),0),"")</f>
        <v>Variable</v>
      </c>
      <c r="O247" s="130">
        <v>21</v>
      </c>
      <c r="P247" s="130">
        <f>MONTH(Table1[[#This Row],[Date]])</f>
        <v>12</v>
      </c>
      <c r="Q247" s="130">
        <v>2020</v>
      </c>
      <c r="R247" s="166">
        <f>IF(ISBLANK(Table1[[#This Row],[Date]]),"",Table1[[#This Row],[Date]]-WEEKDAY(Table1[[#This Row],[Date]],2)+1)</f>
        <v>44186</v>
      </c>
      <c r="S247" s="131">
        <f>IF(ISBLANK(Table1[[#This Row],[Date]]),"",DATE(Table1[[#This Row],[Date_Year]],Table1[[#This Row],[Date_Month]],1))</f>
        <v>44166</v>
      </c>
    </row>
    <row r="248" spans="2:19" ht="15.75" x14ac:dyDescent="0.25">
      <c r="B248" s="133">
        <v>44186</v>
      </c>
      <c r="C248" s="128" t="s">
        <v>508</v>
      </c>
      <c r="D248" s="128" t="s">
        <v>50</v>
      </c>
      <c r="E248" s="128" t="str" cm="1">
        <f t="array" ref="E248">IFERROR(INDEX(SubcategoriesTable[Subcategory name],MATCH(Table1[[#This Row],[Category]],SubcategoriesTable[Category name],0),0),"")</f>
        <v>Variable</v>
      </c>
      <c r="F248" s="134">
        <v>-80</v>
      </c>
      <c r="G248" s="167" t="str">
        <f>_xlfn.XLOOKUP(Table1[[#This Row],[Account_ID]], Accounts[ID], Accounts[Account nickname], "Unknown")</f>
        <v>EVERYDAY CHECKING</v>
      </c>
      <c r="H248" s="137" t="str">
        <f>_xlfn.XLOOKUP(Table1[[#This Row],[Account_ID]], Accounts[ID], Accounts[Account'#], "Unknown")</f>
        <v>4636</v>
      </c>
      <c r="I248" s="168" t="str">
        <f>_xlfn.XLOOKUP(Table1[[#This Row],[Institution_ID]], Institutions[ID], Institutions[Institution nickname], "Unknown")</f>
        <v>Wells Fargo</v>
      </c>
      <c r="J248" s="139" t="s">
        <v>1422</v>
      </c>
      <c r="K248" s="129" t="s">
        <v>1229</v>
      </c>
      <c r="L248" s="129" t="s">
        <v>1228</v>
      </c>
      <c r="M248" s="130" t="str" cm="1">
        <f t="array" ref="M248">IFERROR(INDEX(CategoriesTable[Category type],MATCH(Table1[[#This Row],[Category]],CategoriesTable[Category name],0),0),"")</f>
        <v>Transfer</v>
      </c>
      <c r="N248" s="130" t="str" cm="1">
        <f t="array" ref="N248">IFERROR(INDEX(SubcategoriesTable[Subcategory name],MATCH(Table1[[#This Row],[Category]],SubcategoriesTable[Category name],0),0),"")</f>
        <v>Variable</v>
      </c>
      <c r="O248" s="130">
        <v>21</v>
      </c>
      <c r="P248" s="130">
        <f>MONTH(Table1[[#This Row],[Date]])</f>
        <v>12</v>
      </c>
      <c r="Q248" s="130">
        <v>2020</v>
      </c>
      <c r="R248" s="166">
        <f>IF(ISBLANK(Table1[[#This Row],[Date]]),"",Table1[[#This Row],[Date]]-WEEKDAY(Table1[[#This Row],[Date]],2)+1)</f>
        <v>44186</v>
      </c>
      <c r="S248" s="131">
        <f>IF(ISBLANK(Table1[[#This Row],[Date]]),"",DATE(Table1[[#This Row],[Date_Year]],Table1[[#This Row],[Date_Month]],1))</f>
        <v>44166</v>
      </c>
    </row>
    <row r="249" spans="2:19" ht="15.75" x14ac:dyDescent="0.25">
      <c r="B249" s="133">
        <v>44186</v>
      </c>
      <c r="C249" s="128" t="s">
        <v>267</v>
      </c>
      <c r="D249" s="128" t="s">
        <v>46</v>
      </c>
      <c r="E249" s="128" t="str" cm="1">
        <f t="array" ref="E249">IFERROR(INDEX(SubcategoriesTable[Subcategory name],MATCH(Table1[[#This Row],[Category]],SubcategoriesTable[Category name],0),0),"")</f>
        <v>Variable</v>
      </c>
      <c r="F249" s="134">
        <v>-2.0499999999999998</v>
      </c>
      <c r="G249" s="167" t="str">
        <f>_xlfn.XLOOKUP(Table1[[#This Row],[Account_ID]], Accounts[ID], Accounts[Account nickname], "Unknown")</f>
        <v>Discover it chrome Card</v>
      </c>
      <c r="H249" s="137" t="str">
        <f>_xlfn.XLOOKUP(Table1[[#This Row],[Account_ID]], Accounts[ID], Accounts[Account'#], "Unknown")</f>
        <v>7328</v>
      </c>
      <c r="I249" s="168" t="str">
        <f>_xlfn.XLOOKUP(Table1[[#This Row],[Institution_ID]], Institutions[ID], Institutions[Institution nickname], "Unknown")</f>
        <v>Discover</v>
      </c>
      <c r="J249" s="139" t="s">
        <v>322</v>
      </c>
      <c r="K249" s="129" t="s">
        <v>110</v>
      </c>
      <c r="L249" s="129" t="s">
        <v>108</v>
      </c>
      <c r="M249" s="130" t="str" cm="1">
        <f t="array" ref="M249">IFERROR(INDEX(CategoriesTable[Category type],MATCH(Table1[[#This Row],[Category]],CategoriesTable[Category name],0),0),"")</f>
        <v>Expense</v>
      </c>
      <c r="N249" s="130" t="str" cm="1">
        <f t="array" ref="N249">IFERROR(INDEX(SubcategoriesTable[Subcategory name],MATCH(Table1[[#This Row],[Category]],SubcategoriesTable[Category name],0),0),"")</f>
        <v>Variable</v>
      </c>
      <c r="O249" s="130">
        <v>21</v>
      </c>
      <c r="P249" s="130">
        <f>MONTH(Table1[[#This Row],[Date]])</f>
        <v>12</v>
      </c>
      <c r="Q249" s="130">
        <v>2020</v>
      </c>
      <c r="R249" s="166">
        <f>IF(ISBLANK(Table1[[#This Row],[Date]]),"",Table1[[#This Row],[Date]]-WEEKDAY(Table1[[#This Row],[Date]],2)+1)</f>
        <v>44186</v>
      </c>
      <c r="S249" s="131">
        <f>IF(ISBLANK(Table1[[#This Row],[Date]]),"",DATE(Table1[[#This Row],[Date_Year]],Table1[[#This Row],[Date_Month]],1))</f>
        <v>44166</v>
      </c>
    </row>
    <row r="250" spans="2:19" ht="15.75" x14ac:dyDescent="0.25">
      <c r="B250" s="133">
        <v>44186</v>
      </c>
      <c r="C250" s="128" t="s">
        <v>267</v>
      </c>
      <c r="D250" s="128" t="s">
        <v>46</v>
      </c>
      <c r="E250" s="128" t="str" cm="1">
        <f t="array" ref="E250">IFERROR(INDEX(SubcategoriesTable[Subcategory name],MATCH(Table1[[#This Row],[Category]],SubcategoriesTable[Category name],0),0),"")</f>
        <v>Variable</v>
      </c>
      <c r="F250" s="134">
        <v>-3.98</v>
      </c>
      <c r="G250" s="167" t="str">
        <f>_xlfn.XLOOKUP(Table1[[#This Row],[Account_ID]], Accounts[ID], Accounts[Account nickname], "Unknown")</f>
        <v>Discover it chrome Card</v>
      </c>
      <c r="H250" s="137" t="str">
        <f>_xlfn.XLOOKUP(Table1[[#This Row],[Account_ID]], Accounts[ID], Accounts[Account'#], "Unknown")</f>
        <v>7328</v>
      </c>
      <c r="I250" s="168" t="str">
        <f>_xlfn.XLOOKUP(Table1[[#This Row],[Institution_ID]], Institutions[ID], Institutions[Institution nickname], "Unknown")</f>
        <v>Discover</v>
      </c>
      <c r="J250" s="139" t="s">
        <v>323</v>
      </c>
      <c r="K250" s="129" t="s">
        <v>110</v>
      </c>
      <c r="L250" s="129" t="s">
        <v>108</v>
      </c>
      <c r="M250" s="130" t="str" cm="1">
        <f t="array" ref="M250">IFERROR(INDEX(CategoriesTable[Category type],MATCH(Table1[[#This Row],[Category]],CategoriesTable[Category name],0),0),"")</f>
        <v>Expense</v>
      </c>
      <c r="N250" s="130" t="str" cm="1">
        <f t="array" ref="N250">IFERROR(INDEX(SubcategoriesTable[Subcategory name],MATCH(Table1[[#This Row],[Category]],SubcategoriesTable[Category name],0),0),"")</f>
        <v>Variable</v>
      </c>
      <c r="O250" s="130">
        <v>21</v>
      </c>
      <c r="P250" s="130">
        <f>MONTH(Table1[[#This Row],[Date]])</f>
        <v>12</v>
      </c>
      <c r="Q250" s="130">
        <v>2020</v>
      </c>
      <c r="R250" s="166">
        <f>IF(ISBLANK(Table1[[#This Row],[Date]]),"",Table1[[#This Row],[Date]]-WEEKDAY(Table1[[#This Row],[Date]],2)+1)</f>
        <v>44186</v>
      </c>
      <c r="S250" s="131">
        <f>IF(ISBLANK(Table1[[#This Row],[Date]]),"",DATE(Table1[[#This Row],[Date_Year]],Table1[[#This Row],[Date_Month]],1))</f>
        <v>44166</v>
      </c>
    </row>
    <row r="251" spans="2:19" ht="15.75" x14ac:dyDescent="0.25">
      <c r="B251" s="133">
        <v>44186</v>
      </c>
      <c r="C251" s="128" t="s">
        <v>184</v>
      </c>
      <c r="D251" s="128" t="s">
        <v>46</v>
      </c>
      <c r="E251" s="128" t="str" cm="1">
        <f t="array" ref="E251">IFERROR(INDEX(SubcategoriesTable[Subcategory name],MATCH(Table1[[#This Row],[Category]],SubcategoriesTable[Category name],0),0),"")</f>
        <v>Variable</v>
      </c>
      <c r="F251" s="134">
        <v>-7.99</v>
      </c>
      <c r="G251" s="167" t="str">
        <f>_xlfn.XLOOKUP(Table1[[#This Row],[Account_ID]], Accounts[ID], Accounts[Account nickname], "Unknown")</f>
        <v>Discover it chrome Card</v>
      </c>
      <c r="H251" s="137" t="str">
        <f>_xlfn.XLOOKUP(Table1[[#This Row],[Account_ID]], Accounts[ID], Accounts[Account'#], "Unknown")</f>
        <v>7328</v>
      </c>
      <c r="I251" s="168" t="str">
        <f>_xlfn.XLOOKUP(Table1[[#This Row],[Institution_ID]], Institutions[ID], Institutions[Institution nickname], "Unknown")</f>
        <v>Discover</v>
      </c>
      <c r="J251" s="139" t="s">
        <v>324</v>
      </c>
      <c r="K251" s="129" t="s">
        <v>110</v>
      </c>
      <c r="L251" s="129" t="s">
        <v>108</v>
      </c>
      <c r="M251" s="130" t="str" cm="1">
        <f t="array" ref="M251">IFERROR(INDEX(CategoriesTable[Category type],MATCH(Table1[[#This Row],[Category]],CategoriesTable[Category name],0),0),"")</f>
        <v>Expense</v>
      </c>
      <c r="N251" s="130" t="str" cm="1">
        <f t="array" ref="N251">IFERROR(INDEX(SubcategoriesTable[Subcategory name],MATCH(Table1[[#This Row],[Category]],SubcategoriesTable[Category name],0),0),"")</f>
        <v>Variable</v>
      </c>
      <c r="O251" s="130">
        <v>21</v>
      </c>
      <c r="P251" s="130">
        <f>MONTH(Table1[[#This Row],[Date]])</f>
        <v>12</v>
      </c>
      <c r="Q251" s="130">
        <v>2020</v>
      </c>
      <c r="R251" s="166">
        <f>IF(ISBLANK(Table1[[#This Row],[Date]]),"",Table1[[#This Row],[Date]]-WEEKDAY(Table1[[#This Row],[Date]],2)+1)</f>
        <v>44186</v>
      </c>
      <c r="S251" s="131">
        <f>IF(ISBLANK(Table1[[#This Row],[Date]]),"",DATE(Table1[[#This Row],[Date_Year]],Table1[[#This Row],[Date_Month]],1))</f>
        <v>44166</v>
      </c>
    </row>
    <row r="252" spans="2:19" ht="15.75" x14ac:dyDescent="0.25">
      <c r="B252" s="133">
        <v>44186</v>
      </c>
      <c r="C252" s="128" t="s">
        <v>325</v>
      </c>
      <c r="D252" s="128" t="s">
        <v>52</v>
      </c>
      <c r="E252" s="128" t="str" cm="1">
        <f t="array" ref="E252">IFERROR(INDEX(SubcategoriesTable[Subcategory name],MATCH(Table1[[#This Row],[Category]],SubcategoriesTable[Category name],0),0),"")</f>
        <v>Variable</v>
      </c>
      <c r="F252" s="134">
        <v>-20</v>
      </c>
      <c r="G252" s="167" t="str">
        <f>_xlfn.XLOOKUP(Table1[[#This Row],[Account_ID]], Accounts[ID], Accounts[Account nickname], "Unknown")</f>
        <v>Discover it chrome Card</v>
      </c>
      <c r="H252" s="137" t="str">
        <f>_xlfn.XLOOKUP(Table1[[#This Row],[Account_ID]], Accounts[ID], Accounts[Account'#], "Unknown")</f>
        <v>7328</v>
      </c>
      <c r="I252" s="168" t="str">
        <f>_xlfn.XLOOKUP(Table1[[#This Row],[Institution_ID]], Institutions[ID], Institutions[Institution nickname], "Unknown")</f>
        <v>Discover</v>
      </c>
      <c r="J252" s="139" t="s">
        <v>326</v>
      </c>
      <c r="K252" s="129" t="s">
        <v>110</v>
      </c>
      <c r="L252" s="129" t="s">
        <v>108</v>
      </c>
      <c r="M252" s="130" t="str" cm="1">
        <f t="array" ref="M252">IFERROR(INDEX(CategoriesTable[Category type],MATCH(Table1[[#This Row],[Category]],CategoriesTable[Category name],0),0),"")</f>
        <v>Expense</v>
      </c>
      <c r="N252" s="130" t="str" cm="1">
        <f t="array" ref="N252">IFERROR(INDEX(SubcategoriesTable[Subcategory name],MATCH(Table1[[#This Row],[Category]],SubcategoriesTable[Category name],0),0),"")</f>
        <v>Variable</v>
      </c>
      <c r="O252" s="130">
        <v>21</v>
      </c>
      <c r="P252" s="130">
        <f>MONTH(Table1[[#This Row],[Date]])</f>
        <v>12</v>
      </c>
      <c r="Q252" s="130">
        <v>2020</v>
      </c>
      <c r="R252" s="166">
        <f>IF(ISBLANK(Table1[[#This Row],[Date]]),"",Table1[[#This Row],[Date]]-WEEKDAY(Table1[[#This Row],[Date]],2)+1)</f>
        <v>44186</v>
      </c>
      <c r="S252" s="131">
        <f>IF(ISBLANK(Table1[[#This Row],[Date]]),"",DATE(Table1[[#This Row],[Date_Year]],Table1[[#This Row],[Date_Month]],1))</f>
        <v>44166</v>
      </c>
    </row>
    <row r="253" spans="2:19" ht="15.75" x14ac:dyDescent="0.25">
      <c r="B253" s="133">
        <v>44186</v>
      </c>
      <c r="C253" s="128" t="s">
        <v>195</v>
      </c>
      <c r="D253" s="128" t="s">
        <v>48</v>
      </c>
      <c r="E253" s="128" t="str" cm="1">
        <f t="array" ref="E253">IFERROR(INDEX(SubcategoriesTable[Subcategory name],MATCH(Table1[[#This Row],[Category]],SubcategoriesTable[Category name],0),0),"")</f>
        <v>Variable</v>
      </c>
      <c r="F253" s="134">
        <v>-84.01</v>
      </c>
      <c r="G253" s="167" t="str">
        <f>_xlfn.XLOOKUP(Table1[[#This Row],[Account_ID]], Accounts[ID], Accounts[Account nickname], "Unknown")</f>
        <v>Discover it chrome Card</v>
      </c>
      <c r="H253" s="137" t="str">
        <f>_xlfn.XLOOKUP(Table1[[#This Row],[Account_ID]], Accounts[ID], Accounts[Account'#], "Unknown")</f>
        <v>7328</v>
      </c>
      <c r="I253" s="168" t="str">
        <f>_xlfn.XLOOKUP(Table1[[#This Row],[Institution_ID]], Institutions[ID], Institutions[Institution nickname], "Unknown")</f>
        <v>Discover</v>
      </c>
      <c r="J253" s="139" t="s">
        <v>327</v>
      </c>
      <c r="K253" s="129" t="s">
        <v>110</v>
      </c>
      <c r="L253" s="129" t="s">
        <v>108</v>
      </c>
      <c r="M253" s="130" t="str" cm="1">
        <f t="array" ref="M253">IFERROR(INDEX(CategoriesTable[Category type],MATCH(Table1[[#This Row],[Category]],CategoriesTable[Category name],0),0),"")</f>
        <v>Expense</v>
      </c>
      <c r="N253" s="130" t="str" cm="1">
        <f t="array" ref="N253">IFERROR(INDEX(SubcategoriesTable[Subcategory name],MATCH(Table1[[#This Row],[Category]],SubcategoriesTable[Category name],0),0),"")</f>
        <v>Variable</v>
      </c>
      <c r="O253" s="130">
        <v>21</v>
      </c>
      <c r="P253" s="130">
        <f>MONTH(Table1[[#This Row],[Date]])</f>
        <v>12</v>
      </c>
      <c r="Q253" s="130">
        <v>2020</v>
      </c>
      <c r="R253" s="166">
        <f>IF(ISBLANK(Table1[[#This Row],[Date]]),"",Table1[[#This Row],[Date]]-WEEKDAY(Table1[[#This Row],[Date]],2)+1)</f>
        <v>44186</v>
      </c>
      <c r="S253" s="131">
        <f>IF(ISBLANK(Table1[[#This Row],[Date]]),"",DATE(Table1[[#This Row],[Date_Year]],Table1[[#This Row],[Date_Month]],1))</f>
        <v>44166</v>
      </c>
    </row>
    <row r="254" spans="2:19" ht="15.75" x14ac:dyDescent="0.25">
      <c r="B254" s="133">
        <v>44186</v>
      </c>
      <c r="C254" s="128" t="s">
        <v>328</v>
      </c>
      <c r="D254" s="128" t="s">
        <v>45</v>
      </c>
      <c r="E254" s="128" t="str" cm="1">
        <f t="array" ref="E254">IFERROR(INDEX(SubcategoriesTable[Subcategory name],MATCH(Table1[[#This Row],[Category]],SubcategoriesTable[Category name],0),0),"")</f>
        <v>Variable</v>
      </c>
      <c r="F254" s="134">
        <v>-15.66</v>
      </c>
      <c r="G254" s="167" t="str">
        <f>_xlfn.XLOOKUP(Table1[[#This Row],[Account_ID]], Accounts[ID], Accounts[Account nickname], "Unknown")</f>
        <v>Discover it chrome Card</v>
      </c>
      <c r="H254" s="137" t="str">
        <f>_xlfn.XLOOKUP(Table1[[#This Row],[Account_ID]], Accounts[ID], Accounts[Account'#], "Unknown")</f>
        <v>7328</v>
      </c>
      <c r="I254" s="168" t="str">
        <f>_xlfn.XLOOKUP(Table1[[#This Row],[Institution_ID]], Institutions[ID], Institutions[Institution nickname], "Unknown")</f>
        <v>Discover</v>
      </c>
      <c r="J254" s="139" t="s">
        <v>329</v>
      </c>
      <c r="K254" s="129" t="s">
        <v>110</v>
      </c>
      <c r="L254" s="129" t="s">
        <v>108</v>
      </c>
      <c r="M254" s="130" t="str" cm="1">
        <f t="array" ref="M254">IFERROR(INDEX(CategoriesTable[Category type],MATCH(Table1[[#This Row],[Category]],CategoriesTable[Category name],0),0),"")</f>
        <v>Expense</v>
      </c>
      <c r="N254" s="130" t="str" cm="1">
        <f t="array" ref="N254">IFERROR(INDEX(SubcategoriesTable[Subcategory name],MATCH(Table1[[#This Row],[Category]],SubcategoriesTable[Category name],0),0),"")</f>
        <v>Variable</v>
      </c>
      <c r="O254" s="130">
        <v>21</v>
      </c>
      <c r="P254" s="130">
        <f>MONTH(Table1[[#This Row],[Date]])</f>
        <v>12</v>
      </c>
      <c r="Q254" s="130">
        <v>2020</v>
      </c>
      <c r="R254" s="166">
        <f>IF(ISBLANK(Table1[[#This Row],[Date]]),"",Table1[[#This Row],[Date]]-WEEKDAY(Table1[[#This Row],[Date]],2)+1)</f>
        <v>44186</v>
      </c>
      <c r="S254" s="131">
        <f>IF(ISBLANK(Table1[[#This Row],[Date]]),"",DATE(Table1[[#This Row],[Date_Year]],Table1[[#This Row],[Date_Month]],1))</f>
        <v>44166</v>
      </c>
    </row>
    <row r="255" spans="2:19" ht="15.75" x14ac:dyDescent="0.25">
      <c r="B255" s="133">
        <v>44185</v>
      </c>
      <c r="C255" s="128" t="s">
        <v>330</v>
      </c>
      <c r="D255" s="128" t="s">
        <v>50</v>
      </c>
      <c r="E255" s="128" t="str" cm="1">
        <f t="array" ref="E255">IFERROR(INDEX(SubcategoriesTable[Subcategory name],MATCH(Table1[[#This Row],[Category]],SubcategoriesTable[Category name],0),0),"")</f>
        <v>Variable</v>
      </c>
      <c r="F255" s="134">
        <v>-50</v>
      </c>
      <c r="G255" s="167" t="str">
        <f>_xlfn.XLOOKUP(Table1[[#This Row],[Account_ID]], Accounts[ID], Accounts[Account nickname], "Unknown")</f>
        <v>Discover it chrome Card</v>
      </c>
      <c r="H255" s="137" t="str">
        <f>_xlfn.XLOOKUP(Table1[[#This Row],[Account_ID]], Accounts[ID], Accounts[Account'#], "Unknown")</f>
        <v>7328</v>
      </c>
      <c r="I255" s="168" t="str">
        <f>_xlfn.XLOOKUP(Table1[[#This Row],[Institution_ID]], Institutions[ID], Institutions[Institution nickname], "Unknown")</f>
        <v>Discover</v>
      </c>
      <c r="J255" s="171" t="s">
        <v>331</v>
      </c>
      <c r="K255" s="129" t="s">
        <v>110</v>
      </c>
      <c r="L255" s="129" t="s">
        <v>108</v>
      </c>
      <c r="M255" s="130" t="str" cm="1">
        <f t="array" ref="M255">IFERROR(INDEX(CategoriesTable[Category type],MATCH(Table1[[#This Row],[Category]],CategoriesTable[Category name],0),0),"")</f>
        <v>Transfer</v>
      </c>
      <c r="N255" s="130" t="str" cm="1">
        <f t="array" ref="N255">IFERROR(INDEX(SubcategoriesTable[Subcategory name],MATCH(Table1[[#This Row],[Category]],SubcategoriesTable[Category name],0),0),"")</f>
        <v>Variable</v>
      </c>
      <c r="O255" s="130">
        <v>20</v>
      </c>
      <c r="P255" s="130">
        <f>MONTH(Table1[[#This Row],[Date]])</f>
        <v>12</v>
      </c>
      <c r="Q255" s="130">
        <v>2020</v>
      </c>
      <c r="R255" s="166">
        <f>IF(ISBLANK(Table1[[#This Row],[Date]]),"",Table1[[#This Row],[Date]]-WEEKDAY(Table1[[#This Row],[Date]],2)+1)</f>
        <v>44179</v>
      </c>
      <c r="S255" s="131">
        <f>IF(ISBLANK(Table1[[#This Row],[Date]]),"",DATE(Table1[[#This Row],[Date_Year]],Table1[[#This Row],[Date_Month]],1))</f>
        <v>44166</v>
      </c>
    </row>
    <row r="256" spans="2:19" ht="15.75" x14ac:dyDescent="0.25">
      <c r="B256" s="133">
        <v>44184</v>
      </c>
      <c r="C256" s="128" t="s">
        <v>332</v>
      </c>
      <c r="D256" s="128" t="s">
        <v>46</v>
      </c>
      <c r="E256" s="128" t="str" cm="1">
        <f t="array" ref="E256">IFERROR(INDEX(SubcategoriesTable[Subcategory name],MATCH(Table1[[#This Row],[Category]],SubcategoriesTable[Category name],0),0),"")</f>
        <v>Variable</v>
      </c>
      <c r="F256" s="134">
        <v>-52.99</v>
      </c>
      <c r="G256" s="167" t="str">
        <f>_xlfn.XLOOKUP(Table1[[#This Row],[Account_ID]], Accounts[ID], Accounts[Account nickname], "Unknown")</f>
        <v>Discover it chrome Card</v>
      </c>
      <c r="H256" s="137" t="str">
        <f>_xlfn.XLOOKUP(Table1[[#This Row],[Account_ID]], Accounts[ID], Accounts[Account'#], "Unknown")</f>
        <v>7328</v>
      </c>
      <c r="I256" s="168" t="str">
        <f>_xlfn.XLOOKUP(Table1[[#This Row],[Institution_ID]], Institutions[ID], Institutions[Institution nickname], "Unknown")</f>
        <v>Discover</v>
      </c>
      <c r="J256" s="139" t="s">
        <v>333</v>
      </c>
      <c r="K256" s="129" t="s">
        <v>110</v>
      </c>
      <c r="L256" s="129" t="s">
        <v>108</v>
      </c>
      <c r="M256" s="130" t="str" cm="1">
        <f t="array" ref="M256">IFERROR(INDEX(CategoriesTable[Category type],MATCH(Table1[[#This Row],[Category]],CategoriesTable[Category name],0),0),"")</f>
        <v>Expense</v>
      </c>
      <c r="N256" s="130" t="str" cm="1">
        <f t="array" ref="N256">IFERROR(INDEX(SubcategoriesTable[Subcategory name],MATCH(Table1[[#This Row],[Category]],SubcategoriesTable[Category name],0),0),"")</f>
        <v>Variable</v>
      </c>
      <c r="O256" s="130">
        <v>19</v>
      </c>
      <c r="P256" s="130">
        <f>MONTH(Table1[[#This Row],[Date]])</f>
        <v>12</v>
      </c>
      <c r="Q256" s="130">
        <v>2020</v>
      </c>
      <c r="R256" s="166">
        <f>IF(ISBLANK(Table1[[#This Row],[Date]]),"",Table1[[#This Row],[Date]]-WEEKDAY(Table1[[#This Row],[Date]],2)+1)</f>
        <v>44179</v>
      </c>
      <c r="S256" s="131">
        <f>IF(ISBLANK(Table1[[#This Row],[Date]]),"",DATE(Table1[[#This Row],[Date_Year]],Table1[[#This Row],[Date_Month]],1))</f>
        <v>44166</v>
      </c>
    </row>
    <row r="257" spans="2:19" ht="15.75" x14ac:dyDescent="0.25">
      <c r="B257" s="133">
        <v>44184</v>
      </c>
      <c r="C257" s="128" t="s">
        <v>119</v>
      </c>
      <c r="D257" s="128" t="s">
        <v>52</v>
      </c>
      <c r="E257" s="128" t="str" cm="1">
        <f t="array" ref="E257">IFERROR(INDEX(SubcategoriesTable[Subcategory name],MATCH(Table1[[#This Row],[Category]],SubcategoriesTable[Category name],0),0),"")</f>
        <v>Variable</v>
      </c>
      <c r="F257" s="134">
        <v>-9.99</v>
      </c>
      <c r="G257" s="167" t="str">
        <f>_xlfn.XLOOKUP(Table1[[#This Row],[Account_ID]], Accounts[ID], Accounts[Account nickname], "Unknown")</f>
        <v>Discover it chrome Card</v>
      </c>
      <c r="H257" s="137" t="str">
        <f>_xlfn.XLOOKUP(Table1[[#This Row],[Account_ID]], Accounts[ID], Accounts[Account'#], "Unknown")</f>
        <v>7328</v>
      </c>
      <c r="I257" s="168" t="str">
        <f>_xlfn.XLOOKUP(Table1[[#This Row],[Institution_ID]], Institutions[ID], Institutions[Institution nickname], "Unknown")</f>
        <v>Discover</v>
      </c>
      <c r="J257" s="139" t="s">
        <v>334</v>
      </c>
      <c r="K257" s="129" t="s">
        <v>110</v>
      </c>
      <c r="L257" s="129" t="s">
        <v>108</v>
      </c>
      <c r="M257" s="130" t="str" cm="1">
        <f t="array" ref="M257">IFERROR(INDEX(CategoriesTable[Category type],MATCH(Table1[[#This Row],[Category]],CategoriesTable[Category name],0),0),"")</f>
        <v>Expense</v>
      </c>
      <c r="N257" s="130" t="str" cm="1">
        <f t="array" ref="N257">IFERROR(INDEX(SubcategoriesTable[Subcategory name],MATCH(Table1[[#This Row],[Category]],SubcategoriesTable[Category name],0),0),"")</f>
        <v>Variable</v>
      </c>
      <c r="O257" s="130">
        <v>19</v>
      </c>
      <c r="P257" s="130">
        <f>MONTH(Table1[[#This Row],[Date]])</f>
        <v>12</v>
      </c>
      <c r="Q257" s="130">
        <v>2020</v>
      </c>
      <c r="R257" s="166">
        <f>IF(ISBLANK(Table1[[#This Row],[Date]]),"",Table1[[#This Row],[Date]]-WEEKDAY(Table1[[#This Row],[Date]],2)+1)</f>
        <v>44179</v>
      </c>
      <c r="S257" s="131">
        <f>IF(ISBLANK(Table1[[#This Row],[Date]]),"",DATE(Table1[[#This Row],[Date_Year]],Table1[[#This Row],[Date_Month]],1))</f>
        <v>44166</v>
      </c>
    </row>
    <row r="258" spans="2:19" ht="15.75" x14ac:dyDescent="0.25">
      <c r="B258" s="133">
        <v>44183</v>
      </c>
      <c r="C258" s="128" t="s">
        <v>1181</v>
      </c>
      <c r="D258" s="128" t="s">
        <v>59</v>
      </c>
      <c r="E258" s="128" t="str" cm="1">
        <f t="array" ref="E258">IFERROR(INDEX(SubcategoriesTable[Subcategory name],MATCH(Table1[[#This Row],[Category]],SubcategoriesTable[Category name],0),0),"")</f>
        <v>Fixed</v>
      </c>
      <c r="F258" s="134">
        <v>1669.27</v>
      </c>
      <c r="G258" s="167" t="str">
        <f>_xlfn.XLOOKUP(Table1[[#This Row],[Account_ID]], Accounts[ID], Accounts[Account nickname], "Unknown")</f>
        <v>EVERYDAY CHECKING</v>
      </c>
      <c r="H258" s="137" t="str">
        <f>_xlfn.XLOOKUP(Table1[[#This Row],[Account_ID]], Accounts[ID], Accounts[Account'#], "Unknown")</f>
        <v>4636</v>
      </c>
      <c r="I258" s="168" t="str">
        <f>_xlfn.XLOOKUP(Table1[[#This Row],[Institution_ID]], Institutions[ID], Institutions[Institution nickname], "Unknown")</f>
        <v>Wells Fargo</v>
      </c>
      <c r="J258" s="139" t="s">
        <v>1423</v>
      </c>
      <c r="K258" s="129" t="s">
        <v>1229</v>
      </c>
      <c r="L258" s="129" t="s">
        <v>1228</v>
      </c>
      <c r="M258" s="130" t="str" cm="1">
        <f t="array" ref="M258">IFERROR(INDEX(CategoriesTable[Category type],MATCH(Table1[[#This Row],[Category]],CategoriesTable[Category name],0),0),"")</f>
        <v>Income</v>
      </c>
      <c r="N258" s="130" t="str" cm="1">
        <f t="array" ref="N258">IFERROR(INDEX(SubcategoriesTable[Subcategory name],MATCH(Table1[[#This Row],[Category]],SubcategoriesTable[Category name],0),0),"")</f>
        <v>Fixed</v>
      </c>
      <c r="O258" s="130">
        <v>18</v>
      </c>
      <c r="P258" s="130">
        <f>MONTH(Table1[[#This Row],[Date]])</f>
        <v>12</v>
      </c>
      <c r="Q258" s="130">
        <v>2020</v>
      </c>
      <c r="R258" s="166">
        <f>IF(ISBLANK(Table1[[#This Row],[Date]]),"",Table1[[#This Row],[Date]]-WEEKDAY(Table1[[#This Row],[Date]],2)+1)</f>
        <v>44179</v>
      </c>
      <c r="S258" s="131">
        <f>IF(ISBLANK(Table1[[#This Row],[Date]]),"",DATE(Table1[[#This Row],[Date_Year]],Table1[[#This Row],[Date_Month]],1))</f>
        <v>44166</v>
      </c>
    </row>
    <row r="259" spans="2:19" ht="15.75" x14ac:dyDescent="0.25">
      <c r="B259" s="133">
        <v>44183</v>
      </c>
      <c r="C259" s="128" t="s">
        <v>195</v>
      </c>
      <c r="D259" s="128" t="s">
        <v>48</v>
      </c>
      <c r="E259" s="128" t="str" cm="1">
        <f t="array" ref="E259">IFERROR(INDEX(SubcategoriesTable[Subcategory name],MATCH(Table1[[#This Row],[Category]],SubcategoriesTable[Category name],0),0),"")</f>
        <v>Variable</v>
      </c>
      <c r="F259" s="134">
        <v>-5.92</v>
      </c>
      <c r="G259" s="167" t="str">
        <f>_xlfn.XLOOKUP(Table1[[#This Row],[Account_ID]], Accounts[ID], Accounts[Account nickname], "Unknown")</f>
        <v>Discover it chrome Card</v>
      </c>
      <c r="H259" s="137" t="str">
        <f>_xlfn.XLOOKUP(Table1[[#This Row],[Account_ID]], Accounts[ID], Accounts[Account'#], "Unknown")</f>
        <v>7328</v>
      </c>
      <c r="I259" s="168" t="str">
        <f>_xlfn.XLOOKUP(Table1[[#This Row],[Institution_ID]], Institutions[ID], Institutions[Institution nickname], "Unknown")</f>
        <v>Discover</v>
      </c>
      <c r="J259" s="139" t="s">
        <v>335</v>
      </c>
      <c r="K259" s="129" t="s">
        <v>110</v>
      </c>
      <c r="L259" s="129" t="s">
        <v>108</v>
      </c>
      <c r="M259" s="130" t="str" cm="1">
        <f t="array" ref="M259">IFERROR(INDEX(CategoriesTable[Category type],MATCH(Table1[[#This Row],[Category]],CategoriesTable[Category name],0),0),"")</f>
        <v>Expense</v>
      </c>
      <c r="N259" s="130" t="str" cm="1">
        <f t="array" ref="N259">IFERROR(INDEX(SubcategoriesTable[Subcategory name],MATCH(Table1[[#This Row],[Category]],SubcategoriesTable[Category name],0),0),"")</f>
        <v>Variable</v>
      </c>
      <c r="O259" s="130">
        <v>18</v>
      </c>
      <c r="P259" s="130">
        <f>MONTH(Table1[[#This Row],[Date]])</f>
        <v>12</v>
      </c>
      <c r="Q259" s="130">
        <v>2020</v>
      </c>
      <c r="R259" s="166">
        <f>IF(ISBLANK(Table1[[#This Row],[Date]]),"",Table1[[#This Row],[Date]]-WEEKDAY(Table1[[#This Row],[Date]],2)+1)</f>
        <v>44179</v>
      </c>
      <c r="S259" s="131">
        <f>IF(ISBLANK(Table1[[#This Row],[Date]]),"",DATE(Table1[[#This Row],[Date_Year]],Table1[[#This Row],[Date_Month]],1))</f>
        <v>44166</v>
      </c>
    </row>
    <row r="260" spans="2:19" ht="15.75" x14ac:dyDescent="0.25">
      <c r="B260" s="133">
        <v>44183</v>
      </c>
      <c r="C260" s="128" t="s">
        <v>336</v>
      </c>
      <c r="D260" s="128" t="s">
        <v>52</v>
      </c>
      <c r="E260" s="128" t="str" cm="1">
        <f t="array" ref="E260">IFERROR(INDEX(SubcategoriesTable[Subcategory name],MATCH(Table1[[#This Row],[Category]],SubcategoriesTable[Category name],0),0),"")</f>
        <v>Variable</v>
      </c>
      <c r="F260" s="134">
        <v>-9.64</v>
      </c>
      <c r="G260" s="167" t="str">
        <f>_xlfn.XLOOKUP(Table1[[#This Row],[Account_ID]], Accounts[ID], Accounts[Account nickname], "Unknown")</f>
        <v>Discover it chrome Card</v>
      </c>
      <c r="H260" s="137" t="str">
        <f>_xlfn.XLOOKUP(Table1[[#This Row],[Account_ID]], Accounts[ID], Accounts[Account'#], "Unknown")</f>
        <v>7328</v>
      </c>
      <c r="I260" s="168" t="str">
        <f>_xlfn.XLOOKUP(Table1[[#This Row],[Institution_ID]], Institutions[ID], Institutions[Institution nickname], "Unknown")</f>
        <v>Discover</v>
      </c>
      <c r="J260" s="139" t="s">
        <v>337</v>
      </c>
      <c r="K260" s="129" t="s">
        <v>110</v>
      </c>
      <c r="L260" s="129" t="s">
        <v>108</v>
      </c>
      <c r="M260" s="130" t="str" cm="1">
        <f t="array" ref="M260">IFERROR(INDEX(CategoriesTable[Category type],MATCH(Table1[[#This Row],[Category]],CategoriesTable[Category name],0),0),"")</f>
        <v>Expense</v>
      </c>
      <c r="N260" s="130" t="str" cm="1">
        <f t="array" ref="N260">IFERROR(INDEX(SubcategoriesTable[Subcategory name],MATCH(Table1[[#This Row],[Category]],SubcategoriesTable[Category name],0),0),"")</f>
        <v>Variable</v>
      </c>
      <c r="O260" s="130">
        <v>18</v>
      </c>
      <c r="P260" s="130">
        <f>MONTH(Table1[[#This Row],[Date]])</f>
        <v>12</v>
      </c>
      <c r="Q260" s="130">
        <v>2020</v>
      </c>
      <c r="R260" s="166">
        <f>IF(ISBLANK(Table1[[#This Row],[Date]]),"",Table1[[#This Row],[Date]]-WEEKDAY(Table1[[#This Row],[Date]],2)+1)</f>
        <v>44179</v>
      </c>
      <c r="S260" s="131">
        <f>IF(ISBLANK(Table1[[#This Row],[Date]]),"",DATE(Table1[[#This Row],[Date_Year]],Table1[[#This Row],[Date_Month]],1))</f>
        <v>44166</v>
      </c>
    </row>
    <row r="261" spans="2:19" ht="15.75" x14ac:dyDescent="0.25">
      <c r="B261" s="133">
        <v>44183</v>
      </c>
      <c r="C261" s="128" t="s">
        <v>338</v>
      </c>
      <c r="D261" s="128" t="s">
        <v>45</v>
      </c>
      <c r="E261" s="128" t="str" cm="1">
        <f t="array" ref="E261">IFERROR(INDEX(SubcategoriesTable[Subcategory name],MATCH(Table1[[#This Row],[Category]],SubcategoriesTable[Category name],0),0),"")</f>
        <v>Variable</v>
      </c>
      <c r="F261" s="134">
        <v>-40</v>
      </c>
      <c r="G261" s="167" t="str">
        <f>_xlfn.XLOOKUP(Table1[[#This Row],[Account_ID]], Accounts[ID], Accounts[Account nickname], "Unknown")</f>
        <v>Discover it chrome Card</v>
      </c>
      <c r="H261" s="137" t="str">
        <f>_xlfn.XLOOKUP(Table1[[#This Row],[Account_ID]], Accounts[ID], Accounts[Account'#], "Unknown")</f>
        <v>7328</v>
      </c>
      <c r="I261" s="168" t="str">
        <f>_xlfn.XLOOKUP(Table1[[#This Row],[Institution_ID]], Institutions[ID], Institutions[Institution nickname], "Unknown")</f>
        <v>Discover</v>
      </c>
      <c r="J261" s="139" t="s">
        <v>339</v>
      </c>
      <c r="K261" s="129" t="s">
        <v>110</v>
      </c>
      <c r="L261" s="129" t="s">
        <v>108</v>
      </c>
      <c r="M261" s="130" t="str" cm="1">
        <f t="array" ref="M261">IFERROR(INDEX(CategoriesTable[Category type],MATCH(Table1[[#This Row],[Category]],CategoriesTable[Category name],0),0),"")</f>
        <v>Expense</v>
      </c>
      <c r="N261" s="130" t="str" cm="1">
        <f t="array" ref="N261">IFERROR(INDEX(SubcategoriesTable[Subcategory name],MATCH(Table1[[#This Row],[Category]],SubcategoriesTable[Category name],0),0),"")</f>
        <v>Variable</v>
      </c>
      <c r="O261" s="130">
        <v>18</v>
      </c>
      <c r="P261" s="130">
        <f>MONTH(Table1[[#This Row],[Date]])</f>
        <v>12</v>
      </c>
      <c r="Q261" s="130">
        <v>2020</v>
      </c>
      <c r="R261" s="166">
        <f>IF(ISBLANK(Table1[[#This Row],[Date]]),"",Table1[[#This Row],[Date]]-WEEKDAY(Table1[[#This Row],[Date]],2)+1)</f>
        <v>44179</v>
      </c>
      <c r="S261" s="131">
        <f>IF(ISBLANK(Table1[[#This Row],[Date]]),"",DATE(Table1[[#This Row],[Date_Year]],Table1[[#This Row],[Date_Month]],1))</f>
        <v>44166</v>
      </c>
    </row>
    <row r="262" spans="2:19" ht="15.75" x14ac:dyDescent="0.25">
      <c r="B262" s="133">
        <v>44182</v>
      </c>
      <c r="C262" s="128" t="s">
        <v>1201</v>
      </c>
      <c r="D262" s="128" t="s">
        <v>46</v>
      </c>
      <c r="E262" s="128" t="str" cm="1">
        <f t="array" ref="E262">IFERROR(INDEX(SubcategoriesTable[Subcategory name],MATCH(Table1[[#This Row],[Category]],SubcategoriesTable[Category name],0),0),"")</f>
        <v>Variable</v>
      </c>
      <c r="F262" s="134">
        <v>-20</v>
      </c>
      <c r="G262" s="167" t="str">
        <f>_xlfn.XLOOKUP(Table1[[#This Row],[Account_ID]], Accounts[ID], Accounts[Account nickname], "Unknown")</f>
        <v>EVERYDAY CHECKING</v>
      </c>
      <c r="H262" s="137" t="str">
        <f>_xlfn.XLOOKUP(Table1[[#This Row],[Account_ID]], Accounts[ID], Accounts[Account'#], "Unknown")</f>
        <v>4636</v>
      </c>
      <c r="I262" s="168" t="str">
        <f>_xlfn.XLOOKUP(Table1[[#This Row],[Institution_ID]], Institutions[ID], Institutions[Institution nickname], "Unknown")</f>
        <v>Wells Fargo</v>
      </c>
      <c r="J262" s="139" t="s">
        <v>1424</v>
      </c>
      <c r="K262" s="129" t="s">
        <v>1229</v>
      </c>
      <c r="L262" s="129" t="s">
        <v>1228</v>
      </c>
      <c r="M262" s="130" t="str" cm="1">
        <f t="array" ref="M262">IFERROR(INDEX(CategoriesTable[Category type],MATCH(Table1[[#This Row],[Category]],CategoriesTable[Category name],0),0),"")</f>
        <v>Expense</v>
      </c>
      <c r="N262" s="130" t="str" cm="1">
        <f t="array" ref="N262">IFERROR(INDEX(SubcategoriesTable[Subcategory name],MATCH(Table1[[#This Row],[Category]],SubcategoriesTable[Category name],0),0),"")</f>
        <v>Variable</v>
      </c>
      <c r="O262" s="130">
        <v>17</v>
      </c>
      <c r="P262" s="130">
        <f>MONTH(Table1[[#This Row],[Date]])</f>
        <v>12</v>
      </c>
      <c r="Q262" s="130">
        <v>2020</v>
      </c>
      <c r="R262" s="166">
        <f>IF(ISBLANK(Table1[[#This Row],[Date]]),"",Table1[[#This Row],[Date]]-WEEKDAY(Table1[[#This Row],[Date]],2)+1)</f>
        <v>44179</v>
      </c>
      <c r="S262" s="131">
        <f>IF(ISBLANK(Table1[[#This Row],[Date]]),"",DATE(Table1[[#This Row],[Date_Year]],Table1[[#This Row],[Date_Month]],1))</f>
        <v>44166</v>
      </c>
    </row>
    <row r="263" spans="2:19" ht="15.75" x14ac:dyDescent="0.25">
      <c r="B263" s="133">
        <v>44182</v>
      </c>
      <c r="C263" s="128" t="s">
        <v>1202</v>
      </c>
      <c r="D263" s="128" t="s">
        <v>50</v>
      </c>
      <c r="E263" s="128" t="str" cm="1">
        <f t="array" ref="E263">IFERROR(INDEX(SubcategoriesTable[Subcategory name],MATCH(Table1[[#This Row],[Category]],SubcategoriesTable[Category name],0),0),"")</f>
        <v>Variable</v>
      </c>
      <c r="F263" s="134">
        <v>80</v>
      </c>
      <c r="G263" s="167" t="str">
        <f>_xlfn.XLOOKUP(Table1[[#This Row],[Account_ID]], Accounts[ID], Accounts[Account nickname], "Unknown")</f>
        <v>EVERYDAY CHECKING</v>
      </c>
      <c r="H263" s="137" t="str">
        <f>_xlfn.XLOOKUP(Table1[[#This Row],[Account_ID]], Accounts[ID], Accounts[Account'#], "Unknown")</f>
        <v>4636</v>
      </c>
      <c r="I263" s="168" t="str">
        <f>_xlfn.XLOOKUP(Table1[[#This Row],[Institution_ID]], Institutions[ID], Institutions[Institution nickname], "Unknown")</f>
        <v>Wells Fargo</v>
      </c>
      <c r="J263" s="139" t="s">
        <v>1425</v>
      </c>
      <c r="K263" s="129" t="s">
        <v>1229</v>
      </c>
      <c r="L263" s="129" t="s">
        <v>1228</v>
      </c>
      <c r="M263" s="130" t="str" cm="1">
        <f t="array" ref="M263">IFERROR(INDEX(CategoriesTable[Category type],MATCH(Table1[[#This Row],[Category]],CategoriesTable[Category name],0),0),"")</f>
        <v>Transfer</v>
      </c>
      <c r="N263" s="130" t="str" cm="1">
        <f t="array" ref="N263">IFERROR(INDEX(SubcategoriesTable[Subcategory name],MATCH(Table1[[#This Row],[Category]],SubcategoriesTable[Category name],0),0),"")</f>
        <v>Variable</v>
      </c>
      <c r="O263" s="130">
        <v>17</v>
      </c>
      <c r="P263" s="130">
        <f>MONTH(Table1[[#This Row],[Date]])</f>
        <v>12</v>
      </c>
      <c r="Q263" s="130">
        <v>2020</v>
      </c>
      <c r="R263" s="166">
        <f>IF(ISBLANK(Table1[[#This Row],[Date]]),"",Table1[[#This Row],[Date]]-WEEKDAY(Table1[[#This Row],[Date]],2)+1)</f>
        <v>44179</v>
      </c>
      <c r="S263" s="131">
        <f>IF(ISBLANK(Table1[[#This Row],[Date]]),"",DATE(Table1[[#This Row],[Date_Year]],Table1[[#This Row],[Date_Month]],1))</f>
        <v>44166</v>
      </c>
    </row>
    <row r="264" spans="2:19" ht="15.75" x14ac:dyDescent="0.25">
      <c r="B264" s="133">
        <v>44182</v>
      </c>
      <c r="C264" s="128" t="s">
        <v>340</v>
      </c>
      <c r="D264" s="128" t="s">
        <v>45</v>
      </c>
      <c r="E264" s="128" t="str" cm="1">
        <f t="array" ref="E264">IFERROR(INDEX(SubcategoriesTable[Subcategory name],MATCH(Table1[[#This Row],[Category]],SubcategoriesTable[Category name],0),0),"")</f>
        <v>Variable</v>
      </c>
      <c r="F264" s="134">
        <v>-28.92</v>
      </c>
      <c r="G264" s="167" t="str">
        <f>_xlfn.XLOOKUP(Table1[[#This Row],[Account_ID]], Accounts[ID], Accounts[Account nickname], "Unknown")</f>
        <v>Discover it chrome Card</v>
      </c>
      <c r="H264" s="137" t="str">
        <f>_xlfn.XLOOKUP(Table1[[#This Row],[Account_ID]], Accounts[ID], Accounts[Account'#], "Unknown")</f>
        <v>7328</v>
      </c>
      <c r="I264" s="168" t="str">
        <f>_xlfn.XLOOKUP(Table1[[#This Row],[Institution_ID]], Institutions[ID], Institutions[Institution nickname], "Unknown")</f>
        <v>Discover</v>
      </c>
      <c r="J264" s="139" t="s">
        <v>341</v>
      </c>
      <c r="K264" s="129" t="s">
        <v>110</v>
      </c>
      <c r="L264" s="129" t="s">
        <v>108</v>
      </c>
      <c r="M264" s="130" t="str" cm="1">
        <f t="array" ref="M264">IFERROR(INDEX(CategoriesTable[Category type],MATCH(Table1[[#This Row],[Category]],CategoriesTable[Category name],0),0),"")</f>
        <v>Expense</v>
      </c>
      <c r="N264" s="130" t="str" cm="1">
        <f t="array" ref="N264">IFERROR(INDEX(SubcategoriesTable[Subcategory name],MATCH(Table1[[#This Row],[Category]],SubcategoriesTable[Category name],0),0),"")</f>
        <v>Variable</v>
      </c>
      <c r="O264" s="130">
        <v>17</v>
      </c>
      <c r="P264" s="130">
        <f>MONTH(Table1[[#This Row],[Date]])</f>
        <v>12</v>
      </c>
      <c r="Q264" s="130">
        <v>2020</v>
      </c>
      <c r="R264" s="166">
        <f>IF(ISBLANK(Table1[[#This Row],[Date]]),"",Table1[[#This Row],[Date]]-WEEKDAY(Table1[[#This Row],[Date]],2)+1)</f>
        <v>44179</v>
      </c>
      <c r="S264" s="131">
        <f>IF(ISBLANK(Table1[[#This Row],[Date]]),"",DATE(Table1[[#This Row],[Date_Year]],Table1[[#This Row],[Date_Month]],1))</f>
        <v>44166</v>
      </c>
    </row>
    <row r="265" spans="2:19" ht="15.75" x14ac:dyDescent="0.25">
      <c r="B265" s="133">
        <v>44181</v>
      </c>
      <c r="C265" s="128" t="s">
        <v>508</v>
      </c>
      <c r="D265" s="128" t="s">
        <v>50</v>
      </c>
      <c r="E265" s="128" t="str" cm="1">
        <f t="array" ref="E265">IFERROR(INDEX(SubcategoriesTable[Subcategory name],MATCH(Table1[[#This Row],[Category]],SubcategoriesTable[Category name],0),0),"")</f>
        <v>Variable</v>
      </c>
      <c r="F265" s="134">
        <v>-36.75</v>
      </c>
      <c r="G265" s="167" t="str">
        <f>_xlfn.XLOOKUP(Table1[[#This Row],[Account_ID]], Accounts[ID], Accounts[Account nickname], "Unknown")</f>
        <v>EVERYDAY CHECKING</v>
      </c>
      <c r="H265" s="137" t="str">
        <f>_xlfn.XLOOKUP(Table1[[#This Row],[Account_ID]], Accounts[ID], Accounts[Account'#], "Unknown")</f>
        <v>4636</v>
      </c>
      <c r="I265" s="168" t="str">
        <f>_xlfn.XLOOKUP(Table1[[#This Row],[Institution_ID]], Institutions[ID], Institutions[Institution nickname], "Unknown")</f>
        <v>Wells Fargo</v>
      </c>
      <c r="J265" s="139" t="s">
        <v>1426</v>
      </c>
      <c r="K265" s="129" t="s">
        <v>1229</v>
      </c>
      <c r="L265" s="129" t="s">
        <v>1228</v>
      </c>
      <c r="M265" s="130" t="str" cm="1">
        <f t="array" ref="M265">IFERROR(INDEX(CategoriesTable[Category type],MATCH(Table1[[#This Row],[Category]],CategoriesTable[Category name],0),0),"")</f>
        <v>Transfer</v>
      </c>
      <c r="N265" s="130" t="str" cm="1">
        <f t="array" ref="N265">IFERROR(INDEX(SubcategoriesTable[Subcategory name],MATCH(Table1[[#This Row],[Category]],SubcategoriesTable[Category name],0),0),"")</f>
        <v>Variable</v>
      </c>
      <c r="O265" s="130">
        <v>16</v>
      </c>
      <c r="P265" s="130">
        <f>MONTH(Table1[[#This Row],[Date]])</f>
        <v>12</v>
      </c>
      <c r="Q265" s="130">
        <v>2020</v>
      </c>
      <c r="R265" s="166">
        <f>IF(ISBLANK(Table1[[#This Row],[Date]]),"",Table1[[#This Row],[Date]]-WEEKDAY(Table1[[#This Row],[Date]],2)+1)</f>
        <v>44179</v>
      </c>
      <c r="S265" s="131">
        <f>IF(ISBLANK(Table1[[#This Row],[Date]]),"",DATE(Table1[[#This Row],[Date_Year]],Table1[[#This Row],[Date_Month]],1))</f>
        <v>44166</v>
      </c>
    </row>
    <row r="266" spans="2:19" ht="15.75" x14ac:dyDescent="0.25">
      <c r="B266" s="133">
        <v>44180</v>
      </c>
      <c r="C266" s="128" t="s">
        <v>1180</v>
      </c>
      <c r="D266" s="128" t="s">
        <v>50</v>
      </c>
      <c r="E266" s="128" t="str" cm="1">
        <f t="array" ref="E266">IFERROR(INDEX(SubcategoriesTable[Subcategory name],MATCH(Table1[[#This Row],[Category]],SubcategoriesTable[Category name],0),0),"")</f>
        <v>Variable</v>
      </c>
      <c r="F266" s="134">
        <v>-400</v>
      </c>
      <c r="G266" s="167" t="str">
        <f>_xlfn.XLOOKUP(Table1[[#This Row],[Account_ID]], Accounts[ID], Accounts[Account nickname], "Unknown")</f>
        <v>EVERYDAY CHECKING</v>
      </c>
      <c r="H266" s="137" t="str">
        <f>_xlfn.XLOOKUP(Table1[[#This Row],[Account_ID]], Accounts[ID], Accounts[Account'#], "Unknown")</f>
        <v>4636</v>
      </c>
      <c r="I266" s="168" t="str">
        <f>_xlfn.XLOOKUP(Table1[[#This Row],[Institution_ID]], Institutions[ID], Institutions[Institution nickname], "Unknown")</f>
        <v>Wells Fargo</v>
      </c>
      <c r="J266" s="139" t="s">
        <v>1427</v>
      </c>
      <c r="K266" s="129" t="s">
        <v>1229</v>
      </c>
      <c r="L266" s="129" t="s">
        <v>1228</v>
      </c>
      <c r="M266" s="130" t="str" cm="1">
        <f t="array" ref="M266">IFERROR(INDEX(CategoriesTable[Category type],MATCH(Table1[[#This Row],[Category]],CategoriesTable[Category name],0),0),"")</f>
        <v>Transfer</v>
      </c>
      <c r="N266" s="130" t="str" cm="1">
        <f t="array" ref="N266">IFERROR(INDEX(SubcategoriesTable[Subcategory name],MATCH(Table1[[#This Row],[Category]],SubcategoriesTable[Category name],0),0),"")</f>
        <v>Variable</v>
      </c>
      <c r="O266" s="130">
        <v>15</v>
      </c>
      <c r="P266" s="130">
        <f>MONTH(Table1[[#This Row],[Date]])</f>
        <v>12</v>
      </c>
      <c r="Q266" s="130">
        <v>2020</v>
      </c>
      <c r="R266" s="166">
        <f>IF(ISBLANK(Table1[[#This Row],[Date]]),"",Table1[[#This Row],[Date]]-WEEKDAY(Table1[[#This Row],[Date]],2)+1)</f>
        <v>44179</v>
      </c>
      <c r="S266" s="131">
        <f>IF(ISBLANK(Table1[[#This Row],[Date]]),"",DATE(Table1[[#This Row],[Date_Year]],Table1[[#This Row],[Date_Month]],1))</f>
        <v>44166</v>
      </c>
    </row>
    <row r="267" spans="2:19" ht="15.75" x14ac:dyDescent="0.25">
      <c r="B267" s="133">
        <v>44180</v>
      </c>
      <c r="C267" s="128" t="s">
        <v>342</v>
      </c>
      <c r="D267" s="128" t="s">
        <v>46</v>
      </c>
      <c r="E267" s="128" t="str" cm="1">
        <f t="array" ref="E267">IFERROR(INDEX(SubcategoriesTable[Subcategory name],MATCH(Table1[[#This Row],[Category]],SubcategoriesTable[Category name],0),0),"")</f>
        <v>Variable</v>
      </c>
      <c r="F267" s="134">
        <v>-67.16</v>
      </c>
      <c r="G267" s="167" t="str">
        <f>_xlfn.XLOOKUP(Table1[[#This Row],[Account_ID]], Accounts[ID], Accounts[Account nickname], "Unknown")</f>
        <v>Discover it chrome Card</v>
      </c>
      <c r="H267" s="137" t="str">
        <f>_xlfn.XLOOKUP(Table1[[#This Row],[Account_ID]], Accounts[ID], Accounts[Account'#], "Unknown")</f>
        <v>7328</v>
      </c>
      <c r="I267" s="168" t="str">
        <f>_xlfn.XLOOKUP(Table1[[#This Row],[Institution_ID]], Institutions[ID], Institutions[Institution nickname], "Unknown")</f>
        <v>Discover</v>
      </c>
      <c r="J267" s="139" t="s">
        <v>343</v>
      </c>
      <c r="K267" s="129" t="s">
        <v>110</v>
      </c>
      <c r="L267" s="129" t="s">
        <v>108</v>
      </c>
      <c r="M267" s="130" t="str" cm="1">
        <f t="array" ref="M267">IFERROR(INDEX(CategoriesTable[Category type],MATCH(Table1[[#This Row],[Category]],CategoriesTable[Category name],0),0),"")</f>
        <v>Expense</v>
      </c>
      <c r="N267" s="130" t="str" cm="1">
        <f t="array" ref="N267">IFERROR(INDEX(SubcategoriesTable[Subcategory name],MATCH(Table1[[#This Row],[Category]],SubcategoriesTable[Category name],0),0),"")</f>
        <v>Variable</v>
      </c>
      <c r="O267" s="130">
        <v>15</v>
      </c>
      <c r="P267" s="130">
        <f>MONTH(Table1[[#This Row],[Date]])</f>
        <v>12</v>
      </c>
      <c r="Q267" s="130">
        <v>2020</v>
      </c>
      <c r="R267" s="166">
        <f>IF(ISBLANK(Table1[[#This Row],[Date]]),"",Table1[[#This Row],[Date]]-WEEKDAY(Table1[[#This Row],[Date]],2)+1)</f>
        <v>44179</v>
      </c>
      <c r="S267" s="131">
        <f>IF(ISBLANK(Table1[[#This Row],[Date]]),"",DATE(Table1[[#This Row],[Date_Year]],Table1[[#This Row],[Date_Month]],1))</f>
        <v>44166</v>
      </c>
    </row>
    <row r="268" spans="2:19" ht="15.75" x14ac:dyDescent="0.25">
      <c r="B268" s="133">
        <v>44180</v>
      </c>
      <c r="C268" s="128" t="s">
        <v>259</v>
      </c>
      <c r="D268" s="128" t="s">
        <v>50</v>
      </c>
      <c r="E268" s="128" t="str" cm="1">
        <f t="array" ref="E268">IFERROR(INDEX(SubcategoriesTable[Subcategory name],MATCH(Table1[[#This Row],[Category]],SubcategoriesTable[Category name],0),0),"")</f>
        <v>Variable</v>
      </c>
      <c r="F268" s="134">
        <v>569.12</v>
      </c>
      <c r="G268" s="167" t="str">
        <f>_xlfn.XLOOKUP(Table1[[#This Row],[Account_ID]], Accounts[ID], Accounts[Account nickname], "Unknown")</f>
        <v>Discover it chrome Card</v>
      </c>
      <c r="H268" s="137" t="str">
        <f>_xlfn.XLOOKUP(Table1[[#This Row],[Account_ID]], Accounts[ID], Accounts[Account'#], "Unknown")</f>
        <v>7328</v>
      </c>
      <c r="I268" s="168" t="str">
        <f>_xlfn.XLOOKUP(Table1[[#This Row],[Institution_ID]], Institutions[ID], Institutions[Institution nickname], "Unknown")</f>
        <v>Discover</v>
      </c>
      <c r="J268" s="139" t="s">
        <v>344</v>
      </c>
      <c r="K268" s="129" t="s">
        <v>110</v>
      </c>
      <c r="L268" s="129" t="s">
        <v>108</v>
      </c>
      <c r="M268" s="130" t="str" cm="1">
        <f t="array" ref="M268">IFERROR(INDEX(CategoriesTable[Category type],MATCH(Table1[[#This Row],[Category]],CategoriesTable[Category name],0),0),"")</f>
        <v>Transfer</v>
      </c>
      <c r="N268" s="130" t="str" cm="1">
        <f t="array" ref="N268">IFERROR(INDEX(SubcategoriesTable[Subcategory name],MATCH(Table1[[#This Row],[Category]],SubcategoriesTable[Category name],0),0),"")</f>
        <v>Variable</v>
      </c>
      <c r="O268" s="130">
        <v>15</v>
      </c>
      <c r="P268" s="130">
        <f>MONTH(Table1[[#This Row],[Date]])</f>
        <v>12</v>
      </c>
      <c r="Q268" s="130">
        <v>2020</v>
      </c>
      <c r="R268" s="166">
        <f>IF(ISBLANK(Table1[[#This Row],[Date]]),"",Table1[[#This Row],[Date]]-WEEKDAY(Table1[[#This Row],[Date]],2)+1)</f>
        <v>44179</v>
      </c>
      <c r="S268" s="131">
        <f>IF(ISBLANK(Table1[[#This Row],[Date]]),"",DATE(Table1[[#This Row],[Date_Year]],Table1[[#This Row],[Date_Month]],1))</f>
        <v>44166</v>
      </c>
    </row>
    <row r="269" spans="2:19" ht="15.75" x14ac:dyDescent="0.25">
      <c r="B269" s="133">
        <v>44180</v>
      </c>
      <c r="C269" s="128" t="s">
        <v>113</v>
      </c>
      <c r="D269" s="128" t="s">
        <v>50</v>
      </c>
      <c r="E269" s="128" t="str" cm="1">
        <f t="array" ref="E269">IFERROR(INDEX(SubcategoriesTable[Subcategory name],MATCH(Table1[[#This Row],[Category]],SubcategoriesTable[Category name],0),0),"")</f>
        <v>Variable</v>
      </c>
      <c r="F269" s="134">
        <v>400</v>
      </c>
      <c r="G269" s="167" t="str">
        <f>_xlfn.XLOOKUP(Table1[[#This Row],[Account_ID]], Accounts[ID], Accounts[Account nickname], "Unknown")</f>
        <v>Discover it chrome Card</v>
      </c>
      <c r="H269" s="137" t="str">
        <f>_xlfn.XLOOKUP(Table1[[#This Row],[Account_ID]], Accounts[ID], Accounts[Account'#], "Unknown")</f>
        <v>7328</v>
      </c>
      <c r="I269" s="168" t="str">
        <f>_xlfn.XLOOKUP(Table1[[#This Row],[Institution_ID]], Institutions[ID], Institutions[Institution nickname], "Unknown")</f>
        <v>Discover</v>
      </c>
      <c r="J269" s="139" t="s">
        <v>345</v>
      </c>
      <c r="K269" s="129" t="s">
        <v>110</v>
      </c>
      <c r="L269" s="129" t="s">
        <v>108</v>
      </c>
      <c r="M269" s="130" t="str" cm="1">
        <f t="array" ref="M269">IFERROR(INDEX(CategoriesTable[Category type],MATCH(Table1[[#This Row],[Category]],CategoriesTable[Category name],0),0),"")</f>
        <v>Transfer</v>
      </c>
      <c r="N269" s="130" t="str" cm="1">
        <f t="array" ref="N269">IFERROR(INDEX(SubcategoriesTable[Subcategory name],MATCH(Table1[[#This Row],[Category]],SubcategoriesTable[Category name],0),0),"")</f>
        <v>Variable</v>
      </c>
      <c r="O269" s="130">
        <v>15</v>
      </c>
      <c r="P269" s="130">
        <f>MONTH(Table1[[#This Row],[Date]])</f>
        <v>12</v>
      </c>
      <c r="Q269" s="130">
        <v>2020</v>
      </c>
      <c r="R269" s="166">
        <f>IF(ISBLANK(Table1[[#This Row],[Date]]),"",Table1[[#This Row],[Date]]-WEEKDAY(Table1[[#This Row],[Date]],2)+1)</f>
        <v>44179</v>
      </c>
      <c r="S269" s="131">
        <f>IF(ISBLANK(Table1[[#This Row],[Date]]),"",DATE(Table1[[#This Row],[Date_Year]],Table1[[#This Row],[Date_Month]],1))</f>
        <v>44166</v>
      </c>
    </row>
    <row r="270" spans="2:19" ht="15.75" x14ac:dyDescent="0.25">
      <c r="B270" s="133">
        <v>44179</v>
      </c>
      <c r="C270" s="128" t="s">
        <v>1203</v>
      </c>
      <c r="D270" s="128" t="s">
        <v>58</v>
      </c>
      <c r="E270" s="128" t="str" cm="1">
        <f t="array" ref="E270">IFERROR(INDEX(SubcategoriesTable[Subcategory name],MATCH(Table1[[#This Row],[Category]],SubcategoriesTable[Category name],0),0),"")</f>
        <v>Fixed</v>
      </c>
      <c r="F270" s="134">
        <v>-49</v>
      </c>
      <c r="G270" s="167" t="str">
        <f>_xlfn.XLOOKUP(Table1[[#This Row],[Account_ID]], Accounts[ID], Accounts[Account nickname], "Unknown")</f>
        <v>EVERYDAY CHECKING</v>
      </c>
      <c r="H270" s="137" t="str">
        <f>_xlfn.XLOOKUP(Table1[[#This Row],[Account_ID]], Accounts[ID], Accounts[Account'#], "Unknown")</f>
        <v>4636</v>
      </c>
      <c r="I270" s="168" t="str">
        <f>_xlfn.XLOOKUP(Table1[[#This Row],[Institution_ID]], Institutions[ID], Institutions[Institution nickname], "Unknown")</f>
        <v>Wells Fargo</v>
      </c>
      <c r="J270" s="139" t="s">
        <v>1428</v>
      </c>
      <c r="K270" s="129" t="s">
        <v>1229</v>
      </c>
      <c r="L270" s="129" t="s">
        <v>1228</v>
      </c>
      <c r="M270" s="130" t="str" cm="1">
        <f t="array" ref="M270">IFERROR(INDEX(CategoriesTable[Category type],MATCH(Table1[[#This Row],[Category]],CategoriesTable[Category name],0),0),"")</f>
        <v>Expense</v>
      </c>
      <c r="N270" s="130" t="str" cm="1">
        <f t="array" ref="N270">IFERROR(INDEX(SubcategoriesTable[Subcategory name],MATCH(Table1[[#This Row],[Category]],SubcategoriesTable[Category name],0),0),"")</f>
        <v>Fixed</v>
      </c>
      <c r="O270" s="130">
        <v>14</v>
      </c>
      <c r="P270" s="130">
        <f>MONTH(Table1[[#This Row],[Date]])</f>
        <v>12</v>
      </c>
      <c r="Q270" s="130">
        <v>2020</v>
      </c>
      <c r="R270" s="166">
        <f>IF(ISBLANK(Table1[[#This Row],[Date]]),"",Table1[[#This Row],[Date]]-WEEKDAY(Table1[[#This Row],[Date]],2)+1)</f>
        <v>44179</v>
      </c>
      <c r="S270" s="131">
        <f>IF(ISBLANK(Table1[[#This Row],[Date]]),"",DATE(Table1[[#This Row],[Date_Year]],Table1[[#This Row],[Date_Month]],1))</f>
        <v>44166</v>
      </c>
    </row>
    <row r="271" spans="2:19" ht="15.75" x14ac:dyDescent="0.25">
      <c r="B271" s="133">
        <v>44179</v>
      </c>
      <c r="C271" s="128" t="s">
        <v>127</v>
      </c>
      <c r="D271" s="128" t="s">
        <v>46</v>
      </c>
      <c r="E271" s="128" t="str" cm="1">
        <f t="array" ref="E271">IFERROR(INDEX(SubcategoriesTable[Subcategory name],MATCH(Table1[[#This Row],[Category]],SubcategoriesTable[Category name],0),0),"")</f>
        <v>Variable</v>
      </c>
      <c r="F271" s="134">
        <v>-59.99</v>
      </c>
      <c r="G271" s="167" t="str">
        <f>_xlfn.XLOOKUP(Table1[[#This Row],[Account_ID]], Accounts[ID], Accounts[Account nickname], "Unknown")</f>
        <v>Discover it chrome Card</v>
      </c>
      <c r="H271" s="137" t="str">
        <f>_xlfn.XLOOKUP(Table1[[#This Row],[Account_ID]], Accounts[ID], Accounts[Account'#], "Unknown")</f>
        <v>7328</v>
      </c>
      <c r="I271" s="168" t="str">
        <f>_xlfn.XLOOKUP(Table1[[#This Row],[Institution_ID]], Institutions[ID], Institutions[Institution nickname], "Unknown")</f>
        <v>Discover</v>
      </c>
      <c r="J271" s="139" t="s">
        <v>346</v>
      </c>
      <c r="K271" s="129" t="s">
        <v>110</v>
      </c>
      <c r="L271" s="129" t="s">
        <v>108</v>
      </c>
      <c r="M271" s="130" t="str" cm="1">
        <f t="array" ref="M271">IFERROR(INDEX(CategoriesTable[Category type],MATCH(Table1[[#This Row],[Category]],CategoriesTable[Category name],0),0),"")</f>
        <v>Expense</v>
      </c>
      <c r="N271" s="130" t="str" cm="1">
        <f t="array" ref="N271">IFERROR(INDEX(SubcategoriesTable[Subcategory name],MATCH(Table1[[#This Row],[Category]],SubcategoriesTable[Category name],0),0),"")</f>
        <v>Variable</v>
      </c>
      <c r="O271" s="130">
        <v>14</v>
      </c>
      <c r="P271" s="130">
        <f>MONTH(Table1[[#This Row],[Date]])</f>
        <v>12</v>
      </c>
      <c r="Q271" s="130">
        <v>2020</v>
      </c>
      <c r="R271" s="166">
        <f>IF(ISBLANK(Table1[[#This Row],[Date]]),"",Table1[[#This Row],[Date]]-WEEKDAY(Table1[[#This Row],[Date]],2)+1)</f>
        <v>44179</v>
      </c>
      <c r="S271" s="131">
        <f>IF(ISBLANK(Table1[[#This Row],[Date]]),"",DATE(Table1[[#This Row],[Date_Year]],Table1[[#This Row],[Date_Month]],1))</f>
        <v>44166</v>
      </c>
    </row>
    <row r="272" spans="2:19" ht="15.75" x14ac:dyDescent="0.25">
      <c r="B272" s="133">
        <v>44177</v>
      </c>
      <c r="C272" s="128" t="s">
        <v>125</v>
      </c>
      <c r="D272" s="128" t="s">
        <v>45</v>
      </c>
      <c r="E272" s="128" t="str" cm="1">
        <f t="array" ref="E272">IFERROR(INDEX(SubcategoriesTable[Subcategory name],MATCH(Table1[[#This Row],[Category]],SubcategoriesTable[Category name],0),0),"")</f>
        <v>Variable</v>
      </c>
      <c r="F272" s="134">
        <v>-5.59</v>
      </c>
      <c r="G272" s="167" t="str">
        <f>_xlfn.XLOOKUP(Table1[[#This Row],[Account_ID]], Accounts[ID], Accounts[Account nickname], "Unknown")</f>
        <v>Discover it chrome Card</v>
      </c>
      <c r="H272" s="137" t="str">
        <f>_xlfn.XLOOKUP(Table1[[#This Row],[Account_ID]], Accounts[ID], Accounts[Account'#], "Unknown")</f>
        <v>7328</v>
      </c>
      <c r="I272" s="168" t="str">
        <f>_xlfn.XLOOKUP(Table1[[#This Row],[Institution_ID]], Institutions[ID], Institutions[Institution nickname], "Unknown")</f>
        <v>Discover</v>
      </c>
      <c r="J272" s="139" t="s">
        <v>347</v>
      </c>
      <c r="K272" s="129" t="s">
        <v>110</v>
      </c>
      <c r="L272" s="129" t="s">
        <v>108</v>
      </c>
      <c r="M272" s="130" t="str" cm="1">
        <f t="array" ref="M272">IFERROR(INDEX(CategoriesTable[Category type],MATCH(Table1[[#This Row],[Category]],CategoriesTable[Category name],0),0),"")</f>
        <v>Expense</v>
      </c>
      <c r="N272" s="130" t="str" cm="1">
        <f t="array" ref="N272">IFERROR(INDEX(SubcategoriesTable[Subcategory name],MATCH(Table1[[#This Row],[Category]],SubcategoriesTable[Category name],0),0),"")</f>
        <v>Variable</v>
      </c>
      <c r="O272" s="130">
        <v>12</v>
      </c>
      <c r="P272" s="130">
        <f>MONTH(Table1[[#This Row],[Date]])</f>
        <v>12</v>
      </c>
      <c r="Q272" s="130">
        <v>2020</v>
      </c>
      <c r="R272" s="166">
        <f>IF(ISBLANK(Table1[[#This Row],[Date]]),"",Table1[[#This Row],[Date]]-WEEKDAY(Table1[[#This Row],[Date]],2)+1)</f>
        <v>44172</v>
      </c>
      <c r="S272" s="131">
        <f>IF(ISBLANK(Table1[[#This Row],[Date]]),"",DATE(Table1[[#This Row],[Date_Year]],Table1[[#This Row],[Date_Month]],1))</f>
        <v>44166</v>
      </c>
    </row>
    <row r="273" spans="2:19" ht="15.75" x14ac:dyDescent="0.25">
      <c r="B273" s="133">
        <v>44177</v>
      </c>
      <c r="C273" s="128" t="s">
        <v>336</v>
      </c>
      <c r="D273" s="128" t="s">
        <v>52</v>
      </c>
      <c r="E273" s="128" t="str" cm="1">
        <f t="array" ref="E273">IFERROR(INDEX(SubcategoriesTable[Subcategory name],MATCH(Table1[[#This Row],[Category]],SubcategoriesTable[Category name],0),0),"")</f>
        <v>Variable</v>
      </c>
      <c r="F273" s="134">
        <v>-5</v>
      </c>
      <c r="G273" s="167" t="str">
        <f>_xlfn.XLOOKUP(Table1[[#This Row],[Account_ID]], Accounts[ID], Accounts[Account nickname], "Unknown")</f>
        <v>Discover it chrome Card</v>
      </c>
      <c r="H273" s="137" t="str">
        <f>_xlfn.XLOOKUP(Table1[[#This Row],[Account_ID]], Accounts[ID], Accounts[Account'#], "Unknown")</f>
        <v>7328</v>
      </c>
      <c r="I273" s="168" t="str">
        <f>_xlfn.XLOOKUP(Table1[[#This Row],[Institution_ID]], Institutions[ID], Institutions[Institution nickname], "Unknown")</f>
        <v>Discover</v>
      </c>
      <c r="J273" s="139" t="s">
        <v>348</v>
      </c>
      <c r="K273" s="129" t="s">
        <v>110</v>
      </c>
      <c r="L273" s="129" t="s">
        <v>108</v>
      </c>
      <c r="M273" s="130" t="str" cm="1">
        <f t="array" ref="M273">IFERROR(INDEX(CategoriesTable[Category type],MATCH(Table1[[#This Row],[Category]],CategoriesTable[Category name],0),0),"")</f>
        <v>Expense</v>
      </c>
      <c r="N273" s="130" t="str" cm="1">
        <f t="array" ref="N273">IFERROR(INDEX(SubcategoriesTable[Subcategory name],MATCH(Table1[[#This Row],[Category]],SubcategoriesTable[Category name],0),0),"")</f>
        <v>Variable</v>
      </c>
      <c r="O273" s="130">
        <v>12</v>
      </c>
      <c r="P273" s="130">
        <f>MONTH(Table1[[#This Row],[Date]])</f>
        <v>12</v>
      </c>
      <c r="Q273" s="130">
        <v>2020</v>
      </c>
      <c r="R273" s="166">
        <f>IF(ISBLANK(Table1[[#This Row],[Date]]),"",Table1[[#This Row],[Date]]-WEEKDAY(Table1[[#This Row],[Date]],2)+1)</f>
        <v>44172</v>
      </c>
      <c r="S273" s="131">
        <f>IF(ISBLANK(Table1[[#This Row],[Date]]),"",DATE(Table1[[#This Row],[Date_Year]],Table1[[#This Row],[Date_Month]],1))</f>
        <v>44166</v>
      </c>
    </row>
    <row r="274" spans="2:19" ht="15.75" x14ac:dyDescent="0.25">
      <c r="B274" s="133">
        <v>44177</v>
      </c>
      <c r="C274" s="128" t="s">
        <v>336</v>
      </c>
      <c r="D274" s="128" t="s">
        <v>52</v>
      </c>
      <c r="E274" s="128" t="str" cm="1">
        <f t="array" ref="E274">IFERROR(INDEX(SubcategoriesTable[Subcategory name],MATCH(Table1[[#This Row],[Category]],SubcategoriesTable[Category name],0),0),"")</f>
        <v>Variable</v>
      </c>
      <c r="F274" s="134">
        <v>-5</v>
      </c>
      <c r="G274" s="167" t="str">
        <f>_xlfn.XLOOKUP(Table1[[#This Row],[Account_ID]], Accounts[ID], Accounts[Account nickname], "Unknown")</f>
        <v>Discover it chrome Card</v>
      </c>
      <c r="H274" s="137" t="str">
        <f>_xlfn.XLOOKUP(Table1[[#This Row],[Account_ID]], Accounts[ID], Accounts[Account'#], "Unknown")</f>
        <v>7328</v>
      </c>
      <c r="I274" s="168" t="str">
        <f>_xlfn.XLOOKUP(Table1[[#This Row],[Institution_ID]], Institutions[ID], Institutions[Institution nickname], "Unknown")</f>
        <v>Discover</v>
      </c>
      <c r="J274" s="139" t="s">
        <v>349</v>
      </c>
      <c r="K274" s="129" t="s">
        <v>110</v>
      </c>
      <c r="L274" s="129" t="s">
        <v>108</v>
      </c>
      <c r="M274" s="130" t="str" cm="1">
        <f t="array" ref="M274">IFERROR(INDEX(CategoriesTable[Category type],MATCH(Table1[[#This Row],[Category]],CategoriesTable[Category name],0),0),"")</f>
        <v>Expense</v>
      </c>
      <c r="N274" s="130" t="str" cm="1">
        <f t="array" ref="N274">IFERROR(INDEX(SubcategoriesTable[Subcategory name],MATCH(Table1[[#This Row],[Category]],SubcategoriesTable[Category name],0),0),"")</f>
        <v>Variable</v>
      </c>
      <c r="O274" s="130">
        <v>12</v>
      </c>
      <c r="P274" s="130">
        <f>MONTH(Table1[[#This Row],[Date]])</f>
        <v>12</v>
      </c>
      <c r="Q274" s="130">
        <v>2020</v>
      </c>
      <c r="R274" s="166">
        <f>IF(ISBLANK(Table1[[#This Row],[Date]]),"",Table1[[#This Row],[Date]]-WEEKDAY(Table1[[#This Row],[Date]],2)+1)</f>
        <v>44172</v>
      </c>
      <c r="S274" s="131">
        <f>IF(ISBLANK(Table1[[#This Row],[Date]]),"",DATE(Table1[[#This Row],[Date_Year]],Table1[[#This Row],[Date_Month]],1))</f>
        <v>44166</v>
      </c>
    </row>
    <row r="275" spans="2:19" ht="15.75" x14ac:dyDescent="0.25">
      <c r="B275" s="133">
        <v>44177</v>
      </c>
      <c r="C275" s="128" t="s">
        <v>336</v>
      </c>
      <c r="D275" s="128" t="s">
        <v>52</v>
      </c>
      <c r="E275" s="128" t="str" cm="1">
        <f t="array" ref="E275">IFERROR(INDEX(SubcategoriesTable[Subcategory name],MATCH(Table1[[#This Row],[Category]],SubcategoriesTable[Category name],0),0),"")</f>
        <v>Variable</v>
      </c>
      <c r="F275" s="134">
        <v>-11.91</v>
      </c>
      <c r="G275" s="167" t="str">
        <f>_xlfn.XLOOKUP(Table1[[#This Row],[Account_ID]], Accounts[ID], Accounts[Account nickname], "Unknown")</f>
        <v>Discover it chrome Card</v>
      </c>
      <c r="H275" s="137" t="str">
        <f>_xlfn.XLOOKUP(Table1[[#This Row],[Account_ID]], Accounts[ID], Accounts[Account'#], "Unknown")</f>
        <v>7328</v>
      </c>
      <c r="I275" s="168" t="str">
        <f>_xlfn.XLOOKUP(Table1[[#This Row],[Institution_ID]], Institutions[ID], Institutions[Institution nickname], "Unknown")</f>
        <v>Discover</v>
      </c>
      <c r="J275" s="139" t="s">
        <v>350</v>
      </c>
      <c r="K275" s="129" t="s">
        <v>110</v>
      </c>
      <c r="L275" s="129" t="s">
        <v>108</v>
      </c>
      <c r="M275" s="130" t="str" cm="1">
        <f t="array" ref="M275">IFERROR(INDEX(CategoriesTable[Category type],MATCH(Table1[[#This Row],[Category]],CategoriesTable[Category name],0),0),"")</f>
        <v>Expense</v>
      </c>
      <c r="N275" s="130" t="str" cm="1">
        <f t="array" ref="N275">IFERROR(INDEX(SubcategoriesTable[Subcategory name],MATCH(Table1[[#This Row],[Category]],SubcategoriesTable[Category name],0),0),"")</f>
        <v>Variable</v>
      </c>
      <c r="O275" s="130">
        <v>12</v>
      </c>
      <c r="P275" s="130">
        <f>MONTH(Table1[[#This Row],[Date]])</f>
        <v>12</v>
      </c>
      <c r="Q275" s="130">
        <v>2020</v>
      </c>
      <c r="R275" s="166">
        <f>IF(ISBLANK(Table1[[#This Row],[Date]]),"",Table1[[#This Row],[Date]]-WEEKDAY(Table1[[#This Row],[Date]],2)+1)</f>
        <v>44172</v>
      </c>
      <c r="S275" s="131">
        <f>IF(ISBLANK(Table1[[#This Row],[Date]]),"",DATE(Table1[[#This Row],[Date_Year]],Table1[[#This Row],[Date_Month]],1))</f>
        <v>44166</v>
      </c>
    </row>
    <row r="276" spans="2:19" ht="15.75" x14ac:dyDescent="0.25">
      <c r="B276" s="133">
        <v>44177</v>
      </c>
      <c r="C276" s="128" t="s">
        <v>209</v>
      </c>
      <c r="D276" s="128" t="s">
        <v>50</v>
      </c>
      <c r="E276" s="128" t="str" cm="1">
        <f t="array" ref="E276">IFERROR(INDEX(SubcategoriesTable[Subcategory name],MATCH(Table1[[#This Row],[Category]],SubcategoriesTable[Category name],0),0),"")</f>
        <v>Variable</v>
      </c>
      <c r="F276" s="134">
        <v>-1.99</v>
      </c>
      <c r="G276" s="167" t="str">
        <f>_xlfn.XLOOKUP(Table1[[#This Row],[Account_ID]], Accounts[ID], Accounts[Account nickname], "Unknown")</f>
        <v>Discover it chrome Card</v>
      </c>
      <c r="H276" s="137" t="str">
        <f>_xlfn.XLOOKUP(Table1[[#This Row],[Account_ID]], Accounts[ID], Accounts[Account'#], "Unknown")</f>
        <v>7328</v>
      </c>
      <c r="I276" s="168" t="str">
        <f>_xlfn.XLOOKUP(Table1[[#This Row],[Institution_ID]], Institutions[ID], Institutions[Institution nickname], "Unknown")</f>
        <v>Discover</v>
      </c>
      <c r="J276" s="139" t="s">
        <v>351</v>
      </c>
      <c r="K276" s="129" t="s">
        <v>110</v>
      </c>
      <c r="L276" s="129" t="s">
        <v>108</v>
      </c>
      <c r="M276" s="130" t="str" cm="1">
        <f t="array" ref="M276">IFERROR(INDEX(CategoriesTable[Category type],MATCH(Table1[[#This Row],[Category]],CategoriesTable[Category name],0),0),"")</f>
        <v>Transfer</v>
      </c>
      <c r="N276" s="130" t="str" cm="1">
        <f t="array" ref="N276">IFERROR(INDEX(SubcategoriesTable[Subcategory name],MATCH(Table1[[#This Row],[Category]],SubcategoriesTable[Category name],0),0),"")</f>
        <v>Variable</v>
      </c>
      <c r="O276" s="130">
        <v>12</v>
      </c>
      <c r="P276" s="130">
        <f>MONTH(Table1[[#This Row],[Date]])</f>
        <v>12</v>
      </c>
      <c r="Q276" s="130">
        <v>2020</v>
      </c>
      <c r="R276" s="166">
        <f>IF(ISBLANK(Table1[[#This Row],[Date]]),"",Table1[[#This Row],[Date]]-WEEKDAY(Table1[[#This Row],[Date]],2)+1)</f>
        <v>44172</v>
      </c>
      <c r="S276" s="131">
        <f>IF(ISBLANK(Table1[[#This Row],[Date]]),"",DATE(Table1[[#This Row],[Date_Year]],Table1[[#This Row],[Date_Month]],1))</f>
        <v>44166</v>
      </c>
    </row>
    <row r="277" spans="2:19" ht="15.75" x14ac:dyDescent="0.25">
      <c r="B277" s="133">
        <v>44177</v>
      </c>
      <c r="C277" s="128" t="s">
        <v>115</v>
      </c>
      <c r="D277" s="128" t="s">
        <v>48</v>
      </c>
      <c r="E277" s="128" t="str" cm="1">
        <f t="array" ref="E277">IFERROR(INDEX(SubcategoriesTable[Subcategory name],MATCH(Table1[[#This Row],[Category]],SubcategoriesTable[Category name],0),0),"")</f>
        <v>Variable</v>
      </c>
      <c r="F277" s="134">
        <v>-69.13</v>
      </c>
      <c r="G277" s="167" t="str">
        <f>_xlfn.XLOOKUP(Table1[[#This Row],[Account_ID]], Accounts[ID], Accounts[Account nickname], "Unknown")</f>
        <v>Discover it chrome Card</v>
      </c>
      <c r="H277" s="137" t="str">
        <f>_xlfn.XLOOKUP(Table1[[#This Row],[Account_ID]], Accounts[ID], Accounts[Account'#], "Unknown")</f>
        <v>7328</v>
      </c>
      <c r="I277" s="168" t="str">
        <f>_xlfn.XLOOKUP(Table1[[#This Row],[Institution_ID]], Institutions[ID], Institutions[Institution nickname], "Unknown")</f>
        <v>Discover</v>
      </c>
      <c r="J277" s="139" t="s">
        <v>352</v>
      </c>
      <c r="K277" s="129" t="s">
        <v>110</v>
      </c>
      <c r="L277" s="129" t="s">
        <v>108</v>
      </c>
      <c r="M277" s="130" t="str" cm="1">
        <f t="array" ref="M277">IFERROR(INDEX(CategoriesTable[Category type],MATCH(Table1[[#This Row],[Category]],CategoriesTable[Category name],0),0),"")</f>
        <v>Expense</v>
      </c>
      <c r="N277" s="130" t="str" cm="1">
        <f t="array" ref="N277">IFERROR(INDEX(SubcategoriesTable[Subcategory name],MATCH(Table1[[#This Row],[Category]],SubcategoriesTable[Category name],0),0),"")</f>
        <v>Variable</v>
      </c>
      <c r="O277" s="130">
        <v>12</v>
      </c>
      <c r="P277" s="130">
        <f>MONTH(Table1[[#This Row],[Date]])</f>
        <v>12</v>
      </c>
      <c r="Q277" s="130">
        <v>2020</v>
      </c>
      <c r="R277" s="166">
        <f>IF(ISBLANK(Table1[[#This Row],[Date]]),"",Table1[[#This Row],[Date]]-WEEKDAY(Table1[[#This Row],[Date]],2)+1)</f>
        <v>44172</v>
      </c>
      <c r="S277" s="131">
        <f>IF(ISBLANK(Table1[[#This Row],[Date]]),"",DATE(Table1[[#This Row],[Date_Year]],Table1[[#This Row],[Date_Month]],1))</f>
        <v>44166</v>
      </c>
    </row>
    <row r="278" spans="2:19" ht="15.75" x14ac:dyDescent="0.25">
      <c r="B278" s="133">
        <v>44176</v>
      </c>
      <c r="C278" s="128" t="s">
        <v>1183</v>
      </c>
      <c r="D278" s="128" t="s">
        <v>1204</v>
      </c>
      <c r="E278" s="128" t="str" cm="1">
        <f t="array" ref="E278">IFERROR(INDEX(SubcategoriesTable[Subcategory name],MATCH(Table1[[#This Row],[Category]],SubcategoriesTable[Category name],0),0),"")</f>
        <v>Variable</v>
      </c>
      <c r="F278" s="134">
        <v>-50</v>
      </c>
      <c r="G278" s="167" t="str">
        <f>_xlfn.XLOOKUP(Table1[[#This Row],[Account_ID]], Accounts[ID], Accounts[Account nickname], "Unknown")</f>
        <v>EVERYDAY CHECKING</v>
      </c>
      <c r="H278" s="137" t="str">
        <f>_xlfn.XLOOKUP(Table1[[#This Row],[Account_ID]], Accounts[ID], Accounts[Account'#], "Unknown")</f>
        <v>4636</v>
      </c>
      <c r="I278" s="168" t="str">
        <f>_xlfn.XLOOKUP(Table1[[#This Row],[Institution_ID]], Institutions[ID], Institutions[Institution nickname], "Unknown")</f>
        <v>Wells Fargo</v>
      </c>
      <c r="J278" s="139" t="s">
        <v>1429</v>
      </c>
      <c r="K278" s="129" t="s">
        <v>1229</v>
      </c>
      <c r="L278" s="129" t="s">
        <v>1228</v>
      </c>
      <c r="M278" s="130" t="str" cm="1">
        <f t="array" ref="M278">IFERROR(INDEX(CategoriesTable[Category type],MATCH(Table1[[#This Row],[Category]],CategoriesTable[Category name],0),0),"")</f>
        <v>Savings</v>
      </c>
      <c r="N278" s="130" t="str" cm="1">
        <f t="array" ref="N278">IFERROR(INDEX(SubcategoriesTable[Subcategory name],MATCH(Table1[[#This Row],[Category]],SubcategoriesTable[Category name],0),0),"")</f>
        <v>Variable</v>
      </c>
      <c r="O278" s="130">
        <v>11</v>
      </c>
      <c r="P278" s="130">
        <f>MONTH(Table1[[#This Row],[Date]])</f>
        <v>12</v>
      </c>
      <c r="Q278" s="130">
        <v>2020</v>
      </c>
      <c r="R278" s="166">
        <f>IF(ISBLANK(Table1[[#This Row],[Date]]),"",Table1[[#This Row],[Date]]-WEEKDAY(Table1[[#This Row],[Date]],2)+1)</f>
        <v>44172</v>
      </c>
      <c r="S278" s="131">
        <f>IF(ISBLANK(Table1[[#This Row],[Date]]),"",DATE(Table1[[#This Row],[Date_Year]],Table1[[#This Row],[Date_Month]],1))</f>
        <v>44166</v>
      </c>
    </row>
    <row r="279" spans="2:19" ht="15.75" x14ac:dyDescent="0.25">
      <c r="B279" s="133">
        <v>44176</v>
      </c>
      <c r="C279" s="128" t="s">
        <v>353</v>
      </c>
      <c r="D279" s="128" t="s">
        <v>46</v>
      </c>
      <c r="E279" s="128" t="str" cm="1">
        <f t="array" ref="E279">IFERROR(INDEX(SubcategoriesTable[Subcategory name],MATCH(Table1[[#This Row],[Category]],SubcategoriesTable[Category name],0),0),"")</f>
        <v>Variable</v>
      </c>
      <c r="F279" s="134">
        <v>-77.94</v>
      </c>
      <c r="G279" s="167" t="str">
        <f>_xlfn.XLOOKUP(Table1[[#This Row],[Account_ID]], Accounts[ID], Accounts[Account nickname], "Unknown")</f>
        <v>Discover it chrome Card</v>
      </c>
      <c r="H279" s="137" t="str">
        <f>_xlfn.XLOOKUP(Table1[[#This Row],[Account_ID]], Accounts[ID], Accounts[Account'#], "Unknown")</f>
        <v>7328</v>
      </c>
      <c r="I279" s="168" t="str">
        <f>_xlfn.XLOOKUP(Table1[[#This Row],[Institution_ID]], Institutions[ID], Institutions[Institution nickname], "Unknown")</f>
        <v>Discover</v>
      </c>
      <c r="J279" s="139" t="s">
        <v>354</v>
      </c>
      <c r="K279" s="129" t="s">
        <v>110</v>
      </c>
      <c r="L279" s="129" t="s">
        <v>108</v>
      </c>
      <c r="M279" s="130" t="str" cm="1">
        <f t="array" ref="M279">IFERROR(INDEX(CategoriesTable[Category type],MATCH(Table1[[#This Row],[Category]],CategoriesTable[Category name],0),0),"")</f>
        <v>Expense</v>
      </c>
      <c r="N279" s="130" t="str" cm="1">
        <f t="array" ref="N279">IFERROR(INDEX(SubcategoriesTable[Subcategory name],MATCH(Table1[[#This Row],[Category]],SubcategoriesTable[Category name],0),0),"")</f>
        <v>Variable</v>
      </c>
      <c r="O279" s="130">
        <v>11</v>
      </c>
      <c r="P279" s="130">
        <f>MONTH(Table1[[#This Row],[Date]])</f>
        <v>12</v>
      </c>
      <c r="Q279" s="130">
        <v>2020</v>
      </c>
      <c r="R279" s="166">
        <f>IF(ISBLANK(Table1[[#This Row],[Date]]),"",Table1[[#This Row],[Date]]-WEEKDAY(Table1[[#This Row],[Date]],2)+1)</f>
        <v>44172</v>
      </c>
      <c r="S279" s="131">
        <f>IF(ISBLANK(Table1[[#This Row],[Date]]),"",DATE(Table1[[#This Row],[Date_Year]],Table1[[#This Row],[Date_Month]],1))</f>
        <v>44166</v>
      </c>
    </row>
    <row r="280" spans="2:19" ht="15.75" x14ac:dyDescent="0.25">
      <c r="B280" s="133">
        <v>44175</v>
      </c>
      <c r="C280" s="128" t="s">
        <v>50</v>
      </c>
      <c r="D280" s="128" t="s">
        <v>1204</v>
      </c>
      <c r="E280" s="128"/>
      <c r="F280" s="134">
        <v>50</v>
      </c>
      <c r="G280" s="167" t="str">
        <f>_xlfn.XLOOKUP(Table1[[#This Row],[Account_ID]], Accounts[ID], Accounts[Account nickname], "Unknown")</f>
        <v>Checking - 4480</v>
      </c>
      <c r="H280" s="137" t="str">
        <f>_xlfn.XLOOKUP(Table1[[#This Row],[Account_ID]], Accounts[ID], Accounts[Account'#], "Unknown")</f>
        <v>4480</v>
      </c>
      <c r="I280" s="168" t="str">
        <f>_xlfn.XLOOKUP(Table1[[#This Row],[Institution_ID]], Institutions[ID], Institutions[Institution nickname], "Unknown")</f>
        <v>Robinhood</v>
      </c>
      <c r="J280" s="139" t="s">
        <v>1230</v>
      </c>
      <c r="K280" s="129" t="s">
        <v>1208</v>
      </c>
      <c r="L280" s="173" t="s">
        <v>1207</v>
      </c>
      <c r="M280" s="130" t="str" cm="1">
        <f t="array" ref="M280">IFERROR(INDEX(CategoriesTable[Category type],MATCH(Table1[[#This Row],[Category]],CategoriesTable[Category name],0),0),"")</f>
        <v>Savings</v>
      </c>
      <c r="N280" s="130" t="str" cm="1">
        <f t="array" ref="N280">IFERROR(INDEX(SubcategoriesTable[Subcategory name],MATCH(Table1[[#This Row],[Category]],SubcategoriesTable[Category name],0),0),"")</f>
        <v>Variable</v>
      </c>
      <c r="O280" s="130">
        <v>10</v>
      </c>
      <c r="P280" s="130">
        <f>MONTH(Table1[[#This Row],[Date]])</f>
        <v>12</v>
      </c>
      <c r="Q280" s="130">
        <v>2020</v>
      </c>
      <c r="R280" s="166">
        <f>IF(ISBLANK(Table1[[#This Row],[Date]]),"",Table1[[#This Row],[Date]]-WEEKDAY(Table1[[#This Row],[Date]],2)+1)</f>
        <v>44172</v>
      </c>
      <c r="S280" s="131">
        <f>IF(ISBLANK(Table1[[#This Row],[Date]]),"",DATE(Table1[[#This Row],[Date_Year]],Table1[[#This Row],[Date_Month]],1))</f>
        <v>44166</v>
      </c>
    </row>
    <row r="281" spans="2:19" ht="15.75" x14ac:dyDescent="0.25">
      <c r="B281" s="133">
        <v>44175</v>
      </c>
      <c r="C281" s="128" t="s">
        <v>163</v>
      </c>
      <c r="D281" s="128" t="s">
        <v>54</v>
      </c>
      <c r="E281" s="128" t="str" cm="1">
        <f t="array" ref="E281">IFERROR(INDEX(SubcategoriesTable[Subcategory name],MATCH(Table1[[#This Row],[Category]],SubcategoriesTable[Category name],0),0),"")</f>
        <v>Fixed</v>
      </c>
      <c r="F281" s="134">
        <v>-14.99</v>
      </c>
      <c r="G281" s="167" t="str">
        <f>_xlfn.XLOOKUP(Table1[[#This Row],[Account_ID]], Accounts[ID], Accounts[Account nickname], "Unknown")</f>
        <v>Discover it chrome Card</v>
      </c>
      <c r="H281" s="137" t="str">
        <f>_xlfn.XLOOKUP(Table1[[#This Row],[Account_ID]], Accounts[ID], Accounts[Account'#], "Unknown")</f>
        <v>7328</v>
      </c>
      <c r="I281" s="168" t="str">
        <f>_xlfn.XLOOKUP(Table1[[#This Row],[Institution_ID]], Institutions[ID], Institutions[Institution nickname], "Unknown")</f>
        <v>Discover</v>
      </c>
      <c r="J281" s="139" t="s">
        <v>355</v>
      </c>
      <c r="K281" s="129" t="s">
        <v>110</v>
      </c>
      <c r="L281" s="129" t="s">
        <v>108</v>
      </c>
      <c r="M281" s="130" t="str" cm="1">
        <f t="array" ref="M281">IFERROR(INDEX(CategoriesTable[Category type],MATCH(Table1[[#This Row],[Category]],CategoriesTable[Category name],0),0),"")</f>
        <v>Expense</v>
      </c>
      <c r="N281" s="130" t="str" cm="1">
        <f t="array" ref="N281">IFERROR(INDEX(SubcategoriesTable[Subcategory name],MATCH(Table1[[#This Row],[Category]],SubcategoriesTable[Category name],0),0),"")</f>
        <v>Fixed</v>
      </c>
      <c r="O281" s="130">
        <v>10</v>
      </c>
      <c r="P281" s="130">
        <f>MONTH(Table1[[#This Row],[Date]])</f>
        <v>12</v>
      </c>
      <c r="Q281" s="130">
        <v>2020</v>
      </c>
      <c r="R281" s="166">
        <f>IF(ISBLANK(Table1[[#This Row],[Date]]),"",Table1[[#This Row],[Date]]-WEEKDAY(Table1[[#This Row],[Date]],2)+1)</f>
        <v>44172</v>
      </c>
      <c r="S281" s="131">
        <f>IF(ISBLANK(Table1[[#This Row],[Date]]),"",DATE(Table1[[#This Row],[Date_Year]],Table1[[#This Row],[Date_Month]],1))</f>
        <v>44166</v>
      </c>
    </row>
    <row r="282" spans="2:19" ht="15.75" x14ac:dyDescent="0.25">
      <c r="B282" s="133">
        <v>44175</v>
      </c>
      <c r="C282" s="128" t="s">
        <v>356</v>
      </c>
      <c r="D282" s="128" t="s">
        <v>52</v>
      </c>
      <c r="E282" s="128" t="str" cm="1">
        <f t="array" ref="E282">IFERROR(INDEX(SubcategoriesTable[Subcategory name],MATCH(Table1[[#This Row],[Category]],SubcategoriesTable[Category name],0),0),"")</f>
        <v>Variable</v>
      </c>
      <c r="F282" s="134">
        <v>-20</v>
      </c>
      <c r="G282" s="167" t="str">
        <f>_xlfn.XLOOKUP(Table1[[#This Row],[Account_ID]], Accounts[ID], Accounts[Account nickname], "Unknown")</f>
        <v>Discover it chrome Card</v>
      </c>
      <c r="H282" s="137" t="str">
        <f>_xlfn.XLOOKUP(Table1[[#This Row],[Account_ID]], Accounts[ID], Accounts[Account'#], "Unknown")</f>
        <v>7328</v>
      </c>
      <c r="I282" s="168" t="str">
        <f>_xlfn.XLOOKUP(Table1[[#This Row],[Institution_ID]], Institutions[ID], Institutions[Institution nickname], "Unknown")</f>
        <v>Discover</v>
      </c>
      <c r="J282" s="139" t="s">
        <v>357</v>
      </c>
      <c r="K282" s="129" t="s">
        <v>110</v>
      </c>
      <c r="L282" s="129" t="s">
        <v>108</v>
      </c>
      <c r="M282" s="130" t="str" cm="1">
        <f t="array" ref="M282">IFERROR(INDEX(CategoriesTable[Category type],MATCH(Table1[[#This Row],[Category]],CategoriesTable[Category name],0),0),"")</f>
        <v>Expense</v>
      </c>
      <c r="N282" s="130" t="str" cm="1">
        <f t="array" ref="N282">IFERROR(INDEX(SubcategoriesTable[Subcategory name],MATCH(Table1[[#This Row],[Category]],SubcategoriesTable[Category name],0),0),"")</f>
        <v>Variable</v>
      </c>
      <c r="O282" s="130">
        <v>10</v>
      </c>
      <c r="P282" s="130">
        <f>MONTH(Table1[[#This Row],[Date]])</f>
        <v>12</v>
      </c>
      <c r="Q282" s="130">
        <v>2020</v>
      </c>
      <c r="R282" s="166">
        <f>IF(ISBLANK(Table1[[#This Row],[Date]]),"",Table1[[#This Row],[Date]]-WEEKDAY(Table1[[#This Row],[Date]],2)+1)</f>
        <v>44172</v>
      </c>
      <c r="S282" s="131">
        <f>IF(ISBLANK(Table1[[#This Row],[Date]]),"",DATE(Table1[[#This Row],[Date_Year]],Table1[[#This Row],[Date_Month]],1))</f>
        <v>44166</v>
      </c>
    </row>
    <row r="283" spans="2:19" ht="15.75" x14ac:dyDescent="0.25">
      <c r="B283" s="133">
        <v>44175</v>
      </c>
      <c r="C283" s="128" t="s">
        <v>119</v>
      </c>
      <c r="D283" s="128" t="s">
        <v>52</v>
      </c>
      <c r="E283" s="128" t="str" cm="1">
        <f t="array" ref="E283">IFERROR(INDEX(SubcategoriesTable[Subcategory name],MATCH(Table1[[#This Row],[Category]],SubcategoriesTable[Category name],0),0),"")</f>
        <v>Variable</v>
      </c>
      <c r="F283" s="134">
        <v>-19.989999999999998</v>
      </c>
      <c r="G283" s="167" t="str">
        <f>_xlfn.XLOOKUP(Table1[[#This Row],[Account_ID]], Accounts[ID], Accounts[Account nickname], "Unknown")</f>
        <v>Discover it chrome Card</v>
      </c>
      <c r="H283" s="137" t="str">
        <f>_xlfn.XLOOKUP(Table1[[#This Row],[Account_ID]], Accounts[ID], Accounts[Account'#], "Unknown")</f>
        <v>7328</v>
      </c>
      <c r="I283" s="168" t="str">
        <f>_xlfn.XLOOKUP(Table1[[#This Row],[Institution_ID]], Institutions[ID], Institutions[Institution nickname], "Unknown")</f>
        <v>Discover</v>
      </c>
      <c r="J283" s="139" t="s">
        <v>358</v>
      </c>
      <c r="K283" s="129" t="s">
        <v>110</v>
      </c>
      <c r="L283" s="129" t="s">
        <v>108</v>
      </c>
      <c r="M283" s="130" t="str" cm="1">
        <f t="array" ref="M283">IFERROR(INDEX(CategoriesTable[Category type],MATCH(Table1[[#This Row],[Category]],CategoriesTable[Category name],0),0),"")</f>
        <v>Expense</v>
      </c>
      <c r="N283" s="130" t="str" cm="1">
        <f t="array" ref="N283">IFERROR(INDEX(SubcategoriesTable[Subcategory name],MATCH(Table1[[#This Row],[Category]],SubcategoriesTable[Category name],0),0),"")</f>
        <v>Variable</v>
      </c>
      <c r="O283" s="130">
        <v>10</v>
      </c>
      <c r="P283" s="130">
        <f>MONTH(Table1[[#This Row],[Date]])</f>
        <v>12</v>
      </c>
      <c r="Q283" s="130">
        <v>2020</v>
      </c>
      <c r="R283" s="166">
        <f>IF(ISBLANK(Table1[[#This Row],[Date]]),"",Table1[[#This Row],[Date]]-WEEKDAY(Table1[[#This Row],[Date]],2)+1)</f>
        <v>44172</v>
      </c>
      <c r="S283" s="131">
        <f>IF(ISBLANK(Table1[[#This Row],[Date]]),"",DATE(Table1[[#This Row],[Date_Year]],Table1[[#This Row],[Date_Month]],1))</f>
        <v>44166</v>
      </c>
    </row>
    <row r="284" spans="2:19" ht="15.75" x14ac:dyDescent="0.25">
      <c r="B284" s="133">
        <v>44175</v>
      </c>
      <c r="C284" s="128" t="s">
        <v>195</v>
      </c>
      <c r="D284" s="128" t="s">
        <v>48</v>
      </c>
      <c r="E284" s="128" t="str" cm="1">
        <f t="array" ref="E284">IFERROR(INDEX(SubcategoriesTable[Subcategory name],MATCH(Table1[[#This Row],[Category]],SubcategoriesTable[Category name],0),0),"")</f>
        <v>Variable</v>
      </c>
      <c r="F284" s="134">
        <v>-6.55</v>
      </c>
      <c r="G284" s="167" t="str">
        <f>_xlfn.XLOOKUP(Table1[[#This Row],[Account_ID]], Accounts[ID], Accounts[Account nickname], "Unknown")</f>
        <v>Discover it chrome Card</v>
      </c>
      <c r="H284" s="137" t="str">
        <f>_xlfn.XLOOKUP(Table1[[#This Row],[Account_ID]], Accounts[ID], Accounts[Account'#], "Unknown")</f>
        <v>7328</v>
      </c>
      <c r="I284" s="168" t="str">
        <f>_xlfn.XLOOKUP(Table1[[#This Row],[Institution_ID]], Institutions[ID], Institutions[Institution nickname], "Unknown")</f>
        <v>Discover</v>
      </c>
      <c r="J284" s="139" t="s">
        <v>359</v>
      </c>
      <c r="K284" s="129" t="s">
        <v>110</v>
      </c>
      <c r="L284" s="129" t="s">
        <v>108</v>
      </c>
      <c r="M284" s="130" t="str" cm="1">
        <f t="array" ref="M284">IFERROR(INDEX(CategoriesTable[Category type],MATCH(Table1[[#This Row],[Category]],CategoriesTable[Category name],0),0),"")</f>
        <v>Expense</v>
      </c>
      <c r="N284" s="130" t="str" cm="1">
        <f t="array" ref="N284">IFERROR(INDEX(SubcategoriesTable[Subcategory name],MATCH(Table1[[#This Row],[Category]],SubcategoriesTable[Category name],0),0),"")</f>
        <v>Variable</v>
      </c>
      <c r="O284" s="130">
        <v>10</v>
      </c>
      <c r="P284" s="130">
        <f>MONTH(Table1[[#This Row],[Date]])</f>
        <v>12</v>
      </c>
      <c r="Q284" s="130">
        <v>2020</v>
      </c>
      <c r="R284" s="166">
        <f>IF(ISBLANK(Table1[[#This Row],[Date]]),"",Table1[[#This Row],[Date]]-WEEKDAY(Table1[[#This Row],[Date]],2)+1)</f>
        <v>44172</v>
      </c>
      <c r="S284" s="131">
        <f>IF(ISBLANK(Table1[[#This Row],[Date]]),"",DATE(Table1[[#This Row],[Date_Year]],Table1[[#This Row],[Date_Month]],1))</f>
        <v>44166</v>
      </c>
    </row>
    <row r="285" spans="2:19" ht="15.75" x14ac:dyDescent="0.25">
      <c r="B285" s="133">
        <v>44175</v>
      </c>
      <c r="C285" s="128" t="s">
        <v>336</v>
      </c>
      <c r="D285" s="128" t="s">
        <v>52</v>
      </c>
      <c r="E285" s="128" t="str" cm="1">
        <f t="array" ref="E285">IFERROR(INDEX(SubcategoriesTable[Subcategory name],MATCH(Table1[[#This Row],[Category]],SubcategoriesTable[Category name],0),0),"")</f>
        <v>Variable</v>
      </c>
      <c r="F285" s="134">
        <v>-15.03</v>
      </c>
      <c r="G285" s="167" t="str">
        <f>_xlfn.XLOOKUP(Table1[[#This Row],[Account_ID]], Accounts[ID], Accounts[Account nickname], "Unknown")</f>
        <v>Discover it chrome Card</v>
      </c>
      <c r="H285" s="137" t="str">
        <f>_xlfn.XLOOKUP(Table1[[#This Row],[Account_ID]], Accounts[ID], Accounts[Account'#], "Unknown")</f>
        <v>7328</v>
      </c>
      <c r="I285" s="168" t="str">
        <f>_xlfn.XLOOKUP(Table1[[#This Row],[Institution_ID]], Institutions[ID], Institutions[Institution nickname], "Unknown")</f>
        <v>Discover</v>
      </c>
      <c r="J285" s="139" t="s">
        <v>360</v>
      </c>
      <c r="K285" s="129" t="s">
        <v>110</v>
      </c>
      <c r="L285" s="129" t="s">
        <v>108</v>
      </c>
      <c r="M285" s="130" t="str" cm="1">
        <f t="array" ref="M285">IFERROR(INDEX(CategoriesTable[Category type],MATCH(Table1[[#This Row],[Category]],CategoriesTable[Category name],0),0),"")</f>
        <v>Expense</v>
      </c>
      <c r="N285" s="130" t="str" cm="1">
        <f t="array" ref="N285">IFERROR(INDEX(SubcategoriesTable[Subcategory name],MATCH(Table1[[#This Row],[Category]],SubcategoriesTable[Category name],0),0),"")</f>
        <v>Variable</v>
      </c>
      <c r="O285" s="130">
        <v>10</v>
      </c>
      <c r="P285" s="130">
        <f>MONTH(Table1[[#This Row],[Date]])</f>
        <v>12</v>
      </c>
      <c r="Q285" s="130">
        <v>2020</v>
      </c>
      <c r="R285" s="166">
        <f>IF(ISBLANK(Table1[[#This Row],[Date]]),"",Table1[[#This Row],[Date]]-WEEKDAY(Table1[[#This Row],[Date]],2)+1)</f>
        <v>44172</v>
      </c>
      <c r="S285" s="131">
        <f>IF(ISBLANK(Table1[[#This Row],[Date]]),"",DATE(Table1[[#This Row],[Date_Year]],Table1[[#This Row],[Date_Month]],1))</f>
        <v>44166</v>
      </c>
    </row>
    <row r="286" spans="2:19" ht="15.75" x14ac:dyDescent="0.25">
      <c r="B286" s="133">
        <v>44175</v>
      </c>
      <c r="C286" s="128" t="s">
        <v>263</v>
      </c>
      <c r="D286" s="128" t="s">
        <v>46</v>
      </c>
      <c r="E286" s="128" t="str" cm="1">
        <f t="array" ref="E286">IFERROR(INDEX(SubcategoriesTable[Subcategory name],MATCH(Table1[[#This Row],[Category]],SubcategoriesTable[Category name],0),0),"")</f>
        <v>Variable</v>
      </c>
      <c r="F286" s="134">
        <v>-13.46</v>
      </c>
      <c r="G286" s="167" t="str">
        <f>_xlfn.XLOOKUP(Table1[[#This Row],[Account_ID]], Accounts[ID], Accounts[Account nickname], "Unknown")</f>
        <v>Discover it chrome Card</v>
      </c>
      <c r="H286" s="137" t="str">
        <f>_xlfn.XLOOKUP(Table1[[#This Row],[Account_ID]], Accounts[ID], Accounts[Account'#], "Unknown")</f>
        <v>7328</v>
      </c>
      <c r="I286" s="168" t="str">
        <f>_xlfn.XLOOKUP(Table1[[#This Row],[Institution_ID]], Institutions[ID], Institutions[Institution nickname], "Unknown")</f>
        <v>Discover</v>
      </c>
      <c r="J286" s="139" t="s">
        <v>361</v>
      </c>
      <c r="K286" s="129" t="s">
        <v>110</v>
      </c>
      <c r="L286" s="129" t="s">
        <v>108</v>
      </c>
      <c r="M286" s="130" t="str" cm="1">
        <f t="array" ref="M286">IFERROR(INDEX(CategoriesTable[Category type],MATCH(Table1[[#This Row],[Category]],CategoriesTable[Category name],0),0),"")</f>
        <v>Expense</v>
      </c>
      <c r="N286" s="130" t="str" cm="1">
        <f t="array" ref="N286">IFERROR(INDEX(SubcategoriesTable[Subcategory name],MATCH(Table1[[#This Row],[Category]],SubcategoriesTable[Category name],0),0),"")</f>
        <v>Variable</v>
      </c>
      <c r="O286" s="130">
        <v>10</v>
      </c>
      <c r="P286" s="130">
        <f>MONTH(Table1[[#This Row],[Date]])</f>
        <v>12</v>
      </c>
      <c r="Q286" s="130">
        <v>2020</v>
      </c>
      <c r="R286" s="166">
        <f>IF(ISBLANK(Table1[[#This Row],[Date]]),"",Table1[[#This Row],[Date]]-WEEKDAY(Table1[[#This Row],[Date]],2)+1)</f>
        <v>44172</v>
      </c>
      <c r="S286" s="131">
        <f>IF(ISBLANK(Table1[[#This Row],[Date]]),"",DATE(Table1[[#This Row],[Date_Year]],Table1[[#This Row],[Date_Month]],1))</f>
        <v>44166</v>
      </c>
    </row>
    <row r="287" spans="2:19" ht="15.75" x14ac:dyDescent="0.25">
      <c r="B287" s="133">
        <v>44174</v>
      </c>
      <c r="C287" s="128" t="s">
        <v>508</v>
      </c>
      <c r="D287" s="128" t="s">
        <v>50</v>
      </c>
      <c r="E287" s="128" t="str" cm="1">
        <f t="array" ref="E287">IFERROR(INDEX(SubcategoriesTable[Subcategory name],MATCH(Table1[[#This Row],[Category]],SubcategoriesTable[Category name],0),0),"")</f>
        <v>Variable</v>
      </c>
      <c r="F287" s="134">
        <v>-25</v>
      </c>
      <c r="G287" s="167" t="str">
        <f>_xlfn.XLOOKUP(Table1[[#This Row],[Account_ID]], Accounts[ID], Accounts[Account nickname], "Unknown")</f>
        <v>EVERYDAY CHECKING</v>
      </c>
      <c r="H287" s="137" t="str">
        <f>_xlfn.XLOOKUP(Table1[[#This Row],[Account_ID]], Accounts[ID], Accounts[Account'#], "Unknown")</f>
        <v>4636</v>
      </c>
      <c r="I287" s="168" t="str">
        <f>_xlfn.XLOOKUP(Table1[[#This Row],[Institution_ID]], Institutions[ID], Institutions[Institution nickname], "Unknown")</f>
        <v>Wells Fargo</v>
      </c>
      <c r="J287" s="139" t="s">
        <v>1430</v>
      </c>
      <c r="K287" s="129" t="s">
        <v>1229</v>
      </c>
      <c r="L287" s="129" t="s">
        <v>1228</v>
      </c>
      <c r="M287" s="130" t="str" cm="1">
        <f t="array" ref="M287">IFERROR(INDEX(CategoriesTable[Category type],MATCH(Table1[[#This Row],[Category]],CategoriesTable[Category name],0),0),"")</f>
        <v>Transfer</v>
      </c>
      <c r="N287" s="130" t="str" cm="1">
        <f t="array" ref="N287">IFERROR(INDEX(SubcategoriesTable[Subcategory name],MATCH(Table1[[#This Row],[Category]],SubcategoriesTable[Category name],0),0),"")</f>
        <v>Variable</v>
      </c>
      <c r="O287" s="130">
        <v>9</v>
      </c>
      <c r="P287" s="130">
        <f>MONTH(Table1[[#This Row],[Date]])</f>
        <v>12</v>
      </c>
      <c r="Q287" s="130">
        <v>2020</v>
      </c>
      <c r="R287" s="166">
        <f>IF(ISBLANK(Table1[[#This Row],[Date]]),"",Table1[[#This Row],[Date]]-WEEKDAY(Table1[[#This Row],[Date]],2)+1)</f>
        <v>44172</v>
      </c>
      <c r="S287" s="131">
        <f>IF(ISBLANK(Table1[[#This Row],[Date]]),"",DATE(Table1[[#This Row],[Date_Year]],Table1[[#This Row],[Date_Month]],1))</f>
        <v>44166</v>
      </c>
    </row>
    <row r="288" spans="2:19" ht="15.75" x14ac:dyDescent="0.25">
      <c r="B288" s="133">
        <v>44174</v>
      </c>
      <c r="C288" s="128" t="s">
        <v>267</v>
      </c>
      <c r="D288" s="128" t="s">
        <v>46</v>
      </c>
      <c r="E288" s="128" t="str" cm="1">
        <f t="array" ref="E288">IFERROR(INDEX(SubcategoriesTable[Subcategory name],MATCH(Table1[[#This Row],[Category]],SubcategoriesTable[Category name],0),0),"")</f>
        <v>Variable</v>
      </c>
      <c r="F288" s="134">
        <v>-13.76</v>
      </c>
      <c r="G288" s="167" t="str">
        <f>_xlfn.XLOOKUP(Table1[[#This Row],[Account_ID]], Accounts[ID], Accounts[Account nickname], "Unknown")</f>
        <v>Discover it chrome Card</v>
      </c>
      <c r="H288" s="137" t="str">
        <f>_xlfn.XLOOKUP(Table1[[#This Row],[Account_ID]], Accounts[ID], Accounts[Account'#], "Unknown")</f>
        <v>7328</v>
      </c>
      <c r="I288" s="168" t="str">
        <f>_xlfn.XLOOKUP(Table1[[#This Row],[Institution_ID]], Institutions[ID], Institutions[Institution nickname], "Unknown")</f>
        <v>Discover</v>
      </c>
      <c r="J288" s="139" t="s">
        <v>362</v>
      </c>
      <c r="K288" s="129" t="s">
        <v>110</v>
      </c>
      <c r="L288" s="129" t="s">
        <v>108</v>
      </c>
      <c r="M288" s="130" t="str" cm="1">
        <f t="array" ref="M288">IFERROR(INDEX(CategoriesTable[Category type],MATCH(Table1[[#This Row],[Category]],CategoriesTable[Category name],0),0),"")</f>
        <v>Expense</v>
      </c>
      <c r="N288" s="130" t="str" cm="1">
        <f t="array" ref="N288">IFERROR(INDEX(SubcategoriesTable[Subcategory name],MATCH(Table1[[#This Row],[Category]],SubcategoriesTable[Category name],0),0),"")</f>
        <v>Variable</v>
      </c>
      <c r="O288" s="130">
        <v>9</v>
      </c>
      <c r="P288" s="130">
        <f>MONTH(Table1[[#This Row],[Date]])</f>
        <v>12</v>
      </c>
      <c r="Q288" s="130">
        <v>2020</v>
      </c>
      <c r="R288" s="166">
        <f>IF(ISBLANK(Table1[[#This Row],[Date]]),"",Table1[[#This Row],[Date]]-WEEKDAY(Table1[[#This Row],[Date]],2)+1)</f>
        <v>44172</v>
      </c>
      <c r="S288" s="131">
        <f>IF(ISBLANK(Table1[[#This Row],[Date]]),"",DATE(Table1[[#This Row],[Date_Year]],Table1[[#This Row],[Date_Month]],1))</f>
        <v>44166</v>
      </c>
    </row>
    <row r="289" spans="2:19" ht="15.75" x14ac:dyDescent="0.25">
      <c r="B289" s="133">
        <v>44174</v>
      </c>
      <c r="C289" s="128" t="s">
        <v>290</v>
      </c>
      <c r="D289" s="128" t="s">
        <v>56</v>
      </c>
      <c r="E289" s="128" t="str" cm="1">
        <f t="array" ref="E289">IFERROR(INDEX(SubcategoriesTable[Subcategory name],MATCH(Table1[[#This Row],[Category]],SubcategoriesTable[Category name],0),0),"")</f>
        <v>Variable</v>
      </c>
      <c r="F289" s="134">
        <v>-24.95</v>
      </c>
      <c r="G289" s="167" t="str">
        <f>_xlfn.XLOOKUP(Table1[[#This Row],[Account_ID]], Accounts[ID], Accounts[Account nickname], "Unknown")</f>
        <v>Discover it chrome Card</v>
      </c>
      <c r="H289" s="137" t="str">
        <f>_xlfn.XLOOKUP(Table1[[#This Row],[Account_ID]], Accounts[ID], Accounts[Account'#], "Unknown")</f>
        <v>7328</v>
      </c>
      <c r="I289" s="168" t="str">
        <f>_xlfn.XLOOKUP(Table1[[#This Row],[Institution_ID]], Institutions[ID], Institutions[Institution nickname], "Unknown")</f>
        <v>Discover</v>
      </c>
      <c r="J289" s="139" t="s">
        <v>363</v>
      </c>
      <c r="K289" s="129" t="s">
        <v>110</v>
      </c>
      <c r="L289" s="129" t="s">
        <v>108</v>
      </c>
      <c r="M289" s="130" t="str" cm="1">
        <f t="array" ref="M289">IFERROR(INDEX(CategoriesTable[Category type],MATCH(Table1[[#This Row],[Category]],CategoriesTable[Category name],0),0),"")</f>
        <v>Expense</v>
      </c>
      <c r="N289" s="130" t="str" cm="1">
        <f t="array" ref="N289">IFERROR(INDEX(SubcategoriesTable[Subcategory name],MATCH(Table1[[#This Row],[Category]],SubcategoriesTable[Category name],0),0),"")</f>
        <v>Variable</v>
      </c>
      <c r="O289" s="130">
        <v>9</v>
      </c>
      <c r="P289" s="130">
        <f>MONTH(Table1[[#This Row],[Date]])</f>
        <v>12</v>
      </c>
      <c r="Q289" s="130">
        <v>2020</v>
      </c>
      <c r="R289" s="166">
        <f>IF(ISBLANK(Table1[[#This Row],[Date]]),"",Table1[[#This Row],[Date]]-WEEKDAY(Table1[[#This Row],[Date]],2)+1)</f>
        <v>44172</v>
      </c>
      <c r="S289" s="131">
        <f>IF(ISBLANK(Table1[[#This Row],[Date]]),"",DATE(Table1[[#This Row],[Date_Year]],Table1[[#This Row],[Date_Month]],1))</f>
        <v>44166</v>
      </c>
    </row>
    <row r="290" spans="2:19" ht="15.75" x14ac:dyDescent="0.25">
      <c r="B290" s="133">
        <v>44173</v>
      </c>
      <c r="C290" s="128" t="s">
        <v>193</v>
      </c>
      <c r="D290" s="128" t="s">
        <v>54</v>
      </c>
      <c r="E290" s="128" t="str" cm="1">
        <f t="array" ref="E290">IFERROR(INDEX(SubcategoriesTable[Subcategory name],MATCH(Table1[[#This Row],[Category]],SubcategoriesTable[Category name],0),0),"")</f>
        <v>Fixed</v>
      </c>
      <c r="F290" s="134">
        <v>-86.25</v>
      </c>
      <c r="G290" s="167" t="str">
        <f>_xlfn.XLOOKUP(Table1[[#This Row],[Account_ID]], Accounts[ID], Accounts[Account nickname], "Unknown")</f>
        <v>Discover it chrome Card</v>
      </c>
      <c r="H290" s="137" t="str">
        <f>_xlfn.XLOOKUP(Table1[[#This Row],[Account_ID]], Accounts[ID], Accounts[Account'#], "Unknown")</f>
        <v>7328</v>
      </c>
      <c r="I290" s="168" t="str">
        <f>_xlfn.XLOOKUP(Table1[[#This Row],[Institution_ID]], Institutions[ID], Institutions[Institution nickname], "Unknown")</f>
        <v>Discover</v>
      </c>
      <c r="J290" s="139" t="s">
        <v>364</v>
      </c>
      <c r="K290" s="129" t="s">
        <v>110</v>
      </c>
      <c r="L290" s="129" t="s">
        <v>108</v>
      </c>
      <c r="M290" s="130" t="str" cm="1">
        <f t="array" ref="M290">IFERROR(INDEX(CategoriesTable[Category type],MATCH(Table1[[#This Row],[Category]],CategoriesTable[Category name],0),0),"")</f>
        <v>Expense</v>
      </c>
      <c r="N290" s="130" t="str" cm="1">
        <f t="array" ref="N290">IFERROR(INDEX(SubcategoriesTable[Subcategory name],MATCH(Table1[[#This Row],[Category]],SubcategoriesTable[Category name],0),0),"")</f>
        <v>Fixed</v>
      </c>
      <c r="O290" s="130">
        <v>8</v>
      </c>
      <c r="P290" s="130">
        <f>MONTH(Table1[[#This Row],[Date]])</f>
        <v>12</v>
      </c>
      <c r="Q290" s="130">
        <v>2020</v>
      </c>
      <c r="R290" s="166">
        <f>IF(ISBLANK(Table1[[#This Row],[Date]]),"",Table1[[#This Row],[Date]]-WEEKDAY(Table1[[#This Row],[Date]],2)+1)</f>
        <v>44172</v>
      </c>
      <c r="S290" s="131">
        <f>IF(ISBLANK(Table1[[#This Row],[Date]]),"",DATE(Table1[[#This Row],[Date_Year]],Table1[[#This Row],[Date_Month]],1))</f>
        <v>44166</v>
      </c>
    </row>
    <row r="291" spans="2:19" ht="15.75" x14ac:dyDescent="0.25">
      <c r="B291" s="133">
        <v>44172</v>
      </c>
      <c r="C291" s="128" t="s">
        <v>1180</v>
      </c>
      <c r="D291" s="128" t="s">
        <v>50</v>
      </c>
      <c r="E291" s="128" t="str" cm="1">
        <f t="array" ref="E291">IFERROR(INDEX(SubcategoriesTable[Subcategory name],MATCH(Table1[[#This Row],[Category]],SubcategoriesTable[Category name],0),0),"")</f>
        <v>Variable</v>
      </c>
      <c r="F291" s="134">
        <v>-300</v>
      </c>
      <c r="G291" s="167" t="str">
        <f>_xlfn.XLOOKUP(Table1[[#This Row],[Account_ID]], Accounts[ID], Accounts[Account nickname], "Unknown")</f>
        <v>EVERYDAY CHECKING</v>
      </c>
      <c r="H291" s="137" t="str">
        <f>_xlfn.XLOOKUP(Table1[[#This Row],[Account_ID]], Accounts[ID], Accounts[Account'#], "Unknown")</f>
        <v>4636</v>
      </c>
      <c r="I291" s="168" t="str">
        <f>_xlfn.XLOOKUP(Table1[[#This Row],[Institution_ID]], Institutions[ID], Institutions[Institution nickname], "Unknown")</f>
        <v>Wells Fargo</v>
      </c>
      <c r="J291" s="139" t="s">
        <v>1431</v>
      </c>
      <c r="K291" s="129" t="s">
        <v>1229</v>
      </c>
      <c r="L291" s="129" t="s">
        <v>1228</v>
      </c>
      <c r="M291" s="130" t="str" cm="1">
        <f t="array" ref="M291">IFERROR(INDEX(CategoriesTable[Category type],MATCH(Table1[[#This Row],[Category]],CategoriesTable[Category name],0),0),"")</f>
        <v>Transfer</v>
      </c>
      <c r="N291" s="130" t="str" cm="1">
        <f t="array" ref="N291">IFERROR(INDEX(SubcategoriesTable[Subcategory name],MATCH(Table1[[#This Row],[Category]],SubcategoriesTable[Category name],0),0),"")</f>
        <v>Variable</v>
      </c>
      <c r="O291" s="130">
        <v>7</v>
      </c>
      <c r="P291" s="130">
        <f>MONTH(Table1[[#This Row],[Date]])</f>
        <v>12</v>
      </c>
      <c r="Q291" s="130">
        <v>2020</v>
      </c>
      <c r="R291" s="166">
        <f>IF(ISBLANK(Table1[[#This Row],[Date]]),"",Table1[[#This Row],[Date]]-WEEKDAY(Table1[[#This Row],[Date]],2)+1)</f>
        <v>44172</v>
      </c>
      <c r="S291" s="131">
        <f>IF(ISBLANK(Table1[[#This Row],[Date]]),"",DATE(Table1[[#This Row],[Date_Year]],Table1[[#This Row],[Date_Month]],1))</f>
        <v>44166</v>
      </c>
    </row>
    <row r="292" spans="2:19" ht="15.75" x14ac:dyDescent="0.25">
      <c r="B292" s="133">
        <v>44172</v>
      </c>
      <c r="C292" s="128" t="s">
        <v>508</v>
      </c>
      <c r="D292" s="128" t="s">
        <v>50</v>
      </c>
      <c r="E292" s="128" t="str" cm="1">
        <f t="array" ref="E292">IFERROR(INDEX(SubcategoriesTable[Subcategory name],MATCH(Table1[[#This Row],[Category]],SubcategoriesTable[Category name],0),0),"")</f>
        <v>Variable</v>
      </c>
      <c r="F292" s="134">
        <v>519.65</v>
      </c>
      <c r="G292" s="167" t="str">
        <f>_xlfn.XLOOKUP(Table1[[#This Row],[Account_ID]], Accounts[ID], Accounts[Account nickname], "Unknown")</f>
        <v>EVERYDAY CHECKING</v>
      </c>
      <c r="H292" s="137" t="str">
        <f>_xlfn.XLOOKUP(Table1[[#This Row],[Account_ID]], Accounts[ID], Accounts[Account'#], "Unknown")</f>
        <v>4636</v>
      </c>
      <c r="I292" s="168" t="str">
        <f>_xlfn.XLOOKUP(Table1[[#This Row],[Institution_ID]], Institutions[ID], Institutions[Institution nickname], "Unknown")</f>
        <v>Wells Fargo</v>
      </c>
      <c r="J292" s="139" t="s">
        <v>1432</v>
      </c>
      <c r="K292" s="129" t="s">
        <v>1229</v>
      </c>
      <c r="L292" s="129" t="s">
        <v>1228</v>
      </c>
      <c r="M292" s="130" t="str" cm="1">
        <f t="array" ref="M292">IFERROR(INDEX(CategoriesTable[Category type],MATCH(Table1[[#This Row],[Category]],CategoriesTable[Category name],0),0),"")</f>
        <v>Transfer</v>
      </c>
      <c r="N292" s="130" t="str" cm="1">
        <f t="array" ref="N292">IFERROR(INDEX(SubcategoriesTable[Subcategory name],MATCH(Table1[[#This Row],[Category]],SubcategoriesTable[Category name],0),0),"")</f>
        <v>Variable</v>
      </c>
      <c r="O292" s="130">
        <v>7</v>
      </c>
      <c r="P292" s="130">
        <f>MONTH(Table1[[#This Row],[Date]])</f>
        <v>12</v>
      </c>
      <c r="Q292" s="130">
        <v>2020</v>
      </c>
      <c r="R292" s="166">
        <f>IF(ISBLANK(Table1[[#This Row],[Date]]),"",Table1[[#This Row],[Date]]-WEEKDAY(Table1[[#This Row],[Date]],2)+1)</f>
        <v>44172</v>
      </c>
      <c r="S292" s="131">
        <f>IF(ISBLANK(Table1[[#This Row],[Date]]),"",DATE(Table1[[#This Row],[Date_Year]],Table1[[#This Row],[Date_Month]],1))</f>
        <v>44166</v>
      </c>
    </row>
    <row r="293" spans="2:19" ht="15.75" x14ac:dyDescent="0.25">
      <c r="B293" s="133">
        <v>44172</v>
      </c>
      <c r="C293" s="128" t="s">
        <v>113</v>
      </c>
      <c r="D293" s="128" t="s">
        <v>50</v>
      </c>
      <c r="E293" s="128" t="str" cm="1">
        <f t="array" ref="E293">IFERROR(INDEX(SubcategoriesTable[Subcategory name],MATCH(Table1[[#This Row],[Category]],SubcategoriesTable[Category name],0),0),"")</f>
        <v>Variable</v>
      </c>
      <c r="F293" s="134">
        <v>300</v>
      </c>
      <c r="G293" s="167" t="str">
        <f>_xlfn.XLOOKUP(Table1[[#This Row],[Account_ID]], Accounts[ID], Accounts[Account nickname], "Unknown")</f>
        <v>Discover it chrome Card</v>
      </c>
      <c r="H293" s="137" t="str">
        <f>_xlfn.XLOOKUP(Table1[[#This Row],[Account_ID]], Accounts[ID], Accounts[Account'#], "Unknown")</f>
        <v>7328</v>
      </c>
      <c r="I293" s="168" t="str">
        <f>_xlfn.XLOOKUP(Table1[[#This Row],[Institution_ID]], Institutions[ID], Institutions[Institution nickname], "Unknown")</f>
        <v>Discover</v>
      </c>
      <c r="J293" s="139" t="s">
        <v>365</v>
      </c>
      <c r="K293" s="129" t="s">
        <v>110</v>
      </c>
      <c r="L293" s="129" t="s">
        <v>108</v>
      </c>
      <c r="M293" s="130" t="str" cm="1">
        <f t="array" ref="M293">IFERROR(INDEX(CategoriesTable[Category type],MATCH(Table1[[#This Row],[Category]],CategoriesTable[Category name],0),0),"")</f>
        <v>Transfer</v>
      </c>
      <c r="N293" s="130" t="str" cm="1">
        <f t="array" ref="N293">IFERROR(INDEX(SubcategoriesTable[Subcategory name],MATCH(Table1[[#This Row],[Category]],SubcategoriesTable[Category name],0),0),"")</f>
        <v>Variable</v>
      </c>
      <c r="O293" s="130">
        <v>7</v>
      </c>
      <c r="P293" s="130">
        <f>MONTH(Table1[[#This Row],[Date]])</f>
        <v>12</v>
      </c>
      <c r="Q293" s="130">
        <v>2020</v>
      </c>
      <c r="R293" s="166">
        <f>IF(ISBLANK(Table1[[#This Row],[Date]]),"",Table1[[#This Row],[Date]]-WEEKDAY(Table1[[#This Row],[Date]],2)+1)</f>
        <v>44172</v>
      </c>
      <c r="S293" s="131">
        <f>IF(ISBLANK(Table1[[#This Row],[Date]]),"",DATE(Table1[[#This Row],[Date_Year]],Table1[[#This Row],[Date_Month]],1))</f>
        <v>44166</v>
      </c>
    </row>
    <row r="294" spans="2:19" ht="15.75" x14ac:dyDescent="0.25">
      <c r="B294" s="133">
        <v>44172</v>
      </c>
      <c r="C294" s="128" t="s">
        <v>195</v>
      </c>
      <c r="D294" s="128" t="s">
        <v>48</v>
      </c>
      <c r="E294" s="128" t="str" cm="1">
        <f t="array" ref="E294">IFERROR(INDEX(SubcategoriesTable[Subcategory name],MATCH(Table1[[#This Row],[Category]],SubcategoriesTable[Category name],0),0),"")</f>
        <v>Variable</v>
      </c>
      <c r="F294" s="134">
        <v>-2.2000000000000002</v>
      </c>
      <c r="G294" s="167" t="str">
        <f>_xlfn.XLOOKUP(Table1[[#This Row],[Account_ID]], Accounts[ID], Accounts[Account nickname], "Unknown")</f>
        <v>Discover it chrome Card</v>
      </c>
      <c r="H294" s="137" t="str">
        <f>_xlfn.XLOOKUP(Table1[[#This Row],[Account_ID]], Accounts[ID], Accounts[Account'#], "Unknown")</f>
        <v>7328</v>
      </c>
      <c r="I294" s="168" t="str">
        <f>_xlfn.XLOOKUP(Table1[[#This Row],[Institution_ID]], Institutions[ID], Institutions[Institution nickname], "Unknown")</f>
        <v>Discover</v>
      </c>
      <c r="J294" s="139" t="s">
        <v>366</v>
      </c>
      <c r="K294" s="129" t="s">
        <v>110</v>
      </c>
      <c r="L294" s="129" t="s">
        <v>108</v>
      </c>
      <c r="M294" s="130" t="str" cm="1">
        <f t="array" ref="M294">IFERROR(INDEX(CategoriesTable[Category type],MATCH(Table1[[#This Row],[Category]],CategoriesTable[Category name],0),0),"")</f>
        <v>Expense</v>
      </c>
      <c r="N294" s="130" t="str" cm="1">
        <f t="array" ref="N294">IFERROR(INDEX(SubcategoriesTable[Subcategory name],MATCH(Table1[[#This Row],[Category]],SubcategoriesTable[Category name],0),0),"")</f>
        <v>Variable</v>
      </c>
      <c r="O294" s="130">
        <v>7</v>
      </c>
      <c r="P294" s="130">
        <f>MONTH(Table1[[#This Row],[Date]])</f>
        <v>12</v>
      </c>
      <c r="Q294" s="130">
        <v>2020</v>
      </c>
      <c r="R294" s="166">
        <f>IF(ISBLANK(Table1[[#This Row],[Date]]),"",Table1[[#This Row],[Date]]-WEEKDAY(Table1[[#This Row],[Date]],2)+1)</f>
        <v>44172</v>
      </c>
      <c r="S294" s="131">
        <f>IF(ISBLANK(Table1[[#This Row],[Date]]),"",DATE(Table1[[#This Row],[Date_Year]],Table1[[#This Row],[Date_Month]],1))</f>
        <v>44166</v>
      </c>
    </row>
    <row r="295" spans="2:19" ht="15.75" x14ac:dyDescent="0.25">
      <c r="B295" s="133">
        <v>44171</v>
      </c>
      <c r="C295" s="128" t="s">
        <v>367</v>
      </c>
      <c r="D295" s="128" t="s">
        <v>52</v>
      </c>
      <c r="E295" s="128" t="str" cm="1">
        <f t="array" ref="E295">IFERROR(INDEX(SubcategoriesTable[Subcategory name],MATCH(Table1[[#This Row],[Category]],SubcategoriesTable[Category name],0),0),"")</f>
        <v>Variable</v>
      </c>
      <c r="F295" s="134">
        <v>-35</v>
      </c>
      <c r="G295" s="167" t="str">
        <f>_xlfn.XLOOKUP(Table1[[#This Row],[Account_ID]], Accounts[ID], Accounts[Account nickname], "Unknown")</f>
        <v>Discover it chrome Card</v>
      </c>
      <c r="H295" s="137" t="str">
        <f>_xlfn.XLOOKUP(Table1[[#This Row],[Account_ID]], Accounts[ID], Accounts[Account'#], "Unknown")</f>
        <v>7328</v>
      </c>
      <c r="I295" s="168" t="str">
        <f>_xlfn.XLOOKUP(Table1[[#This Row],[Institution_ID]], Institutions[ID], Institutions[Institution nickname], "Unknown")</f>
        <v>Discover</v>
      </c>
      <c r="J295" s="139" t="s">
        <v>368</v>
      </c>
      <c r="K295" s="129" t="s">
        <v>110</v>
      </c>
      <c r="L295" s="129" t="s">
        <v>108</v>
      </c>
      <c r="M295" s="130" t="str" cm="1">
        <f t="array" ref="M295">IFERROR(INDEX(CategoriesTable[Category type],MATCH(Table1[[#This Row],[Category]],CategoriesTable[Category name],0),0),"")</f>
        <v>Expense</v>
      </c>
      <c r="N295" s="130" t="str" cm="1">
        <f t="array" ref="N295">IFERROR(INDEX(SubcategoriesTable[Subcategory name],MATCH(Table1[[#This Row],[Category]],SubcategoriesTable[Category name],0),0),"")</f>
        <v>Variable</v>
      </c>
      <c r="O295" s="130">
        <v>6</v>
      </c>
      <c r="P295" s="130">
        <f>MONTH(Table1[[#This Row],[Date]])</f>
        <v>12</v>
      </c>
      <c r="Q295" s="130">
        <v>2020</v>
      </c>
      <c r="R295" s="166">
        <f>IF(ISBLANK(Table1[[#This Row],[Date]]),"",Table1[[#This Row],[Date]]-WEEKDAY(Table1[[#This Row],[Date]],2)+1)</f>
        <v>44165</v>
      </c>
      <c r="S295" s="131">
        <f>IF(ISBLANK(Table1[[#This Row],[Date]]),"",DATE(Table1[[#This Row],[Date_Year]],Table1[[#This Row],[Date_Month]],1))</f>
        <v>44166</v>
      </c>
    </row>
    <row r="296" spans="2:19" ht="15.75" x14ac:dyDescent="0.25">
      <c r="B296" s="133">
        <v>44170</v>
      </c>
      <c r="C296" s="128" t="s">
        <v>1196</v>
      </c>
      <c r="D296" s="128" t="s">
        <v>56</v>
      </c>
      <c r="E296" s="128" t="str" cm="1">
        <f t="array" ref="E296">IFERROR(INDEX(SubcategoriesTable[Subcategory name],MATCH(Table1[[#This Row],[Category]],SubcategoriesTable[Category name],0),0),"")</f>
        <v>Variable</v>
      </c>
      <c r="F296" s="134">
        <v>-80</v>
      </c>
      <c r="G296" s="167" t="str">
        <f>_xlfn.XLOOKUP(Table1[[#This Row],[Account_ID]], Accounts[ID], Accounts[Account nickname], "Unknown")</f>
        <v>EVERYDAY CHECKING</v>
      </c>
      <c r="H296" s="137" t="str">
        <f>_xlfn.XLOOKUP(Table1[[#This Row],[Account_ID]], Accounts[ID], Accounts[Account'#], "Unknown")</f>
        <v>4636</v>
      </c>
      <c r="I296" s="168" t="str">
        <f>_xlfn.XLOOKUP(Table1[[#This Row],[Institution_ID]], Institutions[ID], Institutions[Institution nickname], "Unknown")</f>
        <v>Wells Fargo</v>
      </c>
      <c r="J296" s="139" t="s">
        <v>1433</v>
      </c>
      <c r="K296" s="129" t="s">
        <v>1229</v>
      </c>
      <c r="L296" s="129" t="s">
        <v>1228</v>
      </c>
      <c r="M296" s="130" t="str" cm="1">
        <f t="array" ref="M296">IFERROR(INDEX(CategoriesTable[Category type],MATCH(Table1[[#This Row],[Category]],CategoriesTable[Category name],0),0),"")</f>
        <v>Expense</v>
      </c>
      <c r="N296" s="130" t="str" cm="1">
        <f t="array" ref="N296">IFERROR(INDEX(SubcategoriesTable[Subcategory name],MATCH(Table1[[#This Row],[Category]],SubcategoriesTable[Category name],0),0),"")</f>
        <v>Variable</v>
      </c>
      <c r="O296" s="130">
        <v>5</v>
      </c>
      <c r="P296" s="130">
        <f>MONTH(Table1[[#This Row],[Date]])</f>
        <v>12</v>
      </c>
      <c r="Q296" s="130">
        <v>2020</v>
      </c>
      <c r="R296" s="166">
        <f>IF(ISBLANK(Table1[[#This Row],[Date]]),"",Table1[[#This Row],[Date]]-WEEKDAY(Table1[[#This Row],[Date]],2)+1)</f>
        <v>44165</v>
      </c>
      <c r="S296" s="131">
        <f>IF(ISBLANK(Table1[[#This Row],[Date]]),"",DATE(Table1[[#This Row],[Date_Year]],Table1[[#This Row],[Date_Month]],1))</f>
        <v>44166</v>
      </c>
    </row>
    <row r="297" spans="2:19" ht="15.75" x14ac:dyDescent="0.25">
      <c r="B297" s="133">
        <v>44170</v>
      </c>
      <c r="C297" s="128" t="s">
        <v>441</v>
      </c>
      <c r="D297" s="128" t="s">
        <v>56</v>
      </c>
      <c r="E297" s="128" t="str" cm="1">
        <f t="array" ref="E297">IFERROR(INDEX(SubcategoriesTable[Subcategory name],MATCH(Table1[[#This Row],[Category]],SubcategoriesTable[Category name],0),0),"")</f>
        <v>Variable</v>
      </c>
      <c r="F297" s="134">
        <v>-80</v>
      </c>
      <c r="G297" s="167" t="str">
        <f>_xlfn.XLOOKUP(Table1[[#This Row],[Account_ID]], Accounts[ID], Accounts[Account nickname], "Unknown")</f>
        <v>EVERYDAY CHECKING</v>
      </c>
      <c r="H297" s="137" t="str">
        <f>_xlfn.XLOOKUP(Table1[[#This Row],[Account_ID]], Accounts[ID], Accounts[Account'#], "Unknown")</f>
        <v>4636</v>
      </c>
      <c r="I297" s="168" t="str">
        <f>_xlfn.XLOOKUP(Table1[[#This Row],[Institution_ID]], Institutions[ID], Institutions[Institution nickname], "Unknown")</f>
        <v>Wells Fargo</v>
      </c>
      <c r="J297" s="139" t="s">
        <v>1434</v>
      </c>
      <c r="K297" s="129" t="s">
        <v>1229</v>
      </c>
      <c r="L297" s="129" t="s">
        <v>1228</v>
      </c>
      <c r="M297" s="130" t="str" cm="1">
        <f t="array" ref="M297">IFERROR(INDEX(CategoriesTable[Category type],MATCH(Table1[[#This Row],[Category]],CategoriesTable[Category name],0),0),"")</f>
        <v>Expense</v>
      </c>
      <c r="N297" s="130" t="str" cm="1">
        <f t="array" ref="N297">IFERROR(INDEX(SubcategoriesTable[Subcategory name],MATCH(Table1[[#This Row],[Category]],SubcategoriesTable[Category name],0),0),"")</f>
        <v>Variable</v>
      </c>
      <c r="O297" s="130">
        <v>5</v>
      </c>
      <c r="P297" s="130">
        <f>MONTH(Table1[[#This Row],[Date]])</f>
        <v>12</v>
      </c>
      <c r="Q297" s="130">
        <v>2020</v>
      </c>
      <c r="R297" s="166">
        <f>IF(ISBLANK(Table1[[#This Row],[Date]]),"",Table1[[#This Row],[Date]]-WEEKDAY(Table1[[#This Row],[Date]],2)+1)</f>
        <v>44165</v>
      </c>
      <c r="S297" s="131">
        <f>IF(ISBLANK(Table1[[#This Row],[Date]]),"",DATE(Table1[[#This Row],[Date_Year]],Table1[[#This Row],[Date_Month]],1))</f>
        <v>44166</v>
      </c>
    </row>
    <row r="298" spans="2:19" ht="15.75" x14ac:dyDescent="0.25">
      <c r="B298" s="133">
        <v>44170</v>
      </c>
      <c r="C298" s="128" t="s">
        <v>369</v>
      </c>
      <c r="D298" s="128" t="s">
        <v>46</v>
      </c>
      <c r="E298" s="128" t="str" cm="1">
        <f t="array" ref="E298">IFERROR(INDEX(SubcategoriesTable[Subcategory name],MATCH(Table1[[#This Row],[Category]],SubcategoriesTable[Category name],0),0),"")</f>
        <v>Variable</v>
      </c>
      <c r="F298" s="134">
        <v>-9.99</v>
      </c>
      <c r="G298" s="167" t="str">
        <f>_xlfn.XLOOKUP(Table1[[#This Row],[Account_ID]], Accounts[ID], Accounts[Account nickname], "Unknown")</f>
        <v>Discover it chrome Card</v>
      </c>
      <c r="H298" s="137" t="str">
        <f>_xlfn.XLOOKUP(Table1[[#This Row],[Account_ID]], Accounts[ID], Accounts[Account'#], "Unknown")</f>
        <v>7328</v>
      </c>
      <c r="I298" s="168" t="str">
        <f>_xlfn.XLOOKUP(Table1[[#This Row],[Institution_ID]], Institutions[ID], Institutions[Institution nickname], "Unknown")</f>
        <v>Discover</v>
      </c>
      <c r="J298" s="139" t="s">
        <v>370</v>
      </c>
      <c r="K298" s="129" t="s">
        <v>110</v>
      </c>
      <c r="L298" s="129" t="s">
        <v>108</v>
      </c>
      <c r="M298" s="130" t="str" cm="1">
        <f t="array" ref="M298">IFERROR(INDEX(CategoriesTable[Category type],MATCH(Table1[[#This Row],[Category]],CategoriesTable[Category name],0),0),"")</f>
        <v>Expense</v>
      </c>
      <c r="N298" s="130" t="str" cm="1">
        <f t="array" ref="N298">IFERROR(INDEX(SubcategoriesTable[Subcategory name],MATCH(Table1[[#This Row],[Category]],SubcategoriesTable[Category name],0),0),"")</f>
        <v>Variable</v>
      </c>
      <c r="O298" s="130">
        <v>5</v>
      </c>
      <c r="P298" s="130">
        <f>MONTH(Table1[[#This Row],[Date]])</f>
        <v>12</v>
      </c>
      <c r="Q298" s="130">
        <v>2020</v>
      </c>
      <c r="R298" s="166">
        <f>IF(ISBLANK(Table1[[#This Row],[Date]]),"",Table1[[#This Row],[Date]]-WEEKDAY(Table1[[#This Row],[Date]],2)+1)</f>
        <v>44165</v>
      </c>
      <c r="S298" s="131">
        <f>IF(ISBLANK(Table1[[#This Row],[Date]]),"",DATE(Table1[[#This Row],[Date_Year]],Table1[[#This Row],[Date_Month]],1))</f>
        <v>44166</v>
      </c>
    </row>
    <row r="299" spans="2:19" ht="15.75" x14ac:dyDescent="0.25">
      <c r="B299" s="133">
        <v>44170</v>
      </c>
      <c r="C299" s="128" t="s">
        <v>371</v>
      </c>
      <c r="D299" s="128" t="s">
        <v>52</v>
      </c>
      <c r="E299" s="128" t="str" cm="1">
        <f t="array" ref="E299">IFERROR(INDEX(SubcategoriesTable[Subcategory name],MATCH(Table1[[#This Row],[Category]],SubcategoriesTable[Category name],0),0),"")</f>
        <v>Variable</v>
      </c>
      <c r="F299" s="134">
        <v>-18.5</v>
      </c>
      <c r="G299" s="167" t="str">
        <f>_xlfn.XLOOKUP(Table1[[#This Row],[Account_ID]], Accounts[ID], Accounts[Account nickname], "Unknown")</f>
        <v>Discover it chrome Card</v>
      </c>
      <c r="H299" s="137" t="str">
        <f>_xlfn.XLOOKUP(Table1[[#This Row],[Account_ID]], Accounts[ID], Accounts[Account'#], "Unknown")</f>
        <v>7328</v>
      </c>
      <c r="I299" s="168" t="str">
        <f>_xlfn.XLOOKUP(Table1[[#This Row],[Institution_ID]], Institutions[ID], Institutions[Institution nickname], "Unknown")</f>
        <v>Discover</v>
      </c>
      <c r="J299" s="139" t="s">
        <v>372</v>
      </c>
      <c r="K299" s="129" t="s">
        <v>110</v>
      </c>
      <c r="L299" s="129" t="s">
        <v>108</v>
      </c>
      <c r="M299" s="130" t="str" cm="1">
        <f t="array" ref="M299">IFERROR(INDEX(CategoriesTable[Category type],MATCH(Table1[[#This Row],[Category]],CategoriesTable[Category name],0),0),"")</f>
        <v>Expense</v>
      </c>
      <c r="N299" s="130" t="str" cm="1">
        <f t="array" ref="N299">IFERROR(INDEX(SubcategoriesTable[Subcategory name],MATCH(Table1[[#This Row],[Category]],SubcategoriesTable[Category name],0),0),"")</f>
        <v>Variable</v>
      </c>
      <c r="O299" s="130">
        <v>5</v>
      </c>
      <c r="P299" s="130">
        <f>MONTH(Table1[[#This Row],[Date]])</f>
        <v>12</v>
      </c>
      <c r="Q299" s="130">
        <v>2020</v>
      </c>
      <c r="R299" s="166">
        <f>IF(ISBLANK(Table1[[#This Row],[Date]]),"",Table1[[#This Row],[Date]]-WEEKDAY(Table1[[#This Row],[Date]],2)+1)</f>
        <v>44165</v>
      </c>
      <c r="S299" s="131">
        <f>IF(ISBLANK(Table1[[#This Row],[Date]]),"",DATE(Table1[[#This Row],[Date_Year]],Table1[[#This Row],[Date_Month]],1))</f>
        <v>44166</v>
      </c>
    </row>
    <row r="300" spans="2:19" ht="15.75" x14ac:dyDescent="0.25">
      <c r="B300" s="133">
        <v>44170</v>
      </c>
      <c r="C300" s="128" t="s">
        <v>373</v>
      </c>
      <c r="D300" s="128" t="s">
        <v>45</v>
      </c>
      <c r="E300" s="128" t="str" cm="1">
        <f t="array" ref="E300">IFERROR(INDEX(SubcategoriesTable[Subcategory name],MATCH(Table1[[#This Row],[Category]],SubcategoriesTable[Category name],0),0),"")</f>
        <v>Variable</v>
      </c>
      <c r="F300" s="134">
        <v>-16.72</v>
      </c>
      <c r="G300" s="167" t="str">
        <f>_xlfn.XLOOKUP(Table1[[#This Row],[Account_ID]], Accounts[ID], Accounts[Account nickname], "Unknown")</f>
        <v>Discover it chrome Card</v>
      </c>
      <c r="H300" s="137" t="str">
        <f>_xlfn.XLOOKUP(Table1[[#This Row],[Account_ID]], Accounts[ID], Accounts[Account'#], "Unknown")</f>
        <v>7328</v>
      </c>
      <c r="I300" s="168" t="str">
        <f>_xlfn.XLOOKUP(Table1[[#This Row],[Institution_ID]], Institutions[ID], Institutions[Institution nickname], "Unknown")</f>
        <v>Discover</v>
      </c>
      <c r="J300" s="139" t="s">
        <v>374</v>
      </c>
      <c r="K300" s="129" t="s">
        <v>110</v>
      </c>
      <c r="L300" s="129" t="s">
        <v>108</v>
      </c>
      <c r="M300" s="130" t="str" cm="1">
        <f t="array" ref="M300">IFERROR(INDEX(CategoriesTable[Category type],MATCH(Table1[[#This Row],[Category]],CategoriesTable[Category name],0),0),"")</f>
        <v>Expense</v>
      </c>
      <c r="N300" s="130" t="str" cm="1">
        <f t="array" ref="N300">IFERROR(INDEX(SubcategoriesTable[Subcategory name],MATCH(Table1[[#This Row],[Category]],SubcategoriesTable[Category name],0),0),"")</f>
        <v>Variable</v>
      </c>
      <c r="O300" s="130">
        <v>5</v>
      </c>
      <c r="P300" s="130">
        <f>MONTH(Table1[[#This Row],[Date]])</f>
        <v>12</v>
      </c>
      <c r="Q300" s="130">
        <v>2020</v>
      </c>
      <c r="R300" s="166">
        <f>IF(ISBLANK(Table1[[#This Row],[Date]]),"",Table1[[#This Row],[Date]]-WEEKDAY(Table1[[#This Row],[Date]],2)+1)</f>
        <v>44165</v>
      </c>
      <c r="S300" s="131">
        <f>IF(ISBLANK(Table1[[#This Row],[Date]]),"",DATE(Table1[[#This Row],[Date_Year]],Table1[[#This Row],[Date_Month]],1))</f>
        <v>44166</v>
      </c>
    </row>
    <row r="301" spans="2:19" ht="15.75" x14ac:dyDescent="0.25">
      <c r="B301" s="133">
        <v>44170</v>
      </c>
      <c r="C301" s="128" t="s">
        <v>295</v>
      </c>
      <c r="D301" s="128" t="s">
        <v>56</v>
      </c>
      <c r="E301" s="128" t="str" cm="1">
        <f t="array" ref="E301">IFERROR(INDEX(SubcategoriesTable[Subcategory name],MATCH(Table1[[#This Row],[Category]],SubcategoriesTable[Category name],0),0),"")</f>
        <v>Variable</v>
      </c>
      <c r="F301" s="134">
        <v>-39.950000000000003</v>
      </c>
      <c r="G301" s="167" t="str">
        <f>_xlfn.XLOOKUP(Table1[[#This Row],[Account_ID]], Accounts[ID], Accounts[Account nickname], "Unknown")</f>
        <v>Discover it chrome Card</v>
      </c>
      <c r="H301" s="137" t="str">
        <f>_xlfn.XLOOKUP(Table1[[#This Row],[Account_ID]], Accounts[ID], Accounts[Account'#], "Unknown")</f>
        <v>7328</v>
      </c>
      <c r="I301" s="168" t="str">
        <f>_xlfn.XLOOKUP(Table1[[#This Row],[Institution_ID]], Institutions[ID], Institutions[Institution nickname], "Unknown")</f>
        <v>Discover</v>
      </c>
      <c r="J301" s="139" t="s">
        <v>375</v>
      </c>
      <c r="K301" s="129" t="s">
        <v>110</v>
      </c>
      <c r="L301" s="129" t="s">
        <v>108</v>
      </c>
      <c r="M301" s="130" t="str" cm="1">
        <f t="array" ref="M301">IFERROR(INDEX(CategoriesTable[Category type],MATCH(Table1[[#This Row],[Category]],CategoriesTable[Category name],0),0),"")</f>
        <v>Expense</v>
      </c>
      <c r="N301" s="130" t="str" cm="1">
        <f t="array" ref="N301">IFERROR(INDEX(SubcategoriesTable[Subcategory name],MATCH(Table1[[#This Row],[Category]],SubcategoriesTable[Category name],0),0),"")</f>
        <v>Variable</v>
      </c>
      <c r="O301" s="130">
        <v>5</v>
      </c>
      <c r="P301" s="130">
        <f>MONTH(Table1[[#This Row],[Date]])</f>
        <v>12</v>
      </c>
      <c r="Q301" s="130">
        <v>2020</v>
      </c>
      <c r="R301" s="166">
        <f>IF(ISBLANK(Table1[[#This Row],[Date]]),"",Table1[[#This Row],[Date]]-WEEKDAY(Table1[[#This Row],[Date]],2)+1)</f>
        <v>44165</v>
      </c>
      <c r="S301" s="131">
        <f>IF(ISBLANK(Table1[[#This Row],[Date]]),"",DATE(Table1[[#This Row],[Date_Year]],Table1[[#This Row],[Date_Month]],1))</f>
        <v>44166</v>
      </c>
    </row>
    <row r="302" spans="2:19" ht="15.75" x14ac:dyDescent="0.25">
      <c r="B302" s="133">
        <v>44170</v>
      </c>
      <c r="C302" s="128" t="s">
        <v>195</v>
      </c>
      <c r="D302" s="128" t="s">
        <v>48</v>
      </c>
      <c r="E302" s="128" t="str" cm="1">
        <f t="array" ref="E302">IFERROR(INDEX(SubcategoriesTable[Subcategory name],MATCH(Table1[[#This Row],[Category]],SubcategoriesTable[Category name],0),0),"")</f>
        <v>Variable</v>
      </c>
      <c r="F302" s="134">
        <v>-19.05</v>
      </c>
      <c r="G302" s="167" t="str">
        <f>_xlfn.XLOOKUP(Table1[[#This Row],[Account_ID]], Accounts[ID], Accounts[Account nickname], "Unknown")</f>
        <v>Discover it chrome Card</v>
      </c>
      <c r="H302" s="137" t="str">
        <f>_xlfn.XLOOKUP(Table1[[#This Row],[Account_ID]], Accounts[ID], Accounts[Account'#], "Unknown")</f>
        <v>7328</v>
      </c>
      <c r="I302" s="168" t="str">
        <f>_xlfn.XLOOKUP(Table1[[#This Row],[Institution_ID]], Institutions[ID], Institutions[Institution nickname], "Unknown")</f>
        <v>Discover</v>
      </c>
      <c r="J302" s="139" t="s">
        <v>376</v>
      </c>
      <c r="K302" s="129" t="s">
        <v>110</v>
      </c>
      <c r="L302" s="129" t="s">
        <v>108</v>
      </c>
      <c r="M302" s="130" t="str" cm="1">
        <f t="array" ref="M302">IFERROR(INDEX(CategoriesTable[Category type],MATCH(Table1[[#This Row],[Category]],CategoriesTable[Category name],0),0),"")</f>
        <v>Expense</v>
      </c>
      <c r="N302" s="130" t="str" cm="1">
        <f t="array" ref="N302">IFERROR(INDEX(SubcategoriesTable[Subcategory name],MATCH(Table1[[#This Row],[Category]],SubcategoriesTable[Category name],0),0),"")</f>
        <v>Variable</v>
      </c>
      <c r="O302" s="130">
        <v>5</v>
      </c>
      <c r="P302" s="130">
        <f>MONTH(Table1[[#This Row],[Date]])</f>
        <v>12</v>
      </c>
      <c r="Q302" s="130">
        <v>2020</v>
      </c>
      <c r="R302" s="166">
        <f>IF(ISBLANK(Table1[[#This Row],[Date]]),"",Table1[[#This Row],[Date]]-WEEKDAY(Table1[[#This Row],[Date]],2)+1)</f>
        <v>44165</v>
      </c>
      <c r="S302" s="131">
        <f>IF(ISBLANK(Table1[[#This Row],[Date]]),"",DATE(Table1[[#This Row],[Date_Year]],Table1[[#This Row],[Date_Month]],1))</f>
        <v>44166</v>
      </c>
    </row>
    <row r="303" spans="2:19" ht="15.75" x14ac:dyDescent="0.25">
      <c r="B303" s="133">
        <v>44170</v>
      </c>
      <c r="C303" s="128" t="s">
        <v>336</v>
      </c>
      <c r="D303" s="128" t="s">
        <v>52</v>
      </c>
      <c r="E303" s="128" t="str" cm="1">
        <f t="array" ref="E303">IFERROR(INDEX(SubcategoriesTable[Subcategory name],MATCH(Table1[[#This Row],[Category]],SubcategoriesTable[Category name],0),0),"")</f>
        <v>Variable</v>
      </c>
      <c r="F303" s="134">
        <v>-5.98</v>
      </c>
      <c r="G303" s="167" t="str">
        <f>_xlfn.XLOOKUP(Table1[[#This Row],[Account_ID]], Accounts[ID], Accounts[Account nickname], "Unknown")</f>
        <v>Discover it chrome Card</v>
      </c>
      <c r="H303" s="137" t="str">
        <f>_xlfn.XLOOKUP(Table1[[#This Row],[Account_ID]], Accounts[ID], Accounts[Account'#], "Unknown")</f>
        <v>7328</v>
      </c>
      <c r="I303" s="168" t="str">
        <f>_xlfn.XLOOKUP(Table1[[#This Row],[Institution_ID]], Institutions[ID], Institutions[Institution nickname], "Unknown")</f>
        <v>Discover</v>
      </c>
      <c r="J303" s="139" t="s">
        <v>377</v>
      </c>
      <c r="K303" s="129" t="s">
        <v>110</v>
      </c>
      <c r="L303" s="129" t="s">
        <v>108</v>
      </c>
      <c r="M303" s="130" t="str" cm="1">
        <f t="array" ref="M303">IFERROR(INDEX(CategoriesTable[Category type],MATCH(Table1[[#This Row],[Category]],CategoriesTable[Category name],0),0),"")</f>
        <v>Expense</v>
      </c>
      <c r="N303" s="130" t="str" cm="1">
        <f t="array" ref="N303">IFERROR(INDEX(SubcategoriesTable[Subcategory name],MATCH(Table1[[#This Row],[Category]],SubcategoriesTable[Category name],0),0),"")</f>
        <v>Variable</v>
      </c>
      <c r="O303" s="130">
        <v>5</v>
      </c>
      <c r="P303" s="130">
        <f>MONTH(Table1[[#This Row],[Date]])</f>
        <v>12</v>
      </c>
      <c r="Q303" s="130">
        <v>2020</v>
      </c>
      <c r="R303" s="166">
        <f>IF(ISBLANK(Table1[[#This Row],[Date]]),"",Table1[[#This Row],[Date]]-WEEKDAY(Table1[[#This Row],[Date]],2)+1)</f>
        <v>44165</v>
      </c>
      <c r="S303" s="131">
        <f>IF(ISBLANK(Table1[[#This Row],[Date]]),"",DATE(Table1[[#This Row],[Date_Year]],Table1[[#This Row],[Date_Month]],1))</f>
        <v>44166</v>
      </c>
    </row>
    <row r="304" spans="2:19" ht="15.75" x14ac:dyDescent="0.25">
      <c r="B304" s="133">
        <v>44170</v>
      </c>
      <c r="C304" s="128" t="s">
        <v>336</v>
      </c>
      <c r="D304" s="128" t="s">
        <v>52</v>
      </c>
      <c r="E304" s="128" t="str" cm="1">
        <f t="array" ref="E304">IFERROR(INDEX(SubcategoriesTable[Subcategory name],MATCH(Table1[[#This Row],[Category]],SubcategoriesTable[Category name],0),0),"")</f>
        <v>Variable</v>
      </c>
      <c r="F304" s="134">
        <v>-23.95</v>
      </c>
      <c r="G304" s="167" t="str">
        <f>_xlfn.XLOOKUP(Table1[[#This Row],[Account_ID]], Accounts[ID], Accounts[Account nickname], "Unknown")</f>
        <v>Discover it chrome Card</v>
      </c>
      <c r="H304" s="137" t="str">
        <f>_xlfn.XLOOKUP(Table1[[#This Row],[Account_ID]], Accounts[ID], Accounts[Account'#], "Unknown")</f>
        <v>7328</v>
      </c>
      <c r="I304" s="168" t="str">
        <f>_xlfn.XLOOKUP(Table1[[#This Row],[Institution_ID]], Institutions[ID], Institutions[Institution nickname], "Unknown")</f>
        <v>Discover</v>
      </c>
      <c r="J304" s="139" t="s">
        <v>378</v>
      </c>
      <c r="K304" s="129" t="s">
        <v>110</v>
      </c>
      <c r="L304" s="129" t="s">
        <v>108</v>
      </c>
      <c r="M304" s="130" t="str" cm="1">
        <f t="array" ref="M304">IFERROR(INDEX(CategoriesTable[Category type],MATCH(Table1[[#This Row],[Category]],CategoriesTable[Category name],0),0),"")</f>
        <v>Expense</v>
      </c>
      <c r="N304" s="130" t="str" cm="1">
        <f t="array" ref="N304">IFERROR(INDEX(SubcategoriesTable[Subcategory name],MATCH(Table1[[#This Row],[Category]],SubcategoriesTable[Category name],0),0),"")</f>
        <v>Variable</v>
      </c>
      <c r="O304" s="130">
        <v>5</v>
      </c>
      <c r="P304" s="130">
        <f>MONTH(Table1[[#This Row],[Date]])</f>
        <v>12</v>
      </c>
      <c r="Q304" s="130">
        <v>2020</v>
      </c>
      <c r="R304" s="166">
        <f>IF(ISBLANK(Table1[[#This Row],[Date]]),"",Table1[[#This Row],[Date]]-WEEKDAY(Table1[[#This Row],[Date]],2)+1)</f>
        <v>44165</v>
      </c>
      <c r="S304" s="131">
        <f>IF(ISBLANK(Table1[[#This Row],[Date]]),"",DATE(Table1[[#This Row],[Date_Year]],Table1[[#This Row],[Date_Month]],1))</f>
        <v>44166</v>
      </c>
    </row>
    <row r="305" spans="2:19" ht="15.75" x14ac:dyDescent="0.25">
      <c r="B305" s="133">
        <v>44170</v>
      </c>
      <c r="C305" s="128" t="s">
        <v>302</v>
      </c>
      <c r="D305" s="128" t="s">
        <v>52</v>
      </c>
      <c r="E305" s="128" t="str" cm="1">
        <f t="array" ref="E305">IFERROR(INDEX(SubcategoriesTable[Subcategory name],MATCH(Table1[[#This Row],[Category]],SubcategoriesTable[Category name],0),0),"")</f>
        <v>Variable</v>
      </c>
      <c r="F305" s="134">
        <v>-17.940000000000001</v>
      </c>
      <c r="G305" s="167" t="str">
        <f>_xlfn.XLOOKUP(Table1[[#This Row],[Account_ID]], Accounts[ID], Accounts[Account nickname], "Unknown")</f>
        <v>Discover it chrome Card</v>
      </c>
      <c r="H305" s="137" t="str">
        <f>_xlfn.XLOOKUP(Table1[[#This Row],[Account_ID]], Accounts[ID], Accounts[Account'#], "Unknown")</f>
        <v>7328</v>
      </c>
      <c r="I305" s="168" t="str">
        <f>_xlfn.XLOOKUP(Table1[[#This Row],[Institution_ID]], Institutions[ID], Institutions[Institution nickname], "Unknown")</f>
        <v>Discover</v>
      </c>
      <c r="J305" s="139" t="s">
        <v>379</v>
      </c>
      <c r="K305" s="129" t="s">
        <v>110</v>
      </c>
      <c r="L305" s="129" t="s">
        <v>108</v>
      </c>
      <c r="M305" s="130" t="str" cm="1">
        <f t="array" ref="M305">IFERROR(INDEX(CategoriesTable[Category type],MATCH(Table1[[#This Row],[Category]],CategoriesTable[Category name],0),0),"")</f>
        <v>Expense</v>
      </c>
      <c r="N305" s="130" t="str" cm="1">
        <f t="array" ref="N305">IFERROR(INDEX(SubcategoriesTable[Subcategory name],MATCH(Table1[[#This Row],[Category]],SubcategoriesTable[Category name],0),0),"")</f>
        <v>Variable</v>
      </c>
      <c r="O305" s="130">
        <v>5</v>
      </c>
      <c r="P305" s="130">
        <f>MONTH(Table1[[#This Row],[Date]])</f>
        <v>12</v>
      </c>
      <c r="Q305" s="130">
        <v>2020</v>
      </c>
      <c r="R305" s="166">
        <f>IF(ISBLANK(Table1[[#This Row],[Date]]),"",Table1[[#This Row],[Date]]-WEEKDAY(Table1[[#This Row],[Date]],2)+1)</f>
        <v>44165</v>
      </c>
      <c r="S305" s="131">
        <f>IF(ISBLANK(Table1[[#This Row],[Date]]),"",DATE(Table1[[#This Row],[Date_Year]],Table1[[#This Row],[Date_Month]],1))</f>
        <v>44166</v>
      </c>
    </row>
    <row r="306" spans="2:19" ht="15.75" x14ac:dyDescent="0.25">
      <c r="B306" s="133">
        <v>44169</v>
      </c>
      <c r="C306" s="128" t="s">
        <v>1181</v>
      </c>
      <c r="D306" s="128" t="s">
        <v>59</v>
      </c>
      <c r="E306" s="128" t="str" cm="1">
        <f t="array" ref="E306">IFERROR(INDEX(SubcategoriesTable[Subcategory name],MATCH(Table1[[#This Row],[Category]],SubcategoriesTable[Category name],0),0),"")</f>
        <v>Fixed</v>
      </c>
      <c r="F306" s="134">
        <v>1490.77</v>
      </c>
      <c r="G306" s="167" t="str">
        <f>_xlfn.XLOOKUP(Table1[[#This Row],[Account_ID]], Accounts[ID], Accounts[Account nickname], "Unknown")</f>
        <v>EVERYDAY CHECKING</v>
      </c>
      <c r="H306" s="137" t="str">
        <f>_xlfn.XLOOKUP(Table1[[#This Row],[Account_ID]], Accounts[ID], Accounts[Account'#], "Unknown")</f>
        <v>4636</v>
      </c>
      <c r="I306" s="168" t="str">
        <f>_xlfn.XLOOKUP(Table1[[#This Row],[Institution_ID]], Institutions[ID], Institutions[Institution nickname], "Unknown")</f>
        <v>Wells Fargo</v>
      </c>
      <c r="J306" s="139" t="s">
        <v>1435</v>
      </c>
      <c r="K306" s="129" t="s">
        <v>1229</v>
      </c>
      <c r="L306" s="129" t="s">
        <v>1228</v>
      </c>
      <c r="M306" s="130" t="str" cm="1">
        <f t="array" ref="M306">IFERROR(INDEX(CategoriesTable[Category type],MATCH(Table1[[#This Row],[Category]],CategoriesTable[Category name],0),0),"")</f>
        <v>Income</v>
      </c>
      <c r="N306" s="130" t="str" cm="1">
        <f t="array" ref="N306">IFERROR(INDEX(SubcategoriesTable[Subcategory name],MATCH(Table1[[#This Row],[Category]],SubcategoriesTable[Category name],0),0),"")</f>
        <v>Fixed</v>
      </c>
      <c r="O306" s="130">
        <v>4</v>
      </c>
      <c r="P306" s="130">
        <f>MONTH(Table1[[#This Row],[Date]])</f>
        <v>12</v>
      </c>
      <c r="Q306" s="130">
        <v>2020</v>
      </c>
      <c r="R306" s="166">
        <f>IF(ISBLANK(Table1[[#This Row],[Date]]),"",Table1[[#This Row],[Date]]-WEEKDAY(Table1[[#This Row],[Date]],2)+1)</f>
        <v>44165</v>
      </c>
      <c r="S306" s="131">
        <f>IF(ISBLANK(Table1[[#This Row],[Date]]),"",DATE(Table1[[#This Row],[Date_Year]],Table1[[#This Row],[Date_Month]],1))</f>
        <v>44166</v>
      </c>
    </row>
    <row r="307" spans="2:19" ht="15.75" x14ac:dyDescent="0.25">
      <c r="B307" s="133">
        <v>44169</v>
      </c>
      <c r="C307" s="128" t="s">
        <v>508</v>
      </c>
      <c r="D307" s="128" t="s">
        <v>50</v>
      </c>
      <c r="E307" s="128" t="str" cm="1">
        <f t="array" ref="E307">IFERROR(INDEX(SubcategoriesTable[Subcategory name],MATCH(Table1[[#This Row],[Category]],SubcategoriesTable[Category name],0),0),"")</f>
        <v>Variable</v>
      </c>
      <c r="F307" s="134">
        <v>-1000</v>
      </c>
      <c r="G307" s="167" t="str">
        <f>_xlfn.XLOOKUP(Table1[[#This Row],[Account_ID]], Accounts[ID], Accounts[Account nickname], "Unknown")</f>
        <v>EVERYDAY CHECKING</v>
      </c>
      <c r="H307" s="137" t="str">
        <f>_xlfn.XLOOKUP(Table1[[#This Row],[Account_ID]], Accounts[ID], Accounts[Account'#], "Unknown")</f>
        <v>4636</v>
      </c>
      <c r="I307" s="168" t="str">
        <f>_xlfn.XLOOKUP(Table1[[#This Row],[Institution_ID]], Institutions[ID], Institutions[Institution nickname], "Unknown")</f>
        <v>Wells Fargo</v>
      </c>
      <c r="J307" s="139" t="s">
        <v>1436</v>
      </c>
      <c r="K307" s="129" t="s">
        <v>1229</v>
      </c>
      <c r="L307" s="129" t="s">
        <v>1228</v>
      </c>
      <c r="M307" s="130" t="str" cm="1">
        <f t="array" ref="M307">IFERROR(INDEX(CategoriesTable[Category type],MATCH(Table1[[#This Row],[Category]],CategoriesTable[Category name],0),0),"")</f>
        <v>Transfer</v>
      </c>
      <c r="N307" s="130" t="str" cm="1">
        <f t="array" ref="N307">IFERROR(INDEX(SubcategoriesTable[Subcategory name],MATCH(Table1[[#This Row],[Category]],SubcategoriesTable[Category name],0),0),"")</f>
        <v>Variable</v>
      </c>
      <c r="O307" s="130">
        <v>4</v>
      </c>
      <c r="P307" s="130">
        <f>MONTH(Table1[[#This Row],[Date]])</f>
        <v>12</v>
      </c>
      <c r="Q307" s="130">
        <v>2020</v>
      </c>
      <c r="R307" s="166">
        <f>IF(ISBLANK(Table1[[#This Row],[Date]]),"",Table1[[#This Row],[Date]]-WEEKDAY(Table1[[#This Row],[Date]],2)+1)</f>
        <v>44165</v>
      </c>
      <c r="S307" s="131">
        <f>IF(ISBLANK(Table1[[#This Row],[Date]]),"",DATE(Table1[[#This Row],[Date_Year]],Table1[[#This Row],[Date_Month]],1))</f>
        <v>44166</v>
      </c>
    </row>
    <row r="308" spans="2:19" ht="15.75" x14ac:dyDescent="0.25">
      <c r="B308" s="133">
        <v>44169</v>
      </c>
      <c r="C308" s="128" t="s">
        <v>380</v>
      </c>
      <c r="D308" s="128" t="s">
        <v>46</v>
      </c>
      <c r="E308" s="128" t="str" cm="1">
        <f t="array" ref="E308">IFERROR(INDEX(SubcategoriesTable[Subcategory name],MATCH(Table1[[#This Row],[Category]],SubcategoriesTable[Category name],0),0),"")</f>
        <v>Variable</v>
      </c>
      <c r="F308" s="134">
        <v>-4.99</v>
      </c>
      <c r="G308" s="167" t="str">
        <f>_xlfn.XLOOKUP(Table1[[#This Row],[Account_ID]], Accounts[ID], Accounts[Account nickname], "Unknown")</f>
        <v>Discover it chrome Card</v>
      </c>
      <c r="H308" s="137" t="str">
        <f>_xlfn.XLOOKUP(Table1[[#This Row],[Account_ID]], Accounts[ID], Accounts[Account'#], "Unknown")</f>
        <v>7328</v>
      </c>
      <c r="I308" s="168" t="str">
        <f>_xlfn.XLOOKUP(Table1[[#This Row],[Institution_ID]], Institutions[ID], Institutions[Institution nickname], "Unknown")</f>
        <v>Discover</v>
      </c>
      <c r="J308" s="139" t="s">
        <v>381</v>
      </c>
      <c r="K308" s="129" t="s">
        <v>110</v>
      </c>
      <c r="L308" s="129" t="s">
        <v>108</v>
      </c>
      <c r="M308" s="130" t="str" cm="1">
        <f t="array" ref="M308">IFERROR(INDEX(CategoriesTable[Category type],MATCH(Table1[[#This Row],[Category]],CategoriesTable[Category name],0),0),"")</f>
        <v>Expense</v>
      </c>
      <c r="N308" s="130" t="str" cm="1">
        <f t="array" ref="N308">IFERROR(INDEX(SubcategoriesTable[Subcategory name],MATCH(Table1[[#This Row],[Category]],SubcategoriesTable[Category name],0),0),"")</f>
        <v>Variable</v>
      </c>
      <c r="O308" s="130">
        <v>4</v>
      </c>
      <c r="P308" s="130">
        <f>MONTH(Table1[[#This Row],[Date]])</f>
        <v>12</v>
      </c>
      <c r="Q308" s="130">
        <v>2020</v>
      </c>
      <c r="R308" s="166">
        <f>IF(ISBLANK(Table1[[#This Row],[Date]]),"",Table1[[#This Row],[Date]]-WEEKDAY(Table1[[#This Row],[Date]],2)+1)</f>
        <v>44165</v>
      </c>
      <c r="S308" s="131">
        <f>IF(ISBLANK(Table1[[#This Row],[Date]]),"",DATE(Table1[[#This Row],[Date_Year]],Table1[[#This Row],[Date_Month]],1))</f>
        <v>44166</v>
      </c>
    </row>
    <row r="309" spans="2:19" ht="15.75" x14ac:dyDescent="0.25">
      <c r="B309" s="133">
        <v>44169</v>
      </c>
      <c r="C309" s="128" t="s">
        <v>380</v>
      </c>
      <c r="D309" s="128" t="s">
        <v>46</v>
      </c>
      <c r="E309" s="128" t="str" cm="1">
        <f t="array" ref="E309">IFERROR(INDEX(SubcategoriesTable[Subcategory name],MATCH(Table1[[#This Row],[Category]],SubcategoriesTable[Category name],0),0),"")</f>
        <v>Variable</v>
      </c>
      <c r="F309" s="134">
        <v>-0.99</v>
      </c>
      <c r="G309" s="167" t="str">
        <f>_xlfn.XLOOKUP(Table1[[#This Row],[Account_ID]], Accounts[ID], Accounts[Account nickname], "Unknown")</f>
        <v>Discover it chrome Card</v>
      </c>
      <c r="H309" s="137" t="str">
        <f>_xlfn.XLOOKUP(Table1[[#This Row],[Account_ID]], Accounts[ID], Accounts[Account'#], "Unknown")</f>
        <v>7328</v>
      </c>
      <c r="I309" s="168" t="str">
        <f>_xlfn.XLOOKUP(Table1[[#This Row],[Institution_ID]], Institutions[ID], Institutions[Institution nickname], "Unknown")</f>
        <v>Discover</v>
      </c>
      <c r="J309" s="139" t="s">
        <v>382</v>
      </c>
      <c r="K309" s="129" t="s">
        <v>110</v>
      </c>
      <c r="L309" s="129" t="s">
        <v>108</v>
      </c>
      <c r="M309" s="130" t="str" cm="1">
        <f t="array" ref="M309">IFERROR(INDEX(CategoriesTable[Category type],MATCH(Table1[[#This Row],[Category]],CategoriesTable[Category name],0),0),"")</f>
        <v>Expense</v>
      </c>
      <c r="N309" s="130" t="str" cm="1">
        <f t="array" ref="N309">IFERROR(INDEX(SubcategoriesTable[Subcategory name],MATCH(Table1[[#This Row],[Category]],SubcategoriesTable[Category name],0),0),"")</f>
        <v>Variable</v>
      </c>
      <c r="O309" s="130">
        <v>4</v>
      </c>
      <c r="P309" s="130">
        <f>MONTH(Table1[[#This Row],[Date]])</f>
        <v>12</v>
      </c>
      <c r="Q309" s="130">
        <v>2020</v>
      </c>
      <c r="R309" s="166">
        <f>IF(ISBLANK(Table1[[#This Row],[Date]]),"",Table1[[#This Row],[Date]]-WEEKDAY(Table1[[#This Row],[Date]],2)+1)</f>
        <v>44165</v>
      </c>
      <c r="S309" s="131">
        <f>IF(ISBLANK(Table1[[#This Row],[Date]]),"",DATE(Table1[[#This Row],[Date_Year]],Table1[[#This Row],[Date_Month]],1))</f>
        <v>44166</v>
      </c>
    </row>
    <row r="310" spans="2:19" ht="15.75" x14ac:dyDescent="0.25">
      <c r="B310" s="133">
        <v>44169</v>
      </c>
      <c r="C310" s="128" t="s">
        <v>383</v>
      </c>
      <c r="D310" s="128" t="s">
        <v>46</v>
      </c>
      <c r="E310" s="128" t="str" cm="1">
        <f t="array" ref="E310">IFERROR(INDEX(SubcategoriesTable[Subcategory name],MATCH(Table1[[#This Row],[Category]],SubcategoriesTable[Category name],0),0),"")</f>
        <v>Variable</v>
      </c>
      <c r="F310" s="134">
        <v>-19.989999999999998</v>
      </c>
      <c r="G310" s="167" t="str">
        <f>_xlfn.XLOOKUP(Table1[[#This Row],[Account_ID]], Accounts[ID], Accounts[Account nickname], "Unknown")</f>
        <v>Discover it chrome Card</v>
      </c>
      <c r="H310" s="137" t="str">
        <f>_xlfn.XLOOKUP(Table1[[#This Row],[Account_ID]], Accounts[ID], Accounts[Account'#], "Unknown")</f>
        <v>7328</v>
      </c>
      <c r="I310" s="168" t="str">
        <f>_xlfn.XLOOKUP(Table1[[#This Row],[Institution_ID]], Institutions[ID], Institutions[Institution nickname], "Unknown")</f>
        <v>Discover</v>
      </c>
      <c r="J310" s="139" t="s">
        <v>384</v>
      </c>
      <c r="K310" s="129" t="s">
        <v>110</v>
      </c>
      <c r="L310" s="129" t="s">
        <v>108</v>
      </c>
      <c r="M310" s="130" t="str" cm="1">
        <f t="array" ref="M310">IFERROR(INDEX(CategoriesTable[Category type],MATCH(Table1[[#This Row],[Category]],CategoriesTable[Category name],0),0),"")</f>
        <v>Expense</v>
      </c>
      <c r="N310" s="130" t="str" cm="1">
        <f t="array" ref="N310">IFERROR(INDEX(SubcategoriesTable[Subcategory name],MATCH(Table1[[#This Row],[Category]],SubcategoriesTable[Category name],0),0),"")</f>
        <v>Variable</v>
      </c>
      <c r="O310" s="130">
        <v>4</v>
      </c>
      <c r="P310" s="130">
        <f>MONTH(Table1[[#This Row],[Date]])</f>
        <v>12</v>
      </c>
      <c r="Q310" s="130">
        <v>2020</v>
      </c>
      <c r="R310" s="166">
        <f>IF(ISBLANK(Table1[[#This Row],[Date]]),"",Table1[[#This Row],[Date]]-WEEKDAY(Table1[[#This Row],[Date]],2)+1)</f>
        <v>44165</v>
      </c>
      <c r="S310" s="131">
        <f>IF(ISBLANK(Table1[[#This Row],[Date]]),"",DATE(Table1[[#This Row],[Date_Year]],Table1[[#This Row],[Date_Month]],1))</f>
        <v>44166</v>
      </c>
    </row>
    <row r="311" spans="2:19" ht="15.75" x14ac:dyDescent="0.25">
      <c r="B311" s="133">
        <v>44169</v>
      </c>
      <c r="C311" s="128" t="s">
        <v>385</v>
      </c>
      <c r="D311" s="128" t="s">
        <v>45</v>
      </c>
      <c r="E311" s="128" t="str" cm="1">
        <f t="array" ref="E311">IFERROR(INDEX(SubcategoriesTable[Subcategory name],MATCH(Table1[[#This Row],[Category]],SubcategoriesTable[Category name],0),0),"")</f>
        <v>Variable</v>
      </c>
      <c r="F311" s="134">
        <v>-17.920000000000002</v>
      </c>
      <c r="G311" s="167" t="str">
        <f>_xlfn.XLOOKUP(Table1[[#This Row],[Account_ID]], Accounts[ID], Accounts[Account nickname], "Unknown")</f>
        <v>Discover it chrome Card</v>
      </c>
      <c r="H311" s="137" t="str">
        <f>_xlfn.XLOOKUP(Table1[[#This Row],[Account_ID]], Accounts[ID], Accounts[Account'#], "Unknown")</f>
        <v>7328</v>
      </c>
      <c r="I311" s="168" t="str">
        <f>_xlfn.XLOOKUP(Table1[[#This Row],[Institution_ID]], Institutions[ID], Institutions[Institution nickname], "Unknown")</f>
        <v>Discover</v>
      </c>
      <c r="J311" s="139" t="s">
        <v>386</v>
      </c>
      <c r="K311" s="129" t="s">
        <v>110</v>
      </c>
      <c r="L311" s="129" t="s">
        <v>108</v>
      </c>
      <c r="M311" s="130" t="str" cm="1">
        <f t="array" ref="M311">IFERROR(INDEX(CategoriesTable[Category type],MATCH(Table1[[#This Row],[Category]],CategoriesTable[Category name],0),0),"")</f>
        <v>Expense</v>
      </c>
      <c r="N311" s="130" t="str" cm="1">
        <f t="array" ref="N311">IFERROR(INDEX(SubcategoriesTable[Subcategory name],MATCH(Table1[[#This Row],[Category]],SubcategoriesTable[Category name],0),0),"")</f>
        <v>Variable</v>
      </c>
      <c r="O311" s="130">
        <v>4</v>
      </c>
      <c r="P311" s="130">
        <f>MONTH(Table1[[#This Row],[Date]])</f>
        <v>12</v>
      </c>
      <c r="Q311" s="130">
        <v>2020</v>
      </c>
      <c r="R311" s="166">
        <f>IF(ISBLANK(Table1[[#This Row],[Date]]),"",Table1[[#This Row],[Date]]-WEEKDAY(Table1[[#This Row],[Date]],2)+1)</f>
        <v>44165</v>
      </c>
      <c r="S311" s="131">
        <f>IF(ISBLANK(Table1[[#This Row],[Date]]),"",DATE(Table1[[#This Row],[Date_Year]],Table1[[#This Row],[Date_Month]],1))</f>
        <v>44166</v>
      </c>
    </row>
    <row r="312" spans="2:19" ht="15.75" x14ac:dyDescent="0.25">
      <c r="B312" s="133">
        <v>44168</v>
      </c>
      <c r="C312" s="128" t="s">
        <v>146</v>
      </c>
      <c r="D312" s="128" t="s">
        <v>54</v>
      </c>
      <c r="E312" s="128" t="str" cm="1">
        <f t="array" ref="E312">IFERROR(INDEX(SubcategoriesTable[Subcategory name],MATCH(Table1[[#This Row],[Category]],SubcategoriesTable[Category name],0),0),"")</f>
        <v>Fixed</v>
      </c>
      <c r="F312" s="134">
        <v>-97.25</v>
      </c>
      <c r="G312" s="167" t="str">
        <f>_xlfn.XLOOKUP(Table1[[#This Row],[Account_ID]], Accounts[ID], Accounts[Account nickname], "Unknown")</f>
        <v>Discover it chrome Card</v>
      </c>
      <c r="H312" s="137" t="str">
        <f>_xlfn.XLOOKUP(Table1[[#This Row],[Account_ID]], Accounts[ID], Accounts[Account'#], "Unknown")</f>
        <v>7328</v>
      </c>
      <c r="I312" s="168" t="str">
        <f>_xlfn.XLOOKUP(Table1[[#This Row],[Institution_ID]], Institutions[ID], Institutions[Institution nickname], "Unknown")</f>
        <v>Discover</v>
      </c>
      <c r="J312" s="139" t="s">
        <v>387</v>
      </c>
      <c r="K312" s="129" t="s">
        <v>110</v>
      </c>
      <c r="L312" s="129" t="s">
        <v>108</v>
      </c>
      <c r="M312" s="130" t="str" cm="1">
        <f t="array" ref="M312">IFERROR(INDEX(CategoriesTable[Category type],MATCH(Table1[[#This Row],[Category]],CategoriesTable[Category name],0),0),"")</f>
        <v>Expense</v>
      </c>
      <c r="N312" s="130" t="str" cm="1">
        <f t="array" ref="N312">IFERROR(INDEX(SubcategoriesTable[Subcategory name],MATCH(Table1[[#This Row],[Category]],SubcategoriesTable[Category name],0),0),"")</f>
        <v>Fixed</v>
      </c>
      <c r="O312" s="130">
        <v>3</v>
      </c>
      <c r="P312" s="130">
        <f>MONTH(Table1[[#This Row],[Date]])</f>
        <v>12</v>
      </c>
      <c r="Q312" s="130">
        <v>2020</v>
      </c>
      <c r="R312" s="166">
        <f>IF(ISBLANK(Table1[[#This Row],[Date]]),"",Table1[[#This Row],[Date]]-WEEKDAY(Table1[[#This Row],[Date]],2)+1)</f>
        <v>44165</v>
      </c>
      <c r="S312" s="131">
        <f>IF(ISBLANK(Table1[[#This Row],[Date]]),"",DATE(Table1[[#This Row],[Date_Year]],Table1[[#This Row],[Date_Month]],1))</f>
        <v>44166</v>
      </c>
    </row>
    <row r="313" spans="2:19" ht="15.75" x14ac:dyDescent="0.25">
      <c r="B313" s="133">
        <v>44167</v>
      </c>
      <c r="C313" s="128" t="s">
        <v>176</v>
      </c>
      <c r="D313" s="128" t="s">
        <v>51</v>
      </c>
      <c r="E313" s="128" t="str" cm="1">
        <f t="array" ref="E313">IFERROR(INDEX(SubcategoriesTable[Subcategory name],MATCH(Table1[[#This Row],[Category]],SubcategoriesTable[Category name],0),0),"")</f>
        <v>Variable</v>
      </c>
      <c r="F313" s="134">
        <v>-25</v>
      </c>
      <c r="G313" s="167" t="str">
        <f>_xlfn.XLOOKUP(Table1[[#This Row],[Account_ID]], Accounts[ID], Accounts[Account nickname], "Unknown")</f>
        <v>Discover it chrome Card</v>
      </c>
      <c r="H313" s="137" t="str">
        <f>_xlfn.XLOOKUP(Table1[[#This Row],[Account_ID]], Accounts[ID], Accounts[Account'#], "Unknown")</f>
        <v>7328</v>
      </c>
      <c r="I313" s="168" t="str">
        <f>_xlfn.XLOOKUP(Table1[[#This Row],[Institution_ID]], Institutions[ID], Institutions[Institution nickname], "Unknown")</f>
        <v>Discover</v>
      </c>
      <c r="J313" s="139" t="s">
        <v>388</v>
      </c>
      <c r="K313" s="129" t="s">
        <v>110</v>
      </c>
      <c r="L313" s="129" t="s">
        <v>108</v>
      </c>
      <c r="M313" s="130" t="str" cm="1">
        <f t="array" ref="M313">IFERROR(INDEX(CategoriesTable[Category type],MATCH(Table1[[#This Row],[Category]],CategoriesTable[Category name],0),0),"")</f>
        <v>Expense</v>
      </c>
      <c r="N313" s="130" t="str" cm="1">
        <f t="array" ref="N313">IFERROR(INDEX(SubcategoriesTable[Subcategory name],MATCH(Table1[[#This Row],[Category]],SubcategoriesTable[Category name],0),0),"")</f>
        <v>Variable</v>
      </c>
      <c r="O313" s="130">
        <v>2</v>
      </c>
      <c r="P313" s="130">
        <f>MONTH(Table1[[#This Row],[Date]])</f>
        <v>12</v>
      </c>
      <c r="Q313" s="130">
        <v>2020</v>
      </c>
      <c r="R313" s="166">
        <f>IF(ISBLANK(Table1[[#This Row],[Date]]),"",Table1[[#This Row],[Date]]-WEEKDAY(Table1[[#This Row],[Date]],2)+1)</f>
        <v>44165</v>
      </c>
      <c r="S313" s="131">
        <f>IF(ISBLANK(Table1[[#This Row],[Date]]),"",DATE(Table1[[#This Row],[Date_Year]],Table1[[#This Row],[Date_Month]],1))</f>
        <v>44166</v>
      </c>
    </row>
    <row r="314" spans="2:19" ht="15.75" x14ac:dyDescent="0.25">
      <c r="B314" s="133">
        <v>44167</v>
      </c>
      <c r="C314" s="128" t="s">
        <v>389</v>
      </c>
      <c r="D314" s="128" t="s">
        <v>48</v>
      </c>
      <c r="E314" s="128" t="str" cm="1">
        <f t="array" ref="E314">IFERROR(INDEX(SubcategoriesTable[Subcategory name],MATCH(Table1[[#This Row],[Category]],SubcategoriesTable[Category name],0),0),"")</f>
        <v>Variable</v>
      </c>
      <c r="F314" s="134">
        <v>-13.35</v>
      </c>
      <c r="G314" s="167" t="str">
        <f>_xlfn.XLOOKUP(Table1[[#This Row],[Account_ID]], Accounts[ID], Accounts[Account nickname], "Unknown")</f>
        <v>Discover it chrome Card</v>
      </c>
      <c r="H314" s="137" t="str">
        <f>_xlfn.XLOOKUP(Table1[[#This Row],[Account_ID]], Accounts[ID], Accounts[Account'#], "Unknown")</f>
        <v>7328</v>
      </c>
      <c r="I314" s="168" t="str">
        <f>_xlfn.XLOOKUP(Table1[[#This Row],[Institution_ID]], Institutions[ID], Institutions[Institution nickname], "Unknown")</f>
        <v>Discover</v>
      </c>
      <c r="J314" s="139" t="s">
        <v>390</v>
      </c>
      <c r="K314" s="129" t="s">
        <v>110</v>
      </c>
      <c r="L314" s="129" t="s">
        <v>108</v>
      </c>
      <c r="M314" s="130" t="str" cm="1">
        <f t="array" ref="M314">IFERROR(INDEX(CategoriesTable[Category type],MATCH(Table1[[#This Row],[Category]],CategoriesTable[Category name],0),0),"")</f>
        <v>Expense</v>
      </c>
      <c r="N314" s="130" t="str" cm="1">
        <f t="array" ref="N314">IFERROR(INDEX(SubcategoriesTable[Subcategory name],MATCH(Table1[[#This Row],[Category]],SubcategoriesTable[Category name],0),0),"")</f>
        <v>Variable</v>
      </c>
      <c r="O314" s="130">
        <v>2</v>
      </c>
      <c r="P314" s="130">
        <f>MONTH(Table1[[#This Row],[Date]])</f>
        <v>12</v>
      </c>
      <c r="Q314" s="130">
        <v>2020</v>
      </c>
      <c r="R314" s="166">
        <f>IF(ISBLANK(Table1[[#This Row],[Date]]),"",Table1[[#This Row],[Date]]-WEEKDAY(Table1[[#This Row],[Date]],2)+1)</f>
        <v>44165</v>
      </c>
      <c r="S314" s="131">
        <f>IF(ISBLANK(Table1[[#This Row],[Date]]),"",DATE(Table1[[#This Row],[Date_Year]],Table1[[#This Row],[Date_Month]],1))</f>
        <v>44166</v>
      </c>
    </row>
    <row r="315" spans="2:19" ht="15.75" x14ac:dyDescent="0.25">
      <c r="B315" s="133">
        <v>44167</v>
      </c>
      <c r="C315" s="128" t="s">
        <v>389</v>
      </c>
      <c r="D315" s="128" t="s">
        <v>48</v>
      </c>
      <c r="E315" s="128" t="str" cm="1">
        <f t="array" ref="E315">IFERROR(INDEX(SubcategoriesTable[Subcategory name],MATCH(Table1[[#This Row],[Category]],SubcategoriesTable[Category name],0),0),"")</f>
        <v>Variable</v>
      </c>
      <c r="F315" s="134">
        <v>-29.7</v>
      </c>
      <c r="G315" s="167" t="str">
        <f>_xlfn.XLOOKUP(Table1[[#This Row],[Account_ID]], Accounts[ID], Accounts[Account nickname], "Unknown")</f>
        <v>Discover it chrome Card</v>
      </c>
      <c r="H315" s="137" t="str">
        <f>_xlfn.XLOOKUP(Table1[[#This Row],[Account_ID]], Accounts[ID], Accounts[Account'#], "Unknown")</f>
        <v>7328</v>
      </c>
      <c r="I315" s="168" t="str">
        <f>_xlfn.XLOOKUP(Table1[[#This Row],[Institution_ID]], Institutions[ID], Institutions[Institution nickname], "Unknown")</f>
        <v>Discover</v>
      </c>
      <c r="J315" s="139" t="s">
        <v>391</v>
      </c>
      <c r="K315" s="129" t="s">
        <v>110</v>
      </c>
      <c r="L315" s="129" t="s">
        <v>108</v>
      </c>
      <c r="M315" s="130" t="str" cm="1">
        <f t="array" ref="M315">IFERROR(INDEX(CategoriesTable[Category type],MATCH(Table1[[#This Row],[Category]],CategoriesTable[Category name],0),0),"")</f>
        <v>Expense</v>
      </c>
      <c r="N315" s="130" t="str" cm="1">
        <f t="array" ref="N315">IFERROR(INDEX(SubcategoriesTable[Subcategory name],MATCH(Table1[[#This Row],[Category]],SubcategoriesTable[Category name],0),0),"")</f>
        <v>Variable</v>
      </c>
      <c r="O315" s="130">
        <v>2</v>
      </c>
      <c r="P315" s="130">
        <f>MONTH(Table1[[#This Row],[Date]])</f>
        <v>12</v>
      </c>
      <c r="Q315" s="130">
        <v>2020</v>
      </c>
      <c r="R315" s="166">
        <f>IF(ISBLANK(Table1[[#This Row],[Date]]),"",Table1[[#This Row],[Date]]-WEEKDAY(Table1[[#This Row],[Date]],2)+1)</f>
        <v>44165</v>
      </c>
      <c r="S315" s="131">
        <f>IF(ISBLANK(Table1[[#This Row],[Date]]),"",DATE(Table1[[#This Row],[Date_Year]],Table1[[#This Row],[Date_Month]],1))</f>
        <v>44166</v>
      </c>
    </row>
    <row r="316" spans="2:19" ht="15.75" x14ac:dyDescent="0.25">
      <c r="B316" s="133">
        <v>44166</v>
      </c>
      <c r="C316" s="128" t="s">
        <v>371</v>
      </c>
      <c r="D316" s="128" t="s">
        <v>52</v>
      </c>
      <c r="E316" s="128" t="str" cm="1">
        <f t="array" ref="E316">IFERROR(INDEX(SubcategoriesTable[Subcategory name],MATCH(Table1[[#This Row],[Category]],SubcategoriesTable[Category name],0),0),"")</f>
        <v>Variable</v>
      </c>
      <c r="F316" s="134">
        <v>-31</v>
      </c>
      <c r="G316" s="167" t="str">
        <f>_xlfn.XLOOKUP(Table1[[#This Row],[Account_ID]], Accounts[ID], Accounts[Account nickname], "Unknown")</f>
        <v>Discover it chrome Card</v>
      </c>
      <c r="H316" s="137" t="str">
        <f>_xlfn.XLOOKUP(Table1[[#This Row],[Account_ID]], Accounts[ID], Accounts[Account'#], "Unknown")</f>
        <v>7328</v>
      </c>
      <c r="I316" s="168" t="str">
        <f>_xlfn.XLOOKUP(Table1[[#This Row],[Institution_ID]], Institutions[ID], Institutions[Institution nickname], "Unknown")</f>
        <v>Discover</v>
      </c>
      <c r="J316" s="139" t="s">
        <v>392</v>
      </c>
      <c r="K316" s="129" t="s">
        <v>110</v>
      </c>
      <c r="L316" s="129" t="s">
        <v>108</v>
      </c>
      <c r="M316" s="130" t="str" cm="1">
        <f t="array" ref="M316">IFERROR(INDEX(CategoriesTable[Category type],MATCH(Table1[[#This Row],[Category]],CategoriesTable[Category name],0),0),"")</f>
        <v>Expense</v>
      </c>
      <c r="N316" s="130" t="str" cm="1">
        <f t="array" ref="N316">IFERROR(INDEX(SubcategoriesTable[Subcategory name],MATCH(Table1[[#This Row],[Category]],SubcategoriesTable[Category name],0),0),"")</f>
        <v>Variable</v>
      </c>
      <c r="O316" s="130">
        <v>1</v>
      </c>
      <c r="P316" s="130">
        <f>MONTH(Table1[[#This Row],[Date]])</f>
        <v>12</v>
      </c>
      <c r="Q316" s="130">
        <v>2020</v>
      </c>
      <c r="R316" s="166">
        <f>IF(ISBLANK(Table1[[#This Row],[Date]]),"",Table1[[#This Row],[Date]]-WEEKDAY(Table1[[#This Row],[Date]],2)+1)</f>
        <v>44165</v>
      </c>
      <c r="S316" s="131">
        <f>IF(ISBLANK(Table1[[#This Row],[Date]]),"",DATE(Table1[[#This Row],[Date_Year]],Table1[[#This Row],[Date_Month]],1))</f>
        <v>44166</v>
      </c>
    </row>
    <row r="317" spans="2:19" ht="15.75" x14ac:dyDescent="0.25">
      <c r="B317" s="133">
        <v>44166</v>
      </c>
      <c r="C317" s="128" t="s">
        <v>152</v>
      </c>
      <c r="D317" s="128" t="s">
        <v>54</v>
      </c>
      <c r="E317" s="128" t="str" cm="1">
        <f t="array" ref="E317">IFERROR(INDEX(SubcategoriesTable[Subcategory name],MATCH(Table1[[#This Row],[Category]],SubcategoriesTable[Category name],0),0),"")</f>
        <v>Fixed</v>
      </c>
      <c r="F317" s="134">
        <v>-12.99</v>
      </c>
      <c r="G317" s="167" t="str">
        <f>_xlfn.XLOOKUP(Table1[[#This Row],[Account_ID]], Accounts[ID], Accounts[Account nickname], "Unknown")</f>
        <v>Discover it chrome Card</v>
      </c>
      <c r="H317" s="137" t="str">
        <f>_xlfn.XLOOKUP(Table1[[#This Row],[Account_ID]], Accounts[ID], Accounts[Account'#], "Unknown")</f>
        <v>7328</v>
      </c>
      <c r="I317" s="168" t="str">
        <f>_xlfn.XLOOKUP(Table1[[#This Row],[Institution_ID]], Institutions[ID], Institutions[Institution nickname], "Unknown")</f>
        <v>Discover</v>
      </c>
      <c r="J317" s="139" t="s">
        <v>393</v>
      </c>
      <c r="K317" s="129" t="s">
        <v>110</v>
      </c>
      <c r="L317" s="129" t="s">
        <v>108</v>
      </c>
      <c r="M317" s="130" t="str" cm="1">
        <f t="array" ref="M317">IFERROR(INDEX(CategoriesTable[Category type],MATCH(Table1[[#This Row],[Category]],CategoriesTable[Category name],0),0),"")</f>
        <v>Expense</v>
      </c>
      <c r="N317" s="130" t="str" cm="1">
        <f t="array" ref="N317">IFERROR(INDEX(SubcategoriesTable[Subcategory name],MATCH(Table1[[#This Row],[Category]],SubcategoriesTable[Category name],0),0),"")</f>
        <v>Fixed</v>
      </c>
      <c r="O317" s="130">
        <v>1</v>
      </c>
      <c r="P317" s="130">
        <f>MONTH(Table1[[#This Row],[Date]])</f>
        <v>12</v>
      </c>
      <c r="Q317" s="130">
        <v>2020</v>
      </c>
      <c r="R317" s="166">
        <f>IF(ISBLANK(Table1[[#This Row],[Date]]),"",Table1[[#This Row],[Date]]-WEEKDAY(Table1[[#This Row],[Date]],2)+1)</f>
        <v>44165</v>
      </c>
      <c r="S317" s="131">
        <f>IF(ISBLANK(Table1[[#This Row],[Date]]),"",DATE(Table1[[#This Row],[Date_Year]],Table1[[#This Row],[Date_Month]],1))</f>
        <v>44166</v>
      </c>
    </row>
    <row r="318" spans="2:19" ht="15.75" x14ac:dyDescent="0.25">
      <c r="B318" s="133">
        <v>44166</v>
      </c>
      <c r="C318" s="128" t="s">
        <v>148</v>
      </c>
      <c r="D318" s="128" t="s">
        <v>54</v>
      </c>
      <c r="E318" s="128" t="str" cm="1">
        <f t="array" ref="E318">IFERROR(INDEX(SubcategoriesTable[Subcategory name],MATCH(Table1[[#This Row],[Category]],SubcategoriesTable[Category name],0),0),"")</f>
        <v>Fixed</v>
      </c>
      <c r="F318" s="134">
        <v>-9.99</v>
      </c>
      <c r="G318" s="167" t="str">
        <f>_xlfn.XLOOKUP(Table1[[#This Row],[Account_ID]], Accounts[ID], Accounts[Account nickname], "Unknown")</f>
        <v>Discover it chrome Card</v>
      </c>
      <c r="H318" s="137" t="str">
        <f>_xlfn.XLOOKUP(Table1[[#This Row],[Account_ID]], Accounts[ID], Accounts[Account'#], "Unknown")</f>
        <v>7328</v>
      </c>
      <c r="I318" s="168" t="str">
        <f>_xlfn.XLOOKUP(Table1[[#This Row],[Institution_ID]], Institutions[ID], Institutions[Institution nickname], "Unknown")</f>
        <v>Discover</v>
      </c>
      <c r="J318" s="139" t="s">
        <v>394</v>
      </c>
      <c r="K318" s="129" t="s">
        <v>110</v>
      </c>
      <c r="L318" s="129" t="s">
        <v>108</v>
      </c>
      <c r="M318" s="130" t="str" cm="1">
        <f t="array" ref="M318">IFERROR(INDEX(CategoriesTable[Category type],MATCH(Table1[[#This Row],[Category]],CategoriesTable[Category name],0),0),"")</f>
        <v>Expense</v>
      </c>
      <c r="N318" s="130" t="str" cm="1">
        <f t="array" ref="N318">IFERROR(INDEX(SubcategoriesTable[Subcategory name],MATCH(Table1[[#This Row],[Category]],SubcategoriesTable[Category name],0),0),"")</f>
        <v>Fixed</v>
      </c>
      <c r="O318" s="130">
        <v>1</v>
      </c>
      <c r="P318" s="130">
        <f>MONTH(Table1[[#This Row],[Date]])</f>
        <v>12</v>
      </c>
      <c r="Q318" s="130">
        <v>2020</v>
      </c>
      <c r="R318" s="166">
        <f>IF(ISBLANK(Table1[[#This Row],[Date]]),"",Table1[[#This Row],[Date]]-WEEKDAY(Table1[[#This Row],[Date]],2)+1)</f>
        <v>44165</v>
      </c>
      <c r="S318" s="131">
        <f>IF(ISBLANK(Table1[[#This Row],[Date]]),"",DATE(Table1[[#This Row],[Date_Year]],Table1[[#This Row],[Date_Month]],1))</f>
        <v>44166</v>
      </c>
    </row>
    <row r="319" spans="2:19" ht="15.75" x14ac:dyDescent="0.25">
      <c r="B319" s="133">
        <v>44166</v>
      </c>
      <c r="C319" s="128" t="s">
        <v>395</v>
      </c>
      <c r="D319" s="128" t="s">
        <v>45</v>
      </c>
      <c r="E319" s="128" t="str" cm="1">
        <f t="array" ref="E319">IFERROR(INDEX(SubcategoriesTable[Subcategory name],MATCH(Table1[[#This Row],[Category]],SubcategoriesTable[Category name],0),0),"")</f>
        <v>Variable</v>
      </c>
      <c r="F319" s="134">
        <v>-6.19</v>
      </c>
      <c r="G319" s="167" t="str">
        <f>_xlfn.XLOOKUP(Table1[[#This Row],[Account_ID]], Accounts[ID], Accounts[Account nickname], "Unknown")</f>
        <v>Discover it chrome Card</v>
      </c>
      <c r="H319" s="137" t="str">
        <f>_xlfn.XLOOKUP(Table1[[#This Row],[Account_ID]], Accounts[ID], Accounts[Account'#], "Unknown")</f>
        <v>7328</v>
      </c>
      <c r="I319" s="168" t="str">
        <f>_xlfn.XLOOKUP(Table1[[#This Row],[Institution_ID]], Institutions[ID], Institutions[Institution nickname], "Unknown")</f>
        <v>Discover</v>
      </c>
      <c r="J319" s="139" t="s">
        <v>396</v>
      </c>
      <c r="K319" s="129" t="s">
        <v>110</v>
      </c>
      <c r="L319" s="129" t="s">
        <v>108</v>
      </c>
      <c r="M319" s="130" t="str" cm="1">
        <f t="array" ref="M319">IFERROR(INDEX(CategoriesTable[Category type],MATCH(Table1[[#This Row],[Category]],CategoriesTable[Category name],0),0),"")</f>
        <v>Expense</v>
      </c>
      <c r="N319" s="130" t="str" cm="1">
        <f t="array" ref="N319">IFERROR(INDEX(SubcategoriesTable[Subcategory name],MATCH(Table1[[#This Row],[Category]],SubcategoriesTable[Category name],0),0),"")</f>
        <v>Variable</v>
      </c>
      <c r="O319" s="130">
        <v>1</v>
      </c>
      <c r="P319" s="130">
        <f>MONTH(Table1[[#This Row],[Date]])</f>
        <v>12</v>
      </c>
      <c r="Q319" s="130">
        <v>2020</v>
      </c>
      <c r="R319" s="166">
        <f>IF(ISBLANK(Table1[[#This Row],[Date]]),"",Table1[[#This Row],[Date]]-WEEKDAY(Table1[[#This Row],[Date]],2)+1)</f>
        <v>44165</v>
      </c>
      <c r="S319" s="131">
        <f>IF(ISBLANK(Table1[[#This Row],[Date]]),"",DATE(Table1[[#This Row],[Date_Year]],Table1[[#This Row],[Date_Month]],1))</f>
        <v>44166</v>
      </c>
    </row>
    <row r="320" spans="2:19" ht="15.75" x14ac:dyDescent="0.25">
      <c r="B320" s="133">
        <v>44164</v>
      </c>
      <c r="C320" s="128" t="s">
        <v>195</v>
      </c>
      <c r="D320" s="128" t="s">
        <v>48</v>
      </c>
      <c r="E320" s="128" t="str" cm="1">
        <f t="array" ref="E320">IFERROR(INDEX(SubcategoriesTable[Subcategory name],MATCH(Table1[[#This Row],[Category]],SubcategoriesTable[Category name],0),0),"")</f>
        <v>Variable</v>
      </c>
      <c r="F320" s="134">
        <v>-9.41</v>
      </c>
      <c r="G320" s="167" t="str">
        <f>_xlfn.XLOOKUP(Table1[[#This Row],[Account_ID]], Accounts[ID], Accounts[Account nickname], "Unknown")</f>
        <v>Discover it chrome Card</v>
      </c>
      <c r="H320" s="137" t="str">
        <f>_xlfn.XLOOKUP(Table1[[#This Row],[Account_ID]], Accounts[ID], Accounts[Account'#], "Unknown")</f>
        <v>7328</v>
      </c>
      <c r="I320" s="168" t="str">
        <f>_xlfn.XLOOKUP(Table1[[#This Row],[Institution_ID]], Institutions[ID], Institutions[Institution nickname], "Unknown")</f>
        <v>Discover</v>
      </c>
      <c r="J320" s="139" t="s">
        <v>397</v>
      </c>
      <c r="K320" s="129" t="s">
        <v>110</v>
      </c>
      <c r="L320" s="129" t="s">
        <v>108</v>
      </c>
      <c r="M320" s="130" t="str" cm="1">
        <f t="array" ref="M320">IFERROR(INDEX(CategoriesTable[Category type],MATCH(Table1[[#This Row],[Category]],CategoriesTable[Category name],0),0),"")</f>
        <v>Expense</v>
      </c>
      <c r="N320" s="130" t="str" cm="1">
        <f t="array" ref="N320">IFERROR(INDEX(SubcategoriesTable[Subcategory name],MATCH(Table1[[#This Row],[Category]],SubcategoriesTable[Category name],0),0),"")</f>
        <v>Variable</v>
      </c>
      <c r="O320" s="130">
        <v>29</v>
      </c>
      <c r="P320" s="130">
        <f>MONTH(Table1[[#This Row],[Date]])</f>
        <v>11</v>
      </c>
      <c r="Q320" s="130">
        <v>2020</v>
      </c>
      <c r="R320" s="166">
        <f>IF(ISBLANK(Table1[[#This Row],[Date]]),"",Table1[[#This Row],[Date]]-WEEKDAY(Table1[[#This Row],[Date]],2)+1)</f>
        <v>44158</v>
      </c>
      <c r="S320" s="131">
        <f>IF(ISBLANK(Table1[[#This Row],[Date]]),"",DATE(Table1[[#This Row],[Date_Year]],Table1[[#This Row],[Date_Month]],1))</f>
        <v>44136</v>
      </c>
    </row>
    <row r="321" spans="2:19" ht="15.75" x14ac:dyDescent="0.25">
      <c r="B321" s="133">
        <v>44164</v>
      </c>
      <c r="C321" s="128" t="s">
        <v>336</v>
      </c>
      <c r="D321" s="128" t="s">
        <v>52</v>
      </c>
      <c r="E321" s="128" t="str" cm="1">
        <f t="array" ref="E321">IFERROR(INDEX(SubcategoriesTable[Subcategory name],MATCH(Table1[[#This Row],[Category]],SubcategoriesTable[Category name],0),0),"")</f>
        <v>Variable</v>
      </c>
      <c r="F321" s="134">
        <v>-3</v>
      </c>
      <c r="G321" s="167" t="str">
        <f>_xlfn.XLOOKUP(Table1[[#This Row],[Account_ID]], Accounts[ID], Accounts[Account nickname], "Unknown")</f>
        <v>Discover it chrome Card</v>
      </c>
      <c r="H321" s="137" t="str">
        <f>_xlfn.XLOOKUP(Table1[[#This Row],[Account_ID]], Accounts[ID], Accounts[Account'#], "Unknown")</f>
        <v>7328</v>
      </c>
      <c r="I321" s="168" t="str">
        <f>_xlfn.XLOOKUP(Table1[[#This Row],[Institution_ID]], Institutions[ID], Institutions[Institution nickname], "Unknown")</f>
        <v>Discover</v>
      </c>
      <c r="J321" s="139" t="s">
        <v>398</v>
      </c>
      <c r="K321" s="129" t="s">
        <v>110</v>
      </c>
      <c r="L321" s="129" t="s">
        <v>108</v>
      </c>
      <c r="M321" s="130" t="str" cm="1">
        <f t="array" ref="M321">IFERROR(INDEX(CategoriesTable[Category type],MATCH(Table1[[#This Row],[Category]],CategoriesTable[Category name],0),0),"")</f>
        <v>Expense</v>
      </c>
      <c r="N321" s="130" t="str" cm="1">
        <f t="array" ref="N321">IFERROR(INDEX(SubcategoriesTable[Subcategory name],MATCH(Table1[[#This Row],[Category]],SubcategoriesTable[Category name],0),0),"")</f>
        <v>Variable</v>
      </c>
      <c r="O321" s="130">
        <v>29</v>
      </c>
      <c r="P321" s="130">
        <f>MONTH(Table1[[#This Row],[Date]])</f>
        <v>11</v>
      </c>
      <c r="Q321" s="130">
        <v>2020</v>
      </c>
      <c r="R321" s="166">
        <f>IF(ISBLANK(Table1[[#This Row],[Date]]),"",Table1[[#This Row],[Date]]-WEEKDAY(Table1[[#This Row],[Date]],2)+1)</f>
        <v>44158</v>
      </c>
      <c r="S321" s="131">
        <f>IF(ISBLANK(Table1[[#This Row],[Date]]),"",DATE(Table1[[#This Row],[Date_Year]],Table1[[#This Row],[Date_Month]],1))</f>
        <v>44136</v>
      </c>
    </row>
    <row r="322" spans="2:19" ht="15.75" x14ac:dyDescent="0.25">
      <c r="B322" s="133">
        <v>44164</v>
      </c>
      <c r="C322" s="128" t="s">
        <v>336</v>
      </c>
      <c r="D322" s="128" t="s">
        <v>52</v>
      </c>
      <c r="E322" s="128" t="str" cm="1">
        <f t="array" ref="E322">IFERROR(INDEX(SubcategoriesTable[Subcategory name],MATCH(Table1[[#This Row],[Category]],SubcategoriesTable[Category name],0),0),"")</f>
        <v>Variable</v>
      </c>
      <c r="F322" s="134">
        <v>-5</v>
      </c>
      <c r="G322" s="167" t="str">
        <f>_xlfn.XLOOKUP(Table1[[#This Row],[Account_ID]], Accounts[ID], Accounts[Account nickname], "Unknown")</f>
        <v>Discover it chrome Card</v>
      </c>
      <c r="H322" s="137" t="str">
        <f>_xlfn.XLOOKUP(Table1[[#This Row],[Account_ID]], Accounts[ID], Accounts[Account'#], "Unknown")</f>
        <v>7328</v>
      </c>
      <c r="I322" s="168" t="str">
        <f>_xlfn.XLOOKUP(Table1[[#This Row],[Institution_ID]], Institutions[ID], Institutions[Institution nickname], "Unknown")</f>
        <v>Discover</v>
      </c>
      <c r="J322" s="139" t="s">
        <v>399</v>
      </c>
      <c r="K322" s="129" t="s">
        <v>110</v>
      </c>
      <c r="L322" s="129" t="s">
        <v>108</v>
      </c>
      <c r="M322" s="130" t="str" cm="1">
        <f t="array" ref="M322">IFERROR(INDEX(CategoriesTable[Category type],MATCH(Table1[[#This Row],[Category]],CategoriesTable[Category name],0),0),"")</f>
        <v>Expense</v>
      </c>
      <c r="N322" s="130" t="str" cm="1">
        <f t="array" ref="N322">IFERROR(INDEX(SubcategoriesTable[Subcategory name],MATCH(Table1[[#This Row],[Category]],SubcategoriesTable[Category name],0),0),"")</f>
        <v>Variable</v>
      </c>
      <c r="O322" s="130">
        <v>29</v>
      </c>
      <c r="P322" s="130">
        <f>MONTH(Table1[[#This Row],[Date]])</f>
        <v>11</v>
      </c>
      <c r="Q322" s="130">
        <v>2020</v>
      </c>
      <c r="R322" s="166">
        <f>IF(ISBLANK(Table1[[#This Row],[Date]]),"",Table1[[#This Row],[Date]]-WEEKDAY(Table1[[#This Row],[Date]],2)+1)</f>
        <v>44158</v>
      </c>
      <c r="S322" s="131">
        <f>IF(ISBLANK(Table1[[#This Row],[Date]]),"",DATE(Table1[[#This Row],[Date_Year]],Table1[[#This Row],[Date_Month]],1))</f>
        <v>44136</v>
      </c>
    </row>
    <row r="323" spans="2:19" ht="15.75" x14ac:dyDescent="0.25">
      <c r="B323" s="133">
        <v>44164</v>
      </c>
      <c r="C323" s="128" t="s">
        <v>336</v>
      </c>
      <c r="D323" s="128" t="s">
        <v>52</v>
      </c>
      <c r="E323" s="128" t="str" cm="1">
        <f t="array" ref="E323">IFERROR(INDEX(SubcategoriesTable[Subcategory name],MATCH(Table1[[#This Row],[Category]],SubcategoriesTable[Category name],0),0),"")</f>
        <v>Variable</v>
      </c>
      <c r="F323" s="134">
        <v>-13.86</v>
      </c>
      <c r="G323" s="167" t="str">
        <f>_xlfn.XLOOKUP(Table1[[#This Row],[Account_ID]], Accounts[ID], Accounts[Account nickname], "Unknown")</f>
        <v>Discover it chrome Card</v>
      </c>
      <c r="H323" s="137" t="str">
        <f>_xlfn.XLOOKUP(Table1[[#This Row],[Account_ID]], Accounts[ID], Accounts[Account'#], "Unknown")</f>
        <v>7328</v>
      </c>
      <c r="I323" s="168" t="str">
        <f>_xlfn.XLOOKUP(Table1[[#This Row],[Institution_ID]], Institutions[ID], Institutions[Institution nickname], "Unknown")</f>
        <v>Discover</v>
      </c>
      <c r="J323" s="139" t="s">
        <v>400</v>
      </c>
      <c r="K323" s="129" t="s">
        <v>110</v>
      </c>
      <c r="L323" s="129" t="s">
        <v>108</v>
      </c>
      <c r="M323" s="130" t="str" cm="1">
        <f t="array" ref="M323">IFERROR(INDEX(CategoriesTable[Category type],MATCH(Table1[[#This Row],[Category]],CategoriesTable[Category name],0),0),"")</f>
        <v>Expense</v>
      </c>
      <c r="N323" s="130" t="str" cm="1">
        <f t="array" ref="N323">IFERROR(INDEX(SubcategoriesTable[Subcategory name],MATCH(Table1[[#This Row],[Category]],SubcategoriesTable[Category name],0),0),"")</f>
        <v>Variable</v>
      </c>
      <c r="O323" s="130">
        <v>29</v>
      </c>
      <c r="P323" s="130">
        <f>MONTH(Table1[[#This Row],[Date]])</f>
        <v>11</v>
      </c>
      <c r="Q323" s="130">
        <v>2020</v>
      </c>
      <c r="R323" s="166">
        <f>IF(ISBLANK(Table1[[#This Row],[Date]]),"",Table1[[#This Row],[Date]]-WEEKDAY(Table1[[#This Row],[Date]],2)+1)</f>
        <v>44158</v>
      </c>
      <c r="S323" s="131">
        <f>IF(ISBLANK(Table1[[#This Row],[Date]]),"",DATE(Table1[[#This Row],[Date_Year]],Table1[[#This Row],[Date_Month]],1))</f>
        <v>44136</v>
      </c>
    </row>
    <row r="324" spans="2:19" ht="15.75" x14ac:dyDescent="0.25">
      <c r="B324" s="133">
        <v>44164</v>
      </c>
      <c r="C324" s="128" t="s">
        <v>336</v>
      </c>
      <c r="D324" s="128" t="s">
        <v>52</v>
      </c>
      <c r="E324" s="128" t="str" cm="1">
        <f t="array" ref="E324">IFERROR(INDEX(SubcategoriesTable[Subcategory name],MATCH(Table1[[#This Row],[Category]],SubcategoriesTable[Category name],0),0),"")</f>
        <v>Variable</v>
      </c>
      <c r="F324" s="134">
        <v>-13.98</v>
      </c>
      <c r="G324" s="167" t="str">
        <f>_xlfn.XLOOKUP(Table1[[#This Row],[Account_ID]], Accounts[ID], Accounts[Account nickname], "Unknown")</f>
        <v>Discover it chrome Card</v>
      </c>
      <c r="H324" s="137" t="str">
        <f>_xlfn.XLOOKUP(Table1[[#This Row],[Account_ID]], Accounts[ID], Accounts[Account'#], "Unknown")</f>
        <v>7328</v>
      </c>
      <c r="I324" s="168" t="str">
        <f>_xlfn.XLOOKUP(Table1[[#This Row],[Institution_ID]], Institutions[ID], Institutions[Institution nickname], "Unknown")</f>
        <v>Discover</v>
      </c>
      <c r="J324" s="139" t="s">
        <v>401</v>
      </c>
      <c r="K324" s="129" t="s">
        <v>110</v>
      </c>
      <c r="L324" s="129" t="s">
        <v>108</v>
      </c>
      <c r="M324" s="130" t="str" cm="1">
        <f t="array" ref="M324">IFERROR(INDEX(CategoriesTable[Category type],MATCH(Table1[[#This Row],[Category]],CategoriesTable[Category name],0),0),"")</f>
        <v>Expense</v>
      </c>
      <c r="N324" s="130" t="str" cm="1">
        <f t="array" ref="N324">IFERROR(INDEX(SubcategoriesTable[Subcategory name],MATCH(Table1[[#This Row],[Category]],SubcategoriesTable[Category name],0),0),"")</f>
        <v>Variable</v>
      </c>
      <c r="O324" s="130">
        <v>29</v>
      </c>
      <c r="P324" s="130">
        <f>MONTH(Table1[[#This Row],[Date]])</f>
        <v>11</v>
      </c>
      <c r="Q324" s="130">
        <v>2020</v>
      </c>
      <c r="R324" s="166">
        <f>IF(ISBLANK(Table1[[#This Row],[Date]]),"",Table1[[#This Row],[Date]]-WEEKDAY(Table1[[#This Row],[Date]],2)+1)</f>
        <v>44158</v>
      </c>
      <c r="S324" s="131">
        <f>IF(ISBLANK(Table1[[#This Row],[Date]]),"",DATE(Table1[[#This Row],[Date_Year]],Table1[[#This Row],[Date_Month]],1))</f>
        <v>44136</v>
      </c>
    </row>
    <row r="325" spans="2:19" ht="15.75" x14ac:dyDescent="0.25">
      <c r="B325" s="133">
        <v>44163</v>
      </c>
      <c r="C325" s="128" t="s">
        <v>154</v>
      </c>
      <c r="D325" s="128" t="s">
        <v>51</v>
      </c>
      <c r="E325" s="128" t="str" cm="1">
        <f t="array" ref="E325">IFERROR(INDEX(SubcategoriesTable[Subcategory name],MATCH(Table1[[#This Row],[Category]],SubcategoriesTable[Category name],0),0),"")</f>
        <v>Variable</v>
      </c>
      <c r="F325" s="134">
        <v>-9.9499999999999993</v>
      </c>
      <c r="G325" s="167" t="str">
        <f>_xlfn.XLOOKUP(Table1[[#This Row],[Account_ID]], Accounts[ID], Accounts[Account nickname], "Unknown")</f>
        <v>Discover it chrome Card</v>
      </c>
      <c r="H325" s="137" t="str">
        <f>_xlfn.XLOOKUP(Table1[[#This Row],[Account_ID]], Accounts[ID], Accounts[Account'#], "Unknown")</f>
        <v>7328</v>
      </c>
      <c r="I325" s="168" t="str">
        <f>_xlfn.XLOOKUP(Table1[[#This Row],[Institution_ID]], Institutions[ID], Institutions[Institution nickname], "Unknown")</f>
        <v>Discover</v>
      </c>
      <c r="J325" s="139" t="s">
        <v>402</v>
      </c>
      <c r="K325" s="129" t="s">
        <v>110</v>
      </c>
      <c r="L325" s="129" t="s">
        <v>108</v>
      </c>
      <c r="M325" s="130" t="str" cm="1">
        <f t="array" ref="M325">IFERROR(INDEX(CategoriesTable[Category type],MATCH(Table1[[#This Row],[Category]],CategoriesTable[Category name],0),0),"")</f>
        <v>Expense</v>
      </c>
      <c r="N325" s="130" t="str" cm="1">
        <f t="array" ref="N325">IFERROR(INDEX(SubcategoriesTable[Subcategory name],MATCH(Table1[[#This Row],[Category]],SubcategoriesTable[Category name],0),0),"")</f>
        <v>Variable</v>
      </c>
      <c r="O325" s="130">
        <v>28</v>
      </c>
      <c r="P325" s="130">
        <f>MONTH(Table1[[#This Row],[Date]])</f>
        <v>11</v>
      </c>
      <c r="Q325" s="130">
        <v>2020</v>
      </c>
      <c r="R325" s="166">
        <f>IF(ISBLANK(Table1[[#This Row],[Date]]),"",Table1[[#This Row],[Date]]-WEEKDAY(Table1[[#This Row],[Date]],2)+1)</f>
        <v>44158</v>
      </c>
      <c r="S325" s="131">
        <f>IF(ISBLANK(Table1[[#This Row],[Date]]),"",DATE(Table1[[#This Row],[Date_Year]],Table1[[#This Row],[Date_Month]],1))</f>
        <v>44136</v>
      </c>
    </row>
    <row r="326" spans="2:19" ht="15.75" x14ac:dyDescent="0.25">
      <c r="B326" s="133">
        <v>44163</v>
      </c>
      <c r="C326" s="128" t="s">
        <v>256</v>
      </c>
      <c r="D326" s="128" t="s">
        <v>46</v>
      </c>
      <c r="E326" s="128" t="str" cm="1">
        <f t="array" ref="E326">IFERROR(INDEX(SubcategoriesTable[Subcategory name],MATCH(Table1[[#This Row],[Category]],SubcategoriesTable[Category name],0),0),"")</f>
        <v>Variable</v>
      </c>
      <c r="F326" s="134">
        <v>-63.55</v>
      </c>
      <c r="G326" s="167" t="str">
        <f>_xlfn.XLOOKUP(Table1[[#This Row],[Account_ID]], Accounts[ID], Accounts[Account nickname], "Unknown")</f>
        <v>Discover it chrome Card</v>
      </c>
      <c r="H326" s="137" t="str">
        <f>_xlfn.XLOOKUP(Table1[[#This Row],[Account_ID]], Accounts[ID], Accounts[Account'#], "Unknown")</f>
        <v>7328</v>
      </c>
      <c r="I326" s="168" t="str">
        <f>_xlfn.XLOOKUP(Table1[[#This Row],[Institution_ID]], Institutions[ID], Institutions[Institution nickname], "Unknown")</f>
        <v>Discover</v>
      </c>
      <c r="J326" s="139" t="s">
        <v>403</v>
      </c>
      <c r="K326" s="129" t="s">
        <v>110</v>
      </c>
      <c r="L326" s="129" t="s">
        <v>108</v>
      </c>
      <c r="M326" s="130" t="str" cm="1">
        <f t="array" ref="M326">IFERROR(INDEX(CategoriesTable[Category type],MATCH(Table1[[#This Row],[Category]],CategoriesTable[Category name],0),0),"")</f>
        <v>Expense</v>
      </c>
      <c r="N326" s="130" t="str" cm="1">
        <f t="array" ref="N326">IFERROR(INDEX(SubcategoriesTable[Subcategory name],MATCH(Table1[[#This Row],[Category]],SubcategoriesTable[Category name],0),0),"")</f>
        <v>Variable</v>
      </c>
      <c r="O326" s="130">
        <v>28</v>
      </c>
      <c r="P326" s="130">
        <f>MONTH(Table1[[#This Row],[Date]])</f>
        <v>11</v>
      </c>
      <c r="Q326" s="130">
        <v>2020</v>
      </c>
      <c r="R326" s="166">
        <f>IF(ISBLANK(Table1[[#This Row],[Date]]),"",Table1[[#This Row],[Date]]-WEEKDAY(Table1[[#This Row],[Date]],2)+1)</f>
        <v>44158</v>
      </c>
      <c r="S326" s="131">
        <f>IF(ISBLANK(Table1[[#This Row],[Date]]),"",DATE(Table1[[#This Row],[Date_Year]],Table1[[#This Row],[Date_Month]],1))</f>
        <v>44136</v>
      </c>
    </row>
    <row r="327" spans="2:19" ht="15.75" x14ac:dyDescent="0.25">
      <c r="B327" s="133">
        <v>44163</v>
      </c>
      <c r="C327" s="128" t="s">
        <v>404</v>
      </c>
      <c r="D327" s="128" t="s">
        <v>55</v>
      </c>
      <c r="E327" s="128" t="str" cm="1">
        <f t="array" ref="E327">IFERROR(INDEX(SubcategoriesTable[Subcategory name],MATCH(Table1[[#This Row],[Category]],SubcategoriesTable[Category name],0),0),"")</f>
        <v>Variable</v>
      </c>
      <c r="F327" s="134">
        <v>-22.2</v>
      </c>
      <c r="G327" s="167" t="str">
        <f>_xlfn.XLOOKUP(Table1[[#This Row],[Account_ID]], Accounts[ID], Accounts[Account nickname], "Unknown")</f>
        <v>Discover it chrome Card</v>
      </c>
      <c r="H327" s="137" t="str">
        <f>_xlfn.XLOOKUP(Table1[[#This Row],[Account_ID]], Accounts[ID], Accounts[Account'#], "Unknown")</f>
        <v>7328</v>
      </c>
      <c r="I327" s="168" t="str">
        <f>_xlfn.XLOOKUP(Table1[[#This Row],[Institution_ID]], Institutions[ID], Institutions[Institution nickname], "Unknown")</f>
        <v>Discover</v>
      </c>
      <c r="J327" s="139" t="s">
        <v>405</v>
      </c>
      <c r="K327" s="129" t="s">
        <v>110</v>
      </c>
      <c r="L327" s="129" t="s">
        <v>108</v>
      </c>
      <c r="M327" s="130" t="str" cm="1">
        <f t="array" ref="M327">IFERROR(INDEX(CategoriesTable[Category type],MATCH(Table1[[#This Row],[Category]],CategoriesTable[Category name],0),0),"")</f>
        <v>Expense</v>
      </c>
      <c r="N327" s="130" t="str" cm="1">
        <f t="array" ref="N327">IFERROR(INDEX(SubcategoriesTable[Subcategory name],MATCH(Table1[[#This Row],[Category]],SubcategoriesTable[Category name],0),0),"")</f>
        <v>Variable</v>
      </c>
      <c r="O327" s="130">
        <v>28</v>
      </c>
      <c r="P327" s="130">
        <f>MONTH(Table1[[#This Row],[Date]])</f>
        <v>11</v>
      </c>
      <c r="Q327" s="130">
        <v>2020</v>
      </c>
      <c r="R327" s="166">
        <f>IF(ISBLANK(Table1[[#This Row],[Date]]),"",Table1[[#This Row],[Date]]-WEEKDAY(Table1[[#This Row],[Date]],2)+1)</f>
        <v>44158</v>
      </c>
      <c r="S327" s="131">
        <f>IF(ISBLANK(Table1[[#This Row],[Date]]),"",DATE(Table1[[#This Row],[Date_Year]],Table1[[#This Row],[Date_Month]],1))</f>
        <v>44136</v>
      </c>
    </row>
    <row r="328" spans="2:19" ht="15.75" x14ac:dyDescent="0.25">
      <c r="B328" s="133">
        <v>44161</v>
      </c>
      <c r="C328" s="128" t="s">
        <v>195</v>
      </c>
      <c r="D328" s="128" t="s">
        <v>48</v>
      </c>
      <c r="E328" s="128" t="str" cm="1">
        <f t="array" ref="E328">IFERROR(INDEX(SubcategoriesTable[Subcategory name],MATCH(Table1[[#This Row],[Category]],SubcategoriesTable[Category name],0),0),"")</f>
        <v>Variable</v>
      </c>
      <c r="F328" s="134">
        <v>-16.559999999999999</v>
      </c>
      <c r="G328" s="167" t="str">
        <f>_xlfn.XLOOKUP(Table1[[#This Row],[Account_ID]], Accounts[ID], Accounts[Account nickname], "Unknown")</f>
        <v>Discover it chrome Card</v>
      </c>
      <c r="H328" s="137" t="str">
        <f>_xlfn.XLOOKUP(Table1[[#This Row],[Account_ID]], Accounts[ID], Accounts[Account'#], "Unknown")</f>
        <v>7328</v>
      </c>
      <c r="I328" s="168" t="str">
        <f>_xlfn.XLOOKUP(Table1[[#This Row],[Institution_ID]], Institutions[ID], Institutions[Institution nickname], "Unknown")</f>
        <v>Discover</v>
      </c>
      <c r="J328" s="139" t="s">
        <v>406</v>
      </c>
      <c r="K328" s="129" t="s">
        <v>110</v>
      </c>
      <c r="L328" s="129" t="s">
        <v>108</v>
      </c>
      <c r="M328" s="130" t="str" cm="1">
        <f t="array" ref="M328">IFERROR(INDEX(CategoriesTable[Category type],MATCH(Table1[[#This Row],[Category]],CategoriesTable[Category name],0),0),"")</f>
        <v>Expense</v>
      </c>
      <c r="N328" s="130" t="str" cm="1">
        <f t="array" ref="N328">IFERROR(INDEX(SubcategoriesTable[Subcategory name],MATCH(Table1[[#This Row],[Category]],SubcategoriesTable[Category name],0),0),"")</f>
        <v>Variable</v>
      </c>
      <c r="O328" s="130">
        <v>26</v>
      </c>
      <c r="P328" s="130">
        <f>MONTH(Table1[[#This Row],[Date]])</f>
        <v>11</v>
      </c>
      <c r="Q328" s="130">
        <v>2020</v>
      </c>
      <c r="R328" s="166">
        <f>IF(ISBLANK(Table1[[#This Row],[Date]]),"",Table1[[#This Row],[Date]]-WEEKDAY(Table1[[#This Row],[Date]],2)+1)</f>
        <v>44158</v>
      </c>
      <c r="S328" s="131">
        <f>IF(ISBLANK(Table1[[#This Row],[Date]]),"",DATE(Table1[[#This Row],[Date_Year]],Table1[[#This Row],[Date_Month]],1))</f>
        <v>44136</v>
      </c>
    </row>
    <row r="329" spans="2:19" ht="15.75" x14ac:dyDescent="0.25">
      <c r="B329" s="133">
        <v>44160</v>
      </c>
      <c r="C329" s="128" t="s">
        <v>195</v>
      </c>
      <c r="D329" s="128" t="s">
        <v>48</v>
      </c>
      <c r="E329" s="128" t="str" cm="1">
        <f t="array" ref="E329">IFERROR(INDEX(SubcategoriesTable[Subcategory name],MATCH(Table1[[#This Row],[Category]],SubcategoriesTable[Category name],0),0),"")</f>
        <v>Variable</v>
      </c>
      <c r="F329" s="134">
        <v>-3.16</v>
      </c>
      <c r="G329" s="167" t="str">
        <f>_xlfn.XLOOKUP(Table1[[#This Row],[Account_ID]], Accounts[ID], Accounts[Account nickname], "Unknown")</f>
        <v>Discover it chrome Card</v>
      </c>
      <c r="H329" s="137" t="str">
        <f>_xlfn.XLOOKUP(Table1[[#This Row],[Account_ID]], Accounts[ID], Accounts[Account'#], "Unknown")</f>
        <v>7328</v>
      </c>
      <c r="I329" s="168" t="str">
        <f>_xlfn.XLOOKUP(Table1[[#This Row],[Institution_ID]], Institutions[ID], Institutions[Institution nickname], "Unknown")</f>
        <v>Discover</v>
      </c>
      <c r="J329" s="139" t="s">
        <v>407</v>
      </c>
      <c r="K329" s="129" t="s">
        <v>110</v>
      </c>
      <c r="L329" s="129" t="s">
        <v>108</v>
      </c>
      <c r="M329" s="130" t="str" cm="1">
        <f t="array" ref="M329">IFERROR(INDEX(CategoriesTable[Category type],MATCH(Table1[[#This Row],[Category]],CategoriesTable[Category name],0),0),"")</f>
        <v>Expense</v>
      </c>
      <c r="N329" s="130" t="str" cm="1">
        <f t="array" ref="N329">IFERROR(INDEX(SubcategoriesTable[Subcategory name],MATCH(Table1[[#This Row],[Category]],SubcategoriesTable[Category name],0),0),"")</f>
        <v>Variable</v>
      </c>
      <c r="O329" s="130">
        <v>25</v>
      </c>
      <c r="P329" s="130">
        <f>MONTH(Table1[[#This Row],[Date]])</f>
        <v>11</v>
      </c>
      <c r="Q329" s="130">
        <v>2020</v>
      </c>
      <c r="R329" s="166">
        <f>IF(ISBLANK(Table1[[#This Row],[Date]]),"",Table1[[#This Row],[Date]]-WEEKDAY(Table1[[#This Row],[Date]],2)+1)</f>
        <v>44158</v>
      </c>
      <c r="S329" s="131">
        <f>IF(ISBLANK(Table1[[#This Row],[Date]]),"",DATE(Table1[[#This Row],[Date_Year]],Table1[[#This Row],[Date_Month]],1))</f>
        <v>44136</v>
      </c>
    </row>
    <row r="330" spans="2:19" ht="15.75" x14ac:dyDescent="0.25">
      <c r="B330" s="133">
        <v>44160</v>
      </c>
      <c r="C330" s="128" t="s">
        <v>195</v>
      </c>
      <c r="D330" s="128" t="s">
        <v>48</v>
      </c>
      <c r="E330" s="128" t="str" cm="1">
        <f t="array" ref="E330">IFERROR(INDEX(SubcategoriesTable[Subcategory name],MATCH(Table1[[#This Row],[Category]],SubcategoriesTable[Category name],0),0),"")</f>
        <v>Variable</v>
      </c>
      <c r="F330" s="134">
        <v>-43.99</v>
      </c>
      <c r="G330" s="167" t="str">
        <f>_xlfn.XLOOKUP(Table1[[#This Row],[Account_ID]], Accounts[ID], Accounts[Account nickname], "Unknown")</f>
        <v>Discover it chrome Card</v>
      </c>
      <c r="H330" s="137" t="str">
        <f>_xlfn.XLOOKUP(Table1[[#This Row],[Account_ID]], Accounts[ID], Accounts[Account'#], "Unknown")</f>
        <v>7328</v>
      </c>
      <c r="I330" s="168" t="str">
        <f>_xlfn.XLOOKUP(Table1[[#This Row],[Institution_ID]], Institutions[ID], Institutions[Institution nickname], "Unknown")</f>
        <v>Discover</v>
      </c>
      <c r="J330" s="139" t="s">
        <v>408</v>
      </c>
      <c r="K330" s="129" t="s">
        <v>110</v>
      </c>
      <c r="L330" s="129" t="s">
        <v>108</v>
      </c>
      <c r="M330" s="130" t="str" cm="1">
        <f t="array" ref="M330">IFERROR(INDEX(CategoriesTable[Category type],MATCH(Table1[[#This Row],[Category]],CategoriesTable[Category name],0),0),"")</f>
        <v>Expense</v>
      </c>
      <c r="N330" s="130" t="str" cm="1">
        <f t="array" ref="N330">IFERROR(INDEX(SubcategoriesTable[Subcategory name],MATCH(Table1[[#This Row],[Category]],SubcategoriesTable[Category name],0),0),"")</f>
        <v>Variable</v>
      </c>
      <c r="O330" s="130">
        <v>25</v>
      </c>
      <c r="P330" s="130">
        <f>MONTH(Table1[[#This Row],[Date]])</f>
        <v>11</v>
      </c>
      <c r="Q330" s="130">
        <v>2020</v>
      </c>
      <c r="R330" s="166">
        <f>IF(ISBLANK(Table1[[#This Row],[Date]]),"",Table1[[#This Row],[Date]]-WEEKDAY(Table1[[#This Row],[Date]],2)+1)</f>
        <v>44158</v>
      </c>
      <c r="S330" s="131">
        <f>IF(ISBLANK(Table1[[#This Row],[Date]]),"",DATE(Table1[[#This Row],[Date_Year]],Table1[[#This Row],[Date_Month]],1))</f>
        <v>44136</v>
      </c>
    </row>
    <row r="331" spans="2:19" ht="15.75" x14ac:dyDescent="0.25">
      <c r="B331" s="133">
        <v>44159</v>
      </c>
      <c r="C331" s="128" t="s">
        <v>50</v>
      </c>
      <c r="D331" s="128" t="s">
        <v>50</v>
      </c>
      <c r="E331" s="128"/>
      <c r="F331" s="134">
        <v>-100</v>
      </c>
      <c r="G331" s="167" t="str">
        <f>_xlfn.XLOOKUP(Table1[[#This Row],[Account_ID]], Accounts[ID], Accounts[Account nickname], "Unknown")</f>
        <v>Checking - 4480</v>
      </c>
      <c r="H331" s="137" t="str">
        <f>_xlfn.XLOOKUP(Table1[[#This Row],[Account_ID]], Accounts[ID], Accounts[Account'#], "Unknown")</f>
        <v>4480</v>
      </c>
      <c r="I331" s="168" t="str">
        <f>_xlfn.XLOOKUP(Table1[[#This Row],[Institution_ID]], Institutions[ID], Institutions[Institution nickname], "Unknown")</f>
        <v>Robinhood</v>
      </c>
      <c r="J331" s="139" t="s">
        <v>1231</v>
      </c>
      <c r="K331" s="129" t="s">
        <v>1208</v>
      </c>
      <c r="L331" s="173" t="s">
        <v>1207</v>
      </c>
      <c r="M331" s="130" t="str" cm="1">
        <f t="array" ref="M331">IFERROR(INDEX(CategoriesTable[Category type],MATCH(Table1[[#This Row],[Category]],CategoriesTable[Category name],0),0),"")</f>
        <v>Transfer</v>
      </c>
      <c r="N331" s="130" t="str" cm="1">
        <f t="array" ref="N331">IFERROR(INDEX(SubcategoriesTable[Subcategory name],MATCH(Table1[[#This Row],[Category]],SubcategoriesTable[Category name],0),0),"")</f>
        <v>Variable</v>
      </c>
      <c r="O331" s="130">
        <v>24</v>
      </c>
      <c r="P331" s="130">
        <f>MONTH(Table1[[#This Row],[Date]])</f>
        <v>11</v>
      </c>
      <c r="Q331" s="130">
        <v>2020</v>
      </c>
      <c r="R331" s="166">
        <f>IF(ISBLANK(Table1[[#This Row],[Date]]),"",Table1[[#This Row],[Date]]-WEEKDAY(Table1[[#This Row],[Date]],2)+1)</f>
        <v>44158</v>
      </c>
      <c r="S331" s="131">
        <f>IF(ISBLANK(Table1[[#This Row],[Date]]),"",DATE(Table1[[#This Row],[Date_Year]],Table1[[#This Row],[Date_Month]],1))</f>
        <v>44136</v>
      </c>
    </row>
    <row r="332" spans="2:19" ht="15.75" x14ac:dyDescent="0.25">
      <c r="B332" s="133">
        <v>44159</v>
      </c>
      <c r="C332" s="128" t="s">
        <v>171</v>
      </c>
      <c r="D332" s="128" t="s">
        <v>46</v>
      </c>
      <c r="E332" s="128" t="str" cm="1">
        <f t="array" ref="E332">IFERROR(INDEX(SubcategoriesTable[Subcategory name],MATCH(Table1[[#This Row],[Category]],SubcategoriesTable[Category name],0),0),"")</f>
        <v>Variable</v>
      </c>
      <c r="F332" s="134">
        <v>-6.13</v>
      </c>
      <c r="G332" s="167" t="str">
        <f>_xlfn.XLOOKUP(Table1[[#This Row],[Account_ID]], Accounts[ID], Accounts[Account nickname], "Unknown")</f>
        <v>Discover it chrome Card</v>
      </c>
      <c r="H332" s="137" t="str">
        <f>_xlfn.XLOOKUP(Table1[[#This Row],[Account_ID]], Accounts[ID], Accounts[Account'#], "Unknown")</f>
        <v>7328</v>
      </c>
      <c r="I332" s="168" t="str">
        <f>_xlfn.XLOOKUP(Table1[[#This Row],[Institution_ID]], Institutions[ID], Institutions[Institution nickname], "Unknown")</f>
        <v>Discover</v>
      </c>
      <c r="J332" s="139" t="s">
        <v>409</v>
      </c>
      <c r="K332" s="129" t="s">
        <v>110</v>
      </c>
      <c r="L332" s="129" t="s">
        <v>108</v>
      </c>
      <c r="M332" s="130" t="str" cm="1">
        <f t="array" ref="M332">IFERROR(INDEX(CategoriesTable[Category type],MATCH(Table1[[#This Row],[Category]],CategoriesTable[Category name],0),0),"")</f>
        <v>Expense</v>
      </c>
      <c r="N332" s="130" t="str" cm="1">
        <f t="array" ref="N332">IFERROR(INDEX(SubcategoriesTable[Subcategory name],MATCH(Table1[[#This Row],[Category]],SubcategoriesTable[Category name],0),0),"")</f>
        <v>Variable</v>
      </c>
      <c r="O332" s="130">
        <v>24</v>
      </c>
      <c r="P332" s="130">
        <f>MONTH(Table1[[#This Row],[Date]])</f>
        <v>11</v>
      </c>
      <c r="Q332" s="130">
        <v>2020</v>
      </c>
      <c r="R332" s="166">
        <f>IF(ISBLANK(Table1[[#This Row],[Date]]),"",Table1[[#This Row],[Date]]-WEEKDAY(Table1[[#This Row],[Date]],2)+1)</f>
        <v>44158</v>
      </c>
      <c r="S332" s="131">
        <f>IF(ISBLANK(Table1[[#This Row],[Date]]),"",DATE(Table1[[#This Row],[Date_Year]],Table1[[#This Row],[Date_Month]],1))</f>
        <v>44136</v>
      </c>
    </row>
    <row r="333" spans="2:19" ht="15.75" x14ac:dyDescent="0.25">
      <c r="B333" s="133">
        <v>44159</v>
      </c>
      <c r="C333" s="128" t="s">
        <v>290</v>
      </c>
      <c r="D333" s="128" t="s">
        <v>56</v>
      </c>
      <c r="E333" s="128" t="str" cm="1">
        <f t="array" ref="E333">IFERROR(INDEX(SubcategoriesTable[Subcategory name],MATCH(Table1[[#This Row],[Category]],SubcategoriesTable[Category name],0),0),"")</f>
        <v>Variable</v>
      </c>
      <c r="F333" s="134">
        <v>-1</v>
      </c>
      <c r="G333" s="167" t="str">
        <f>_xlfn.XLOOKUP(Table1[[#This Row],[Account_ID]], Accounts[ID], Accounts[Account nickname], "Unknown")</f>
        <v>Discover it chrome Card</v>
      </c>
      <c r="H333" s="137" t="str">
        <f>_xlfn.XLOOKUP(Table1[[#This Row],[Account_ID]], Accounts[ID], Accounts[Account'#], "Unknown")</f>
        <v>7328</v>
      </c>
      <c r="I333" s="168" t="str">
        <f>_xlfn.XLOOKUP(Table1[[#This Row],[Institution_ID]], Institutions[ID], Institutions[Institution nickname], "Unknown")</f>
        <v>Discover</v>
      </c>
      <c r="J333" s="139" t="s">
        <v>410</v>
      </c>
      <c r="K333" s="129" t="s">
        <v>110</v>
      </c>
      <c r="L333" s="129" t="s">
        <v>108</v>
      </c>
      <c r="M333" s="130" t="str" cm="1">
        <f t="array" ref="M333">IFERROR(INDEX(CategoriesTable[Category type],MATCH(Table1[[#This Row],[Category]],CategoriesTable[Category name],0),0),"")</f>
        <v>Expense</v>
      </c>
      <c r="N333" s="130" t="str" cm="1">
        <f t="array" ref="N333">IFERROR(INDEX(SubcategoriesTable[Subcategory name],MATCH(Table1[[#This Row],[Category]],SubcategoriesTable[Category name],0),0),"")</f>
        <v>Variable</v>
      </c>
      <c r="O333" s="130">
        <v>24</v>
      </c>
      <c r="P333" s="130">
        <f>MONTH(Table1[[#This Row],[Date]])</f>
        <v>11</v>
      </c>
      <c r="Q333" s="130">
        <v>2020</v>
      </c>
      <c r="R333" s="166">
        <f>IF(ISBLANK(Table1[[#This Row],[Date]]),"",Table1[[#This Row],[Date]]-WEEKDAY(Table1[[#This Row],[Date]],2)+1)</f>
        <v>44158</v>
      </c>
      <c r="S333" s="131">
        <f>IF(ISBLANK(Table1[[#This Row],[Date]]),"",DATE(Table1[[#This Row],[Date_Year]],Table1[[#This Row],[Date_Month]],1))</f>
        <v>44136</v>
      </c>
    </row>
    <row r="334" spans="2:19" ht="15.75" x14ac:dyDescent="0.25">
      <c r="B334" s="133">
        <v>44159</v>
      </c>
      <c r="C334" s="128" t="s">
        <v>290</v>
      </c>
      <c r="D334" s="128" t="s">
        <v>56</v>
      </c>
      <c r="E334" s="128" t="str" cm="1">
        <f t="array" ref="E334">IFERROR(INDEX(SubcategoriesTable[Subcategory name],MATCH(Table1[[#This Row],[Category]],SubcategoriesTable[Category name],0),0),"")</f>
        <v>Variable</v>
      </c>
      <c r="F334" s="134">
        <v>-1.95</v>
      </c>
      <c r="G334" s="167" t="str">
        <f>_xlfn.XLOOKUP(Table1[[#This Row],[Account_ID]], Accounts[ID], Accounts[Account nickname], "Unknown")</f>
        <v>Discover it chrome Card</v>
      </c>
      <c r="H334" s="137" t="str">
        <f>_xlfn.XLOOKUP(Table1[[#This Row],[Account_ID]], Accounts[ID], Accounts[Account'#], "Unknown")</f>
        <v>7328</v>
      </c>
      <c r="I334" s="168" t="str">
        <f>_xlfn.XLOOKUP(Table1[[#This Row],[Institution_ID]], Institutions[ID], Institutions[Institution nickname], "Unknown")</f>
        <v>Discover</v>
      </c>
      <c r="J334" s="139" t="s">
        <v>411</v>
      </c>
      <c r="K334" s="129" t="s">
        <v>110</v>
      </c>
      <c r="L334" s="129" t="s">
        <v>108</v>
      </c>
      <c r="M334" s="130" t="str" cm="1">
        <f t="array" ref="M334">IFERROR(INDEX(CategoriesTable[Category type],MATCH(Table1[[#This Row],[Category]],CategoriesTable[Category name],0),0),"")</f>
        <v>Expense</v>
      </c>
      <c r="N334" s="130" t="str" cm="1">
        <f t="array" ref="N334">IFERROR(INDEX(SubcategoriesTable[Subcategory name],MATCH(Table1[[#This Row],[Category]],SubcategoriesTable[Category name],0),0),"")</f>
        <v>Variable</v>
      </c>
      <c r="O334" s="130">
        <v>24</v>
      </c>
      <c r="P334" s="130">
        <f>MONTH(Table1[[#This Row],[Date]])</f>
        <v>11</v>
      </c>
      <c r="Q334" s="130">
        <v>2020</v>
      </c>
      <c r="R334" s="166">
        <f>IF(ISBLANK(Table1[[#This Row],[Date]]),"",Table1[[#This Row],[Date]]-WEEKDAY(Table1[[#This Row],[Date]],2)+1)</f>
        <v>44158</v>
      </c>
      <c r="S334" s="131">
        <f>IF(ISBLANK(Table1[[#This Row],[Date]]),"",DATE(Table1[[#This Row],[Date_Year]],Table1[[#This Row],[Date_Month]],1))</f>
        <v>44136</v>
      </c>
    </row>
    <row r="335" spans="2:19" ht="15.75" x14ac:dyDescent="0.25">
      <c r="B335" s="133">
        <v>44159</v>
      </c>
      <c r="C335" s="128" t="s">
        <v>125</v>
      </c>
      <c r="D335" s="128" t="s">
        <v>45</v>
      </c>
      <c r="E335" s="128" t="str" cm="1">
        <f t="array" ref="E335">IFERROR(INDEX(SubcategoriesTable[Subcategory name],MATCH(Table1[[#This Row],[Category]],SubcategoriesTable[Category name],0),0),"")</f>
        <v>Variable</v>
      </c>
      <c r="F335" s="134">
        <v>-14.94</v>
      </c>
      <c r="G335" s="167" t="str">
        <f>_xlfn.XLOOKUP(Table1[[#This Row],[Account_ID]], Accounts[ID], Accounts[Account nickname], "Unknown")</f>
        <v>Discover it chrome Card</v>
      </c>
      <c r="H335" s="137" t="str">
        <f>_xlfn.XLOOKUP(Table1[[#This Row],[Account_ID]], Accounts[ID], Accounts[Account'#], "Unknown")</f>
        <v>7328</v>
      </c>
      <c r="I335" s="168" t="str">
        <f>_xlfn.XLOOKUP(Table1[[#This Row],[Institution_ID]], Institutions[ID], Institutions[Institution nickname], "Unknown")</f>
        <v>Discover</v>
      </c>
      <c r="J335" s="139" t="s">
        <v>412</v>
      </c>
      <c r="K335" s="129" t="s">
        <v>110</v>
      </c>
      <c r="L335" s="129" t="s">
        <v>108</v>
      </c>
      <c r="M335" s="130" t="str" cm="1">
        <f t="array" ref="M335">IFERROR(INDEX(CategoriesTable[Category type],MATCH(Table1[[#This Row],[Category]],CategoriesTable[Category name],0),0),"")</f>
        <v>Expense</v>
      </c>
      <c r="N335" s="130" t="str" cm="1">
        <f t="array" ref="N335">IFERROR(INDEX(SubcategoriesTable[Subcategory name],MATCH(Table1[[#This Row],[Category]],SubcategoriesTable[Category name],0),0),"")</f>
        <v>Variable</v>
      </c>
      <c r="O335" s="130">
        <v>24</v>
      </c>
      <c r="P335" s="130">
        <f>MONTH(Table1[[#This Row],[Date]])</f>
        <v>11</v>
      </c>
      <c r="Q335" s="130">
        <v>2020</v>
      </c>
      <c r="R335" s="166">
        <f>IF(ISBLANK(Table1[[#This Row],[Date]]),"",Table1[[#This Row],[Date]]-WEEKDAY(Table1[[#This Row],[Date]],2)+1)</f>
        <v>44158</v>
      </c>
      <c r="S335" s="131">
        <f>IF(ISBLANK(Table1[[#This Row],[Date]]),"",DATE(Table1[[#This Row],[Date_Year]],Table1[[#This Row],[Date_Month]],1))</f>
        <v>44136</v>
      </c>
    </row>
    <row r="336" spans="2:19" ht="15.75" x14ac:dyDescent="0.25">
      <c r="B336" s="133">
        <v>44159</v>
      </c>
      <c r="C336" s="128" t="s">
        <v>201</v>
      </c>
      <c r="D336" s="128" t="s">
        <v>48</v>
      </c>
      <c r="E336" s="128" t="str" cm="1">
        <f t="array" ref="E336">IFERROR(INDEX(SubcategoriesTable[Subcategory name],MATCH(Table1[[#This Row],[Category]],SubcategoriesTable[Category name],0),0),"")</f>
        <v>Variable</v>
      </c>
      <c r="F336" s="134">
        <v>-10.6</v>
      </c>
      <c r="G336" s="167" t="str">
        <f>_xlfn.XLOOKUP(Table1[[#This Row],[Account_ID]], Accounts[ID], Accounts[Account nickname], "Unknown")</f>
        <v>Discover it chrome Card</v>
      </c>
      <c r="H336" s="137" t="str">
        <f>_xlfn.XLOOKUP(Table1[[#This Row],[Account_ID]], Accounts[ID], Accounts[Account'#], "Unknown")</f>
        <v>7328</v>
      </c>
      <c r="I336" s="168" t="str">
        <f>_xlfn.XLOOKUP(Table1[[#This Row],[Institution_ID]], Institutions[ID], Institutions[Institution nickname], "Unknown")</f>
        <v>Discover</v>
      </c>
      <c r="J336" s="139" t="s">
        <v>413</v>
      </c>
      <c r="K336" s="129" t="s">
        <v>110</v>
      </c>
      <c r="L336" s="129" t="s">
        <v>108</v>
      </c>
      <c r="M336" s="130" t="str" cm="1">
        <f t="array" ref="M336">IFERROR(INDEX(CategoriesTable[Category type],MATCH(Table1[[#This Row],[Category]],CategoriesTable[Category name],0),0),"")</f>
        <v>Expense</v>
      </c>
      <c r="N336" s="130" t="str" cm="1">
        <f t="array" ref="N336">IFERROR(INDEX(SubcategoriesTable[Subcategory name],MATCH(Table1[[#This Row],[Category]],SubcategoriesTable[Category name],0),0),"")</f>
        <v>Variable</v>
      </c>
      <c r="O336" s="130">
        <v>24</v>
      </c>
      <c r="P336" s="130">
        <f>MONTH(Table1[[#This Row],[Date]])</f>
        <v>11</v>
      </c>
      <c r="Q336" s="130">
        <v>2020</v>
      </c>
      <c r="R336" s="166">
        <f>IF(ISBLANK(Table1[[#This Row],[Date]]),"",Table1[[#This Row],[Date]]-WEEKDAY(Table1[[#This Row],[Date]],2)+1)</f>
        <v>44158</v>
      </c>
      <c r="S336" s="131">
        <f>IF(ISBLANK(Table1[[#This Row],[Date]]),"",DATE(Table1[[#This Row],[Date_Year]],Table1[[#This Row],[Date_Month]],1))</f>
        <v>44136</v>
      </c>
    </row>
    <row r="337" spans="2:19" ht="15.75" x14ac:dyDescent="0.25">
      <c r="B337" s="133">
        <v>44158</v>
      </c>
      <c r="C337" s="128" t="s">
        <v>508</v>
      </c>
      <c r="D337" s="128" t="s">
        <v>50</v>
      </c>
      <c r="E337" s="128" t="str" cm="1">
        <f t="array" ref="E337">IFERROR(INDEX(SubcategoriesTable[Subcategory name],MATCH(Table1[[#This Row],[Category]],SubcategoriesTable[Category name],0),0),"")</f>
        <v>Variable</v>
      </c>
      <c r="F337" s="134">
        <v>-659.67</v>
      </c>
      <c r="G337" s="167" t="str">
        <f>_xlfn.XLOOKUP(Table1[[#This Row],[Account_ID]], Accounts[ID], Accounts[Account nickname], "Unknown")</f>
        <v>EVERYDAY CHECKING</v>
      </c>
      <c r="H337" s="137" t="str">
        <f>_xlfn.XLOOKUP(Table1[[#This Row],[Account_ID]], Accounts[ID], Accounts[Account'#], "Unknown")</f>
        <v>4636</v>
      </c>
      <c r="I337" s="168" t="str">
        <f>_xlfn.XLOOKUP(Table1[[#This Row],[Institution_ID]], Institutions[ID], Institutions[Institution nickname], "Unknown")</f>
        <v>Wells Fargo</v>
      </c>
      <c r="J337" s="139" t="s">
        <v>1437</v>
      </c>
      <c r="K337" s="129" t="s">
        <v>1229</v>
      </c>
      <c r="L337" s="129" t="s">
        <v>1228</v>
      </c>
      <c r="M337" s="130" t="str" cm="1">
        <f t="array" ref="M337">IFERROR(INDEX(CategoriesTable[Category type],MATCH(Table1[[#This Row],[Category]],CategoriesTable[Category name],0),0),"")</f>
        <v>Transfer</v>
      </c>
      <c r="N337" s="130" t="str" cm="1">
        <f t="array" ref="N337">IFERROR(INDEX(SubcategoriesTable[Subcategory name],MATCH(Table1[[#This Row],[Category]],SubcategoriesTable[Category name],0),0),"")</f>
        <v>Variable</v>
      </c>
      <c r="O337" s="130">
        <v>23</v>
      </c>
      <c r="P337" s="130">
        <f>MONTH(Table1[[#This Row],[Date]])</f>
        <v>11</v>
      </c>
      <c r="Q337" s="130">
        <v>2020</v>
      </c>
      <c r="R337" s="166">
        <f>IF(ISBLANK(Table1[[#This Row],[Date]]),"",Table1[[#This Row],[Date]]-WEEKDAY(Table1[[#This Row],[Date]],2)+1)</f>
        <v>44158</v>
      </c>
      <c r="S337" s="131">
        <f>IF(ISBLANK(Table1[[#This Row],[Date]]),"",DATE(Table1[[#This Row],[Date_Year]],Table1[[#This Row],[Date_Month]],1))</f>
        <v>44136</v>
      </c>
    </row>
    <row r="338" spans="2:19" ht="15.75" x14ac:dyDescent="0.25">
      <c r="B338" s="133">
        <v>44158</v>
      </c>
      <c r="C338" s="128" t="s">
        <v>267</v>
      </c>
      <c r="D338" s="128" t="s">
        <v>46</v>
      </c>
      <c r="E338" s="128" t="str" cm="1">
        <f t="array" ref="E338">IFERROR(INDEX(SubcategoriesTable[Subcategory name],MATCH(Table1[[#This Row],[Category]],SubcategoriesTable[Category name],0),0),"")</f>
        <v>Variable</v>
      </c>
      <c r="F338" s="134">
        <v>-11.96</v>
      </c>
      <c r="G338" s="167" t="str">
        <f>_xlfn.XLOOKUP(Table1[[#This Row],[Account_ID]], Accounts[ID], Accounts[Account nickname], "Unknown")</f>
        <v>Discover it chrome Card</v>
      </c>
      <c r="H338" s="137" t="str">
        <f>_xlfn.XLOOKUP(Table1[[#This Row],[Account_ID]], Accounts[ID], Accounts[Account'#], "Unknown")</f>
        <v>7328</v>
      </c>
      <c r="I338" s="168" t="str">
        <f>_xlfn.XLOOKUP(Table1[[#This Row],[Institution_ID]], Institutions[ID], Institutions[Institution nickname], "Unknown")</f>
        <v>Discover</v>
      </c>
      <c r="J338" s="139" t="s">
        <v>414</v>
      </c>
      <c r="K338" s="129" t="s">
        <v>110</v>
      </c>
      <c r="L338" s="129" t="s">
        <v>108</v>
      </c>
      <c r="M338" s="130" t="str" cm="1">
        <f t="array" ref="M338">IFERROR(INDEX(CategoriesTable[Category type],MATCH(Table1[[#This Row],[Category]],CategoriesTable[Category name],0),0),"")</f>
        <v>Expense</v>
      </c>
      <c r="N338" s="130" t="str" cm="1">
        <f t="array" ref="N338">IFERROR(INDEX(SubcategoriesTable[Subcategory name],MATCH(Table1[[#This Row],[Category]],SubcategoriesTable[Category name],0),0),"")</f>
        <v>Variable</v>
      </c>
      <c r="O338" s="130">
        <v>23</v>
      </c>
      <c r="P338" s="130">
        <f>MONTH(Table1[[#This Row],[Date]])</f>
        <v>11</v>
      </c>
      <c r="Q338" s="130">
        <v>2020</v>
      </c>
      <c r="R338" s="166">
        <f>IF(ISBLANK(Table1[[#This Row],[Date]]),"",Table1[[#This Row],[Date]]-WEEKDAY(Table1[[#This Row],[Date]],2)+1)</f>
        <v>44158</v>
      </c>
      <c r="S338" s="131">
        <f>IF(ISBLANK(Table1[[#This Row],[Date]]),"",DATE(Table1[[#This Row],[Date_Year]],Table1[[#This Row],[Date_Month]],1))</f>
        <v>44136</v>
      </c>
    </row>
    <row r="339" spans="2:19" ht="15.75" x14ac:dyDescent="0.25">
      <c r="B339" s="133">
        <v>44158</v>
      </c>
      <c r="C339" s="128" t="s">
        <v>119</v>
      </c>
      <c r="D339" s="128" t="s">
        <v>52</v>
      </c>
      <c r="E339" s="128" t="str" cm="1">
        <f t="array" ref="E339">IFERROR(INDEX(SubcategoriesTable[Subcategory name],MATCH(Table1[[#This Row],[Category]],SubcategoriesTable[Category name],0),0),"")</f>
        <v>Variable</v>
      </c>
      <c r="F339" s="134">
        <v>-23.46</v>
      </c>
      <c r="G339" s="167" t="str">
        <f>_xlfn.XLOOKUP(Table1[[#This Row],[Account_ID]], Accounts[ID], Accounts[Account nickname], "Unknown")</f>
        <v>Discover it chrome Card</v>
      </c>
      <c r="H339" s="137" t="str">
        <f>_xlfn.XLOOKUP(Table1[[#This Row],[Account_ID]], Accounts[ID], Accounts[Account'#], "Unknown")</f>
        <v>7328</v>
      </c>
      <c r="I339" s="168" t="str">
        <f>_xlfn.XLOOKUP(Table1[[#This Row],[Institution_ID]], Institutions[ID], Institutions[Institution nickname], "Unknown")</f>
        <v>Discover</v>
      </c>
      <c r="J339" s="139" t="s">
        <v>415</v>
      </c>
      <c r="K339" s="129" t="s">
        <v>110</v>
      </c>
      <c r="L339" s="129" t="s">
        <v>108</v>
      </c>
      <c r="M339" s="130" t="str" cm="1">
        <f t="array" ref="M339">IFERROR(INDEX(CategoriesTable[Category type],MATCH(Table1[[#This Row],[Category]],CategoriesTable[Category name],0),0),"")</f>
        <v>Expense</v>
      </c>
      <c r="N339" s="130" t="str" cm="1">
        <f t="array" ref="N339">IFERROR(INDEX(SubcategoriesTable[Subcategory name],MATCH(Table1[[#This Row],[Category]],SubcategoriesTable[Category name],0),0),"")</f>
        <v>Variable</v>
      </c>
      <c r="O339" s="130">
        <v>23</v>
      </c>
      <c r="P339" s="130">
        <f>MONTH(Table1[[#This Row],[Date]])</f>
        <v>11</v>
      </c>
      <c r="Q339" s="130">
        <v>2020</v>
      </c>
      <c r="R339" s="166">
        <f>IF(ISBLANK(Table1[[#This Row],[Date]]),"",Table1[[#This Row],[Date]]-WEEKDAY(Table1[[#This Row],[Date]],2)+1)</f>
        <v>44158</v>
      </c>
      <c r="S339" s="131">
        <f>IF(ISBLANK(Table1[[#This Row],[Date]]),"",DATE(Table1[[#This Row],[Date_Year]],Table1[[#This Row],[Date_Month]],1))</f>
        <v>44136</v>
      </c>
    </row>
    <row r="340" spans="2:19" ht="15.75" x14ac:dyDescent="0.25">
      <c r="B340" s="133">
        <v>44158</v>
      </c>
      <c r="C340" s="128" t="s">
        <v>416</v>
      </c>
      <c r="D340" s="128" t="s">
        <v>56</v>
      </c>
      <c r="E340" s="128" t="str" cm="1">
        <f t="array" ref="E340">IFERROR(INDEX(SubcategoriesTable[Subcategory name],MATCH(Table1[[#This Row],[Category]],SubcategoriesTable[Category name],0),0),"")</f>
        <v>Variable</v>
      </c>
      <c r="F340" s="134">
        <v>-15</v>
      </c>
      <c r="G340" s="167" t="str">
        <f>_xlfn.XLOOKUP(Table1[[#This Row],[Account_ID]], Accounts[ID], Accounts[Account nickname], "Unknown")</f>
        <v>Discover it chrome Card</v>
      </c>
      <c r="H340" s="137" t="str">
        <f>_xlfn.XLOOKUP(Table1[[#This Row],[Account_ID]], Accounts[ID], Accounts[Account'#], "Unknown")</f>
        <v>7328</v>
      </c>
      <c r="I340" s="168" t="str">
        <f>_xlfn.XLOOKUP(Table1[[#This Row],[Institution_ID]], Institutions[ID], Institutions[Institution nickname], "Unknown")</f>
        <v>Discover</v>
      </c>
      <c r="J340" s="139" t="s">
        <v>417</v>
      </c>
      <c r="K340" s="129" t="s">
        <v>110</v>
      </c>
      <c r="L340" s="129" t="s">
        <v>108</v>
      </c>
      <c r="M340" s="130" t="str" cm="1">
        <f t="array" ref="M340">IFERROR(INDEX(CategoriesTable[Category type],MATCH(Table1[[#This Row],[Category]],CategoriesTable[Category name],0),0),"")</f>
        <v>Expense</v>
      </c>
      <c r="N340" s="130" t="str" cm="1">
        <f t="array" ref="N340">IFERROR(INDEX(SubcategoriesTable[Subcategory name],MATCH(Table1[[#This Row],[Category]],SubcategoriesTable[Category name],0),0),"")</f>
        <v>Variable</v>
      </c>
      <c r="O340" s="130">
        <v>23</v>
      </c>
      <c r="P340" s="130">
        <f>MONTH(Table1[[#This Row],[Date]])</f>
        <v>11</v>
      </c>
      <c r="Q340" s="130">
        <v>2020</v>
      </c>
      <c r="R340" s="166">
        <f>IF(ISBLANK(Table1[[#This Row],[Date]]),"",Table1[[#This Row],[Date]]-WEEKDAY(Table1[[#This Row],[Date]],2)+1)</f>
        <v>44158</v>
      </c>
      <c r="S340" s="131">
        <f>IF(ISBLANK(Table1[[#This Row],[Date]]),"",DATE(Table1[[#This Row],[Date_Year]],Table1[[#This Row],[Date_Month]],1))</f>
        <v>44136</v>
      </c>
    </row>
    <row r="341" spans="2:19" ht="15.75" x14ac:dyDescent="0.25">
      <c r="B341" s="133">
        <v>44158</v>
      </c>
      <c r="C341" s="128" t="s">
        <v>418</v>
      </c>
      <c r="D341" s="128" t="s">
        <v>52</v>
      </c>
      <c r="E341" s="128" t="str" cm="1">
        <f t="array" ref="E341">IFERROR(INDEX(SubcategoriesTable[Subcategory name],MATCH(Table1[[#This Row],[Category]],SubcategoriesTable[Category name],0),0),"")</f>
        <v>Variable</v>
      </c>
      <c r="F341" s="134">
        <v>-175</v>
      </c>
      <c r="G341" s="167" t="str">
        <f>_xlfn.XLOOKUP(Table1[[#This Row],[Account_ID]], Accounts[ID], Accounts[Account nickname], "Unknown")</f>
        <v>Discover it chrome Card</v>
      </c>
      <c r="H341" s="137" t="str">
        <f>_xlfn.XLOOKUP(Table1[[#This Row],[Account_ID]], Accounts[ID], Accounts[Account'#], "Unknown")</f>
        <v>7328</v>
      </c>
      <c r="I341" s="168" t="str">
        <f>_xlfn.XLOOKUP(Table1[[#This Row],[Institution_ID]], Institutions[ID], Institutions[Institution nickname], "Unknown")</f>
        <v>Discover</v>
      </c>
      <c r="J341" s="139" t="s">
        <v>419</v>
      </c>
      <c r="K341" s="129" t="s">
        <v>110</v>
      </c>
      <c r="L341" s="129" t="s">
        <v>108</v>
      </c>
      <c r="M341" s="130" t="str" cm="1">
        <f t="array" ref="M341">IFERROR(INDEX(CategoriesTable[Category type],MATCH(Table1[[#This Row],[Category]],CategoriesTable[Category name],0),0),"")</f>
        <v>Expense</v>
      </c>
      <c r="N341" s="130" t="str" cm="1">
        <f t="array" ref="N341">IFERROR(INDEX(SubcategoriesTable[Subcategory name],MATCH(Table1[[#This Row],[Category]],SubcategoriesTable[Category name],0),0),"")</f>
        <v>Variable</v>
      </c>
      <c r="O341" s="130">
        <v>23</v>
      </c>
      <c r="P341" s="130">
        <f>MONTH(Table1[[#This Row],[Date]])</f>
        <v>11</v>
      </c>
      <c r="Q341" s="130">
        <v>2020</v>
      </c>
      <c r="R341" s="166">
        <f>IF(ISBLANK(Table1[[#This Row],[Date]]),"",Table1[[#This Row],[Date]]-WEEKDAY(Table1[[#This Row],[Date]],2)+1)</f>
        <v>44158</v>
      </c>
      <c r="S341" s="131">
        <f>IF(ISBLANK(Table1[[#This Row],[Date]]),"",DATE(Table1[[#This Row],[Date_Year]],Table1[[#This Row],[Date_Month]],1))</f>
        <v>44136</v>
      </c>
    </row>
    <row r="342" spans="2:19" ht="15.75" x14ac:dyDescent="0.25">
      <c r="B342" s="133">
        <v>44158</v>
      </c>
      <c r="C342" s="128" t="s">
        <v>353</v>
      </c>
      <c r="D342" s="128" t="s">
        <v>46</v>
      </c>
      <c r="E342" s="128" t="str" cm="1">
        <f t="array" ref="E342">IFERROR(INDEX(SubcategoriesTable[Subcategory name],MATCH(Table1[[#This Row],[Category]],SubcategoriesTable[Category name],0),0),"")</f>
        <v>Variable</v>
      </c>
      <c r="F342" s="134">
        <v>-10</v>
      </c>
      <c r="G342" s="167" t="str">
        <f>_xlfn.XLOOKUP(Table1[[#This Row],[Account_ID]], Accounts[ID], Accounts[Account nickname], "Unknown")</f>
        <v>Discover it chrome Card</v>
      </c>
      <c r="H342" s="137" t="str">
        <f>_xlfn.XLOOKUP(Table1[[#This Row],[Account_ID]], Accounts[ID], Accounts[Account'#], "Unknown")</f>
        <v>7328</v>
      </c>
      <c r="I342" s="168" t="str">
        <f>_xlfn.XLOOKUP(Table1[[#This Row],[Institution_ID]], Institutions[ID], Institutions[Institution nickname], "Unknown")</f>
        <v>Discover</v>
      </c>
      <c r="J342" s="139" t="s">
        <v>420</v>
      </c>
      <c r="K342" s="129" t="s">
        <v>110</v>
      </c>
      <c r="L342" s="129" t="s">
        <v>108</v>
      </c>
      <c r="M342" s="130" t="str" cm="1">
        <f t="array" ref="M342">IFERROR(INDEX(CategoriesTable[Category type],MATCH(Table1[[#This Row],[Category]],CategoriesTable[Category name],0),0),"")</f>
        <v>Expense</v>
      </c>
      <c r="N342" s="130" t="str" cm="1">
        <f t="array" ref="N342">IFERROR(INDEX(SubcategoriesTable[Subcategory name],MATCH(Table1[[#This Row],[Category]],SubcategoriesTable[Category name],0),0),"")</f>
        <v>Variable</v>
      </c>
      <c r="O342" s="130">
        <v>23</v>
      </c>
      <c r="P342" s="130">
        <f>MONTH(Table1[[#This Row],[Date]])</f>
        <v>11</v>
      </c>
      <c r="Q342" s="130">
        <v>2020</v>
      </c>
      <c r="R342" s="166">
        <f>IF(ISBLANK(Table1[[#This Row],[Date]]),"",Table1[[#This Row],[Date]]-WEEKDAY(Table1[[#This Row],[Date]],2)+1)</f>
        <v>44158</v>
      </c>
      <c r="S342" s="131">
        <f>IF(ISBLANK(Table1[[#This Row],[Date]]),"",DATE(Table1[[#This Row],[Date_Year]],Table1[[#This Row],[Date_Month]],1))</f>
        <v>44136</v>
      </c>
    </row>
    <row r="343" spans="2:19" ht="15.75" x14ac:dyDescent="0.25">
      <c r="B343" s="133">
        <v>44158</v>
      </c>
      <c r="C343" s="128" t="s">
        <v>336</v>
      </c>
      <c r="D343" s="128" t="s">
        <v>52</v>
      </c>
      <c r="E343" s="128" t="str" cm="1">
        <f t="array" ref="E343">IFERROR(INDEX(SubcategoriesTable[Subcategory name],MATCH(Table1[[#This Row],[Category]],SubcategoriesTable[Category name],0),0),"")</f>
        <v>Variable</v>
      </c>
      <c r="F343" s="134">
        <v>-1</v>
      </c>
      <c r="G343" s="167" t="str">
        <f>_xlfn.XLOOKUP(Table1[[#This Row],[Account_ID]], Accounts[ID], Accounts[Account nickname], "Unknown")</f>
        <v>Discover it chrome Card</v>
      </c>
      <c r="H343" s="137" t="str">
        <f>_xlfn.XLOOKUP(Table1[[#This Row],[Account_ID]], Accounts[ID], Accounts[Account'#], "Unknown")</f>
        <v>7328</v>
      </c>
      <c r="I343" s="168" t="str">
        <f>_xlfn.XLOOKUP(Table1[[#This Row],[Institution_ID]], Institutions[ID], Institutions[Institution nickname], "Unknown")</f>
        <v>Discover</v>
      </c>
      <c r="J343" s="139" t="s">
        <v>421</v>
      </c>
      <c r="K343" s="129" t="s">
        <v>110</v>
      </c>
      <c r="L343" s="129" t="s">
        <v>108</v>
      </c>
      <c r="M343" s="130" t="str" cm="1">
        <f t="array" ref="M343">IFERROR(INDEX(CategoriesTable[Category type],MATCH(Table1[[#This Row],[Category]],CategoriesTable[Category name],0),0),"")</f>
        <v>Expense</v>
      </c>
      <c r="N343" s="130" t="str" cm="1">
        <f t="array" ref="N343">IFERROR(INDEX(SubcategoriesTable[Subcategory name],MATCH(Table1[[#This Row],[Category]],SubcategoriesTable[Category name],0),0),"")</f>
        <v>Variable</v>
      </c>
      <c r="O343" s="130">
        <v>23</v>
      </c>
      <c r="P343" s="130">
        <f>MONTH(Table1[[#This Row],[Date]])</f>
        <v>11</v>
      </c>
      <c r="Q343" s="130">
        <v>2020</v>
      </c>
      <c r="R343" s="166">
        <f>IF(ISBLANK(Table1[[#This Row],[Date]]),"",Table1[[#This Row],[Date]]-WEEKDAY(Table1[[#This Row],[Date]],2)+1)</f>
        <v>44158</v>
      </c>
      <c r="S343" s="131">
        <f>IF(ISBLANK(Table1[[#This Row],[Date]]),"",DATE(Table1[[#This Row],[Date_Year]],Table1[[#This Row],[Date_Month]],1))</f>
        <v>44136</v>
      </c>
    </row>
    <row r="344" spans="2:19" ht="15.75" x14ac:dyDescent="0.25">
      <c r="B344" s="133">
        <v>44158</v>
      </c>
      <c r="C344" s="128" t="s">
        <v>336</v>
      </c>
      <c r="D344" s="128" t="s">
        <v>52</v>
      </c>
      <c r="E344" s="128" t="str" cm="1">
        <f t="array" ref="E344">IFERROR(INDEX(SubcategoriesTable[Subcategory name],MATCH(Table1[[#This Row],[Category]],SubcategoriesTable[Category name],0),0),"")</f>
        <v>Variable</v>
      </c>
      <c r="F344" s="134">
        <v>-5</v>
      </c>
      <c r="G344" s="167" t="str">
        <f>_xlfn.XLOOKUP(Table1[[#This Row],[Account_ID]], Accounts[ID], Accounts[Account nickname], "Unknown")</f>
        <v>Discover it chrome Card</v>
      </c>
      <c r="H344" s="137" t="str">
        <f>_xlfn.XLOOKUP(Table1[[#This Row],[Account_ID]], Accounts[ID], Accounts[Account'#], "Unknown")</f>
        <v>7328</v>
      </c>
      <c r="I344" s="168" t="str">
        <f>_xlfn.XLOOKUP(Table1[[#This Row],[Institution_ID]], Institutions[ID], Institutions[Institution nickname], "Unknown")</f>
        <v>Discover</v>
      </c>
      <c r="J344" s="139" t="s">
        <v>422</v>
      </c>
      <c r="K344" s="129" t="s">
        <v>110</v>
      </c>
      <c r="L344" s="129" t="s">
        <v>108</v>
      </c>
      <c r="M344" s="130" t="str" cm="1">
        <f t="array" ref="M344">IFERROR(INDEX(CategoriesTable[Category type],MATCH(Table1[[#This Row],[Category]],CategoriesTable[Category name],0),0),"")</f>
        <v>Expense</v>
      </c>
      <c r="N344" s="130" t="str" cm="1">
        <f t="array" ref="N344">IFERROR(INDEX(SubcategoriesTable[Subcategory name],MATCH(Table1[[#This Row],[Category]],SubcategoriesTable[Category name],0),0),"")</f>
        <v>Variable</v>
      </c>
      <c r="O344" s="130">
        <v>23</v>
      </c>
      <c r="P344" s="130">
        <f>MONTH(Table1[[#This Row],[Date]])</f>
        <v>11</v>
      </c>
      <c r="Q344" s="130">
        <v>2020</v>
      </c>
      <c r="R344" s="166">
        <f>IF(ISBLANK(Table1[[#This Row],[Date]]),"",Table1[[#This Row],[Date]]-WEEKDAY(Table1[[#This Row],[Date]],2)+1)</f>
        <v>44158</v>
      </c>
      <c r="S344" s="131">
        <f>IF(ISBLANK(Table1[[#This Row],[Date]]),"",DATE(Table1[[#This Row],[Date_Year]],Table1[[#This Row],[Date_Month]],1))</f>
        <v>44136</v>
      </c>
    </row>
    <row r="345" spans="2:19" ht="15.75" x14ac:dyDescent="0.25">
      <c r="B345" s="133">
        <v>44158</v>
      </c>
      <c r="C345" s="128" t="s">
        <v>336</v>
      </c>
      <c r="D345" s="128" t="s">
        <v>52</v>
      </c>
      <c r="E345" s="128" t="str" cm="1">
        <f t="array" ref="E345">IFERROR(INDEX(SubcategoriesTable[Subcategory name],MATCH(Table1[[#This Row],[Category]],SubcategoriesTable[Category name],0),0),"")</f>
        <v>Variable</v>
      </c>
      <c r="F345" s="134">
        <v>-19.23</v>
      </c>
      <c r="G345" s="167" t="str">
        <f>_xlfn.XLOOKUP(Table1[[#This Row],[Account_ID]], Accounts[ID], Accounts[Account nickname], "Unknown")</f>
        <v>Discover it chrome Card</v>
      </c>
      <c r="H345" s="137" t="str">
        <f>_xlfn.XLOOKUP(Table1[[#This Row],[Account_ID]], Accounts[ID], Accounts[Account'#], "Unknown")</f>
        <v>7328</v>
      </c>
      <c r="I345" s="168" t="str">
        <f>_xlfn.XLOOKUP(Table1[[#This Row],[Institution_ID]], Institutions[ID], Institutions[Institution nickname], "Unknown")</f>
        <v>Discover</v>
      </c>
      <c r="J345" s="139" t="s">
        <v>423</v>
      </c>
      <c r="K345" s="129" t="s">
        <v>110</v>
      </c>
      <c r="L345" s="129" t="s">
        <v>108</v>
      </c>
      <c r="M345" s="130" t="str" cm="1">
        <f t="array" ref="M345">IFERROR(INDEX(CategoriesTable[Category type],MATCH(Table1[[#This Row],[Category]],CategoriesTable[Category name],0),0),"")</f>
        <v>Expense</v>
      </c>
      <c r="N345" s="130" t="str" cm="1">
        <f t="array" ref="N345">IFERROR(INDEX(SubcategoriesTable[Subcategory name],MATCH(Table1[[#This Row],[Category]],SubcategoriesTable[Category name],0),0),"")</f>
        <v>Variable</v>
      </c>
      <c r="O345" s="130">
        <v>23</v>
      </c>
      <c r="P345" s="130">
        <f>MONTH(Table1[[#This Row],[Date]])</f>
        <v>11</v>
      </c>
      <c r="Q345" s="130">
        <v>2020</v>
      </c>
      <c r="R345" s="166">
        <f>IF(ISBLANK(Table1[[#This Row],[Date]]),"",Table1[[#This Row],[Date]]-WEEKDAY(Table1[[#This Row],[Date]],2)+1)</f>
        <v>44158</v>
      </c>
      <c r="S345" s="131">
        <f>IF(ISBLANK(Table1[[#This Row],[Date]]),"",DATE(Table1[[#This Row],[Date_Year]],Table1[[#This Row],[Date_Month]],1))</f>
        <v>44136</v>
      </c>
    </row>
    <row r="346" spans="2:19" ht="15.75" x14ac:dyDescent="0.25">
      <c r="B346" s="133">
        <v>44156</v>
      </c>
      <c r="C346" s="128" t="s">
        <v>424</v>
      </c>
      <c r="D346" s="128" t="s">
        <v>52</v>
      </c>
      <c r="E346" s="128" t="str" cm="1">
        <f t="array" ref="E346">IFERROR(INDEX(SubcategoriesTable[Subcategory name],MATCH(Table1[[#This Row],[Category]],SubcategoriesTable[Category name],0),0),"")</f>
        <v>Variable</v>
      </c>
      <c r="F346" s="134">
        <v>-181.94</v>
      </c>
      <c r="G346" s="167" t="str">
        <f>_xlfn.XLOOKUP(Table1[[#This Row],[Account_ID]], Accounts[ID], Accounts[Account nickname], "Unknown")</f>
        <v>Discover it chrome Card</v>
      </c>
      <c r="H346" s="137" t="str">
        <f>_xlfn.XLOOKUP(Table1[[#This Row],[Account_ID]], Accounts[ID], Accounts[Account'#], "Unknown")</f>
        <v>7328</v>
      </c>
      <c r="I346" s="168" t="str">
        <f>_xlfn.XLOOKUP(Table1[[#This Row],[Institution_ID]], Institutions[ID], Institutions[Institution nickname], "Unknown")</f>
        <v>Discover</v>
      </c>
      <c r="J346" s="139" t="s">
        <v>425</v>
      </c>
      <c r="K346" s="129" t="s">
        <v>110</v>
      </c>
      <c r="L346" s="129" t="s">
        <v>108</v>
      </c>
      <c r="M346" s="130" t="str" cm="1">
        <f t="array" ref="M346">IFERROR(INDEX(CategoriesTable[Category type],MATCH(Table1[[#This Row],[Category]],CategoriesTable[Category name],0),0),"")</f>
        <v>Expense</v>
      </c>
      <c r="N346" s="130" t="str" cm="1">
        <f t="array" ref="N346">IFERROR(INDEX(SubcategoriesTable[Subcategory name],MATCH(Table1[[#This Row],[Category]],SubcategoriesTable[Category name],0),0),"")</f>
        <v>Variable</v>
      </c>
      <c r="O346" s="130">
        <v>21</v>
      </c>
      <c r="P346" s="130">
        <f>MONTH(Table1[[#This Row],[Date]])</f>
        <v>11</v>
      </c>
      <c r="Q346" s="130">
        <v>2020</v>
      </c>
      <c r="R346" s="166">
        <f>IF(ISBLANK(Table1[[#This Row],[Date]]),"",Table1[[#This Row],[Date]]-WEEKDAY(Table1[[#This Row],[Date]],2)+1)</f>
        <v>44151</v>
      </c>
      <c r="S346" s="131">
        <f>IF(ISBLANK(Table1[[#This Row],[Date]]),"",DATE(Table1[[#This Row],[Date_Year]],Table1[[#This Row],[Date_Month]],1))</f>
        <v>44136</v>
      </c>
    </row>
    <row r="347" spans="2:19" ht="15.75" x14ac:dyDescent="0.25">
      <c r="B347" s="133">
        <v>44156</v>
      </c>
      <c r="C347" s="128" t="s">
        <v>267</v>
      </c>
      <c r="D347" s="128" t="s">
        <v>46</v>
      </c>
      <c r="E347" s="128" t="str" cm="1">
        <f t="array" ref="E347">IFERROR(INDEX(SubcategoriesTable[Subcategory name],MATCH(Table1[[#This Row],[Category]],SubcategoriesTable[Category name],0),0),"")</f>
        <v>Variable</v>
      </c>
      <c r="F347" s="134">
        <v>-2.09</v>
      </c>
      <c r="G347" s="167" t="str">
        <f>_xlfn.XLOOKUP(Table1[[#This Row],[Account_ID]], Accounts[ID], Accounts[Account nickname], "Unknown")</f>
        <v>Discover it chrome Card</v>
      </c>
      <c r="H347" s="137" t="str">
        <f>_xlfn.XLOOKUP(Table1[[#This Row],[Account_ID]], Accounts[ID], Accounts[Account'#], "Unknown")</f>
        <v>7328</v>
      </c>
      <c r="I347" s="168" t="str">
        <f>_xlfn.XLOOKUP(Table1[[#This Row],[Institution_ID]], Institutions[ID], Institutions[Institution nickname], "Unknown")</f>
        <v>Discover</v>
      </c>
      <c r="J347" s="139" t="s">
        <v>426</v>
      </c>
      <c r="K347" s="129" t="s">
        <v>110</v>
      </c>
      <c r="L347" s="129" t="s">
        <v>108</v>
      </c>
      <c r="M347" s="130" t="str" cm="1">
        <f t="array" ref="M347">IFERROR(INDEX(CategoriesTable[Category type],MATCH(Table1[[#This Row],[Category]],CategoriesTable[Category name],0),0),"")</f>
        <v>Expense</v>
      </c>
      <c r="N347" s="130" t="str" cm="1">
        <f t="array" ref="N347">IFERROR(INDEX(SubcategoriesTable[Subcategory name],MATCH(Table1[[#This Row],[Category]],SubcategoriesTable[Category name],0),0),"")</f>
        <v>Variable</v>
      </c>
      <c r="O347" s="130">
        <v>21</v>
      </c>
      <c r="P347" s="130">
        <f>MONTH(Table1[[#This Row],[Date]])</f>
        <v>11</v>
      </c>
      <c r="Q347" s="130">
        <v>2020</v>
      </c>
      <c r="R347" s="166">
        <f>IF(ISBLANK(Table1[[#This Row],[Date]]),"",Table1[[#This Row],[Date]]-WEEKDAY(Table1[[#This Row],[Date]],2)+1)</f>
        <v>44151</v>
      </c>
      <c r="S347" s="131">
        <f>IF(ISBLANK(Table1[[#This Row],[Date]]),"",DATE(Table1[[#This Row],[Date_Year]],Table1[[#This Row],[Date_Month]],1))</f>
        <v>44136</v>
      </c>
    </row>
    <row r="348" spans="2:19" ht="15.75" x14ac:dyDescent="0.25">
      <c r="B348" s="133">
        <v>44156</v>
      </c>
      <c r="C348" s="128" t="s">
        <v>427</v>
      </c>
      <c r="D348" s="128" t="s">
        <v>52</v>
      </c>
      <c r="E348" s="128" t="str" cm="1">
        <f t="array" ref="E348">IFERROR(INDEX(SubcategoriesTable[Subcategory name],MATCH(Table1[[#This Row],[Category]],SubcategoriesTable[Category name],0),0),"")</f>
        <v>Variable</v>
      </c>
      <c r="F348" s="134">
        <v>-19.420000000000002</v>
      </c>
      <c r="G348" s="167" t="str">
        <f>_xlfn.XLOOKUP(Table1[[#This Row],[Account_ID]], Accounts[ID], Accounts[Account nickname], "Unknown")</f>
        <v>Discover it chrome Card</v>
      </c>
      <c r="H348" s="137" t="str">
        <f>_xlfn.XLOOKUP(Table1[[#This Row],[Account_ID]], Accounts[ID], Accounts[Account'#], "Unknown")</f>
        <v>7328</v>
      </c>
      <c r="I348" s="168" t="str">
        <f>_xlfn.XLOOKUP(Table1[[#This Row],[Institution_ID]], Institutions[ID], Institutions[Institution nickname], "Unknown")</f>
        <v>Discover</v>
      </c>
      <c r="J348" s="139" t="s">
        <v>428</v>
      </c>
      <c r="K348" s="129" t="s">
        <v>110</v>
      </c>
      <c r="L348" s="129" t="s">
        <v>108</v>
      </c>
      <c r="M348" s="130" t="str" cm="1">
        <f t="array" ref="M348">IFERROR(INDEX(CategoriesTable[Category type],MATCH(Table1[[#This Row],[Category]],CategoriesTable[Category name],0),0),"")</f>
        <v>Expense</v>
      </c>
      <c r="N348" s="130" t="str" cm="1">
        <f t="array" ref="N348">IFERROR(INDEX(SubcategoriesTable[Subcategory name],MATCH(Table1[[#This Row],[Category]],SubcategoriesTable[Category name],0),0),"")</f>
        <v>Variable</v>
      </c>
      <c r="O348" s="130">
        <v>21</v>
      </c>
      <c r="P348" s="130">
        <f>MONTH(Table1[[#This Row],[Date]])</f>
        <v>11</v>
      </c>
      <c r="Q348" s="130">
        <v>2020</v>
      </c>
      <c r="R348" s="166">
        <f>IF(ISBLANK(Table1[[#This Row],[Date]]),"",Table1[[#This Row],[Date]]-WEEKDAY(Table1[[#This Row],[Date]],2)+1)</f>
        <v>44151</v>
      </c>
      <c r="S348" s="131">
        <f>IF(ISBLANK(Table1[[#This Row],[Date]]),"",DATE(Table1[[#This Row],[Date_Year]],Table1[[#This Row],[Date_Month]],1))</f>
        <v>44136</v>
      </c>
    </row>
    <row r="349" spans="2:19" ht="15.75" x14ac:dyDescent="0.25">
      <c r="B349" s="133">
        <v>44156</v>
      </c>
      <c r="C349" s="128" t="s">
        <v>195</v>
      </c>
      <c r="D349" s="128" t="s">
        <v>48</v>
      </c>
      <c r="E349" s="128" t="str" cm="1">
        <f t="array" ref="E349">IFERROR(INDEX(SubcategoriesTable[Subcategory name],MATCH(Table1[[#This Row],[Category]],SubcategoriesTable[Category name],0),0),"")</f>
        <v>Variable</v>
      </c>
      <c r="F349" s="134">
        <v>-13.7</v>
      </c>
      <c r="G349" s="167" t="str">
        <f>_xlfn.XLOOKUP(Table1[[#This Row],[Account_ID]], Accounts[ID], Accounts[Account nickname], "Unknown")</f>
        <v>Discover it chrome Card</v>
      </c>
      <c r="H349" s="137" t="str">
        <f>_xlfn.XLOOKUP(Table1[[#This Row],[Account_ID]], Accounts[ID], Accounts[Account'#], "Unknown")</f>
        <v>7328</v>
      </c>
      <c r="I349" s="168" t="str">
        <f>_xlfn.XLOOKUP(Table1[[#This Row],[Institution_ID]], Institutions[ID], Institutions[Institution nickname], "Unknown")</f>
        <v>Discover</v>
      </c>
      <c r="J349" s="139" t="s">
        <v>429</v>
      </c>
      <c r="K349" s="129" t="s">
        <v>110</v>
      </c>
      <c r="L349" s="129" t="s">
        <v>108</v>
      </c>
      <c r="M349" s="130" t="str" cm="1">
        <f t="array" ref="M349">IFERROR(INDEX(CategoriesTable[Category type],MATCH(Table1[[#This Row],[Category]],CategoriesTable[Category name],0),0),"")</f>
        <v>Expense</v>
      </c>
      <c r="N349" s="130" t="str" cm="1">
        <f t="array" ref="N349">IFERROR(INDEX(SubcategoriesTable[Subcategory name],MATCH(Table1[[#This Row],[Category]],SubcategoriesTable[Category name],0),0),"")</f>
        <v>Variable</v>
      </c>
      <c r="O349" s="130">
        <v>21</v>
      </c>
      <c r="P349" s="130">
        <f>MONTH(Table1[[#This Row],[Date]])</f>
        <v>11</v>
      </c>
      <c r="Q349" s="130">
        <v>2020</v>
      </c>
      <c r="R349" s="166">
        <f>IF(ISBLANK(Table1[[#This Row],[Date]]),"",Table1[[#This Row],[Date]]-WEEKDAY(Table1[[#This Row],[Date]],2)+1)</f>
        <v>44151</v>
      </c>
      <c r="S349" s="131">
        <f>IF(ISBLANK(Table1[[#This Row],[Date]]),"",DATE(Table1[[#This Row],[Date_Year]],Table1[[#This Row],[Date_Month]],1))</f>
        <v>44136</v>
      </c>
    </row>
    <row r="350" spans="2:19" ht="15.75" x14ac:dyDescent="0.25">
      <c r="B350" s="133">
        <v>44156</v>
      </c>
      <c r="C350" s="128" t="s">
        <v>430</v>
      </c>
      <c r="D350" s="128" t="s">
        <v>47</v>
      </c>
      <c r="E350" s="128" t="str" cm="1">
        <f t="array" ref="E350">IFERROR(INDEX(SubcategoriesTable[Subcategory name],MATCH(Table1[[#This Row],[Category]],SubcategoriesTable[Category name],0),0),"")</f>
        <v>Variable</v>
      </c>
      <c r="F350" s="134">
        <v>-26</v>
      </c>
      <c r="G350" s="167" t="str">
        <f>_xlfn.XLOOKUP(Table1[[#This Row],[Account_ID]], Accounts[ID], Accounts[Account nickname], "Unknown")</f>
        <v>Discover it chrome Card</v>
      </c>
      <c r="H350" s="137" t="str">
        <f>_xlfn.XLOOKUP(Table1[[#This Row],[Account_ID]], Accounts[ID], Accounts[Account'#], "Unknown")</f>
        <v>7328</v>
      </c>
      <c r="I350" s="168" t="str">
        <f>_xlfn.XLOOKUP(Table1[[#This Row],[Institution_ID]], Institutions[ID], Institutions[Institution nickname], "Unknown")</f>
        <v>Discover</v>
      </c>
      <c r="J350" s="139" t="s">
        <v>431</v>
      </c>
      <c r="K350" s="129" t="s">
        <v>110</v>
      </c>
      <c r="L350" s="129" t="s">
        <v>108</v>
      </c>
      <c r="M350" s="130" t="str" cm="1">
        <f t="array" ref="M350">IFERROR(INDEX(CategoriesTable[Category type],MATCH(Table1[[#This Row],[Category]],CategoriesTable[Category name],0),0),"")</f>
        <v>Expense</v>
      </c>
      <c r="N350" s="130" t="str" cm="1">
        <f t="array" ref="N350">IFERROR(INDEX(SubcategoriesTable[Subcategory name],MATCH(Table1[[#This Row],[Category]],SubcategoriesTable[Category name],0),0),"")</f>
        <v>Variable</v>
      </c>
      <c r="O350" s="130">
        <v>21</v>
      </c>
      <c r="P350" s="130">
        <f>MONTH(Table1[[#This Row],[Date]])</f>
        <v>11</v>
      </c>
      <c r="Q350" s="130">
        <v>2020</v>
      </c>
      <c r="R350" s="166">
        <f>IF(ISBLANK(Table1[[#This Row],[Date]]),"",Table1[[#This Row],[Date]]-WEEKDAY(Table1[[#This Row],[Date]],2)+1)</f>
        <v>44151</v>
      </c>
      <c r="S350" s="131">
        <f>IF(ISBLANK(Table1[[#This Row],[Date]]),"",DATE(Table1[[#This Row],[Date_Year]],Table1[[#This Row],[Date_Month]],1))</f>
        <v>44136</v>
      </c>
    </row>
    <row r="351" spans="2:19" ht="15.75" x14ac:dyDescent="0.25">
      <c r="B351" s="133">
        <v>44155</v>
      </c>
      <c r="C351" s="128" t="s">
        <v>1180</v>
      </c>
      <c r="D351" s="128" t="s">
        <v>50</v>
      </c>
      <c r="E351" s="128" t="str" cm="1">
        <f t="array" ref="E351">IFERROR(INDEX(SubcategoriesTable[Subcategory name],MATCH(Table1[[#This Row],[Category]],SubcategoriesTable[Category name],0),0),"")</f>
        <v>Variable</v>
      </c>
      <c r="F351" s="134">
        <v>-974.05</v>
      </c>
      <c r="G351" s="167" t="str">
        <f>_xlfn.XLOOKUP(Table1[[#This Row],[Account_ID]], Accounts[ID], Accounts[Account nickname], "Unknown")</f>
        <v>EVERYDAY CHECKING</v>
      </c>
      <c r="H351" s="137" t="str">
        <f>_xlfn.XLOOKUP(Table1[[#This Row],[Account_ID]], Accounts[ID], Accounts[Account'#], "Unknown")</f>
        <v>4636</v>
      </c>
      <c r="I351" s="168" t="str">
        <f>_xlfn.XLOOKUP(Table1[[#This Row],[Institution_ID]], Institutions[ID], Institutions[Institution nickname], "Unknown")</f>
        <v>Wells Fargo</v>
      </c>
      <c r="J351" s="139" t="s">
        <v>1438</v>
      </c>
      <c r="K351" s="129" t="s">
        <v>1229</v>
      </c>
      <c r="L351" s="129" t="s">
        <v>1228</v>
      </c>
      <c r="M351" s="130" t="str" cm="1">
        <f t="array" ref="M351">IFERROR(INDEX(CategoriesTable[Category type],MATCH(Table1[[#This Row],[Category]],CategoriesTable[Category name],0),0),"")</f>
        <v>Transfer</v>
      </c>
      <c r="N351" s="130" t="str" cm="1">
        <f t="array" ref="N351">IFERROR(INDEX(SubcategoriesTable[Subcategory name],MATCH(Table1[[#This Row],[Category]],SubcategoriesTable[Category name],0),0),"")</f>
        <v>Variable</v>
      </c>
      <c r="O351" s="130">
        <v>20</v>
      </c>
      <c r="P351" s="130">
        <f>MONTH(Table1[[#This Row],[Date]])</f>
        <v>11</v>
      </c>
      <c r="Q351" s="130">
        <v>2020</v>
      </c>
      <c r="R351" s="166">
        <f>IF(ISBLANK(Table1[[#This Row],[Date]]),"",Table1[[#This Row],[Date]]-WEEKDAY(Table1[[#This Row],[Date]],2)+1)</f>
        <v>44151</v>
      </c>
      <c r="S351" s="131">
        <f>IF(ISBLANK(Table1[[#This Row],[Date]]),"",DATE(Table1[[#This Row],[Date_Year]],Table1[[#This Row],[Date_Month]],1))</f>
        <v>44136</v>
      </c>
    </row>
    <row r="352" spans="2:19" ht="15.75" x14ac:dyDescent="0.25">
      <c r="B352" s="133">
        <v>44155</v>
      </c>
      <c r="C352" s="128" t="s">
        <v>1181</v>
      </c>
      <c r="D352" s="128" t="s">
        <v>59</v>
      </c>
      <c r="E352" s="128" t="str" cm="1">
        <f t="array" ref="E352">IFERROR(INDEX(SubcategoriesTable[Subcategory name],MATCH(Table1[[#This Row],[Category]],SubcategoriesTable[Category name],0),0),"")</f>
        <v>Fixed</v>
      </c>
      <c r="F352" s="134">
        <v>2263.65</v>
      </c>
      <c r="G352" s="167" t="str">
        <f>_xlfn.XLOOKUP(Table1[[#This Row],[Account_ID]], Accounts[ID], Accounts[Account nickname], "Unknown")</f>
        <v>EVERYDAY CHECKING</v>
      </c>
      <c r="H352" s="137" t="str">
        <f>_xlfn.XLOOKUP(Table1[[#This Row],[Account_ID]], Accounts[ID], Accounts[Account'#], "Unknown")</f>
        <v>4636</v>
      </c>
      <c r="I352" s="168" t="str">
        <f>_xlfn.XLOOKUP(Table1[[#This Row],[Institution_ID]], Institutions[ID], Institutions[Institution nickname], "Unknown")</f>
        <v>Wells Fargo</v>
      </c>
      <c r="J352" s="139" t="s">
        <v>1439</v>
      </c>
      <c r="K352" s="129" t="s">
        <v>1229</v>
      </c>
      <c r="L352" s="129" t="s">
        <v>1228</v>
      </c>
      <c r="M352" s="130" t="str" cm="1">
        <f t="array" ref="M352">IFERROR(INDEX(CategoriesTable[Category type],MATCH(Table1[[#This Row],[Category]],CategoriesTable[Category name],0),0),"")</f>
        <v>Income</v>
      </c>
      <c r="N352" s="130" t="str" cm="1">
        <f t="array" ref="N352">IFERROR(INDEX(SubcategoriesTable[Subcategory name],MATCH(Table1[[#This Row],[Category]],SubcategoriesTable[Category name],0),0),"")</f>
        <v>Fixed</v>
      </c>
      <c r="O352" s="130">
        <v>20</v>
      </c>
      <c r="P352" s="130">
        <f>MONTH(Table1[[#This Row],[Date]])</f>
        <v>11</v>
      </c>
      <c r="Q352" s="130">
        <v>2020</v>
      </c>
      <c r="R352" s="166">
        <f>IF(ISBLANK(Table1[[#This Row],[Date]]),"",Table1[[#This Row],[Date]]-WEEKDAY(Table1[[#This Row],[Date]],2)+1)</f>
        <v>44151</v>
      </c>
      <c r="S352" s="131">
        <f>IF(ISBLANK(Table1[[#This Row],[Date]]),"",DATE(Table1[[#This Row],[Date_Year]],Table1[[#This Row],[Date_Month]],1))</f>
        <v>44136</v>
      </c>
    </row>
    <row r="353" spans="2:19" ht="15.75" x14ac:dyDescent="0.25">
      <c r="B353" s="133">
        <v>44155</v>
      </c>
      <c r="C353" s="128" t="s">
        <v>508</v>
      </c>
      <c r="D353" s="128" t="s">
        <v>78</v>
      </c>
      <c r="E353" s="128" t="str" cm="1">
        <f t="array" ref="E353">IFERROR(INDEX(SubcategoriesTable[Subcategory name],MATCH(Table1[[#This Row],[Category]],SubcategoriesTable[Category name],0),0),"")</f>
        <v>Fixed</v>
      </c>
      <c r="F353" s="134">
        <v>-700</v>
      </c>
      <c r="G353" s="167" t="str">
        <f>_xlfn.XLOOKUP(Table1[[#This Row],[Account_ID]], Accounts[ID], Accounts[Account nickname], "Unknown")</f>
        <v>EVERYDAY CHECKING</v>
      </c>
      <c r="H353" s="137" t="str">
        <f>_xlfn.XLOOKUP(Table1[[#This Row],[Account_ID]], Accounts[ID], Accounts[Account'#], "Unknown")</f>
        <v>4636</v>
      </c>
      <c r="I353" s="168" t="str">
        <f>_xlfn.XLOOKUP(Table1[[#This Row],[Institution_ID]], Institutions[ID], Institutions[Institution nickname], "Unknown")</f>
        <v>Wells Fargo</v>
      </c>
      <c r="J353" s="139" t="s">
        <v>1440</v>
      </c>
      <c r="K353" s="129" t="s">
        <v>1229</v>
      </c>
      <c r="L353" s="129" t="s">
        <v>1228</v>
      </c>
      <c r="M353" s="130" t="str" cm="1">
        <f t="array" ref="M353">IFERROR(INDEX(CategoriesTable[Category type],MATCH(Table1[[#This Row],[Category]],CategoriesTable[Category name],0),0),"")</f>
        <v>Expense</v>
      </c>
      <c r="N353" s="130" t="str" cm="1">
        <f t="array" ref="N353">IFERROR(INDEX(SubcategoriesTable[Subcategory name],MATCH(Table1[[#This Row],[Category]],SubcategoriesTable[Category name],0),0),"")</f>
        <v>Fixed</v>
      </c>
      <c r="O353" s="130">
        <v>20</v>
      </c>
      <c r="P353" s="130">
        <f>MONTH(Table1[[#This Row],[Date]])</f>
        <v>11</v>
      </c>
      <c r="Q353" s="130">
        <v>2020</v>
      </c>
      <c r="R353" s="166">
        <f>IF(ISBLANK(Table1[[#This Row],[Date]]),"",Table1[[#This Row],[Date]]-WEEKDAY(Table1[[#This Row],[Date]],2)+1)</f>
        <v>44151</v>
      </c>
      <c r="S353" s="131">
        <f>IF(ISBLANK(Table1[[#This Row],[Date]]),"",DATE(Table1[[#This Row],[Date_Year]],Table1[[#This Row],[Date_Month]],1))</f>
        <v>44136</v>
      </c>
    </row>
    <row r="354" spans="2:19" ht="15.75" x14ac:dyDescent="0.25">
      <c r="B354" s="133">
        <v>44155</v>
      </c>
      <c r="C354" s="128" t="s">
        <v>380</v>
      </c>
      <c r="D354" s="128" t="s">
        <v>46</v>
      </c>
      <c r="E354" s="128" t="str" cm="1">
        <f t="array" ref="E354">IFERROR(INDEX(SubcategoriesTable[Subcategory name],MATCH(Table1[[#This Row],[Category]],SubcategoriesTable[Category name],0),0),"")</f>
        <v>Variable</v>
      </c>
      <c r="F354" s="134">
        <v>-24.98</v>
      </c>
      <c r="G354" s="167" t="str">
        <f>_xlfn.XLOOKUP(Table1[[#This Row],[Account_ID]], Accounts[ID], Accounts[Account nickname], "Unknown")</f>
        <v>Discover it chrome Card</v>
      </c>
      <c r="H354" s="137" t="str">
        <f>_xlfn.XLOOKUP(Table1[[#This Row],[Account_ID]], Accounts[ID], Accounts[Account'#], "Unknown")</f>
        <v>7328</v>
      </c>
      <c r="I354" s="168" t="str">
        <f>_xlfn.XLOOKUP(Table1[[#This Row],[Institution_ID]], Institutions[ID], Institutions[Institution nickname], "Unknown")</f>
        <v>Discover</v>
      </c>
      <c r="J354" s="139" t="s">
        <v>432</v>
      </c>
      <c r="K354" s="129" t="s">
        <v>110</v>
      </c>
      <c r="L354" s="129" t="s">
        <v>108</v>
      </c>
      <c r="M354" s="130" t="str" cm="1">
        <f t="array" ref="M354">IFERROR(INDEX(CategoriesTable[Category type],MATCH(Table1[[#This Row],[Category]],CategoriesTable[Category name],0),0),"")</f>
        <v>Expense</v>
      </c>
      <c r="N354" s="130" t="str" cm="1">
        <f t="array" ref="N354">IFERROR(INDEX(SubcategoriesTable[Subcategory name],MATCH(Table1[[#This Row],[Category]],SubcategoriesTable[Category name],0),0),"")</f>
        <v>Variable</v>
      </c>
      <c r="O354" s="130">
        <v>20</v>
      </c>
      <c r="P354" s="130">
        <f>MONTH(Table1[[#This Row],[Date]])</f>
        <v>11</v>
      </c>
      <c r="Q354" s="130">
        <v>2020</v>
      </c>
      <c r="R354" s="166">
        <f>IF(ISBLANK(Table1[[#This Row],[Date]]),"",Table1[[#This Row],[Date]]-WEEKDAY(Table1[[#This Row],[Date]],2)+1)</f>
        <v>44151</v>
      </c>
      <c r="S354" s="131">
        <f>IF(ISBLANK(Table1[[#This Row],[Date]]),"",DATE(Table1[[#This Row],[Date_Year]],Table1[[#This Row],[Date_Month]],1))</f>
        <v>44136</v>
      </c>
    </row>
    <row r="355" spans="2:19" ht="15.75" x14ac:dyDescent="0.25">
      <c r="B355" s="133">
        <v>44155</v>
      </c>
      <c r="C355" s="128" t="s">
        <v>433</v>
      </c>
      <c r="D355" s="128" t="s">
        <v>46</v>
      </c>
      <c r="E355" s="128" t="str" cm="1">
        <f t="array" ref="E355">IFERROR(INDEX(SubcategoriesTable[Subcategory name],MATCH(Table1[[#This Row],[Category]],SubcategoriesTable[Category name],0),0),"")</f>
        <v>Variable</v>
      </c>
      <c r="F355" s="134">
        <v>-9.99</v>
      </c>
      <c r="G355" s="167" t="str">
        <f>_xlfn.XLOOKUP(Table1[[#This Row],[Account_ID]], Accounts[ID], Accounts[Account nickname], "Unknown")</f>
        <v>Discover it chrome Card</v>
      </c>
      <c r="H355" s="137" t="str">
        <f>_xlfn.XLOOKUP(Table1[[#This Row],[Account_ID]], Accounts[ID], Accounts[Account'#], "Unknown")</f>
        <v>7328</v>
      </c>
      <c r="I355" s="168" t="str">
        <f>_xlfn.XLOOKUP(Table1[[#This Row],[Institution_ID]], Institutions[ID], Institutions[Institution nickname], "Unknown")</f>
        <v>Discover</v>
      </c>
      <c r="J355" s="139" t="s">
        <v>434</v>
      </c>
      <c r="K355" s="129" t="s">
        <v>110</v>
      </c>
      <c r="L355" s="129" t="s">
        <v>108</v>
      </c>
      <c r="M355" s="130" t="str" cm="1">
        <f t="array" ref="M355">IFERROR(INDEX(CategoriesTable[Category type],MATCH(Table1[[#This Row],[Category]],CategoriesTable[Category name],0),0),"")</f>
        <v>Expense</v>
      </c>
      <c r="N355" s="130" t="str" cm="1">
        <f t="array" ref="N355">IFERROR(INDEX(SubcategoriesTable[Subcategory name],MATCH(Table1[[#This Row],[Category]],SubcategoriesTable[Category name],0),0),"")</f>
        <v>Variable</v>
      </c>
      <c r="O355" s="130">
        <v>20</v>
      </c>
      <c r="P355" s="130">
        <f>MONTH(Table1[[#This Row],[Date]])</f>
        <v>11</v>
      </c>
      <c r="Q355" s="130">
        <v>2020</v>
      </c>
      <c r="R355" s="166">
        <f>IF(ISBLANK(Table1[[#This Row],[Date]]),"",Table1[[#This Row],[Date]]-WEEKDAY(Table1[[#This Row],[Date]],2)+1)</f>
        <v>44151</v>
      </c>
      <c r="S355" s="131">
        <f>IF(ISBLANK(Table1[[#This Row],[Date]]),"",DATE(Table1[[#This Row],[Date_Year]],Table1[[#This Row],[Date_Month]],1))</f>
        <v>44136</v>
      </c>
    </row>
    <row r="356" spans="2:19" ht="15.75" x14ac:dyDescent="0.25">
      <c r="B356" s="133">
        <v>44155</v>
      </c>
      <c r="C356" s="128" t="s">
        <v>113</v>
      </c>
      <c r="D356" s="128" t="s">
        <v>50</v>
      </c>
      <c r="E356" s="128" t="str" cm="1">
        <f t="array" ref="E356">IFERROR(INDEX(SubcategoriesTable[Subcategory name],MATCH(Table1[[#This Row],[Category]],SubcategoriesTable[Category name],0),0),"")</f>
        <v>Variable</v>
      </c>
      <c r="F356" s="134">
        <v>974.05</v>
      </c>
      <c r="G356" s="167" t="str">
        <f>_xlfn.XLOOKUP(Table1[[#This Row],[Account_ID]], Accounts[ID], Accounts[Account nickname], "Unknown")</f>
        <v>Discover it chrome Card</v>
      </c>
      <c r="H356" s="137" t="str">
        <f>_xlfn.XLOOKUP(Table1[[#This Row],[Account_ID]], Accounts[ID], Accounts[Account'#], "Unknown")</f>
        <v>7328</v>
      </c>
      <c r="I356" s="168" t="str">
        <f>_xlfn.XLOOKUP(Table1[[#This Row],[Institution_ID]], Institutions[ID], Institutions[Institution nickname], "Unknown")</f>
        <v>Discover</v>
      </c>
      <c r="J356" s="139" t="s">
        <v>435</v>
      </c>
      <c r="K356" s="129" t="s">
        <v>110</v>
      </c>
      <c r="L356" s="129" t="s">
        <v>108</v>
      </c>
      <c r="M356" s="130" t="str" cm="1">
        <f t="array" ref="M356">IFERROR(INDEX(CategoriesTable[Category type],MATCH(Table1[[#This Row],[Category]],CategoriesTable[Category name],0),0),"")</f>
        <v>Transfer</v>
      </c>
      <c r="N356" s="130" t="str" cm="1">
        <f t="array" ref="N356">IFERROR(INDEX(SubcategoriesTable[Subcategory name],MATCH(Table1[[#This Row],[Category]],SubcategoriesTable[Category name],0),0),"")</f>
        <v>Variable</v>
      </c>
      <c r="O356" s="130">
        <v>20</v>
      </c>
      <c r="P356" s="130">
        <f>MONTH(Table1[[#This Row],[Date]])</f>
        <v>11</v>
      </c>
      <c r="Q356" s="130">
        <v>2020</v>
      </c>
      <c r="R356" s="166">
        <f>IF(ISBLANK(Table1[[#This Row],[Date]]),"",Table1[[#This Row],[Date]]-WEEKDAY(Table1[[#This Row],[Date]],2)+1)</f>
        <v>44151</v>
      </c>
      <c r="S356" s="131">
        <f>IF(ISBLANK(Table1[[#This Row],[Date]]),"",DATE(Table1[[#This Row],[Date_Year]],Table1[[#This Row],[Date_Month]],1))</f>
        <v>44136</v>
      </c>
    </row>
    <row r="357" spans="2:19" ht="15.75" x14ac:dyDescent="0.25">
      <c r="B357" s="133">
        <v>44155</v>
      </c>
      <c r="C357" s="128" t="s">
        <v>436</v>
      </c>
      <c r="D357" s="128" t="s">
        <v>45</v>
      </c>
      <c r="E357" s="128" t="str" cm="1">
        <f t="array" ref="E357">IFERROR(INDEX(SubcategoriesTable[Subcategory name],MATCH(Table1[[#This Row],[Category]],SubcategoriesTable[Category name],0),0),"")</f>
        <v>Variable</v>
      </c>
      <c r="F357" s="134">
        <v>-12.76</v>
      </c>
      <c r="G357" s="167" t="str">
        <f>_xlfn.XLOOKUP(Table1[[#This Row],[Account_ID]], Accounts[ID], Accounts[Account nickname], "Unknown")</f>
        <v>Discover it chrome Card</v>
      </c>
      <c r="H357" s="137" t="str">
        <f>_xlfn.XLOOKUP(Table1[[#This Row],[Account_ID]], Accounts[ID], Accounts[Account'#], "Unknown")</f>
        <v>7328</v>
      </c>
      <c r="I357" s="168" t="str">
        <f>_xlfn.XLOOKUP(Table1[[#This Row],[Institution_ID]], Institutions[ID], Institutions[Institution nickname], "Unknown")</f>
        <v>Discover</v>
      </c>
      <c r="J357" s="139" t="s">
        <v>437</v>
      </c>
      <c r="K357" s="129" t="s">
        <v>110</v>
      </c>
      <c r="L357" s="129" t="s">
        <v>108</v>
      </c>
      <c r="M357" s="130" t="str" cm="1">
        <f t="array" ref="M357">IFERROR(INDEX(CategoriesTable[Category type],MATCH(Table1[[#This Row],[Category]],CategoriesTable[Category name],0),0),"")</f>
        <v>Expense</v>
      </c>
      <c r="N357" s="130" t="str" cm="1">
        <f t="array" ref="N357">IFERROR(INDEX(SubcategoriesTable[Subcategory name],MATCH(Table1[[#This Row],[Category]],SubcategoriesTable[Category name],0),0),"")</f>
        <v>Variable</v>
      </c>
      <c r="O357" s="130">
        <v>20</v>
      </c>
      <c r="P357" s="130">
        <f>MONTH(Table1[[#This Row],[Date]])</f>
        <v>11</v>
      </c>
      <c r="Q357" s="130">
        <v>2020</v>
      </c>
      <c r="R357" s="166">
        <f>IF(ISBLANK(Table1[[#This Row],[Date]]),"",Table1[[#This Row],[Date]]-WEEKDAY(Table1[[#This Row],[Date]],2)+1)</f>
        <v>44151</v>
      </c>
      <c r="S357" s="131">
        <f>IF(ISBLANK(Table1[[#This Row],[Date]]),"",DATE(Table1[[#This Row],[Date_Year]],Table1[[#This Row],[Date_Month]],1))</f>
        <v>44136</v>
      </c>
    </row>
    <row r="358" spans="2:19" ht="15.75" x14ac:dyDescent="0.25">
      <c r="B358" s="133">
        <v>44154</v>
      </c>
      <c r="C358" s="128" t="s">
        <v>267</v>
      </c>
      <c r="D358" s="128" t="s">
        <v>46</v>
      </c>
      <c r="E358" s="128" t="str" cm="1">
        <f t="array" ref="E358">IFERROR(INDEX(SubcategoriesTable[Subcategory name],MATCH(Table1[[#This Row],[Category]],SubcategoriesTable[Category name],0),0),"")</f>
        <v>Variable</v>
      </c>
      <c r="F358" s="134">
        <v>-7.84</v>
      </c>
      <c r="G358" s="167" t="str">
        <f>_xlfn.XLOOKUP(Table1[[#This Row],[Account_ID]], Accounts[ID], Accounts[Account nickname], "Unknown")</f>
        <v>Discover it chrome Card</v>
      </c>
      <c r="H358" s="137" t="str">
        <f>_xlfn.XLOOKUP(Table1[[#This Row],[Account_ID]], Accounts[ID], Accounts[Account'#], "Unknown")</f>
        <v>7328</v>
      </c>
      <c r="I358" s="168" t="str">
        <f>_xlfn.XLOOKUP(Table1[[#This Row],[Institution_ID]], Institutions[ID], Institutions[Institution nickname], "Unknown")</f>
        <v>Discover</v>
      </c>
      <c r="J358" s="139" t="s">
        <v>438</v>
      </c>
      <c r="K358" s="129" t="s">
        <v>110</v>
      </c>
      <c r="L358" s="129" t="s">
        <v>108</v>
      </c>
      <c r="M358" s="130" t="str" cm="1">
        <f t="array" ref="M358">IFERROR(INDEX(CategoriesTable[Category type],MATCH(Table1[[#This Row],[Category]],CategoriesTable[Category name],0),0),"")</f>
        <v>Expense</v>
      </c>
      <c r="N358" s="130" t="str" cm="1">
        <f t="array" ref="N358">IFERROR(INDEX(SubcategoriesTable[Subcategory name],MATCH(Table1[[#This Row],[Category]],SubcategoriesTable[Category name],0),0),"")</f>
        <v>Variable</v>
      </c>
      <c r="O358" s="130">
        <v>19</v>
      </c>
      <c r="P358" s="130">
        <f>MONTH(Table1[[#This Row],[Date]])</f>
        <v>11</v>
      </c>
      <c r="Q358" s="130">
        <v>2020</v>
      </c>
      <c r="R358" s="166">
        <f>IF(ISBLANK(Table1[[#This Row],[Date]]),"",Table1[[#This Row],[Date]]-WEEKDAY(Table1[[#This Row],[Date]],2)+1)</f>
        <v>44151</v>
      </c>
      <c r="S358" s="131">
        <f>IF(ISBLANK(Table1[[#This Row],[Date]]),"",DATE(Table1[[#This Row],[Date_Year]],Table1[[#This Row],[Date_Month]],1))</f>
        <v>44136</v>
      </c>
    </row>
    <row r="359" spans="2:19" ht="15.75" x14ac:dyDescent="0.25">
      <c r="B359" s="133">
        <v>44154</v>
      </c>
      <c r="C359" s="128" t="s">
        <v>439</v>
      </c>
      <c r="D359" s="128" t="s">
        <v>55</v>
      </c>
      <c r="E359" s="128" t="str" cm="1">
        <f t="array" ref="E359">IFERROR(INDEX(SubcategoriesTable[Subcategory name],MATCH(Table1[[#This Row],[Category]],SubcategoriesTable[Category name],0),0),"")</f>
        <v>Variable</v>
      </c>
      <c r="F359" s="134">
        <v>-16.489999999999998</v>
      </c>
      <c r="G359" s="167" t="str">
        <f>_xlfn.XLOOKUP(Table1[[#This Row],[Account_ID]], Accounts[ID], Accounts[Account nickname], "Unknown")</f>
        <v>Discover it chrome Card</v>
      </c>
      <c r="H359" s="137" t="str">
        <f>_xlfn.XLOOKUP(Table1[[#This Row],[Account_ID]], Accounts[ID], Accounts[Account'#], "Unknown")</f>
        <v>7328</v>
      </c>
      <c r="I359" s="168" t="str">
        <f>_xlfn.XLOOKUP(Table1[[#This Row],[Institution_ID]], Institutions[ID], Institutions[Institution nickname], "Unknown")</f>
        <v>Discover</v>
      </c>
      <c r="J359" s="139" t="s">
        <v>440</v>
      </c>
      <c r="K359" s="129" t="s">
        <v>110</v>
      </c>
      <c r="L359" s="129" t="s">
        <v>108</v>
      </c>
      <c r="M359" s="130" t="str" cm="1">
        <f t="array" ref="M359">IFERROR(INDEX(CategoriesTable[Category type],MATCH(Table1[[#This Row],[Category]],CategoriesTable[Category name],0),0),"")</f>
        <v>Expense</v>
      </c>
      <c r="N359" s="130" t="str" cm="1">
        <f t="array" ref="N359">IFERROR(INDEX(SubcategoriesTable[Subcategory name],MATCH(Table1[[#This Row],[Category]],SubcategoriesTable[Category name],0),0),"")</f>
        <v>Variable</v>
      </c>
      <c r="O359" s="130">
        <v>19</v>
      </c>
      <c r="P359" s="130">
        <f>MONTH(Table1[[#This Row],[Date]])</f>
        <v>11</v>
      </c>
      <c r="Q359" s="130">
        <v>2020</v>
      </c>
      <c r="R359" s="166">
        <f>IF(ISBLANK(Table1[[#This Row],[Date]]),"",Table1[[#This Row],[Date]]-WEEKDAY(Table1[[#This Row],[Date]],2)+1)</f>
        <v>44151</v>
      </c>
      <c r="S359" s="131">
        <f>IF(ISBLANK(Table1[[#This Row],[Date]]),"",DATE(Table1[[#This Row],[Date_Year]],Table1[[#This Row],[Date_Month]],1))</f>
        <v>44136</v>
      </c>
    </row>
    <row r="360" spans="2:19" ht="15.75" x14ac:dyDescent="0.25">
      <c r="B360" s="133">
        <v>44151</v>
      </c>
      <c r="C360" s="128" t="s">
        <v>1182</v>
      </c>
      <c r="D360" s="128" t="s">
        <v>50</v>
      </c>
      <c r="E360" s="128" t="str" cm="1">
        <f t="array" ref="E360">IFERROR(INDEX(SubcategoriesTable[Subcategory name],MATCH(Table1[[#This Row],[Category]],SubcategoriesTable[Category name],0),0),"")</f>
        <v>Variable</v>
      </c>
      <c r="F360" s="134">
        <v>78.8</v>
      </c>
      <c r="G360" s="167" t="str">
        <f>_xlfn.XLOOKUP(Table1[[#This Row],[Account_ID]], Accounts[ID], Accounts[Account nickname], "Unknown")</f>
        <v>EVERYDAY CHECKING</v>
      </c>
      <c r="H360" s="137" t="str">
        <f>_xlfn.XLOOKUP(Table1[[#This Row],[Account_ID]], Accounts[ID], Accounts[Account'#], "Unknown")</f>
        <v>4636</v>
      </c>
      <c r="I360" s="168" t="str">
        <f>_xlfn.XLOOKUP(Table1[[#This Row],[Institution_ID]], Institutions[ID], Institutions[Institution nickname], "Unknown")</f>
        <v>Wells Fargo</v>
      </c>
      <c r="J360" s="139" t="s">
        <v>1441</v>
      </c>
      <c r="K360" s="129" t="s">
        <v>1229</v>
      </c>
      <c r="L360" s="129" t="s">
        <v>1228</v>
      </c>
      <c r="M360" s="130" t="str" cm="1">
        <f t="array" ref="M360">IFERROR(INDEX(CategoriesTable[Category type],MATCH(Table1[[#This Row],[Category]],CategoriesTable[Category name],0),0),"")</f>
        <v>Transfer</v>
      </c>
      <c r="N360" s="130" t="str" cm="1">
        <f t="array" ref="N360">IFERROR(INDEX(SubcategoriesTable[Subcategory name],MATCH(Table1[[#This Row],[Category]],SubcategoriesTable[Category name],0),0),"")</f>
        <v>Variable</v>
      </c>
      <c r="O360" s="130">
        <v>16</v>
      </c>
      <c r="P360" s="130">
        <f>MONTH(Table1[[#This Row],[Date]])</f>
        <v>11</v>
      </c>
      <c r="Q360" s="130">
        <v>2020</v>
      </c>
      <c r="R360" s="166">
        <f>IF(ISBLANK(Table1[[#This Row],[Date]]),"",Table1[[#This Row],[Date]]-WEEKDAY(Table1[[#This Row],[Date]],2)+1)</f>
        <v>44151</v>
      </c>
      <c r="S360" s="131">
        <f>IF(ISBLANK(Table1[[#This Row],[Date]]),"",DATE(Table1[[#This Row],[Date_Year]],Table1[[#This Row],[Date_Month]],1))</f>
        <v>44136</v>
      </c>
    </row>
    <row r="361" spans="2:19" ht="15.75" x14ac:dyDescent="0.25">
      <c r="B361" s="133">
        <v>44151</v>
      </c>
      <c r="C361" s="128" t="s">
        <v>1182</v>
      </c>
      <c r="D361" s="128" t="s">
        <v>50</v>
      </c>
      <c r="E361" s="128" t="str" cm="1">
        <f t="array" ref="E361">IFERROR(INDEX(SubcategoriesTable[Subcategory name],MATCH(Table1[[#This Row],[Category]],SubcategoriesTable[Category name],0),0),"")</f>
        <v>Variable</v>
      </c>
      <c r="F361" s="134">
        <v>78.8</v>
      </c>
      <c r="G361" s="167" t="str">
        <f>_xlfn.XLOOKUP(Table1[[#This Row],[Account_ID]], Accounts[ID], Accounts[Account nickname], "Unknown")</f>
        <v>EVERYDAY CHECKING</v>
      </c>
      <c r="H361" s="137" t="str">
        <f>_xlfn.XLOOKUP(Table1[[#This Row],[Account_ID]], Accounts[ID], Accounts[Account'#], "Unknown")</f>
        <v>4636</v>
      </c>
      <c r="I361" s="168" t="str">
        <f>_xlfn.XLOOKUP(Table1[[#This Row],[Institution_ID]], Institutions[ID], Institutions[Institution nickname], "Unknown")</f>
        <v>Wells Fargo</v>
      </c>
      <c r="J361" s="139" t="s">
        <v>1442</v>
      </c>
      <c r="K361" s="129" t="s">
        <v>1229</v>
      </c>
      <c r="L361" s="129" t="s">
        <v>1228</v>
      </c>
      <c r="M361" s="130" t="str" cm="1">
        <f t="array" ref="M361">IFERROR(INDEX(CategoriesTable[Category type],MATCH(Table1[[#This Row],[Category]],CategoriesTable[Category name],0),0),"")</f>
        <v>Transfer</v>
      </c>
      <c r="N361" s="130" t="str" cm="1">
        <f t="array" ref="N361">IFERROR(INDEX(SubcategoriesTable[Subcategory name],MATCH(Table1[[#This Row],[Category]],SubcategoriesTable[Category name],0),0),"")</f>
        <v>Variable</v>
      </c>
      <c r="O361" s="130">
        <v>16</v>
      </c>
      <c r="P361" s="130">
        <f>MONTH(Table1[[#This Row],[Date]])</f>
        <v>11</v>
      </c>
      <c r="Q361" s="130">
        <v>2020</v>
      </c>
      <c r="R361" s="166">
        <f>IF(ISBLANK(Table1[[#This Row],[Date]]),"",Table1[[#This Row],[Date]]-WEEKDAY(Table1[[#This Row],[Date]],2)+1)</f>
        <v>44151</v>
      </c>
      <c r="S361" s="131">
        <f>IF(ISBLANK(Table1[[#This Row],[Date]]),"",DATE(Table1[[#This Row],[Date_Year]],Table1[[#This Row],[Date_Month]],1))</f>
        <v>44136</v>
      </c>
    </row>
    <row r="362" spans="2:19" ht="15.75" x14ac:dyDescent="0.25">
      <c r="B362" s="133">
        <v>44151</v>
      </c>
      <c r="C362" s="128" t="s">
        <v>508</v>
      </c>
      <c r="D362" s="128" t="s">
        <v>50</v>
      </c>
      <c r="E362" s="128" t="str" cm="1">
        <f t="array" ref="E362">IFERROR(INDEX(SubcategoriesTable[Subcategory name],MATCH(Table1[[#This Row],[Category]],SubcategoriesTable[Category name],0),0),"")</f>
        <v>Variable</v>
      </c>
      <c r="F362" s="134">
        <v>-153.35</v>
      </c>
      <c r="G362" s="167" t="str">
        <f>_xlfn.XLOOKUP(Table1[[#This Row],[Account_ID]], Accounts[ID], Accounts[Account nickname], "Unknown")</f>
        <v>EVERYDAY CHECKING</v>
      </c>
      <c r="H362" s="137" t="str">
        <f>_xlfn.XLOOKUP(Table1[[#This Row],[Account_ID]], Accounts[ID], Accounts[Account'#], "Unknown")</f>
        <v>4636</v>
      </c>
      <c r="I362" s="168" t="str">
        <f>_xlfn.XLOOKUP(Table1[[#This Row],[Institution_ID]], Institutions[ID], Institutions[Institution nickname], "Unknown")</f>
        <v>Wells Fargo</v>
      </c>
      <c r="J362" s="139" t="s">
        <v>1443</v>
      </c>
      <c r="K362" s="129" t="s">
        <v>1229</v>
      </c>
      <c r="L362" s="129" t="s">
        <v>1228</v>
      </c>
      <c r="M362" s="130" t="str" cm="1">
        <f t="array" ref="M362">IFERROR(INDEX(CategoriesTable[Category type],MATCH(Table1[[#This Row],[Category]],CategoriesTable[Category name],0),0),"")</f>
        <v>Transfer</v>
      </c>
      <c r="N362" s="130" t="str" cm="1">
        <f t="array" ref="N362">IFERROR(INDEX(SubcategoriesTable[Subcategory name],MATCH(Table1[[#This Row],[Category]],SubcategoriesTable[Category name],0),0),"")</f>
        <v>Variable</v>
      </c>
      <c r="O362" s="130">
        <v>16</v>
      </c>
      <c r="P362" s="130">
        <f>MONTH(Table1[[#This Row],[Date]])</f>
        <v>11</v>
      </c>
      <c r="Q362" s="130">
        <v>2020</v>
      </c>
      <c r="R362" s="166">
        <f>IF(ISBLANK(Table1[[#This Row],[Date]]),"",Table1[[#This Row],[Date]]-WEEKDAY(Table1[[#This Row],[Date]],2)+1)</f>
        <v>44151</v>
      </c>
      <c r="S362" s="131">
        <f>IF(ISBLANK(Table1[[#This Row],[Date]]),"",DATE(Table1[[#This Row],[Date_Year]],Table1[[#This Row],[Date_Month]],1))</f>
        <v>44136</v>
      </c>
    </row>
    <row r="363" spans="2:19" ht="15.75" x14ac:dyDescent="0.25">
      <c r="B363" s="133">
        <v>44151</v>
      </c>
      <c r="C363" s="128" t="s">
        <v>441</v>
      </c>
      <c r="D363" s="128" t="s">
        <v>56</v>
      </c>
      <c r="E363" s="128" t="str" cm="1">
        <f t="array" ref="E363">IFERROR(INDEX(SubcategoriesTable[Subcategory name],MATCH(Table1[[#This Row],[Category]],SubcategoriesTable[Category name],0),0),"")</f>
        <v>Variable</v>
      </c>
      <c r="F363" s="134">
        <v>-82.4</v>
      </c>
      <c r="G363" s="167" t="str">
        <f>_xlfn.XLOOKUP(Table1[[#This Row],[Account_ID]], Accounts[ID], Accounts[Account nickname], "Unknown")</f>
        <v>Discover it chrome Card</v>
      </c>
      <c r="H363" s="137" t="str">
        <f>_xlfn.XLOOKUP(Table1[[#This Row],[Account_ID]], Accounts[ID], Accounts[Account'#], "Unknown")</f>
        <v>7328</v>
      </c>
      <c r="I363" s="168" t="str">
        <f>_xlfn.XLOOKUP(Table1[[#This Row],[Institution_ID]], Institutions[ID], Institutions[Institution nickname], "Unknown")</f>
        <v>Discover</v>
      </c>
      <c r="J363" s="139" t="s">
        <v>442</v>
      </c>
      <c r="K363" s="129" t="s">
        <v>110</v>
      </c>
      <c r="L363" s="129" t="s">
        <v>108</v>
      </c>
      <c r="M363" s="130" t="str" cm="1">
        <f t="array" ref="M363">IFERROR(INDEX(CategoriesTable[Category type],MATCH(Table1[[#This Row],[Category]],CategoriesTable[Category name],0),0),"")</f>
        <v>Expense</v>
      </c>
      <c r="N363" s="130" t="str" cm="1">
        <f t="array" ref="N363">IFERROR(INDEX(SubcategoriesTable[Subcategory name],MATCH(Table1[[#This Row],[Category]],SubcategoriesTable[Category name],0),0),"")</f>
        <v>Variable</v>
      </c>
      <c r="O363" s="130">
        <v>16</v>
      </c>
      <c r="P363" s="130">
        <f>MONTH(Table1[[#This Row],[Date]])</f>
        <v>11</v>
      </c>
      <c r="Q363" s="130">
        <v>2020</v>
      </c>
      <c r="R363" s="166">
        <f>IF(ISBLANK(Table1[[#This Row],[Date]]),"",Table1[[#This Row],[Date]]-WEEKDAY(Table1[[#This Row],[Date]],2)+1)</f>
        <v>44151</v>
      </c>
      <c r="S363" s="131">
        <f>IF(ISBLANK(Table1[[#This Row],[Date]]),"",DATE(Table1[[#This Row],[Date_Year]],Table1[[#This Row],[Date_Month]],1))</f>
        <v>44136</v>
      </c>
    </row>
    <row r="364" spans="2:19" ht="15.75" x14ac:dyDescent="0.25">
      <c r="B364" s="133">
        <v>44151</v>
      </c>
      <c r="C364" s="128" t="s">
        <v>353</v>
      </c>
      <c r="D364" s="128" t="s">
        <v>46</v>
      </c>
      <c r="E364" s="128" t="str" cm="1">
        <f t="array" ref="E364">IFERROR(INDEX(SubcategoriesTable[Subcategory name],MATCH(Table1[[#This Row],[Category]],SubcategoriesTable[Category name],0),0),"")</f>
        <v>Variable</v>
      </c>
      <c r="F364" s="134">
        <v>-10</v>
      </c>
      <c r="G364" s="167" t="str">
        <f>_xlfn.XLOOKUP(Table1[[#This Row],[Account_ID]], Accounts[ID], Accounts[Account nickname], "Unknown")</f>
        <v>Discover it chrome Card</v>
      </c>
      <c r="H364" s="137" t="str">
        <f>_xlfn.XLOOKUP(Table1[[#This Row],[Account_ID]], Accounts[ID], Accounts[Account'#], "Unknown")</f>
        <v>7328</v>
      </c>
      <c r="I364" s="168" t="str">
        <f>_xlfn.XLOOKUP(Table1[[#This Row],[Institution_ID]], Institutions[ID], Institutions[Institution nickname], "Unknown")</f>
        <v>Discover</v>
      </c>
      <c r="J364" s="139" t="s">
        <v>443</v>
      </c>
      <c r="K364" s="129" t="s">
        <v>110</v>
      </c>
      <c r="L364" s="129" t="s">
        <v>108</v>
      </c>
      <c r="M364" s="130" t="str" cm="1">
        <f t="array" ref="M364">IFERROR(INDEX(CategoriesTable[Category type],MATCH(Table1[[#This Row],[Category]],CategoriesTable[Category name],0),0),"")</f>
        <v>Expense</v>
      </c>
      <c r="N364" s="130" t="str" cm="1">
        <f t="array" ref="N364">IFERROR(INDEX(SubcategoriesTable[Subcategory name],MATCH(Table1[[#This Row],[Category]],SubcategoriesTable[Category name],0),0),"")</f>
        <v>Variable</v>
      </c>
      <c r="O364" s="130">
        <v>16</v>
      </c>
      <c r="P364" s="130">
        <f>MONTH(Table1[[#This Row],[Date]])</f>
        <v>11</v>
      </c>
      <c r="Q364" s="130">
        <v>2020</v>
      </c>
      <c r="R364" s="166">
        <f>IF(ISBLANK(Table1[[#This Row],[Date]]),"",Table1[[#This Row],[Date]]-WEEKDAY(Table1[[#This Row],[Date]],2)+1)</f>
        <v>44151</v>
      </c>
      <c r="S364" s="131">
        <f>IF(ISBLANK(Table1[[#This Row],[Date]]),"",DATE(Table1[[#This Row],[Date_Year]],Table1[[#This Row],[Date_Month]],1))</f>
        <v>44136</v>
      </c>
    </row>
    <row r="365" spans="2:19" ht="15.75" x14ac:dyDescent="0.25">
      <c r="B365" s="133">
        <v>44151</v>
      </c>
      <c r="C365" s="128" t="s">
        <v>127</v>
      </c>
      <c r="D365" s="128" t="s">
        <v>46</v>
      </c>
      <c r="E365" s="128" t="str" cm="1">
        <f t="array" ref="E365">IFERROR(INDEX(SubcategoriesTable[Subcategory name],MATCH(Table1[[#This Row],[Category]],SubcategoriesTable[Category name],0),0),"")</f>
        <v>Variable</v>
      </c>
      <c r="F365" s="134">
        <v>-14.99</v>
      </c>
      <c r="G365" s="167" t="str">
        <f>_xlfn.XLOOKUP(Table1[[#This Row],[Account_ID]], Accounts[ID], Accounts[Account nickname], "Unknown")</f>
        <v>Discover it chrome Card</v>
      </c>
      <c r="H365" s="137" t="str">
        <f>_xlfn.XLOOKUP(Table1[[#This Row],[Account_ID]], Accounts[ID], Accounts[Account'#], "Unknown")</f>
        <v>7328</v>
      </c>
      <c r="I365" s="168" t="str">
        <f>_xlfn.XLOOKUP(Table1[[#This Row],[Institution_ID]], Institutions[ID], Institutions[Institution nickname], "Unknown")</f>
        <v>Discover</v>
      </c>
      <c r="J365" s="139" t="s">
        <v>444</v>
      </c>
      <c r="K365" s="129" t="s">
        <v>110</v>
      </c>
      <c r="L365" s="129" t="s">
        <v>108</v>
      </c>
      <c r="M365" s="130" t="str" cm="1">
        <f t="array" ref="M365">IFERROR(INDEX(CategoriesTable[Category type],MATCH(Table1[[#This Row],[Category]],CategoriesTable[Category name],0),0),"")</f>
        <v>Expense</v>
      </c>
      <c r="N365" s="130" t="str" cm="1">
        <f t="array" ref="N365">IFERROR(INDEX(SubcategoriesTable[Subcategory name],MATCH(Table1[[#This Row],[Category]],SubcategoriesTable[Category name],0),0),"")</f>
        <v>Variable</v>
      </c>
      <c r="O365" s="130">
        <v>16</v>
      </c>
      <c r="P365" s="130">
        <f>MONTH(Table1[[#This Row],[Date]])</f>
        <v>11</v>
      </c>
      <c r="Q365" s="130">
        <v>2020</v>
      </c>
      <c r="R365" s="166">
        <f>IF(ISBLANK(Table1[[#This Row],[Date]]),"",Table1[[#This Row],[Date]]-WEEKDAY(Table1[[#This Row],[Date]],2)+1)</f>
        <v>44151</v>
      </c>
      <c r="S365" s="131">
        <f>IF(ISBLANK(Table1[[#This Row],[Date]]),"",DATE(Table1[[#This Row],[Date_Year]],Table1[[#This Row],[Date_Month]],1))</f>
        <v>44136</v>
      </c>
    </row>
    <row r="366" spans="2:19" ht="15.75" x14ac:dyDescent="0.25">
      <c r="B366" s="133">
        <v>44150</v>
      </c>
      <c r="C366" s="128" t="s">
        <v>445</v>
      </c>
      <c r="D366" s="128" t="s">
        <v>46</v>
      </c>
      <c r="E366" s="128" t="str" cm="1">
        <f t="array" ref="E366">IFERROR(INDEX(SubcategoriesTable[Subcategory name],MATCH(Table1[[#This Row],[Category]],SubcategoriesTable[Category name],0),0),"")</f>
        <v>Variable</v>
      </c>
      <c r="F366" s="134">
        <v>659.67</v>
      </c>
      <c r="G366" s="167" t="str">
        <f>_xlfn.XLOOKUP(Table1[[#This Row],[Account_ID]], Accounts[ID], Accounts[Account nickname], "Unknown")</f>
        <v>Discover it chrome Card</v>
      </c>
      <c r="H366" s="137" t="str">
        <f>_xlfn.XLOOKUP(Table1[[#This Row],[Account_ID]], Accounts[ID], Accounts[Account'#], "Unknown")</f>
        <v>7328</v>
      </c>
      <c r="I366" s="168" t="str">
        <f>_xlfn.XLOOKUP(Table1[[#This Row],[Institution_ID]], Institutions[ID], Institutions[Institution nickname], "Unknown")</f>
        <v>Discover</v>
      </c>
      <c r="J366" s="139" t="s">
        <v>446</v>
      </c>
      <c r="K366" s="129" t="s">
        <v>110</v>
      </c>
      <c r="L366" s="129" t="s">
        <v>108</v>
      </c>
      <c r="M366" s="130" t="str" cm="1">
        <f t="array" ref="M366">IFERROR(INDEX(CategoriesTable[Category type],MATCH(Table1[[#This Row],[Category]],CategoriesTable[Category name],0),0),"")</f>
        <v>Expense</v>
      </c>
      <c r="N366" s="130" t="str" cm="1">
        <f t="array" ref="N366">IFERROR(INDEX(SubcategoriesTable[Subcategory name],MATCH(Table1[[#This Row],[Category]],SubcategoriesTable[Category name],0),0),"")</f>
        <v>Variable</v>
      </c>
      <c r="O366" s="130">
        <v>15</v>
      </c>
      <c r="P366" s="130">
        <f>MONTH(Table1[[#This Row],[Date]])</f>
        <v>11</v>
      </c>
      <c r="Q366" s="130">
        <v>2020</v>
      </c>
      <c r="R366" s="166">
        <f>IF(ISBLANK(Table1[[#This Row],[Date]]),"",Table1[[#This Row],[Date]]-WEEKDAY(Table1[[#This Row],[Date]],2)+1)</f>
        <v>44144</v>
      </c>
      <c r="S366" s="131">
        <f>IF(ISBLANK(Table1[[#This Row],[Date]]),"",DATE(Table1[[#This Row],[Date_Year]],Table1[[#This Row],[Date_Month]],1))</f>
        <v>44136</v>
      </c>
    </row>
    <row r="367" spans="2:19" ht="15.75" x14ac:dyDescent="0.25">
      <c r="B367" s="133">
        <v>44150</v>
      </c>
      <c r="C367" s="128" t="s">
        <v>447</v>
      </c>
      <c r="D367" s="128" t="s">
        <v>46</v>
      </c>
      <c r="E367" s="128" t="str" cm="1">
        <f t="array" ref="E367">IFERROR(INDEX(SubcategoriesTable[Subcategory name],MATCH(Table1[[#This Row],[Category]],SubcategoriesTable[Category name],0),0),"")</f>
        <v>Variable</v>
      </c>
      <c r="F367" s="134">
        <v>-4.75</v>
      </c>
      <c r="G367" s="167" t="str">
        <f>_xlfn.XLOOKUP(Table1[[#This Row],[Account_ID]], Accounts[ID], Accounts[Account nickname], "Unknown")</f>
        <v>Discover it chrome Card</v>
      </c>
      <c r="H367" s="137" t="str">
        <f>_xlfn.XLOOKUP(Table1[[#This Row],[Account_ID]], Accounts[ID], Accounts[Account'#], "Unknown")</f>
        <v>7328</v>
      </c>
      <c r="I367" s="168" t="str">
        <f>_xlfn.XLOOKUP(Table1[[#This Row],[Institution_ID]], Institutions[ID], Institutions[Institution nickname], "Unknown")</f>
        <v>Discover</v>
      </c>
      <c r="J367" s="139" t="s">
        <v>448</v>
      </c>
      <c r="K367" s="129" t="s">
        <v>110</v>
      </c>
      <c r="L367" s="129" t="s">
        <v>108</v>
      </c>
      <c r="M367" s="130" t="str" cm="1">
        <f t="array" ref="M367">IFERROR(INDEX(CategoriesTable[Category type],MATCH(Table1[[#This Row],[Category]],CategoriesTable[Category name],0),0),"")</f>
        <v>Expense</v>
      </c>
      <c r="N367" s="130" t="str" cm="1">
        <f t="array" ref="N367">IFERROR(INDEX(SubcategoriesTable[Subcategory name],MATCH(Table1[[#This Row],[Category]],SubcategoriesTable[Category name],0),0),"")</f>
        <v>Variable</v>
      </c>
      <c r="O367" s="130">
        <v>15</v>
      </c>
      <c r="P367" s="130">
        <f>MONTH(Table1[[#This Row],[Date]])</f>
        <v>11</v>
      </c>
      <c r="Q367" s="130">
        <v>2020</v>
      </c>
      <c r="R367" s="166">
        <f>IF(ISBLANK(Table1[[#This Row],[Date]]),"",Table1[[#This Row],[Date]]-WEEKDAY(Table1[[#This Row],[Date]],2)+1)</f>
        <v>44144</v>
      </c>
      <c r="S367" s="131">
        <f>IF(ISBLANK(Table1[[#This Row],[Date]]),"",DATE(Table1[[#This Row],[Date_Year]],Table1[[#This Row],[Date_Month]],1))</f>
        <v>44136</v>
      </c>
    </row>
    <row r="368" spans="2:19" ht="15.75" x14ac:dyDescent="0.25">
      <c r="B368" s="133">
        <v>44150</v>
      </c>
      <c r="C368" s="128" t="s">
        <v>195</v>
      </c>
      <c r="D368" s="128" t="s">
        <v>48</v>
      </c>
      <c r="E368" s="128" t="str" cm="1">
        <f t="array" ref="E368">IFERROR(INDEX(SubcategoriesTable[Subcategory name],MATCH(Table1[[#This Row],[Category]],SubcategoriesTable[Category name],0),0),"")</f>
        <v>Variable</v>
      </c>
      <c r="F368" s="134">
        <v>-21.15</v>
      </c>
      <c r="G368" s="167" t="str">
        <f>_xlfn.XLOOKUP(Table1[[#This Row],[Account_ID]], Accounts[ID], Accounts[Account nickname], "Unknown")</f>
        <v>Discover it chrome Card</v>
      </c>
      <c r="H368" s="137" t="str">
        <f>_xlfn.XLOOKUP(Table1[[#This Row],[Account_ID]], Accounts[ID], Accounts[Account'#], "Unknown")</f>
        <v>7328</v>
      </c>
      <c r="I368" s="168" t="str">
        <f>_xlfn.XLOOKUP(Table1[[#This Row],[Institution_ID]], Institutions[ID], Institutions[Institution nickname], "Unknown")</f>
        <v>Discover</v>
      </c>
      <c r="J368" s="139" t="s">
        <v>449</v>
      </c>
      <c r="K368" s="129" t="s">
        <v>110</v>
      </c>
      <c r="L368" s="129" t="s">
        <v>108</v>
      </c>
      <c r="M368" s="130" t="str" cm="1">
        <f t="array" ref="M368">IFERROR(INDEX(CategoriesTable[Category type],MATCH(Table1[[#This Row],[Category]],CategoriesTable[Category name],0),0),"")</f>
        <v>Expense</v>
      </c>
      <c r="N368" s="130" t="str" cm="1">
        <f t="array" ref="N368">IFERROR(INDEX(SubcategoriesTable[Subcategory name],MATCH(Table1[[#This Row],[Category]],SubcategoriesTable[Category name],0),0),"")</f>
        <v>Variable</v>
      </c>
      <c r="O368" s="130">
        <v>15</v>
      </c>
      <c r="P368" s="130">
        <f>MONTH(Table1[[#This Row],[Date]])</f>
        <v>11</v>
      </c>
      <c r="Q368" s="130">
        <v>2020</v>
      </c>
      <c r="R368" s="166">
        <f>IF(ISBLANK(Table1[[#This Row],[Date]]),"",Table1[[#This Row],[Date]]-WEEKDAY(Table1[[#This Row],[Date]],2)+1)</f>
        <v>44144</v>
      </c>
      <c r="S368" s="131">
        <f>IF(ISBLANK(Table1[[#This Row],[Date]]),"",DATE(Table1[[#This Row],[Date_Year]],Table1[[#This Row],[Date_Month]],1))</f>
        <v>44136</v>
      </c>
    </row>
    <row r="369" spans="2:19" ht="15.75" x14ac:dyDescent="0.25">
      <c r="B369" s="133">
        <v>44150</v>
      </c>
      <c r="C369" s="128" t="s">
        <v>115</v>
      </c>
      <c r="D369" s="128" t="s">
        <v>48</v>
      </c>
      <c r="E369" s="128" t="str" cm="1">
        <f t="array" ref="E369">IFERROR(INDEX(SubcategoriesTable[Subcategory name],MATCH(Table1[[#This Row],[Category]],SubcategoriesTable[Category name],0),0),"")</f>
        <v>Variable</v>
      </c>
      <c r="F369" s="134">
        <v>-8.42</v>
      </c>
      <c r="G369" s="167" t="str">
        <f>_xlfn.XLOOKUP(Table1[[#This Row],[Account_ID]], Accounts[ID], Accounts[Account nickname], "Unknown")</f>
        <v>Discover it chrome Card</v>
      </c>
      <c r="H369" s="137" t="str">
        <f>_xlfn.XLOOKUP(Table1[[#This Row],[Account_ID]], Accounts[ID], Accounts[Account'#], "Unknown")</f>
        <v>7328</v>
      </c>
      <c r="I369" s="168" t="str">
        <f>_xlfn.XLOOKUP(Table1[[#This Row],[Institution_ID]], Institutions[ID], Institutions[Institution nickname], "Unknown")</f>
        <v>Discover</v>
      </c>
      <c r="J369" s="139" t="s">
        <v>450</v>
      </c>
      <c r="K369" s="129" t="s">
        <v>110</v>
      </c>
      <c r="L369" s="129" t="s">
        <v>108</v>
      </c>
      <c r="M369" s="130" t="str" cm="1">
        <f t="array" ref="M369">IFERROR(INDEX(CategoriesTable[Category type],MATCH(Table1[[#This Row],[Category]],CategoriesTable[Category name],0),0),"")</f>
        <v>Expense</v>
      </c>
      <c r="N369" s="130" t="str" cm="1">
        <f t="array" ref="N369">IFERROR(INDEX(SubcategoriesTable[Subcategory name],MATCH(Table1[[#This Row],[Category]],SubcategoriesTable[Category name],0),0),"")</f>
        <v>Variable</v>
      </c>
      <c r="O369" s="130">
        <v>15</v>
      </c>
      <c r="P369" s="130">
        <f>MONTH(Table1[[#This Row],[Date]])</f>
        <v>11</v>
      </c>
      <c r="Q369" s="130">
        <v>2020</v>
      </c>
      <c r="R369" s="166">
        <f>IF(ISBLANK(Table1[[#This Row],[Date]]),"",Table1[[#This Row],[Date]]-WEEKDAY(Table1[[#This Row],[Date]],2)+1)</f>
        <v>44144</v>
      </c>
      <c r="S369" s="131">
        <f>IF(ISBLANK(Table1[[#This Row],[Date]]),"",DATE(Table1[[#This Row],[Date_Year]],Table1[[#This Row],[Date_Month]],1))</f>
        <v>44136</v>
      </c>
    </row>
    <row r="370" spans="2:19" ht="15.75" x14ac:dyDescent="0.25">
      <c r="B370" s="133">
        <v>44150</v>
      </c>
      <c r="C370" s="128" t="s">
        <v>115</v>
      </c>
      <c r="D370" s="128" t="s">
        <v>48</v>
      </c>
      <c r="E370" s="128" t="str" cm="1">
        <f t="array" ref="E370">IFERROR(INDEX(SubcategoriesTable[Subcategory name],MATCH(Table1[[#This Row],[Category]],SubcategoriesTable[Category name],0),0),"")</f>
        <v>Variable</v>
      </c>
      <c r="F370" s="134">
        <v>-14.48</v>
      </c>
      <c r="G370" s="167" t="str">
        <f>_xlfn.XLOOKUP(Table1[[#This Row],[Account_ID]], Accounts[ID], Accounts[Account nickname], "Unknown")</f>
        <v>Discover it chrome Card</v>
      </c>
      <c r="H370" s="137" t="str">
        <f>_xlfn.XLOOKUP(Table1[[#This Row],[Account_ID]], Accounts[ID], Accounts[Account'#], "Unknown")</f>
        <v>7328</v>
      </c>
      <c r="I370" s="168" t="str">
        <f>_xlfn.XLOOKUP(Table1[[#This Row],[Institution_ID]], Institutions[ID], Institutions[Institution nickname], "Unknown")</f>
        <v>Discover</v>
      </c>
      <c r="J370" s="139" t="s">
        <v>451</v>
      </c>
      <c r="K370" s="129" t="s">
        <v>110</v>
      </c>
      <c r="L370" s="129" t="s">
        <v>108</v>
      </c>
      <c r="M370" s="130" t="str" cm="1">
        <f t="array" ref="M370">IFERROR(INDEX(CategoriesTable[Category type],MATCH(Table1[[#This Row],[Category]],CategoriesTable[Category name],0),0),"")</f>
        <v>Expense</v>
      </c>
      <c r="N370" s="130" t="str" cm="1">
        <f t="array" ref="N370">IFERROR(INDEX(SubcategoriesTable[Subcategory name],MATCH(Table1[[#This Row],[Category]],SubcategoriesTable[Category name],0),0),"")</f>
        <v>Variable</v>
      </c>
      <c r="O370" s="130">
        <v>15</v>
      </c>
      <c r="P370" s="130">
        <f>MONTH(Table1[[#This Row],[Date]])</f>
        <v>11</v>
      </c>
      <c r="Q370" s="130">
        <v>2020</v>
      </c>
      <c r="R370" s="166">
        <f>IF(ISBLANK(Table1[[#This Row],[Date]]),"",Table1[[#This Row],[Date]]-WEEKDAY(Table1[[#This Row],[Date]],2)+1)</f>
        <v>44144</v>
      </c>
      <c r="S370" s="131">
        <f>IF(ISBLANK(Table1[[#This Row],[Date]]),"",DATE(Table1[[#This Row],[Date_Year]],Table1[[#This Row],[Date_Month]],1))</f>
        <v>44136</v>
      </c>
    </row>
    <row r="371" spans="2:19" ht="15.75" x14ac:dyDescent="0.25">
      <c r="B371" s="133">
        <v>44149</v>
      </c>
      <c r="C371" s="128" t="s">
        <v>163</v>
      </c>
      <c r="D371" s="128" t="s">
        <v>54</v>
      </c>
      <c r="E371" s="128" t="str" cm="1">
        <f t="array" ref="E371">IFERROR(INDEX(SubcategoriesTable[Subcategory name],MATCH(Table1[[#This Row],[Category]],SubcategoriesTable[Category name],0),0),"")</f>
        <v>Fixed</v>
      </c>
      <c r="F371" s="134">
        <v>-14.99</v>
      </c>
      <c r="G371" s="167" t="str">
        <f>_xlfn.XLOOKUP(Table1[[#This Row],[Account_ID]], Accounts[ID], Accounts[Account nickname], "Unknown")</f>
        <v>Discover it chrome Card</v>
      </c>
      <c r="H371" s="137" t="str">
        <f>_xlfn.XLOOKUP(Table1[[#This Row],[Account_ID]], Accounts[ID], Accounts[Account'#], "Unknown")</f>
        <v>7328</v>
      </c>
      <c r="I371" s="168" t="str">
        <f>_xlfn.XLOOKUP(Table1[[#This Row],[Institution_ID]], Institutions[ID], Institutions[Institution nickname], "Unknown")</f>
        <v>Discover</v>
      </c>
      <c r="J371" s="139" t="s">
        <v>452</v>
      </c>
      <c r="K371" s="129" t="s">
        <v>110</v>
      </c>
      <c r="L371" s="129" t="s">
        <v>108</v>
      </c>
      <c r="M371" s="130" t="str" cm="1">
        <f t="array" ref="M371">IFERROR(INDEX(CategoriesTable[Category type],MATCH(Table1[[#This Row],[Category]],CategoriesTable[Category name],0),0),"")</f>
        <v>Expense</v>
      </c>
      <c r="N371" s="130" t="str" cm="1">
        <f t="array" ref="N371">IFERROR(INDEX(SubcategoriesTable[Subcategory name],MATCH(Table1[[#This Row],[Category]],SubcategoriesTable[Category name],0),0),"")</f>
        <v>Fixed</v>
      </c>
      <c r="O371" s="130">
        <v>14</v>
      </c>
      <c r="P371" s="130">
        <f>MONTH(Table1[[#This Row],[Date]])</f>
        <v>11</v>
      </c>
      <c r="Q371" s="130">
        <v>2020</v>
      </c>
      <c r="R371" s="166">
        <f>IF(ISBLANK(Table1[[#This Row],[Date]]),"",Table1[[#This Row],[Date]]-WEEKDAY(Table1[[#This Row],[Date]],2)+1)</f>
        <v>44144</v>
      </c>
      <c r="S371" s="131">
        <f>IF(ISBLANK(Table1[[#This Row],[Date]]),"",DATE(Table1[[#This Row],[Date_Year]],Table1[[#This Row],[Date_Month]],1))</f>
        <v>44136</v>
      </c>
    </row>
    <row r="372" spans="2:19" ht="15.75" x14ac:dyDescent="0.25">
      <c r="B372" s="133">
        <v>44149</v>
      </c>
      <c r="C372" s="128" t="s">
        <v>380</v>
      </c>
      <c r="D372" s="128" t="s">
        <v>46</v>
      </c>
      <c r="E372" s="128" t="str" cm="1">
        <f t="array" ref="E372">IFERROR(INDEX(SubcategoriesTable[Subcategory name],MATCH(Table1[[#This Row],[Category]],SubcategoriesTable[Category name],0),0),"")</f>
        <v>Variable</v>
      </c>
      <c r="F372" s="134">
        <v>-9.99</v>
      </c>
      <c r="G372" s="167" t="str">
        <f>_xlfn.XLOOKUP(Table1[[#This Row],[Account_ID]], Accounts[ID], Accounts[Account nickname], "Unknown")</f>
        <v>Discover it chrome Card</v>
      </c>
      <c r="H372" s="137" t="str">
        <f>_xlfn.XLOOKUP(Table1[[#This Row],[Account_ID]], Accounts[ID], Accounts[Account'#], "Unknown")</f>
        <v>7328</v>
      </c>
      <c r="I372" s="168" t="str">
        <f>_xlfn.XLOOKUP(Table1[[#This Row],[Institution_ID]], Institutions[ID], Institutions[Institution nickname], "Unknown")</f>
        <v>Discover</v>
      </c>
      <c r="J372" s="139" t="s">
        <v>453</v>
      </c>
      <c r="K372" s="129" t="s">
        <v>110</v>
      </c>
      <c r="L372" s="129" t="s">
        <v>108</v>
      </c>
      <c r="M372" s="130" t="str" cm="1">
        <f t="array" ref="M372">IFERROR(INDEX(CategoriesTable[Category type],MATCH(Table1[[#This Row],[Category]],CategoriesTable[Category name],0),0),"")</f>
        <v>Expense</v>
      </c>
      <c r="N372" s="130" t="str" cm="1">
        <f t="array" ref="N372">IFERROR(INDEX(SubcategoriesTable[Subcategory name],MATCH(Table1[[#This Row],[Category]],SubcategoriesTable[Category name],0),0),"")</f>
        <v>Variable</v>
      </c>
      <c r="O372" s="130">
        <v>14</v>
      </c>
      <c r="P372" s="130">
        <f>MONTH(Table1[[#This Row],[Date]])</f>
        <v>11</v>
      </c>
      <c r="Q372" s="130">
        <v>2020</v>
      </c>
      <c r="R372" s="166">
        <f>IF(ISBLANK(Table1[[#This Row],[Date]]),"",Table1[[#This Row],[Date]]-WEEKDAY(Table1[[#This Row],[Date]],2)+1)</f>
        <v>44144</v>
      </c>
      <c r="S372" s="131">
        <f>IF(ISBLANK(Table1[[#This Row],[Date]]),"",DATE(Table1[[#This Row],[Date_Year]],Table1[[#This Row],[Date_Month]],1))</f>
        <v>44136</v>
      </c>
    </row>
    <row r="373" spans="2:19" ht="15.75" x14ac:dyDescent="0.25">
      <c r="B373" s="133">
        <v>44149</v>
      </c>
      <c r="C373" s="128" t="s">
        <v>267</v>
      </c>
      <c r="D373" s="128" t="s">
        <v>46</v>
      </c>
      <c r="E373" s="128" t="str" cm="1">
        <f t="array" ref="E373">IFERROR(INDEX(SubcategoriesTable[Subcategory name],MATCH(Table1[[#This Row],[Category]],SubcategoriesTable[Category name],0),0),"")</f>
        <v>Variable</v>
      </c>
      <c r="F373" s="134">
        <v>-1.03</v>
      </c>
      <c r="G373" s="167" t="str">
        <f>_xlfn.XLOOKUP(Table1[[#This Row],[Account_ID]], Accounts[ID], Accounts[Account nickname], "Unknown")</f>
        <v>Discover it chrome Card</v>
      </c>
      <c r="H373" s="137" t="str">
        <f>_xlfn.XLOOKUP(Table1[[#This Row],[Account_ID]], Accounts[ID], Accounts[Account'#], "Unknown")</f>
        <v>7328</v>
      </c>
      <c r="I373" s="168" t="str">
        <f>_xlfn.XLOOKUP(Table1[[#This Row],[Institution_ID]], Institutions[ID], Institutions[Institution nickname], "Unknown")</f>
        <v>Discover</v>
      </c>
      <c r="J373" s="171" t="s">
        <v>454</v>
      </c>
      <c r="K373" s="129" t="s">
        <v>110</v>
      </c>
      <c r="L373" s="129" t="s">
        <v>108</v>
      </c>
      <c r="M373" s="130" t="str" cm="1">
        <f t="array" ref="M373">IFERROR(INDEX(CategoriesTable[Category type],MATCH(Table1[[#This Row],[Category]],CategoriesTable[Category name],0),0),"")</f>
        <v>Expense</v>
      </c>
      <c r="N373" s="130" t="str" cm="1">
        <f t="array" ref="N373">IFERROR(INDEX(SubcategoriesTable[Subcategory name],MATCH(Table1[[#This Row],[Category]],SubcategoriesTable[Category name],0),0),"")</f>
        <v>Variable</v>
      </c>
      <c r="O373" s="130">
        <v>14</v>
      </c>
      <c r="P373" s="130">
        <f>MONTH(Table1[[#This Row],[Date]])</f>
        <v>11</v>
      </c>
      <c r="Q373" s="130">
        <v>2020</v>
      </c>
      <c r="R373" s="166">
        <f>IF(ISBLANK(Table1[[#This Row],[Date]]),"",Table1[[#This Row],[Date]]-WEEKDAY(Table1[[#This Row],[Date]],2)+1)</f>
        <v>44144</v>
      </c>
      <c r="S373" s="131">
        <f>IF(ISBLANK(Table1[[#This Row],[Date]]),"",DATE(Table1[[#This Row],[Date_Year]],Table1[[#This Row],[Date_Month]],1))</f>
        <v>44136</v>
      </c>
    </row>
    <row r="374" spans="2:19" ht="15.75" x14ac:dyDescent="0.25">
      <c r="B374" s="133">
        <v>44149</v>
      </c>
      <c r="C374" s="128" t="s">
        <v>275</v>
      </c>
      <c r="D374" s="128" t="s">
        <v>56</v>
      </c>
      <c r="E374" s="128" t="str" cm="1">
        <f t="array" ref="E374">IFERROR(INDEX(SubcategoriesTable[Subcategory name],MATCH(Table1[[#This Row],[Category]],SubcategoriesTable[Category name],0),0),"")</f>
        <v>Variable</v>
      </c>
      <c r="F374" s="134">
        <v>-24.16</v>
      </c>
      <c r="G374" s="167" t="str">
        <f>_xlfn.XLOOKUP(Table1[[#This Row],[Account_ID]], Accounts[ID], Accounts[Account nickname], "Unknown")</f>
        <v>Discover it chrome Card</v>
      </c>
      <c r="H374" s="137" t="str">
        <f>_xlfn.XLOOKUP(Table1[[#This Row],[Account_ID]], Accounts[ID], Accounts[Account'#], "Unknown")</f>
        <v>7328</v>
      </c>
      <c r="I374" s="168" t="str">
        <f>_xlfn.XLOOKUP(Table1[[#This Row],[Institution_ID]], Institutions[ID], Institutions[Institution nickname], "Unknown")</f>
        <v>Discover</v>
      </c>
      <c r="J374" s="139" t="s">
        <v>455</v>
      </c>
      <c r="K374" s="129" t="s">
        <v>110</v>
      </c>
      <c r="L374" s="129" t="s">
        <v>108</v>
      </c>
      <c r="M374" s="130" t="str" cm="1">
        <f t="array" ref="M374">IFERROR(INDEX(CategoriesTable[Category type],MATCH(Table1[[#This Row],[Category]],CategoriesTable[Category name],0),0),"")</f>
        <v>Expense</v>
      </c>
      <c r="N374" s="130" t="str" cm="1">
        <f t="array" ref="N374">IFERROR(INDEX(SubcategoriesTable[Subcategory name],MATCH(Table1[[#This Row],[Category]],SubcategoriesTable[Category name],0),0),"")</f>
        <v>Variable</v>
      </c>
      <c r="O374" s="130">
        <v>14</v>
      </c>
      <c r="P374" s="130">
        <f>MONTH(Table1[[#This Row],[Date]])</f>
        <v>11</v>
      </c>
      <c r="Q374" s="130">
        <v>2020</v>
      </c>
      <c r="R374" s="166">
        <f>IF(ISBLANK(Table1[[#This Row],[Date]]),"",Table1[[#This Row],[Date]]-WEEKDAY(Table1[[#This Row],[Date]],2)+1)</f>
        <v>44144</v>
      </c>
      <c r="S374" s="131">
        <f>IF(ISBLANK(Table1[[#This Row],[Date]]),"",DATE(Table1[[#This Row],[Date_Year]],Table1[[#This Row],[Date_Month]],1))</f>
        <v>44136</v>
      </c>
    </row>
    <row r="375" spans="2:19" ht="15.75" x14ac:dyDescent="0.25">
      <c r="B375" s="133">
        <v>44148</v>
      </c>
      <c r="C375" s="128" t="s">
        <v>1444</v>
      </c>
      <c r="D375" s="128" t="s">
        <v>50</v>
      </c>
      <c r="E375" s="128" t="str" cm="1">
        <f t="array" ref="E375">IFERROR(INDEX(SubcategoriesTable[Subcategory name],MATCH(Table1[[#This Row],[Category]],SubcategoriesTable[Category name],0),0),"")</f>
        <v>Variable</v>
      </c>
      <c r="F375" s="134">
        <v>513.79999999999995</v>
      </c>
      <c r="G375" s="167" t="str">
        <f>_xlfn.XLOOKUP(Table1[[#This Row],[Account_ID]], Accounts[ID], Accounts[Account nickname], "Unknown")</f>
        <v>EVERYDAY CHECKING</v>
      </c>
      <c r="H375" s="137" t="str">
        <f>_xlfn.XLOOKUP(Table1[[#This Row],[Account_ID]], Accounts[ID], Accounts[Account'#], "Unknown")</f>
        <v>4636</v>
      </c>
      <c r="I375" s="168" t="str">
        <f>_xlfn.XLOOKUP(Table1[[#This Row],[Institution_ID]], Institutions[ID], Institutions[Institution nickname], "Unknown")</f>
        <v>Wells Fargo</v>
      </c>
      <c r="J375" s="139" t="s">
        <v>1445</v>
      </c>
      <c r="K375" s="129" t="s">
        <v>1229</v>
      </c>
      <c r="L375" s="129" t="s">
        <v>1228</v>
      </c>
      <c r="M375" s="130" t="str" cm="1">
        <f t="array" ref="M375">IFERROR(INDEX(CategoriesTable[Category type],MATCH(Table1[[#This Row],[Category]],CategoriesTable[Category name],0),0),"")</f>
        <v>Transfer</v>
      </c>
      <c r="N375" s="130" t="str" cm="1">
        <f t="array" ref="N375">IFERROR(INDEX(SubcategoriesTable[Subcategory name],MATCH(Table1[[#This Row],[Category]],SubcategoriesTable[Category name],0),0),"")</f>
        <v>Variable</v>
      </c>
      <c r="O375" s="130">
        <v>13</v>
      </c>
      <c r="P375" s="130">
        <f>MONTH(Table1[[#This Row],[Date]])</f>
        <v>11</v>
      </c>
      <c r="Q375" s="130">
        <v>2020</v>
      </c>
      <c r="R375" s="166">
        <f>IF(ISBLANK(Table1[[#This Row],[Date]]),"",Table1[[#This Row],[Date]]-WEEKDAY(Table1[[#This Row],[Date]],2)+1)</f>
        <v>44144</v>
      </c>
      <c r="S375" s="131">
        <f>IF(ISBLANK(Table1[[#This Row],[Date]]),"",DATE(Table1[[#This Row],[Date_Year]],Table1[[#This Row],[Date_Month]],1))</f>
        <v>44136</v>
      </c>
    </row>
    <row r="376" spans="2:19" ht="15.75" x14ac:dyDescent="0.25">
      <c r="B376" s="133">
        <v>44148</v>
      </c>
      <c r="C376" s="128" t="s">
        <v>1202</v>
      </c>
      <c r="D376" s="128" t="s">
        <v>50</v>
      </c>
      <c r="E376" s="128" t="str" cm="1">
        <f t="array" ref="E376">IFERROR(INDEX(SubcategoriesTable[Subcategory name],MATCH(Table1[[#This Row],[Category]],SubcategoriesTable[Category name],0),0),"")</f>
        <v>Variable</v>
      </c>
      <c r="F376" s="134">
        <v>90</v>
      </c>
      <c r="G376" s="167" t="str">
        <f>_xlfn.XLOOKUP(Table1[[#This Row],[Account_ID]], Accounts[ID], Accounts[Account nickname], "Unknown")</f>
        <v>EVERYDAY CHECKING</v>
      </c>
      <c r="H376" s="137" t="str">
        <f>_xlfn.XLOOKUP(Table1[[#This Row],[Account_ID]], Accounts[ID], Accounts[Account'#], "Unknown")</f>
        <v>4636</v>
      </c>
      <c r="I376" s="168" t="str">
        <f>_xlfn.XLOOKUP(Table1[[#This Row],[Institution_ID]], Institutions[ID], Institutions[Institution nickname], "Unknown")</f>
        <v>Wells Fargo</v>
      </c>
      <c r="J376" s="139" t="s">
        <v>1446</v>
      </c>
      <c r="K376" s="129" t="s">
        <v>1229</v>
      </c>
      <c r="L376" s="129" t="s">
        <v>1228</v>
      </c>
      <c r="M376" s="130" t="str" cm="1">
        <f t="array" ref="M376">IFERROR(INDEX(CategoriesTable[Category type],MATCH(Table1[[#This Row],[Category]],CategoriesTable[Category name],0),0),"")</f>
        <v>Transfer</v>
      </c>
      <c r="N376" s="130" t="str" cm="1">
        <f t="array" ref="N376">IFERROR(INDEX(SubcategoriesTable[Subcategory name],MATCH(Table1[[#This Row],[Category]],SubcategoriesTable[Category name],0),0),"")</f>
        <v>Variable</v>
      </c>
      <c r="O376" s="130">
        <v>13</v>
      </c>
      <c r="P376" s="130">
        <f>MONTH(Table1[[#This Row],[Date]])</f>
        <v>11</v>
      </c>
      <c r="Q376" s="130">
        <v>2020</v>
      </c>
      <c r="R376" s="166">
        <f>IF(ISBLANK(Table1[[#This Row],[Date]]),"",Table1[[#This Row],[Date]]-WEEKDAY(Table1[[#This Row],[Date]],2)+1)</f>
        <v>44144</v>
      </c>
      <c r="S376" s="131">
        <f>IF(ISBLANK(Table1[[#This Row],[Date]]),"",DATE(Table1[[#This Row],[Date_Year]],Table1[[#This Row],[Date_Month]],1))</f>
        <v>44136</v>
      </c>
    </row>
    <row r="377" spans="2:19" ht="15.75" x14ac:dyDescent="0.25">
      <c r="B377" s="133">
        <v>44148</v>
      </c>
      <c r="C377" s="128" t="s">
        <v>508</v>
      </c>
      <c r="D377" s="128" t="s">
        <v>50</v>
      </c>
      <c r="E377" s="128" t="str" cm="1">
        <f t="array" ref="E377">IFERROR(INDEX(SubcategoriesTable[Subcategory name],MATCH(Table1[[#This Row],[Category]],SubcategoriesTable[Category name],0),0),"")</f>
        <v>Variable</v>
      </c>
      <c r="F377" s="134">
        <v>-30</v>
      </c>
      <c r="G377" s="167" t="str">
        <f>_xlfn.XLOOKUP(Table1[[#This Row],[Account_ID]], Accounts[ID], Accounts[Account nickname], "Unknown")</f>
        <v>EVERYDAY CHECKING</v>
      </c>
      <c r="H377" s="137" t="str">
        <f>_xlfn.XLOOKUP(Table1[[#This Row],[Account_ID]], Accounts[ID], Accounts[Account'#], "Unknown")</f>
        <v>4636</v>
      </c>
      <c r="I377" s="168" t="str">
        <f>_xlfn.XLOOKUP(Table1[[#This Row],[Institution_ID]], Institutions[ID], Institutions[Institution nickname], "Unknown")</f>
        <v>Wells Fargo</v>
      </c>
      <c r="J377" s="139" t="s">
        <v>1447</v>
      </c>
      <c r="K377" s="129" t="s">
        <v>1229</v>
      </c>
      <c r="L377" s="129" t="s">
        <v>1228</v>
      </c>
      <c r="M377" s="130" t="str" cm="1">
        <f t="array" ref="M377">IFERROR(INDEX(CategoriesTable[Category type],MATCH(Table1[[#This Row],[Category]],CategoriesTable[Category name],0),0),"")</f>
        <v>Transfer</v>
      </c>
      <c r="N377" s="130" t="str" cm="1">
        <f t="array" ref="N377">IFERROR(INDEX(SubcategoriesTable[Subcategory name],MATCH(Table1[[#This Row],[Category]],SubcategoriesTable[Category name],0),0),"")</f>
        <v>Variable</v>
      </c>
      <c r="O377" s="130">
        <v>13</v>
      </c>
      <c r="P377" s="130">
        <f>MONTH(Table1[[#This Row],[Date]])</f>
        <v>11</v>
      </c>
      <c r="Q377" s="130">
        <v>2020</v>
      </c>
      <c r="R377" s="166">
        <f>IF(ISBLANK(Table1[[#This Row],[Date]]),"",Table1[[#This Row],[Date]]-WEEKDAY(Table1[[#This Row],[Date]],2)+1)</f>
        <v>44144</v>
      </c>
      <c r="S377" s="131">
        <f>IF(ISBLANK(Table1[[#This Row],[Date]]),"",DATE(Table1[[#This Row],[Date_Year]],Table1[[#This Row],[Date_Month]],1))</f>
        <v>44136</v>
      </c>
    </row>
    <row r="378" spans="2:19" ht="15.75" x14ac:dyDescent="0.25">
      <c r="B378" s="133">
        <v>44148</v>
      </c>
      <c r="C378" s="128" t="s">
        <v>508</v>
      </c>
      <c r="D378" s="128" t="s">
        <v>50</v>
      </c>
      <c r="E378" s="128" t="str" cm="1">
        <f t="array" ref="E378">IFERROR(INDEX(SubcategoriesTable[Subcategory name],MATCH(Table1[[#This Row],[Category]],SubcategoriesTable[Category name],0),0),"")</f>
        <v>Variable</v>
      </c>
      <c r="F378" s="134">
        <v>-56.01</v>
      </c>
      <c r="G378" s="167" t="str">
        <f>_xlfn.XLOOKUP(Table1[[#This Row],[Account_ID]], Accounts[ID], Accounts[Account nickname], "Unknown")</f>
        <v>EVERYDAY CHECKING</v>
      </c>
      <c r="H378" s="137" t="str">
        <f>_xlfn.XLOOKUP(Table1[[#This Row],[Account_ID]], Accounts[ID], Accounts[Account'#], "Unknown")</f>
        <v>4636</v>
      </c>
      <c r="I378" s="168" t="str">
        <f>_xlfn.XLOOKUP(Table1[[#This Row],[Institution_ID]], Institutions[ID], Institutions[Institution nickname], "Unknown")</f>
        <v>Wells Fargo</v>
      </c>
      <c r="J378" s="139" t="s">
        <v>1448</v>
      </c>
      <c r="K378" s="129" t="s">
        <v>1229</v>
      </c>
      <c r="L378" s="129" t="s">
        <v>1228</v>
      </c>
      <c r="M378" s="130" t="str" cm="1">
        <f t="array" ref="M378">IFERROR(INDEX(CategoriesTable[Category type],MATCH(Table1[[#This Row],[Category]],CategoriesTable[Category name],0),0),"")</f>
        <v>Transfer</v>
      </c>
      <c r="N378" s="130" t="str" cm="1">
        <f t="array" ref="N378">IFERROR(INDEX(SubcategoriesTable[Subcategory name],MATCH(Table1[[#This Row],[Category]],SubcategoriesTable[Category name],0),0),"")</f>
        <v>Variable</v>
      </c>
      <c r="O378" s="130">
        <v>13</v>
      </c>
      <c r="P378" s="130">
        <f>MONTH(Table1[[#This Row],[Date]])</f>
        <v>11</v>
      </c>
      <c r="Q378" s="130">
        <v>2020</v>
      </c>
      <c r="R378" s="166">
        <f>IF(ISBLANK(Table1[[#This Row],[Date]]),"",Table1[[#This Row],[Date]]-WEEKDAY(Table1[[#This Row],[Date]],2)+1)</f>
        <v>44144</v>
      </c>
      <c r="S378" s="131">
        <f>IF(ISBLANK(Table1[[#This Row],[Date]]),"",DATE(Table1[[#This Row],[Date_Year]],Table1[[#This Row],[Date_Month]],1))</f>
        <v>44136</v>
      </c>
    </row>
    <row r="379" spans="2:19" ht="15.75" x14ac:dyDescent="0.25">
      <c r="B379" s="133">
        <v>44148</v>
      </c>
      <c r="C379" s="128" t="s">
        <v>508</v>
      </c>
      <c r="D379" s="128" t="s">
        <v>50</v>
      </c>
      <c r="E379" s="128" t="str" cm="1">
        <f t="array" ref="E379">IFERROR(INDEX(SubcategoriesTable[Subcategory name],MATCH(Table1[[#This Row],[Category]],SubcategoriesTable[Category name],0),0),"")</f>
        <v>Variable</v>
      </c>
      <c r="F379" s="134">
        <v>-500</v>
      </c>
      <c r="G379" s="167" t="str">
        <f>_xlfn.XLOOKUP(Table1[[#This Row],[Account_ID]], Accounts[ID], Accounts[Account nickname], "Unknown")</f>
        <v>EVERYDAY CHECKING</v>
      </c>
      <c r="H379" s="137" t="str">
        <f>_xlfn.XLOOKUP(Table1[[#This Row],[Account_ID]], Accounts[ID], Accounts[Account'#], "Unknown")</f>
        <v>4636</v>
      </c>
      <c r="I379" s="168" t="str">
        <f>_xlfn.XLOOKUP(Table1[[#This Row],[Institution_ID]], Institutions[ID], Institutions[Institution nickname], "Unknown")</f>
        <v>Wells Fargo</v>
      </c>
      <c r="J379" s="139" t="s">
        <v>1449</v>
      </c>
      <c r="K379" s="129" t="s">
        <v>1229</v>
      </c>
      <c r="L379" s="129" t="s">
        <v>1228</v>
      </c>
      <c r="M379" s="130" t="str" cm="1">
        <f t="array" ref="M379">IFERROR(INDEX(CategoriesTable[Category type],MATCH(Table1[[#This Row],[Category]],CategoriesTable[Category name],0),0),"")</f>
        <v>Transfer</v>
      </c>
      <c r="N379" s="130" t="str" cm="1">
        <f t="array" ref="N379">IFERROR(INDEX(SubcategoriesTable[Subcategory name],MATCH(Table1[[#This Row],[Category]],SubcategoriesTable[Category name],0),0),"")</f>
        <v>Variable</v>
      </c>
      <c r="O379" s="130">
        <v>13</v>
      </c>
      <c r="P379" s="130">
        <f>MONTH(Table1[[#This Row],[Date]])</f>
        <v>11</v>
      </c>
      <c r="Q379" s="130">
        <v>2020</v>
      </c>
      <c r="R379" s="166">
        <f>IF(ISBLANK(Table1[[#This Row],[Date]]),"",Table1[[#This Row],[Date]]-WEEKDAY(Table1[[#This Row],[Date]],2)+1)</f>
        <v>44144</v>
      </c>
      <c r="S379" s="131">
        <f>IF(ISBLANK(Table1[[#This Row],[Date]]),"",DATE(Table1[[#This Row],[Date_Year]],Table1[[#This Row],[Date_Month]],1))</f>
        <v>44136</v>
      </c>
    </row>
    <row r="380" spans="2:19" ht="15.75" x14ac:dyDescent="0.25">
      <c r="B380" s="133">
        <v>44148</v>
      </c>
      <c r="C380" s="128" t="s">
        <v>380</v>
      </c>
      <c r="D380" s="128" t="s">
        <v>46</v>
      </c>
      <c r="E380" s="128" t="str" cm="1">
        <f t="array" ref="E380">IFERROR(INDEX(SubcategoriesTable[Subcategory name],MATCH(Table1[[#This Row],[Category]],SubcategoriesTable[Category name],0),0),"")</f>
        <v>Variable</v>
      </c>
      <c r="F380" s="134">
        <v>-19.989999999999998</v>
      </c>
      <c r="G380" s="167" t="str">
        <f>_xlfn.XLOOKUP(Table1[[#This Row],[Account_ID]], Accounts[ID], Accounts[Account nickname], "Unknown")</f>
        <v>Discover it chrome Card</v>
      </c>
      <c r="H380" s="137" t="str">
        <f>_xlfn.XLOOKUP(Table1[[#This Row],[Account_ID]], Accounts[ID], Accounts[Account'#], "Unknown")</f>
        <v>7328</v>
      </c>
      <c r="I380" s="168" t="str">
        <f>_xlfn.XLOOKUP(Table1[[#This Row],[Institution_ID]], Institutions[ID], Institutions[Institution nickname], "Unknown")</f>
        <v>Discover</v>
      </c>
      <c r="J380" s="139" t="s">
        <v>456</v>
      </c>
      <c r="K380" s="129" t="s">
        <v>110</v>
      </c>
      <c r="L380" s="129" t="s">
        <v>108</v>
      </c>
      <c r="M380" s="130" t="str" cm="1">
        <f t="array" ref="M380">IFERROR(INDEX(CategoriesTable[Category type],MATCH(Table1[[#This Row],[Category]],CategoriesTable[Category name],0),0),"")</f>
        <v>Expense</v>
      </c>
      <c r="N380" s="130" t="str" cm="1">
        <f t="array" ref="N380">IFERROR(INDEX(SubcategoriesTable[Subcategory name],MATCH(Table1[[#This Row],[Category]],SubcategoriesTable[Category name],0),0),"")</f>
        <v>Variable</v>
      </c>
      <c r="O380" s="130">
        <v>13</v>
      </c>
      <c r="P380" s="130">
        <f>MONTH(Table1[[#This Row],[Date]])</f>
        <v>11</v>
      </c>
      <c r="Q380" s="130">
        <v>2020</v>
      </c>
      <c r="R380" s="166">
        <f>IF(ISBLANK(Table1[[#This Row],[Date]]),"",Table1[[#This Row],[Date]]-WEEKDAY(Table1[[#This Row],[Date]],2)+1)</f>
        <v>44144</v>
      </c>
      <c r="S380" s="131">
        <f>IF(ISBLANK(Table1[[#This Row],[Date]]),"",DATE(Table1[[#This Row],[Date_Year]],Table1[[#This Row],[Date_Month]],1))</f>
        <v>44136</v>
      </c>
    </row>
    <row r="381" spans="2:19" ht="15.75" x14ac:dyDescent="0.25">
      <c r="B381" s="133">
        <v>44148</v>
      </c>
      <c r="C381" s="128" t="s">
        <v>457</v>
      </c>
      <c r="D381" s="128" t="s">
        <v>46</v>
      </c>
      <c r="E381" s="128" t="str" cm="1">
        <f t="array" ref="E381">IFERROR(INDEX(SubcategoriesTable[Subcategory name],MATCH(Table1[[#This Row],[Category]],SubcategoriesTable[Category name],0),0),"")</f>
        <v>Variable</v>
      </c>
      <c r="F381" s="134">
        <v>-26.22</v>
      </c>
      <c r="G381" s="167" t="str">
        <f>_xlfn.XLOOKUP(Table1[[#This Row],[Account_ID]], Accounts[ID], Accounts[Account nickname], "Unknown")</f>
        <v>Discover it chrome Card</v>
      </c>
      <c r="H381" s="137" t="str">
        <f>_xlfn.XLOOKUP(Table1[[#This Row],[Account_ID]], Accounts[ID], Accounts[Account'#], "Unknown")</f>
        <v>7328</v>
      </c>
      <c r="I381" s="168" t="str">
        <f>_xlfn.XLOOKUP(Table1[[#This Row],[Institution_ID]], Institutions[ID], Institutions[Institution nickname], "Unknown")</f>
        <v>Discover</v>
      </c>
      <c r="J381" s="139" t="s">
        <v>458</v>
      </c>
      <c r="K381" s="129" t="s">
        <v>110</v>
      </c>
      <c r="L381" s="129" t="s">
        <v>108</v>
      </c>
      <c r="M381" s="130" t="str" cm="1">
        <f t="array" ref="M381">IFERROR(INDEX(CategoriesTable[Category type],MATCH(Table1[[#This Row],[Category]],CategoriesTable[Category name],0),0),"")</f>
        <v>Expense</v>
      </c>
      <c r="N381" s="130" t="str" cm="1">
        <f t="array" ref="N381">IFERROR(INDEX(SubcategoriesTable[Subcategory name],MATCH(Table1[[#This Row],[Category]],SubcategoriesTable[Category name],0),0),"")</f>
        <v>Variable</v>
      </c>
      <c r="O381" s="130">
        <v>13</v>
      </c>
      <c r="P381" s="130">
        <f>MONTH(Table1[[#This Row],[Date]])</f>
        <v>11</v>
      </c>
      <c r="Q381" s="130">
        <v>2020</v>
      </c>
      <c r="R381" s="166">
        <f>IF(ISBLANK(Table1[[#This Row],[Date]]),"",Table1[[#This Row],[Date]]-WEEKDAY(Table1[[#This Row],[Date]],2)+1)</f>
        <v>44144</v>
      </c>
      <c r="S381" s="131">
        <f>IF(ISBLANK(Table1[[#This Row],[Date]]),"",DATE(Table1[[#This Row],[Date_Year]],Table1[[#This Row],[Date_Month]],1))</f>
        <v>44136</v>
      </c>
    </row>
    <row r="382" spans="2:19" ht="15.75" x14ac:dyDescent="0.25">
      <c r="B382" s="133">
        <v>44148</v>
      </c>
      <c r="C382" s="128" t="s">
        <v>459</v>
      </c>
      <c r="D382" s="128" t="s">
        <v>48</v>
      </c>
      <c r="E382" s="128" t="str" cm="1">
        <f t="array" ref="E382">IFERROR(INDEX(SubcategoriesTable[Subcategory name],MATCH(Table1[[#This Row],[Category]],SubcategoriesTable[Category name],0),0),"")</f>
        <v>Variable</v>
      </c>
      <c r="F382" s="134">
        <v>-64.48</v>
      </c>
      <c r="G382" s="167" t="str">
        <f>_xlfn.XLOOKUP(Table1[[#This Row],[Account_ID]], Accounts[ID], Accounts[Account nickname], "Unknown")</f>
        <v>Discover it chrome Card</v>
      </c>
      <c r="H382" s="137" t="str">
        <f>_xlfn.XLOOKUP(Table1[[#This Row],[Account_ID]], Accounts[ID], Accounts[Account'#], "Unknown")</f>
        <v>7328</v>
      </c>
      <c r="I382" s="168" t="str">
        <f>_xlfn.XLOOKUP(Table1[[#This Row],[Institution_ID]], Institutions[ID], Institutions[Institution nickname], "Unknown")</f>
        <v>Discover</v>
      </c>
      <c r="J382" s="139" t="s">
        <v>460</v>
      </c>
      <c r="K382" s="129" t="s">
        <v>110</v>
      </c>
      <c r="L382" s="129" t="s">
        <v>108</v>
      </c>
      <c r="M382" s="130" t="str" cm="1">
        <f t="array" ref="M382">IFERROR(INDEX(CategoriesTable[Category type],MATCH(Table1[[#This Row],[Category]],CategoriesTable[Category name],0),0),"")</f>
        <v>Expense</v>
      </c>
      <c r="N382" s="130" t="str" cm="1">
        <f t="array" ref="N382">IFERROR(INDEX(SubcategoriesTable[Subcategory name],MATCH(Table1[[#This Row],[Category]],SubcategoriesTable[Category name],0),0),"")</f>
        <v>Variable</v>
      </c>
      <c r="O382" s="130">
        <v>13</v>
      </c>
      <c r="P382" s="130">
        <f>MONTH(Table1[[#This Row],[Date]])</f>
        <v>11</v>
      </c>
      <c r="Q382" s="130">
        <v>2020</v>
      </c>
      <c r="R382" s="166">
        <f>IF(ISBLANK(Table1[[#This Row],[Date]]),"",Table1[[#This Row],[Date]]-WEEKDAY(Table1[[#This Row],[Date]],2)+1)</f>
        <v>44144</v>
      </c>
      <c r="S382" s="131">
        <f>IF(ISBLANK(Table1[[#This Row],[Date]]),"",DATE(Table1[[#This Row],[Date_Year]],Table1[[#This Row],[Date_Month]],1))</f>
        <v>44136</v>
      </c>
    </row>
    <row r="383" spans="2:19" ht="15.75" x14ac:dyDescent="0.25">
      <c r="B383" s="133">
        <v>44148</v>
      </c>
      <c r="C383" s="128" t="s">
        <v>447</v>
      </c>
      <c r="D383" s="128" t="s">
        <v>46</v>
      </c>
      <c r="E383" s="128" t="str" cm="1">
        <f t="array" ref="E383">IFERROR(INDEX(SubcategoriesTable[Subcategory name],MATCH(Table1[[#This Row],[Category]],SubcategoriesTable[Category name],0),0),"")</f>
        <v>Variable</v>
      </c>
      <c r="F383" s="134">
        <v>-1.75</v>
      </c>
      <c r="G383" s="167" t="str">
        <f>_xlfn.XLOOKUP(Table1[[#This Row],[Account_ID]], Accounts[ID], Accounts[Account nickname], "Unknown")</f>
        <v>Discover it chrome Card</v>
      </c>
      <c r="H383" s="137" t="str">
        <f>_xlfn.XLOOKUP(Table1[[#This Row],[Account_ID]], Accounts[ID], Accounts[Account'#], "Unknown")</f>
        <v>7328</v>
      </c>
      <c r="I383" s="168" t="str">
        <f>_xlfn.XLOOKUP(Table1[[#This Row],[Institution_ID]], Institutions[ID], Institutions[Institution nickname], "Unknown")</f>
        <v>Discover</v>
      </c>
      <c r="J383" s="139" t="s">
        <v>461</v>
      </c>
      <c r="K383" s="129" t="s">
        <v>110</v>
      </c>
      <c r="L383" s="129" t="s">
        <v>108</v>
      </c>
      <c r="M383" s="130" t="str" cm="1">
        <f t="array" ref="M383">IFERROR(INDEX(CategoriesTable[Category type],MATCH(Table1[[#This Row],[Category]],CategoriesTable[Category name],0),0),"")</f>
        <v>Expense</v>
      </c>
      <c r="N383" s="130" t="str" cm="1">
        <f t="array" ref="N383">IFERROR(INDEX(SubcategoriesTable[Subcategory name],MATCH(Table1[[#This Row],[Category]],SubcategoriesTable[Category name],0),0),"")</f>
        <v>Variable</v>
      </c>
      <c r="O383" s="130">
        <v>13</v>
      </c>
      <c r="P383" s="130">
        <f>MONTH(Table1[[#This Row],[Date]])</f>
        <v>11</v>
      </c>
      <c r="Q383" s="130">
        <v>2020</v>
      </c>
      <c r="R383" s="166">
        <f>IF(ISBLANK(Table1[[#This Row],[Date]]),"",Table1[[#This Row],[Date]]-WEEKDAY(Table1[[#This Row],[Date]],2)+1)</f>
        <v>44144</v>
      </c>
      <c r="S383" s="131">
        <f>IF(ISBLANK(Table1[[#This Row],[Date]]),"",DATE(Table1[[#This Row],[Date_Year]],Table1[[#This Row],[Date_Month]],1))</f>
        <v>44136</v>
      </c>
    </row>
    <row r="384" spans="2:19" ht="15.75" x14ac:dyDescent="0.25">
      <c r="B384" s="133">
        <v>44148</v>
      </c>
      <c r="C384" s="128" t="s">
        <v>447</v>
      </c>
      <c r="D384" s="128" t="s">
        <v>46</v>
      </c>
      <c r="E384" s="128" t="str" cm="1">
        <f t="array" ref="E384">IFERROR(INDEX(SubcategoriesTable[Subcategory name],MATCH(Table1[[#This Row],[Category]],SubcategoriesTable[Category name],0),0),"")</f>
        <v>Variable</v>
      </c>
      <c r="F384" s="134">
        <v>-1.75</v>
      </c>
      <c r="G384" s="167" t="str">
        <f>_xlfn.XLOOKUP(Table1[[#This Row],[Account_ID]], Accounts[ID], Accounts[Account nickname], "Unknown")</f>
        <v>Discover it chrome Card</v>
      </c>
      <c r="H384" s="137" t="str">
        <f>_xlfn.XLOOKUP(Table1[[#This Row],[Account_ID]], Accounts[ID], Accounts[Account'#], "Unknown")</f>
        <v>7328</v>
      </c>
      <c r="I384" s="168" t="str">
        <f>_xlfn.XLOOKUP(Table1[[#This Row],[Institution_ID]], Institutions[ID], Institutions[Institution nickname], "Unknown")</f>
        <v>Discover</v>
      </c>
      <c r="J384" s="139" t="s">
        <v>462</v>
      </c>
      <c r="K384" s="129" t="s">
        <v>110</v>
      </c>
      <c r="L384" s="129" t="s">
        <v>108</v>
      </c>
      <c r="M384" s="130" t="str" cm="1">
        <f t="array" ref="M384">IFERROR(INDEX(CategoriesTable[Category type],MATCH(Table1[[#This Row],[Category]],CategoriesTable[Category name],0),0),"")</f>
        <v>Expense</v>
      </c>
      <c r="N384" s="130" t="str" cm="1">
        <f t="array" ref="N384">IFERROR(INDEX(SubcategoriesTable[Subcategory name],MATCH(Table1[[#This Row],[Category]],SubcategoriesTable[Category name],0),0),"")</f>
        <v>Variable</v>
      </c>
      <c r="O384" s="130">
        <v>13</v>
      </c>
      <c r="P384" s="130">
        <f>MONTH(Table1[[#This Row],[Date]])</f>
        <v>11</v>
      </c>
      <c r="Q384" s="130">
        <v>2020</v>
      </c>
      <c r="R384" s="166">
        <f>IF(ISBLANK(Table1[[#This Row],[Date]]),"",Table1[[#This Row],[Date]]-WEEKDAY(Table1[[#This Row],[Date]],2)+1)</f>
        <v>44144</v>
      </c>
      <c r="S384" s="131">
        <f>IF(ISBLANK(Table1[[#This Row],[Date]]),"",DATE(Table1[[#This Row],[Date_Year]],Table1[[#This Row],[Date_Month]],1))</f>
        <v>44136</v>
      </c>
    </row>
    <row r="385" spans="2:19" ht="15.75" x14ac:dyDescent="0.25">
      <c r="B385" s="133">
        <v>44148</v>
      </c>
      <c r="C385" s="128" t="s">
        <v>169</v>
      </c>
      <c r="D385" s="128" t="s">
        <v>45</v>
      </c>
      <c r="E385" s="128" t="str" cm="1">
        <f t="array" ref="E385">IFERROR(INDEX(SubcategoriesTable[Subcategory name],MATCH(Table1[[#This Row],[Category]],SubcategoriesTable[Category name],0),0),"")</f>
        <v>Variable</v>
      </c>
      <c r="F385" s="134">
        <v>-8.26</v>
      </c>
      <c r="G385" s="167" t="str">
        <f>_xlfn.XLOOKUP(Table1[[#This Row],[Account_ID]], Accounts[ID], Accounts[Account nickname], "Unknown")</f>
        <v>Discover it chrome Card</v>
      </c>
      <c r="H385" s="137" t="str">
        <f>_xlfn.XLOOKUP(Table1[[#This Row],[Account_ID]], Accounts[ID], Accounts[Account'#], "Unknown")</f>
        <v>7328</v>
      </c>
      <c r="I385" s="168" t="str">
        <f>_xlfn.XLOOKUP(Table1[[#This Row],[Institution_ID]], Institutions[ID], Institutions[Institution nickname], "Unknown")</f>
        <v>Discover</v>
      </c>
      <c r="J385" s="139" t="s">
        <v>463</v>
      </c>
      <c r="K385" s="129" t="s">
        <v>110</v>
      </c>
      <c r="L385" s="129" t="s">
        <v>108</v>
      </c>
      <c r="M385" s="130" t="str" cm="1">
        <f t="array" ref="M385">IFERROR(INDEX(CategoriesTable[Category type],MATCH(Table1[[#This Row],[Category]],CategoriesTable[Category name],0),0),"")</f>
        <v>Expense</v>
      </c>
      <c r="N385" s="130" t="str" cm="1">
        <f t="array" ref="N385">IFERROR(INDEX(SubcategoriesTable[Subcategory name],MATCH(Table1[[#This Row],[Category]],SubcategoriesTable[Category name],0),0),"")</f>
        <v>Variable</v>
      </c>
      <c r="O385" s="130">
        <v>13</v>
      </c>
      <c r="P385" s="130">
        <f>MONTH(Table1[[#This Row],[Date]])</f>
        <v>11</v>
      </c>
      <c r="Q385" s="130">
        <v>2020</v>
      </c>
      <c r="R385" s="166">
        <f>IF(ISBLANK(Table1[[#This Row],[Date]]),"",Table1[[#This Row],[Date]]-WEEKDAY(Table1[[#This Row],[Date]],2)+1)</f>
        <v>44144</v>
      </c>
      <c r="S385" s="131">
        <f>IF(ISBLANK(Table1[[#This Row],[Date]]),"",DATE(Table1[[#This Row],[Date_Year]],Table1[[#This Row],[Date_Month]],1))</f>
        <v>44136</v>
      </c>
    </row>
    <row r="386" spans="2:19" ht="15.75" x14ac:dyDescent="0.25">
      <c r="B386" s="133">
        <v>44147</v>
      </c>
      <c r="C386" s="128" t="s">
        <v>1180</v>
      </c>
      <c r="D386" s="128" t="s">
        <v>50</v>
      </c>
      <c r="E386" s="128" t="str" cm="1">
        <f t="array" ref="E386">IFERROR(INDEX(SubcategoriesTable[Subcategory name],MATCH(Table1[[#This Row],[Category]],SubcategoriesTable[Category name],0),0),"")</f>
        <v>Variable</v>
      </c>
      <c r="F386" s="134">
        <v>-300</v>
      </c>
      <c r="G386" s="167" t="str">
        <f>_xlfn.XLOOKUP(Table1[[#This Row],[Account_ID]], Accounts[ID], Accounts[Account nickname], "Unknown")</f>
        <v>EVERYDAY CHECKING</v>
      </c>
      <c r="H386" s="137" t="str">
        <f>_xlfn.XLOOKUP(Table1[[#This Row],[Account_ID]], Accounts[ID], Accounts[Account'#], "Unknown")</f>
        <v>4636</v>
      </c>
      <c r="I386" s="168" t="str">
        <f>_xlfn.XLOOKUP(Table1[[#This Row],[Institution_ID]], Institutions[ID], Institutions[Institution nickname], "Unknown")</f>
        <v>Wells Fargo</v>
      </c>
      <c r="J386" s="139" t="s">
        <v>1450</v>
      </c>
      <c r="K386" s="129" t="s">
        <v>1229</v>
      </c>
      <c r="L386" s="129" t="s">
        <v>1228</v>
      </c>
      <c r="M386" s="130" t="str" cm="1">
        <f t="array" ref="M386">IFERROR(INDEX(CategoriesTable[Category type],MATCH(Table1[[#This Row],[Category]],CategoriesTable[Category name],0),0),"")</f>
        <v>Transfer</v>
      </c>
      <c r="N386" s="130" t="str" cm="1">
        <f t="array" ref="N386">IFERROR(INDEX(SubcategoriesTable[Subcategory name],MATCH(Table1[[#This Row],[Category]],SubcategoriesTable[Category name],0),0),"")</f>
        <v>Variable</v>
      </c>
      <c r="O386" s="130">
        <v>12</v>
      </c>
      <c r="P386" s="130">
        <f>MONTH(Table1[[#This Row],[Date]])</f>
        <v>11</v>
      </c>
      <c r="Q386" s="130">
        <v>2020</v>
      </c>
      <c r="R386" s="166">
        <f>IF(ISBLANK(Table1[[#This Row],[Date]]),"",Table1[[#This Row],[Date]]-WEEKDAY(Table1[[#This Row],[Date]],2)+1)</f>
        <v>44144</v>
      </c>
      <c r="S386" s="131">
        <f>IF(ISBLANK(Table1[[#This Row],[Date]]),"",DATE(Table1[[#This Row],[Date_Year]],Table1[[#This Row],[Date_Month]],1))</f>
        <v>44136</v>
      </c>
    </row>
    <row r="387" spans="2:19" ht="15.75" x14ac:dyDescent="0.25">
      <c r="B387" s="133">
        <v>44147</v>
      </c>
      <c r="C387" s="128" t="s">
        <v>113</v>
      </c>
      <c r="D387" s="128" t="s">
        <v>50</v>
      </c>
      <c r="E387" s="128" t="str" cm="1">
        <f t="array" ref="E387">IFERROR(INDEX(SubcategoriesTable[Subcategory name],MATCH(Table1[[#This Row],[Category]],SubcategoriesTable[Category name],0),0),"")</f>
        <v>Variable</v>
      </c>
      <c r="F387" s="134">
        <v>300</v>
      </c>
      <c r="G387" s="167" t="str">
        <f>_xlfn.XLOOKUP(Table1[[#This Row],[Account_ID]], Accounts[ID], Accounts[Account nickname], "Unknown")</f>
        <v>Discover it chrome Card</v>
      </c>
      <c r="H387" s="137" t="str">
        <f>_xlfn.XLOOKUP(Table1[[#This Row],[Account_ID]], Accounts[ID], Accounts[Account'#], "Unknown")</f>
        <v>7328</v>
      </c>
      <c r="I387" s="168" t="str">
        <f>_xlfn.XLOOKUP(Table1[[#This Row],[Institution_ID]], Institutions[ID], Institutions[Institution nickname], "Unknown")</f>
        <v>Discover</v>
      </c>
      <c r="J387" s="139" t="s">
        <v>464</v>
      </c>
      <c r="K387" s="129" t="s">
        <v>110</v>
      </c>
      <c r="L387" s="129" t="s">
        <v>108</v>
      </c>
      <c r="M387" s="130" t="str" cm="1">
        <f t="array" ref="M387">IFERROR(INDEX(CategoriesTable[Category type],MATCH(Table1[[#This Row],[Category]],CategoriesTable[Category name],0),0),"")</f>
        <v>Transfer</v>
      </c>
      <c r="N387" s="130" t="str" cm="1">
        <f t="array" ref="N387">IFERROR(INDEX(SubcategoriesTable[Subcategory name],MATCH(Table1[[#This Row],[Category]],SubcategoriesTable[Category name],0),0),"")</f>
        <v>Variable</v>
      </c>
      <c r="O387" s="130">
        <v>12</v>
      </c>
      <c r="P387" s="130">
        <f>MONTH(Table1[[#This Row],[Date]])</f>
        <v>11</v>
      </c>
      <c r="Q387" s="130">
        <v>2020</v>
      </c>
      <c r="R387" s="166">
        <f>IF(ISBLANK(Table1[[#This Row],[Date]]),"",Table1[[#This Row],[Date]]-WEEKDAY(Table1[[#This Row],[Date]],2)+1)</f>
        <v>44144</v>
      </c>
      <c r="S387" s="131">
        <f>IF(ISBLANK(Table1[[#This Row],[Date]]),"",DATE(Table1[[#This Row],[Date_Year]],Table1[[#This Row],[Date_Month]],1))</f>
        <v>44136</v>
      </c>
    </row>
    <row r="388" spans="2:19" ht="15.75" x14ac:dyDescent="0.25">
      <c r="B388" s="133">
        <v>44147</v>
      </c>
      <c r="C388" s="128" t="s">
        <v>125</v>
      </c>
      <c r="D388" s="128" t="s">
        <v>45</v>
      </c>
      <c r="E388" s="128" t="str" cm="1">
        <f t="array" ref="E388">IFERROR(INDEX(SubcategoriesTable[Subcategory name],MATCH(Table1[[#This Row],[Category]],SubcategoriesTable[Category name],0),0),"")</f>
        <v>Variable</v>
      </c>
      <c r="F388" s="134">
        <v>-7.7</v>
      </c>
      <c r="G388" s="167" t="str">
        <f>_xlfn.XLOOKUP(Table1[[#This Row],[Account_ID]], Accounts[ID], Accounts[Account nickname], "Unknown")</f>
        <v>Discover it chrome Card</v>
      </c>
      <c r="H388" s="137" t="str">
        <f>_xlfn.XLOOKUP(Table1[[#This Row],[Account_ID]], Accounts[ID], Accounts[Account'#], "Unknown")</f>
        <v>7328</v>
      </c>
      <c r="I388" s="168" t="str">
        <f>_xlfn.XLOOKUP(Table1[[#This Row],[Institution_ID]], Institutions[ID], Institutions[Institution nickname], "Unknown")</f>
        <v>Discover</v>
      </c>
      <c r="J388" s="139" t="s">
        <v>465</v>
      </c>
      <c r="K388" s="129" t="s">
        <v>110</v>
      </c>
      <c r="L388" s="129" t="s">
        <v>108</v>
      </c>
      <c r="M388" s="130" t="str" cm="1">
        <f t="array" ref="M388">IFERROR(INDEX(CategoriesTable[Category type],MATCH(Table1[[#This Row],[Category]],CategoriesTable[Category name],0),0),"")</f>
        <v>Expense</v>
      </c>
      <c r="N388" s="130" t="str" cm="1">
        <f t="array" ref="N388">IFERROR(INDEX(SubcategoriesTable[Subcategory name],MATCH(Table1[[#This Row],[Category]],SubcategoriesTable[Category name],0),0),"")</f>
        <v>Variable</v>
      </c>
      <c r="O388" s="130">
        <v>12</v>
      </c>
      <c r="P388" s="130">
        <f>MONTH(Table1[[#This Row],[Date]])</f>
        <v>11</v>
      </c>
      <c r="Q388" s="130">
        <v>2020</v>
      </c>
      <c r="R388" s="166">
        <f>IF(ISBLANK(Table1[[#This Row],[Date]]),"",Table1[[#This Row],[Date]]-WEEKDAY(Table1[[#This Row],[Date]],2)+1)</f>
        <v>44144</v>
      </c>
      <c r="S388" s="131">
        <f>IF(ISBLANK(Table1[[#This Row],[Date]]),"",DATE(Table1[[#This Row],[Date_Year]],Table1[[#This Row],[Date_Month]],1))</f>
        <v>44136</v>
      </c>
    </row>
    <row r="389" spans="2:19" ht="15.75" x14ac:dyDescent="0.25">
      <c r="B389" s="133">
        <v>44147</v>
      </c>
      <c r="C389" s="128" t="s">
        <v>447</v>
      </c>
      <c r="D389" s="128" t="s">
        <v>46</v>
      </c>
      <c r="E389" s="128" t="str" cm="1">
        <f t="array" ref="E389">IFERROR(INDEX(SubcategoriesTable[Subcategory name],MATCH(Table1[[#This Row],[Category]],SubcategoriesTable[Category name],0),0),"")</f>
        <v>Variable</v>
      </c>
      <c r="F389" s="134">
        <v>-1.75</v>
      </c>
      <c r="G389" s="167" t="str">
        <f>_xlfn.XLOOKUP(Table1[[#This Row],[Account_ID]], Accounts[ID], Accounts[Account nickname], "Unknown")</f>
        <v>Discover it chrome Card</v>
      </c>
      <c r="H389" s="137" t="str">
        <f>_xlfn.XLOOKUP(Table1[[#This Row],[Account_ID]], Accounts[ID], Accounts[Account'#], "Unknown")</f>
        <v>7328</v>
      </c>
      <c r="I389" s="168" t="str">
        <f>_xlfn.XLOOKUP(Table1[[#This Row],[Institution_ID]], Institutions[ID], Institutions[Institution nickname], "Unknown")</f>
        <v>Discover</v>
      </c>
      <c r="J389" s="139" t="s">
        <v>466</v>
      </c>
      <c r="K389" s="129" t="s">
        <v>110</v>
      </c>
      <c r="L389" s="129" t="s">
        <v>108</v>
      </c>
      <c r="M389" s="130" t="str" cm="1">
        <f t="array" ref="M389">IFERROR(INDEX(CategoriesTable[Category type],MATCH(Table1[[#This Row],[Category]],CategoriesTable[Category name],0),0),"")</f>
        <v>Expense</v>
      </c>
      <c r="N389" s="130" t="str" cm="1">
        <f t="array" ref="N389">IFERROR(INDEX(SubcategoriesTable[Subcategory name],MATCH(Table1[[#This Row],[Category]],SubcategoriesTable[Category name],0),0),"")</f>
        <v>Variable</v>
      </c>
      <c r="O389" s="130">
        <v>12</v>
      </c>
      <c r="P389" s="130">
        <f>MONTH(Table1[[#This Row],[Date]])</f>
        <v>11</v>
      </c>
      <c r="Q389" s="130">
        <v>2020</v>
      </c>
      <c r="R389" s="166">
        <f>IF(ISBLANK(Table1[[#This Row],[Date]]),"",Table1[[#This Row],[Date]]-WEEKDAY(Table1[[#This Row],[Date]],2)+1)</f>
        <v>44144</v>
      </c>
      <c r="S389" s="131">
        <f>IF(ISBLANK(Table1[[#This Row],[Date]]),"",DATE(Table1[[#This Row],[Date_Year]],Table1[[#This Row],[Date_Month]],1))</f>
        <v>44136</v>
      </c>
    </row>
    <row r="390" spans="2:19" ht="15.75" x14ac:dyDescent="0.25">
      <c r="B390" s="133">
        <v>44147</v>
      </c>
      <c r="C390" s="128" t="s">
        <v>209</v>
      </c>
      <c r="D390" s="128" t="s">
        <v>50</v>
      </c>
      <c r="E390" s="128" t="str" cm="1">
        <f t="array" ref="E390">IFERROR(INDEX(SubcategoriesTable[Subcategory name],MATCH(Table1[[#This Row],[Category]],SubcategoriesTable[Category name],0),0),"")</f>
        <v>Variable</v>
      </c>
      <c r="F390" s="134">
        <v>-1.99</v>
      </c>
      <c r="G390" s="167" t="str">
        <f>_xlfn.XLOOKUP(Table1[[#This Row],[Account_ID]], Accounts[ID], Accounts[Account nickname], "Unknown")</f>
        <v>Discover it chrome Card</v>
      </c>
      <c r="H390" s="137" t="str">
        <f>_xlfn.XLOOKUP(Table1[[#This Row],[Account_ID]], Accounts[ID], Accounts[Account'#], "Unknown")</f>
        <v>7328</v>
      </c>
      <c r="I390" s="168" t="str">
        <f>_xlfn.XLOOKUP(Table1[[#This Row],[Institution_ID]], Institutions[ID], Institutions[Institution nickname], "Unknown")</f>
        <v>Discover</v>
      </c>
      <c r="J390" s="139" t="s">
        <v>467</v>
      </c>
      <c r="K390" s="129" t="s">
        <v>110</v>
      </c>
      <c r="L390" s="129" t="s">
        <v>108</v>
      </c>
      <c r="M390" s="130" t="str" cm="1">
        <f t="array" ref="M390">IFERROR(INDEX(CategoriesTable[Category type],MATCH(Table1[[#This Row],[Category]],CategoriesTable[Category name],0),0),"")</f>
        <v>Transfer</v>
      </c>
      <c r="N390" s="130" t="str" cm="1">
        <f t="array" ref="N390">IFERROR(INDEX(SubcategoriesTable[Subcategory name],MATCH(Table1[[#This Row],[Category]],SubcategoriesTable[Category name],0),0),"")</f>
        <v>Variable</v>
      </c>
      <c r="O390" s="130">
        <v>12</v>
      </c>
      <c r="P390" s="130">
        <f>MONTH(Table1[[#This Row],[Date]])</f>
        <v>11</v>
      </c>
      <c r="Q390" s="130">
        <v>2020</v>
      </c>
      <c r="R390" s="166">
        <f>IF(ISBLANK(Table1[[#This Row],[Date]]),"",Table1[[#This Row],[Date]]-WEEKDAY(Table1[[#This Row],[Date]],2)+1)</f>
        <v>44144</v>
      </c>
      <c r="S390" s="131">
        <f>IF(ISBLANK(Table1[[#This Row],[Date]]),"",DATE(Table1[[#This Row],[Date_Year]],Table1[[#This Row],[Date_Month]],1))</f>
        <v>44136</v>
      </c>
    </row>
    <row r="391" spans="2:19" ht="15.75" x14ac:dyDescent="0.25">
      <c r="B391" s="133">
        <v>44146</v>
      </c>
      <c r="C391" s="128" t="s">
        <v>256</v>
      </c>
      <c r="D391" s="128" t="s">
        <v>46</v>
      </c>
      <c r="E391" s="128" t="str" cm="1">
        <f t="array" ref="E391">IFERROR(INDEX(SubcategoriesTable[Subcategory name],MATCH(Table1[[#This Row],[Category]],SubcategoriesTable[Category name],0),0),"")</f>
        <v>Variable</v>
      </c>
      <c r="F391" s="134">
        <v>-17.73</v>
      </c>
      <c r="G391" s="167" t="str">
        <f>_xlfn.XLOOKUP(Table1[[#This Row],[Account_ID]], Accounts[ID], Accounts[Account nickname], "Unknown")</f>
        <v>Discover it chrome Card</v>
      </c>
      <c r="H391" s="137" t="str">
        <f>_xlfn.XLOOKUP(Table1[[#This Row],[Account_ID]], Accounts[ID], Accounts[Account'#], "Unknown")</f>
        <v>7328</v>
      </c>
      <c r="I391" s="168" t="str">
        <f>_xlfn.XLOOKUP(Table1[[#This Row],[Institution_ID]], Institutions[ID], Institutions[Institution nickname], "Unknown")</f>
        <v>Discover</v>
      </c>
      <c r="J391" s="139" t="s">
        <v>468</v>
      </c>
      <c r="K391" s="129" t="s">
        <v>110</v>
      </c>
      <c r="L391" s="129" t="s">
        <v>108</v>
      </c>
      <c r="M391" s="130" t="str" cm="1">
        <f t="array" ref="M391">IFERROR(INDEX(CategoriesTable[Category type],MATCH(Table1[[#This Row],[Category]],CategoriesTable[Category name],0),0),"")</f>
        <v>Expense</v>
      </c>
      <c r="N391" s="130" t="str" cm="1">
        <f t="array" ref="N391">IFERROR(INDEX(SubcategoriesTable[Subcategory name],MATCH(Table1[[#This Row],[Category]],SubcategoriesTable[Category name],0),0),"")</f>
        <v>Variable</v>
      </c>
      <c r="O391" s="130">
        <v>11</v>
      </c>
      <c r="P391" s="130">
        <f>MONTH(Table1[[#This Row],[Date]])</f>
        <v>11</v>
      </c>
      <c r="Q391" s="130">
        <v>2020</v>
      </c>
      <c r="R391" s="166">
        <f>IF(ISBLANK(Table1[[#This Row],[Date]]),"",Table1[[#This Row],[Date]]-WEEKDAY(Table1[[#This Row],[Date]],2)+1)</f>
        <v>44144</v>
      </c>
      <c r="S391" s="131">
        <f>IF(ISBLANK(Table1[[#This Row],[Date]]),"",DATE(Table1[[#This Row],[Date_Year]],Table1[[#This Row],[Date_Month]],1))</f>
        <v>44136</v>
      </c>
    </row>
    <row r="392" spans="2:19" ht="15.75" x14ac:dyDescent="0.25">
      <c r="B392" s="133">
        <v>44146</v>
      </c>
      <c r="C392" s="128" t="s">
        <v>469</v>
      </c>
      <c r="D392" s="128" t="s">
        <v>51</v>
      </c>
      <c r="E392" s="128" t="str" cm="1">
        <f t="array" ref="E392">IFERROR(INDEX(SubcategoriesTable[Subcategory name],MATCH(Table1[[#This Row],[Category]],SubcategoriesTable[Category name],0),0),"")</f>
        <v>Variable</v>
      </c>
      <c r="F392" s="134">
        <v>-43.2</v>
      </c>
      <c r="G392" s="167" t="str">
        <f>_xlfn.XLOOKUP(Table1[[#This Row],[Account_ID]], Accounts[ID], Accounts[Account nickname], "Unknown")</f>
        <v>Discover it chrome Card</v>
      </c>
      <c r="H392" s="137" t="str">
        <f>_xlfn.XLOOKUP(Table1[[#This Row],[Account_ID]], Accounts[ID], Accounts[Account'#], "Unknown")</f>
        <v>7328</v>
      </c>
      <c r="I392" s="168" t="str">
        <f>_xlfn.XLOOKUP(Table1[[#This Row],[Institution_ID]], Institutions[ID], Institutions[Institution nickname], "Unknown")</f>
        <v>Discover</v>
      </c>
      <c r="J392" s="139" t="s">
        <v>470</v>
      </c>
      <c r="K392" s="129" t="s">
        <v>110</v>
      </c>
      <c r="L392" s="129" t="s">
        <v>108</v>
      </c>
      <c r="M392" s="130" t="str" cm="1">
        <f t="array" ref="M392">IFERROR(INDEX(CategoriesTable[Category type],MATCH(Table1[[#This Row],[Category]],CategoriesTable[Category name],0),0),"")</f>
        <v>Expense</v>
      </c>
      <c r="N392" s="130" t="str" cm="1">
        <f t="array" ref="N392">IFERROR(INDEX(SubcategoriesTable[Subcategory name],MATCH(Table1[[#This Row],[Category]],SubcategoriesTable[Category name],0),0),"")</f>
        <v>Variable</v>
      </c>
      <c r="O392" s="130">
        <v>11</v>
      </c>
      <c r="P392" s="130">
        <f>MONTH(Table1[[#This Row],[Date]])</f>
        <v>11</v>
      </c>
      <c r="Q392" s="130">
        <v>2020</v>
      </c>
      <c r="R392" s="166">
        <f>IF(ISBLANK(Table1[[#This Row],[Date]]),"",Table1[[#This Row],[Date]]-WEEKDAY(Table1[[#This Row],[Date]],2)+1)</f>
        <v>44144</v>
      </c>
      <c r="S392" s="131">
        <f>IF(ISBLANK(Table1[[#This Row],[Date]]),"",DATE(Table1[[#This Row],[Date_Year]],Table1[[#This Row],[Date_Month]],1))</f>
        <v>44136</v>
      </c>
    </row>
    <row r="393" spans="2:19" ht="15.75" x14ac:dyDescent="0.25">
      <c r="B393" s="133">
        <v>44146</v>
      </c>
      <c r="C393" s="128" t="s">
        <v>195</v>
      </c>
      <c r="D393" s="128" t="s">
        <v>48</v>
      </c>
      <c r="E393" s="128" t="str" cm="1">
        <f t="array" ref="E393">IFERROR(INDEX(SubcategoriesTable[Subcategory name],MATCH(Table1[[#This Row],[Category]],SubcategoriesTable[Category name],0),0),"")</f>
        <v>Variable</v>
      </c>
      <c r="F393" s="134">
        <v>-1.42</v>
      </c>
      <c r="G393" s="167" t="str">
        <f>_xlfn.XLOOKUP(Table1[[#This Row],[Account_ID]], Accounts[ID], Accounts[Account nickname], "Unknown")</f>
        <v>Discover it chrome Card</v>
      </c>
      <c r="H393" s="137" t="str">
        <f>_xlfn.XLOOKUP(Table1[[#This Row],[Account_ID]], Accounts[ID], Accounts[Account'#], "Unknown")</f>
        <v>7328</v>
      </c>
      <c r="I393" s="168" t="str">
        <f>_xlfn.XLOOKUP(Table1[[#This Row],[Institution_ID]], Institutions[ID], Institutions[Institution nickname], "Unknown")</f>
        <v>Discover</v>
      </c>
      <c r="J393" s="139" t="s">
        <v>471</v>
      </c>
      <c r="K393" s="129" t="s">
        <v>110</v>
      </c>
      <c r="L393" s="129" t="s">
        <v>108</v>
      </c>
      <c r="M393" s="130" t="str" cm="1">
        <f t="array" ref="M393">IFERROR(INDEX(CategoriesTable[Category type],MATCH(Table1[[#This Row],[Category]],CategoriesTable[Category name],0),0),"")</f>
        <v>Expense</v>
      </c>
      <c r="N393" s="130" t="str" cm="1">
        <f t="array" ref="N393">IFERROR(INDEX(SubcategoriesTable[Subcategory name],MATCH(Table1[[#This Row],[Category]],SubcategoriesTable[Category name],0),0),"")</f>
        <v>Variable</v>
      </c>
      <c r="O393" s="130">
        <v>11</v>
      </c>
      <c r="P393" s="130">
        <f>MONTH(Table1[[#This Row],[Date]])</f>
        <v>11</v>
      </c>
      <c r="Q393" s="130">
        <v>2020</v>
      </c>
      <c r="R393" s="166">
        <f>IF(ISBLANK(Table1[[#This Row],[Date]]),"",Table1[[#This Row],[Date]]-WEEKDAY(Table1[[#This Row],[Date]],2)+1)</f>
        <v>44144</v>
      </c>
      <c r="S393" s="131">
        <f>IF(ISBLANK(Table1[[#This Row],[Date]]),"",DATE(Table1[[#This Row],[Date_Year]],Table1[[#This Row],[Date_Month]],1))</f>
        <v>44136</v>
      </c>
    </row>
    <row r="394" spans="2:19" ht="15.75" x14ac:dyDescent="0.25">
      <c r="B394" s="133">
        <v>44146</v>
      </c>
      <c r="C394" s="128" t="s">
        <v>195</v>
      </c>
      <c r="D394" s="128" t="s">
        <v>48</v>
      </c>
      <c r="E394" s="128" t="str" cm="1">
        <f t="array" ref="E394">IFERROR(INDEX(SubcategoriesTable[Subcategory name],MATCH(Table1[[#This Row],[Category]],SubcategoriesTable[Category name],0),0),"")</f>
        <v>Variable</v>
      </c>
      <c r="F394" s="134">
        <v>-6.55</v>
      </c>
      <c r="G394" s="167" t="str">
        <f>_xlfn.XLOOKUP(Table1[[#This Row],[Account_ID]], Accounts[ID], Accounts[Account nickname], "Unknown")</f>
        <v>Discover it chrome Card</v>
      </c>
      <c r="H394" s="137" t="str">
        <f>_xlfn.XLOOKUP(Table1[[#This Row],[Account_ID]], Accounts[ID], Accounts[Account'#], "Unknown")</f>
        <v>7328</v>
      </c>
      <c r="I394" s="168" t="str">
        <f>_xlfn.XLOOKUP(Table1[[#This Row],[Institution_ID]], Institutions[ID], Institutions[Institution nickname], "Unknown")</f>
        <v>Discover</v>
      </c>
      <c r="J394" s="139" t="s">
        <v>472</v>
      </c>
      <c r="K394" s="129" t="s">
        <v>110</v>
      </c>
      <c r="L394" s="129" t="s">
        <v>108</v>
      </c>
      <c r="M394" s="130" t="str" cm="1">
        <f t="array" ref="M394">IFERROR(INDEX(CategoriesTable[Category type],MATCH(Table1[[#This Row],[Category]],CategoriesTable[Category name],0),0),"")</f>
        <v>Expense</v>
      </c>
      <c r="N394" s="130" t="str" cm="1">
        <f t="array" ref="N394">IFERROR(INDEX(SubcategoriesTable[Subcategory name],MATCH(Table1[[#This Row],[Category]],SubcategoriesTable[Category name],0),0),"")</f>
        <v>Variable</v>
      </c>
      <c r="O394" s="130">
        <v>11</v>
      </c>
      <c r="P394" s="130">
        <f>MONTH(Table1[[#This Row],[Date]])</f>
        <v>11</v>
      </c>
      <c r="Q394" s="130">
        <v>2020</v>
      </c>
      <c r="R394" s="166">
        <f>IF(ISBLANK(Table1[[#This Row],[Date]]),"",Table1[[#This Row],[Date]]-WEEKDAY(Table1[[#This Row],[Date]],2)+1)</f>
        <v>44144</v>
      </c>
      <c r="S394" s="131">
        <f>IF(ISBLANK(Table1[[#This Row],[Date]]),"",DATE(Table1[[#This Row],[Date_Year]],Table1[[#This Row],[Date_Month]],1))</f>
        <v>44136</v>
      </c>
    </row>
    <row r="395" spans="2:19" ht="15.75" x14ac:dyDescent="0.25">
      <c r="B395" s="133">
        <v>44146</v>
      </c>
      <c r="C395" s="128" t="s">
        <v>115</v>
      </c>
      <c r="D395" s="128" t="s">
        <v>48</v>
      </c>
      <c r="E395" s="128" t="str" cm="1">
        <f t="array" ref="E395">IFERROR(INDEX(SubcategoriesTable[Subcategory name],MATCH(Table1[[#This Row],[Category]],SubcategoriesTable[Category name],0),0),"")</f>
        <v>Variable</v>
      </c>
      <c r="F395" s="134">
        <v>-41.68</v>
      </c>
      <c r="G395" s="167" t="str">
        <f>_xlfn.XLOOKUP(Table1[[#This Row],[Account_ID]], Accounts[ID], Accounts[Account nickname], "Unknown")</f>
        <v>Discover it chrome Card</v>
      </c>
      <c r="H395" s="137" t="str">
        <f>_xlfn.XLOOKUP(Table1[[#This Row],[Account_ID]], Accounts[ID], Accounts[Account'#], "Unknown")</f>
        <v>7328</v>
      </c>
      <c r="I395" s="168" t="str">
        <f>_xlfn.XLOOKUP(Table1[[#This Row],[Institution_ID]], Institutions[ID], Institutions[Institution nickname], "Unknown")</f>
        <v>Discover</v>
      </c>
      <c r="J395" s="139" t="s">
        <v>473</v>
      </c>
      <c r="K395" s="129" t="s">
        <v>110</v>
      </c>
      <c r="L395" s="129" t="s">
        <v>108</v>
      </c>
      <c r="M395" s="130" t="str" cm="1">
        <f t="array" ref="M395">IFERROR(INDEX(CategoriesTable[Category type],MATCH(Table1[[#This Row],[Category]],CategoriesTable[Category name],0),0),"")</f>
        <v>Expense</v>
      </c>
      <c r="N395" s="130" t="str" cm="1">
        <f t="array" ref="N395">IFERROR(INDEX(SubcategoriesTable[Subcategory name],MATCH(Table1[[#This Row],[Category]],SubcategoriesTable[Category name],0),0),"")</f>
        <v>Variable</v>
      </c>
      <c r="O395" s="130">
        <v>11</v>
      </c>
      <c r="P395" s="130">
        <f>MONTH(Table1[[#This Row],[Date]])</f>
        <v>11</v>
      </c>
      <c r="Q395" s="130">
        <v>2020</v>
      </c>
      <c r="R395" s="166">
        <f>IF(ISBLANK(Table1[[#This Row],[Date]]),"",Table1[[#This Row],[Date]]-WEEKDAY(Table1[[#This Row],[Date]],2)+1)</f>
        <v>44144</v>
      </c>
      <c r="S395" s="131">
        <f>IF(ISBLANK(Table1[[#This Row],[Date]]),"",DATE(Table1[[#This Row],[Date_Year]],Table1[[#This Row],[Date_Month]],1))</f>
        <v>44136</v>
      </c>
    </row>
    <row r="396" spans="2:19" ht="15.75" x14ac:dyDescent="0.25">
      <c r="B396" s="133">
        <v>44145</v>
      </c>
      <c r="C396" s="128" t="s">
        <v>1183</v>
      </c>
      <c r="D396" s="128" t="s">
        <v>1204</v>
      </c>
      <c r="E396" s="128" t="str" cm="1">
        <f t="array" ref="E396">IFERROR(INDEX(SubcategoriesTable[Subcategory name],MATCH(Table1[[#This Row],[Category]],SubcategoriesTable[Category name],0),0),"")</f>
        <v>Variable</v>
      </c>
      <c r="F396" s="134">
        <v>-20</v>
      </c>
      <c r="G396" s="167" t="str">
        <f>_xlfn.XLOOKUP(Table1[[#This Row],[Account_ID]], Accounts[ID], Accounts[Account nickname], "Unknown")</f>
        <v>EVERYDAY CHECKING</v>
      </c>
      <c r="H396" s="137" t="str">
        <f>_xlfn.XLOOKUP(Table1[[#This Row],[Account_ID]], Accounts[ID], Accounts[Account'#], "Unknown")</f>
        <v>4636</v>
      </c>
      <c r="I396" s="168" t="str">
        <f>_xlfn.XLOOKUP(Table1[[#This Row],[Institution_ID]], Institutions[ID], Institutions[Institution nickname], "Unknown")</f>
        <v>Wells Fargo</v>
      </c>
      <c r="J396" s="139" t="s">
        <v>1451</v>
      </c>
      <c r="K396" s="129" t="s">
        <v>1229</v>
      </c>
      <c r="L396" s="129" t="s">
        <v>1228</v>
      </c>
      <c r="M396" s="130" t="str" cm="1">
        <f t="array" ref="M396">IFERROR(INDEX(CategoriesTable[Category type],MATCH(Table1[[#This Row],[Category]],CategoriesTable[Category name],0),0),"")</f>
        <v>Savings</v>
      </c>
      <c r="N396" s="130" t="str" cm="1">
        <f t="array" ref="N396">IFERROR(INDEX(SubcategoriesTable[Subcategory name],MATCH(Table1[[#This Row],[Category]],SubcategoriesTable[Category name],0),0),"")</f>
        <v>Variable</v>
      </c>
      <c r="O396" s="130">
        <v>10</v>
      </c>
      <c r="P396" s="130">
        <f>MONTH(Table1[[#This Row],[Date]])</f>
        <v>11</v>
      </c>
      <c r="Q396" s="130">
        <v>2020</v>
      </c>
      <c r="R396" s="166">
        <f>IF(ISBLANK(Table1[[#This Row],[Date]]),"",Table1[[#This Row],[Date]]-WEEKDAY(Table1[[#This Row],[Date]],2)+1)</f>
        <v>44144</v>
      </c>
      <c r="S396" s="131">
        <f>IF(ISBLANK(Table1[[#This Row],[Date]]),"",DATE(Table1[[#This Row],[Date_Year]],Table1[[#This Row],[Date_Month]],1))</f>
        <v>44136</v>
      </c>
    </row>
    <row r="397" spans="2:19" ht="15.75" x14ac:dyDescent="0.25">
      <c r="B397" s="133">
        <v>44145</v>
      </c>
      <c r="C397" s="128" t="s">
        <v>474</v>
      </c>
      <c r="D397" s="128" t="s">
        <v>50</v>
      </c>
      <c r="E397" s="128" t="str" cm="1">
        <f t="array" ref="E397">IFERROR(INDEX(SubcategoriesTable[Subcategory name],MATCH(Table1[[#This Row],[Category]],SubcategoriesTable[Category name],0),0),"")</f>
        <v>Variable</v>
      </c>
      <c r="F397" s="134">
        <v>-59.99</v>
      </c>
      <c r="G397" s="167" t="str">
        <f>_xlfn.XLOOKUP(Table1[[#This Row],[Account_ID]], Accounts[ID], Accounts[Account nickname], "Unknown")</f>
        <v>Discover it chrome Card</v>
      </c>
      <c r="H397" s="137" t="str">
        <f>_xlfn.XLOOKUP(Table1[[#This Row],[Account_ID]], Accounts[ID], Accounts[Account'#], "Unknown")</f>
        <v>7328</v>
      </c>
      <c r="I397" s="168" t="str">
        <f>_xlfn.XLOOKUP(Table1[[#This Row],[Institution_ID]], Institutions[ID], Institutions[Institution nickname], "Unknown")</f>
        <v>Discover</v>
      </c>
      <c r="J397" s="139" t="s">
        <v>475</v>
      </c>
      <c r="K397" s="129" t="s">
        <v>110</v>
      </c>
      <c r="L397" s="129" t="s">
        <v>108</v>
      </c>
      <c r="M397" s="130" t="str" cm="1">
        <f t="array" ref="M397">IFERROR(INDEX(CategoriesTable[Category type],MATCH(Table1[[#This Row],[Category]],CategoriesTable[Category name],0),0),"")</f>
        <v>Transfer</v>
      </c>
      <c r="N397" s="130" t="str" cm="1">
        <f t="array" ref="N397">IFERROR(INDEX(SubcategoriesTable[Subcategory name],MATCH(Table1[[#This Row],[Category]],SubcategoriesTable[Category name],0),0),"")</f>
        <v>Variable</v>
      </c>
      <c r="O397" s="130">
        <v>10</v>
      </c>
      <c r="P397" s="130">
        <f>MONTH(Table1[[#This Row],[Date]])</f>
        <v>11</v>
      </c>
      <c r="Q397" s="130">
        <v>2020</v>
      </c>
      <c r="R397" s="166">
        <f>IF(ISBLANK(Table1[[#This Row],[Date]]),"",Table1[[#This Row],[Date]]-WEEKDAY(Table1[[#This Row],[Date]],2)+1)</f>
        <v>44144</v>
      </c>
      <c r="S397" s="131">
        <f>IF(ISBLANK(Table1[[#This Row],[Date]]),"",DATE(Table1[[#This Row],[Date_Year]],Table1[[#This Row],[Date_Month]],1))</f>
        <v>44136</v>
      </c>
    </row>
    <row r="398" spans="2:19" ht="15.75" x14ac:dyDescent="0.25">
      <c r="B398" s="133">
        <v>44145</v>
      </c>
      <c r="C398" s="128" t="s">
        <v>353</v>
      </c>
      <c r="D398" s="128" t="s">
        <v>46</v>
      </c>
      <c r="E398" s="128" t="str" cm="1">
        <f t="array" ref="E398">IFERROR(INDEX(SubcategoriesTable[Subcategory name],MATCH(Table1[[#This Row],[Category]],SubcategoriesTable[Category name],0),0),"")</f>
        <v>Variable</v>
      </c>
      <c r="F398" s="134">
        <v>-77.94</v>
      </c>
      <c r="G398" s="167" t="str">
        <f>_xlfn.XLOOKUP(Table1[[#This Row],[Account_ID]], Accounts[ID], Accounts[Account nickname], "Unknown")</f>
        <v>Discover it chrome Card</v>
      </c>
      <c r="H398" s="137" t="str">
        <f>_xlfn.XLOOKUP(Table1[[#This Row],[Account_ID]], Accounts[ID], Accounts[Account'#], "Unknown")</f>
        <v>7328</v>
      </c>
      <c r="I398" s="168" t="str">
        <f>_xlfn.XLOOKUP(Table1[[#This Row],[Institution_ID]], Institutions[ID], Institutions[Institution nickname], "Unknown")</f>
        <v>Discover</v>
      </c>
      <c r="J398" s="139" t="s">
        <v>476</v>
      </c>
      <c r="K398" s="129" t="s">
        <v>110</v>
      </c>
      <c r="L398" s="129" t="s">
        <v>108</v>
      </c>
      <c r="M398" s="130" t="str" cm="1">
        <f t="array" ref="M398">IFERROR(INDEX(CategoriesTable[Category type],MATCH(Table1[[#This Row],[Category]],CategoriesTable[Category name],0),0),"")</f>
        <v>Expense</v>
      </c>
      <c r="N398" s="130" t="str" cm="1">
        <f t="array" ref="N398">IFERROR(INDEX(SubcategoriesTable[Subcategory name],MATCH(Table1[[#This Row],[Category]],SubcategoriesTable[Category name],0),0),"")</f>
        <v>Variable</v>
      </c>
      <c r="O398" s="130">
        <v>10</v>
      </c>
      <c r="P398" s="130">
        <f>MONTH(Table1[[#This Row],[Date]])</f>
        <v>11</v>
      </c>
      <c r="Q398" s="130">
        <v>2020</v>
      </c>
      <c r="R398" s="166">
        <f>IF(ISBLANK(Table1[[#This Row],[Date]]),"",Table1[[#This Row],[Date]]-WEEKDAY(Table1[[#This Row],[Date]],2)+1)</f>
        <v>44144</v>
      </c>
      <c r="S398" s="131">
        <f>IF(ISBLANK(Table1[[#This Row],[Date]]),"",DATE(Table1[[#This Row],[Date_Year]],Table1[[#This Row],[Date_Month]],1))</f>
        <v>44136</v>
      </c>
    </row>
    <row r="399" spans="2:19" ht="15.75" x14ac:dyDescent="0.25">
      <c r="B399" s="133">
        <v>44144</v>
      </c>
      <c r="C399" s="128" t="s">
        <v>1196</v>
      </c>
      <c r="D399" s="128" t="s">
        <v>56</v>
      </c>
      <c r="E399" s="128" t="str" cm="1">
        <f t="array" ref="E399">IFERROR(INDEX(SubcategoriesTable[Subcategory name],MATCH(Table1[[#This Row],[Category]],SubcategoriesTable[Category name],0),0),"")</f>
        <v>Variable</v>
      </c>
      <c r="F399" s="134">
        <v>-50</v>
      </c>
      <c r="G399" s="167" t="str">
        <f>_xlfn.XLOOKUP(Table1[[#This Row],[Account_ID]], Accounts[ID], Accounts[Account nickname], "Unknown")</f>
        <v>EVERYDAY CHECKING</v>
      </c>
      <c r="H399" s="137" t="str">
        <f>_xlfn.XLOOKUP(Table1[[#This Row],[Account_ID]], Accounts[ID], Accounts[Account'#], "Unknown")</f>
        <v>4636</v>
      </c>
      <c r="I399" s="168" t="str">
        <f>_xlfn.XLOOKUP(Table1[[#This Row],[Institution_ID]], Institutions[ID], Institutions[Institution nickname], "Unknown")</f>
        <v>Wells Fargo</v>
      </c>
      <c r="J399" s="139" t="s">
        <v>1452</v>
      </c>
      <c r="K399" s="129" t="s">
        <v>1229</v>
      </c>
      <c r="L399" s="129" t="s">
        <v>1228</v>
      </c>
      <c r="M399" s="130" t="str" cm="1">
        <f t="array" ref="M399">IFERROR(INDEX(CategoriesTable[Category type],MATCH(Table1[[#This Row],[Category]],CategoriesTable[Category name],0),0),"")</f>
        <v>Expense</v>
      </c>
      <c r="N399" s="130" t="str" cm="1">
        <f t="array" ref="N399">IFERROR(INDEX(SubcategoriesTable[Subcategory name],MATCH(Table1[[#This Row],[Category]],SubcategoriesTable[Category name],0),0),"")</f>
        <v>Variable</v>
      </c>
      <c r="O399" s="130">
        <v>9</v>
      </c>
      <c r="P399" s="130">
        <f>MONTH(Table1[[#This Row],[Date]])</f>
        <v>11</v>
      </c>
      <c r="Q399" s="130">
        <v>2020</v>
      </c>
      <c r="R399" s="166">
        <f>IF(ISBLANK(Table1[[#This Row],[Date]]),"",Table1[[#This Row],[Date]]-WEEKDAY(Table1[[#This Row],[Date]],2)+1)</f>
        <v>44144</v>
      </c>
      <c r="S399" s="131">
        <f>IF(ISBLANK(Table1[[#This Row],[Date]]),"",DATE(Table1[[#This Row],[Date_Year]],Table1[[#This Row],[Date_Month]],1))</f>
        <v>44136</v>
      </c>
    </row>
    <row r="400" spans="2:19" ht="15.75" x14ac:dyDescent="0.25">
      <c r="B400" s="133">
        <v>44144</v>
      </c>
      <c r="C400" s="128" t="s">
        <v>1200</v>
      </c>
      <c r="D400" s="128" t="s">
        <v>50</v>
      </c>
      <c r="E400" s="128" t="str" cm="1">
        <f t="array" ref="E400">IFERROR(INDEX(SubcategoriesTable[Subcategory name],MATCH(Table1[[#This Row],[Category]],SubcategoriesTable[Category name],0),0),"")</f>
        <v>Variable</v>
      </c>
      <c r="F400" s="134">
        <v>-300</v>
      </c>
      <c r="G400" s="167" t="str">
        <f>_xlfn.XLOOKUP(Table1[[#This Row],[Account_ID]], Accounts[ID], Accounts[Account nickname], "Unknown")</f>
        <v>EVERYDAY CHECKING</v>
      </c>
      <c r="H400" s="137" t="str">
        <f>_xlfn.XLOOKUP(Table1[[#This Row],[Account_ID]], Accounts[ID], Accounts[Account'#], "Unknown")</f>
        <v>4636</v>
      </c>
      <c r="I400" s="168" t="str">
        <f>_xlfn.XLOOKUP(Table1[[#This Row],[Institution_ID]], Institutions[ID], Institutions[Institution nickname], "Unknown")</f>
        <v>Wells Fargo</v>
      </c>
      <c r="J400" s="139" t="s">
        <v>1453</v>
      </c>
      <c r="K400" s="129" t="s">
        <v>1229</v>
      </c>
      <c r="L400" s="129" t="s">
        <v>1228</v>
      </c>
      <c r="M400" s="130" t="str" cm="1">
        <f t="array" ref="M400">IFERROR(INDEX(CategoriesTable[Category type],MATCH(Table1[[#This Row],[Category]],CategoriesTable[Category name],0),0),"")</f>
        <v>Transfer</v>
      </c>
      <c r="N400" s="130" t="str" cm="1">
        <f t="array" ref="N400">IFERROR(INDEX(SubcategoriesTable[Subcategory name],MATCH(Table1[[#This Row],[Category]],SubcategoriesTable[Category name],0),0),"")</f>
        <v>Variable</v>
      </c>
      <c r="O400" s="130">
        <v>9</v>
      </c>
      <c r="P400" s="130">
        <f>MONTH(Table1[[#This Row],[Date]])</f>
        <v>11</v>
      </c>
      <c r="Q400" s="130">
        <v>2020</v>
      </c>
      <c r="R400" s="166">
        <f>IF(ISBLANK(Table1[[#This Row],[Date]]),"",Table1[[#This Row],[Date]]-WEEKDAY(Table1[[#This Row],[Date]],2)+1)</f>
        <v>44144</v>
      </c>
      <c r="S400" s="131">
        <f>IF(ISBLANK(Table1[[#This Row],[Date]]),"",DATE(Table1[[#This Row],[Date_Year]],Table1[[#This Row],[Date_Month]],1))</f>
        <v>44136</v>
      </c>
    </row>
    <row r="401" spans="2:19" ht="15.75" x14ac:dyDescent="0.25">
      <c r="B401" s="133">
        <v>44144</v>
      </c>
      <c r="C401" s="128" t="s">
        <v>508</v>
      </c>
      <c r="D401" s="128" t="s">
        <v>50</v>
      </c>
      <c r="E401" s="128" t="str" cm="1">
        <f t="array" ref="E401">IFERROR(INDEX(SubcategoriesTable[Subcategory name],MATCH(Table1[[#This Row],[Category]],SubcategoriesTable[Category name],0),0),"")</f>
        <v>Variable</v>
      </c>
      <c r="F401" s="134">
        <v>-41.19</v>
      </c>
      <c r="G401" s="167" t="str">
        <f>_xlfn.XLOOKUP(Table1[[#This Row],[Account_ID]], Accounts[ID], Accounts[Account nickname], "Unknown")</f>
        <v>EVERYDAY CHECKING</v>
      </c>
      <c r="H401" s="137" t="str">
        <f>_xlfn.XLOOKUP(Table1[[#This Row],[Account_ID]], Accounts[ID], Accounts[Account'#], "Unknown")</f>
        <v>4636</v>
      </c>
      <c r="I401" s="168" t="str">
        <f>_xlfn.XLOOKUP(Table1[[#This Row],[Institution_ID]], Institutions[ID], Institutions[Institution nickname], "Unknown")</f>
        <v>Wells Fargo</v>
      </c>
      <c r="J401" s="139" t="s">
        <v>1454</v>
      </c>
      <c r="K401" s="129" t="s">
        <v>1229</v>
      </c>
      <c r="L401" s="129" t="s">
        <v>1228</v>
      </c>
      <c r="M401" s="130" t="str" cm="1">
        <f t="array" ref="M401">IFERROR(INDEX(CategoriesTable[Category type],MATCH(Table1[[#This Row],[Category]],CategoriesTable[Category name],0),0),"")</f>
        <v>Transfer</v>
      </c>
      <c r="N401" s="130" t="str" cm="1">
        <f t="array" ref="N401">IFERROR(INDEX(SubcategoriesTable[Subcategory name],MATCH(Table1[[#This Row],[Category]],SubcategoriesTable[Category name],0),0),"")</f>
        <v>Variable</v>
      </c>
      <c r="O401" s="130">
        <v>9</v>
      </c>
      <c r="P401" s="130">
        <f>MONTH(Table1[[#This Row],[Date]])</f>
        <v>11</v>
      </c>
      <c r="Q401" s="130">
        <v>2020</v>
      </c>
      <c r="R401" s="166">
        <f>IF(ISBLANK(Table1[[#This Row],[Date]]),"",Table1[[#This Row],[Date]]-WEEKDAY(Table1[[#This Row],[Date]],2)+1)</f>
        <v>44144</v>
      </c>
      <c r="S401" s="131">
        <f>IF(ISBLANK(Table1[[#This Row],[Date]]),"",DATE(Table1[[#This Row],[Date_Year]],Table1[[#This Row],[Date_Month]],1))</f>
        <v>44136</v>
      </c>
    </row>
    <row r="402" spans="2:19" ht="15.75" x14ac:dyDescent="0.25">
      <c r="B402" s="133">
        <v>44144</v>
      </c>
      <c r="C402" s="128" t="s">
        <v>380</v>
      </c>
      <c r="D402" s="128" t="s">
        <v>46</v>
      </c>
      <c r="E402" s="128" t="str" cm="1">
        <f t="array" ref="E402">IFERROR(INDEX(SubcategoriesTable[Subcategory name],MATCH(Table1[[#This Row],[Category]],SubcategoriesTable[Category name],0),0),"")</f>
        <v>Variable</v>
      </c>
      <c r="F402" s="134">
        <v>-79.989999999999995</v>
      </c>
      <c r="G402" s="167" t="str">
        <f>_xlfn.XLOOKUP(Table1[[#This Row],[Account_ID]], Accounts[ID], Accounts[Account nickname], "Unknown")</f>
        <v>Discover it chrome Card</v>
      </c>
      <c r="H402" s="137" t="str">
        <f>_xlfn.XLOOKUP(Table1[[#This Row],[Account_ID]], Accounts[ID], Accounts[Account'#], "Unknown")</f>
        <v>7328</v>
      </c>
      <c r="I402" s="168" t="str">
        <f>_xlfn.XLOOKUP(Table1[[#This Row],[Institution_ID]], Institutions[ID], Institutions[Institution nickname], "Unknown")</f>
        <v>Discover</v>
      </c>
      <c r="J402" s="139" t="s">
        <v>477</v>
      </c>
      <c r="K402" s="129" t="s">
        <v>110</v>
      </c>
      <c r="L402" s="129" t="s">
        <v>108</v>
      </c>
      <c r="M402" s="130" t="str" cm="1">
        <f t="array" ref="M402">IFERROR(INDEX(CategoriesTable[Category type],MATCH(Table1[[#This Row],[Category]],CategoriesTable[Category name],0),0),"")</f>
        <v>Expense</v>
      </c>
      <c r="N402" s="130" t="str" cm="1">
        <f t="array" ref="N402">IFERROR(INDEX(SubcategoriesTable[Subcategory name],MATCH(Table1[[#This Row],[Category]],SubcategoriesTable[Category name],0),0),"")</f>
        <v>Variable</v>
      </c>
      <c r="O402" s="130">
        <v>9</v>
      </c>
      <c r="P402" s="130">
        <f>MONTH(Table1[[#This Row],[Date]])</f>
        <v>11</v>
      </c>
      <c r="Q402" s="130">
        <v>2020</v>
      </c>
      <c r="R402" s="166">
        <f>IF(ISBLANK(Table1[[#This Row],[Date]]),"",Table1[[#This Row],[Date]]-WEEKDAY(Table1[[#This Row],[Date]],2)+1)</f>
        <v>44144</v>
      </c>
      <c r="S402" s="131">
        <f>IF(ISBLANK(Table1[[#This Row],[Date]]),"",DATE(Table1[[#This Row],[Date_Year]],Table1[[#This Row],[Date_Month]],1))</f>
        <v>44136</v>
      </c>
    </row>
    <row r="403" spans="2:19" ht="15.75" x14ac:dyDescent="0.25">
      <c r="B403" s="133">
        <v>44144</v>
      </c>
      <c r="C403" s="128" t="s">
        <v>171</v>
      </c>
      <c r="D403" s="128" t="s">
        <v>46</v>
      </c>
      <c r="E403" s="128" t="str" cm="1">
        <f t="array" ref="E403">IFERROR(INDEX(SubcategoriesTable[Subcategory name],MATCH(Table1[[#This Row],[Category]],SubcategoriesTable[Category name],0),0),"")</f>
        <v>Variable</v>
      </c>
      <c r="F403" s="134">
        <v>-7.36</v>
      </c>
      <c r="G403" s="167" t="str">
        <f>_xlfn.XLOOKUP(Table1[[#This Row],[Account_ID]], Accounts[ID], Accounts[Account nickname], "Unknown")</f>
        <v>Discover it chrome Card</v>
      </c>
      <c r="H403" s="137" t="str">
        <f>_xlfn.XLOOKUP(Table1[[#This Row],[Account_ID]], Accounts[ID], Accounts[Account'#], "Unknown")</f>
        <v>7328</v>
      </c>
      <c r="I403" s="168" t="str">
        <f>_xlfn.XLOOKUP(Table1[[#This Row],[Institution_ID]], Institutions[ID], Institutions[Institution nickname], "Unknown")</f>
        <v>Discover</v>
      </c>
      <c r="J403" s="139" t="s">
        <v>478</v>
      </c>
      <c r="K403" s="129" t="s">
        <v>110</v>
      </c>
      <c r="L403" s="129" t="s">
        <v>108</v>
      </c>
      <c r="M403" s="130" t="str" cm="1">
        <f t="array" ref="M403">IFERROR(INDEX(CategoriesTable[Category type],MATCH(Table1[[#This Row],[Category]],CategoriesTable[Category name],0),0),"")</f>
        <v>Expense</v>
      </c>
      <c r="N403" s="130" t="str" cm="1">
        <f t="array" ref="N403">IFERROR(INDEX(SubcategoriesTable[Subcategory name],MATCH(Table1[[#This Row],[Category]],SubcategoriesTable[Category name],0),0),"")</f>
        <v>Variable</v>
      </c>
      <c r="O403" s="130">
        <v>9</v>
      </c>
      <c r="P403" s="130">
        <f>MONTH(Table1[[#This Row],[Date]])</f>
        <v>11</v>
      </c>
      <c r="Q403" s="130">
        <v>2020</v>
      </c>
      <c r="R403" s="166">
        <f>IF(ISBLANK(Table1[[#This Row],[Date]]),"",Table1[[#This Row],[Date]]-WEEKDAY(Table1[[#This Row],[Date]],2)+1)</f>
        <v>44144</v>
      </c>
      <c r="S403" s="131">
        <f>IF(ISBLANK(Table1[[#This Row],[Date]]),"",DATE(Table1[[#This Row],[Date_Year]],Table1[[#This Row],[Date_Month]],1))</f>
        <v>44136</v>
      </c>
    </row>
    <row r="404" spans="2:19" ht="15.75" x14ac:dyDescent="0.25">
      <c r="B404" s="133">
        <v>44144</v>
      </c>
      <c r="C404" s="128" t="s">
        <v>447</v>
      </c>
      <c r="D404" s="128" t="s">
        <v>46</v>
      </c>
      <c r="E404" s="128" t="str" cm="1">
        <f t="array" ref="E404">IFERROR(INDEX(SubcategoriesTable[Subcategory name],MATCH(Table1[[#This Row],[Category]],SubcategoriesTable[Category name],0),0),"")</f>
        <v>Variable</v>
      </c>
      <c r="F404" s="134">
        <v>-1.75</v>
      </c>
      <c r="G404" s="167" t="str">
        <f>_xlfn.XLOOKUP(Table1[[#This Row],[Account_ID]], Accounts[ID], Accounts[Account nickname], "Unknown")</f>
        <v>Discover it chrome Card</v>
      </c>
      <c r="H404" s="137" t="str">
        <f>_xlfn.XLOOKUP(Table1[[#This Row],[Account_ID]], Accounts[ID], Accounts[Account'#], "Unknown")</f>
        <v>7328</v>
      </c>
      <c r="I404" s="168" t="str">
        <f>_xlfn.XLOOKUP(Table1[[#This Row],[Institution_ID]], Institutions[ID], Institutions[Institution nickname], "Unknown")</f>
        <v>Discover</v>
      </c>
      <c r="J404" s="139" t="s">
        <v>479</v>
      </c>
      <c r="K404" s="129" t="s">
        <v>110</v>
      </c>
      <c r="L404" s="129" t="s">
        <v>108</v>
      </c>
      <c r="M404" s="130" t="str" cm="1">
        <f t="array" ref="M404">IFERROR(INDEX(CategoriesTable[Category type],MATCH(Table1[[#This Row],[Category]],CategoriesTable[Category name],0),0),"")</f>
        <v>Expense</v>
      </c>
      <c r="N404" s="130" t="str" cm="1">
        <f t="array" ref="N404">IFERROR(INDEX(SubcategoriesTable[Subcategory name],MATCH(Table1[[#This Row],[Category]],SubcategoriesTable[Category name],0),0),"")</f>
        <v>Variable</v>
      </c>
      <c r="O404" s="130">
        <v>9</v>
      </c>
      <c r="P404" s="130">
        <f>MONTH(Table1[[#This Row],[Date]])</f>
        <v>11</v>
      </c>
      <c r="Q404" s="130">
        <v>2020</v>
      </c>
      <c r="R404" s="166">
        <f>IF(ISBLANK(Table1[[#This Row],[Date]]),"",Table1[[#This Row],[Date]]-WEEKDAY(Table1[[#This Row],[Date]],2)+1)</f>
        <v>44144</v>
      </c>
      <c r="S404" s="131">
        <f>IF(ISBLANK(Table1[[#This Row],[Date]]),"",DATE(Table1[[#This Row],[Date_Year]],Table1[[#This Row],[Date_Month]],1))</f>
        <v>44136</v>
      </c>
    </row>
    <row r="405" spans="2:19" ht="15.75" x14ac:dyDescent="0.25">
      <c r="B405" s="133">
        <v>44143</v>
      </c>
      <c r="C405" s="128" t="s">
        <v>1455</v>
      </c>
      <c r="D405" s="128" t="s">
        <v>52</v>
      </c>
      <c r="E405" s="128" t="str" cm="1">
        <f t="array" ref="E405">IFERROR(INDEX(SubcategoriesTable[Subcategory name],MATCH(Table1[[#This Row],[Category]],SubcategoriesTable[Category name],0),0),"")</f>
        <v>Variable</v>
      </c>
      <c r="F405" s="134">
        <v>-15</v>
      </c>
      <c r="G405" s="167" t="str">
        <f>_xlfn.XLOOKUP(Table1[[#This Row],[Account_ID]], Accounts[ID], Accounts[Account nickname], "Unknown")</f>
        <v>EVERYDAY CHECKING</v>
      </c>
      <c r="H405" s="137" t="str">
        <f>_xlfn.XLOOKUP(Table1[[#This Row],[Account_ID]], Accounts[ID], Accounts[Account'#], "Unknown")</f>
        <v>4636</v>
      </c>
      <c r="I405" s="168" t="str">
        <f>_xlfn.XLOOKUP(Table1[[#This Row],[Institution_ID]], Institutions[ID], Institutions[Institution nickname], "Unknown")</f>
        <v>Wells Fargo</v>
      </c>
      <c r="J405" s="139" t="s">
        <v>1456</v>
      </c>
      <c r="K405" s="129" t="s">
        <v>1229</v>
      </c>
      <c r="L405" s="129" t="s">
        <v>1228</v>
      </c>
      <c r="M405" s="130" t="str" cm="1">
        <f t="array" ref="M405">IFERROR(INDEX(CategoriesTable[Category type],MATCH(Table1[[#This Row],[Category]],CategoriesTable[Category name],0),0),"")</f>
        <v>Expense</v>
      </c>
      <c r="N405" s="130" t="str" cm="1">
        <f t="array" ref="N405">IFERROR(INDEX(SubcategoriesTable[Subcategory name],MATCH(Table1[[#This Row],[Category]],SubcategoriesTable[Category name],0),0),"")</f>
        <v>Variable</v>
      </c>
      <c r="O405" s="130">
        <v>8</v>
      </c>
      <c r="P405" s="130">
        <f>MONTH(Table1[[#This Row],[Date]])</f>
        <v>11</v>
      </c>
      <c r="Q405" s="130">
        <v>2020</v>
      </c>
      <c r="R405" s="166">
        <f>IF(ISBLANK(Table1[[#This Row],[Date]]),"",Table1[[#This Row],[Date]]-WEEKDAY(Table1[[#This Row],[Date]],2)+1)</f>
        <v>44137</v>
      </c>
      <c r="S405" s="131">
        <f>IF(ISBLANK(Table1[[#This Row],[Date]]),"",DATE(Table1[[#This Row],[Date_Year]],Table1[[#This Row],[Date_Month]],1))</f>
        <v>44136</v>
      </c>
    </row>
    <row r="406" spans="2:19" ht="15.75" x14ac:dyDescent="0.25">
      <c r="B406" s="133">
        <v>44143</v>
      </c>
      <c r="C406" s="128" t="s">
        <v>480</v>
      </c>
      <c r="D406" s="128" t="s">
        <v>46</v>
      </c>
      <c r="E406" s="128" t="str" cm="1">
        <f t="array" ref="E406">IFERROR(INDEX(SubcategoriesTable[Subcategory name],MATCH(Table1[[#This Row],[Category]],SubcategoriesTable[Category name],0),0),"")</f>
        <v>Variable</v>
      </c>
      <c r="F406" s="134">
        <v>-4.99</v>
      </c>
      <c r="G406" s="167" t="str">
        <f>_xlfn.XLOOKUP(Table1[[#This Row],[Account_ID]], Accounts[ID], Accounts[Account nickname], "Unknown")</f>
        <v>Discover it chrome Card</v>
      </c>
      <c r="H406" s="137" t="str">
        <f>_xlfn.XLOOKUP(Table1[[#This Row],[Account_ID]], Accounts[ID], Accounts[Account'#], "Unknown")</f>
        <v>7328</v>
      </c>
      <c r="I406" s="168" t="str">
        <f>_xlfn.XLOOKUP(Table1[[#This Row],[Institution_ID]], Institutions[ID], Institutions[Institution nickname], "Unknown")</f>
        <v>Discover</v>
      </c>
      <c r="J406" s="139" t="s">
        <v>481</v>
      </c>
      <c r="K406" s="129" t="s">
        <v>110</v>
      </c>
      <c r="L406" s="129" t="s">
        <v>108</v>
      </c>
      <c r="M406" s="130" t="str" cm="1">
        <f t="array" ref="M406">IFERROR(INDEX(CategoriesTable[Category type],MATCH(Table1[[#This Row],[Category]],CategoriesTable[Category name],0),0),"")</f>
        <v>Expense</v>
      </c>
      <c r="N406" s="130" t="str" cm="1">
        <f t="array" ref="N406">IFERROR(INDEX(SubcategoriesTable[Subcategory name],MATCH(Table1[[#This Row],[Category]],SubcategoriesTable[Category name],0),0),"")</f>
        <v>Variable</v>
      </c>
      <c r="O406" s="130">
        <v>8</v>
      </c>
      <c r="P406" s="130">
        <f>MONTH(Table1[[#This Row],[Date]])</f>
        <v>11</v>
      </c>
      <c r="Q406" s="130">
        <v>2020</v>
      </c>
      <c r="R406" s="166">
        <f>IF(ISBLANK(Table1[[#This Row],[Date]]),"",Table1[[#This Row],[Date]]-WEEKDAY(Table1[[#This Row],[Date]],2)+1)</f>
        <v>44137</v>
      </c>
      <c r="S406" s="131">
        <f>IF(ISBLANK(Table1[[#This Row],[Date]]),"",DATE(Table1[[#This Row],[Date_Year]],Table1[[#This Row],[Date_Month]],1))</f>
        <v>44136</v>
      </c>
    </row>
    <row r="407" spans="2:19" ht="15.75" x14ac:dyDescent="0.25">
      <c r="B407" s="133">
        <v>44142</v>
      </c>
      <c r="C407" s="128" t="s">
        <v>50</v>
      </c>
      <c r="D407" s="128" t="s">
        <v>1204</v>
      </c>
      <c r="E407" s="128"/>
      <c r="F407" s="134">
        <v>20</v>
      </c>
      <c r="G407" s="167" t="str">
        <f>_xlfn.XLOOKUP(Table1[[#This Row],[Account_ID]], Accounts[ID], Accounts[Account nickname], "Unknown")</f>
        <v>Checking - 4480</v>
      </c>
      <c r="H407" s="137" t="str">
        <f>_xlfn.XLOOKUP(Table1[[#This Row],[Account_ID]], Accounts[ID], Accounts[Account'#], "Unknown")</f>
        <v>4480</v>
      </c>
      <c r="I407" s="168" t="str">
        <f>_xlfn.XLOOKUP(Table1[[#This Row],[Institution_ID]], Institutions[ID], Institutions[Institution nickname], "Unknown")</f>
        <v>Robinhood</v>
      </c>
      <c r="J407" s="139" t="s">
        <v>1232</v>
      </c>
      <c r="K407" s="129" t="s">
        <v>1208</v>
      </c>
      <c r="L407" s="173" t="s">
        <v>1207</v>
      </c>
      <c r="M407" s="130" t="str" cm="1">
        <f t="array" ref="M407">IFERROR(INDEX(CategoriesTable[Category type],MATCH(Table1[[#This Row],[Category]],CategoriesTable[Category name],0),0),"")</f>
        <v>Savings</v>
      </c>
      <c r="N407" s="130" t="str" cm="1">
        <f t="array" ref="N407">IFERROR(INDEX(SubcategoriesTable[Subcategory name],MATCH(Table1[[#This Row],[Category]],SubcategoriesTable[Category name],0),0),"")</f>
        <v>Variable</v>
      </c>
      <c r="O407" s="130">
        <v>7</v>
      </c>
      <c r="P407" s="130">
        <f>MONTH(Table1[[#This Row],[Date]])</f>
        <v>11</v>
      </c>
      <c r="Q407" s="130">
        <v>2020</v>
      </c>
      <c r="R407" s="166">
        <f>IF(ISBLANK(Table1[[#This Row],[Date]]),"",Table1[[#This Row],[Date]]-WEEKDAY(Table1[[#This Row],[Date]],2)+1)</f>
        <v>44137</v>
      </c>
      <c r="S407" s="131">
        <f>IF(ISBLANK(Table1[[#This Row],[Date]]),"",DATE(Table1[[#This Row],[Date_Year]],Table1[[#This Row],[Date_Month]],1))</f>
        <v>44136</v>
      </c>
    </row>
    <row r="408" spans="2:19" ht="15.75" x14ac:dyDescent="0.25">
      <c r="B408" s="133">
        <v>44142</v>
      </c>
      <c r="C408" s="128" t="s">
        <v>482</v>
      </c>
      <c r="D408" s="128" t="s">
        <v>46</v>
      </c>
      <c r="E408" s="128" t="str" cm="1">
        <f t="array" ref="E408">IFERROR(INDEX(SubcategoriesTable[Subcategory name],MATCH(Table1[[#This Row],[Category]],SubcategoriesTable[Category name],0),0),"")</f>
        <v>Variable</v>
      </c>
      <c r="F408" s="134">
        <v>-9.99</v>
      </c>
      <c r="G408" s="167" t="str">
        <f>_xlfn.XLOOKUP(Table1[[#This Row],[Account_ID]], Accounts[ID], Accounts[Account nickname], "Unknown")</f>
        <v>Discover it chrome Card</v>
      </c>
      <c r="H408" s="137" t="str">
        <f>_xlfn.XLOOKUP(Table1[[#This Row],[Account_ID]], Accounts[ID], Accounts[Account'#], "Unknown")</f>
        <v>7328</v>
      </c>
      <c r="I408" s="168" t="str">
        <f>_xlfn.XLOOKUP(Table1[[#This Row],[Institution_ID]], Institutions[ID], Institutions[Institution nickname], "Unknown")</f>
        <v>Discover</v>
      </c>
      <c r="J408" s="139" t="s">
        <v>483</v>
      </c>
      <c r="K408" s="129" t="s">
        <v>110</v>
      </c>
      <c r="L408" s="129" t="s">
        <v>108</v>
      </c>
      <c r="M408" s="130" t="str" cm="1">
        <f t="array" ref="M408">IFERROR(INDEX(CategoriesTable[Category type],MATCH(Table1[[#This Row],[Category]],CategoriesTable[Category name],0),0),"")</f>
        <v>Expense</v>
      </c>
      <c r="N408" s="130" t="str" cm="1">
        <f t="array" ref="N408">IFERROR(INDEX(SubcategoriesTable[Subcategory name],MATCH(Table1[[#This Row],[Category]],SubcategoriesTable[Category name],0),0),"")</f>
        <v>Variable</v>
      </c>
      <c r="O408" s="130">
        <v>7</v>
      </c>
      <c r="P408" s="130">
        <f>MONTH(Table1[[#This Row],[Date]])</f>
        <v>11</v>
      </c>
      <c r="Q408" s="130">
        <v>2020</v>
      </c>
      <c r="R408" s="166">
        <f>IF(ISBLANK(Table1[[#This Row],[Date]]),"",Table1[[#This Row],[Date]]-WEEKDAY(Table1[[#This Row],[Date]],2)+1)</f>
        <v>44137</v>
      </c>
      <c r="S408" s="131">
        <f>IF(ISBLANK(Table1[[#This Row],[Date]]),"",DATE(Table1[[#This Row],[Date_Year]],Table1[[#This Row],[Date_Month]],1))</f>
        <v>44136</v>
      </c>
    </row>
    <row r="409" spans="2:19" ht="15.75" x14ac:dyDescent="0.25">
      <c r="B409" s="133">
        <v>44142</v>
      </c>
      <c r="C409" s="128" t="s">
        <v>171</v>
      </c>
      <c r="D409" s="128" t="s">
        <v>46</v>
      </c>
      <c r="E409" s="128" t="str" cm="1">
        <f t="array" ref="E409">IFERROR(INDEX(SubcategoriesTable[Subcategory name],MATCH(Table1[[#This Row],[Category]],SubcategoriesTable[Category name],0),0),"")</f>
        <v>Variable</v>
      </c>
      <c r="F409" s="134">
        <v>-2.89</v>
      </c>
      <c r="G409" s="167" t="str">
        <f>_xlfn.XLOOKUP(Table1[[#This Row],[Account_ID]], Accounts[ID], Accounts[Account nickname], "Unknown")</f>
        <v>Discover it chrome Card</v>
      </c>
      <c r="H409" s="137" t="str">
        <f>_xlfn.XLOOKUP(Table1[[#This Row],[Account_ID]], Accounts[ID], Accounts[Account'#], "Unknown")</f>
        <v>7328</v>
      </c>
      <c r="I409" s="168" t="str">
        <f>_xlfn.XLOOKUP(Table1[[#This Row],[Institution_ID]], Institutions[ID], Institutions[Institution nickname], "Unknown")</f>
        <v>Discover</v>
      </c>
      <c r="J409" s="139" t="s">
        <v>484</v>
      </c>
      <c r="K409" s="129" t="s">
        <v>110</v>
      </c>
      <c r="L409" s="129" t="s">
        <v>108</v>
      </c>
      <c r="M409" s="130" t="str" cm="1">
        <f t="array" ref="M409">IFERROR(INDEX(CategoriesTable[Category type],MATCH(Table1[[#This Row],[Category]],CategoriesTable[Category name],0),0),"")</f>
        <v>Expense</v>
      </c>
      <c r="N409" s="130" t="str" cm="1">
        <f t="array" ref="N409">IFERROR(INDEX(SubcategoriesTable[Subcategory name],MATCH(Table1[[#This Row],[Category]],SubcategoriesTable[Category name],0),0),"")</f>
        <v>Variable</v>
      </c>
      <c r="O409" s="130">
        <v>7</v>
      </c>
      <c r="P409" s="130">
        <f>MONTH(Table1[[#This Row],[Date]])</f>
        <v>11</v>
      </c>
      <c r="Q409" s="130">
        <v>2020</v>
      </c>
      <c r="R409" s="166">
        <f>IF(ISBLANK(Table1[[#This Row],[Date]]),"",Table1[[#This Row],[Date]]-WEEKDAY(Table1[[#This Row],[Date]],2)+1)</f>
        <v>44137</v>
      </c>
      <c r="S409" s="131">
        <f>IF(ISBLANK(Table1[[#This Row],[Date]]),"",DATE(Table1[[#This Row],[Date_Year]],Table1[[#This Row],[Date_Month]],1))</f>
        <v>44136</v>
      </c>
    </row>
    <row r="410" spans="2:19" ht="15.75" x14ac:dyDescent="0.25">
      <c r="B410" s="133">
        <v>44142</v>
      </c>
      <c r="C410" s="128" t="s">
        <v>336</v>
      </c>
      <c r="D410" s="128" t="s">
        <v>52</v>
      </c>
      <c r="E410" s="128" t="str" cm="1">
        <f t="array" ref="E410">IFERROR(INDEX(SubcategoriesTable[Subcategory name],MATCH(Table1[[#This Row],[Category]],SubcategoriesTable[Category name],0),0),"")</f>
        <v>Variable</v>
      </c>
      <c r="F410" s="134">
        <v>-10.119999999999999</v>
      </c>
      <c r="G410" s="167" t="str">
        <f>_xlfn.XLOOKUP(Table1[[#This Row],[Account_ID]], Accounts[ID], Accounts[Account nickname], "Unknown")</f>
        <v>Discover it chrome Card</v>
      </c>
      <c r="H410" s="137" t="str">
        <f>_xlfn.XLOOKUP(Table1[[#This Row],[Account_ID]], Accounts[ID], Accounts[Account'#], "Unknown")</f>
        <v>7328</v>
      </c>
      <c r="I410" s="168" t="str">
        <f>_xlfn.XLOOKUP(Table1[[#This Row],[Institution_ID]], Institutions[ID], Institutions[Institution nickname], "Unknown")</f>
        <v>Discover</v>
      </c>
      <c r="J410" s="171" t="s">
        <v>485</v>
      </c>
      <c r="K410" s="129" t="s">
        <v>110</v>
      </c>
      <c r="L410" s="129" t="s">
        <v>108</v>
      </c>
      <c r="M410" s="130" t="str" cm="1">
        <f t="array" ref="M410">IFERROR(INDEX(CategoriesTable[Category type],MATCH(Table1[[#This Row],[Category]],CategoriesTable[Category name],0),0),"")</f>
        <v>Expense</v>
      </c>
      <c r="N410" s="130" t="str" cm="1">
        <f t="array" ref="N410">IFERROR(INDEX(SubcategoriesTable[Subcategory name],MATCH(Table1[[#This Row],[Category]],SubcategoriesTable[Category name],0),0),"")</f>
        <v>Variable</v>
      </c>
      <c r="O410" s="130">
        <v>7</v>
      </c>
      <c r="P410" s="130">
        <f>MONTH(Table1[[#This Row],[Date]])</f>
        <v>11</v>
      </c>
      <c r="Q410" s="130">
        <v>2020</v>
      </c>
      <c r="R410" s="166">
        <f>IF(ISBLANK(Table1[[#This Row],[Date]]),"",Table1[[#This Row],[Date]]-WEEKDAY(Table1[[#This Row],[Date]],2)+1)</f>
        <v>44137</v>
      </c>
      <c r="S410" s="131">
        <f>IF(ISBLANK(Table1[[#This Row],[Date]]),"",DATE(Table1[[#This Row],[Date_Year]],Table1[[#This Row],[Date_Month]],1))</f>
        <v>44136</v>
      </c>
    </row>
    <row r="411" spans="2:19" ht="15.75" x14ac:dyDescent="0.25">
      <c r="B411" s="133">
        <v>44141</v>
      </c>
      <c r="C411" s="128" t="s">
        <v>371</v>
      </c>
      <c r="D411" s="128" t="s">
        <v>52</v>
      </c>
      <c r="E411" s="128" t="str" cm="1">
        <f t="array" ref="E411">IFERROR(INDEX(SubcategoriesTable[Subcategory name],MATCH(Table1[[#This Row],[Category]],SubcategoriesTable[Category name],0),0),"")</f>
        <v>Variable</v>
      </c>
      <c r="F411" s="134">
        <v>-18.5</v>
      </c>
      <c r="G411" s="167" t="str">
        <f>_xlfn.XLOOKUP(Table1[[#This Row],[Account_ID]], Accounts[ID], Accounts[Account nickname], "Unknown")</f>
        <v>EVERYDAY CHECKING</v>
      </c>
      <c r="H411" s="137" t="str">
        <f>_xlfn.XLOOKUP(Table1[[#This Row],[Account_ID]], Accounts[ID], Accounts[Account'#], "Unknown")</f>
        <v>4636</v>
      </c>
      <c r="I411" s="168" t="str">
        <f>_xlfn.XLOOKUP(Table1[[#This Row],[Institution_ID]], Institutions[ID], Institutions[Institution nickname], "Unknown")</f>
        <v>Wells Fargo</v>
      </c>
      <c r="J411" s="139" t="s">
        <v>1457</v>
      </c>
      <c r="K411" s="129" t="s">
        <v>1229</v>
      </c>
      <c r="L411" s="129" t="s">
        <v>1228</v>
      </c>
      <c r="M411" s="130" t="str" cm="1">
        <f t="array" ref="M411">IFERROR(INDEX(CategoriesTable[Category type],MATCH(Table1[[#This Row],[Category]],CategoriesTable[Category name],0),0),"")</f>
        <v>Expense</v>
      </c>
      <c r="N411" s="130" t="str" cm="1">
        <f t="array" ref="N411">IFERROR(INDEX(SubcategoriesTable[Subcategory name],MATCH(Table1[[#This Row],[Category]],SubcategoriesTable[Category name],0),0),"")</f>
        <v>Variable</v>
      </c>
      <c r="O411" s="130">
        <v>6</v>
      </c>
      <c r="P411" s="130">
        <f>MONTH(Table1[[#This Row],[Date]])</f>
        <v>11</v>
      </c>
      <c r="Q411" s="130">
        <v>2020</v>
      </c>
      <c r="R411" s="166">
        <f>IF(ISBLANK(Table1[[#This Row],[Date]]),"",Table1[[#This Row],[Date]]-WEEKDAY(Table1[[#This Row],[Date]],2)+1)</f>
        <v>44137</v>
      </c>
      <c r="S411" s="131">
        <f>IF(ISBLANK(Table1[[#This Row],[Date]]),"",DATE(Table1[[#This Row],[Date_Year]],Table1[[#This Row],[Date_Month]],1))</f>
        <v>44136</v>
      </c>
    </row>
    <row r="412" spans="2:19" ht="15.75" x14ac:dyDescent="0.25">
      <c r="B412" s="133">
        <v>44141</v>
      </c>
      <c r="C412" s="128" t="s">
        <v>1458</v>
      </c>
      <c r="D412" s="128" t="s">
        <v>60</v>
      </c>
      <c r="E412" s="128" t="str" cm="1">
        <f t="array" ref="E412">IFERROR(INDEX(SubcategoriesTable[Subcategory name],MATCH(Table1[[#This Row],[Category]],SubcategoriesTable[Category name],0),0),"")</f>
        <v>Variable</v>
      </c>
      <c r="F412" s="134">
        <v>-51.8</v>
      </c>
      <c r="G412" s="167" t="str">
        <f>_xlfn.XLOOKUP(Table1[[#This Row],[Account_ID]], Accounts[ID], Accounts[Account nickname], "Unknown")</f>
        <v>EVERYDAY CHECKING</v>
      </c>
      <c r="H412" s="137" t="str">
        <f>_xlfn.XLOOKUP(Table1[[#This Row],[Account_ID]], Accounts[ID], Accounts[Account'#], "Unknown")</f>
        <v>4636</v>
      </c>
      <c r="I412" s="168" t="str">
        <f>_xlfn.XLOOKUP(Table1[[#This Row],[Institution_ID]], Institutions[ID], Institutions[Institution nickname], "Unknown")</f>
        <v>Wells Fargo</v>
      </c>
      <c r="J412" s="139" t="s">
        <v>1459</v>
      </c>
      <c r="K412" s="129" t="s">
        <v>1229</v>
      </c>
      <c r="L412" s="129" t="s">
        <v>1228</v>
      </c>
      <c r="M412" s="130" t="str" cm="1">
        <f t="array" ref="M412">IFERROR(INDEX(CategoriesTable[Category type],MATCH(Table1[[#This Row],[Category]],CategoriesTable[Category name],0),0),"")</f>
        <v>Expense</v>
      </c>
      <c r="N412" s="130" t="str" cm="1">
        <f t="array" ref="N412">IFERROR(INDEX(SubcategoriesTable[Subcategory name],MATCH(Table1[[#This Row],[Category]],SubcategoriesTable[Category name],0),0),"")</f>
        <v>Variable</v>
      </c>
      <c r="O412" s="130">
        <v>6</v>
      </c>
      <c r="P412" s="130">
        <f>MONTH(Table1[[#This Row],[Date]])</f>
        <v>11</v>
      </c>
      <c r="Q412" s="130">
        <v>2020</v>
      </c>
      <c r="R412" s="166">
        <f>IF(ISBLANK(Table1[[#This Row],[Date]]),"",Table1[[#This Row],[Date]]-WEEKDAY(Table1[[#This Row],[Date]],2)+1)</f>
        <v>44137</v>
      </c>
      <c r="S412" s="131">
        <f>IF(ISBLANK(Table1[[#This Row],[Date]]),"",DATE(Table1[[#This Row],[Date_Year]],Table1[[#This Row],[Date_Month]],1))</f>
        <v>44136</v>
      </c>
    </row>
    <row r="413" spans="2:19" ht="15.75" x14ac:dyDescent="0.25">
      <c r="B413" s="133">
        <v>44141</v>
      </c>
      <c r="C413" s="128" t="s">
        <v>1196</v>
      </c>
      <c r="D413" s="128" t="s">
        <v>56</v>
      </c>
      <c r="E413" s="128" t="str" cm="1">
        <f t="array" ref="E413">IFERROR(INDEX(SubcategoriesTable[Subcategory name],MATCH(Table1[[#This Row],[Category]],SubcategoriesTable[Category name],0),0),"")</f>
        <v>Variable</v>
      </c>
      <c r="F413" s="134">
        <v>-40</v>
      </c>
      <c r="G413" s="167" t="str">
        <f>_xlfn.XLOOKUP(Table1[[#This Row],[Account_ID]], Accounts[ID], Accounts[Account nickname], "Unknown")</f>
        <v>EVERYDAY CHECKING</v>
      </c>
      <c r="H413" s="137" t="str">
        <f>_xlfn.XLOOKUP(Table1[[#This Row],[Account_ID]], Accounts[ID], Accounts[Account'#], "Unknown")</f>
        <v>4636</v>
      </c>
      <c r="I413" s="168" t="str">
        <f>_xlfn.XLOOKUP(Table1[[#This Row],[Institution_ID]], Institutions[ID], Institutions[Institution nickname], "Unknown")</f>
        <v>Wells Fargo</v>
      </c>
      <c r="J413" s="139" t="s">
        <v>1460</v>
      </c>
      <c r="K413" s="129" t="s">
        <v>1229</v>
      </c>
      <c r="L413" s="129" t="s">
        <v>1228</v>
      </c>
      <c r="M413" s="130" t="str" cm="1">
        <f t="array" ref="M413">IFERROR(INDEX(CategoriesTable[Category type],MATCH(Table1[[#This Row],[Category]],CategoriesTable[Category name],0),0),"")</f>
        <v>Expense</v>
      </c>
      <c r="N413" s="130" t="str" cm="1">
        <f t="array" ref="N413">IFERROR(INDEX(SubcategoriesTable[Subcategory name],MATCH(Table1[[#This Row],[Category]],SubcategoriesTable[Category name],0),0),"")</f>
        <v>Variable</v>
      </c>
      <c r="O413" s="130">
        <v>6</v>
      </c>
      <c r="P413" s="130">
        <f>MONTH(Table1[[#This Row],[Date]])</f>
        <v>11</v>
      </c>
      <c r="Q413" s="130">
        <v>2020</v>
      </c>
      <c r="R413" s="166">
        <f>IF(ISBLANK(Table1[[#This Row],[Date]]),"",Table1[[#This Row],[Date]]-WEEKDAY(Table1[[#This Row],[Date]],2)+1)</f>
        <v>44137</v>
      </c>
      <c r="S413" s="131">
        <f>IF(ISBLANK(Table1[[#This Row],[Date]]),"",DATE(Table1[[#This Row],[Date_Year]],Table1[[#This Row],[Date_Month]],1))</f>
        <v>44136</v>
      </c>
    </row>
    <row r="414" spans="2:19" ht="15.75" x14ac:dyDescent="0.25">
      <c r="B414" s="133">
        <v>44141</v>
      </c>
      <c r="C414" s="128" t="s">
        <v>1461</v>
      </c>
      <c r="D414" s="128" t="s">
        <v>50</v>
      </c>
      <c r="E414" s="128" t="str" cm="1">
        <f t="array" ref="E414">IFERROR(INDEX(SubcategoriesTable[Subcategory name],MATCH(Table1[[#This Row],[Category]],SubcategoriesTable[Category name],0),0),"")</f>
        <v>Variable</v>
      </c>
      <c r="F414" s="134">
        <v>-150</v>
      </c>
      <c r="G414" s="167" t="str">
        <f>_xlfn.XLOOKUP(Table1[[#This Row],[Account_ID]], Accounts[ID], Accounts[Account nickname], "Unknown")</f>
        <v>EVERYDAY CHECKING</v>
      </c>
      <c r="H414" s="137" t="str">
        <f>_xlfn.XLOOKUP(Table1[[#This Row],[Account_ID]], Accounts[ID], Accounts[Account'#], "Unknown")</f>
        <v>4636</v>
      </c>
      <c r="I414" s="168" t="str">
        <f>_xlfn.XLOOKUP(Table1[[#This Row],[Institution_ID]], Institutions[ID], Institutions[Institution nickname], "Unknown")</f>
        <v>Wells Fargo</v>
      </c>
      <c r="J414" s="139" t="s">
        <v>1462</v>
      </c>
      <c r="K414" s="129" t="s">
        <v>1229</v>
      </c>
      <c r="L414" s="129" t="s">
        <v>1228</v>
      </c>
      <c r="M414" s="130" t="str" cm="1">
        <f t="array" ref="M414">IFERROR(INDEX(CategoriesTable[Category type],MATCH(Table1[[#This Row],[Category]],CategoriesTable[Category name],0),0),"")</f>
        <v>Transfer</v>
      </c>
      <c r="N414" s="130" t="str" cm="1">
        <f t="array" ref="N414">IFERROR(INDEX(SubcategoriesTable[Subcategory name],MATCH(Table1[[#This Row],[Category]],SubcategoriesTable[Category name],0),0),"")</f>
        <v>Variable</v>
      </c>
      <c r="O414" s="130">
        <v>6</v>
      </c>
      <c r="P414" s="130">
        <f>MONTH(Table1[[#This Row],[Date]])</f>
        <v>11</v>
      </c>
      <c r="Q414" s="130">
        <v>2020</v>
      </c>
      <c r="R414" s="166">
        <f>IF(ISBLANK(Table1[[#This Row],[Date]]),"",Table1[[#This Row],[Date]]-WEEKDAY(Table1[[#This Row],[Date]],2)+1)</f>
        <v>44137</v>
      </c>
      <c r="S414" s="131">
        <f>IF(ISBLANK(Table1[[#This Row],[Date]]),"",DATE(Table1[[#This Row],[Date_Year]],Table1[[#This Row],[Date_Month]],1))</f>
        <v>44136</v>
      </c>
    </row>
    <row r="415" spans="2:19" ht="15.75" x14ac:dyDescent="0.25">
      <c r="B415" s="133">
        <v>44141</v>
      </c>
      <c r="C415" s="128" t="s">
        <v>1185</v>
      </c>
      <c r="D415" s="128" t="s">
        <v>57</v>
      </c>
      <c r="E415" s="128" t="str" cm="1">
        <f t="array" ref="E415">IFERROR(INDEX(SubcategoriesTable[Subcategory name],MATCH(Table1[[#This Row],[Category]],SubcategoriesTable[Category name],0),0),"")</f>
        <v>Variable</v>
      </c>
      <c r="F415" s="134">
        <v>160</v>
      </c>
      <c r="G415" s="167" t="str">
        <f>_xlfn.XLOOKUP(Table1[[#This Row],[Account_ID]], Accounts[ID], Accounts[Account nickname], "Unknown")</f>
        <v>EVERYDAY CHECKING</v>
      </c>
      <c r="H415" s="137" t="str">
        <f>_xlfn.XLOOKUP(Table1[[#This Row],[Account_ID]], Accounts[ID], Accounts[Account'#], "Unknown")</f>
        <v>4636</v>
      </c>
      <c r="I415" s="168" t="str">
        <f>_xlfn.XLOOKUP(Table1[[#This Row],[Institution_ID]], Institutions[ID], Institutions[Institution nickname], "Unknown")</f>
        <v>Wells Fargo</v>
      </c>
      <c r="J415" s="139" t="s">
        <v>1463</v>
      </c>
      <c r="K415" s="129" t="s">
        <v>1229</v>
      </c>
      <c r="L415" s="129" t="s">
        <v>1228</v>
      </c>
      <c r="M415" s="130" t="str" cm="1">
        <f t="array" ref="M415">IFERROR(INDEX(CategoriesTable[Category type],MATCH(Table1[[#This Row],[Category]],CategoriesTable[Category name],0),0),"")</f>
        <v>Transfer</v>
      </c>
      <c r="N415" s="130" t="str" cm="1">
        <f t="array" ref="N415">IFERROR(INDEX(SubcategoriesTable[Subcategory name],MATCH(Table1[[#This Row],[Category]],SubcategoriesTable[Category name],0),0),"")</f>
        <v>Variable</v>
      </c>
      <c r="O415" s="130">
        <v>6</v>
      </c>
      <c r="P415" s="130">
        <f>MONTH(Table1[[#This Row],[Date]])</f>
        <v>11</v>
      </c>
      <c r="Q415" s="130">
        <v>2020</v>
      </c>
      <c r="R415" s="166">
        <f>IF(ISBLANK(Table1[[#This Row],[Date]]),"",Table1[[#This Row],[Date]]-WEEKDAY(Table1[[#This Row],[Date]],2)+1)</f>
        <v>44137</v>
      </c>
      <c r="S415" s="131">
        <f>IF(ISBLANK(Table1[[#This Row],[Date]]),"",DATE(Table1[[#This Row],[Date_Year]],Table1[[#This Row],[Date_Month]],1))</f>
        <v>44136</v>
      </c>
    </row>
    <row r="416" spans="2:19" ht="15.75" x14ac:dyDescent="0.25">
      <c r="B416" s="133">
        <v>44141</v>
      </c>
      <c r="C416" s="128" t="s">
        <v>1180</v>
      </c>
      <c r="D416" s="128" t="s">
        <v>50</v>
      </c>
      <c r="E416" s="128" t="str" cm="1">
        <f t="array" ref="E416">IFERROR(INDEX(SubcategoriesTable[Subcategory name],MATCH(Table1[[#This Row],[Category]],SubcategoriesTable[Category name],0),0),"")</f>
        <v>Variable</v>
      </c>
      <c r="F416" s="134">
        <v>-600</v>
      </c>
      <c r="G416" s="167" t="str">
        <f>_xlfn.XLOOKUP(Table1[[#This Row],[Account_ID]], Accounts[ID], Accounts[Account nickname], "Unknown")</f>
        <v>EVERYDAY CHECKING</v>
      </c>
      <c r="H416" s="137" t="str">
        <f>_xlfn.XLOOKUP(Table1[[#This Row],[Account_ID]], Accounts[ID], Accounts[Account'#], "Unknown")</f>
        <v>4636</v>
      </c>
      <c r="I416" s="168" t="str">
        <f>_xlfn.XLOOKUP(Table1[[#This Row],[Institution_ID]], Institutions[ID], Institutions[Institution nickname], "Unknown")</f>
        <v>Wells Fargo</v>
      </c>
      <c r="J416" s="139" t="s">
        <v>1464</v>
      </c>
      <c r="K416" s="129" t="s">
        <v>1229</v>
      </c>
      <c r="L416" s="129" t="s">
        <v>1228</v>
      </c>
      <c r="M416" s="130" t="str" cm="1">
        <f t="array" ref="M416">IFERROR(INDEX(CategoriesTable[Category type],MATCH(Table1[[#This Row],[Category]],CategoriesTable[Category name],0),0),"")</f>
        <v>Transfer</v>
      </c>
      <c r="N416" s="130" t="str" cm="1">
        <f t="array" ref="N416">IFERROR(INDEX(SubcategoriesTable[Subcategory name],MATCH(Table1[[#This Row],[Category]],SubcategoriesTable[Category name],0),0),"")</f>
        <v>Variable</v>
      </c>
      <c r="O416" s="130">
        <v>6</v>
      </c>
      <c r="P416" s="130">
        <f>MONTH(Table1[[#This Row],[Date]])</f>
        <v>11</v>
      </c>
      <c r="Q416" s="130">
        <v>2020</v>
      </c>
      <c r="R416" s="166">
        <f>IF(ISBLANK(Table1[[#This Row],[Date]]),"",Table1[[#This Row],[Date]]-WEEKDAY(Table1[[#This Row],[Date]],2)+1)</f>
        <v>44137</v>
      </c>
      <c r="S416" s="131">
        <f>IF(ISBLANK(Table1[[#This Row],[Date]]),"",DATE(Table1[[#This Row],[Date_Year]],Table1[[#This Row],[Date_Month]],1))</f>
        <v>44136</v>
      </c>
    </row>
    <row r="417" spans="2:19" ht="15.75" x14ac:dyDescent="0.25">
      <c r="B417" s="133">
        <v>44141</v>
      </c>
      <c r="C417" s="128" t="s">
        <v>1181</v>
      </c>
      <c r="D417" s="128" t="s">
        <v>59</v>
      </c>
      <c r="E417" s="128" t="str" cm="1">
        <f t="array" ref="E417">IFERROR(INDEX(SubcategoriesTable[Subcategory name],MATCH(Table1[[#This Row],[Category]],SubcategoriesTable[Category name],0),0),"")</f>
        <v>Fixed</v>
      </c>
      <c r="F417" s="134">
        <v>1599.18</v>
      </c>
      <c r="G417" s="167" t="str">
        <f>_xlfn.XLOOKUP(Table1[[#This Row],[Account_ID]], Accounts[ID], Accounts[Account nickname], "Unknown")</f>
        <v>EVERYDAY CHECKING</v>
      </c>
      <c r="H417" s="137" t="str">
        <f>_xlfn.XLOOKUP(Table1[[#This Row],[Account_ID]], Accounts[ID], Accounts[Account'#], "Unknown")</f>
        <v>4636</v>
      </c>
      <c r="I417" s="168" t="str">
        <f>_xlfn.XLOOKUP(Table1[[#This Row],[Institution_ID]], Institutions[ID], Institutions[Institution nickname], "Unknown")</f>
        <v>Wells Fargo</v>
      </c>
      <c r="J417" s="139" t="s">
        <v>1465</v>
      </c>
      <c r="K417" s="129" t="s">
        <v>1229</v>
      </c>
      <c r="L417" s="129" t="s">
        <v>1228</v>
      </c>
      <c r="M417" s="130" t="str" cm="1">
        <f t="array" ref="M417">IFERROR(INDEX(CategoriesTable[Category type],MATCH(Table1[[#This Row],[Category]],CategoriesTable[Category name],0),0),"")</f>
        <v>Income</v>
      </c>
      <c r="N417" s="130" t="str" cm="1">
        <f t="array" ref="N417">IFERROR(INDEX(SubcategoriesTable[Subcategory name],MATCH(Table1[[#This Row],[Category]],SubcategoriesTable[Category name],0),0),"")</f>
        <v>Fixed</v>
      </c>
      <c r="O417" s="130">
        <v>6</v>
      </c>
      <c r="P417" s="130">
        <f>MONTH(Table1[[#This Row],[Date]])</f>
        <v>11</v>
      </c>
      <c r="Q417" s="130">
        <v>2020</v>
      </c>
      <c r="R417" s="166">
        <f>IF(ISBLANK(Table1[[#This Row],[Date]]),"",Table1[[#This Row],[Date]]-WEEKDAY(Table1[[#This Row],[Date]],2)+1)</f>
        <v>44137</v>
      </c>
      <c r="S417" s="131">
        <f>IF(ISBLANK(Table1[[#This Row],[Date]]),"",DATE(Table1[[#This Row],[Date_Year]],Table1[[#This Row],[Date_Month]],1))</f>
        <v>44136</v>
      </c>
    </row>
    <row r="418" spans="2:19" ht="15.75" x14ac:dyDescent="0.25">
      <c r="B418" s="133">
        <v>44141</v>
      </c>
      <c r="C418" s="128" t="s">
        <v>508</v>
      </c>
      <c r="D418" s="128" t="s">
        <v>50</v>
      </c>
      <c r="E418" s="128" t="str" cm="1">
        <f t="array" ref="E418">IFERROR(INDEX(SubcategoriesTable[Subcategory name],MATCH(Table1[[#This Row],[Category]],SubcategoriesTable[Category name],0),0),"")</f>
        <v>Variable</v>
      </c>
      <c r="F418" s="134">
        <v>-30</v>
      </c>
      <c r="G418" s="167" t="str">
        <f>_xlfn.XLOOKUP(Table1[[#This Row],[Account_ID]], Accounts[ID], Accounts[Account nickname], "Unknown")</f>
        <v>EVERYDAY CHECKING</v>
      </c>
      <c r="H418" s="137" t="str">
        <f>_xlfn.XLOOKUP(Table1[[#This Row],[Account_ID]], Accounts[ID], Accounts[Account'#], "Unknown")</f>
        <v>4636</v>
      </c>
      <c r="I418" s="168" t="str">
        <f>_xlfn.XLOOKUP(Table1[[#This Row],[Institution_ID]], Institutions[ID], Institutions[Institution nickname], "Unknown")</f>
        <v>Wells Fargo</v>
      </c>
      <c r="J418" s="139" t="s">
        <v>1466</v>
      </c>
      <c r="K418" s="129" t="s">
        <v>1229</v>
      </c>
      <c r="L418" s="129" t="s">
        <v>1228</v>
      </c>
      <c r="M418" s="130" t="str" cm="1">
        <f t="array" ref="M418">IFERROR(INDEX(CategoriesTable[Category type],MATCH(Table1[[#This Row],[Category]],CategoriesTable[Category name],0),0),"")</f>
        <v>Transfer</v>
      </c>
      <c r="N418" s="130" t="str" cm="1">
        <f t="array" ref="N418">IFERROR(INDEX(SubcategoriesTable[Subcategory name],MATCH(Table1[[#This Row],[Category]],SubcategoriesTable[Category name],0),0),"")</f>
        <v>Variable</v>
      </c>
      <c r="O418" s="130">
        <v>6</v>
      </c>
      <c r="P418" s="130">
        <f>MONTH(Table1[[#This Row],[Date]])</f>
        <v>11</v>
      </c>
      <c r="Q418" s="130">
        <v>2020</v>
      </c>
      <c r="R418" s="166">
        <f>IF(ISBLANK(Table1[[#This Row],[Date]]),"",Table1[[#This Row],[Date]]-WEEKDAY(Table1[[#This Row],[Date]],2)+1)</f>
        <v>44137</v>
      </c>
      <c r="S418" s="131">
        <f>IF(ISBLANK(Table1[[#This Row],[Date]]),"",DATE(Table1[[#This Row],[Date_Year]],Table1[[#This Row],[Date_Month]],1))</f>
        <v>44136</v>
      </c>
    </row>
    <row r="419" spans="2:19" ht="15.75" x14ac:dyDescent="0.25">
      <c r="B419" s="133">
        <v>44141</v>
      </c>
      <c r="C419" s="128" t="s">
        <v>508</v>
      </c>
      <c r="D419" s="128" t="s">
        <v>50</v>
      </c>
      <c r="E419" s="128" t="str" cm="1">
        <f t="array" ref="E419">IFERROR(INDEX(SubcategoriesTable[Subcategory name],MATCH(Table1[[#This Row],[Category]],SubcategoriesTable[Category name],0),0),"")</f>
        <v>Variable</v>
      </c>
      <c r="F419" s="134">
        <v>-58.95</v>
      </c>
      <c r="G419" s="167" t="str">
        <f>_xlfn.XLOOKUP(Table1[[#This Row],[Account_ID]], Accounts[ID], Accounts[Account nickname], "Unknown")</f>
        <v>EVERYDAY CHECKING</v>
      </c>
      <c r="H419" s="137" t="str">
        <f>_xlfn.XLOOKUP(Table1[[#This Row],[Account_ID]], Accounts[ID], Accounts[Account'#], "Unknown")</f>
        <v>4636</v>
      </c>
      <c r="I419" s="168" t="str">
        <f>_xlfn.XLOOKUP(Table1[[#This Row],[Institution_ID]], Institutions[ID], Institutions[Institution nickname], "Unknown")</f>
        <v>Wells Fargo</v>
      </c>
      <c r="J419" s="139" t="s">
        <v>1467</v>
      </c>
      <c r="K419" s="129" t="s">
        <v>1229</v>
      </c>
      <c r="L419" s="129" t="s">
        <v>1228</v>
      </c>
      <c r="M419" s="130" t="str" cm="1">
        <f t="array" ref="M419">IFERROR(INDEX(CategoriesTable[Category type],MATCH(Table1[[#This Row],[Category]],CategoriesTable[Category name],0),0),"")</f>
        <v>Transfer</v>
      </c>
      <c r="N419" s="130" t="str" cm="1">
        <f t="array" ref="N419">IFERROR(INDEX(SubcategoriesTable[Subcategory name],MATCH(Table1[[#This Row],[Category]],SubcategoriesTable[Category name],0),0),"")</f>
        <v>Variable</v>
      </c>
      <c r="O419" s="130">
        <v>6</v>
      </c>
      <c r="P419" s="130">
        <f>MONTH(Table1[[#This Row],[Date]])</f>
        <v>11</v>
      </c>
      <c r="Q419" s="130">
        <v>2020</v>
      </c>
      <c r="R419" s="166">
        <f>IF(ISBLANK(Table1[[#This Row],[Date]]),"",Table1[[#This Row],[Date]]-WEEKDAY(Table1[[#This Row],[Date]],2)+1)</f>
        <v>44137</v>
      </c>
      <c r="S419" s="131">
        <f>IF(ISBLANK(Table1[[#This Row],[Date]]),"",DATE(Table1[[#This Row],[Date_Year]],Table1[[#This Row],[Date_Month]],1))</f>
        <v>44136</v>
      </c>
    </row>
    <row r="420" spans="2:19" ht="15.75" x14ac:dyDescent="0.25">
      <c r="B420" s="133">
        <v>44141</v>
      </c>
      <c r="C420" s="128" t="s">
        <v>113</v>
      </c>
      <c r="D420" s="128" t="s">
        <v>50</v>
      </c>
      <c r="E420" s="128" t="str" cm="1">
        <f t="array" ref="E420">IFERROR(INDEX(SubcategoriesTable[Subcategory name],MATCH(Table1[[#This Row],[Category]],SubcategoriesTable[Category name],0),0),"")</f>
        <v>Variable</v>
      </c>
      <c r="F420" s="134">
        <v>600</v>
      </c>
      <c r="G420" s="167" t="str">
        <f>_xlfn.XLOOKUP(Table1[[#This Row],[Account_ID]], Accounts[ID], Accounts[Account nickname], "Unknown")</f>
        <v>Discover it chrome Card</v>
      </c>
      <c r="H420" s="137" t="str">
        <f>_xlfn.XLOOKUP(Table1[[#This Row],[Account_ID]], Accounts[ID], Accounts[Account'#], "Unknown")</f>
        <v>7328</v>
      </c>
      <c r="I420" s="168" t="str">
        <f>_xlfn.XLOOKUP(Table1[[#This Row],[Institution_ID]], Institutions[ID], Institutions[Institution nickname], "Unknown")</f>
        <v>Discover</v>
      </c>
      <c r="J420" s="139" t="s">
        <v>486</v>
      </c>
      <c r="K420" s="129" t="s">
        <v>110</v>
      </c>
      <c r="L420" s="129" t="s">
        <v>108</v>
      </c>
      <c r="M420" s="130" t="str" cm="1">
        <f t="array" ref="M420">IFERROR(INDEX(CategoriesTable[Category type],MATCH(Table1[[#This Row],[Category]],CategoriesTable[Category name],0),0),"")</f>
        <v>Transfer</v>
      </c>
      <c r="N420" s="130" t="str" cm="1">
        <f t="array" ref="N420">IFERROR(INDEX(SubcategoriesTable[Subcategory name],MATCH(Table1[[#This Row],[Category]],SubcategoriesTable[Category name],0),0),"")</f>
        <v>Variable</v>
      </c>
      <c r="O420" s="130">
        <v>6</v>
      </c>
      <c r="P420" s="130">
        <f>MONTH(Table1[[#This Row],[Date]])</f>
        <v>11</v>
      </c>
      <c r="Q420" s="130">
        <v>2020</v>
      </c>
      <c r="R420" s="166">
        <f>IF(ISBLANK(Table1[[#This Row],[Date]]),"",Table1[[#This Row],[Date]]-WEEKDAY(Table1[[#This Row],[Date]],2)+1)</f>
        <v>44137</v>
      </c>
      <c r="S420" s="131">
        <f>IF(ISBLANK(Table1[[#This Row],[Date]]),"",DATE(Table1[[#This Row],[Date_Year]],Table1[[#This Row],[Date_Month]],1))</f>
        <v>44136</v>
      </c>
    </row>
    <row r="421" spans="2:19" ht="15.75" x14ac:dyDescent="0.25">
      <c r="B421" s="133">
        <v>44140</v>
      </c>
      <c r="C421" s="128" t="s">
        <v>1468</v>
      </c>
      <c r="D421" s="128" t="s">
        <v>56</v>
      </c>
      <c r="E421" s="128" t="str" cm="1">
        <f t="array" ref="E421">IFERROR(INDEX(SubcategoriesTable[Subcategory name],MATCH(Table1[[#This Row],[Category]],SubcategoriesTable[Category name],0),0),"")</f>
        <v>Variable</v>
      </c>
      <c r="F421" s="134">
        <v>-5.99</v>
      </c>
      <c r="G421" s="167" t="str">
        <f>_xlfn.XLOOKUP(Table1[[#This Row],[Account_ID]], Accounts[ID], Accounts[Account nickname], "Unknown")</f>
        <v>EVERYDAY CHECKING</v>
      </c>
      <c r="H421" s="137" t="str">
        <f>_xlfn.XLOOKUP(Table1[[#This Row],[Account_ID]], Accounts[ID], Accounts[Account'#], "Unknown")</f>
        <v>4636</v>
      </c>
      <c r="I421" s="168" t="str">
        <f>_xlfn.XLOOKUP(Table1[[#This Row],[Institution_ID]], Institutions[ID], Institutions[Institution nickname], "Unknown")</f>
        <v>Wells Fargo</v>
      </c>
      <c r="J421" s="139" t="s">
        <v>1469</v>
      </c>
      <c r="K421" s="129" t="s">
        <v>1229</v>
      </c>
      <c r="L421" s="129" t="s">
        <v>1228</v>
      </c>
      <c r="M421" s="130" t="str" cm="1">
        <f t="array" ref="M421">IFERROR(INDEX(CategoriesTable[Category type],MATCH(Table1[[#This Row],[Category]],CategoriesTable[Category name],0),0),"")</f>
        <v>Expense</v>
      </c>
      <c r="N421" s="130" t="str" cm="1">
        <f t="array" ref="N421">IFERROR(INDEX(SubcategoriesTable[Subcategory name],MATCH(Table1[[#This Row],[Category]],SubcategoriesTable[Category name],0),0),"")</f>
        <v>Variable</v>
      </c>
      <c r="O421" s="130">
        <v>5</v>
      </c>
      <c r="P421" s="130">
        <f>MONTH(Table1[[#This Row],[Date]])</f>
        <v>11</v>
      </c>
      <c r="Q421" s="130">
        <v>2020</v>
      </c>
      <c r="R421" s="166">
        <f>IF(ISBLANK(Table1[[#This Row],[Date]]),"",Table1[[#This Row],[Date]]-WEEKDAY(Table1[[#This Row],[Date]],2)+1)</f>
        <v>44137</v>
      </c>
      <c r="S421" s="131">
        <f>IF(ISBLANK(Table1[[#This Row],[Date]]),"",DATE(Table1[[#This Row],[Date_Year]],Table1[[#This Row],[Date_Month]],1))</f>
        <v>44136</v>
      </c>
    </row>
    <row r="422" spans="2:19" ht="15.75" x14ac:dyDescent="0.25">
      <c r="B422" s="133">
        <v>44140</v>
      </c>
      <c r="C422" s="128" t="s">
        <v>1470</v>
      </c>
      <c r="D422" s="128" t="s">
        <v>57</v>
      </c>
      <c r="E422" s="128" t="str" cm="1">
        <f t="array" ref="E422">IFERROR(INDEX(SubcategoriesTable[Subcategory name],MATCH(Table1[[#This Row],[Category]],SubcategoriesTable[Category name],0),0),"")</f>
        <v>Variable</v>
      </c>
      <c r="F422" s="134">
        <v>25</v>
      </c>
      <c r="G422" s="167" t="str">
        <f>_xlfn.XLOOKUP(Table1[[#This Row],[Account_ID]], Accounts[ID], Accounts[Account nickname], "Unknown")</f>
        <v>EVERYDAY CHECKING</v>
      </c>
      <c r="H422" s="137" t="str">
        <f>_xlfn.XLOOKUP(Table1[[#This Row],[Account_ID]], Accounts[ID], Accounts[Account'#], "Unknown")</f>
        <v>4636</v>
      </c>
      <c r="I422" s="168" t="str">
        <f>_xlfn.XLOOKUP(Table1[[#This Row],[Institution_ID]], Institutions[ID], Institutions[Institution nickname], "Unknown")</f>
        <v>Wells Fargo</v>
      </c>
      <c r="J422" s="139" t="s">
        <v>1471</v>
      </c>
      <c r="K422" s="129" t="s">
        <v>1229</v>
      </c>
      <c r="L422" s="129" t="s">
        <v>1228</v>
      </c>
      <c r="M422" s="130" t="str" cm="1">
        <f t="array" ref="M422">IFERROR(INDEX(CategoriesTable[Category type],MATCH(Table1[[#This Row],[Category]],CategoriesTable[Category name],0),0),"")</f>
        <v>Transfer</v>
      </c>
      <c r="N422" s="130" t="str" cm="1">
        <f t="array" ref="N422">IFERROR(INDEX(SubcategoriesTable[Subcategory name],MATCH(Table1[[#This Row],[Category]],SubcategoriesTable[Category name],0),0),"")</f>
        <v>Variable</v>
      </c>
      <c r="O422" s="130">
        <v>5</v>
      </c>
      <c r="P422" s="130">
        <f>MONTH(Table1[[#This Row],[Date]])</f>
        <v>11</v>
      </c>
      <c r="Q422" s="130">
        <v>2020</v>
      </c>
      <c r="R422" s="166">
        <f>IF(ISBLANK(Table1[[#This Row],[Date]]),"",Table1[[#This Row],[Date]]-WEEKDAY(Table1[[#This Row],[Date]],2)+1)</f>
        <v>44137</v>
      </c>
      <c r="S422" s="131">
        <f>IF(ISBLANK(Table1[[#This Row],[Date]]),"",DATE(Table1[[#This Row],[Date_Year]],Table1[[#This Row],[Date_Month]],1))</f>
        <v>44136</v>
      </c>
    </row>
    <row r="423" spans="2:19" ht="15.75" x14ac:dyDescent="0.25">
      <c r="B423" s="133">
        <v>44140</v>
      </c>
      <c r="C423" s="128" t="s">
        <v>154</v>
      </c>
      <c r="D423" s="128" t="s">
        <v>51</v>
      </c>
      <c r="E423" s="128" t="str" cm="1">
        <f t="array" ref="E423">IFERROR(INDEX(SubcategoriesTable[Subcategory name],MATCH(Table1[[#This Row],[Category]],SubcategoriesTable[Category name],0),0),"")</f>
        <v>Variable</v>
      </c>
      <c r="F423" s="134">
        <v>-58.95</v>
      </c>
      <c r="G423" s="167" t="str">
        <f>_xlfn.XLOOKUP(Table1[[#This Row],[Account_ID]], Accounts[ID], Accounts[Account nickname], "Unknown")</f>
        <v>Discover it chrome Card</v>
      </c>
      <c r="H423" s="137" t="str">
        <f>_xlfn.XLOOKUP(Table1[[#This Row],[Account_ID]], Accounts[ID], Accounts[Account'#], "Unknown")</f>
        <v>7328</v>
      </c>
      <c r="I423" s="168" t="str">
        <f>_xlfn.XLOOKUP(Table1[[#This Row],[Institution_ID]], Institutions[ID], Institutions[Institution nickname], "Unknown")</f>
        <v>Discover</v>
      </c>
      <c r="J423" s="139" t="s">
        <v>487</v>
      </c>
      <c r="K423" s="129" t="s">
        <v>110</v>
      </c>
      <c r="L423" s="129" t="s">
        <v>108</v>
      </c>
      <c r="M423" s="130" t="str" cm="1">
        <f t="array" ref="M423">IFERROR(INDEX(CategoriesTable[Category type],MATCH(Table1[[#This Row],[Category]],CategoriesTable[Category name],0),0),"")</f>
        <v>Expense</v>
      </c>
      <c r="N423" s="130" t="str" cm="1">
        <f t="array" ref="N423">IFERROR(INDEX(SubcategoriesTable[Subcategory name],MATCH(Table1[[#This Row],[Category]],SubcategoriesTable[Category name],0),0),"")</f>
        <v>Variable</v>
      </c>
      <c r="O423" s="130">
        <v>5</v>
      </c>
      <c r="P423" s="130">
        <f>MONTH(Table1[[#This Row],[Date]])</f>
        <v>11</v>
      </c>
      <c r="Q423" s="130">
        <v>2020</v>
      </c>
      <c r="R423" s="166">
        <f>IF(ISBLANK(Table1[[#This Row],[Date]]),"",Table1[[#This Row],[Date]]-WEEKDAY(Table1[[#This Row],[Date]],2)+1)</f>
        <v>44137</v>
      </c>
      <c r="S423" s="131">
        <f>IF(ISBLANK(Table1[[#This Row],[Date]]),"",DATE(Table1[[#This Row],[Date_Year]],Table1[[#This Row],[Date_Month]],1))</f>
        <v>44136</v>
      </c>
    </row>
    <row r="424" spans="2:19" ht="15.75" x14ac:dyDescent="0.25">
      <c r="B424" s="133">
        <v>44140</v>
      </c>
      <c r="C424" s="128" t="s">
        <v>295</v>
      </c>
      <c r="D424" s="128" t="s">
        <v>56</v>
      </c>
      <c r="E424" s="128" t="str" cm="1">
        <f t="array" ref="E424">IFERROR(INDEX(SubcategoriesTable[Subcategory name],MATCH(Table1[[#This Row],[Category]],SubcategoriesTable[Category name],0),0),"")</f>
        <v>Variable</v>
      </c>
      <c r="F424" s="134">
        <v>-39.950000000000003</v>
      </c>
      <c r="G424" s="167" t="str">
        <f>_xlfn.XLOOKUP(Table1[[#This Row],[Account_ID]], Accounts[ID], Accounts[Account nickname], "Unknown")</f>
        <v>Discover it chrome Card</v>
      </c>
      <c r="H424" s="137" t="str">
        <f>_xlfn.XLOOKUP(Table1[[#This Row],[Account_ID]], Accounts[ID], Accounts[Account'#], "Unknown")</f>
        <v>7328</v>
      </c>
      <c r="I424" s="168" t="str">
        <f>_xlfn.XLOOKUP(Table1[[#This Row],[Institution_ID]], Institutions[ID], Institutions[Institution nickname], "Unknown")</f>
        <v>Discover</v>
      </c>
      <c r="J424" s="139" t="s">
        <v>488</v>
      </c>
      <c r="K424" s="129" t="s">
        <v>110</v>
      </c>
      <c r="L424" s="129" t="s">
        <v>108</v>
      </c>
      <c r="M424" s="130" t="str" cm="1">
        <f t="array" ref="M424">IFERROR(INDEX(CategoriesTable[Category type],MATCH(Table1[[#This Row],[Category]],CategoriesTable[Category name],0),0),"")</f>
        <v>Expense</v>
      </c>
      <c r="N424" s="130" t="str" cm="1">
        <f t="array" ref="N424">IFERROR(INDEX(SubcategoriesTable[Subcategory name],MATCH(Table1[[#This Row],[Category]],SubcategoriesTable[Category name],0),0),"")</f>
        <v>Variable</v>
      </c>
      <c r="O424" s="130">
        <v>5</v>
      </c>
      <c r="P424" s="130">
        <f>MONTH(Table1[[#This Row],[Date]])</f>
        <v>11</v>
      </c>
      <c r="Q424" s="130">
        <v>2020</v>
      </c>
      <c r="R424" s="166">
        <f>IF(ISBLANK(Table1[[#This Row],[Date]]),"",Table1[[#This Row],[Date]]-WEEKDAY(Table1[[#This Row],[Date]],2)+1)</f>
        <v>44137</v>
      </c>
      <c r="S424" s="131">
        <f>IF(ISBLANK(Table1[[#This Row],[Date]]),"",DATE(Table1[[#This Row],[Date_Year]],Table1[[#This Row],[Date_Month]],1))</f>
        <v>44136</v>
      </c>
    </row>
    <row r="425" spans="2:19" ht="15.75" x14ac:dyDescent="0.25">
      <c r="B425" s="133">
        <v>44140</v>
      </c>
      <c r="C425" s="128" t="s">
        <v>195</v>
      </c>
      <c r="D425" s="128" t="s">
        <v>48</v>
      </c>
      <c r="E425" s="128" t="str" cm="1">
        <f t="array" ref="E425">IFERROR(INDEX(SubcategoriesTable[Subcategory name],MATCH(Table1[[#This Row],[Category]],SubcategoriesTable[Category name],0),0),"")</f>
        <v>Variable</v>
      </c>
      <c r="F425" s="134">
        <v>-14.42</v>
      </c>
      <c r="G425" s="167" t="str">
        <f>_xlfn.XLOOKUP(Table1[[#This Row],[Account_ID]], Accounts[ID], Accounts[Account nickname], "Unknown")</f>
        <v>Discover it chrome Card</v>
      </c>
      <c r="H425" s="137" t="str">
        <f>_xlfn.XLOOKUP(Table1[[#This Row],[Account_ID]], Accounts[ID], Accounts[Account'#], "Unknown")</f>
        <v>7328</v>
      </c>
      <c r="I425" s="168" t="str">
        <f>_xlfn.XLOOKUP(Table1[[#This Row],[Institution_ID]], Institutions[ID], Institutions[Institution nickname], "Unknown")</f>
        <v>Discover</v>
      </c>
      <c r="J425" s="139" t="s">
        <v>489</v>
      </c>
      <c r="K425" s="129" t="s">
        <v>110</v>
      </c>
      <c r="L425" s="129" t="s">
        <v>108</v>
      </c>
      <c r="M425" s="130" t="str" cm="1">
        <f t="array" ref="M425">IFERROR(INDEX(CategoriesTable[Category type],MATCH(Table1[[#This Row],[Category]],CategoriesTable[Category name],0),0),"")</f>
        <v>Expense</v>
      </c>
      <c r="N425" s="130" t="str" cm="1">
        <f t="array" ref="N425">IFERROR(INDEX(SubcategoriesTable[Subcategory name],MATCH(Table1[[#This Row],[Category]],SubcategoriesTable[Category name],0),0),"")</f>
        <v>Variable</v>
      </c>
      <c r="O425" s="130">
        <v>5</v>
      </c>
      <c r="P425" s="130">
        <f>MONTH(Table1[[#This Row],[Date]])</f>
        <v>11</v>
      </c>
      <c r="Q425" s="130">
        <v>2020</v>
      </c>
      <c r="R425" s="166">
        <f>IF(ISBLANK(Table1[[#This Row],[Date]]),"",Table1[[#This Row],[Date]]-WEEKDAY(Table1[[#This Row],[Date]],2)+1)</f>
        <v>44137</v>
      </c>
      <c r="S425" s="131">
        <f>IF(ISBLANK(Table1[[#This Row],[Date]]),"",DATE(Table1[[#This Row],[Date_Year]],Table1[[#This Row],[Date_Month]],1))</f>
        <v>44136</v>
      </c>
    </row>
    <row r="426" spans="2:19" ht="15.75" x14ac:dyDescent="0.25">
      <c r="B426" s="133">
        <v>44138</v>
      </c>
      <c r="C426" s="128" t="s">
        <v>146</v>
      </c>
      <c r="D426" s="128" t="s">
        <v>54</v>
      </c>
      <c r="E426" s="128" t="str" cm="1">
        <f t="array" ref="E426">IFERROR(INDEX(SubcategoriesTable[Subcategory name],MATCH(Table1[[#This Row],[Category]],SubcategoriesTable[Category name],0),0),"")</f>
        <v>Fixed</v>
      </c>
      <c r="F426" s="134">
        <v>-97.25</v>
      </c>
      <c r="G426" s="167" t="str">
        <f>_xlfn.XLOOKUP(Table1[[#This Row],[Account_ID]], Accounts[ID], Accounts[Account nickname], "Unknown")</f>
        <v>Discover it chrome Card</v>
      </c>
      <c r="H426" s="137" t="str">
        <f>_xlfn.XLOOKUP(Table1[[#This Row],[Account_ID]], Accounts[ID], Accounts[Account'#], "Unknown")</f>
        <v>7328</v>
      </c>
      <c r="I426" s="168" t="str">
        <f>_xlfn.XLOOKUP(Table1[[#This Row],[Institution_ID]], Institutions[ID], Institutions[Institution nickname], "Unknown")</f>
        <v>Discover</v>
      </c>
      <c r="J426" s="139" t="s">
        <v>490</v>
      </c>
      <c r="K426" s="129" t="s">
        <v>110</v>
      </c>
      <c r="L426" s="129" t="s">
        <v>108</v>
      </c>
      <c r="M426" s="130" t="str" cm="1">
        <f t="array" ref="M426">IFERROR(INDEX(CategoriesTable[Category type],MATCH(Table1[[#This Row],[Category]],CategoriesTable[Category name],0),0),"")</f>
        <v>Expense</v>
      </c>
      <c r="N426" s="130" t="str" cm="1">
        <f t="array" ref="N426">IFERROR(INDEX(SubcategoriesTable[Subcategory name],MATCH(Table1[[#This Row],[Category]],SubcategoriesTable[Category name],0),0),"")</f>
        <v>Fixed</v>
      </c>
      <c r="O426" s="130">
        <v>3</v>
      </c>
      <c r="P426" s="130">
        <f>MONTH(Table1[[#This Row],[Date]])</f>
        <v>11</v>
      </c>
      <c r="Q426" s="130">
        <v>2020</v>
      </c>
      <c r="R426" s="166">
        <f>IF(ISBLANK(Table1[[#This Row],[Date]]),"",Table1[[#This Row],[Date]]-WEEKDAY(Table1[[#This Row],[Date]],2)+1)</f>
        <v>44137</v>
      </c>
      <c r="S426" s="131">
        <f>IF(ISBLANK(Table1[[#This Row],[Date]]),"",DATE(Table1[[#This Row],[Date_Year]],Table1[[#This Row],[Date_Month]],1))</f>
        <v>44136</v>
      </c>
    </row>
    <row r="427" spans="2:19" ht="15.75" x14ac:dyDescent="0.25">
      <c r="B427" s="133">
        <v>44136</v>
      </c>
      <c r="C427" s="128" t="s">
        <v>256</v>
      </c>
      <c r="D427" s="128" t="s">
        <v>46</v>
      </c>
      <c r="E427" s="128" t="str" cm="1">
        <f t="array" ref="E427">IFERROR(INDEX(SubcategoriesTable[Subcategory name],MATCH(Table1[[#This Row],[Category]],SubcategoriesTable[Category name],0),0),"")</f>
        <v>Variable</v>
      </c>
      <c r="F427" s="134">
        <v>-28.87</v>
      </c>
      <c r="G427" s="167" t="str">
        <f>_xlfn.XLOOKUP(Table1[[#This Row],[Account_ID]], Accounts[ID], Accounts[Account nickname], "Unknown")</f>
        <v>Discover it chrome Card</v>
      </c>
      <c r="H427" s="137" t="str">
        <f>_xlfn.XLOOKUP(Table1[[#This Row],[Account_ID]], Accounts[ID], Accounts[Account'#], "Unknown")</f>
        <v>7328</v>
      </c>
      <c r="I427" s="168" t="str">
        <f>_xlfn.XLOOKUP(Table1[[#This Row],[Institution_ID]], Institutions[ID], Institutions[Institution nickname], "Unknown")</f>
        <v>Discover</v>
      </c>
      <c r="J427" s="171" t="s">
        <v>491</v>
      </c>
      <c r="K427" s="129" t="s">
        <v>110</v>
      </c>
      <c r="L427" s="129" t="s">
        <v>108</v>
      </c>
      <c r="M427" s="130" t="str" cm="1">
        <f t="array" ref="M427">IFERROR(INDEX(CategoriesTable[Category type],MATCH(Table1[[#This Row],[Category]],CategoriesTable[Category name],0),0),"")</f>
        <v>Expense</v>
      </c>
      <c r="N427" s="130" t="str" cm="1">
        <f t="array" ref="N427">IFERROR(INDEX(SubcategoriesTable[Subcategory name],MATCH(Table1[[#This Row],[Category]],SubcategoriesTable[Category name],0),0),"")</f>
        <v>Variable</v>
      </c>
      <c r="O427" s="130">
        <v>1</v>
      </c>
      <c r="P427" s="130">
        <f>MONTH(Table1[[#This Row],[Date]])</f>
        <v>11</v>
      </c>
      <c r="Q427" s="130">
        <v>2020</v>
      </c>
      <c r="R427" s="166">
        <f>IF(ISBLANK(Table1[[#This Row],[Date]]),"",Table1[[#This Row],[Date]]-WEEKDAY(Table1[[#This Row],[Date]],2)+1)</f>
        <v>44130</v>
      </c>
      <c r="S427" s="131">
        <f>IF(ISBLANK(Table1[[#This Row],[Date]]),"",DATE(Table1[[#This Row],[Date_Year]],Table1[[#This Row],[Date_Month]],1))</f>
        <v>44136</v>
      </c>
    </row>
    <row r="428" spans="2:19" ht="15.75" x14ac:dyDescent="0.25">
      <c r="B428" s="133">
        <v>44136</v>
      </c>
      <c r="C428" s="128" t="s">
        <v>239</v>
      </c>
      <c r="D428" s="128" t="s">
        <v>52</v>
      </c>
      <c r="E428" s="128" t="str" cm="1">
        <f t="array" ref="E428">IFERROR(INDEX(SubcategoriesTable[Subcategory name],MATCH(Table1[[#This Row],[Category]],SubcategoriesTable[Category name],0),0),"")</f>
        <v>Variable</v>
      </c>
      <c r="F428" s="134">
        <v>-22.4</v>
      </c>
      <c r="G428" s="167" t="str">
        <f>_xlfn.XLOOKUP(Table1[[#This Row],[Account_ID]], Accounts[ID], Accounts[Account nickname], "Unknown")</f>
        <v>Discover it chrome Card</v>
      </c>
      <c r="H428" s="137" t="str">
        <f>_xlfn.XLOOKUP(Table1[[#This Row],[Account_ID]], Accounts[ID], Accounts[Account'#], "Unknown")</f>
        <v>7328</v>
      </c>
      <c r="I428" s="168" t="str">
        <f>_xlfn.XLOOKUP(Table1[[#This Row],[Institution_ID]], Institutions[ID], Institutions[Institution nickname], "Unknown")</f>
        <v>Discover</v>
      </c>
      <c r="J428" s="139" t="s">
        <v>492</v>
      </c>
      <c r="K428" s="129" t="s">
        <v>110</v>
      </c>
      <c r="L428" s="129" t="s">
        <v>108</v>
      </c>
      <c r="M428" s="130" t="str" cm="1">
        <f t="array" ref="M428">IFERROR(INDEX(CategoriesTable[Category type],MATCH(Table1[[#This Row],[Category]],CategoriesTable[Category name],0),0),"")</f>
        <v>Expense</v>
      </c>
      <c r="N428" s="130" t="str" cm="1">
        <f t="array" ref="N428">IFERROR(INDEX(SubcategoriesTable[Subcategory name],MATCH(Table1[[#This Row],[Category]],SubcategoriesTable[Category name],0),0),"")</f>
        <v>Variable</v>
      </c>
      <c r="O428" s="130">
        <v>1</v>
      </c>
      <c r="P428" s="130">
        <f>MONTH(Table1[[#This Row],[Date]])</f>
        <v>11</v>
      </c>
      <c r="Q428" s="130">
        <v>2020</v>
      </c>
      <c r="R428" s="166">
        <f>IF(ISBLANK(Table1[[#This Row],[Date]]),"",Table1[[#This Row],[Date]]-WEEKDAY(Table1[[#This Row],[Date]],2)+1)</f>
        <v>44130</v>
      </c>
      <c r="S428" s="131">
        <f>IF(ISBLANK(Table1[[#This Row],[Date]]),"",DATE(Table1[[#This Row],[Date_Year]],Table1[[#This Row],[Date_Month]],1))</f>
        <v>44136</v>
      </c>
    </row>
    <row r="429" spans="2:19" ht="15.75" x14ac:dyDescent="0.25">
      <c r="B429" s="133">
        <v>44136</v>
      </c>
      <c r="C429" s="128" t="s">
        <v>152</v>
      </c>
      <c r="D429" s="128" t="s">
        <v>54</v>
      </c>
      <c r="E429" s="128" t="str" cm="1">
        <f t="array" ref="E429">IFERROR(INDEX(SubcategoriesTable[Subcategory name],MATCH(Table1[[#This Row],[Category]],SubcategoriesTable[Category name],0),0),"")</f>
        <v>Fixed</v>
      </c>
      <c r="F429" s="134">
        <v>-12.99</v>
      </c>
      <c r="G429" s="167" t="str">
        <f>_xlfn.XLOOKUP(Table1[[#This Row],[Account_ID]], Accounts[ID], Accounts[Account nickname], "Unknown")</f>
        <v>Discover it chrome Card</v>
      </c>
      <c r="H429" s="137" t="str">
        <f>_xlfn.XLOOKUP(Table1[[#This Row],[Account_ID]], Accounts[ID], Accounts[Account'#], "Unknown")</f>
        <v>7328</v>
      </c>
      <c r="I429" s="168" t="str">
        <f>_xlfn.XLOOKUP(Table1[[#This Row],[Institution_ID]], Institutions[ID], Institutions[Institution nickname], "Unknown")</f>
        <v>Discover</v>
      </c>
      <c r="J429" s="139" t="s">
        <v>493</v>
      </c>
      <c r="K429" s="129" t="s">
        <v>110</v>
      </c>
      <c r="L429" s="129" t="s">
        <v>108</v>
      </c>
      <c r="M429" s="130" t="str" cm="1">
        <f t="array" ref="M429">IFERROR(INDEX(CategoriesTable[Category type],MATCH(Table1[[#This Row],[Category]],CategoriesTable[Category name],0),0),"")</f>
        <v>Expense</v>
      </c>
      <c r="N429" s="130" t="str" cm="1">
        <f t="array" ref="N429">IFERROR(INDEX(SubcategoriesTable[Subcategory name],MATCH(Table1[[#This Row],[Category]],SubcategoriesTable[Category name],0),0),"")</f>
        <v>Fixed</v>
      </c>
      <c r="O429" s="130">
        <v>1</v>
      </c>
      <c r="P429" s="130">
        <f>MONTH(Table1[[#This Row],[Date]])</f>
        <v>11</v>
      </c>
      <c r="Q429" s="130">
        <v>2020</v>
      </c>
      <c r="R429" s="166">
        <f>IF(ISBLANK(Table1[[#This Row],[Date]]),"",Table1[[#This Row],[Date]]-WEEKDAY(Table1[[#This Row],[Date]],2)+1)</f>
        <v>44130</v>
      </c>
      <c r="S429" s="131">
        <f>IF(ISBLANK(Table1[[#This Row],[Date]]),"",DATE(Table1[[#This Row],[Date_Year]],Table1[[#This Row],[Date_Month]],1))</f>
        <v>44136</v>
      </c>
    </row>
    <row r="430" spans="2:19" ht="15.75" x14ac:dyDescent="0.25">
      <c r="B430" s="133">
        <v>44136</v>
      </c>
      <c r="C430" s="128" t="s">
        <v>148</v>
      </c>
      <c r="D430" s="128" t="s">
        <v>54</v>
      </c>
      <c r="E430" s="128" t="str" cm="1">
        <f t="array" ref="E430">IFERROR(INDEX(SubcategoriesTable[Subcategory name],MATCH(Table1[[#This Row],[Category]],SubcategoriesTable[Category name],0),0),"")</f>
        <v>Fixed</v>
      </c>
      <c r="F430" s="134">
        <v>-9.99</v>
      </c>
      <c r="G430" s="167" t="str">
        <f>_xlfn.XLOOKUP(Table1[[#This Row],[Account_ID]], Accounts[ID], Accounts[Account nickname], "Unknown")</f>
        <v>Discover it chrome Card</v>
      </c>
      <c r="H430" s="137" t="str">
        <f>_xlfn.XLOOKUP(Table1[[#This Row],[Account_ID]], Accounts[ID], Accounts[Account'#], "Unknown")</f>
        <v>7328</v>
      </c>
      <c r="I430" s="168" t="str">
        <f>_xlfn.XLOOKUP(Table1[[#This Row],[Institution_ID]], Institutions[ID], Institutions[Institution nickname], "Unknown")</f>
        <v>Discover</v>
      </c>
      <c r="J430" s="139" t="s">
        <v>494</v>
      </c>
      <c r="K430" s="129" t="s">
        <v>110</v>
      </c>
      <c r="L430" s="129" t="s">
        <v>108</v>
      </c>
      <c r="M430" s="130" t="str" cm="1">
        <f t="array" ref="M430">IFERROR(INDEX(CategoriesTable[Category type],MATCH(Table1[[#This Row],[Category]],CategoriesTable[Category name],0),0),"")</f>
        <v>Expense</v>
      </c>
      <c r="N430" s="130" t="str" cm="1">
        <f t="array" ref="N430">IFERROR(INDEX(SubcategoriesTable[Subcategory name],MATCH(Table1[[#This Row],[Category]],SubcategoriesTable[Category name],0),0),"")</f>
        <v>Fixed</v>
      </c>
      <c r="O430" s="130">
        <v>1</v>
      </c>
      <c r="P430" s="130">
        <f>MONTH(Table1[[#This Row],[Date]])</f>
        <v>11</v>
      </c>
      <c r="Q430" s="130">
        <v>2020</v>
      </c>
      <c r="R430" s="166">
        <f>IF(ISBLANK(Table1[[#This Row],[Date]]),"",Table1[[#This Row],[Date]]-WEEKDAY(Table1[[#This Row],[Date]],2)+1)</f>
        <v>44130</v>
      </c>
      <c r="S430" s="131">
        <f>IF(ISBLANK(Table1[[#This Row],[Date]]),"",DATE(Table1[[#This Row],[Date_Year]],Table1[[#This Row],[Date_Month]],1))</f>
        <v>44136</v>
      </c>
    </row>
    <row r="431" spans="2:19" ht="15.75" x14ac:dyDescent="0.25">
      <c r="B431" s="133">
        <v>44136</v>
      </c>
      <c r="C431" s="128" t="s">
        <v>195</v>
      </c>
      <c r="D431" s="128" t="s">
        <v>48</v>
      </c>
      <c r="E431" s="128" t="str" cm="1">
        <f t="array" ref="E431">IFERROR(INDEX(SubcategoriesTable[Subcategory name],MATCH(Table1[[#This Row],[Category]],SubcategoriesTable[Category name],0),0),"")</f>
        <v>Variable</v>
      </c>
      <c r="F431" s="134">
        <v>-35.229999999999997</v>
      </c>
      <c r="G431" s="167" t="str">
        <f>_xlfn.XLOOKUP(Table1[[#This Row],[Account_ID]], Accounts[ID], Accounts[Account nickname], "Unknown")</f>
        <v>Discover it chrome Card</v>
      </c>
      <c r="H431" s="137" t="str">
        <f>_xlfn.XLOOKUP(Table1[[#This Row],[Account_ID]], Accounts[ID], Accounts[Account'#], "Unknown")</f>
        <v>7328</v>
      </c>
      <c r="I431" s="168" t="str">
        <f>_xlfn.XLOOKUP(Table1[[#This Row],[Institution_ID]], Institutions[ID], Institutions[Institution nickname], "Unknown")</f>
        <v>Discover</v>
      </c>
      <c r="J431" s="139" t="s">
        <v>495</v>
      </c>
      <c r="K431" s="129" t="s">
        <v>110</v>
      </c>
      <c r="L431" s="129" t="s">
        <v>108</v>
      </c>
      <c r="M431" s="130" t="str" cm="1">
        <f t="array" ref="M431">IFERROR(INDEX(CategoriesTable[Category type],MATCH(Table1[[#This Row],[Category]],CategoriesTable[Category name],0),0),"")</f>
        <v>Expense</v>
      </c>
      <c r="N431" s="130" t="str" cm="1">
        <f t="array" ref="N431">IFERROR(INDEX(SubcategoriesTable[Subcategory name],MATCH(Table1[[#This Row],[Category]],SubcategoriesTable[Category name],0),0),"")</f>
        <v>Variable</v>
      </c>
      <c r="O431" s="130">
        <v>1</v>
      </c>
      <c r="P431" s="130">
        <f>MONTH(Table1[[#This Row],[Date]])</f>
        <v>11</v>
      </c>
      <c r="Q431" s="130">
        <v>2020</v>
      </c>
      <c r="R431" s="166">
        <f>IF(ISBLANK(Table1[[#This Row],[Date]]),"",Table1[[#This Row],[Date]]-WEEKDAY(Table1[[#This Row],[Date]],2)+1)</f>
        <v>44130</v>
      </c>
      <c r="S431" s="131">
        <f>IF(ISBLANK(Table1[[#This Row],[Date]]),"",DATE(Table1[[#This Row],[Date_Year]],Table1[[#This Row],[Date_Month]],1))</f>
        <v>44136</v>
      </c>
    </row>
    <row r="432" spans="2:19" ht="15.75" x14ac:dyDescent="0.25">
      <c r="B432" s="133">
        <v>44135</v>
      </c>
      <c r="C432" s="128" t="s">
        <v>496</v>
      </c>
      <c r="D432" s="128" t="s">
        <v>45</v>
      </c>
      <c r="E432" s="128" t="str" cm="1">
        <f t="array" ref="E432">IFERROR(INDEX(SubcategoriesTable[Subcategory name],MATCH(Table1[[#This Row],[Category]],SubcategoriesTable[Category name],0),0),"")</f>
        <v>Variable</v>
      </c>
      <c r="F432" s="134">
        <v>-18</v>
      </c>
      <c r="G432" s="167" t="str">
        <f>_xlfn.XLOOKUP(Table1[[#This Row],[Account_ID]], Accounts[ID], Accounts[Account nickname], "Unknown")</f>
        <v>Discover it chrome Card</v>
      </c>
      <c r="H432" s="137" t="str">
        <f>_xlfn.XLOOKUP(Table1[[#This Row],[Account_ID]], Accounts[ID], Accounts[Account'#], "Unknown")</f>
        <v>7328</v>
      </c>
      <c r="I432" s="168" t="str">
        <f>_xlfn.XLOOKUP(Table1[[#This Row],[Institution_ID]], Institutions[ID], Institutions[Institution nickname], "Unknown")</f>
        <v>Discover</v>
      </c>
      <c r="J432" s="139" t="s">
        <v>497</v>
      </c>
      <c r="K432" s="129" t="s">
        <v>110</v>
      </c>
      <c r="L432" s="129" t="s">
        <v>108</v>
      </c>
      <c r="M432" s="130" t="str" cm="1">
        <f t="array" ref="M432">IFERROR(INDEX(CategoriesTable[Category type],MATCH(Table1[[#This Row],[Category]],CategoriesTable[Category name],0),0),"")</f>
        <v>Expense</v>
      </c>
      <c r="N432" s="130" t="str" cm="1">
        <f t="array" ref="N432">IFERROR(INDEX(SubcategoriesTable[Subcategory name],MATCH(Table1[[#This Row],[Category]],SubcategoriesTable[Category name],0),0),"")</f>
        <v>Variable</v>
      </c>
      <c r="O432" s="130">
        <v>31</v>
      </c>
      <c r="P432" s="130">
        <f>MONTH(Table1[[#This Row],[Date]])</f>
        <v>10</v>
      </c>
      <c r="Q432" s="130">
        <v>2020</v>
      </c>
      <c r="R432" s="166">
        <f>IF(ISBLANK(Table1[[#This Row],[Date]]),"",Table1[[#This Row],[Date]]-WEEKDAY(Table1[[#This Row],[Date]],2)+1)</f>
        <v>44130</v>
      </c>
      <c r="S432" s="131">
        <f>IF(ISBLANK(Table1[[#This Row],[Date]]),"",DATE(Table1[[#This Row],[Date_Year]],Table1[[#This Row],[Date_Month]],1))</f>
        <v>44105</v>
      </c>
    </row>
    <row r="433" spans="2:19" ht="15.75" x14ac:dyDescent="0.25">
      <c r="B433" s="133">
        <v>44135</v>
      </c>
      <c r="C433" s="128" t="s">
        <v>186</v>
      </c>
      <c r="D433" s="128" t="s">
        <v>52</v>
      </c>
      <c r="E433" s="128" t="str" cm="1">
        <f t="array" ref="E433">IFERROR(INDEX(SubcategoriesTable[Subcategory name],MATCH(Table1[[#This Row],[Category]],SubcategoriesTable[Category name],0),0),"")</f>
        <v>Variable</v>
      </c>
      <c r="F433" s="134">
        <v>-17.37</v>
      </c>
      <c r="G433" s="167" t="str">
        <f>_xlfn.XLOOKUP(Table1[[#This Row],[Account_ID]], Accounts[ID], Accounts[Account nickname], "Unknown")</f>
        <v>Discover it chrome Card</v>
      </c>
      <c r="H433" s="137" t="str">
        <f>_xlfn.XLOOKUP(Table1[[#This Row],[Account_ID]], Accounts[ID], Accounts[Account'#], "Unknown")</f>
        <v>7328</v>
      </c>
      <c r="I433" s="168" t="str">
        <f>_xlfn.XLOOKUP(Table1[[#This Row],[Institution_ID]], Institutions[ID], Institutions[Institution nickname], "Unknown")</f>
        <v>Discover</v>
      </c>
      <c r="J433" s="139" t="s">
        <v>498</v>
      </c>
      <c r="K433" s="129" t="s">
        <v>110</v>
      </c>
      <c r="L433" s="129" t="s">
        <v>108</v>
      </c>
      <c r="M433" s="130" t="str" cm="1">
        <f t="array" ref="M433">IFERROR(INDEX(CategoriesTable[Category type],MATCH(Table1[[#This Row],[Category]],CategoriesTable[Category name],0),0),"")</f>
        <v>Expense</v>
      </c>
      <c r="N433" s="130" t="str" cm="1">
        <f t="array" ref="N433">IFERROR(INDEX(SubcategoriesTable[Subcategory name],MATCH(Table1[[#This Row],[Category]],SubcategoriesTable[Category name],0),0),"")</f>
        <v>Variable</v>
      </c>
      <c r="O433" s="130">
        <v>31</v>
      </c>
      <c r="P433" s="130">
        <f>MONTH(Table1[[#This Row],[Date]])</f>
        <v>10</v>
      </c>
      <c r="Q433" s="130">
        <v>2020</v>
      </c>
      <c r="R433" s="166">
        <f>IF(ISBLANK(Table1[[#This Row],[Date]]),"",Table1[[#This Row],[Date]]-WEEKDAY(Table1[[#This Row],[Date]],2)+1)</f>
        <v>44130</v>
      </c>
      <c r="S433" s="131">
        <f>IF(ISBLANK(Table1[[#This Row],[Date]]),"",DATE(Table1[[#This Row],[Date_Year]],Table1[[#This Row],[Date_Month]],1))</f>
        <v>44105</v>
      </c>
    </row>
    <row r="434" spans="2:19" ht="15.75" x14ac:dyDescent="0.25">
      <c r="B434" s="133">
        <v>44134</v>
      </c>
      <c r="C434" s="128" t="s">
        <v>380</v>
      </c>
      <c r="D434" s="128" t="s">
        <v>46</v>
      </c>
      <c r="E434" s="128" t="str" cm="1">
        <f t="array" ref="E434">IFERROR(INDEX(SubcategoriesTable[Subcategory name],MATCH(Table1[[#This Row],[Category]],SubcategoriesTable[Category name],0),0),"")</f>
        <v>Variable</v>
      </c>
      <c r="F434" s="134">
        <v>-14.98</v>
      </c>
      <c r="G434" s="167" t="str">
        <f>_xlfn.XLOOKUP(Table1[[#This Row],[Account_ID]], Accounts[ID], Accounts[Account nickname], "Unknown")</f>
        <v>Discover it chrome Card</v>
      </c>
      <c r="H434" s="137" t="str">
        <f>_xlfn.XLOOKUP(Table1[[#This Row],[Account_ID]], Accounts[ID], Accounts[Account'#], "Unknown")</f>
        <v>7328</v>
      </c>
      <c r="I434" s="168" t="str">
        <f>_xlfn.XLOOKUP(Table1[[#This Row],[Institution_ID]], Institutions[ID], Institutions[Institution nickname], "Unknown")</f>
        <v>Discover</v>
      </c>
      <c r="J434" s="139" t="s">
        <v>499</v>
      </c>
      <c r="K434" s="129" t="s">
        <v>110</v>
      </c>
      <c r="L434" s="129" t="s">
        <v>108</v>
      </c>
      <c r="M434" s="130" t="str" cm="1">
        <f t="array" ref="M434">IFERROR(INDEX(CategoriesTable[Category type],MATCH(Table1[[#This Row],[Category]],CategoriesTable[Category name],0),0),"")</f>
        <v>Expense</v>
      </c>
      <c r="N434" s="130" t="str" cm="1">
        <f t="array" ref="N434">IFERROR(INDEX(SubcategoriesTable[Subcategory name],MATCH(Table1[[#This Row],[Category]],SubcategoriesTable[Category name],0),0),"")</f>
        <v>Variable</v>
      </c>
      <c r="O434" s="130">
        <v>30</v>
      </c>
      <c r="P434" s="130">
        <f>MONTH(Table1[[#This Row],[Date]])</f>
        <v>10</v>
      </c>
      <c r="Q434" s="130">
        <v>2020</v>
      </c>
      <c r="R434" s="166">
        <f>IF(ISBLANK(Table1[[#This Row],[Date]]),"",Table1[[#This Row],[Date]]-WEEKDAY(Table1[[#This Row],[Date]],2)+1)</f>
        <v>44130</v>
      </c>
      <c r="S434" s="131">
        <f>IF(ISBLANK(Table1[[#This Row],[Date]]),"",DATE(Table1[[#This Row],[Date_Year]],Table1[[#This Row],[Date_Month]],1))</f>
        <v>44105</v>
      </c>
    </row>
    <row r="435" spans="2:19" ht="15.75" x14ac:dyDescent="0.25">
      <c r="B435" s="133">
        <v>44134</v>
      </c>
      <c r="C435" s="128" t="s">
        <v>500</v>
      </c>
      <c r="D435" s="128" t="s">
        <v>46</v>
      </c>
      <c r="E435" s="128" t="str" cm="1">
        <f t="array" ref="E435">IFERROR(INDEX(SubcategoriesTable[Subcategory name],MATCH(Table1[[#This Row],[Category]],SubcategoriesTable[Category name],0),0),"")</f>
        <v>Variable</v>
      </c>
      <c r="F435" s="134">
        <v>-9.99</v>
      </c>
      <c r="G435" s="167" t="str">
        <f>_xlfn.XLOOKUP(Table1[[#This Row],[Account_ID]], Accounts[ID], Accounts[Account nickname], "Unknown")</f>
        <v>Discover it chrome Card</v>
      </c>
      <c r="H435" s="137" t="str">
        <f>_xlfn.XLOOKUP(Table1[[#This Row],[Account_ID]], Accounts[ID], Accounts[Account'#], "Unknown")</f>
        <v>7328</v>
      </c>
      <c r="I435" s="168" t="str">
        <f>_xlfn.XLOOKUP(Table1[[#This Row],[Institution_ID]], Institutions[ID], Institutions[Institution nickname], "Unknown")</f>
        <v>Discover</v>
      </c>
      <c r="J435" s="139" t="s">
        <v>501</v>
      </c>
      <c r="K435" s="129" t="s">
        <v>110</v>
      </c>
      <c r="L435" s="129" t="s">
        <v>108</v>
      </c>
      <c r="M435" s="130" t="str" cm="1">
        <f t="array" ref="M435">IFERROR(INDEX(CategoriesTable[Category type],MATCH(Table1[[#This Row],[Category]],CategoriesTable[Category name],0),0),"")</f>
        <v>Expense</v>
      </c>
      <c r="N435" s="130" t="str" cm="1">
        <f t="array" ref="N435">IFERROR(INDEX(SubcategoriesTable[Subcategory name],MATCH(Table1[[#This Row],[Category]],SubcategoriesTable[Category name],0),0),"")</f>
        <v>Variable</v>
      </c>
      <c r="O435" s="130">
        <v>30</v>
      </c>
      <c r="P435" s="130">
        <f>MONTH(Table1[[#This Row],[Date]])</f>
        <v>10</v>
      </c>
      <c r="Q435" s="130">
        <v>2020</v>
      </c>
      <c r="R435" s="166">
        <f>IF(ISBLANK(Table1[[#This Row],[Date]]),"",Table1[[#This Row],[Date]]-WEEKDAY(Table1[[#This Row],[Date]],2)+1)</f>
        <v>44130</v>
      </c>
      <c r="S435" s="131">
        <f>IF(ISBLANK(Table1[[#This Row],[Date]]),"",DATE(Table1[[#This Row],[Date_Year]],Table1[[#This Row],[Date_Month]],1))</f>
        <v>44105</v>
      </c>
    </row>
    <row r="436" spans="2:19" ht="15.75" x14ac:dyDescent="0.25">
      <c r="B436" s="133">
        <v>44134</v>
      </c>
      <c r="C436" s="128" t="s">
        <v>502</v>
      </c>
      <c r="D436" s="128" t="s">
        <v>45</v>
      </c>
      <c r="E436" s="128" t="str" cm="1">
        <f t="array" ref="E436">IFERROR(INDEX(SubcategoriesTable[Subcategory name],MATCH(Table1[[#This Row],[Category]],SubcategoriesTable[Category name],0),0),"")</f>
        <v>Variable</v>
      </c>
      <c r="F436" s="134">
        <v>-50.86</v>
      </c>
      <c r="G436" s="167" t="str">
        <f>_xlfn.XLOOKUP(Table1[[#This Row],[Account_ID]], Accounts[ID], Accounts[Account nickname], "Unknown")</f>
        <v>Discover it chrome Card</v>
      </c>
      <c r="H436" s="137" t="str">
        <f>_xlfn.XLOOKUP(Table1[[#This Row],[Account_ID]], Accounts[ID], Accounts[Account'#], "Unknown")</f>
        <v>7328</v>
      </c>
      <c r="I436" s="168" t="str">
        <f>_xlfn.XLOOKUP(Table1[[#This Row],[Institution_ID]], Institutions[ID], Institutions[Institution nickname], "Unknown")</f>
        <v>Discover</v>
      </c>
      <c r="J436" s="139" t="s">
        <v>503</v>
      </c>
      <c r="K436" s="129" t="s">
        <v>110</v>
      </c>
      <c r="L436" s="129" t="s">
        <v>108</v>
      </c>
      <c r="M436" s="130" t="str" cm="1">
        <f t="array" ref="M436">IFERROR(INDEX(CategoriesTable[Category type],MATCH(Table1[[#This Row],[Category]],CategoriesTable[Category name],0),0),"")</f>
        <v>Expense</v>
      </c>
      <c r="N436" s="130" t="str" cm="1">
        <f t="array" ref="N436">IFERROR(INDEX(SubcategoriesTable[Subcategory name],MATCH(Table1[[#This Row],[Category]],SubcategoriesTable[Category name],0),0),"")</f>
        <v>Variable</v>
      </c>
      <c r="O436" s="130">
        <v>30</v>
      </c>
      <c r="P436" s="130">
        <f>MONTH(Table1[[#This Row],[Date]])</f>
        <v>10</v>
      </c>
      <c r="Q436" s="130">
        <v>2020</v>
      </c>
      <c r="R436" s="166">
        <f>IF(ISBLANK(Table1[[#This Row],[Date]]),"",Table1[[#This Row],[Date]]-WEEKDAY(Table1[[#This Row],[Date]],2)+1)</f>
        <v>44130</v>
      </c>
      <c r="S436" s="131">
        <f>IF(ISBLANK(Table1[[#This Row],[Date]]),"",DATE(Table1[[#This Row],[Date_Year]],Table1[[#This Row],[Date_Month]],1))</f>
        <v>44105</v>
      </c>
    </row>
    <row r="437" spans="2:19" ht="15.75" x14ac:dyDescent="0.25">
      <c r="B437" s="133">
        <v>44134</v>
      </c>
      <c r="C437" s="128" t="s">
        <v>504</v>
      </c>
      <c r="D437" s="128" t="s">
        <v>53</v>
      </c>
      <c r="E437" s="128" t="str" cm="1">
        <f t="array" ref="E437">IFERROR(INDEX(SubcategoriesTable[Subcategory name],MATCH(Table1[[#This Row],[Category]],SubcategoriesTable[Category name],0),0),"")</f>
        <v>Variable</v>
      </c>
      <c r="F437" s="134">
        <v>-14</v>
      </c>
      <c r="G437" s="167" t="str">
        <f>_xlfn.XLOOKUP(Table1[[#This Row],[Account_ID]], Accounts[ID], Accounts[Account nickname], "Unknown")</f>
        <v>Discover it chrome Card</v>
      </c>
      <c r="H437" s="137" t="str">
        <f>_xlfn.XLOOKUP(Table1[[#This Row],[Account_ID]], Accounts[ID], Accounts[Account'#], "Unknown")</f>
        <v>7328</v>
      </c>
      <c r="I437" s="168" t="str">
        <f>_xlfn.XLOOKUP(Table1[[#This Row],[Institution_ID]], Institutions[ID], Institutions[Institution nickname], "Unknown")</f>
        <v>Discover</v>
      </c>
      <c r="J437" s="139" t="s">
        <v>505</v>
      </c>
      <c r="K437" s="129" t="s">
        <v>110</v>
      </c>
      <c r="L437" s="129" t="s">
        <v>108</v>
      </c>
      <c r="M437" s="130" t="str" cm="1">
        <f t="array" ref="M437">IFERROR(INDEX(CategoriesTable[Category type],MATCH(Table1[[#This Row],[Category]],CategoriesTable[Category name],0),0),"")</f>
        <v>Expense</v>
      </c>
      <c r="N437" s="130" t="str" cm="1">
        <f t="array" ref="N437">IFERROR(INDEX(SubcategoriesTable[Subcategory name],MATCH(Table1[[#This Row],[Category]],SubcategoriesTable[Category name],0),0),"")</f>
        <v>Variable</v>
      </c>
      <c r="O437" s="130">
        <v>30</v>
      </c>
      <c r="P437" s="130">
        <f>MONTH(Table1[[#This Row],[Date]])</f>
        <v>10</v>
      </c>
      <c r="Q437" s="130">
        <v>2020</v>
      </c>
      <c r="R437" s="166">
        <f>IF(ISBLANK(Table1[[#This Row],[Date]]),"",Table1[[#This Row],[Date]]-WEEKDAY(Table1[[#This Row],[Date]],2)+1)</f>
        <v>44130</v>
      </c>
      <c r="S437" s="131">
        <f>IF(ISBLANK(Table1[[#This Row],[Date]]),"",DATE(Table1[[#This Row],[Date_Year]],Table1[[#This Row],[Date_Month]],1))</f>
        <v>44105</v>
      </c>
    </row>
    <row r="438" spans="2:19" ht="15.75" x14ac:dyDescent="0.25">
      <c r="B438" s="133">
        <v>44133</v>
      </c>
      <c r="C438" s="128" t="s">
        <v>698</v>
      </c>
      <c r="D438" s="128" t="s">
        <v>46</v>
      </c>
      <c r="E438" s="128" t="str" cm="1">
        <f t="array" ref="E438">IFERROR(INDEX(SubcategoriesTable[Subcategory name],MATCH(Table1[[#This Row],[Category]],SubcategoriesTable[Category name],0),0),"")</f>
        <v>Variable</v>
      </c>
      <c r="F438" s="134">
        <v>-0.64</v>
      </c>
      <c r="G438" s="167" t="str">
        <f>_xlfn.XLOOKUP(Table1[[#This Row],[Account_ID]], Accounts[ID], Accounts[Account nickname], "Unknown")</f>
        <v>EVERYDAY CHECKING</v>
      </c>
      <c r="H438" s="137" t="str">
        <f>_xlfn.XLOOKUP(Table1[[#This Row],[Account_ID]], Accounts[ID], Accounts[Account'#], "Unknown")</f>
        <v>4636</v>
      </c>
      <c r="I438" s="168" t="str">
        <f>_xlfn.XLOOKUP(Table1[[#This Row],[Institution_ID]], Institutions[ID], Institutions[Institution nickname], "Unknown")</f>
        <v>Wells Fargo</v>
      </c>
      <c r="J438" s="139" t="s">
        <v>1472</v>
      </c>
      <c r="K438" s="129" t="s">
        <v>1229</v>
      </c>
      <c r="L438" s="129" t="s">
        <v>1228</v>
      </c>
      <c r="M438" s="130" t="str" cm="1">
        <f t="array" ref="M438">IFERROR(INDEX(CategoriesTable[Category type],MATCH(Table1[[#This Row],[Category]],CategoriesTable[Category name],0),0),"")</f>
        <v>Expense</v>
      </c>
      <c r="N438" s="130" t="str" cm="1">
        <f t="array" ref="N438">IFERROR(INDEX(SubcategoriesTable[Subcategory name],MATCH(Table1[[#This Row],[Category]],SubcategoriesTable[Category name],0),0),"")</f>
        <v>Variable</v>
      </c>
      <c r="O438" s="130">
        <v>29</v>
      </c>
      <c r="P438" s="130">
        <f>MONTH(Table1[[#This Row],[Date]])</f>
        <v>10</v>
      </c>
      <c r="Q438" s="130">
        <v>2020</v>
      </c>
      <c r="R438" s="166">
        <f>IF(ISBLANK(Table1[[#This Row],[Date]]),"",Table1[[#This Row],[Date]]-WEEKDAY(Table1[[#This Row],[Date]],2)+1)</f>
        <v>44130</v>
      </c>
      <c r="S438" s="131">
        <f>IF(ISBLANK(Table1[[#This Row],[Date]]),"",DATE(Table1[[#This Row],[Date_Year]],Table1[[#This Row],[Date_Month]],1))</f>
        <v>44105</v>
      </c>
    </row>
    <row r="439" spans="2:19" ht="15.75" x14ac:dyDescent="0.25">
      <c r="B439" s="133">
        <v>44133</v>
      </c>
      <c r="C439" s="128" t="s">
        <v>506</v>
      </c>
      <c r="D439" s="128" t="s">
        <v>58</v>
      </c>
      <c r="E439" s="128" t="str" cm="1">
        <f t="array" ref="E439">IFERROR(INDEX(SubcategoriesTable[Subcategory name],MATCH(Table1[[#This Row],[Category]],SubcategoriesTable[Category name],0),0),"")</f>
        <v>Fixed</v>
      </c>
      <c r="F439" s="134">
        <v>-35</v>
      </c>
      <c r="G439" s="167" t="str">
        <f>_xlfn.XLOOKUP(Table1[[#This Row],[Account_ID]], Accounts[ID], Accounts[Account nickname], "Unknown")</f>
        <v>Discover it chrome Card</v>
      </c>
      <c r="H439" s="137" t="str">
        <f>_xlfn.XLOOKUP(Table1[[#This Row],[Account_ID]], Accounts[ID], Accounts[Account'#], "Unknown")</f>
        <v>7328</v>
      </c>
      <c r="I439" s="168" t="str">
        <f>_xlfn.XLOOKUP(Table1[[#This Row],[Institution_ID]], Institutions[ID], Institutions[Institution nickname], "Unknown")</f>
        <v>Discover</v>
      </c>
      <c r="J439" s="139" t="s">
        <v>507</v>
      </c>
      <c r="K439" s="129" t="s">
        <v>110</v>
      </c>
      <c r="L439" s="129" t="s">
        <v>108</v>
      </c>
      <c r="M439" s="130" t="str" cm="1">
        <f t="array" ref="M439">IFERROR(INDEX(CategoriesTable[Category type],MATCH(Table1[[#This Row],[Category]],CategoriesTable[Category name],0),0),"")</f>
        <v>Expense</v>
      </c>
      <c r="N439" s="130" t="str" cm="1">
        <f t="array" ref="N439">IFERROR(INDEX(SubcategoriesTable[Subcategory name],MATCH(Table1[[#This Row],[Category]],SubcategoriesTable[Category name],0),0),"")</f>
        <v>Fixed</v>
      </c>
      <c r="O439" s="130">
        <v>29</v>
      </c>
      <c r="P439" s="130">
        <f>MONTH(Table1[[#This Row],[Date]])</f>
        <v>10</v>
      </c>
      <c r="Q439" s="130">
        <v>2020</v>
      </c>
      <c r="R439" s="166">
        <f>IF(ISBLANK(Table1[[#This Row],[Date]]),"",Table1[[#This Row],[Date]]-WEEKDAY(Table1[[#This Row],[Date]],2)+1)</f>
        <v>44130</v>
      </c>
      <c r="S439" s="131">
        <f>IF(ISBLANK(Table1[[#This Row],[Date]]),"",DATE(Table1[[#This Row],[Date_Year]],Table1[[#This Row],[Date_Month]],1))</f>
        <v>44105</v>
      </c>
    </row>
    <row r="440" spans="2:19" ht="15.75" x14ac:dyDescent="0.25">
      <c r="B440" s="133">
        <v>44133</v>
      </c>
      <c r="C440" s="128" t="s">
        <v>508</v>
      </c>
      <c r="D440" s="128" t="s">
        <v>50</v>
      </c>
      <c r="E440" s="128" t="str" cm="1">
        <f t="array" ref="E440">IFERROR(INDEX(SubcategoriesTable[Subcategory name],MATCH(Table1[[#This Row],[Category]],SubcategoriesTable[Category name],0),0),"")</f>
        <v>Variable</v>
      </c>
      <c r="F440" s="134">
        <v>-545.9</v>
      </c>
      <c r="G440" s="167" t="str">
        <f>_xlfn.XLOOKUP(Table1[[#This Row],[Account_ID]], Accounts[ID], Accounts[Account nickname], "Unknown")</f>
        <v>Discover it chrome Card</v>
      </c>
      <c r="H440" s="137" t="str">
        <f>_xlfn.XLOOKUP(Table1[[#This Row],[Account_ID]], Accounts[ID], Accounts[Account'#], "Unknown")</f>
        <v>7328</v>
      </c>
      <c r="I440" s="168" t="str">
        <f>_xlfn.XLOOKUP(Table1[[#This Row],[Institution_ID]], Institutions[ID], Institutions[Institution nickname], "Unknown")</f>
        <v>Discover</v>
      </c>
      <c r="J440" s="139" t="s">
        <v>509</v>
      </c>
      <c r="K440" s="129" t="s">
        <v>110</v>
      </c>
      <c r="L440" s="129" t="s">
        <v>108</v>
      </c>
      <c r="M440" s="130" t="str" cm="1">
        <f t="array" ref="M440">IFERROR(INDEX(CategoriesTable[Category type],MATCH(Table1[[#This Row],[Category]],CategoriesTable[Category name],0),0),"")</f>
        <v>Transfer</v>
      </c>
      <c r="N440" s="130" t="str" cm="1">
        <f t="array" ref="N440">IFERROR(INDEX(SubcategoriesTable[Subcategory name],MATCH(Table1[[#This Row],[Category]],SubcategoriesTable[Category name],0),0),"")</f>
        <v>Variable</v>
      </c>
      <c r="O440" s="130">
        <v>29</v>
      </c>
      <c r="P440" s="130">
        <f>MONTH(Table1[[#This Row],[Date]])</f>
        <v>10</v>
      </c>
      <c r="Q440" s="130">
        <v>2020</v>
      </c>
      <c r="R440" s="166">
        <f>IF(ISBLANK(Table1[[#This Row],[Date]]),"",Table1[[#This Row],[Date]]-WEEKDAY(Table1[[#This Row],[Date]],2)+1)</f>
        <v>44130</v>
      </c>
      <c r="S440" s="131">
        <f>IF(ISBLANK(Table1[[#This Row],[Date]]),"",DATE(Table1[[#This Row],[Date_Year]],Table1[[#This Row],[Date_Month]],1))</f>
        <v>44105</v>
      </c>
    </row>
    <row r="441" spans="2:19" ht="15.75" x14ac:dyDescent="0.25">
      <c r="B441" s="133">
        <v>44132</v>
      </c>
      <c r="C441" s="128" t="s">
        <v>125</v>
      </c>
      <c r="D441" s="128" t="s">
        <v>45</v>
      </c>
      <c r="E441" s="128" t="str" cm="1">
        <f t="array" ref="E441">IFERROR(INDEX(SubcategoriesTable[Subcategory name],MATCH(Table1[[#This Row],[Category]],SubcategoriesTable[Category name],0),0),"")</f>
        <v>Variable</v>
      </c>
      <c r="F441" s="134">
        <v>-3.06</v>
      </c>
      <c r="G441" s="167" t="str">
        <f>_xlfn.XLOOKUP(Table1[[#This Row],[Account_ID]], Accounts[ID], Accounts[Account nickname], "Unknown")</f>
        <v>Discover it chrome Card</v>
      </c>
      <c r="H441" s="137" t="str">
        <f>_xlfn.XLOOKUP(Table1[[#This Row],[Account_ID]], Accounts[ID], Accounts[Account'#], "Unknown")</f>
        <v>7328</v>
      </c>
      <c r="I441" s="168" t="str">
        <f>_xlfn.XLOOKUP(Table1[[#This Row],[Institution_ID]], Institutions[ID], Institutions[Institution nickname], "Unknown")</f>
        <v>Discover</v>
      </c>
      <c r="J441" s="139" t="s">
        <v>510</v>
      </c>
      <c r="K441" s="129" t="s">
        <v>110</v>
      </c>
      <c r="L441" s="129" t="s">
        <v>108</v>
      </c>
      <c r="M441" s="130" t="str" cm="1">
        <f t="array" ref="M441">IFERROR(INDEX(CategoriesTable[Category type],MATCH(Table1[[#This Row],[Category]],CategoriesTable[Category name],0),0),"")</f>
        <v>Expense</v>
      </c>
      <c r="N441" s="130" t="str" cm="1">
        <f t="array" ref="N441">IFERROR(INDEX(SubcategoriesTable[Subcategory name],MATCH(Table1[[#This Row],[Category]],SubcategoriesTable[Category name],0),0),"")</f>
        <v>Variable</v>
      </c>
      <c r="O441" s="130">
        <v>28</v>
      </c>
      <c r="P441" s="130">
        <f>MONTH(Table1[[#This Row],[Date]])</f>
        <v>10</v>
      </c>
      <c r="Q441" s="130">
        <v>2020</v>
      </c>
      <c r="R441" s="166">
        <f>IF(ISBLANK(Table1[[#This Row],[Date]]),"",Table1[[#This Row],[Date]]-WEEKDAY(Table1[[#This Row],[Date]],2)+1)</f>
        <v>44130</v>
      </c>
      <c r="S441" s="131">
        <f>IF(ISBLANK(Table1[[#This Row],[Date]]),"",DATE(Table1[[#This Row],[Date_Year]],Table1[[#This Row],[Date_Month]],1))</f>
        <v>44105</v>
      </c>
    </row>
    <row r="442" spans="2:19" ht="15.75" x14ac:dyDescent="0.25">
      <c r="B442" s="133">
        <v>44131</v>
      </c>
      <c r="C442" s="128" t="s">
        <v>171</v>
      </c>
      <c r="D442" s="128" t="s">
        <v>46</v>
      </c>
      <c r="E442" s="128" t="str" cm="1">
        <f t="array" ref="E442">IFERROR(INDEX(SubcategoriesTable[Subcategory name],MATCH(Table1[[#This Row],[Category]],SubcategoriesTable[Category name],0),0),"")</f>
        <v>Variable</v>
      </c>
      <c r="F442" s="134">
        <v>-18.149999999999999</v>
      </c>
      <c r="G442" s="167" t="str">
        <f>_xlfn.XLOOKUP(Table1[[#This Row],[Account_ID]], Accounts[ID], Accounts[Account nickname], "Unknown")</f>
        <v>Discover it chrome Card</v>
      </c>
      <c r="H442" s="137" t="str">
        <f>_xlfn.XLOOKUP(Table1[[#This Row],[Account_ID]], Accounts[ID], Accounts[Account'#], "Unknown")</f>
        <v>7328</v>
      </c>
      <c r="I442" s="168" t="str">
        <f>_xlfn.XLOOKUP(Table1[[#This Row],[Institution_ID]], Institutions[ID], Institutions[Institution nickname], "Unknown")</f>
        <v>Discover</v>
      </c>
      <c r="J442" s="171" t="s">
        <v>511</v>
      </c>
      <c r="K442" s="129" t="s">
        <v>110</v>
      </c>
      <c r="L442" s="129" t="s">
        <v>108</v>
      </c>
      <c r="M442" s="130" t="str" cm="1">
        <f t="array" ref="M442">IFERROR(INDEX(CategoriesTable[Category type],MATCH(Table1[[#This Row],[Category]],CategoriesTable[Category name],0),0),"")</f>
        <v>Expense</v>
      </c>
      <c r="N442" s="130" t="str" cm="1">
        <f t="array" ref="N442">IFERROR(INDEX(SubcategoriesTable[Subcategory name],MATCH(Table1[[#This Row],[Category]],SubcategoriesTable[Category name],0),0),"")</f>
        <v>Variable</v>
      </c>
      <c r="O442" s="130">
        <v>27</v>
      </c>
      <c r="P442" s="130">
        <f>MONTH(Table1[[#This Row],[Date]])</f>
        <v>10</v>
      </c>
      <c r="Q442" s="130">
        <v>2020</v>
      </c>
      <c r="R442" s="166">
        <f>IF(ISBLANK(Table1[[#This Row],[Date]]),"",Table1[[#This Row],[Date]]-WEEKDAY(Table1[[#This Row],[Date]],2)+1)</f>
        <v>44130</v>
      </c>
      <c r="S442" s="131">
        <f>IF(ISBLANK(Table1[[#This Row],[Date]]),"",DATE(Table1[[#This Row],[Date_Year]],Table1[[#This Row],[Date_Month]],1))</f>
        <v>44105</v>
      </c>
    </row>
    <row r="443" spans="2:19" ht="15.75" x14ac:dyDescent="0.25">
      <c r="B443" s="133">
        <v>44131</v>
      </c>
      <c r="C443" s="128" t="s">
        <v>512</v>
      </c>
      <c r="D443" s="128" t="s">
        <v>48</v>
      </c>
      <c r="E443" s="128" t="str" cm="1">
        <f t="array" ref="E443">IFERROR(INDEX(SubcategoriesTable[Subcategory name],MATCH(Table1[[#This Row],[Category]],SubcategoriesTable[Category name],0),0),"")</f>
        <v>Variable</v>
      </c>
      <c r="F443" s="134">
        <v>-2.1800000000000002</v>
      </c>
      <c r="G443" s="167" t="str">
        <f>_xlfn.XLOOKUP(Table1[[#This Row],[Account_ID]], Accounts[ID], Accounts[Account nickname], "Unknown")</f>
        <v>Discover it chrome Card</v>
      </c>
      <c r="H443" s="137" t="str">
        <f>_xlfn.XLOOKUP(Table1[[#This Row],[Account_ID]], Accounts[ID], Accounts[Account'#], "Unknown")</f>
        <v>7328</v>
      </c>
      <c r="I443" s="168" t="str">
        <f>_xlfn.XLOOKUP(Table1[[#This Row],[Institution_ID]], Institutions[ID], Institutions[Institution nickname], "Unknown")</f>
        <v>Discover</v>
      </c>
      <c r="J443" s="139" t="s">
        <v>513</v>
      </c>
      <c r="K443" s="129" t="s">
        <v>110</v>
      </c>
      <c r="L443" s="129" t="s">
        <v>108</v>
      </c>
      <c r="M443" s="130" t="str" cm="1">
        <f t="array" ref="M443">IFERROR(INDEX(CategoriesTable[Category type],MATCH(Table1[[#This Row],[Category]],CategoriesTable[Category name],0),0),"")</f>
        <v>Expense</v>
      </c>
      <c r="N443" s="130" t="str" cm="1">
        <f t="array" ref="N443">IFERROR(INDEX(SubcategoriesTable[Subcategory name],MATCH(Table1[[#This Row],[Category]],SubcategoriesTable[Category name],0),0),"")</f>
        <v>Variable</v>
      </c>
      <c r="O443" s="130">
        <v>27</v>
      </c>
      <c r="P443" s="130">
        <f>MONTH(Table1[[#This Row],[Date]])</f>
        <v>10</v>
      </c>
      <c r="Q443" s="130">
        <v>2020</v>
      </c>
      <c r="R443" s="166">
        <f>IF(ISBLANK(Table1[[#This Row],[Date]]),"",Table1[[#This Row],[Date]]-WEEKDAY(Table1[[#This Row],[Date]],2)+1)</f>
        <v>44130</v>
      </c>
      <c r="S443" s="131">
        <f>IF(ISBLANK(Table1[[#This Row],[Date]]),"",DATE(Table1[[#This Row],[Date_Year]],Table1[[#This Row],[Date_Month]],1))</f>
        <v>44105</v>
      </c>
    </row>
    <row r="444" spans="2:19" ht="15.75" x14ac:dyDescent="0.25">
      <c r="B444" s="133">
        <v>44131</v>
      </c>
      <c r="C444" s="128" t="s">
        <v>195</v>
      </c>
      <c r="D444" s="128" t="s">
        <v>48</v>
      </c>
      <c r="E444" s="128" t="str" cm="1">
        <f t="array" ref="E444">IFERROR(INDEX(SubcategoriesTable[Subcategory name],MATCH(Table1[[#This Row],[Category]],SubcategoriesTable[Category name],0),0),"")</f>
        <v>Variable</v>
      </c>
      <c r="F444" s="134">
        <v>-2.82</v>
      </c>
      <c r="G444" s="167" t="str">
        <f>_xlfn.XLOOKUP(Table1[[#This Row],[Account_ID]], Accounts[ID], Accounts[Account nickname], "Unknown")</f>
        <v>Discover it chrome Card</v>
      </c>
      <c r="H444" s="137" t="str">
        <f>_xlfn.XLOOKUP(Table1[[#This Row],[Account_ID]], Accounts[ID], Accounts[Account'#], "Unknown")</f>
        <v>7328</v>
      </c>
      <c r="I444" s="168" t="str">
        <f>_xlfn.XLOOKUP(Table1[[#This Row],[Institution_ID]], Institutions[ID], Institutions[Institution nickname], "Unknown")</f>
        <v>Discover</v>
      </c>
      <c r="J444" s="139" t="s">
        <v>514</v>
      </c>
      <c r="K444" s="129" t="s">
        <v>110</v>
      </c>
      <c r="L444" s="129" t="s">
        <v>108</v>
      </c>
      <c r="M444" s="130" t="str" cm="1">
        <f t="array" ref="M444">IFERROR(INDEX(CategoriesTable[Category type],MATCH(Table1[[#This Row],[Category]],CategoriesTable[Category name],0),0),"")</f>
        <v>Expense</v>
      </c>
      <c r="N444" s="130" t="str" cm="1">
        <f t="array" ref="N444">IFERROR(INDEX(SubcategoriesTable[Subcategory name],MATCH(Table1[[#This Row],[Category]],SubcategoriesTable[Category name],0),0),"")</f>
        <v>Variable</v>
      </c>
      <c r="O444" s="130">
        <v>27</v>
      </c>
      <c r="P444" s="130">
        <f>MONTH(Table1[[#This Row],[Date]])</f>
        <v>10</v>
      </c>
      <c r="Q444" s="130">
        <v>2020</v>
      </c>
      <c r="R444" s="166">
        <f>IF(ISBLANK(Table1[[#This Row],[Date]]),"",Table1[[#This Row],[Date]]-WEEKDAY(Table1[[#This Row],[Date]],2)+1)</f>
        <v>44130</v>
      </c>
      <c r="S444" s="131">
        <f>IF(ISBLANK(Table1[[#This Row],[Date]]),"",DATE(Table1[[#This Row],[Date_Year]],Table1[[#This Row],[Date_Month]],1))</f>
        <v>44105</v>
      </c>
    </row>
    <row r="445" spans="2:19" ht="15.75" x14ac:dyDescent="0.25">
      <c r="B445" s="133">
        <v>44130</v>
      </c>
      <c r="C445" s="128" t="s">
        <v>1180</v>
      </c>
      <c r="D445" s="128" t="s">
        <v>50</v>
      </c>
      <c r="E445" s="128" t="str" cm="1">
        <f t="array" ref="E445">IFERROR(INDEX(SubcategoriesTable[Subcategory name],MATCH(Table1[[#This Row],[Category]],SubcategoriesTable[Category name],0),0),"")</f>
        <v>Variable</v>
      </c>
      <c r="F445" s="134">
        <v>-300</v>
      </c>
      <c r="G445" s="167" t="str">
        <f>_xlfn.XLOOKUP(Table1[[#This Row],[Account_ID]], Accounts[ID], Accounts[Account nickname], "Unknown")</f>
        <v>EVERYDAY CHECKING</v>
      </c>
      <c r="H445" s="137" t="str">
        <f>_xlfn.XLOOKUP(Table1[[#This Row],[Account_ID]], Accounts[ID], Accounts[Account'#], "Unknown")</f>
        <v>4636</v>
      </c>
      <c r="I445" s="168" t="str">
        <f>_xlfn.XLOOKUP(Table1[[#This Row],[Institution_ID]], Institutions[ID], Institutions[Institution nickname], "Unknown")</f>
        <v>Wells Fargo</v>
      </c>
      <c r="J445" s="139" t="s">
        <v>1473</v>
      </c>
      <c r="K445" s="129" t="s">
        <v>1229</v>
      </c>
      <c r="L445" s="129" t="s">
        <v>1228</v>
      </c>
      <c r="M445" s="130" t="str" cm="1">
        <f t="array" ref="M445">IFERROR(INDEX(CategoriesTable[Category type],MATCH(Table1[[#This Row],[Category]],CategoriesTable[Category name],0),0),"")</f>
        <v>Transfer</v>
      </c>
      <c r="N445" s="130" t="str" cm="1">
        <f t="array" ref="N445">IFERROR(INDEX(SubcategoriesTable[Subcategory name],MATCH(Table1[[#This Row],[Category]],SubcategoriesTable[Category name],0),0),"")</f>
        <v>Variable</v>
      </c>
      <c r="O445" s="130">
        <v>26</v>
      </c>
      <c r="P445" s="130">
        <f>MONTH(Table1[[#This Row],[Date]])</f>
        <v>10</v>
      </c>
      <c r="Q445" s="130">
        <v>2020</v>
      </c>
      <c r="R445" s="166">
        <f>IF(ISBLANK(Table1[[#This Row],[Date]]),"",Table1[[#This Row],[Date]]-WEEKDAY(Table1[[#This Row],[Date]],2)+1)</f>
        <v>44130</v>
      </c>
      <c r="S445" s="131">
        <f>IF(ISBLANK(Table1[[#This Row],[Date]]),"",DATE(Table1[[#This Row],[Date_Year]],Table1[[#This Row],[Date_Month]],1))</f>
        <v>44105</v>
      </c>
    </row>
    <row r="446" spans="2:19" ht="15.75" x14ac:dyDescent="0.25">
      <c r="B446" s="133">
        <v>44130</v>
      </c>
      <c r="C446" s="128" t="s">
        <v>1200</v>
      </c>
      <c r="D446" s="128" t="s">
        <v>50</v>
      </c>
      <c r="E446" s="128" t="str" cm="1">
        <f t="array" ref="E446">IFERROR(INDEX(SubcategoriesTable[Subcategory name],MATCH(Table1[[#This Row],[Category]],SubcategoriesTable[Category name],0),0),"")</f>
        <v>Variable</v>
      </c>
      <c r="F446" s="134">
        <v>-300</v>
      </c>
      <c r="G446" s="167" t="str">
        <f>_xlfn.XLOOKUP(Table1[[#This Row],[Account_ID]], Accounts[ID], Accounts[Account nickname], "Unknown")</f>
        <v>EVERYDAY CHECKING</v>
      </c>
      <c r="H446" s="137" t="str">
        <f>_xlfn.XLOOKUP(Table1[[#This Row],[Account_ID]], Accounts[ID], Accounts[Account'#], "Unknown")</f>
        <v>4636</v>
      </c>
      <c r="I446" s="168" t="str">
        <f>_xlfn.XLOOKUP(Table1[[#This Row],[Institution_ID]], Institutions[ID], Institutions[Institution nickname], "Unknown")</f>
        <v>Wells Fargo</v>
      </c>
      <c r="J446" s="139" t="s">
        <v>1474</v>
      </c>
      <c r="K446" s="129" t="s">
        <v>1229</v>
      </c>
      <c r="L446" s="129" t="s">
        <v>1228</v>
      </c>
      <c r="M446" s="130" t="str" cm="1">
        <f t="array" ref="M446">IFERROR(INDEX(CategoriesTable[Category type],MATCH(Table1[[#This Row],[Category]],CategoriesTable[Category name],0),0),"")</f>
        <v>Transfer</v>
      </c>
      <c r="N446" s="130" t="str" cm="1">
        <f t="array" ref="N446">IFERROR(INDEX(SubcategoriesTable[Subcategory name],MATCH(Table1[[#This Row],[Category]],SubcategoriesTable[Category name],0),0),"")</f>
        <v>Variable</v>
      </c>
      <c r="O446" s="130">
        <v>26</v>
      </c>
      <c r="P446" s="130">
        <f>MONTH(Table1[[#This Row],[Date]])</f>
        <v>10</v>
      </c>
      <c r="Q446" s="130">
        <v>2020</v>
      </c>
      <c r="R446" s="166">
        <f>IF(ISBLANK(Table1[[#This Row],[Date]]),"",Table1[[#This Row],[Date]]-WEEKDAY(Table1[[#This Row],[Date]],2)+1)</f>
        <v>44130</v>
      </c>
      <c r="S446" s="131">
        <f>IF(ISBLANK(Table1[[#This Row],[Date]]),"",DATE(Table1[[#This Row],[Date_Year]],Table1[[#This Row],[Date_Month]],1))</f>
        <v>44105</v>
      </c>
    </row>
    <row r="447" spans="2:19" ht="15.75" x14ac:dyDescent="0.25">
      <c r="B447" s="133">
        <v>44130</v>
      </c>
      <c r="C447" s="128" t="s">
        <v>195</v>
      </c>
      <c r="D447" s="128" t="s">
        <v>48</v>
      </c>
      <c r="E447" s="128" t="str" cm="1">
        <f t="array" ref="E447">IFERROR(INDEX(SubcategoriesTable[Subcategory name],MATCH(Table1[[#This Row],[Category]],SubcategoriesTable[Category name],0),0),"")</f>
        <v>Variable</v>
      </c>
      <c r="F447" s="134">
        <v>-11.97</v>
      </c>
      <c r="G447" s="167" t="str">
        <f>_xlfn.XLOOKUP(Table1[[#This Row],[Account_ID]], Accounts[ID], Accounts[Account nickname], "Unknown")</f>
        <v>Discover it chrome Card</v>
      </c>
      <c r="H447" s="137" t="str">
        <f>_xlfn.XLOOKUP(Table1[[#This Row],[Account_ID]], Accounts[ID], Accounts[Account'#], "Unknown")</f>
        <v>7328</v>
      </c>
      <c r="I447" s="168" t="str">
        <f>_xlfn.XLOOKUP(Table1[[#This Row],[Institution_ID]], Institutions[ID], Institutions[Institution nickname], "Unknown")</f>
        <v>Discover</v>
      </c>
      <c r="J447" s="139" t="s">
        <v>515</v>
      </c>
      <c r="K447" s="129" t="s">
        <v>110</v>
      </c>
      <c r="L447" s="129" t="s">
        <v>108</v>
      </c>
      <c r="M447" s="130" t="str" cm="1">
        <f t="array" ref="M447">IFERROR(INDEX(CategoriesTable[Category type],MATCH(Table1[[#This Row],[Category]],CategoriesTable[Category name],0),0),"")</f>
        <v>Expense</v>
      </c>
      <c r="N447" s="130" t="str" cm="1">
        <f t="array" ref="N447">IFERROR(INDEX(SubcategoriesTable[Subcategory name],MATCH(Table1[[#This Row],[Category]],SubcategoriesTable[Category name],0),0),"")</f>
        <v>Variable</v>
      </c>
      <c r="O447" s="130">
        <v>26</v>
      </c>
      <c r="P447" s="130">
        <f>MONTH(Table1[[#This Row],[Date]])</f>
        <v>10</v>
      </c>
      <c r="Q447" s="130">
        <v>2020</v>
      </c>
      <c r="R447" s="166">
        <f>IF(ISBLANK(Table1[[#This Row],[Date]]),"",Table1[[#This Row],[Date]]-WEEKDAY(Table1[[#This Row],[Date]],2)+1)</f>
        <v>44130</v>
      </c>
      <c r="S447" s="131">
        <f>IF(ISBLANK(Table1[[#This Row],[Date]]),"",DATE(Table1[[#This Row],[Date_Year]],Table1[[#This Row],[Date_Month]],1))</f>
        <v>44105</v>
      </c>
    </row>
    <row r="448" spans="2:19" ht="15.75" x14ac:dyDescent="0.25">
      <c r="B448" s="133">
        <v>44129</v>
      </c>
      <c r="C448" s="128" t="s">
        <v>256</v>
      </c>
      <c r="D448" s="128" t="s">
        <v>46</v>
      </c>
      <c r="E448" s="128" t="str" cm="1">
        <f t="array" ref="E448">IFERROR(INDEX(SubcategoriesTable[Subcategory name],MATCH(Table1[[#This Row],[Category]],SubcategoriesTable[Category name],0),0),"")</f>
        <v>Variable</v>
      </c>
      <c r="F448" s="134">
        <v>-21.18</v>
      </c>
      <c r="G448" s="167" t="str">
        <f>_xlfn.XLOOKUP(Table1[[#This Row],[Account_ID]], Accounts[ID], Accounts[Account nickname], "Unknown")</f>
        <v>Discover it chrome Card</v>
      </c>
      <c r="H448" s="137" t="str">
        <f>_xlfn.XLOOKUP(Table1[[#This Row],[Account_ID]], Accounts[ID], Accounts[Account'#], "Unknown")</f>
        <v>7328</v>
      </c>
      <c r="I448" s="168" t="str">
        <f>_xlfn.XLOOKUP(Table1[[#This Row],[Institution_ID]], Institutions[ID], Institutions[Institution nickname], "Unknown")</f>
        <v>Discover</v>
      </c>
      <c r="J448" s="139" t="s">
        <v>516</v>
      </c>
      <c r="K448" s="129" t="s">
        <v>110</v>
      </c>
      <c r="L448" s="129" t="s">
        <v>108</v>
      </c>
      <c r="M448" s="130" t="str" cm="1">
        <f t="array" ref="M448">IFERROR(INDEX(CategoriesTable[Category type],MATCH(Table1[[#This Row],[Category]],CategoriesTable[Category name],0),0),"")</f>
        <v>Expense</v>
      </c>
      <c r="N448" s="130" t="str" cm="1">
        <f t="array" ref="N448">IFERROR(INDEX(SubcategoriesTable[Subcategory name],MATCH(Table1[[#This Row],[Category]],SubcategoriesTable[Category name],0),0),"")</f>
        <v>Variable</v>
      </c>
      <c r="O448" s="130">
        <v>25</v>
      </c>
      <c r="P448" s="130">
        <f>MONTH(Table1[[#This Row],[Date]])</f>
        <v>10</v>
      </c>
      <c r="Q448" s="130">
        <v>2020</v>
      </c>
      <c r="R448" s="166">
        <f>IF(ISBLANK(Table1[[#This Row],[Date]]),"",Table1[[#This Row],[Date]]-WEEKDAY(Table1[[#This Row],[Date]],2)+1)</f>
        <v>44123</v>
      </c>
      <c r="S448" s="131">
        <f>IF(ISBLANK(Table1[[#This Row],[Date]]),"",DATE(Table1[[#This Row],[Date_Year]],Table1[[#This Row],[Date_Month]],1))</f>
        <v>44105</v>
      </c>
    </row>
    <row r="449" spans="2:19" ht="15.75" x14ac:dyDescent="0.25">
      <c r="B449" s="133">
        <v>44128</v>
      </c>
      <c r="C449" s="128" t="s">
        <v>1475</v>
      </c>
      <c r="D449" s="128" t="s">
        <v>56</v>
      </c>
      <c r="E449" s="128" t="str" cm="1">
        <f t="array" ref="E449">IFERROR(INDEX(SubcategoriesTable[Subcategory name],MATCH(Table1[[#This Row],[Category]],SubcategoriesTable[Category name],0),0),"")</f>
        <v>Variable</v>
      </c>
      <c r="F449" s="134">
        <v>-7.75</v>
      </c>
      <c r="G449" s="167" t="str">
        <f>_xlfn.XLOOKUP(Table1[[#This Row],[Account_ID]], Accounts[ID], Accounts[Account nickname], "Unknown")</f>
        <v>EVERYDAY CHECKING</v>
      </c>
      <c r="H449" s="137" t="str">
        <f>_xlfn.XLOOKUP(Table1[[#This Row],[Account_ID]], Accounts[ID], Accounts[Account'#], "Unknown")</f>
        <v>4636</v>
      </c>
      <c r="I449" s="168" t="str">
        <f>_xlfn.XLOOKUP(Table1[[#This Row],[Institution_ID]], Institutions[ID], Institutions[Institution nickname], "Unknown")</f>
        <v>Wells Fargo</v>
      </c>
      <c r="J449" s="139" t="s">
        <v>1476</v>
      </c>
      <c r="K449" s="129" t="s">
        <v>1229</v>
      </c>
      <c r="L449" s="129" t="s">
        <v>1228</v>
      </c>
      <c r="M449" s="130" t="str" cm="1">
        <f t="array" ref="M449">IFERROR(INDEX(CategoriesTable[Category type],MATCH(Table1[[#This Row],[Category]],CategoriesTable[Category name],0),0),"")</f>
        <v>Expense</v>
      </c>
      <c r="N449" s="130" t="str" cm="1">
        <f t="array" ref="N449">IFERROR(INDEX(SubcategoriesTable[Subcategory name],MATCH(Table1[[#This Row],[Category]],SubcategoriesTable[Category name],0),0),"")</f>
        <v>Variable</v>
      </c>
      <c r="O449" s="130">
        <v>24</v>
      </c>
      <c r="P449" s="130">
        <f>MONTH(Table1[[#This Row],[Date]])</f>
        <v>10</v>
      </c>
      <c r="Q449" s="130">
        <v>2020</v>
      </c>
      <c r="R449" s="166">
        <f>IF(ISBLANK(Table1[[#This Row],[Date]]),"",Table1[[#This Row],[Date]]-WEEKDAY(Table1[[#This Row],[Date]],2)+1)</f>
        <v>44123</v>
      </c>
      <c r="S449" s="131">
        <f>IF(ISBLANK(Table1[[#This Row],[Date]]),"",DATE(Table1[[#This Row],[Date_Year]],Table1[[#This Row],[Date_Month]],1))</f>
        <v>44105</v>
      </c>
    </row>
    <row r="450" spans="2:19" ht="15.75" x14ac:dyDescent="0.25">
      <c r="B450" s="133">
        <v>44128</v>
      </c>
      <c r="C450" s="128" t="s">
        <v>517</v>
      </c>
      <c r="D450" s="128" t="s">
        <v>50</v>
      </c>
      <c r="E450" s="128" t="str" cm="1">
        <f t="array" ref="E450">IFERROR(INDEX(SubcategoriesTable[Subcategory name],MATCH(Table1[[#This Row],[Category]],SubcategoriesTable[Category name],0),0),"")</f>
        <v>Variable</v>
      </c>
      <c r="F450" s="134">
        <v>-50.15</v>
      </c>
      <c r="G450" s="167" t="str">
        <f>_xlfn.XLOOKUP(Table1[[#This Row],[Account_ID]], Accounts[ID], Accounts[Account nickname], "Unknown")</f>
        <v>Discover it chrome Card</v>
      </c>
      <c r="H450" s="137" t="str">
        <f>_xlfn.XLOOKUP(Table1[[#This Row],[Account_ID]], Accounts[ID], Accounts[Account'#], "Unknown")</f>
        <v>7328</v>
      </c>
      <c r="I450" s="168" t="str">
        <f>_xlfn.XLOOKUP(Table1[[#This Row],[Institution_ID]], Institutions[ID], Institutions[Institution nickname], "Unknown")</f>
        <v>Discover</v>
      </c>
      <c r="J450" s="139" t="s">
        <v>518</v>
      </c>
      <c r="K450" s="129" t="s">
        <v>110</v>
      </c>
      <c r="L450" s="129" t="s">
        <v>108</v>
      </c>
      <c r="M450" s="130" t="str" cm="1">
        <f t="array" ref="M450">IFERROR(INDEX(CategoriesTable[Category type],MATCH(Table1[[#This Row],[Category]],CategoriesTable[Category name],0),0),"")</f>
        <v>Transfer</v>
      </c>
      <c r="N450" s="130" t="str" cm="1">
        <f t="array" ref="N450">IFERROR(INDEX(SubcategoriesTable[Subcategory name],MATCH(Table1[[#This Row],[Category]],SubcategoriesTable[Category name],0),0),"")</f>
        <v>Variable</v>
      </c>
      <c r="O450" s="130">
        <v>24</v>
      </c>
      <c r="P450" s="130">
        <f>MONTH(Table1[[#This Row],[Date]])</f>
        <v>10</v>
      </c>
      <c r="Q450" s="130">
        <v>2020</v>
      </c>
      <c r="R450" s="166">
        <f>IF(ISBLANK(Table1[[#This Row],[Date]]),"",Table1[[#This Row],[Date]]-WEEKDAY(Table1[[#This Row],[Date]],2)+1)</f>
        <v>44123</v>
      </c>
      <c r="S450" s="131">
        <f>IF(ISBLANK(Table1[[#This Row],[Date]]),"",DATE(Table1[[#This Row],[Date_Year]],Table1[[#This Row],[Date_Month]],1))</f>
        <v>44105</v>
      </c>
    </row>
    <row r="451" spans="2:19" ht="15.75" x14ac:dyDescent="0.25">
      <c r="B451" s="133">
        <v>44128</v>
      </c>
      <c r="C451" s="128" t="s">
        <v>416</v>
      </c>
      <c r="D451" s="128" t="s">
        <v>56</v>
      </c>
      <c r="E451" s="128" t="str" cm="1">
        <f t="array" ref="E451">IFERROR(INDEX(SubcategoriesTable[Subcategory name],MATCH(Table1[[#This Row],[Category]],SubcategoriesTable[Category name],0),0),"")</f>
        <v>Variable</v>
      </c>
      <c r="F451" s="134">
        <v>-15</v>
      </c>
      <c r="G451" s="167" t="str">
        <f>_xlfn.XLOOKUP(Table1[[#This Row],[Account_ID]], Accounts[ID], Accounts[Account nickname], "Unknown")</f>
        <v>Discover it chrome Card</v>
      </c>
      <c r="H451" s="137" t="str">
        <f>_xlfn.XLOOKUP(Table1[[#This Row],[Account_ID]], Accounts[ID], Accounts[Account'#], "Unknown")</f>
        <v>7328</v>
      </c>
      <c r="I451" s="168" t="str">
        <f>_xlfn.XLOOKUP(Table1[[#This Row],[Institution_ID]], Institutions[ID], Institutions[Institution nickname], "Unknown")</f>
        <v>Discover</v>
      </c>
      <c r="J451" s="139" t="s">
        <v>519</v>
      </c>
      <c r="K451" s="129" t="s">
        <v>110</v>
      </c>
      <c r="L451" s="129" t="s">
        <v>108</v>
      </c>
      <c r="M451" s="130" t="str" cm="1">
        <f t="array" ref="M451">IFERROR(INDEX(CategoriesTable[Category type],MATCH(Table1[[#This Row],[Category]],CategoriesTable[Category name],0),0),"")</f>
        <v>Expense</v>
      </c>
      <c r="N451" s="130" t="str" cm="1">
        <f t="array" ref="N451">IFERROR(INDEX(SubcategoriesTable[Subcategory name],MATCH(Table1[[#This Row],[Category]],SubcategoriesTable[Category name],0),0),"")</f>
        <v>Variable</v>
      </c>
      <c r="O451" s="130">
        <v>24</v>
      </c>
      <c r="P451" s="130">
        <f>MONTH(Table1[[#This Row],[Date]])</f>
        <v>10</v>
      </c>
      <c r="Q451" s="130">
        <v>2020</v>
      </c>
      <c r="R451" s="166">
        <f>IF(ISBLANK(Table1[[#This Row],[Date]]),"",Table1[[#This Row],[Date]]-WEEKDAY(Table1[[#This Row],[Date]],2)+1)</f>
        <v>44123</v>
      </c>
      <c r="S451" s="131">
        <f>IF(ISBLANK(Table1[[#This Row],[Date]]),"",DATE(Table1[[#This Row],[Date_Year]],Table1[[#This Row],[Date_Month]],1))</f>
        <v>44105</v>
      </c>
    </row>
    <row r="452" spans="2:19" ht="15.75" x14ac:dyDescent="0.25">
      <c r="B452" s="133">
        <v>44128</v>
      </c>
      <c r="C452" s="128" t="s">
        <v>195</v>
      </c>
      <c r="D452" s="128" t="s">
        <v>48</v>
      </c>
      <c r="E452" s="128" t="str" cm="1">
        <f t="array" ref="E452">IFERROR(INDEX(SubcategoriesTable[Subcategory name],MATCH(Table1[[#This Row],[Category]],SubcategoriesTable[Category name],0),0),"")</f>
        <v>Variable</v>
      </c>
      <c r="F452" s="134">
        <v>-22.2</v>
      </c>
      <c r="G452" s="167" t="str">
        <f>_xlfn.XLOOKUP(Table1[[#This Row],[Account_ID]], Accounts[ID], Accounts[Account nickname], "Unknown")</f>
        <v>Discover it chrome Card</v>
      </c>
      <c r="H452" s="137" t="str">
        <f>_xlfn.XLOOKUP(Table1[[#This Row],[Account_ID]], Accounts[ID], Accounts[Account'#], "Unknown")</f>
        <v>7328</v>
      </c>
      <c r="I452" s="168" t="str">
        <f>_xlfn.XLOOKUP(Table1[[#This Row],[Institution_ID]], Institutions[ID], Institutions[Institution nickname], "Unknown")</f>
        <v>Discover</v>
      </c>
      <c r="J452" s="139" t="s">
        <v>520</v>
      </c>
      <c r="K452" s="129" t="s">
        <v>110</v>
      </c>
      <c r="L452" s="129" t="s">
        <v>108</v>
      </c>
      <c r="M452" s="130" t="str" cm="1">
        <f t="array" ref="M452">IFERROR(INDEX(CategoriesTable[Category type],MATCH(Table1[[#This Row],[Category]],CategoriesTable[Category name],0),0),"")</f>
        <v>Expense</v>
      </c>
      <c r="N452" s="130" t="str" cm="1">
        <f t="array" ref="N452">IFERROR(INDEX(SubcategoriesTable[Subcategory name],MATCH(Table1[[#This Row],[Category]],SubcategoriesTable[Category name],0),0),"")</f>
        <v>Variable</v>
      </c>
      <c r="O452" s="130">
        <v>24</v>
      </c>
      <c r="P452" s="130">
        <f>MONTH(Table1[[#This Row],[Date]])</f>
        <v>10</v>
      </c>
      <c r="Q452" s="130">
        <v>2020</v>
      </c>
      <c r="R452" s="166">
        <f>IF(ISBLANK(Table1[[#This Row],[Date]]),"",Table1[[#This Row],[Date]]-WEEKDAY(Table1[[#This Row],[Date]],2)+1)</f>
        <v>44123</v>
      </c>
      <c r="S452" s="131">
        <f>IF(ISBLANK(Table1[[#This Row],[Date]]),"",DATE(Table1[[#This Row],[Date_Year]],Table1[[#This Row],[Date_Month]],1))</f>
        <v>44105</v>
      </c>
    </row>
    <row r="453" spans="2:19" ht="15.75" x14ac:dyDescent="0.25">
      <c r="B453" s="133">
        <v>44128</v>
      </c>
      <c r="C453" s="128" t="s">
        <v>521</v>
      </c>
      <c r="D453" s="128" t="s">
        <v>53</v>
      </c>
      <c r="E453" s="128" t="str" cm="1">
        <f t="array" ref="E453">IFERROR(INDEX(SubcategoriesTable[Subcategory name],MATCH(Table1[[#This Row],[Category]],SubcategoriesTable[Category name],0),0),"")</f>
        <v>Variable</v>
      </c>
      <c r="F453" s="134">
        <v>-10</v>
      </c>
      <c r="G453" s="167" t="str">
        <f>_xlfn.XLOOKUP(Table1[[#This Row],[Account_ID]], Accounts[ID], Accounts[Account nickname], "Unknown")</f>
        <v>Discover it chrome Card</v>
      </c>
      <c r="H453" s="137" t="str">
        <f>_xlfn.XLOOKUP(Table1[[#This Row],[Account_ID]], Accounts[ID], Accounts[Account'#], "Unknown")</f>
        <v>7328</v>
      </c>
      <c r="I453" s="168" t="str">
        <f>_xlfn.XLOOKUP(Table1[[#This Row],[Institution_ID]], Institutions[ID], Institutions[Institution nickname], "Unknown")</f>
        <v>Discover</v>
      </c>
      <c r="J453" s="139" t="s">
        <v>522</v>
      </c>
      <c r="K453" s="129" t="s">
        <v>110</v>
      </c>
      <c r="L453" s="129" t="s">
        <v>108</v>
      </c>
      <c r="M453" s="130" t="str" cm="1">
        <f t="array" ref="M453">IFERROR(INDEX(CategoriesTable[Category type],MATCH(Table1[[#This Row],[Category]],CategoriesTable[Category name],0),0),"")</f>
        <v>Expense</v>
      </c>
      <c r="N453" s="130" t="str" cm="1">
        <f t="array" ref="N453">IFERROR(INDEX(SubcategoriesTable[Subcategory name],MATCH(Table1[[#This Row],[Category]],SubcategoriesTable[Category name],0),0),"")</f>
        <v>Variable</v>
      </c>
      <c r="O453" s="130">
        <v>24</v>
      </c>
      <c r="P453" s="130">
        <f>MONTH(Table1[[#This Row],[Date]])</f>
        <v>10</v>
      </c>
      <c r="Q453" s="130">
        <v>2020</v>
      </c>
      <c r="R453" s="166">
        <f>IF(ISBLANK(Table1[[#This Row],[Date]]),"",Table1[[#This Row],[Date]]-WEEKDAY(Table1[[#This Row],[Date]],2)+1)</f>
        <v>44123</v>
      </c>
      <c r="S453" s="131">
        <f>IF(ISBLANK(Table1[[#This Row],[Date]]),"",DATE(Table1[[#This Row],[Date_Year]],Table1[[#This Row],[Date_Month]],1))</f>
        <v>44105</v>
      </c>
    </row>
    <row r="454" spans="2:19" ht="15.75" x14ac:dyDescent="0.25">
      <c r="B454" s="133">
        <v>44127</v>
      </c>
      <c r="C454" s="128" t="s">
        <v>1181</v>
      </c>
      <c r="D454" s="128" t="s">
        <v>59</v>
      </c>
      <c r="E454" s="128" t="str" cm="1">
        <f t="array" ref="E454">IFERROR(INDEX(SubcategoriesTable[Subcategory name],MATCH(Table1[[#This Row],[Category]],SubcategoriesTable[Category name],0),0),"")</f>
        <v>Fixed</v>
      </c>
      <c r="F454" s="134">
        <v>1780.3</v>
      </c>
      <c r="G454" s="167" t="str">
        <f>_xlfn.XLOOKUP(Table1[[#This Row],[Account_ID]], Accounts[ID], Accounts[Account nickname], "Unknown")</f>
        <v>EVERYDAY CHECKING</v>
      </c>
      <c r="H454" s="137" t="str">
        <f>_xlfn.XLOOKUP(Table1[[#This Row],[Account_ID]], Accounts[ID], Accounts[Account'#], "Unknown")</f>
        <v>4636</v>
      </c>
      <c r="I454" s="168" t="str">
        <f>_xlfn.XLOOKUP(Table1[[#This Row],[Institution_ID]], Institutions[ID], Institutions[Institution nickname], "Unknown")</f>
        <v>Wells Fargo</v>
      </c>
      <c r="J454" s="139" t="s">
        <v>1477</v>
      </c>
      <c r="K454" s="129" t="s">
        <v>1229</v>
      </c>
      <c r="L454" s="129" t="s">
        <v>1228</v>
      </c>
      <c r="M454" s="130" t="str" cm="1">
        <f t="array" ref="M454">IFERROR(INDEX(CategoriesTable[Category type],MATCH(Table1[[#This Row],[Category]],CategoriesTable[Category name],0),0),"")</f>
        <v>Income</v>
      </c>
      <c r="N454" s="130" t="str" cm="1">
        <f t="array" ref="N454">IFERROR(INDEX(SubcategoriesTable[Subcategory name],MATCH(Table1[[#This Row],[Category]],SubcategoriesTable[Category name],0),0),"")</f>
        <v>Fixed</v>
      </c>
      <c r="O454" s="130">
        <v>23</v>
      </c>
      <c r="P454" s="130">
        <f>MONTH(Table1[[#This Row],[Date]])</f>
        <v>10</v>
      </c>
      <c r="Q454" s="130">
        <v>2020</v>
      </c>
      <c r="R454" s="166">
        <f>IF(ISBLANK(Table1[[#This Row],[Date]]),"",Table1[[#This Row],[Date]]-WEEKDAY(Table1[[#This Row],[Date]],2)+1)</f>
        <v>44123</v>
      </c>
      <c r="S454" s="131">
        <f>IF(ISBLANK(Table1[[#This Row],[Date]]),"",DATE(Table1[[#This Row],[Date_Year]],Table1[[#This Row],[Date_Month]],1))</f>
        <v>44105</v>
      </c>
    </row>
    <row r="455" spans="2:19" ht="15.75" x14ac:dyDescent="0.25">
      <c r="B455" s="133">
        <v>44127</v>
      </c>
      <c r="C455" s="128" t="s">
        <v>508</v>
      </c>
      <c r="D455" s="128" t="s">
        <v>78</v>
      </c>
      <c r="E455" s="128" t="str" cm="1">
        <f t="array" ref="E455">IFERROR(INDEX(SubcategoriesTable[Subcategory name],MATCH(Table1[[#This Row],[Category]],SubcategoriesTable[Category name],0),0),"")</f>
        <v>Fixed</v>
      </c>
      <c r="F455" s="134">
        <v>-700</v>
      </c>
      <c r="G455" s="167" t="str">
        <f>_xlfn.XLOOKUP(Table1[[#This Row],[Account_ID]], Accounts[ID], Accounts[Account nickname], "Unknown")</f>
        <v>EVERYDAY CHECKING</v>
      </c>
      <c r="H455" s="137" t="str">
        <f>_xlfn.XLOOKUP(Table1[[#This Row],[Account_ID]], Accounts[ID], Accounts[Account'#], "Unknown")</f>
        <v>4636</v>
      </c>
      <c r="I455" s="168" t="str">
        <f>_xlfn.XLOOKUP(Table1[[#This Row],[Institution_ID]], Institutions[ID], Institutions[Institution nickname], "Unknown")</f>
        <v>Wells Fargo</v>
      </c>
      <c r="J455" s="139" t="s">
        <v>1478</v>
      </c>
      <c r="K455" s="129" t="s">
        <v>1229</v>
      </c>
      <c r="L455" s="129" t="s">
        <v>1228</v>
      </c>
      <c r="M455" s="130" t="str" cm="1">
        <f t="array" ref="M455">IFERROR(INDEX(CategoriesTable[Category type],MATCH(Table1[[#This Row],[Category]],CategoriesTable[Category name],0),0),"")</f>
        <v>Expense</v>
      </c>
      <c r="N455" s="130" t="str" cm="1">
        <f t="array" ref="N455">IFERROR(INDEX(SubcategoriesTable[Subcategory name],MATCH(Table1[[#This Row],[Category]],SubcategoriesTable[Category name],0),0),"")</f>
        <v>Fixed</v>
      </c>
      <c r="O455" s="130">
        <v>23</v>
      </c>
      <c r="P455" s="130">
        <f>MONTH(Table1[[#This Row],[Date]])</f>
        <v>10</v>
      </c>
      <c r="Q455" s="130">
        <v>2020</v>
      </c>
      <c r="R455" s="166">
        <f>IF(ISBLANK(Table1[[#This Row],[Date]]),"",Table1[[#This Row],[Date]]-WEEKDAY(Table1[[#This Row],[Date]],2)+1)</f>
        <v>44123</v>
      </c>
      <c r="S455" s="131">
        <f>IF(ISBLANK(Table1[[#This Row],[Date]]),"",DATE(Table1[[#This Row],[Date_Year]],Table1[[#This Row],[Date_Month]],1))</f>
        <v>44105</v>
      </c>
    </row>
    <row r="456" spans="2:19" ht="15.75" x14ac:dyDescent="0.25">
      <c r="B456" s="133">
        <v>44127</v>
      </c>
      <c r="C456" s="128" t="s">
        <v>508</v>
      </c>
      <c r="D456" s="128" t="s">
        <v>50</v>
      </c>
      <c r="E456" s="128" t="str" cm="1">
        <f t="array" ref="E456">IFERROR(INDEX(SubcategoriesTable[Subcategory name],MATCH(Table1[[#This Row],[Category]],SubcategoriesTable[Category name],0),0),"")</f>
        <v>Variable</v>
      </c>
      <c r="F456" s="134">
        <v>-716.13</v>
      </c>
      <c r="G456" s="167" t="str">
        <f>_xlfn.XLOOKUP(Table1[[#This Row],[Account_ID]], Accounts[ID], Accounts[Account nickname], "Unknown")</f>
        <v>EVERYDAY CHECKING</v>
      </c>
      <c r="H456" s="137" t="str">
        <f>_xlfn.XLOOKUP(Table1[[#This Row],[Account_ID]], Accounts[ID], Accounts[Account'#], "Unknown")</f>
        <v>4636</v>
      </c>
      <c r="I456" s="168" t="str">
        <f>_xlfn.XLOOKUP(Table1[[#This Row],[Institution_ID]], Institutions[ID], Institutions[Institution nickname], "Unknown")</f>
        <v>Wells Fargo</v>
      </c>
      <c r="J456" s="139" t="s">
        <v>1479</v>
      </c>
      <c r="K456" s="129" t="s">
        <v>1229</v>
      </c>
      <c r="L456" s="129" t="s">
        <v>1228</v>
      </c>
      <c r="M456" s="130" t="str" cm="1">
        <f t="array" ref="M456">IFERROR(INDEX(CategoriesTable[Category type],MATCH(Table1[[#This Row],[Category]],CategoriesTable[Category name],0),0),"")</f>
        <v>Transfer</v>
      </c>
      <c r="N456" s="130" t="str" cm="1">
        <f t="array" ref="N456">IFERROR(INDEX(SubcategoriesTable[Subcategory name],MATCH(Table1[[#This Row],[Category]],SubcategoriesTable[Category name],0),0),"")</f>
        <v>Variable</v>
      </c>
      <c r="O456" s="130">
        <v>23</v>
      </c>
      <c r="P456" s="130">
        <f>MONTH(Table1[[#This Row],[Date]])</f>
        <v>10</v>
      </c>
      <c r="Q456" s="130">
        <v>2020</v>
      </c>
      <c r="R456" s="166">
        <f>IF(ISBLANK(Table1[[#This Row],[Date]]),"",Table1[[#This Row],[Date]]-WEEKDAY(Table1[[#This Row],[Date]],2)+1)</f>
        <v>44123</v>
      </c>
      <c r="S456" s="131">
        <f>IF(ISBLANK(Table1[[#This Row],[Date]]),"",DATE(Table1[[#This Row],[Date_Year]],Table1[[#This Row],[Date_Month]],1))</f>
        <v>44105</v>
      </c>
    </row>
    <row r="457" spans="2:19" ht="15.75" x14ac:dyDescent="0.25">
      <c r="B457" s="133">
        <v>44127</v>
      </c>
      <c r="C457" s="128" t="s">
        <v>256</v>
      </c>
      <c r="D457" s="128" t="s">
        <v>46</v>
      </c>
      <c r="E457" s="128" t="str" cm="1">
        <f t="array" ref="E457">IFERROR(INDEX(SubcategoriesTable[Subcategory name],MATCH(Table1[[#This Row],[Category]],SubcategoriesTable[Category name],0),0),"")</f>
        <v>Variable</v>
      </c>
      <c r="F457" s="134">
        <v>-58.25</v>
      </c>
      <c r="G457" s="167" t="str">
        <f>_xlfn.XLOOKUP(Table1[[#This Row],[Account_ID]], Accounts[ID], Accounts[Account nickname], "Unknown")</f>
        <v>Discover it chrome Card</v>
      </c>
      <c r="H457" s="137" t="str">
        <f>_xlfn.XLOOKUP(Table1[[#This Row],[Account_ID]], Accounts[ID], Accounts[Account'#], "Unknown")</f>
        <v>7328</v>
      </c>
      <c r="I457" s="168" t="str">
        <f>_xlfn.XLOOKUP(Table1[[#This Row],[Institution_ID]], Institutions[ID], Institutions[Institution nickname], "Unknown")</f>
        <v>Discover</v>
      </c>
      <c r="J457" s="139" t="s">
        <v>523</v>
      </c>
      <c r="K457" s="129" t="s">
        <v>110</v>
      </c>
      <c r="L457" s="129" t="s">
        <v>108</v>
      </c>
      <c r="M457" s="130" t="str" cm="1">
        <f t="array" ref="M457">IFERROR(INDEX(CategoriesTable[Category type],MATCH(Table1[[#This Row],[Category]],CategoriesTable[Category name],0),0),"")</f>
        <v>Expense</v>
      </c>
      <c r="N457" s="130" t="str" cm="1">
        <f t="array" ref="N457">IFERROR(INDEX(SubcategoriesTable[Subcategory name],MATCH(Table1[[#This Row],[Category]],SubcategoriesTable[Category name],0),0),"")</f>
        <v>Variable</v>
      </c>
      <c r="O457" s="130">
        <v>23</v>
      </c>
      <c r="P457" s="130">
        <f>MONTH(Table1[[#This Row],[Date]])</f>
        <v>10</v>
      </c>
      <c r="Q457" s="130">
        <v>2020</v>
      </c>
      <c r="R457" s="166">
        <f>IF(ISBLANK(Table1[[#This Row],[Date]]),"",Table1[[#This Row],[Date]]-WEEKDAY(Table1[[#This Row],[Date]],2)+1)</f>
        <v>44123</v>
      </c>
      <c r="S457" s="131">
        <f>IF(ISBLANK(Table1[[#This Row],[Date]]),"",DATE(Table1[[#This Row],[Date_Year]],Table1[[#This Row],[Date_Month]],1))</f>
        <v>44105</v>
      </c>
    </row>
    <row r="458" spans="2:19" ht="15.75" x14ac:dyDescent="0.25">
      <c r="B458" s="133">
        <v>44127</v>
      </c>
      <c r="C458" s="128" t="s">
        <v>340</v>
      </c>
      <c r="D458" s="128" t="s">
        <v>45</v>
      </c>
      <c r="E458" s="128" t="str" cm="1">
        <f t="array" ref="E458">IFERROR(INDEX(SubcategoriesTable[Subcategory name],MATCH(Table1[[#This Row],[Category]],SubcategoriesTable[Category name],0),0),"")</f>
        <v>Variable</v>
      </c>
      <c r="F458" s="134">
        <v>-22.25</v>
      </c>
      <c r="G458" s="167" t="str">
        <f>_xlfn.XLOOKUP(Table1[[#This Row],[Account_ID]], Accounts[ID], Accounts[Account nickname], "Unknown")</f>
        <v>Discover it chrome Card</v>
      </c>
      <c r="H458" s="137" t="str">
        <f>_xlfn.XLOOKUP(Table1[[#This Row],[Account_ID]], Accounts[ID], Accounts[Account'#], "Unknown")</f>
        <v>7328</v>
      </c>
      <c r="I458" s="168" t="str">
        <f>_xlfn.XLOOKUP(Table1[[#This Row],[Institution_ID]], Institutions[ID], Institutions[Institution nickname], "Unknown")</f>
        <v>Discover</v>
      </c>
      <c r="J458" s="139" t="s">
        <v>524</v>
      </c>
      <c r="K458" s="129" t="s">
        <v>110</v>
      </c>
      <c r="L458" s="129" t="s">
        <v>108</v>
      </c>
      <c r="M458" s="130" t="str" cm="1">
        <f t="array" ref="M458">IFERROR(INDEX(CategoriesTable[Category type],MATCH(Table1[[#This Row],[Category]],CategoriesTable[Category name],0),0),"")</f>
        <v>Expense</v>
      </c>
      <c r="N458" s="130" t="str" cm="1">
        <f t="array" ref="N458">IFERROR(INDEX(SubcategoriesTable[Subcategory name],MATCH(Table1[[#This Row],[Category]],SubcategoriesTable[Category name],0),0),"")</f>
        <v>Variable</v>
      </c>
      <c r="O458" s="130">
        <v>23</v>
      </c>
      <c r="P458" s="130">
        <f>MONTH(Table1[[#This Row],[Date]])</f>
        <v>10</v>
      </c>
      <c r="Q458" s="130">
        <v>2020</v>
      </c>
      <c r="R458" s="166">
        <f>IF(ISBLANK(Table1[[#This Row],[Date]]),"",Table1[[#This Row],[Date]]-WEEKDAY(Table1[[#This Row],[Date]],2)+1)</f>
        <v>44123</v>
      </c>
      <c r="S458" s="131">
        <f>IF(ISBLANK(Table1[[#This Row],[Date]]),"",DATE(Table1[[#This Row],[Date_Year]],Table1[[#This Row],[Date_Month]],1))</f>
        <v>44105</v>
      </c>
    </row>
    <row r="459" spans="2:19" ht="15.75" x14ac:dyDescent="0.25">
      <c r="B459" s="133">
        <v>44127</v>
      </c>
      <c r="C459" s="128" t="s">
        <v>113</v>
      </c>
      <c r="D459" s="128" t="s">
        <v>50</v>
      </c>
      <c r="E459" s="128" t="str" cm="1">
        <f t="array" ref="E459">IFERROR(INDEX(SubcategoriesTable[Subcategory name],MATCH(Table1[[#This Row],[Category]],SubcategoriesTable[Category name],0),0),"")</f>
        <v>Variable</v>
      </c>
      <c r="F459" s="134">
        <v>300</v>
      </c>
      <c r="G459" s="167" t="str">
        <f>_xlfn.XLOOKUP(Table1[[#This Row],[Account_ID]], Accounts[ID], Accounts[Account nickname], "Unknown")</f>
        <v>Discover it chrome Card</v>
      </c>
      <c r="H459" s="137" t="str">
        <f>_xlfn.XLOOKUP(Table1[[#This Row],[Account_ID]], Accounts[ID], Accounts[Account'#], "Unknown")</f>
        <v>7328</v>
      </c>
      <c r="I459" s="168" t="str">
        <f>_xlfn.XLOOKUP(Table1[[#This Row],[Institution_ID]], Institutions[ID], Institutions[Institution nickname], "Unknown")</f>
        <v>Discover</v>
      </c>
      <c r="J459" s="139" t="s">
        <v>525</v>
      </c>
      <c r="K459" s="129" t="s">
        <v>110</v>
      </c>
      <c r="L459" s="129" t="s">
        <v>108</v>
      </c>
      <c r="M459" s="130" t="str" cm="1">
        <f t="array" ref="M459">IFERROR(INDEX(CategoriesTable[Category type],MATCH(Table1[[#This Row],[Category]],CategoriesTable[Category name],0),0),"")</f>
        <v>Transfer</v>
      </c>
      <c r="N459" s="130" t="str" cm="1">
        <f t="array" ref="N459">IFERROR(INDEX(SubcategoriesTable[Subcategory name],MATCH(Table1[[#This Row],[Category]],SubcategoriesTable[Category name],0),0),"")</f>
        <v>Variable</v>
      </c>
      <c r="O459" s="130">
        <v>23</v>
      </c>
      <c r="P459" s="130">
        <f>MONTH(Table1[[#This Row],[Date]])</f>
        <v>10</v>
      </c>
      <c r="Q459" s="130">
        <v>2020</v>
      </c>
      <c r="R459" s="166">
        <f>IF(ISBLANK(Table1[[#This Row],[Date]]),"",Table1[[#This Row],[Date]]-WEEKDAY(Table1[[#This Row],[Date]],2)+1)</f>
        <v>44123</v>
      </c>
      <c r="S459" s="131">
        <f>IF(ISBLANK(Table1[[#This Row],[Date]]),"",DATE(Table1[[#This Row],[Date_Year]],Table1[[#This Row],[Date_Month]],1))</f>
        <v>44105</v>
      </c>
    </row>
    <row r="460" spans="2:19" ht="15.75" x14ac:dyDescent="0.25">
      <c r="B460" s="133">
        <v>44127</v>
      </c>
      <c r="C460" s="128" t="s">
        <v>526</v>
      </c>
      <c r="D460" s="128" t="s">
        <v>46</v>
      </c>
      <c r="E460" s="128" t="str" cm="1">
        <f t="array" ref="E460">IFERROR(INDEX(SubcategoriesTable[Subcategory name],MATCH(Table1[[#This Row],[Category]],SubcategoriesTable[Category name],0),0),"")</f>
        <v>Variable</v>
      </c>
      <c r="F460" s="134">
        <v>-14.83</v>
      </c>
      <c r="G460" s="167" t="str">
        <f>_xlfn.XLOOKUP(Table1[[#This Row],[Account_ID]], Accounts[ID], Accounts[Account nickname], "Unknown")</f>
        <v>Discover it chrome Card</v>
      </c>
      <c r="H460" s="137" t="str">
        <f>_xlfn.XLOOKUP(Table1[[#This Row],[Account_ID]], Accounts[ID], Accounts[Account'#], "Unknown")</f>
        <v>7328</v>
      </c>
      <c r="I460" s="168" t="str">
        <f>_xlfn.XLOOKUP(Table1[[#This Row],[Institution_ID]], Institutions[ID], Institutions[Institution nickname], "Unknown")</f>
        <v>Discover</v>
      </c>
      <c r="J460" s="139" t="s">
        <v>527</v>
      </c>
      <c r="K460" s="129" t="s">
        <v>110</v>
      </c>
      <c r="L460" s="129" t="s">
        <v>108</v>
      </c>
      <c r="M460" s="130" t="str" cm="1">
        <f t="array" ref="M460">IFERROR(INDEX(CategoriesTable[Category type],MATCH(Table1[[#This Row],[Category]],CategoriesTable[Category name],0),0),"")</f>
        <v>Expense</v>
      </c>
      <c r="N460" s="130" t="str" cm="1">
        <f t="array" ref="N460">IFERROR(INDEX(SubcategoriesTable[Subcategory name],MATCH(Table1[[#This Row],[Category]],SubcategoriesTable[Category name],0),0),"")</f>
        <v>Variable</v>
      </c>
      <c r="O460" s="130">
        <v>23</v>
      </c>
      <c r="P460" s="130">
        <f>MONTH(Table1[[#This Row],[Date]])</f>
        <v>10</v>
      </c>
      <c r="Q460" s="130">
        <v>2020</v>
      </c>
      <c r="R460" s="166">
        <f>IF(ISBLANK(Table1[[#This Row],[Date]]),"",Table1[[#This Row],[Date]]-WEEKDAY(Table1[[#This Row],[Date]],2)+1)</f>
        <v>44123</v>
      </c>
      <c r="S460" s="131">
        <f>IF(ISBLANK(Table1[[#This Row],[Date]]),"",DATE(Table1[[#This Row],[Date_Year]],Table1[[#This Row],[Date_Month]],1))</f>
        <v>44105</v>
      </c>
    </row>
    <row r="461" spans="2:19" ht="15.75" x14ac:dyDescent="0.25">
      <c r="B461" s="133">
        <v>44126</v>
      </c>
      <c r="C461" s="128" t="s">
        <v>508</v>
      </c>
      <c r="D461" s="128" t="s">
        <v>50</v>
      </c>
      <c r="E461" s="128" t="str" cm="1">
        <f t="array" ref="E461">IFERROR(INDEX(SubcategoriesTable[Subcategory name],MATCH(Table1[[#This Row],[Category]],SubcategoriesTable[Category name],0),0),"")</f>
        <v>Variable</v>
      </c>
      <c r="F461" s="134">
        <v>116.82</v>
      </c>
      <c r="G461" s="167" t="str">
        <f>_xlfn.XLOOKUP(Table1[[#This Row],[Account_ID]], Accounts[ID], Accounts[Account nickname], "Unknown")</f>
        <v>EVERYDAY CHECKING</v>
      </c>
      <c r="H461" s="137" t="str">
        <f>_xlfn.XLOOKUP(Table1[[#This Row],[Account_ID]], Accounts[ID], Accounts[Account'#], "Unknown")</f>
        <v>4636</v>
      </c>
      <c r="I461" s="168" t="str">
        <f>_xlfn.XLOOKUP(Table1[[#This Row],[Institution_ID]], Institutions[ID], Institutions[Institution nickname], "Unknown")</f>
        <v>Wells Fargo</v>
      </c>
      <c r="J461" s="139" t="s">
        <v>1480</v>
      </c>
      <c r="K461" s="129" t="s">
        <v>1229</v>
      </c>
      <c r="L461" s="129" t="s">
        <v>1228</v>
      </c>
      <c r="M461" s="130" t="str" cm="1">
        <f t="array" ref="M461">IFERROR(INDEX(CategoriesTable[Category type],MATCH(Table1[[#This Row],[Category]],CategoriesTable[Category name],0),0),"")</f>
        <v>Transfer</v>
      </c>
      <c r="N461" s="130" t="str" cm="1">
        <f t="array" ref="N461">IFERROR(INDEX(SubcategoriesTable[Subcategory name],MATCH(Table1[[#This Row],[Category]],SubcategoriesTable[Category name],0),0),"")</f>
        <v>Variable</v>
      </c>
      <c r="O461" s="130">
        <v>22</v>
      </c>
      <c r="P461" s="130">
        <f>MONTH(Table1[[#This Row],[Date]])</f>
        <v>10</v>
      </c>
      <c r="Q461" s="130">
        <v>2020</v>
      </c>
      <c r="R461" s="166">
        <f>IF(ISBLANK(Table1[[#This Row],[Date]]),"",Table1[[#This Row],[Date]]-WEEKDAY(Table1[[#This Row],[Date]],2)+1)</f>
        <v>44123</v>
      </c>
      <c r="S461" s="131">
        <f>IF(ISBLANK(Table1[[#This Row],[Date]]),"",DATE(Table1[[#This Row],[Date_Year]],Table1[[#This Row],[Date_Month]],1))</f>
        <v>44105</v>
      </c>
    </row>
    <row r="462" spans="2:19" ht="15.75" x14ac:dyDescent="0.25">
      <c r="B462" s="133">
        <v>44126</v>
      </c>
      <c r="C462" s="128" t="s">
        <v>267</v>
      </c>
      <c r="D462" s="128" t="s">
        <v>46</v>
      </c>
      <c r="E462" s="128" t="str" cm="1">
        <f t="array" ref="E462">IFERROR(INDEX(SubcategoriesTable[Subcategory name],MATCH(Table1[[#This Row],[Category]],SubcategoriesTable[Category name],0),0),"")</f>
        <v>Variable</v>
      </c>
      <c r="F462" s="134">
        <v>-11.83</v>
      </c>
      <c r="G462" s="167" t="str">
        <f>_xlfn.XLOOKUP(Table1[[#This Row],[Account_ID]], Accounts[ID], Accounts[Account nickname], "Unknown")</f>
        <v>Discover it chrome Card</v>
      </c>
      <c r="H462" s="137" t="str">
        <f>_xlfn.XLOOKUP(Table1[[#This Row],[Account_ID]], Accounts[ID], Accounts[Account'#], "Unknown")</f>
        <v>7328</v>
      </c>
      <c r="I462" s="168" t="str">
        <f>_xlfn.XLOOKUP(Table1[[#This Row],[Institution_ID]], Institutions[ID], Institutions[Institution nickname], "Unknown")</f>
        <v>Discover</v>
      </c>
      <c r="J462" s="139" t="s">
        <v>528</v>
      </c>
      <c r="K462" s="129" t="s">
        <v>110</v>
      </c>
      <c r="L462" s="129" t="s">
        <v>108</v>
      </c>
      <c r="M462" s="130" t="str" cm="1">
        <f t="array" ref="M462">IFERROR(INDEX(CategoriesTable[Category type],MATCH(Table1[[#This Row],[Category]],CategoriesTable[Category name],0),0),"")</f>
        <v>Expense</v>
      </c>
      <c r="N462" s="130" t="str" cm="1">
        <f t="array" ref="N462">IFERROR(INDEX(SubcategoriesTable[Subcategory name],MATCH(Table1[[#This Row],[Category]],SubcategoriesTable[Category name],0),0),"")</f>
        <v>Variable</v>
      </c>
      <c r="O462" s="130">
        <v>22</v>
      </c>
      <c r="P462" s="130">
        <f>MONTH(Table1[[#This Row],[Date]])</f>
        <v>10</v>
      </c>
      <c r="Q462" s="130">
        <v>2020</v>
      </c>
      <c r="R462" s="166">
        <f>IF(ISBLANK(Table1[[#This Row],[Date]]),"",Table1[[#This Row],[Date]]-WEEKDAY(Table1[[#This Row],[Date]],2)+1)</f>
        <v>44123</v>
      </c>
      <c r="S462" s="131">
        <f>IF(ISBLANK(Table1[[#This Row],[Date]]),"",DATE(Table1[[#This Row],[Date_Year]],Table1[[#This Row],[Date_Month]],1))</f>
        <v>44105</v>
      </c>
    </row>
    <row r="463" spans="2:19" ht="15.75" x14ac:dyDescent="0.25">
      <c r="B463" s="133">
        <v>44126</v>
      </c>
      <c r="C463" s="128" t="s">
        <v>529</v>
      </c>
      <c r="D463" s="128" t="s">
        <v>46</v>
      </c>
      <c r="E463" s="128" t="str" cm="1">
        <f t="array" ref="E463">IFERROR(INDEX(SubcategoriesTable[Subcategory name],MATCH(Table1[[#This Row],[Category]],SubcategoriesTable[Category name],0),0),"")</f>
        <v>Variable</v>
      </c>
      <c r="F463" s="134">
        <v>235.35</v>
      </c>
      <c r="G463" s="167" t="str">
        <f>_xlfn.XLOOKUP(Table1[[#This Row],[Account_ID]], Accounts[ID], Accounts[Account nickname], "Unknown")</f>
        <v>Discover it chrome Card</v>
      </c>
      <c r="H463" s="137" t="str">
        <f>_xlfn.XLOOKUP(Table1[[#This Row],[Account_ID]], Accounts[ID], Accounts[Account'#], "Unknown")</f>
        <v>7328</v>
      </c>
      <c r="I463" s="168" t="str">
        <f>_xlfn.XLOOKUP(Table1[[#This Row],[Institution_ID]], Institutions[ID], Institutions[Institution nickname], "Unknown")</f>
        <v>Discover</v>
      </c>
      <c r="J463" s="139" t="s">
        <v>530</v>
      </c>
      <c r="K463" s="129" t="s">
        <v>110</v>
      </c>
      <c r="L463" s="129" t="s">
        <v>108</v>
      </c>
      <c r="M463" s="130" t="str" cm="1">
        <f t="array" ref="M463">IFERROR(INDEX(CategoriesTable[Category type],MATCH(Table1[[#This Row],[Category]],CategoriesTable[Category name],0),0),"")</f>
        <v>Expense</v>
      </c>
      <c r="N463" s="130" t="str" cm="1">
        <f t="array" ref="N463">IFERROR(INDEX(SubcategoriesTable[Subcategory name],MATCH(Table1[[#This Row],[Category]],SubcategoriesTable[Category name],0),0),"")</f>
        <v>Variable</v>
      </c>
      <c r="O463" s="130">
        <v>22</v>
      </c>
      <c r="P463" s="130">
        <f>MONTH(Table1[[#This Row],[Date]])</f>
        <v>10</v>
      </c>
      <c r="Q463" s="130">
        <v>2020</v>
      </c>
      <c r="R463" s="166">
        <f>IF(ISBLANK(Table1[[#This Row],[Date]]),"",Table1[[#This Row],[Date]]-WEEKDAY(Table1[[#This Row],[Date]],2)+1)</f>
        <v>44123</v>
      </c>
      <c r="S463" s="131">
        <f>IF(ISBLANK(Table1[[#This Row],[Date]]),"",DATE(Table1[[#This Row],[Date_Year]],Table1[[#This Row],[Date_Month]],1))</f>
        <v>44105</v>
      </c>
    </row>
    <row r="464" spans="2:19" ht="15.75" x14ac:dyDescent="0.25">
      <c r="B464" s="133">
        <v>44125</v>
      </c>
      <c r="C464" s="128" t="s">
        <v>531</v>
      </c>
      <c r="D464" s="128" t="s">
        <v>45</v>
      </c>
      <c r="E464" s="128" t="str" cm="1">
        <f t="array" ref="E464">IFERROR(INDEX(SubcategoriesTable[Subcategory name],MATCH(Table1[[#This Row],[Category]],SubcategoriesTable[Category name],0),0),"")</f>
        <v>Variable</v>
      </c>
      <c r="F464" s="134">
        <v>-10.44</v>
      </c>
      <c r="G464" s="167" t="str">
        <f>_xlfn.XLOOKUP(Table1[[#This Row],[Account_ID]], Accounts[ID], Accounts[Account nickname], "Unknown")</f>
        <v>Discover it chrome Card</v>
      </c>
      <c r="H464" s="137" t="str">
        <f>_xlfn.XLOOKUP(Table1[[#This Row],[Account_ID]], Accounts[ID], Accounts[Account'#], "Unknown")</f>
        <v>7328</v>
      </c>
      <c r="I464" s="168" t="str">
        <f>_xlfn.XLOOKUP(Table1[[#This Row],[Institution_ID]], Institutions[ID], Institutions[Institution nickname], "Unknown")</f>
        <v>Discover</v>
      </c>
      <c r="J464" s="139" t="s">
        <v>532</v>
      </c>
      <c r="K464" s="129" t="s">
        <v>110</v>
      </c>
      <c r="L464" s="129" t="s">
        <v>108</v>
      </c>
      <c r="M464" s="130" t="str" cm="1">
        <f t="array" ref="M464">IFERROR(INDEX(CategoriesTable[Category type],MATCH(Table1[[#This Row],[Category]],CategoriesTable[Category name],0),0),"")</f>
        <v>Expense</v>
      </c>
      <c r="N464" s="130" t="str" cm="1">
        <f t="array" ref="N464">IFERROR(INDEX(SubcategoriesTable[Subcategory name],MATCH(Table1[[#This Row],[Category]],SubcategoriesTable[Category name],0),0),"")</f>
        <v>Variable</v>
      </c>
      <c r="O464" s="130">
        <v>21</v>
      </c>
      <c r="P464" s="130">
        <f>MONTH(Table1[[#This Row],[Date]])</f>
        <v>10</v>
      </c>
      <c r="Q464" s="130">
        <v>2020</v>
      </c>
      <c r="R464" s="166">
        <f>IF(ISBLANK(Table1[[#This Row],[Date]]),"",Table1[[#This Row],[Date]]-WEEKDAY(Table1[[#This Row],[Date]],2)+1)</f>
        <v>44123</v>
      </c>
      <c r="S464" s="131">
        <f>IF(ISBLANK(Table1[[#This Row],[Date]]),"",DATE(Table1[[#This Row],[Date_Year]],Table1[[#This Row],[Date_Month]],1))</f>
        <v>44105</v>
      </c>
    </row>
    <row r="465" spans="2:19" ht="15.75" x14ac:dyDescent="0.25">
      <c r="B465" s="133">
        <v>44125</v>
      </c>
      <c r="C465" s="128" t="s">
        <v>533</v>
      </c>
      <c r="D465" s="128" t="s">
        <v>45</v>
      </c>
      <c r="E465" s="128" t="str" cm="1">
        <f t="array" ref="E465">IFERROR(INDEX(SubcategoriesTable[Subcategory name],MATCH(Table1[[#This Row],[Category]],SubcategoriesTable[Category name],0),0),"")</f>
        <v>Variable</v>
      </c>
      <c r="F465" s="134">
        <v>-9.4600000000000009</v>
      </c>
      <c r="G465" s="167" t="str">
        <f>_xlfn.XLOOKUP(Table1[[#This Row],[Account_ID]], Accounts[ID], Accounts[Account nickname], "Unknown")</f>
        <v>Discover it chrome Card</v>
      </c>
      <c r="H465" s="137" t="str">
        <f>_xlfn.XLOOKUP(Table1[[#This Row],[Account_ID]], Accounts[ID], Accounts[Account'#], "Unknown")</f>
        <v>7328</v>
      </c>
      <c r="I465" s="168" t="str">
        <f>_xlfn.XLOOKUP(Table1[[#This Row],[Institution_ID]], Institutions[ID], Institutions[Institution nickname], "Unknown")</f>
        <v>Discover</v>
      </c>
      <c r="J465" s="139" t="s">
        <v>534</v>
      </c>
      <c r="K465" s="129" t="s">
        <v>110</v>
      </c>
      <c r="L465" s="129" t="s">
        <v>108</v>
      </c>
      <c r="M465" s="130" t="str" cm="1">
        <f t="array" ref="M465">IFERROR(INDEX(CategoriesTable[Category type],MATCH(Table1[[#This Row],[Category]],CategoriesTable[Category name],0),0),"")</f>
        <v>Expense</v>
      </c>
      <c r="N465" s="130" t="str" cm="1">
        <f t="array" ref="N465">IFERROR(INDEX(SubcategoriesTable[Subcategory name],MATCH(Table1[[#This Row],[Category]],SubcategoriesTable[Category name],0),0),"")</f>
        <v>Variable</v>
      </c>
      <c r="O465" s="130">
        <v>21</v>
      </c>
      <c r="P465" s="130">
        <f>MONTH(Table1[[#This Row],[Date]])</f>
        <v>10</v>
      </c>
      <c r="Q465" s="130">
        <v>2020</v>
      </c>
      <c r="R465" s="166">
        <f>IF(ISBLANK(Table1[[#This Row],[Date]]),"",Table1[[#This Row],[Date]]-WEEKDAY(Table1[[#This Row],[Date]],2)+1)</f>
        <v>44123</v>
      </c>
      <c r="S465" s="131">
        <f>IF(ISBLANK(Table1[[#This Row],[Date]]),"",DATE(Table1[[#This Row],[Date_Year]],Table1[[#This Row],[Date_Month]],1))</f>
        <v>44105</v>
      </c>
    </row>
    <row r="466" spans="2:19" ht="15.75" x14ac:dyDescent="0.25">
      <c r="B466" s="133">
        <v>44125</v>
      </c>
      <c r="C466" s="128" t="s">
        <v>267</v>
      </c>
      <c r="D466" s="128" t="s">
        <v>46</v>
      </c>
      <c r="E466" s="128" t="str" cm="1">
        <f t="array" ref="E466">IFERROR(INDEX(SubcategoriesTable[Subcategory name],MATCH(Table1[[#This Row],[Category]],SubcategoriesTable[Category name],0),0),"")</f>
        <v>Variable</v>
      </c>
      <c r="F466" s="134">
        <v>-3.47</v>
      </c>
      <c r="G466" s="167" t="str">
        <f>_xlfn.XLOOKUP(Table1[[#This Row],[Account_ID]], Accounts[ID], Accounts[Account nickname], "Unknown")</f>
        <v>Discover it chrome Card</v>
      </c>
      <c r="H466" s="137" t="str">
        <f>_xlfn.XLOOKUP(Table1[[#This Row],[Account_ID]], Accounts[ID], Accounts[Account'#], "Unknown")</f>
        <v>7328</v>
      </c>
      <c r="I466" s="168" t="str">
        <f>_xlfn.XLOOKUP(Table1[[#This Row],[Institution_ID]], Institutions[ID], Institutions[Institution nickname], "Unknown")</f>
        <v>Discover</v>
      </c>
      <c r="J466" s="139" t="s">
        <v>535</v>
      </c>
      <c r="K466" s="129" t="s">
        <v>110</v>
      </c>
      <c r="L466" s="129" t="s">
        <v>108</v>
      </c>
      <c r="M466" s="130" t="str" cm="1">
        <f t="array" ref="M466">IFERROR(INDEX(CategoriesTable[Category type],MATCH(Table1[[#This Row],[Category]],CategoriesTable[Category name],0),0),"")</f>
        <v>Expense</v>
      </c>
      <c r="N466" s="130" t="str" cm="1">
        <f t="array" ref="N466">IFERROR(INDEX(SubcategoriesTable[Subcategory name],MATCH(Table1[[#This Row],[Category]],SubcategoriesTable[Category name],0),0),"")</f>
        <v>Variable</v>
      </c>
      <c r="O466" s="130">
        <v>21</v>
      </c>
      <c r="P466" s="130">
        <f>MONTH(Table1[[#This Row],[Date]])</f>
        <v>10</v>
      </c>
      <c r="Q466" s="130">
        <v>2020</v>
      </c>
      <c r="R466" s="166">
        <f>IF(ISBLANK(Table1[[#This Row],[Date]]),"",Table1[[#This Row],[Date]]-WEEKDAY(Table1[[#This Row],[Date]],2)+1)</f>
        <v>44123</v>
      </c>
      <c r="S466" s="131">
        <f>IF(ISBLANK(Table1[[#This Row],[Date]]),"",DATE(Table1[[#This Row],[Date_Year]],Table1[[#This Row],[Date_Month]],1))</f>
        <v>44105</v>
      </c>
    </row>
    <row r="467" spans="2:19" ht="15.75" x14ac:dyDescent="0.25">
      <c r="B467" s="133">
        <v>44125</v>
      </c>
      <c r="C467" s="128" t="s">
        <v>195</v>
      </c>
      <c r="D467" s="128" t="s">
        <v>48</v>
      </c>
      <c r="E467" s="128" t="str" cm="1">
        <f t="array" ref="E467">IFERROR(INDEX(SubcategoriesTable[Subcategory name],MATCH(Table1[[#This Row],[Category]],SubcategoriesTable[Category name],0),0),"")</f>
        <v>Variable</v>
      </c>
      <c r="F467" s="134">
        <v>-2.92</v>
      </c>
      <c r="G467" s="167" t="str">
        <f>_xlfn.XLOOKUP(Table1[[#This Row],[Account_ID]], Accounts[ID], Accounts[Account nickname], "Unknown")</f>
        <v>Discover it chrome Card</v>
      </c>
      <c r="H467" s="137" t="str">
        <f>_xlfn.XLOOKUP(Table1[[#This Row],[Account_ID]], Accounts[ID], Accounts[Account'#], "Unknown")</f>
        <v>7328</v>
      </c>
      <c r="I467" s="168" t="str">
        <f>_xlfn.XLOOKUP(Table1[[#This Row],[Institution_ID]], Institutions[ID], Institutions[Institution nickname], "Unknown")</f>
        <v>Discover</v>
      </c>
      <c r="J467" s="139" t="s">
        <v>536</v>
      </c>
      <c r="K467" s="129" t="s">
        <v>110</v>
      </c>
      <c r="L467" s="129" t="s">
        <v>108</v>
      </c>
      <c r="M467" s="130" t="str" cm="1">
        <f t="array" ref="M467">IFERROR(INDEX(CategoriesTable[Category type],MATCH(Table1[[#This Row],[Category]],CategoriesTable[Category name],0),0),"")</f>
        <v>Expense</v>
      </c>
      <c r="N467" s="130" t="str" cm="1">
        <f t="array" ref="N467">IFERROR(INDEX(SubcategoriesTable[Subcategory name],MATCH(Table1[[#This Row],[Category]],SubcategoriesTable[Category name],0),0),"")</f>
        <v>Variable</v>
      </c>
      <c r="O467" s="130">
        <v>21</v>
      </c>
      <c r="P467" s="130">
        <f>MONTH(Table1[[#This Row],[Date]])</f>
        <v>10</v>
      </c>
      <c r="Q467" s="130">
        <v>2020</v>
      </c>
      <c r="R467" s="166">
        <f>IF(ISBLANK(Table1[[#This Row],[Date]]),"",Table1[[#This Row],[Date]]-WEEKDAY(Table1[[#This Row],[Date]],2)+1)</f>
        <v>44123</v>
      </c>
      <c r="S467" s="131">
        <f>IF(ISBLANK(Table1[[#This Row],[Date]]),"",DATE(Table1[[#This Row],[Date_Year]],Table1[[#This Row],[Date_Month]],1))</f>
        <v>44105</v>
      </c>
    </row>
    <row r="468" spans="2:19" ht="15.75" x14ac:dyDescent="0.25">
      <c r="B468" s="133">
        <v>44125</v>
      </c>
      <c r="C468" s="128" t="s">
        <v>537</v>
      </c>
      <c r="D468" s="128" t="s">
        <v>56</v>
      </c>
      <c r="E468" s="128" t="str" cm="1">
        <f t="array" ref="E468">IFERROR(INDEX(SubcategoriesTable[Subcategory name],MATCH(Table1[[#This Row],[Category]],SubcategoriesTable[Category name],0),0),"")</f>
        <v>Variable</v>
      </c>
      <c r="F468" s="134">
        <v>-7.75</v>
      </c>
      <c r="G468" s="167" t="str">
        <f>_xlfn.XLOOKUP(Table1[[#This Row],[Account_ID]], Accounts[ID], Accounts[Account nickname], "Unknown")</f>
        <v>Discover it chrome Card</v>
      </c>
      <c r="H468" s="137" t="str">
        <f>_xlfn.XLOOKUP(Table1[[#This Row],[Account_ID]], Accounts[ID], Accounts[Account'#], "Unknown")</f>
        <v>7328</v>
      </c>
      <c r="I468" s="168" t="str">
        <f>_xlfn.XLOOKUP(Table1[[#This Row],[Institution_ID]], Institutions[ID], Institutions[Institution nickname], "Unknown")</f>
        <v>Discover</v>
      </c>
      <c r="J468" s="139" t="s">
        <v>538</v>
      </c>
      <c r="K468" s="129" t="s">
        <v>110</v>
      </c>
      <c r="L468" s="129" t="s">
        <v>108</v>
      </c>
      <c r="M468" s="130" t="str" cm="1">
        <f t="array" ref="M468">IFERROR(INDEX(CategoriesTable[Category type],MATCH(Table1[[#This Row],[Category]],CategoriesTable[Category name],0),0),"")</f>
        <v>Expense</v>
      </c>
      <c r="N468" s="130" t="str" cm="1">
        <f t="array" ref="N468">IFERROR(INDEX(SubcategoriesTable[Subcategory name],MATCH(Table1[[#This Row],[Category]],SubcategoriesTable[Category name],0),0),"")</f>
        <v>Variable</v>
      </c>
      <c r="O468" s="130">
        <v>21</v>
      </c>
      <c r="P468" s="130">
        <f>MONTH(Table1[[#This Row],[Date]])</f>
        <v>10</v>
      </c>
      <c r="Q468" s="130">
        <v>2020</v>
      </c>
      <c r="R468" s="166">
        <f>IF(ISBLANK(Table1[[#This Row],[Date]]),"",Table1[[#This Row],[Date]]-WEEKDAY(Table1[[#This Row],[Date]],2)+1)</f>
        <v>44123</v>
      </c>
      <c r="S468" s="131">
        <f>IF(ISBLANK(Table1[[#This Row],[Date]]),"",DATE(Table1[[#This Row],[Date_Year]],Table1[[#This Row],[Date_Month]],1))</f>
        <v>44105</v>
      </c>
    </row>
    <row r="469" spans="2:19" ht="15.75" x14ac:dyDescent="0.25">
      <c r="B469" s="133">
        <v>44124</v>
      </c>
      <c r="C469" s="128" t="s">
        <v>441</v>
      </c>
      <c r="D469" s="128" t="s">
        <v>56</v>
      </c>
      <c r="E469" s="128" t="str" cm="1">
        <f t="array" ref="E469">IFERROR(INDEX(SubcategoriesTable[Subcategory name],MATCH(Table1[[#This Row],[Category]],SubcategoriesTable[Category name],0),0),"")</f>
        <v>Variable</v>
      </c>
      <c r="F469" s="134">
        <v>-25</v>
      </c>
      <c r="G469" s="167" t="str">
        <f>_xlfn.XLOOKUP(Table1[[#This Row],[Account_ID]], Accounts[ID], Accounts[Account nickname], "Unknown")</f>
        <v>EVERYDAY CHECKING</v>
      </c>
      <c r="H469" s="137" t="str">
        <f>_xlfn.XLOOKUP(Table1[[#This Row],[Account_ID]], Accounts[ID], Accounts[Account'#], "Unknown")</f>
        <v>4636</v>
      </c>
      <c r="I469" s="168" t="str">
        <f>_xlfn.XLOOKUP(Table1[[#This Row],[Institution_ID]], Institutions[ID], Institutions[Institution nickname], "Unknown")</f>
        <v>Wells Fargo</v>
      </c>
      <c r="J469" s="139" t="s">
        <v>1481</v>
      </c>
      <c r="K469" s="129" t="s">
        <v>1229</v>
      </c>
      <c r="L469" s="129" t="s">
        <v>1228</v>
      </c>
      <c r="M469" s="130" t="str" cm="1">
        <f t="array" ref="M469">IFERROR(INDEX(CategoriesTable[Category type],MATCH(Table1[[#This Row],[Category]],CategoriesTable[Category name],0),0),"")</f>
        <v>Expense</v>
      </c>
      <c r="N469" s="130" t="str" cm="1">
        <f t="array" ref="N469">IFERROR(INDEX(SubcategoriesTable[Subcategory name],MATCH(Table1[[#This Row],[Category]],SubcategoriesTable[Category name],0),0),"")</f>
        <v>Variable</v>
      </c>
      <c r="O469" s="130">
        <v>20</v>
      </c>
      <c r="P469" s="130">
        <f>MONTH(Table1[[#This Row],[Date]])</f>
        <v>10</v>
      </c>
      <c r="Q469" s="130">
        <v>2020</v>
      </c>
      <c r="R469" s="166">
        <f>IF(ISBLANK(Table1[[#This Row],[Date]]),"",Table1[[#This Row],[Date]]-WEEKDAY(Table1[[#This Row],[Date]],2)+1)</f>
        <v>44123</v>
      </c>
      <c r="S469" s="131">
        <f>IF(ISBLANK(Table1[[#This Row],[Date]]),"",DATE(Table1[[#This Row],[Date_Year]],Table1[[#This Row],[Date_Month]],1))</f>
        <v>44105</v>
      </c>
    </row>
    <row r="470" spans="2:19" ht="15.75" x14ac:dyDescent="0.25">
      <c r="B470" s="133">
        <v>44123</v>
      </c>
      <c r="C470" s="128" t="s">
        <v>1482</v>
      </c>
      <c r="D470" s="128" t="s">
        <v>56</v>
      </c>
      <c r="E470" s="128" t="str" cm="1">
        <f t="array" ref="E470">IFERROR(INDEX(SubcategoriesTable[Subcategory name],MATCH(Table1[[#This Row],[Category]],SubcategoriesTable[Category name],0),0),"")</f>
        <v>Variable</v>
      </c>
      <c r="F470" s="134">
        <v>-100</v>
      </c>
      <c r="G470" s="167" t="str">
        <f>_xlfn.XLOOKUP(Table1[[#This Row],[Account_ID]], Accounts[ID], Accounts[Account nickname], "Unknown")</f>
        <v>EVERYDAY CHECKING</v>
      </c>
      <c r="H470" s="137" t="str">
        <f>_xlfn.XLOOKUP(Table1[[#This Row],[Account_ID]], Accounts[ID], Accounts[Account'#], "Unknown")</f>
        <v>4636</v>
      </c>
      <c r="I470" s="168" t="str">
        <f>_xlfn.XLOOKUP(Table1[[#This Row],[Institution_ID]], Institutions[ID], Institutions[Institution nickname], "Unknown")</f>
        <v>Wells Fargo</v>
      </c>
      <c r="J470" s="139" t="s">
        <v>1483</v>
      </c>
      <c r="K470" s="129" t="s">
        <v>1229</v>
      </c>
      <c r="L470" s="129" t="s">
        <v>1228</v>
      </c>
      <c r="M470" s="130" t="str" cm="1">
        <f t="array" ref="M470">IFERROR(INDEX(CategoriesTable[Category type],MATCH(Table1[[#This Row],[Category]],CategoriesTable[Category name],0),0),"")</f>
        <v>Expense</v>
      </c>
      <c r="N470" s="130" t="str" cm="1">
        <f t="array" ref="N470">IFERROR(INDEX(SubcategoriesTable[Subcategory name],MATCH(Table1[[#This Row],[Category]],SubcategoriesTable[Category name],0),0),"")</f>
        <v>Variable</v>
      </c>
      <c r="O470" s="130">
        <v>19</v>
      </c>
      <c r="P470" s="130">
        <f>MONTH(Table1[[#This Row],[Date]])</f>
        <v>10</v>
      </c>
      <c r="Q470" s="130">
        <v>2020</v>
      </c>
      <c r="R470" s="166">
        <f>IF(ISBLANK(Table1[[#This Row],[Date]]),"",Table1[[#This Row],[Date]]-WEEKDAY(Table1[[#This Row],[Date]],2)+1)</f>
        <v>44123</v>
      </c>
      <c r="S470" s="131">
        <f>IF(ISBLANK(Table1[[#This Row],[Date]]),"",DATE(Table1[[#This Row],[Date_Year]],Table1[[#This Row],[Date_Month]],1))</f>
        <v>44105</v>
      </c>
    </row>
    <row r="471" spans="2:19" ht="15.75" x14ac:dyDescent="0.25">
      <c r="B471" s="133">
        <v>44123</v>
      </c>
      <c r="C471" s="128" t="s">
        <v>1185</v>
      </c>
      <c r="D471" s="128" t="s">
        <v>57</v>
      </c>
      <c r="E471" s="128" t="str" cm="1">
        <f t="array" ref="E471">IFERROR(INDEX(SubcategoriesTable[Subcategory name],MATCH(Table1[[#This Row],[Category]],SubcategoriesTable[Category name],0),0),"")</f>
        <v>Variable</v>
      </c>
      <c r="F471" s="134">
        <v>285</v>
      </c>
      <c r="G471" s="167" t="str">
        <f>_xlfn.XLOOKUP(Table1[[#This Row],[Account_ID]], Accounts[ID], Accounts[Account nickname], "Unknown")</f>
        <v>EVERYDAY CHECKING</v>
      </c>
      <c r="H471" s="137" t="str">
        <f>_xlfn.XLOOKUP(Table1[[#This Row],[Account_ID]], Accounts[ID], Accounts[Account'#], "Unknown")</f>
        <v>4636</v>
      </c>
      <c r="I471" s="168" t="str">
        <f>_xlfn.XLOOKUP(Table1[[#This Row],[Institution_ID]], Institutions[ID], Institutions[Institution nickname], "Unknown")</f>
        <v>Wells Fargo</v>
      </c>
      <c r="J471" s="139" t="s">
        <v>1484</v>
      </c>
      <c r="K471" s="129" t="s">
        <v>1229</v>
      </c>
      <c r="L471" s="129" t="s">
        <v>1228</v>
      </c>
      <c r="M471" s="130" t="str" cm="1">
        <f t="array" ref="M471">IFERROR(INDEX(CategoriesTable[Category type],MATCH(Table1[[#This Row],[Category]],CategoriesTable[Category name],0),0),"")</f>
        <v>Transfer</v>
      </c>
      <c r="N471" s="130" t="str" cm="1">
        <f t="array" ref="N471">IFERROR(INDEX(SubcategoriesTable[Subcategory name],MATCH(Table1[[#This Row],[Category]],SubcategoriesTable[Category name],0),0),"")</f>
        <v>Variable</v>
      </c>
      <c r="O471" s="130">
        <v>19</v>
      </c>
      <c r="P471" s="130">
        <f>MONTH(Table1[[#This Row],[Date]])</f>
        <v>10</v>
      </c>
      <c r="Q471" s="130">
        <v>2020</v>
      </c>
      <c r="R471" s="166">
        <f>IF(ISBLANK(Table1[[#This Row],[Date]]),"",Table1[[#This Row],[Date]]-WEEKDAY(Table1[[#This Row],[Date]],2)+1)</f>
        <v>44123</v>
      </c>
      <c r="S471" s="131">
        <f>IF(ISBLANK(Table1[[#This Row],[Date]]),"",DATE(Table1[[#This Row],[Date_Year]],Table1[[#This Row],[Date_Month]],1))</f>
        <v>44105</v>
      </c>
    </row>
    <row r="472" spans="2:19" ht="15.75" x14ac:dyDescent="0.25">
      <c r="B472" s="133">
        <v>44123</v>
      </c>
      <c r="C472" s="128" t="s">
        <v>256</v>
      </c>
      <c r="D472" s="128" t="s">
        <v>46</v>
      </c>
      <c r="E472" s="128" t="str" cm="1">
        <f t="array" ref="E472">IFERROR(INDEX(SubcategoriesTable[Subcategory name],MATCH(Table1[[#This Row],[Category]],SubcategoriesTable[Category name],0),0),"")</f>
        <v>Variable</v>
      </c>
      <c r="F472" s="134">
        <v>-2.48</v>
      </c>
      <c r="G472" s="167" t="str">
        <f>_xlfn.XLOOKUP(Table1[[#This Row],[Account_ID]], Accounts[ID], Accounts[Account nickname], "Unknown")</f>
        <v>Discover it chrome Card</v>
      </c>
      <c r="H472" s="137" t="str">
        <f>_xlfn.XLOOKUP(Table1[[#This Row],[Account_ID]], Accounts[ID], Accounts[Account'#], "Unknown")</f>
        <v>7328</v>
      </c>
      <c r="I472" s="168" t="str">
        <f>_xlfn.XLOOKUP(Table1[[#This Row],[Institution_ID]], Institutions[ID], Institutions[Institution nickname], "Unknown")</f>
        <v>Discover</v>
      </c>
      <c r="J472" s="139" t="s">
        <v>539</v>
      </c>
      <c r="K472" s="129" t="s">
        <v>110</v>
      </c>
      <c r="L472" s="129" t="s">
        <v>108</v>
      </c>
      <c r="M472" s="130" t="str" cm="1">
        <f t="array" ref="M472">IFERROR(INDEX(CategoriesTable[Category type],MATCH(Table1[[#This Row],[Category]],CategoriesTable[Category name],0),0),"")</f>
        <v>Expense</v>
      </c>
      <c r="N472" s="130" t="str" cm="1">
        <f t="array" ref="N472">IFERROR(INDEX(SubcategoriesTable[Subcategory name],MATCH(Table1[[#This Row],[Category]],SubcategoriesTable[Category name],0),0),"")</f>
        <v>Variable</v>
      </c>
      <c r="O472" s="130">
        <v>19</v>
      </c>
      <c r="P472" s="130">
        <f>MONTH(Table1[[#This Row],[Date]])</f>
        <v>10</v>
      </c>
      <c r="Q472" s="130">
        <v>2020</v>
      </c>
      <c r="R472" s="166">
        <f>IF(ISBLANK(Table1[[#This Row],[Date]]),"",Table1[[#This Row],[Date]]-WEEKDAY(Table1[[#This Row],[Date]],2)+1)</f>
        <v>44123</v>
      </c>
      <c r="S472" s="131">
        <f>IF(ISBLANK(Table1[[#This Row],[Date]]),"",DATE(Table1[[#This Row],[Date_Year]],Table1[[#This Row],[Date_Month]],1))</f>
        <v>44105</v>
      </c>
    </row>
    <row r="473" spans="2:19" ht="15.75" x14ac:dyDescent="0.25">
      <c r="B473" s="133">
        <v>44123</v>
      </c>
      <c r="C473" s="128" t="s">
        <v>256</v>
      </c>
      <c r="D473" s="128" t="s">
        <v>46</v>
      </c>
      <c r="E473" s="128" t="str" cm="1">
        <f t="array" ref="E473">IFERROR(INDEX(SubcategoriesTable[Subcategory name],MATCH(Table1[[#This Row],[Category]],SubcategoriesTable[Category name],0),0),"")</f>
        <v>Variable</v>
      </c>
      <c r="F473" s="134">
        <v>-46.11</v>
      </c>
      <c r="G473" s="167" t="str">
        <f>_xlfn.XLOOKUP(Table1[[#This Row],[Account_ID]], Accounts[ID], Accounts[Account nickname], "Unknown")</f>
        <v>Discover it chrome Card</v>
      </c>
      <c r="H473" s="137" t="str">
        <f>_xlfn.XLOOKUP(Table1[[#This Row],[Account_ID]], Accounts[ID], Accounts[Account'#], "Unknown")</f>
        <v>7328</v>
      </c>
      <c r="I473" s="168" t="str">
        <f>_xlfn.XLOOKUP(Table1[[#This Row],[Institution_ID]], Institutions[ID], Institutions[Institution nickname], "Unknown")</f>
        <v>Discover</v>
      </c>
      <c r="J473" s="139" t="s">
        <v>540</v>
      </c>
      <c r="K473" s="129" t="s">
        <v>110</v>
      </c>
      <c r="L473" s="129" t="s">
        <v>108</v>
      </c>
      <c r="M473" s="130" t="str" cm="1">
        <f t="array" ref="M473">IFERROR(INDEX(CategoriesTable[Category type],MATCH(Table1[[#This Row],[Category]],CategoriesTable[Category name],0),0),"")</f>
        <v>Expense</v>
      </c>
      <c r="N473" s="130" t="str" cm="1">
        <f t="array" ref="N473">IFERROR(INDEX(SubcategoriesTable[Subcategory name],MATCH(Table1[[#This Row],[Category]],SubcategoriesTable[Category name],0),0),"")</f>
        <v>Variable</v>
      </c>
      <c r="O473" s="130">
        <v>19</v>
      </c>
      <c r="P473" s="130">
        <f>MONTH(Table1[[#This Row],[Date]])</f>
        <v>10</v>
      </c>
      <c r="Q473" s="130">
        <v>2020</v>
      </c>
      <c r="R473" s="166">
        <f>IF(ISBLANK(Table1[[#This Row],[Date]]),"",Table1[[#This Row],[Date]]-WEEKDAY(Table1[[#This Row],[Date]],2)+1)</f>
        <v>44123</v>
      </c>
      <c r="S473" s="131">
        <f>IF(ISBLANK(Table1[[#This Row],[Date]]),"",DATE(Table1[[#This Row],[Date_Year]],Table1[[#This Row],[Date_Month]],1))</f>
        <v>44105</v>
      </c>
    </row>
    <row r="474" spans="2:19" ht="15.75" x14ac:dyDescent="0.25">
      <c r="B474" s="133">
        <v>44123</v>
      </c>
      <c r="C474" s="128" t="s">
        <v>541</v>
      </c>
      <c r="D474" s="128" t="s">
        <v>46</v>
      </c>
      <c r="E474" s="128" t="str" cm="1">
        <f t="array" ref="E474">IFERROR(INDEX(SubcategoriesTable[Subcategory name],MATCH(Table1[[#This Row],[Category]],SubcategoriesTable[Category name],0),0),"")</f>
        <v>Variable</v>
      </c>
      <c r="F474" s="134">
        <v>-180.19</v>
      </c>
      <c r="G474" s="167" t="str">
        <f>_xlfn.XLOOKUP(Table1[[#This Row],[Account_ID]], Accounts[ID], Accounts[Account nickname], "Unknown")</f>
        <v>Discover it chrome Card</v>
      </c>
      <c r="H474" s="137" t="str">
        <f>_xlfn.XLOOKUP(Table1[[#This Row],[Account_ID]], Accounts[ID], Accounts[Account'#], "Unknown")</f>
        <v>7328</v>
      </c>
      <c r="I474" s="168" t="str">
        <f>_xlfn.XLOOKUP(Table1[[#This Row],[Institution_ID]], Institutions[ID], Institutions[Institution nickname], "Unknown")</f>
        <v>Discover</v>
      </c>
      <c r="J474" s="139" t="s">
        <v>542</v>
      </c>
      <c r="K474" s="129" t="s">
        <v>110</v>
      </c>
      <c r="L474" s="129" t="s">
        <v>108</v>
      </c>
      <c r="M474" s="130" t="str" cm="1">
        <f t="array" ref="M474">IFERROR(INDEX(CategoriesTable[Category type],MATCH(Table1[[#This Row],[Category]],CategoriesTable[Category name],0),0),"")</f>
        <v>Expense</v>
      </c>
      <c r="N474" s="130" t="str" cm="1">
        <f t="array" ref="N474">IFERROR(INDEX(SubcategoriesTable[Subcategory name],MATCH(Table1[[#This Row],[Category]],SubcategoriesTable[Category name],0),0),"")</f>
        <v>Variable</v>
      </c>
      <c r="O474" s="130">
        <v>19</v>
      </c>
      <c r="P474" s="130">
        <f>MONTH(Table1[[#This Row],[Date]])</f>
        <v>10</v>
      </c>
      <c r="Q474" s="130">
        <v>2020</v>
      </c>
      <c r="R474" s="166">
        <f>IF(ISBLANK(Table1[[#This Row],[Date]]),"",Table1[[#This Row],[Date]]-WEEKDAY(Table1[[#This Row],[Date]],2)+1)</f>
        <v>44123</v>
      </c>
      <c r="S474" s="131">
        <f>IF(ISBLANK(Table1[[#This Row],[Date]]),"",DATE(Table1[[#This Row],[Date_Year]],Table1[[#This Row],[Date_Month]],1))</f>
        <v>44105</v>
      </c>
    </row>
    <row r="475" spans="2:19" ht="15.75" x14ac:dyDescent="0.25">
      <c r="B475" s="133">
        <v>44123</v>
      </c>
      <c r="C475" s="128" t="s">
        <v>195</v>
      </c>
      <c r="D475" s="128" t="s">
        <v>48</v>
      </c>
      <c r="E475" s="128" t="str" cm="1">
        <f t="array" ref="E475">IFERROR(INDEX(SubcategoriesTable[Subcategory name],MATCH(Table1[[#This Row],[Category]],SubcategoriesTable[Category name],0),0),"")</f>
        <v>Variable</v>
      </c>
      <c r="F475" s="134">
        <v>-12.02</v>
      </c>
      <c r="G475" s="167" t="str">
        <f>_xlfn.XLOOKUP(Table1[[#This Row],[Account_ID]], Accounts[ID], Accounts[Account nickname], "Unknown")</f>
        <v>Discover it chrome Card</v>
      </c>
      <c r="H475" s="137" t="str">
        <f>_xlfn.XLOOKUP(Table1[[#This Row],[Account_ID]], Accounts[ID], Accounts[Account'#], "Unknown")</f>
        <v>7328</v>
      </c>
      <c r="I475" s="168" t="str">
        <f>_xlfn.XLOOKUP(Table1[[#This Row],[Institution_ID]], Institutions[ID], Institutions[Institution nickname], "Unknown")</f>
        <v>Discover</v>
      </c>
      <c r="J475" s="139" t="s">
        <v>543</v>
      </c>
      <c r="K475" s="129" t="s">
        <v>110</v>
      </c>
      <c r="L475" s="129" t="s">
        <v>108</v>
      </c>
      <c r="M475" s="130" t="str" cm="1">
        <f t="array" ref="M475">IFERROR(INDEX(CategoriesTable[Category type],MATCH(Table1[[#This Row],[Category]],CategoriesTable[Category name],0),0),"")</f>
        <v>Expense</v>
      </c>
      <c r="N475" s="130" t="str" cm="1">
        <f t="array" ref="N475">IFERROR(INDEX(SubcategoriesTable[Subcategory name],MATCH(Table1[[#This Row],[Category]],SubcategoriesTable[Category name],0),0),"")</f>
        <v>Variable</v>
      </c>
      <c r="O475" s="130">
        <v>19</v>
      </c>
      <c r="P475" s="130">
        <f>MONTH(Table1[[#This Row],[Date]])</f>
        <v>10</v>
      </c>
      <c r="Q475" s="130">
        <v>2020</v>
      </c>
      <c r="R475" s="166">
        <f>IF(ISBLANK(Table1[[#This Row],[Date]]),"",Table1[[#This Row],[Date]]-WEEKDAY(Table1[[#This Row],[Date]],2)+1)</f>
        <v>44123</v>
      </c>
      <c r="S475" s="131">
        <f>IF(ISBLANK(Table1[[#This Row],[Date]]),"",DATE(Table1[[#This Row],[Date_Year]],Table1[[#This Row],[Date_Month]],1))</f>
        <v>44105</v>
      </c>
    </row>
    <row r="476" spans="2:19" ht="15.75" x14ac:dyDescent="0.25">
      <c r="B476" s="133">
        <v>44122</v>
      </c>
      <c r="C476" s="128" t="s">
        <v>544</v>
      </c>
      <c r="D476" s="128" t="s">
        <v>58</v>
      </c>
      <c r="E476" s="128" t="str" cm="1">
        <f t="array" ref="E476">IFERROR(INDEX(SubcategoriesTable[Subcategory name],MATCH(Table1[[#This Row],[Category]],SubcategoriesTable[Category name],0),0),"")</f>
        <v>Fixed</v>
      </c>
      <c r="F476" s="134">
        <v>-40</v>
      </c>
      <c r="G476" s="167" t="str">
        <f>_xlfn.XLOOKUP(Table1[[#This Row],[Account_ID]], Accounts[ID], Accounts[Account nickname], "Unknown")</f>
        <v>Discover it chrome Card</v>
      </c>
      <c r="H476" s="137" t="str">
        <f>_xlfn.XLOOKUP(Table1[[#This Row],[Account_ID]], Accounts[ID], Accounts[Account'#], "Unknown")</f>
        <v>7328</v>
      </c>
      <c r="I476" s="168" t="str">
        <f>_xlfn.XLOOKUP(Table1[[#This Row],[Institution_ID]], Institutions[ID], Institutions[Institution nickname], "Unknown")</f>
        <v>Discover</v>
      </c>
      <c r="J476" s="139" t="s">
        <v>545</v>
      </c>
      <c r="K476" s="129" t="s">
        <v>110</v>
      </c>
      <c r="L476" s="129" t="s">
        <v>108</v>
      </c>
      <c r="M476" s="130" t="str" cm="1">
        <f t="array" ref="M476">IFERROR(INDEX(CategoriesTable[Category type],MATCH(Table1[[#This Row],[Category]],CategoriesTable[Category name],0),0),"")</f>
        <v>Expense</v>
      </c>
      <c r="N476" s="130" t="str" cm="1">
        <f t="array" ref="N476">IFERROR(INDEX(SubcategoriesTable[Subcategory name],MATCH(Table1[[#This Row],[Category]],SubcategoriesTable[Category name],0),0),"")</f>
        <v>Fixed</v>
      </c>
      <c r="O476" s="130">
        <v>18</v>
      </c>
      <c r="P476" s="130">
        <f>MONTH(Table1[[#This Row],[Date]])</f>
        <v>10</v>
      </c>
      <c r="Q476" s="130">
        <v>2020</v>
      </c>
      <c r="R476" s="166">
        <f>IF(ISBLANK(Table1[[#This Row],[Date]]),"",Table1[[#This Row],[Date]]-WEEKDAY(Table1[[#This Row],[Date]],2)+1)</f>
        <v>44116</v>
      </c>
      <c r="S476" s="131">
        <f>IF(ISBLANK(Table1[[#This Row],[Date]]),"",DATE(Table1[[#This Row],[Date_Year]],Table1[[#This Row],[Date_Month]],1))</f>
        <v>44105</v>
      </c>
    </row>
    <row r="477" spans="2:19" ht="15.75" x14ac:dyDescent="0.25">
      <c r="B477" s="133">
        <v>44122</v>
      </c>
      <c r="C477" s="128" t="s">
        <v>546</v>
      </c>
      <c r="D477" s="128" t="s">
        <v>48</v>
      </c>
      <c r="E477" s="128" t="str" cm="1">
        <f t="array" ref="E477">IFERROR(INDEX(SubcategoriesTable[Subcategory name],MATCH(Table1[[#This Row],[Category]],SubcategoriesTable[Category name],0),0),"")</f>
        <v>Variable</v>
      </c>
      <c r="F477" s="134">
        <v>-8.31</v>
      </c>
      <c r="G477" s="167" t="str">
        <f>_xlfn.XLOOKUP(Table1[[#This Row],[Account_ID]], Accounts[ID], Accounts[Account nickname], "Unknown")</f>
        <v>Discover it chrome Card</v>
      </c>
      <c r="H477" s="137" t="str">
        <f>_xlfn.XLOOKUP(Table1[[#This Row],[Account_ID]], Accounts[ID], Accounts[Account'#], "Unknown")</f>
        <v>7328</v>
      </c>
      <c r="I477" s="168" t="str">
        <f>_xlfn.XLOOKUP(Table1[[#This Row],[Institution_ID]], Institutions[ID], Institutions[Institution nickname], "Unknown")</f>
        <v>Discover</v>
      </c>
      <c r="J477" s="139" t="s">
        <v>547</v>
      </c>
      <c r="K477" s="129" t="s">
        <v>110</v>
      </c>
      <c r="L477" s="129" t="s">
        <v>108</v>
      </c>
      <c r="M477" s="130" t="str" cm="1">
        <f t="array" ref="M477">IFERROR(INDEX(CategoriesTable[Category type],MATCH(Table1[[#This Row],[Category]],CategoriesTable[Category name],0),0),"")</f>
        <v>Expense</v>
      </c>
      <c r="N477" s="130" t="str" cm="1">
        <f t="array" ref="N477">IFERROR(INDEX(SubcategoriesTable[Subcategory name],MATCH(Table1[[#This Row],[Category]],SubcategoriesTable[Category name],0),0),"")</f>
        <v>Variable</v>
      </c>
      <c r="O477" s="130">
        <v>18</v>
      </c>
      <c r="P477" s="130">
        <f>MONTH(Table1[[#This Row],[Date]])</f>
        <v>10</v>
      </c>
      <c r="Q477" s="130">
        <v>2020</v>
      </c>
      <c r="R477" s="166">
        <f>IF(ISBLANK(Table1[[#This Row],[Date]]),"",Table1[[#This Row],[Date]]-WEEKDAY(Table1[[#This Row],[Date]],2)+1)</f>
        <v>44116</v>
      </c>
      <c r="S477" s="131">
        <f>IF(ISBLANK(Table1[[#This Row],[Date]]),"",DATE(Table1[[#This Row],[Date_Year]],Table1[[#This Row],[Date_Month]],1))</f>
        <v>44105</v>
      </c>
    </row>
    <row r="478" spans="2:19" ht="15.75" x14ac:dyDescent="0.25">
      <c r="B478" s="133">
        <v>44121</v>
      </c>
      <c r="C478" s="128" t="s">
        <v>548</v>
      </c>
      <c r="D478" s="128" t="s">
        <v>50</v>
      </c>
      <c r="E478" s="128" t="str" cm="1">
        <f t="array" ref="E478">IFERROR(INDEX(SubcategoriesTable[Subcategory name],MATCH(Table1[[#This Row],[Category]],SubcategoriesTable[Category name],0),0),"")</f>
        <v>Variable</v>
      </c>
      <c r="F478" s="134">
        <v>-29</v>
      </c>
      <c r="G478" s="167" t="str">
        <f>_xlfn.XLOOKUP(Table1[[#This Row],[Account_ID]], Accounts[ID], Accounts[Account nickname], "Unknown")</f>
        <v>Discover it chrome Card</v>
      </c>
      <c r="H478" s="137" t="str">
        <f>_xlfn.XLOOKUP(Table1[[#This Row],[Account_ID]], Accounts[ID], Accounts[Account'#], "Unknown")</f>
        <v>7328</v>
      </c>
      <c r="I478" s="168" t="str">
        <f>_xlfn.XLOOKUP(Table1[[#This Row],[Institution_ID]], Institutions[ID], Institutions[Institution nickname], "Unknown")</f>
        <v>Discover</v>
      </c>
      <c r="J478" s="139" t="s">
        <v>549</v>
      </c>
      <c r="K478" s="129" t="s">
        <v>110</v>
      </c>
      <c r="L478" s="129" t="s">
        <v>108</v>
      </c>
      <c r="M478" s="130" t="str" cm="1">
        <f t="array" ref="M478">IFERROR(INDEX(CategoriesTable[Category type],MATCH(Table1[[#This Row],[Category]],CategoriesTable[Category name],0),0),"")</f>
        <v>Transfer</v>
      </c>
      <c r="N478" s="130" t="str" cm="1">
        <f t="array" ref="N478">IFERROR(INDEX(SubcategoriesTable[Subcategory name],MATCH(Table1[[#This Row],[Category]],SubcategoriesTable[Category name],0),0),"")</f>
        <v>Variable</v>
      </c>
      <c r="O478" s="130">
        <v>17</v>
      </c>
      <c r="P478" s="130">
        <f>MONTH(Table1[[#This Row],[Date]])</f>
        <v>10</v>
      </c>
      <c r="Q478" s="130">
        <v>2020</v>
      </c>
      <c r="R478" s="166">
        <f>IF(ISBLANK(Table1[[#This Row],[Date]]),"",Table1[[#This Row],[Date]]-WEEKDAY(Table1[[#This Row],[Date]],2)+1)</f>
        <v>44116</v>
      </c>
      <c r="S478" s="131">
        <f>IF(ISBLANK(Table1[[#This Row],[Date]]),"",DATE(Table1[[#This Row],[Date_Year]],Table1[[#This Row],[Date_Month]],1))</f>
        <v>44105</v>
      </c>
    </row>
    <row r="479" spans="2:19" ht="15.75" x14ac:dyDescent="0.25">
      <c r="B479" s="133">
        <v>44121</v>
      </c>
      <c r="C479" s="128" t="s">
        <v>119</v>
      </c>
      <c r="D479" s="128" t="s">
        <v>52</v>
      </c>
      <c r="E479" s="128" t="str" cm="1">
        <f t="array" ref="E479">IFERROR(INDEX(SubcategoriesTable[Subcategory name],MATCH(Table1[[#This Row],[Category]],SubcategoriesTable[Category name],0),0),"")</f>
        <v>Variable</v>
      </c>
      <c r="F479" s="134">
        <v>-12.23</v>
      </c>
      <c r="G479" s="167" t="str">
        <f>_xlfn.XLOOKUP(Table1[[#This Row],[Account_ID]], Accounts[ID], Accounts[Account nickname], "Unknown")</f>
        <v>Discover it chrome Card</v>
      </c>
      <c r="H479" s="137" t="str">
        <f>_xlfn.XLOOKUP(Table1[[#This Row],[Account_ID]], Accounts[ID], Accounts[Account'#], "Unknown")</f>
        <v>7328</v>
      </c>
      <c r="I479" s="168" t="str">
        <f>_xlfn.XLOOKUP(Table1[[#This Row],[Institution_ID]], Institutions[ID], Institutions[Institution nickname], "Unknown")</f>
        <v>Discover</v>
      </c>
      <c r="J479" s="139" t="s">
        <v>550</v>
      </c>
      <c r="K479" s="129" t="s">
        <v>110</v>
      </c>
      <c r="L479" s="129" t="s">
        <v>108</v>
      </c>
      <c r="M479" s="130" t="str" cm="1">
        <f t="array" ref="M479">IFERROR(INDEX(CategoriesTable[Category type],MATCH(Table1[[#This Row],[Category]],CategoriesTable[Category name],0),0),"")</f>
        <v>Expense</v>
      </c>
      <c r="N479" s="130" t="str" cm="1">
        <f t="array" ref="N479">IFERROR(INDEX(SubcategoriesTable[Subcategory name],MATCH(Table1[[#This Row],[Category]],SubcategoriesTable[Category name],0),0),"")</f>
        <v>Variable</v>
      </c>
      <c r="O479" s="130">
        <v>17</v>
      </c>
      <c r="P479" s="130">
        <f>MONTH(Table1[[#This Row],[Date]])</f>
        <v>10</v>
      </c>
      <c r="Q479" s="130">
        <v>2020</v>
      </c>
      <c r="R479" s="166">
        <f>IF(ISBLANK(Table1[[#This Row],[Date]]),"",Table1[[#This Row],[Date]]-WEEKDAY(Table1[[#This Row],[Date]],2)+1)</f>
        <v>44116</v>
      </c>
      <c r="S479" s="131">
        <f>IF(ISBLANK(Table1[[#This Row],[Date]]),"",DATE(Table1[[#This Row],[Date_Year]],Table1[[#This Row],[Date_Month]],1))</f>
        <v>44105</v>
      </c>
    </row>
    <row r="480" spans="2:19" ht="15.75" x14ac:dyDescent="0.25">
      <c r="B480" s="133">
        <v>44121</v>
      </c>
      <c r="C480" s="128" t="s">
        <v>551</v>
      </c>
      <c r="D480" s="128" t="s">
        <v>50</v>
      </c>
      <c r="E480" s="128" t="str" cm="1">
        <f t="array" ref="E480">IFERROR(INDEX(SubcategoriesTable[Subcategory name],MATCH(Table1[[#This Row],[Category]],SubcategoriesTable[Category name],0),0),"")</f>
        <v>Variable</v>
      </c>
      <c r="F480" s="134">
        <v>-24.37</v>
      </c>
      <c r="G480" s="167" t="str">
        <f>_xlfn.XLOOKUP(Table1[[#This Row],[Account_ID]], Accounts[ID], Accounts[Account nickname], "Unknown")</f>
        <v>Discover it chrome Card</v>
      </c>
      <c r="H480" s="137" t="str">
        <f>_xlfn.XLOOKUP(Table1[[#This Row],[Account_ID]], Accounts[ID], Accounts[Account'#], "Unknown")</f>
        <v>7328</v>
      </c>
      <c r="I480" s="168" t="str">
        <f>_xlfn.XLOOKUP(Table1[[#This Row],[Institution_ID]], Institutions[ID], Institutions[Institution nickname], "Unknown")</f>
        <v>Discover</v>
      </c>
      <c r="J480" s="139" t="s">
        <v>552</v>
      </c>
      <c r="K480" s="129" t="s">
        <v>110</v>
      </c>
      <c r="L480" s="129" t="s">
        <v>108</v>
      </c>
      <c r="M480" s="130" t="str" cm="1">
        <f t="array" ref="M480">IFERROR(INDEX(CategoriesTable[Category type],MATCH(Table1[[#This Row],[Category]],CategoriesTable[Category name],0),0),"")</f>
        <v>Transfer</v>
      </c>
      <c r="N480" s="130" t="str" cm="1">
        <f t="array" ref="N480">IFERROR(INDEX(SubcategoriesTable[Subcategory name],MATCH(Table1[[#This Row],[Category]],SubcategoriesTable[Category name],0),0),"")</f>
        <v>Variable</v>
      </c>
      <c r="O480" s="130">
        <v>17</v>
      </c>
      <c r="P480" s="130">
        <f>MONTH(Table1[[#This Row],[Date]])</f>
        <v>10</v>
      </c>
      <c r="Q480" s="130">
        <v>2020</v>
      </c>
      <c r="R480" s="166">
        <f>IF(ISBLANK(Table1[[#This Row],[Date]]),"",Table1[[#This Row],[Date]]-WEEKDAY(Table1[[#This Row],[Date]],2)+1)</f>
        <v>44116</v>
      </c>
      <c r="S480" s="131">
        <f>IF(ISBLANK(Table1[[#This Row],[Date]]),"",DATE(Table1[[#This Row],[Date_Year]],Table1[[#This Row],[Date_Month]],1))</f>
        <v>44105</v>
      </c>
    </row>
    <row r="481" spans="2:19" ht="15.75" x14ac:dyDescent="0.25">
      <c r="B481" s="133">
        <v>44121</v>
      </c>
      <c r="C481" s="128" t="s">
        <v>195</v>
      </c>
      <c r="D481" s="128" t="s">
        <v>48</v>
      </c>
      <c r="E481" s="128" t="str" cm="1">
        <f t="array" ref="E481">IFERROR(INDEX(SubcategoriesTable[Subcategory name],MATCH(Table1[[#This Row],[Category]],SubcategoriesTable[Category name],0),0),"")</f>
        <v>Variable</v>
      </c>
      <c r="F481" s="134">
        <v>-14.82</v>
      </c>
      <c r="G481" s="167" t="str">
        <f>_xlfn.XLOOKUP(Table1[[#This Row],[Account_ID]], Accounts[ID], Accounts[Account nickname], "Unknown")</f>
        <v>Discover it chrome Card</v>
      </c>
      <c r="H481" s="137" t="str">
        <f>_xlfn.XLOOKUP(Table1[[#This Row],[Account_ID]], Accounts[ID], Accounts[Account'#], "Unknown")</f>
        <v>7328</v>
      </c>
      <c r="I481" s="168" t="str">
        <f>_xlfn.XLOOKUP(Table1[[#This Row],[Institution_ID]], Institutions[ID], Institutions[Institution nickname], "Unknown")</f>
        <v>Discover</v>
      </c>
      <c r="J481" s="139" t="s">
        <v>553</v>
      </c>
      <c r="K481" s="129" t="s">
        <v>110</v>
      </c>
      <c r="L481" s="129" t="s">
        <v>108</v>
      </c>
      <c r="M481" s="130" t="str" cm="1">
        <f t="array" ref="M481">IFERROR(INDEX(CategoriesTable[Category type],MATCH(Table1[[#This Row],[Category]],CategoriesTable[Category name],0),0),"")</f>
        <v>Expense</v>
      </c>
      <c r="N481" s="130" t="str" cm="1">
        <f t="array" ref="N481">IFERROR(INDEX(SubcategoriesTable[Subcategory name],MATCH(Table1[[#This Row],[Category]],SubcategoriesTable[Category name],0),0),"")</f>
        <v>Variable</v>
      </c>
      <c r="O481" s="130">
        <v>17</v>
      </c>
      <c r="P481" s="130">
        <f>MONTH(Table1[[#This Row],[Date]])</f>
        <v>10</v>
      </c>
      <c r="Q481" s="130">
        <v>2020</v>
      </c>
      <c r="R481" s="166">
        <f>IF(ISBLANK(Table1[[#This Row],[Date]]),"",Table1[[#This Row],[Date]]-WEEKDAY(Table1[[#This Row],[Date]],2)+1)</f>
        <v>44116</v>
      </c>
      <c r="S481" s="131">
        <f>IF(ISBLANK(Table1[[#This Row],[Date]]),"",DATE(Table1[[#This Row],[Date_Year]],Table1[[#This Row],[Date_Month]],1))</f>
        <v>44105</v>
      </c>
    </row>
    <row r="482" spans="2:19" ht="15.75" x14ac:dyDescent="0.25">
      <c r="B482" s="133">
        <v>44121</v>
      </c>
      <c r="C482" s="128" t="s">
        <v>554</v>
      </c>
      <c r="D482" s="128" t="s">
        <v>45</v>
      </c>
      <c r="E482" s="128" t="str" cm="1">
        <f t="array" ref="E482">IFERROR(INDEX(SubcategoriesTable[Subcategory name],MATCH(Table1[[#This Row],[Category]],SubcategoriesTable[Category name],0),0),"")</f>
        <v>Variable</v>
      </c>
      <c r="F482" s="134">
        <v>-32.69</v>
      </c>
      <c r="G482" s="167" t="str">
        <f>_xlfn.XLOOKUP(Table1[[#This Row],[Account_ID]], Accounts[ID], Accounts[Account nickname], "Unknown")</f>
        <v>Discover it chrome Card</v>
      </c>
      <c r="H482" s="137" t="str">
        <f>_xlfn.XLOOKUP(Table1[[#This Row],[Account_ID]], Accounts[ID], Accounts[Account'#], "Unknown")</f>
        <v>7328</v>
      </c>
      <c r="I482" s="168" t="str">
        <f>_xlfn.XLOOKUP(Table1[[#This Row],[Institution_ID]], Institutions[ID], Institutions[Institution nickname], "Unknown")</f>
        <v>Discover</v>
      </c>
      <c r="J482" s="139" t="s">
        <v>555</v>
      </c>
      <c r="K482" s="129" t="s">
        <v>110</v>
      </c>
      <c r="L482" s="129" t="s">
        <v>108</v>
      </c>
      <c r="M482" s="130" t="str" cm="1">
        <f t="array" ref="M482">IFERROR(INDEX(CategoriesTable[Category type],MATCH(Table1[[#This Row],[Category]],CategoriesTable[Category name],0),0),"")</f>
        <v>Expense</v>
      </c>
      <c r="N482" s="130" t="str" cm="1">
        <f t="array" ref="N482">IFERROR(INDEX(SubcategoriesTable[Subcategory name],MATCH(Table1[[#This Row],[Category]],SubcategoriesTable[Category name],0),0),"")</f>
        <v>Variable</v>
      </c>
      <c r="O482" s="130">
        <v>17</v>
      </c>
      <c r="P482" s="130">
        <f>MONTH(Table1[[#This Row],[Date]])</f>
        <v>10</v>
      </c>
      <c r="Q482" s="130">
        <v>2020</v>
      </c>
      <c r="R482" s="166">
        <f>IF(ISBLANK(Table1[[#This Row],[Date]]),"",Table1[[#This Row],[Date]]-WEEKDAY(Table1[[#This Row],[Date]],2)+1)</f>
        <v>44116</v>
      </c>
      <c r="S482" s="131">
        <f>IF(ISBLANK(Table1[[#This Row],[Date]]),"",DATE(Table1[[#This Row],[Date_Year]],Table1[[#This Row],[Date_Month]],1))</f>
        <v>44105</v>
      </c>
    </row>
    <row r="483" spans="2:19" ht="15.75" x14ac:dyDescent="0.25">
      <c r="B483" s="133">
        <v>44120</v>
      </c>
      <c r="C483" s="128" t="s">
        <v>1196</v>
      </c>
      <c r="D483" s="128" t="s">
        <v>56</v>
      </c>
      <c r="E483" s="128" t="str" cm="1">
        <f t="array" ref="E483">IFERROR(INDEX(SubcategoriesTable[Subcategory name],MATCH(Table1[[#This Row],[Category]],SubcategoriesTable[Category name],0),0),"")</f>
        <v>Variable</v>
      </c>
      <c r="F483" s="134">
        <v>-80</v>
      </c>
      <c r="G483" s="167" t="str">
        <f>_xlfn.XLOOKUP(Table1[[#This Row],[Account_ID]], Accounts[ID], Accounts[Account nickname], "Unknown")</f>
        <v>EVERYDAY CHECKING</v>
      </c>
      <c r="H483" s="137" t="str">
        <f>_xlfn.XLOOKUP(Table1[[#This Row],[Account_ID]], Accounts[ID], Accounts[Account'#], "Unknown")</f>
        <v>4636</v>
      </c>
      <c r="I483" s="168" t="str">
        <f>_xlfn.XLOOKUP(Table1[[#This Row],[Institution_ID]], Institutions[ID], Institutions[Institution nickname], "Unknown")</f>
        <v>Wells Fargo</v>
      </c>
      <c r="J483" s="139" t="s">
        <v>1485</v>
      </c>
      <c r="K483" s="129" t="s">
        <v>1229</v>
      </c>
      <c r="L483" s="129" t="s">
        <v>1228</v>
      </c>
      <c r="M483" s="130" t="str" cm="1">
        <f t="array" ref="M483">IFERROR(INDEX(CategoriesTable[Category type],MATCH(Table1[[#This Row],[Category]],CategoriesTable[Category name],0),0),"")</f>
        <v>Expense</v>
      </c>
      <c r="N483" s="130" t="str" cm="1">
        <f t="array" ref="N483">IFERROR(INDEX(SubcategoriesTable[Subcategory name],MATCH(Table1[[#This Row],[Category]],SubcategoriesTable[Category name],0),0),"")</f>
        <v>Variable</v>
      </c>
      <c r="O483" s="130">
        <v>16</v>
      </c>
      <c r="P483" s="130">
        <f>MONTH(Table1[[#This Row],[Date]])</f>
        <v>10</v>
      </c>
      <c r="Q483" s="130">
        <v>2020</v>
      </c>
      <c r="R483" s="166">
        <f>IF(ISBLANK(Table1[[#This Row],[Date]]),"",Table1[[#This Row],[Date]]-WEEKDAY(Table1[[#This Row],[Date]],2)+1)</f>
        <v>44116</v>
      </c>
      <c r="S483" s="131">
        <f>IF(ISBLANK(Table1[[#This Row],[Date]]),"",DATE(Table1[[#This Row],[Date_Year]],Table1[[#This Row],[Date_Month]],1))</f>
        <v>44105</v>
      </c>
    </row>
    <row r="484" spans="2:19" ht="15.75" x14ac:dyDescent="0.25">
      <c r="B484" s="133">
        <v>44120</v>
      </c>
      <c r="C484" s="128" t="s">
        <v>556</v>
      </c>
      <c r="D484" s="128" t="s">
        <v>50</v>
      </c>
      <c r="E484" s="128" t="str" cm="1">
        <f t="array" ref="E484">IFERROR(INDEX(SubcategoriesTable[Subcategory name],MATCH(Table1[[#This Row],[Category]],SubcategoriesTable[Category name],0),0),"")</f>
        <v>Variable</v>
      </c>
      <c r="F484" s="134">
        <v>-11.68</v>
      </c>
      <c r="G484" s="167" t="str">
        <f>_xlfn.XLOOKUP(Table1[[#This Row],[Account_ID]], Accounts[ID], Accounts[Account nickname], "Unknown")</f>
        <v>Discover it chrome Card</v>
      </c>
      <c r="H484" s="137" t="str">
        <f>_xlfn.XLOOKUP(Table1[[#This Row],[Account_ID]], Accounts[ID], Accounts[Account'#], "Unknown")</f>
        <v>7328</v>
      </c>
      <c r="I484" s="168" t="str">
        <f>_xlfn.XLOOKUP(Table1[[#This Row],[Institution_ID]], Institutions[ID], Institutions[Institution nickname], "Unknown")</f>
        <v>Discover</v>
      </c>
      <c r="J484" s="139" t="s">
        <v>557</v>
      </c>
      <c r="K484" s="129" t="s">
        <v>110</v>
      </c>
      <c r="L484" s="129" t="s">
        <v>108</v>
      </c>
      <c r="M484" s="130" t="str" cm="1">
        <f t="array" ref="M484">IFERROR(INDEX(CategoriesTable[Category type],MATCH(Table1[[#This Row],[Category]],CategoriesTable[Category name],0),0),"")</f>
        <v>Transfer</v>
      </c>
      <c r="N484" s="130" t="str" cm="1">
        <f t="array" ref="N484">IFERROR(INDEX(SubcategoriesTable[Subcategory name],MATCH(Table1[[#This Row],[Category]],SubcategoriesTable[Category name],0),0),"")</f>
        <v>Variable</v>
      </c>
      <c r="O484" s="130">
        <v>16</v>
      </c>
      <c r="P484" s="130">
        <f>MONTH(Table1[[#This Row],[Date]])</f>
        <v>10</v>
      </c>
      <c r="Q484" s="130">
        <v>2020</v>
      </c>
      <c r="R484" s="166">
        <f>IF(ISBLANK(Table1[[#This Row],[Date]]),"",Table1[[#This Row],[Date]]-WEEKDAY(Table1[[#This Row],[Date]],2)+1)</f>
        <v>44116</v>
      </c>
      <c r="S484" s="131">
        <f>IF(ISBLANK(Table1[[#This Row],[Date]]),"",DATE(Table1[[#This Row],[Date_Year]],Table1[[#This Row],[Date_Month]],1))</f>
        <v>44105</v>
      </c>
    </row>
    <row r="485" spans="2:19" ht="15.75" x14ac:dyDescent="0.25">
      <c r="B485" s="133">
        <v>44120</v>
      </c>
      <c r="C485" s="128" t="s">
        <v>556</v>
      </c>
      <c r="D485" s="128" t="s">
        <v>50</v>
      </c>
      <c r="E485" s="128" t="str" cm="1">
        <f t="array" ref="E485">IFERROR(INDEX(SubcategoriesTable[Subcategory name],MATCH(Table1[[#This Row],[Category]],SubcategoriesTable[Category name],0),0),"")</f>
        <v>Variable</v>
      </c>
      <c r="F485" s="134">
        <v>-22.74</v>
      </c>
      <c r="G485" s="167" t="str">
        <f>_xlfn.XLOOKUP(Table1[[#This Row],[Account_ID]], Accounts[ID], Accounts[Account nickname], "Unknown")</f>
        <v>Discover it chrome Card</v>
      </c>
      <c r="H485" s="137" t="str">
        <f>_xlfn.XLOOKUP(Table1[[#This Row],[Account_ID]], Accounts[ID], Accounts[Account'#], "Unknown")</f>
        <v>7328</v>
      </c>
      <c r="I485" s="168" t="str">
        <f>_xlfn.XLOOKUP(Table1[[#This Row],[Institution_ID]], Institutions[ID], Institutions[Institution nickname], "Unknown")</f>
        <v>Discover</v>
      </c>
      <c r="J485" s="139" t="s">
        <v>558</v>
      </c>
      <c r="K485" s="129" t="s">
        <v>110</v>
      </c>
      <c r="L485" s="129" t="s">
        <v>108</v>
      </c>
      <c r="M485" s="130" t="str" cm="1">
        <f t="array" ref="M485">IFERROR(INDEX(CategoriesTable[Category type],MATCH(Table1[[#This Row],[Category]],CategoriesTable[Category name],0),0),"")</f>
        <v>Transfer</v>
      </c>
      <c r="N485" s="130" t="str" cm="1">
        <f t="array" ref="N485">IFERROR(INDEX(SubcategoriesTable[Subcategory name],MATCH(Table1[[#This Row],[Category]],SubcategoriesTable[Category name],0),0),"")</f>
        <v>Variable</v>
      </c>
      <c r="O485" s="130">
        <v>16</v>
      </c>
      <c r="P485" s="130">
        <f>MONTH(Table1[[#This Row],[Date]])</f>
        <v>10</v>
      </c>
      <c r="Q485" s="130">
        <v>2020</v>
      </c>
      <c r="R485" s="166">
        <f>IF(ISBLANK(Table1[[#This Row],[Date]]),"",Table1[[#This Row],[Date]]-WEEKDAY(Table1[[#This Row],[Date]],2)+1)</f>
        <v>44116</v>
      </c>
      <c r="S485" s="131">
        <f>IF(ISBLANK(Table1[[#This Row],[Date]]),"",DATE(Table1[[#This Row],[Date_Year]],Table1[[#This Row],[Date_Month]],1))</f>
        <v>44105</v>
      </c>
    </row>
    <row r="486" spans="2:19" ht="15.75" x14ac:dyDescent="0.25">
      <c r="B486" s="133">
        <v>44120</v>
      </c>
      <c r="C486" s="128" t="s">
        <v>380</v>
      </c>
      <c r="D486" s="128" t="s">
        <v>46</v>
      </c>
      <c r="E486" s="128" t="str" cm="1">
        <f t="array" ref="E486">IFERROR(INDEX(SubcategoriesTable[Subcategory name],MATCH(Table1[[#This Row],[Category]],SubcategoriesTable[Category name],0),0),"")</f>
        <v>Variable</v>
      </c>
      <c r="F486" s="134">
        <v>-9.99</v>
      </c>
      <c r="G486" s="167" t="str">
        <f>_xlfn.XLOOKUP(Table1[[#This Row],[Account_ID]], Accounts[ID], Accounts[Account nickname], "Unknown")</f>
        <v>Discover it chrome Card</v>
      </c>
      <c r="H486" s="137" t="str">
        <f>_xlfn.XLOOKUP(Table1[[#This Row],[Account_ID]], Accounts[ID], Accounts[Account'#], "Unknown")</f>
        <v>7328</v>
      </c>
      <c r="I486" s="168" t="str">
        <f>_xlfn.XLOOKUP(Table1[[#This Row],[Institution_ID]], Institutions[ID], Institutions[Institution nickname], "Unknown")</f>
        <v>Discover</v>
      </c>
      <c r="J486" s="139" t="s">
        <v>559</v>
      </c>
      <c r="K486" s="129" t="s">
        <v>110</v>
      </c>
      <c r="L486" s="129" t="s">
        <v>108</v>
      </c>
      <c r="M486" s="130" t="str" cm="1">
        <f t="array" ref="M486">IFERROR(INDEX(CategoriesTable[Category type],MATCH(Table1[[#This Row],[Category]],CategoriesTable[Category name],0),0),"")</f>
        <v>Expense</v>
      </c>
      <c r="N486" s="130" t="str" cm="1">
        <f t="array" ref="N486">IFERROR(INDEX(SubcategoriesTable[Subcategory name],MATCH(Table1[[#This Row],[Category]],SubcategoriesTable[Category name],0),0),"")</f>
        <v>Variable</v>
      </c>
      <c r="O486" s="130">
        <v>16</v>
      </c>
      <c r="P486" s="130">
        <f>MONTH(Table1[[#This Row],[Date]])</f>
        <v>10</v>
      </c>
      <c r="Q486" s="130">
        <v>2020</v>
      </c>
      <c r="R486" s="166">
        <f>IF(ISBLANK(Table1[[#This Row],[Date]]),"",Table1[[#This Row],[Date]]-WEEKDAY(Table1[[#This Row],[Date]],2)+1)</f>
        <v>44116</v>
      </c>
      <c r="S486" s="131">
        <f>IF(ISBLANK(Table1[[#This Row],[Date]]),"",DATE(Table1[[#This Row],[Date_Year]],Table1[[#This Row],[Date_Month]],1))</f>
        <v>44105</v>
      </c>
    </row>
    <row r="487" spans="2:19" ht="15.75" x14ac:dyDescent="0.25">
      <c r="B487" s="133">
        <v>44120</v>
      </c>
      <c r="C487" s="128" t="s">
        <v>171</v>
      </c>
      <c r="D487" s="128" t="s">
        <v>46</v>
      </c>
      <c r="E487" s="128" t="str" cm="1">
        <f t="array" ref="E487">IFERROR(INDEX(SubcategoriesTable[Subcategory name],MATCH(Table1[[#This Row],[Category]],SubcategoriesTable[Category name],0),0),"")</f>
        <v>Variable</v>
      </c>
      <c r="F487" s="134">
        <v>-27.34</v>
      </c>
      <c r="G487" s="167" t="str">
        <f>_xlfn.XLOOKUP(Table1[[#This Row],[Account_ID]], Accounts[ID], Accounts[Account nickname], "Unknown")</f>
        <v>Discover it chrome Card</v>
      </c>
      <c r="H487" s="137" t="str">
        <f>_xlfn.XLOOKUP(Table1[[#This Row],[Account_ID]], Accounts[ID], Accounts[Account'#], "Unknown")</f>
        <v>7328</v>
      </c>
      <c r="I487" s="168" t="str">
        <f>_xlfn.XLOOKUP(Table1[[#This Row],[Institution_ID]], Institutions[ID], Institutions[Institution nickname], "Unknown")</f>
        <v>Discover</v>
      </c>
      <c r="J487" s="139" t="s">
        <v>560</v>
      </c>
      <c r="K487" s="129" t="s">
        <v>110</v>
      </c>
      <c r="L487" s="129" t="s">
        <v>108</v>
      </c>
      <c r="M487" s="130" t="str" cm="1">
        <f t="array" ref="M487">IFERROR(INDEX(CategoriesTable[Category type],MATCH(Table1[[#This Row],[Category]],CategoriesTable[Category name],0),0),"")</f>
        <v>Expense</v>
      </c>
      <c r="N487" s="130" t="str" cm="1">
        <f t="array" ref="N487">IFERROR(INDEX(SubcategoriesTable[Subcategory name],MATCH(Table1[[#This Row],[Category]],SubcategoriesTable[Category name],0),0),"")</f>
        <v>Variable</v>
      </c>
      <c r="O487" s="130">
        <v>16</v>
      </c>
      <c r="P487" s="130">
        <f>MONTH(Table1[[#This Row],[Date]])</f>
        <v>10</v>
      </c>
      <c r="Q487" s="130">
        <v>2020</v>
      </c>
      <c r="R487" s="166">
        <f>IF(ISBLANK(Table1[[#This Row],[Date]]),"",Table1[[#This Row],[Date]]-WEEKDAY(Table1[[#This Row],[Date]],2)+1)</f>
        <v>44116</v>
      </c>
      <c r="S487" s="131">
        <f>IF(ISBLANK(Table1[[#This Row],[Date]]),"",DATE(Table1[[#This Row],[Date_Year]],Table1[[#This Row],[Date_Month]],1))</f>
        <v>44105</v>
      </c>
    </row>
    <row r="488" spans="2:19" ht="15.75" x14ac:dyDescent="0.25">
      <c r="B488" s="133">
        <v>44120</v>
      </c>
      <c r="C488" s="128" t="s">
        <v>336</v>
      </c>
      <c r="D488" s="128" t="s">
        <v>52</v>
      </c>
      <c r="E488" s="128" t="str" cm="1">
        <f t="array" ref="E488">IFERROR(INDEX(SubcategoriesTable[Subcategory name],MATCH(Table1[[#This Row],[Category]],SubcategoriesTable[Category name],0),0),"")</f>
        <v>Variable</v>
      </c>
      <c r="F488" s="134">
        <v>-1</v>
      </c>
      <c r="G488" s="167" t="str">
        <f>_xlfn.XLOOKUP(Table1[[#This Row],[Account_ID]], Accounts[ID], Accounts[Account nickname], "Unknown")</f>
        <v>Discover it chrome Card</v>
      </c>
      <c r="H488" s="137" t="str">
        <f>_xlfn.XLOOKUP(Table1[[#This Row],[Account_ID]], Accounts[ID], Accounts[Account'#], "Unknown")</f>
        <v>7328</v>
      </c>
      <c r="I488" s="168" t="str">
        <f>_xlfn.XLOOKUP(Table1[[#This Row],[Institution_ID]], Institutions[ID], Institutions[Institution nickname], "Unknown")</f>
        <v>Discover</v>
      </c>
      <c r="J488" s="139" t="s">
        <v>561</v>
      </c>
      <c r="K488" s="129" t="s">
        <v>110</v>
      </c>
      <c r="L488" s="129" t="s">
        <v>108</v>
      </c>
      <c r="M488" s="130" t="str" cm="1">
        <f t="array" ref="M488">IFERROR(INDEX(CategoriesTable[Category type],MATCH(Table1[[#This Row],[Category]],CategoriesTable[Category name],0),0),"")</f>
        <v>Expense</v>
      </c>
      <c r="N488" s="130" t="str" cm="1">
        <f t="array" ref="N488">IFERROR(INDEX(SubcategoriesTable[Subcategory name],MATCH(Table1[[#This Row],[Category]],SubcategoriesTable[Category name],0),0),"")</f>
        <v>Variable</v>
      </c>
      <c r="O488" s="130">
        <v>16</v>
      </c>
      <c r="P488" s="130">
        <f>MONTH(Table1[[#This Row],[Date]])</f>
        <v>10</v>
      </c>
      <c r="Q488" s="130">
        <v>2020</v>
      </c>
      <c r="R488" s="166">
        <f>IF(ISBLANK(Table1[[#This Row],[Date]]),"",Table1[[#This Row],[Date]]-WEEKDAY(Table1[[#This Row],[Date]],2)+1)</f>
        <v>44116</v>
      </c>
      <c r="S488" s="131">
        <f>IF(ISBLANK(Table1[[#This Row],[Date]]),"",DATE(Table1[[#This Row],[Date_Year]],Table1[[#This Row],[Date_Month]],1))</f>
        <v>44105</v>
      </c>
    </row>
    <row r="489" spans="2:19" ht="15.75" x14ac:dyDescent="0.25">
      <c r="B489" s="133">
        <v>44120</v>
      </c>
      <c r="C489" s="128" t="s">
        <v>336</v>
      </c>
      <c r="D489" s="128" t="s">
        <v>52</v>
      </c>
      <c r="E489" s="128" t="str" cm="1">
        <f t="array" ref="E489">IFERROR(INDEX(SubcategoriesTable[Subcategory name],MATCH(Table1[[#This Row],[Category]],SubcategoriesTable[Category name],0),0),"")</f>
        <v>Variable</v>
      </c>
      <c r="F489" s="134">
        <v>-12.49</v>
      </c>
      <c r="G489" s="167" t="str">
        <f>_xlfn.XLOOKUP(Table1[[#This Row],[Account_ID]], Accounts[ID], Accounts[Account nickname], "Unknown")</f>
        <v>Discover it chrome Card</v>
      </c>
      <c r="H489" s="137" t="str">
        <f>_xlfn.XLOOKUP(Table1[[#This Row],[Account_ID]], Accounts[ID], Accounts[Account'#], "Unknown")</f>
        <v>7328</v>
      </c>
      <c r="I489" s="168" t="str">
        <f>_xlfn.XLOOKUP(Table1[[#This Row],[Institution_ID]], Institutions[ID], Institutions[Institution nickname], "Unknown")</f>
        <v>Discover</v>
      </c>
      <c r="J489" s="139" t="s">
        <v>562</v>
      </c>
      <c r="K489" s="129" t="s">
        <v>110</v>
      </c>
      <c r="L489" s="129" t="s">
        <v>108</v>
      </c>
      <c r="M489" s="130" t="str" cm="1">
        <f t="array" ref="M489">IFERROR(INDEX(CategoriesTable[Category type],MATCH(Table1[[#This Row],[Category]],CategoriesTable[Category name],0),0),"")</f>
        <v>Expense</v>
      </c>
      <c r="N489" s="130" t="str" cm="1">
        <f t="array" ref="N489">IFERROR(INDEX(SubcategoriesTable[Subcategory name],MATCH(Table1[[#This Row],[Category]],SubcategoriesTable[Category name],0),0),"")</f>
        <v>Variable</v>
      </c>
      <c r="O489" s="130">
        <v>16</v>
      </c>
      <c r="P489" s="130">
        <f>MONTH(Table1[[#This Row],[Date]])</f>
        <v>10</v>
      </c>
      <c r="Q489" s="130">
        <v>2020</v>
      </c>
      <c r="R489" s="166">
        <f>IF(ISBLANK(Table1[[#This Row],[Date]]),"",Table1[[#This Row],[Date]]-WEEKDAY(Table1[[#This Row],[Date]],2)+1)</f>
        <v>44116</v>
      </c>
      <c r="S489" s="131">
        <f>IF(ISBLANK(Table1[[#This Row],[Date]]),"",DATE(Table1[[#This Row],[Date_Year]],Table1[[#This Row],[Date_Month]],1))</f>
        <v>44105</v>
      </c>
    </row>
    <row r="490" spans="2:19" ht="15.75" x14ac:dyDescent="0.25">
      <c r="B490" s="133">
        <v>44119</v>
      </c>
      <c r="C490" s="128" t="s">
        <v>1200</v>
      </c>
      <c r="D490" s="128" t="s">
        <v>50</v>
      </c>
      <c r="E490" s="128" t="str" cm="1">
        <f t="array" ref="E490">IFERROR(INDEX(SubcategoriesTable[Subcategory name],MATCH(Table1[[#This Row],[Category]],SubcategoriesTable[Category name],0),0),"")</f>
        <v>Variable</v>
      </c>
      <c r="F490" s="134">
        <v>-600</v>
      </c>
      <c r="G490" s="167" t="str">
        <f>_xlfn.XLOOKUP(Table1[[#This Row],[Account_ID]], Accounts[ID], Accounts[Account nickname], "Unknown")</f>
        <v>EVERYDAY CHECKING</v>
      </c>
      <c r="H490" s="137" t="str">
        <f>_xlfn.XLOOKUP(Table1[[#This Row],[Account_ID]], Accounts[ID], Accounts[Account'#], "Unknown")</f>
        <v>4636</v>
      </c>
      <c r="I490" s="168" t="str">
        <f>_xlfn.XLOOKUP(Table1[[#This Row],[Institution_ID]], Institutions[ID], Institutions[Institution nickname], "Unknown")</f>
        <v>Wells Fargo</v>
      </c>
      <c r="J490" s="139" t="s">
        <v>1486</v>
      </c>
      <c r="K490" s="129" t="s">
        <v>1229</v>
      </c>
      <c r="L490" s="129" t="s">
        <v>1228</v>
      </c>
      <c r="M490" s="130" t="str" cm="1">
        <f t="array" ref="M490">IFERROR(INDEX(CategoriesTable[Category type],MATCH(Table1[[#This Row],[Category]],CategoriesTable[Category name],0),0),"")</f>
        <v>Transfer</v>
      </c>
      <c r="N490" s="130" t="str" cm="1">
        <f t="array" ref="N490">IFERROR(INDEX(SubcategoriesTable[Subcategory name],MATCH(Table1[[#This Row],[Category]],SubcategoriesTable[Category name],0),0),"")</f>
        <v>Variable</v>
      </c>
      <c r="O490" s="130">
        <v>15</v>
      </c>
      <c r="P490" s="130">
        <f>MONTH(Table1[[#This Row],[Date]])</f>
        <v>10</v>
      </c>
      <c r="Q490" s="130">
        <v>2020</v>
      </c>
      <c r="R490" s="166">
        <f>IF(ISBLANK(Table1[[#This Row],[Date]]),"",Table1[[#This Row],[Date]]-WEEKDAY(Table1[[#This Row],[Date]],2)+1)</f>
        <v>44116</v>
      </c>
      <c r="S490" s="131">
        <f>IF(ISBLANK(Table1[[#This Row],[Date]]),"",DATE(Table1[[#This Row],[Date_Year]],Table1[[#This Row],[Date_Month]],1))</f>
        <v>44105</v>
      </c>
    </row>
    <row r="491" spans="2:19" ht="15.75" x14ac:dyDescent="0.25">
      <c r="B491" s="133">
        <v>44119</v>
      </c>
      <c r="C491" s="128" t="s">
        <v>195</v>
      </c>
      <c r="D491" s="128" t="s">
        <v>48</v>
      </c>
      <c r="E491" s="128" t="str" cm="1">
        <f t="array" ref="E491">IFERROR(INDEX(SubcategoriesTable[Subcategory name],MATCH(Table1[[#This Row],[Category]],SubcategoriesTable[Category name],0),0),"")</f>
        <v>Variable</v>
      </c>
      <c r="F491" s="134">
        <v>-9.31</v>
      </c>
      <c r="G491" s="167" t="str">
        <f>_xlfn.XLOOKUP(Table1[[#This Row],[Account_ID]], Accounts[ID], Accounts[Account nickname], "Unknown")</f>
        <v>Discover it chrome Card</v>
      </c>
      <c r="H491" s="137" t="str">
        <f>_xlfn.XLOOKUP(Table1[[#This Row],[Account_ID]], Accounts[ID], Accounts[Account'#], "Unknown")</f>
        <v>7328</v>
      </c>
      <c r="I491" s="168" t="str">
        <f>_xlfn.XLOOKUP(Table1[[#This Row],[Institution_ID]], Institutions[ID], Institutions[Institution nickname], "Unknown")</f>
        <v>Discover</v>
      </c>
      <c r="J491" s="139" t="s">
        <v>563</v>
      </c>
      <c r="K491" s="129" t="s">
        <v>110</v>
      </c>
      <c r="L491" s="129" t="s">
        <v>108</v>
      </c>
      <c r="M491" s="130" t="str" cm="1">
        <f t="array" ref="M491">IFERROR(INDEX(CategoriesTable[Category type],MATCH(Table1[[#This Row],[Category]],CategoriesTable[Category name],0),0),"")</f>
        <v>Expense</v>
      </c>
      <c r="N491" s="130" t="str" cm="1">
        <f t="array" ref="N491">IFERROR(INDEX(SubcategoriesTable[Subcategory name],MATCH(Table1[[#This Row],[Category]],SubcategoriesTable[Category name],0),0),"")</f>
        <v>Variable</v>
      </c>
      <c r="O491" s="130">
        <v>15</v>
      </c>
      <c r="P491" s="130">
        <f>MONTH(Table1[[#This Row],[Date]])</f>
        <v>10</v>
      </c>
      <c r="Q491" s="130">
        <v>2020</v>
      </c>
      <c r="R491" s="166">
        <f>IF(ISBLANK(Table1[[#This Row],[Date]]),"",Table1[[#This Row],[Date]]-WEEKDAY(Table1[[#This Row],[Date]],2)+1)</f>
        <v>44116</v>
      </c>
      <c r="S491" s="131">
        <f>IF(ISBLANK(Table1[[#This Row],[Date]]),"",DATE(Table1[[#This Row],[Date_Year]],Table1[[#This Row],[Date_Month]],1))</f>
        <v>44105</v>
      </c>
    </row>
    <row r="492" spans="2:19" ht="15.75" x14ac:dyDescent="0.25">
      <c r="B492" s="133">
        <v>44118</v>
      </c>
      <c r="C492" s="128" t="s">
        <v>163</v>
      </c>
      <c r="D492" s="128" t="s">
        <v>54</v>
      </c>
      <c r="E492" s="128" t="str" cm="1">
        <f t="array" ref="E492">IFERROR(INDEX(SubcategoriesTable[Subcategory name],MATCH(Table1[[#This Row],[Category]],SubcategoriesTable[Category name],0),0),"")</f>
        <v>Fixed</v>
      </c>
      <c r="F492" s="134">
        <v>-14.99</v>
      </c>
      <c r="G492" s="167" t="str">
        <f>_xlfn.XLOOKUP(Table1[[#This Row],[Account_ID]], Accounts[ID], Accounts[Account nickname], "Unknown")</f>
        <v>Discover it chrome Card</v>
      </c>
      <c r="H492" s="137" t="str">
        <f>_xlfn.XLOOKUP(Table1[[#This Row],[Account_ID]], Accounts[ID], Accounts[Account'#], "Unknown")</f>
        <v>7328</v>
      </c>
      <c r="I492" s="168" t="str">
        <f>_xlfn.XLOOKUP(Table1[[#This Row],[Institution_ID]], Institutions[ID], Institutions[Institution nickname], "Unknown")</f>
        <v>Discover</v>
      </c>
      <c r="J492" s="139" t="s">
        <v>564</v>
      </c>
      <c r="K492" s="129" t="s">
        <v>110</v>
      </c>
      <c r="L492" s="129" t="s">
        <v>108</v>
      </c>
      <c r="M492" s="130" t="str" cm="1">
        <f t="array" ref="M492">IFERROR(INDEX(CategoriesTable[Category type],MATCH(Table1[[#This Row],[Category]],CategoriesTable[Category name],0),0),"")</f>
        <v>Expense</v>
      </c>
      <c r="N492" s="130" t="str" cm="1">
        <f t="array" ref="N492">IFERROR(INDEX(SubcategoriesTable[Subcategory name],MATCH(Table1[[#This Row],[Category]],SubcategoriesTable[Category name],0),0),"")</f>
        <v>Fixed</v>
      </c>
      <c r="O492" s="130">
        <v>14</v>
      </c>
      <c r="P492" s="130">
        <f>MONTH(Table1[[#This Row],[Date]])</f>
        <v>10</v>
      </c>
      <c r="Q492" s="130">
        <v>2020</v>
      </c>
      <c r="R492" s="166">
        <f>IF(ISBLANK(Table1[[#This Row],[Date]]),"",Table1[[#This Row],[Date]]-WEEKDAY(Table1[[#This Row],[Date]],2)+1)</f>
        <v>44116</v>
      </c>
      <c r="S492" s="131">
        <f>IF(ISBLANK(Table1[[#This Row],[Date]]),"",DATE(Table1[[#This Row],[Date_Year]],Table1[[#This Row],[Date_Month]],1))</f>
        <v>44105</v>
      </c>
    </row>
    <row r="493" spans="2:19" ht="15.75" x14ac:dyDescent="0.25">
      <c r="B493" s="133">
        <v>44118</v>
      </c>
      <c r="C493" s="128" t="s">
        <v>565</v>
      </c>
      <c r="D493" s="128" t="s">
        <v>52</v>
      </c>
      <c r="E493" s="128" t="str" cm="1">
        <f t="array" ref="E493">IFERROR(INDEX(SubcategoriesTable[Subcategory name],MATCH(Table1[[#This Row],[Category]],SubcategoriesTable[Category name],0),0),"")</f>
        <v>Variable</v>
      </c>
      <c r="F493" s="134">
        <v>-85.8</v>
      </c>
      <c r="G493" s="167" t="str">
        <f>_xlfn.XLOOKUP(Table1[[#This Row],[Account_ID]], Accounts[ID], Accounts[Account nickname], "Unknown")</f>
        <v>Discover it chrome Card</v>
      </c>
      <c r="H493" s="137" t="str">
        <f>_xlfn.XLOOKUP(Table1[[#This Row],[Account_ID]], Accounts[ID], Accounts[Account'#], "Unknown")</f>
        <v>7328</v>
      </c>
      <c r="I493" s="168" t="str">
        <f>_xlfn.XLOOKUP(Table1[[#This Row],[Institution_ID]], Institutions[ID], Institutions[Institution nickname], "Unknown")</f>
        <v>Discover</v>
      </c>
      <c r="J493" s="139" t="s">
        <v>566</v>
      </c>
      <c r="K493" s="129" t="s">
        <v>110</v>
      </c>
      <c r="L493" s="129" t="s">
        <v>108</v>
      </c>
      <c r="M493" s="130" t="str" cm="1">
        <f t="array" ref="M493">IFERROR(INDEX(CategoriesTable[Category type],MATCH(Table1[[#This Row],[Category]],CategoriesTable[Category name],0),0),"")</f>
        <v>Expense</v>
      </c>
      <c r="N493" s="130" t="str" cm="1">
        <f t="array" ref="N493">IFERROR(INDEX(SubcategoriesTable[Subcategory name],MATCH(Table1[[#This Row],[Category]],SubcategoriesTable[Category name],0),0),"")</f>
        <v>Variable</v>
      </c>
      <c r="O493" s="130">
        <v>14</v>
      </c>
      <c r="P493" s="130">
        <f>MONTH(Table1[[#This Row],[Date]])</f>
        <v>10</v>
      </c>
      <c r="Q493" s="130">
        <v>2020</v>
      </c>
      <c r="R493" s="166">
        <f>IF(ISBLANK(Table1[[#This Row],[Date]]),"",Table1[[#This Row],[Date]]-WEEKDAY(Table1[[#This Row],[Date]],2)+1)</f>
        <v>44116</v>
      </c>
      <c r="S493" s="131">
        <f>IF(ISBLANK(Table1[[#This Row],[Date]]),"",DATE(Table1[[#This Row],[Date_Year]],Table1[[#This Row],[Date_Month]],1))</f>
        <v>44105</v>
      </c>
    </row>
    <row r="494" spans="2:19" ht="15.75" x14ac:dyDescent="0.25">
      <c r="B494" s="133">
        <v>44118</v>
      </c>
      <c r="C494" s="128" t="s">
        <v>195</v>
      </c>
      <c r="D494" s="128" t="s">
        <v>48</v>
      </c>
      <c r="E494" s="128" t="str" cm="1">
        <f t="array" ref="E494">IFERROR(INDEX(SubcategoriesTable[Subcategory name],MATCH(Table1[[#This Row],[Category]],SubcategoriesTable[Category name],0),0),"")</f>
        <v>Variable</v>
      </c>
      <c r="F494" s="134">
        <v>-10.23</v>
      </c>
      <c r="G494" s="167" t="str">
        <f>_xlfn.XLOOKUP(Table1[[#This Row],[Account_ID]], Accounts[ID], Accounts[Account nickname], "Unknown")</f>
        <v>Discover it chrome Card</v>
      </c>
      <c r="H494" s="137" t="str">
        <f>_xlfn.XLOOKUP(Table1[[#This Row],[Account_ID]], Accounts[ID], Accounts[Account'#], "Unknown")</f>
        <v>7328</v>
      </c>
      <c r="I494" s="168" t="str">
        <f>_xlfn.XLOOKUP(Table1[[#This Row],[Institution_ID]], Institutions[ID], Institutions[Institution nickname], "Unknown")</f>
        <v>Discover</v>
      </c>
      <c r="J494" s="139" t="s">
        <v>567</v>
      </c>
      <c r="K494" s="129" t="s">
        <v>110</v>
      </c>
      <c r="L494" s="129" t="s">
        <v>108</v>
      </c>
      <c r="M494" s="130" t="str" cm="1">
        <f t="array" ref="M494">IFERROR(INDEX(CategoriesTable[Category type],MATCH(Table1[[#This Row],[Category]],CategoriesTable[Category name],0),0),"")</f>
        <v>Expense</v>
      </c>
      <c r="N494" s="130" t="str" cm="1">
        <f t="array" ref="N494">IFERROR(INDEX(SubcategoriesTable[Subcategory name],MATCH(Table1[[#This Row],[Category]],SubcategoriesTable[Category name],0),0),"")</f>
        <v>Variable</v>
      </c>
      <c r="O494" s="130">
        <v>14</v>
      </c>
      <c r="P494" s="130">
        <f>MONTH(Table1[[#This Row],[Date]])</f>
        <v>10</v>
      </c>
      <c r="Q494" s="130">
        <v>2020</v>
      </c>
      <c r="R494" s="166">
        <f>IF(ISBLANK(Table1[[#This Row],[Date]]),"",Table1[[#This Row],[Date]]-WEEKDAY(Table1[[#This Row],[Date]],2)+1)</f>
        <v>44116</v>
      </c>
      <c r="S494" s="131">
        <f>IF(ISBLANK(Table1[[#This Row],[Date]]),"",DATE(Table1[[#This Row],[Date_Year]],Table1[[#This Row],[Date_Month]],1))</f>
        <v>44105</v>
      </c>
    </row>
    <row r="495" spans="2:19" ht="15.75" x14ac:dyDescent="0.25">
      <c r="B495" s="133">
        <v>44118</v>
      </c>
      <c r="C495" s="128" t="s">
        <v>115</v>
      </c>
      <c r="D495" s="128" t="s">
        <v>48</v>
      </c>
      <c r="E495" s="128" t="str" cm="1">
        <f t="array" ref="E495">IFERROR(INDEX(SubcategoriesTable[Subcategory name],MATCH(Table1[[#This Row],[Category]],SubcategoriesTable[Category name],0),0),"")</f>
        <v>Variable</v>
      </c>
      <c r="F495" s="134">
        <v>-263</v>
      </c>
      <c r="G495" s="167" t="str">
        <f>_xlfn.XLOOKUP(Table1[[#This Row],[Account_ID]], Accounts[ID], Accounts[Account nickname], "Unknown")</f>
        <v>Discover it chrome Card</v>
      </c>
      <c r="H495" s="137" t="str">
        <f>_xlfn.XLOOKUP(Table1[[#This Row],[Account_ID]], Accounts[ID], Accounts[Account'#], "Unknown")</f>
        <v>7328</v>
      </c>
      <c r="I495" s="168" t="str">
        <f>_xlfn.XLOOKUP(Table1[[#This Row],[Institution_ID]], Institutions[ID], Institutions[Institution nickname], "Unknown")</f>
        <v>Discover</v>
      </c>
      <c r="J495" s="139" t="s">
        <v>568</v>
      </c>
      <c r="K495" s="129" t="s">
        <v>110</v>
      </c>
      <c r="L495" s="129" t="s">
        <v>108</v>
      </c>
      <c r="M495" s="130" t="str" cm="1">
        <f t="array" ref="M495">IFERROR(INDEX(CategoriesTable[Category type],MATCH(Table1[[#This Row],[Category]],CategoriesTable[Category name],0),0),"")</f>
        <v>Expense</v>
      </c>
      <c r="N495" s="130" t="str" cm="1">
        <f t="array" ref="N495">IFERROR(INDEX(SubcategoriesTable[Subcategory name],MATCH(Table1[[#This Row],[Category]],SubcategoriesTable[Category name],0),0),"")</f>
        <v>Variable</v>
      </c>
      <c r="O495" s="130">
        <v>14</v>
      </c>
      <c r="P495" s="130">
        <f>MONTH(Table1[[#This Row],[Date]])</f>
        <v>10</v>
      </c>
      <c r="Q495" s="130">
        <v>2020</v>
      </c>
      <c r="R495" s="166">
        <f>IF(ISBLANK(Table1[[#This Row],[Date]]),"",Table1[[#This Row],[Date]]-WEEKDAY(Table1[[#This Row],[Date]],2)+1)</f>
        <v>44116</v>
      </c>
      <c r="S495" s="131">
        <f>IF(ISBLANK(Table1[[#This Row],[Date]]),"",DATE(Table1[[#This Row],[Date_Year]],Table1[[#This Row],[Date_Month]],1))</f>
        <v>44105</v>
      </c>
    </row>
    <row r="496" spans="2:19" ht="15.75" x14ac:dyDescent="0.25">
      <c r="B496" s="133">
        <v>44117</v>
      </c>
      <c r="C496" s="128" t="s">
        <v>1180</v>
      </c>
      <c r="D496" s="128" t="s">
        <v>50</v>
      </c>
      <c r="E496" s="128" t="str" cm="1">
        <f t="array" ref="E496">IFERROR(INDEX(SubcategoriesTable[Subcategory name],MATCH(Table1[[#This Row],[Category]],SubcategoriesTable[Category name],0),0),"")</f>
        <v>Variable</v>
      </c>
      <c r="F496" s="134">
        <v>-477.49</v>
      </c>
      <c r="G496" s="167" t="str">
        <f>_xlfn.XLOOKUP(Table1[[#This Row],[Account_ID]], Accounts[ID], Accounts[Account nickname], "Unknown")</f>
        <v>EVERYDAY CHECKING</v>
      </c>
      <c r="H496" s="137" t="str">
        <f>_xlfn.XLOOKUP(Table1[[#This Row],[Account_ID]], Accounts[ID], Accounts[Account'#], "Unknown")</f>
        <v>4636</v>
      </c>
      <c r="I496" s="168" t="str">
        <f>_xlfn.XLOOKUP(Table1[[#This Row],[Institution_ID]], Institutions[ID], Institutions[Institution nickname], "Unknown")</f>
        <v>Wells Fargo</v>
      </c>
      <c r="J496" s="139" t="s">
        <v>1487</v>
      </c>
      <c r="K496" s="129" t="s">
        <v>1229</v>
      </c>
      <c r="L496" s="129" t="s">
        <v>1228</v>
      </c>
      <c r="M496" s="130" t="str" cm="1">
        <f t="array" ref="M496">IFERROR(INDEX(CategoriesTable[Category type],MATCH(Table1[[#This Row],[Category]],CategoriesTable[Category name],0),0),"")</f>
        <v>Transfer</v>
      </c>
      <c r="N496" s="130" t="str" cm="1">
        <f t="array" ref="N496">IFERROR(INDEX(SubcategoriesTable[Subcategory name],MATCH(Table1[[#This Row],[Category]],SubcategoriesTable[Category name],0),0),"")</f>
        <v>Variable</v>
      </c>
      <c r="O496" s="130">
        <v>13</v>
      </c>
      <c r="P496" s="130">
        <f>MONTH(Table1[[#This Row],[Date]])</f>
        <v>10</v>
      </c>
      <c r="Q496" s="130">
        <v>2020</v>
      </c>
      <c r="R496" s="166">
        <f>IF(ISBLANK(Table1[[#This Row],[Date]]),"",Table1[[#This Row],[Date]]-WEEKDAY(Table1[[#This Row],[Date]],2)+1)</f>
        <v>44116</v>
      </c>
      <c r="S496" s="131">
        <f>IF(ISBLANK(Table1[[#This Row],[Date]]),"",DATE(Table1[[#This Row],[Date_Year]],Table1[[#This Row],[Date_Month]],1))</f>
        <v>44105</v>
      </c>
    </row>
    <row r="497" spans="2:19" ht="15.75" x14ac:dyDescent="0.25">
      <c r="B497" s="133">
        <v>44117</v>
      </c>
      <c r="C497" s="128" t="s">
        <v>267</v>
      </c>
      <c r="D497" s="128" t="s">
        <v>46</v>
      </c>
      <c r="E497" s="128" t="str" cm="1">
        <f t="array" ref="E497">IFERROR(INDEX(SubcategoriesTable[Subcategory name],MATCH(Table1[[#This Row],[Category]],SubcategoriesTable[Category name],0),0),"")</f>
        <v>Variable</v>
      </c>
      <c r="F497" s="134">
        <v>-4.3899999999999997</v>
      </c>
      <c r="G497" s="167" t="str">
        <f>_xlfn.XLOOKUP(Table1[[#This Row],[Account_ID]], Accounts[ID], Accounts[Account nickname], "Unknown")</f>
        <v>Discover it chrome Card</v>
      </c>
      <c r="H497" s="137" t="str">
        <f>_xlfn.XLOOKUP(Table1[[#This Row],[Account_ID]], Accounts[ID], Accounts[Account'#], "Unknown")</f>
        <v>7328</v>
      </c>
      <c r="I497" s="168" t="str">
        <f>_xlfn.XLOOKUP(Table1[[#This Row],[Institution_ID]], Institutions[ID], Institutions[Institution nickname], "Unknown")</f>
        <v>Discover</v>
      </c>
      <c r="J497" s="139" t="s">
        <v>569</v>
      </c>
      <c r="K497" s="129" t="s">
        <v>110</v>
      </c>
      <c r="L497" s="129" t="s">
        <v>108</v>
      </c>
      <c r="M497" s="130" t="str" cm="1">
        <f t="array" ref="M497">IFERROR(INDEX(CategoriesTable[Category type],MATCH(Table1[[#This Row],[Category]],CategoriesTable[Category name],0),0),"")</f>
        <v>Expense</v>
      </c>
      <c r="N497" s="130" t="str" cm="1">
        <f t="array" ref="N497">IFERROR(INDEX(SubcategoriesTable[Subcategory name],MATCH(Table1[[#This Row],[Category]],SubcategoriesTable[Category name],0),0),"")</f>
        <v>Variable</v>
      </c>
      <c r="O497" s="130">
        <v>13</v>
      </c>
      <c r="P497" s="130">
        <f>MONTH(Table1[[#This Row],[Date]])</f>
        <v>10</v>
      </c>
      <c r="Q497" s="130">
        <v>2020</v>
      </c>
      <c r="R497" s="166">
        <f>IF(ISBLANK(Table1[[#This Row],[Date]]),"",Table1[[#This Row],[Date]]-WEEKDAY(Table1[[#This Row],[Date]],2)+1)</f>
        <v>44116</v>
      </c>
      <c r="S497" s="131">
        <f>IF(ISBLANK(Table1[[#This Row],[Date]]),"",DATE(Table1[[#This Row],[Date_Year]],Table1[[#This Row],[Date_Month]],1))</f>
        <v>44105</v>
      </c>
    </row>
    <row r="498" spans="2:19" ht="15.75" x14ac:dyDescent="0.25">
      <c r="B498" s="133">
        <v>44117</v>
      </c>
      <c r="C498" s="128" t="s">
        <v>146</v>
      </c>
      <c r="D498" s="128" t="s">
        <v>54</v>
      </c>
      <c r="E498" s="128" t="str" cm="1">
        <f t="array" ref="E498">IFERROR(INDEX(SubcategoriesTable[Subcategory name],MATCH(Table1[[#This Row],[Category]],SubcategoriesTable[Category name],0),0),"")</f>
        <v>Fixed</v>
      </c>
      <c r="F498" s="134">
        <v>-110.21</v>
      </c>
      <c r="G498" s="167" t="str">
        <f>_xlfn.XLOOKUP(Table1[[#This Row],[Account_ID]], Accounts[ID], Accounts[Account nickname], "Unknown")</f>
        <v>Discover it chrome Card</v>
      </c>
      <c r="H498" s="137" t="str">
        <f>_xlfn.XLOOKUP(Table1[[#This Row],[Account_ID]], Accounts[ID], Accounts[Account'#], "Unknown")</f>
        <v>7328</v>
      </c>
      <c r="I498" s="168" t="str">
        <f>_xlfn.XLOOKUP(Table1[[#This Row],[Institution_ID]], Institutions[ID], Institutions[Institution nickname], "Unknown")</f>
        <v>Discover</v>
      </c>
      <c r="J498" s="139" t="s">
        <v>570</v>
      </c>
      <c r="K498" s="129" t="s">
        <v>110</v>
      </c>
      <c r="L498" s="129" t="s">
        <v>108</v>
      </c>
      <c r="M498" s="130" t="str" cm="1">
        <f t="array" ref="M498">IFERROR(INDEX(CategoriesTable[Category type],MATCH(Table1[[#This Row],[Category]],CategoriesTable[Category name],0),0),"")</f>
        <v>Expense</v>
      </c>
      <c r="N498" s="130" t="str" cm="1">
        <f t="array" ref="N498">IFERROR(INDEX(SubcategoriesTable[Subcategory name],MATCH(Table1[[#This Row],[Category]],SubcategoriesTable[Category name],0),0),"")</f>
        <v>Fixed</v>
      </c>
      <c r="O498" s="130">
        <v>13</v>
      </c>
      <c r="P498" s="130">
        <f>MONTH(Table1[[#This Row],[Date]])</f>
        <v>10</v>
      </c>
      <c r="Q498" s="130">
        <v>2020</v>
      </c>
      <c r="R498" s="166">
        <f>IF(ISBLANK(Table1[[#This Row],[Date]]),"",Table1[[#This Row],[Date]]-WEEKDAY(Table1[[#This Row],[Date]],2)+1)</f>
        <v>44116</v>
      </c>
      <c r="S498" s="131">
        <f>IF(ISBLANK(Table1[[#This Row],[Date]]),"",DATE(Table1[[#This Row],[Date_Year]],Table1[[#This Row],[Date_Month]],1))</f>
        <v>44105</v>
      </c>
    </row>
    <row r="499" spans="2:19" ht="15.75" x14ac:dyDescent="0.25">
      <c r="B499" s="133">
        <v>44116</v>
      </c>
      <c r="C499" s="128" t="s">
        <v>571</v>
      </c>
      <c r="D499" s="128" t="s">
        <v>52</v>
      </c>
      <c r="E499" s="128" t="str" cm="1">
        <f t="array" ref="E499">IFERROR(INDEX(SubcategoriesTable[Subcategory name],MATCH(Table1[[#This Row],[Category]],SubcategoriesTable[Category name],0),0),"")</f>
        <v>Variable</v>
      </c>
      <c r="F499" s="134">
        <v>-21.78</v>
      </c>
      <c r="G499" s="167" t="str">
        <f>_xlfn.XLOOKUP(Table1[[#This Row],[Account_ID]], Accounts[ID], Accounts[Account nickname], "Unknown")</f>
        <v>Discover it chrome Card</v>
      </c>
      <c r="H499" s="137" t="str">
        <f>_xlfn.XLOOKUP(Table1[[#This Row],[Account_ID]], Accounts[ID], Accounts[Account'#], "Unknown")</f>
        <v>7328</v>
      </c>
      <c r="I499" s="168" t="str">
        <f>_xlfn.XLOOKUP(Table1[[#This Row],[Institution_ID]], Institutions[ID], Institutions[Institution nickname], "Unknown")</f>
        <v>Discover</v>
      </c>
      <c r="J499" s="139" t="s">
        <v>572</v>
      </c>
      <c r="K499" s="129" t="s">
        <v>110</v>
      </c>
      <c r="L499" s="129" t="s">
        <v>108</v>
      </c>
      <c r="M499" s="130" t="str" cm="1">
        <f t="array" ref="M499">IFERROR(INDEX(CategoriesTable[Category type],MATCH(Table1[[#This Row],[Category]],CategoriesTable[Category name],0),0),"")</f>
        <v>Expense</v>
      </c>
      <c r="N499" s="130" t="str" cm="1">
        <f t="array" ref="N499">IFERROR(INDEX(SubcategoriesTable[Subcategory name],MATCH(Table1[[#This Row],[Category]],SubcategoriesTable[Category name],0),0),"")</f>
        <v>Variable</v>
      </c>
      <c r="O499" s="130">
        <v>12</v>
      </c>
      <c r="P499" s="130">
        <f>MONTH(Table1[[#This Row],[Date]])</f>
        <v>10</v>
      </c>
      <c r="Q499" s="130">
        <v>2020</v>
      </c>
      <c r="R499" s="166">
        <f>IF(ISBLANK(Table1[[#This Row],[Date]]),"",Table1[[#This Row],[Date]]-WEEKDAY(Table1[[#This Row],[Date]],2)+1)</f>
        <v>44116</v>
      </c>
      <c r="S499" s="131">
        <f>IF(ISBLANK(Table1[[#This Row],[Date]]),"",DATE(Table1[[#This Row],[Date_Year]],Table1[[#This Row],[Date_Month]],1))</f>
        <v>44105</v>
      </c>
    </row>
    <row r="500" spans="2:19" ht="15.75" x14ac:dyDescent="0.25">
      <c r="B500" s="133">
        <v>44116</v>
      </c>
      <c r="C500" s="128" t="s">
        <v>171</v>
      </c>
      <c r="D500" s="128" t="s">
        <v>46</v>
      </c>
      <c r="E500" s="128" t="str" cm="1">
        <f t="array" ref="E500">IFERROR(INDEX(SubcategoriesTable[Subcategory name],MATCH(Table1[[#This Row],[Category]],SubcategoriesTable[Category name],0),0),"")</f>
        <v>Variable</v>
      </c>
      <c r="F500" s="134">
        <v>-30</v>
      </c>
      <c r="G500" s="167" t="str">
        <f>_xlfn.XLOOKUP(Table1[[#This Row],[Account_ID]], Accounts[ID], Accounts[Account nickname], "Unknown")</f>
        <v>Discover it chrome Card</v>
      </c>
      <c r="H500" s="137" t="str">
        <f>_xlfn.XLOOKUP(Table1[[#This Row],[Account_ID]], Accounts[ID], Accounts[Account'#], "Unknown")</f>
        <v>7328</v>
      </c>
      <c r="I500" s="168" t="str">
        <f>_xlfn.XLOOKUP(Table1[[#This Row],[Institution_ID]], Institutions[ID], Institutions[Institution nickname], "Unknown")</f>
        <v>Discover</v>
      </c>
      <c r="J500" s="139" t="s">
        <v>573</v>
      </c>
      <c r="K500" s="129" t="s">
        <v>110</v>
      </c>
      <c r="L500" s="129" t="s">
        <v>108</v>
      </c>
      <c r="M500" s="130" t="str" cm="1">
        <f t="array" ref="M500">IFERROR(INDEX(CategoriesTable[Category type],MATCH(Table1[[#This Row],[Category]],CategoriesTable[Category name],0),0),"")</f>
        <v>Expense</v>
      </c>
      <c r="N500" s="130" t="str" cm="1">
        <f t="array" ref="N500">IFERROR(INDEX(SubcategoriesTable[Subcategory name],MATCH(Table1[[#This Row],[Category]],SubcategoriesTable[Category name],0),0),"")</f>
        <v>Variable</v>
      </c>
      <c r="O500" s="130">
        <v>12</v>
      </c>
      <c r="P500" s="130">
        <f>MONTH(Table1[[#This Row],[Date]])</f>
        <v>10</v>
      </c>
      <c r="Q500" s="130">
        <v>2020</v>
      </c>
      <c r="R500" s="166">
        <f>IF(ISBLANK(Table1[[#This Row],[Date]]),"",Table1[[#This Row],[Date]]-WEEKDAY(Table1[[#This Row],[Date]],2)+1)</f>
        <v>44116</v>
      </c>
      <c r="S500" s="131">
        <f>IF(ISBLANK(Table1[[#This Row],[Date]]),"",DATE(Table1[[#This Row],[Date_Year]],Table1[[#This Row],[Date_Month]],1))</f>
        <v>44105</v>
      </c>
    </row>
    <row r="501" spans="2:19" ht="15.75" x14ac:dyDescent="0.25">
      <c r="B501" s="133">
        <v>44116</v>
      </c>
      <c r="C501" s="128" t="s">
        <v>113</v>
      </c>
      <c r="D501" s="128" t="s">
        <v>50</v>
      </c>
      <c r="E501" s="128" t="str" cm="1">
        <f t="array" ref="E501">IFERROR(INDEX(SubcategoriesTable[Subcategory name],MATCH(Table1[[#This Row],[Category]],SubcategoriesTable[Category name],0),0),"")</f>
        <v>Variable</v>
      </c>
      <c r="F501" s="134">
        <v>477.49</v>
      </c>
      <c r="G501" s="167" t="str">
        <f>_xlfn.XLOOKUP(Table1[[#This Row],[Account_ID]], Accounts[ID], Accounts[Account nickname], "Unknown")</f>
        <v>Discover it chrome Card</v>
      </c>
      <c r="H501" s="137" t="str">
        <f>_xlfn.XLOOKUP(Table1[[#This Row],[Account_ID]], Accounts[ID], Accounts[Account'#], "Unknown")</f>
        <v>7328</v>
      </c>
      <c r="I501" s="168" t="str">
        <f>_xlfn.XLOOKUP(Table1[[#This Row],[Institution_ID]], Institutions[ID], Institutions[Institution nickname], "Unknown")</f>
        <v>Discover</v>
      </c>
      <c r="J501" s="139" t="s">
        <v>574</v>
      </c>
      <c r="K501" s="129" t="s">
        <v>110</v>
      </c>
      <c r="L501" s="129" t="s">
        <v>108</v>
      </c>
      <c r="M501" s="130" t="str" cm="1">
        <f t="array" ref="M501">IFERROR(INDEX(CategoriesTable[Category type],MATCH(Table1[[#This Row],[Category]],CategoriesTable[Category name],0),0),"")</f>
        <v>Transfer</v>
      </c>
      <c r="N501" s="130" t="str" cm="1">
        <f t="array" ref="N501">IFERROR(INDEX(SubcategoriesTable[Subcategory name],MATCH(Table1[[#This Row],[Category]],SubcategoriesTable[Category name],0),0),"")</f>
        <v>Variable</v>
      </c>
      <c r="O501" s="130">
        <v>12</v>
      </c>
      <c r="P501" s="130">
        <f>MONTH(Table1[[#This Row],[Date]])</f>
        <v>10</v>
      </c>
      <c r="Q501" s="130">
        <v>2020</v>
      </c>
      <c r="R501" s="166">
        <f>IF(ISBLANK(Table1[[#This Row],[Date]]),"",Table1[[#This Row],[Date]]-WEEKDAY(Table1[[#This Row],[Date]],2)+1)</f>
        <v>44116</v>
      </c>
      <c r="S501" s="131">
        <f>IF(ISBLANK(Table1[[#This Row],[Date]]),"",DATE(Table1[[#This Row],[Date_Year]],Table1[[#This Row],[Date_Month]],1))</f>
        <v>44105</v>
      </c>
    </row>
    <row r="502" spans="2:19" ht="15.75" x14ac:dyDescent="0.25">
      <c r="B502" s="133">
        <v>44116</v>
      </c>
      <c r="C502" s="128" t="s">
        <v>209</v>
      </c>
      <c r="D502" s="128" t="s">
        <v>50</v>
      </c>
      <c r="E502" s="128" t="str" cm="1">
        <f t="array" ref="E502">IFERROR(INDEX(SubcategoriesTable[Subcategory name],MATCH(Table1[[#This Row],[Category]],SubcategoriesTable[Category name],0),0),"")</f>
        <v>Variable</v>
      </c>
      <c r="F502" s="134">
        <v>-1.99</v>
      </c>
      <c r="G502" s="167" t="str">
        <f>_xlfn.XLOOKUP(Table1[[#This Row],[Account_ID]], Accounts[ID], Accounts[Account nickname], "Unknown")</f>
        <v>Discover it chrome Card</v>
      </c>
      <c r="H502" s="137" t="str">
        <f>_xlfn.XLOOKUP(Table1[[#This Row],[Account_ID]], Accounts[ID], Accounts[Account'#], "Unknown")</f>
        <v>7328</v>
      </c>
      <c r="I502" s="168" t="str">
        <f>_xlfn.XLOOKUP(Table1[[#This Row],[Institution_ID]], Institutions[ID], Institutions[Institution nickname], "Unknown")</f>
        <v>Discover</v>
      </c>
      <c r="J502" s="139" t="s">
        <v>575</v>
      </c>
      <c r="K502" s="129" t="s">
        <v>110</v>
      </c>
      <c r="L502" s="129" t="s">
        <v>108</v>
      </c>
      <c r="M502" s="130" t="str" cm="1">
        <f t="array" ref="M502">IFERROR(INDEX(CategoriesTable[Category type],MATCH(Table1[[#This Row],[Category]],CategoriesTable[Category name],0),0),"")</f>
        <v>Transfer</v>
      </c>
      <c r="N502" s="130" t="str" cm="1">
        <f t="array" ref="N502">IFERROR(INDEX(SubcategoriesTable[Subcategory name],MATCH(Table1[[#This Row],[Category]],SubcategoriesTable[Category name],0),0),"")</f>
        <v>Variable</v>
      </c>
      <c r="O502" s="130">
        <v>12</v>
      </c>
      <c r="P502" s="130">
        <f>MONTH(Table1[[#This Row],[Date]])</f>
        <v>10</v>
      </c>
      <c r="Q502" s="130">
        <v>2020</v>
      </c>
      <c r="R502" s="166">
        <f>IF(ISBLANK(Table1[[#This Row],[Date]]),"",Table1[[#This Row],[Date]]-WEEKDAY(Table1[[#This Row],[Date]],2)+1)</f>
        <v>44116</v>
      </c>
      <c r="S502" s="131">
        <f>IF(ISBLANK(Table1[[#This Row],[Date]]),"",DATE(Table1[[#This Row],[Date_Year]],Table1[[#This Row],[Date_Month]],1))</f>
        <v>44105</v>
      </c>
    </row>
    <row r="503" spans="2:19" ht="15.75" x14ac:dyDescent="0.25">
      <c r="B503" s="133">
        <v>44113</v>
      </c>
      <c r="C503" s="128" t="s">
        <v>1461</v>
      </c>
      <c r="D503" s="128" t="s">
        <v>50</v>
      </c>
      <c r="E503" s="128" t="str" cm="1">
        <f t="array" ref="E503">IFERROR(INDEX(SubcategoriesTable[Subcategory name],MATCH(Table1[[#This Row],[Category]],SubcategoriesTable[Category name],0),0),"")</f>
        <v>Variable</v>
      </c>
      <c r="F503" s="134">
        <v>-20</v>
      </c>
      <c r="G503" s="167" t="str">
        <f>_xlfn.XLOOKUP(Table1[[#This Row],[Account_ID]], Accounts[ID], Accounts[Account nickname], "Unknown")</f>
        <v>EVERYDAY CHECKING</v>
      </c>
      <c r="H503" s="137" t="str">
        <f>_xlfn.XLOOKUP(Table1[[#This Row],[Account_ID]], Accounts[ID], Accounts[Account'#], "Unknown")</f>
        <v>4636</v>
      </c>
      <c r="I503" s="168" t="str">
        <f>_xlfn.XLOOKUP(Table1[[#This Row],[Institution_ID]], Institutions[ID], Institutions[Institution nickname], "Unknown")</f>
        <v>Wells Fargo</v>
      </c>
      <c r="J503" s="139" t="s">
        <v>1488</v>
      </c>
      <c r="K503" s="129" t="s">
        <v>1229</v>
      </c>
      <c r="L503" s="129" t="s">
        <v>1228</v>
      </c>
      <c r="M503" s="130" t="str" cm="1">
        <f t="array" ref="M503">IFERROR(INDEX(CategoriesTable[Category type],MATCH(Table1[[#This Row],[Category]],CategoriesTable[Category name],0),0),"")</f>
        <v>Transfer</v>
      </c>
      <c r="N503" s="130" t="str" cm="1">
        <f t="array" ref="N503">IFERROR(INDEX(SubcategoriesTable[Subcategory name],MATCH(Table1[[#This Row],[Category]],SubcategoriesTable[Category name],0),0),"")</f>
        <v>Variable</v>
      </c>
      <c r="O503" s="130">
        <v>9</v>
      </c>
      <c r="P503" s="130">
        <f>MONTH(Table1[[#This Row],[Date]])</f>
        <v>10</v>
      </c>
      <c r="Q503" s="130">
        <v>2020</v>
      </c>
      <c r="R503" s="166">
        <f>IF(ISBLANK(Table1[[#This Row],[Date]]),"",Table1[[#This Row],[Date]]-WEEKDAY(Table1[[#This Row],[Date]],2)+1)</f>
        <v>44109</v>
      </c>
      <c r="S503" s="131">
        <f>IF(ISBLANK(Table1[[#This Row],[Date]]),"",DATE(Table1[[#This Row],[Date_Year]],Table1[[#This Row],[Date_Month]],1))</f>
        <v>44105</v>
      </c>
    </row>
    <row r="504" spans="2:19" ht="15.75" x14ac:dyDescent="0.25">
      <c r="B504" s="133">
        <v>44113</v>
      </c>
      <c r="C504" s="128" t="s">
        <v>1180</v>
      </c>
      <c r="D504" s="128" t="s">
        <v>50</v>
      </c>
      <c r="E504" s="128" t="str" cm="1">
        <f t="array" ref="E504">IFERROR(INDEX(SubcategoriesTable[Subcategory name],MATCH(Table1[[#This Row],[Category]],SubcategoriesTable[Category name],0),0),"")</f>
        <v>Variable</v>
      </c>
      <c r="F504" s="134">
        <v>-572.30999999999995</v>
      </c>
      <c r="G504" s="167" t="str">
        <f>_xlfn.XLOOKUP(Table1[[#This Row],[Account_ID]], Accounts[ID], Accounts[Account nickname], "Unknown")</f>
        <v>EVERYDAY CHECKING</v>
      </c>
      <c r="H504" s="137" t="str">
        <f>_xlfn.XLOOKUP(Table1[[#This Row],[Account_ID]], Accounts[ID], Accounts[Account'#], "Unknown")</f>
        <v>4636</v>
      </c>
      <c r="I504" s="168" t="str">
        <f>_xlfn.XLOOKUP(Table1[[#This Row],[Institution_ID]], Institutions[ID], Institutions[Institution nickname], "Unknown")</f>
        <v>Wells Fargo</v>
      </c>
      <c r="J504" s="139" t="s">
        <v>1489</v>
      </c>
      <c r="K504" s="129" t="s">
        <v>1229</v>
      </c>
      <c r="L504" s="129" t="s">
        <v>1228</v>
      </c>
      <c r="M504" s="130" t="str" cm="1">
        <f t="array" ref="M504">IFERROR(INDEX(CategoriesTable[Category type],MATCH(Table1[[#This Row],[Category]],CategoriesTable[Category name],0),0),"")</f>
        <v>Transfer</v>
      </c>
      <c r="N504" s="130" t="str" cm="1">
        <f t="array" ref="N504">IFERROR(INDEX(SubcategoriesTable[Subcategory name],MATCH(Table1[[#This Row],[Category]],SubcategoriesTable[Category name],0),0),"")</f>
        <v>Variable</v>
      </c>
      <c r="O504" s="130">
        <v>9</v>
      </c>
      <c r="P504" s="130">
        <f>MONTH(Table1[[#This Row],[Date]])</f>
        <v>10</v>
      </c>
      <c r="Q504" s="130">
        <v>2020</v>
      </c>
      <c r="R504" s="166">
        <f>IF(ISBLANK(Table1[[#This Row],[Date]]),"",Table1[[#This Row],[Date]]-WEEKDAY(Table1[[#This Row],[Date]],2)+1)</f>
        <v>44109</v>
      </c>
      <c r="S504" s="131">
        <f>IF(ISBLANK(Table1[[#This Row],[Date]]),"",DATE(Table1[[#This Row],[Date_Year]],Table1[[#This Row],[Date_Month]],1))</f>
        <v>44105</v>
      </c>
    </row>
    <row r="505" spans="2:19" ht="15.75" x14ac:dyDescent="0.25">
      <c r="B505" s="133">
        <v>44113</v>
      </c>
      <c r="C505" s="128" t="s">
        <v>1181</v>
      </c>
      <c r="D505" s="128" t="s">
        <v>59</v>
      </c>
      <c r="E505" s="128" t="str" cm="1">
        <f t="array" ref="E505">IFERROR(INDEX(SubcategoriesTable[Subcategory name],MATCH(Table1[[#This Row],[Category]],SubcategoriesTable[Category name],0),0),"")</f>
        <v>Fixed</v>
      </c>
      <c r="F505" s="134">
        <v>1461.69</v>
      </c>
      <c r="G505" s="167" t="str">
        <f>_xlfn.XLOOKUP(Table1[[#This Row],[Account_ID]], Accounts[ID], Accounts[Account nickname], "Unknown")</f>
        <v>EVERYDAY CHECKING</v>
      </c>
      <c r="H505" s="137" t="str">
        <f>_xlfn.XLOOKUP(Table1[[#This Row],[Account_ID]], Accounts[ID], Accounts[Account'#], "Unknown")</f>
        <v>4636</v>
      </c>
      <c r="I505" s="168" t="str">
        <f>_xlfn.XLOOKUP(Table1[[#This Row],[Institution_ID]], Institutions[ID], Institutions[Institution nickname], "Unknown")</f>
        <v>Wells Fargo</v>
      </c>
      <c r="J505" s="139" t="s">
        <v>1490</v>
      </c>
      <c r="K505" s="129" t="s">
        <v>1229</v>
      </c>
      <c r="L505" s="129" t="s">
        <v>1228</v>
      </c>
      <c r="M505" s="130" t="str" cm="1">
        <f t="array" ref="M505">IFERROR(INDEX(CategoriesTable[Category type],MATCH(Table1[[#This Row],[Category]],CategoriesTable[Category name],0),0),"")</f>
        <v>Income</v>
      </c>
      <c r="N505" s="130" t="str" cm="1">
        <f t="array" ref="N505">IFERROR(INDEX(SubcategoriesTable[Subcategory name],MATCH(Table1[[#This Row],[Category]],SubcategoriesTable[Category name],0),0),"")</f>
        <v>Fixed</v>
      </c>
      <c r="O505" s="130">
        <v>9</v>
      </c>
      <c r="P505" s="130">
        <f>MONTH(Table1[[#This Row],[Date]])</f>
        <v>10</v>
      </c>
      <c r="Q505" s="130">
        <v>2020</v>
      </c>
      <c r="R505" s="166">
        <f>IF(ISBLANK(Table1[[#This Row],[Date]]),"",Table1[[#This Row],[Date]]-WEEKDAY(Table1[[#This Row],[Date]],2)+1)</f>
        <v>44109</v>
      </c>
      <c r="S505" s="131">
        <f>IF(ISBLANK(Table1[[#This Row],[Date]]),"",DATE(Table1[[#This Row],[Date_Year]],Table1[[#This Row],[Date_Month]],1))</f>
        <v>44105</v>
      </c>
    </row>
    <row r="506" spans="2:19" ht="15.75" x14ac:dyDescent="0.25">
      <c r="B506" s="133">
        <v>44113</v>
      </c>
      <c r="C506" s="128" t="s">
        <v>576</v>
      </c>
      <c r="D506" s="128" t="s">
        <v>50</v>
      </c>
      <c r="E506" s="128" t="str" cm="1">
        <f t="array" ref="E506">IFERROR(INDEX(SubcategoriesTable[Subcategory name],MATCH(Table1[[#This Row],[Category]],SubcategoriesTable[Category name],0),0),"")</f>
        <v>Variable</v>
      </c>
      <c r="F506" s="134">
        <v>-8</v>
      </c>
      <c r="G506" s="167" t="str">
        <f>_xlfn.XLOOKUP(Table1[[#This Row],[Account_ID]], Accounts[ID], Accounts[Account nickname], "Unknown")</f>
        <v>Discover it chrome Card</v>
      </c>
      <c r="H506" s="137" t="str">
        <f>_xlfn.XLOOKUP(Table1[[#This Row],[Account_ID]], Accounts[ID], Accounts[Account'#], "Unknown")</f>
        <v>7328</v>
      </c>
      <c r="I506" s="168" t="str">
        <f>_xlfn.XLOOKUP(Table1[[#This Row],[Institution_ID]], Institutions[ID], Institutions[Institution nickname], "Unknown")</f>
        <v>Discover</v>
      </c>
      <c r="J506" s="139" t="s">
        <v>577</v>
      </c>
      <c r="K506" s="129" t="s">
        <v>110</v>
      </c>
      <c r="L506" s="129" t="s">
        <v>108</v>
      </c>
      <c r="M506" s="130" t="str" cm="1">
        <f t="array" ref="M506">IFERROR(INDEX(CategoriesTable[Category type],MATCH(Table1[[#This Row],[Category]],CategoriesTable[Category name],0),0),"")</f>
        <v>Transfer</v>
      </c>
      <c r="N506" s="130" t="str" cm="1">
        <f t="array" ref="N506">IFERROR(INDEX(SubcategoriesTable[Subcategory name],MATCH(Table1[[#This Row],[Category]],SubcategoriesTable[Category name],0),0),"")</f>
        <v>Variable</v>
      </c>
      <c r="O506" s="130">
        <v>9</v>
      </c>
      <c r="P506" s="130">
        <f>MONTH(Table1[[#This Row],[Date]])</f>
        <v>10</v>
      </c>
      <c r="Q506" s="130">
        <v>2020</v>
      </c>
      <c r="R506" s="166">
        <f>IF(ISBLANK(Table1[[#This Row],[Date]]),"",Table1[[#This Row],[Date]]-WEEKDAY(Table1[[#This Row],[Date]],2)+1)</f>
        <v>44109</v>
      </c>
      <c r="S506" s="131">
        <f>IF(ISBLANK(Table1[[#This Row],[Date]]),"",DATE(Table1[[#This Row],[Date_Year]],Table1[[#This Row],[Date_Month]],1))</f>
        <v>44105</v>
      </c>
    </row>
    <row r="507" spans="2:19" ht="15.75" x14ac:dyDescent="0.25">
      <c r="B507" s="133">
        <v>44113</v>
      </c>
      <c r="C507" s="128" t="s">
        <v>578</v>
      </c>
      <c r="D507" s="128" t="s">
        <v>46</v>
      </c>
      <c r="E507" s="128" t="str" cm="1">
        <f t="array" ref="E507">IFERROR(INDEX(SubcategoriesTable[Subcategory name],MATCH(Table1[[#This Row],[Category]],SubcategoriesTable[Category name],0),0),"")</f>
        <v>Variable</v>
      </c>
      <c r="F507" s="134">
        <v>-10.98</v>
      </c>
      <c r="G507" s="167" t="str">
        <f>_xlfn.XLOOKUP(Table1[[#This Row],[Account_ID]], Accounts[ID], Accounts[Account nickname], "Unknown")</f>
        <v>Discover it chrome Card</v>
      </c>
      <c r="H507" s="137" t="str">
        <f>_xlfn.XLOOKUP(Table1[[#This Row],[Account_ID]], Accounts[ID], Accounts[Account'#], "Unknown")</f>
        <v>7328</v>
      </c>
      <c r="I507" s="168" t="str">
        <f>_xlfn.XLOOKUP(Table1[[#This Row],[Institution_ID]], Institutions[ID], Institutions[Institution nickname], "Unknown")</f>
        <v>Discover</v>
      </c>
      <c r="J507" s="139" t="s">
        <v>579</v>
      </c>
      <c r="K507" s="129" t="s">
        <v>110</v>
      </c>
      <c r="L507" s="129" t="s">
        <v>108</v>
      </c>
      <c r="M507" s="130" t="str" cm="1">
        <f t="array" ref="M507">IFERROR(INDEX(CategoriesTable[Category type],MATCH(Table1[[#This Row],[Category]],CategoriesTable[Category name],0),0),"")</f>
        <v>Expense</v>
      </c>
      <c r="N507" s="130" t="str" cm="1">
        <f t="array" ref="N507">IFERROR(INDEX(SubcategoriesTable[Subcategory name],MATCH(Table1[[#This Row],[Category]],SubcategoriesTable[Category name],0),0),"")</f>
        <v>Variable</v>
      </c>
      <c r="O507" s="130">
        <v>9</v>
      </c>
      <c r="P507" s="130">
        <f>MONTH(Table1[[#This Row],[Date]])</f>
        <v>10</v>
      </c>
      <c r="Q507" s="130">
        <v>2020</v>
      </c>
      <c r="R507" s="166">
        <f>IF(ISBLANK(Table1[[#This Row],[Date]]),"",Table1[[#This Row],[Date]]-WEEKDAY(Table1[[#This Row],[Date]],2)+1)</f>
        <v>44109</v>
      </c>
      <c r="S507" s="131">
        <f>IF(ISBLANK(Table1[[#This Row],[Date]]),"",DATE(Table1[[#This Row],[Date_Year]],Table1[[#This Row],[Date_Month]],1))</f>
        <v>44105</v>
      </c>
    </row>
    <row r="508" spans="2:19" ht="15.75" x14ac:dyDescent="0.25">
      <c r="B508" s="133">
        <v>44113</v>
      </c>
      <c r="C508" s="128" t="s">
        <v>580</v>
      </c>
      <c r="D508" s="128" t="s">
        <v>46</v>
      </c>
      <c r="E508" s="128" t="str" cm="1">
        <f t="array" ref="E508">IFERROR(INDEX(SubcategoriesTable[Subcategory name],MATCH(Table1[[#This Row],[Category]],SubcategoriesTable[Category name],0),0),"")</f>
        <v>Variable</v>
      </c>
      <c r="F508" s="134">
        <v>-4.99</v>
      </c>
      <c r="G508" s="167" t="str">
        <f>_xlfn.XLOOKUP(Table1[[#This Row],[Account_ID]], Accounts[ID], Accounts[Account nickname], "Unknown")</f>
        <v>Discover it chrome Card</v>
      </c>
      <c r="H508" s="137" t="str">
        <f>_xlfn.XLOOKUP(Table1[[#This Row],[Account_ID]], Accounts[ID], Accounts[Account'#], "Unknown")</f>
        <v>7328</v>
      </c>
      <c r="I508" s="168" t="str">
        <f>_xlfn.XLOOKUP(Table1[[#This Row],[Institution_ID]], Institutions[ID], Institutions[Institution nickname], "Unknown")</f>
        <v>Discover</v>
      </c>
      <c r="J508" s="139" t="s">
        <v>581</v>
      </c>
      <c r="K508" s="129" t="s">
        <v>110</v>
      </c>
      <c r="L508" s="129" t="s">
        <v>108</v>
      </c>
      <c r="M508" s="130" t="str" cm="1">
        <f t="array" ref="M508">IFERROR(INDEX(CategoriesTable[Category type],MATCH(Table1[[#This Row],[Category]],CategoriesTable[Category name],0),0),"")</f>
        <v>Expense</v>
      </c>
      <c r="N508" s="130" t="str" cm="1">
        <f t="array" ref="N508">IFERROR(INDEX(SubcategoriesTable[Subcategory name],MATCH(Table1[[#This Row],[Category]],SubcategoriesTable[Category name],0),0),"")</f>
        <v>Variable</v>
      </c>
      <c r="O508" s="130">
        <v>9</v>
      </c>
      <c r="P508" s="130">
        <f>MONTH(Table1[[#This Row],[Date]])</f>
        <v>10</v>
      </c>
      <c r="Q508" s="130">
        <v>2020</v>
      </c>
      <c r="R508" s="166">
        <f>IF(ISBLANK(Table1[[#This Row],[Date]]),"",Table1[[#This Row],[Date]]-WEEKDAY(Table1[[#This Row],[Date]],2)+1)</f>
        <v>44109</v>
      </c>
      <c r="S508" s="131">
        <f>IF(ISBLANK(Table1[[#This Row],[Date]]),"",DATE(Table1[[#This Row],[Date_Year]],Table1[[#This Row],[Date_Month]],1))</f>
        <v>44105</v>
      </c>
    </row>
    <row r="509" spans="2:19" ht="15.75" x14ac:dyDescent="0.25">
      <c r="B509" s="133">
        <v>44113</v>
      </c>
      <c r="C509" s="128" t="s">
        <v>113</v>
      </c>
      <c r="D509" s="128" t="s">
        <v>50</v>
      </c>
      <c r="E509" s="128" t="str" cm="1">
        <f t="array" ref="E509">IFERROR(INDEX(SubcategoriesTable[Subcategory name],MATCH(Table1[[#This Row],[Category]],SubcategoriesTable[Category name],0),0),"")</f>
        <v>Variable</v>
      </c>
      <c r="F509" s="134">
        <v>572.30999999999995</v>
      </c>
      <c r="G509" s="167" t="str">
        <f>_xlfn.XLOOKUP(Table1[[#This Row],[Account_ID]], Accounts[ID], Accounts[Account nickname], "Unknown")</f>
        <v>Discover it chrome Card</v>
      </c>
      <c r="H509" s="137" t="str">
        <f>_xlfn.XLOOKUP(Table1[[#This Row],[Account_ID]], Accounts[ID], Accounts[Account'#], "Unknown")</f>
        <v>7328</v>
      </c>
      <c r="I509" s="168" t="str">
        <f>_xlfn.XLOOKUP(Table1[[#This Row],[Institution_ID]], Institutions[ID], Institutions[Institution nickname], "Unknown")</f>
        <v>Discover</v>
      </c>
      <c r="J509" s="139" t="s">
        <v>582</v>
      </c>
      <c r="K509" s="129" t="s">
        <v>110</v>
      </c>
      <c r="L509" s="129" t="s">
        <v>108</v>
      </c>
      <c r="M509" s="130" t="str" cm="1">
        <f t="array" ref="M509">IFERROR(INDEX(CategoriesTable[Category type],MATCH(Table1[[#This Row],[Category]],CategoriesTable[Category name],0),0),"")</f>
        <v>Transfer</v>
      </c>
      <c r="N509" s="130" t="str" cm="1">
        <f t="array" ref="N509">IFERROR(INDEX(SubcategoriesTable[Subcategory name],MATCH(Table1[[#This Row],[Category]],SubcategoriesTable[Category name],0),0),"")</f>
        <v>Variable</v>
      </c>
      <c r="O509" s="130">
        <v>9</v>
      </c>
      <c r="P509" s="130">
        <f>MONTH(Table1[[#This Row],[Date]])</f>
        <v>10</v>
      </c>
      <c r="Q509" s="130">
        <v>2020</v>
      </c>
      <c r="R509" s="166">
        <f>IF(ISBLANK(Table1[[#This Row],[Date]]),"",Table1[[#This Row],[Date]]-WEEKDAY(Table1[[#This Row],[Date]],2)+1)</f>
        <v>44109</v>
      </c>
      <c r="S509" s="131">
        <f>IF(ISBLANK(Table1[[#This Row],[Date]]),"",DATE(Table1[[#This Row],[Date_Year]],Table1[[#This Row],[Date_Month]],1))</f>
        <v>44105</v>
      </c>
    </row>
    <row r="510" spans="2:19" ht="15.75" x14ac:dyDescent="0.25">
      <c r="B510" s="133">
        <v>44113</v>
      </c>
      <c r="C510" s="128" t="s">
        <v>583</v>
      </c>
      <c r="D510" s="128" t="s">
        <v>52</v>
      </c>
      <c r="E510" s="128" t="str" cm="1">
        <f t="array" ref="E510">IFERROR(INDEX(SubcategoriesTable[Subcategory name],MATCH(Table1[[#This Row],[Category]],SubcategoriesTable[Category name],0),0),"")</f>
        <v>Variable</v>
      </c>
      <c r="F510" s="134">
        <v>-30</v>
      </c>
      <c r="G510" s="167" t="str">
        <f>_xlfn.XLOOKUP(Table1[[#This Row],[Account_ID]], Accounts[ID], Accounts[Account nickname], "Unknown")</f>
        <v>Discover it chrome Card</v>
      </c>
      <c r="H510" s="137" t="str">
        <f>_xlfn.XLOOKUP(Table1[[#This Row],[Account_ID]], Accounts[ID], Accounts[Account'#], "Unknown")</f>
        <v>7328</v>
      </c>
      <c r="I510" s="168" t="str">
        <f>_xlfn.XLOOKUP(Table1[[#This Row],[Institution_ID]], Institutions[ID], Institutions[Institution nickname], "Unknown")</f>
        <v>Discover</v>
      </c>
      <c r="J510" s="139" t="s">
        <v>584</v>
      </c>
      <c r="K510" s="129" t="s">
        <v>110</v>
      </c>
      <c r="L510" s="129" t="s">
        <v>108</v>
      </c>
      <c r="M510" s="130" t="str" cm="1">
        <f t="array" ref="M510">IFERROR(INDEX(CategoriesTable[Category type],MATCH(Table1[[#This Row],[Category]],CategoriesTable[Category name],0),0),"")</f>
        <v>Expense</v>
      </c>
      <c r="N510" s="130" t="str" cm="1">
        <f t="array" ref="N510">IFERROR(INDEX(SubcategoriesTable[Subcategory name],MATCH(Table1[[#This Row],[Category]],SubcategoriesTable[Category name],0),0),"")</f>
        <v>Variable</v>
      </c>
      <c r="O510" s="130">
        <v>9</v>
      </c>
      <c r="P510" s="130">
        <f>MONTH(Table1[[#This Row],[Date]])</f>
        <v>10</v>
      </c>
      <c r="Q510" s="130">
        <v>2020</v>
      </c>
      <c r="R510" s="166">
        <f>IF(ISBLANK(Table1[[#This Row],[Date]]),"",Table1[[#This Row],[Date]]-WEEKDAY(Table1[[#This Row],[Date]],2)+1)</f>
        <v>44109</v>
      </c>
      <c r="S510" s="131">
        <f>IF(ISBLANK(Table1[[#This Row],[Date]]),"",DATE(Table1[[#This Row],[Date_Year]],Table1[[#This Row],[Date_Month]],1))</f>
        <v>44105</v>
      </c>
    </row>
    <row r="511" spans="2:19" ht="15.75" x14ac:dyDescent="0.25">
      <c r="B511" s="133">
        <v>44113</v>
      </c>
      <c r="C511" s="128" t="s">
        <v>585</v>
      </c>
      <c r="D511" s="128" t="s">
        <v>45</v>
      </c>
      <c r="E511" s="128" t="str" cm="1">
        <f t="array" ref="E511">IFERROR(INDEX(SubcategoriesTable[Subcategory name],MATCH(Table1[[#This Row],[Category]],SubcategoriesTable[Category name],0),0),"")</f>
        <v>Variable</v>
      </c>
      <c r="F511" s="134">
        <v>-14.64</v>
      </c>
      <c r="G511" s="167" t="str">
        <f>_xlfn.XLOOKUP(Table1[[#This Row],[Account_ID]], Accounts[ID], Accounts[Account nickname], "Unknown")</f>
        <v>Discover it chrome Card</v>
      </c>
      <c r="H511" s="137" t="str">
        <f>_xlfn.XLOOKUP(Table1[[#This Row],[Account_ID]], Accounts[ID], Accounts[Account'#], "Unknown")</f>
        <v>7328</v>
      </c>
      <c r="I511" s="168" t="str">
        <f>_xlfn.XLOOKUP(Table1[[#This Row],[Institution_ID]], Institutions[ID], Institutions[Institution nickname], "Unknown")</f>
        <v>Discover</v>
      </c>
      <c r="J511" s="139" t="s">
        <v>586</v>
      </c>
      <c r="K511" s="129" t="s">
        <v>110</v>
      </c>
      <c r="L511" s="129" t="s">
        <v>108</v>
      </c>
      <c r="M511" s="130" t="str" cm="1">
        <f t="array" ref="M511">IFERROR(INDEX(CategoriesTable[Category type],MATCH(Table1[[#This Row],[Category]],CategoriesTable[Category name],0),0),"")</f>
        <v>Expense</v>
      </c>
      <c r="N511" s="130" t="str" cm="1">
        <f t="array" ref="N511">IFERROR(INDEX(SubcategoriesTable[Subcategory name],MATCH(Table1[[#This Row],[Category]],SubcategoriesTable[Category name],0),0),"")</f>
        <v>Variable</v>
      </c>
      <c r="O511" s="130">
        <v>9</v>
      </c>
      <c r="P511" s="130">
        <f>MONTH(Table1[[#This Row],[Date]])</f>
        <v>10</v>
      </c>
      <c r="Q511" s="130">
        <v>2020</v>
      </c>
      <c r="R511" s="166">
        <f>IF(ISBLANK(Table1[[#This Row],[Date]]),"",Table1[[#This Row],[Date]]-WEEKDAY(Table1[[#This Row],[Date]],2)+1)</f>
        <v>44109</v>
      </c>
      <c r="S511" s="131">
        <f>IF(ISBLANK(Table1[[#This Row],[Date]]),"",DATE(Table1[[#This Row],[Date_Year]],Table1[[#This Row],[Date_Month]],1))</f>
        <v>44105</v>
      </c>
    </row>
    <row r="512" spans="2:19" ht="15.75" x14ac:dyDescent="0.25">
      <c r="B512" s="133">
        <v>44113</v>
      </c>
      <c r="C512" s="128" t="s">
        <v>587</v>
      </c>
      <c r="D512" s="128" t="s">
        <v>56</v>
      </c>
      <c r="E512" s="128" t="str" cm="1">
        <f t="array" ref="E512">IFERROR(INDEX(SubcategoriesTable[Subcategory name],MATCH(Table1[[#This Row],[Category]],SubcategoriesTable[Category name],0),0),"")</f>
        <v>Variable</v>
      </c>
      <c r="F512" s="134">
        <v>-5.52</v>
      </c>
      <c r="G512" s="167" t="str">
        <f>_xlfn.XLOOKUP(Table1[[#This Row],[Account_ID]], Accounts[ID], Accounts[Account nickname], "Unknown")</f>
        <v>Discover it chrome Card</v>
      </c>
      <c r="H512" s="137" t="str">
        <f>_xlfn.XLOOKUP(Table1[[#This Row],[Account_ID]], Accounts[ID], Accounts[Account'#], "Unknown")</f>
        <v>7328</v>
      </c>
      <c r="I512" s="168" t="str">
        <f>_xlfn.XLOOKUP(Table1[[#This Row],[Institution_ID]], Institutions[ID], Institutions[Institution nickname], "Unknown")</f>
        <v>Discover</v>
      </c>
      <c r="J512" s="139" t="s">
        <v>588</v>
      </c>
      <c r="K512" s="129" t="s">
        <v>110</v>
      </c>
      <c r="L512" s="129" t="s">
        <v>108</v>
      </c>
      <c r="M512" s="130" t="str" cm="1">
        <f t="array" ref="M512">IFERROR(INDEX(CategoriesTable[Category type],MATCH(Table1[[#This Row],[Category]],CategoriesTable[Category name],0),0),"")</f>
        <v>Expense</v>
      </c>
      <c r="N512" s="130" t="str" cm="1">
        <f t="array" ref="N512">IFERROR(INDEX(SubcategoriesTable[Subcategory name],MATCH(Table1[[#This Row],[Category]],SubcategoriesTable[Category name],0),0),"")</f>
        <v>Variable</v>
      </c>
      <c r="O512" s="130">
        <v>9</v>
      </c>
      <c r="P512" s="130">
        <f>MONTH(Table1[[#This Row],[Date]])</f>
        <v>10</v>
      </c>
      <c r="Q512" s="130">
        <v>2020</v>
      </c>
      <c r="R512" s="166">
        <f>IF(ISBLANK(Table1[[#This Row],[Date]]),"",Table1[[#This Row],[Date]]-WEEKDAY(Table1[[#This Row],[Date]],2)+1)</f>
        <v>44109</v>
      </c>
      <c r="S512" s="131">
        <f>IF(ISBLANK(Table1[[#This Row],[Date]]),"",DATE(Table1[[#This Row],[Date_Year]],Table1[[#This Row],[Date_Month]],1))</f>
        <v>44105</v>
      </c>
    </row>
    <row r="513" spans="2:19" ht="15.75" x14ac:dyDescent="0.25">
      <c r="B513" s="133">
        <v>44113</v>
      </c>
      <c r="C513" s="128" t="s">
        <v>115</v>
      </c>
      <c r="D513" s="128" t="s">
        <v>48</v>
      </c>
      <c r="E513" s="128" t="str" cm="1">
        <f t="array" ref="E513">IFERROR(INDEX(SubcategoriesTable[Subcategory name],MATCH(Table1[[#This Row],[Category]],SubcategoriesTable[Category name],0),0),"")</f>
        <v>Variable</v>
      </c>
      <c r="F513" s="134">
        <v>-81.16</v>
      </c>
      <c r="G513" s="167" t="str">
        <f>_xlfn.XLOOKUP(Table1[[#This Row],[Account_ID]], Accounts[ID], Accounts[Account nickname], "Unknown")</f>
        <v>Discover it chrome Card</v>
      </c>
      <c r="H513" s="137" t="str">
        <f>_xlfn.XLOOKUP(Table1[[#This Row],[Account_ID]], Accounts[ID], Accounts[Account'#], "Unknown")</f>
        <v>7328</v>
      </c>
      <c r="I513" s="168" t="str">
        <f>_xlfn.XLOOKUP(Table1[[#This Row],[Institution_ID]], Institutions[ID], Institutions[Institution nickname], "Unknown")</f>
        <v>Discover</v>
      </c>
      <c r="J513" s="139" t="s">
        <v>589</v>
      </c>
      <c r="K513" s="129" t="s">
        <v>110</v>
      </c>
      <c r="L513" s="129" t="s">
        <v>108</v>
      </c>
      <c r="M513" s="130" t="str" cm="1">
        <f t="array" ref="M513">IFERROR(INDEX(CategoriesTable[Category type],MATCH(Table1[[#This Row],[Category]],CategoriesTable[Category name],0),0),"")</f>
        <v>Expense</v>
      </c>
      <c r="N513" s="130" t="str" cm="1">
        <f t="array" ref="N513">IFERROR(INDEX(SubcategoriesTable[Subcategory name],MATCH(Table1[[#This Row],[Category]],SubcategoriesTable[Category name],0),0),"")</f>
        <v>Variable</v>
      </c>
      <c r="O513" s="130">
        <v>9</v>
      </c>
      <c r="P513" s="130">
        <f>MONTH(Table1[[#This Row],[Date]])</f>
        <v>10</v>
      </c>
      <c r="Q513" s="130">
        <v>2020</v>
      </c>
      <c r="R513" s="166">
        <f>IF(ISBLANK(Table1[[#This Row],[Date]]),"",Table1[[#This Row],[Date]]-WEEKDAY(Table1[[#This Row],[Date]],2)+1)</f>
        <v>44109</v>
      </c>
      <c r="S513" s="131">
        <f>IF(ISBLANK(Table1[[#This Row],[Date]]),"",DATE(Table1[[#This Row],[Date_Year]],Table1[[#This Row],[Date_Month]],1))</f>
        <v>44105</v>
      </c>
    </row>
    <row r="514" spans="2:19" ht="15.75" x14ac:dyDescent="0.25">
      <c r="B514" s="133">
        <v>44113</v>
      </c>
      <c r="C514" s="128" t="s">
        <v>590</v>
      </c>
      <c r="D514" s="128" t="s">
        <v>48</v>
      </c>
      <c r="E514" s="128" t="str" cm="1">
        <f t="array" ref="E514">IFERROR(INDEX(SubcategoriesTable[Subcategory name],MATCH(Table1[[#This Row],[Category]],SubcategoriesTable[Category name],0),0),"")</f>
        <v>Variable</v>
      </c>
      <c r="F514" s="134">
        <v>-24.06</v>
      </c>
      <c r="G514" s="167" t="str">
        <f>_xlfn.XLOOKUP(Table1[[#This Row],[Account_ID]], Accounts[ID], Accounts[Account nickname], "Unknown")</f>
        <v>Discover it chrome Card</v>
      </c>
      <c r="H514" s="137" t="str">
        <f>_xlfn.XLOOKUP(Table1[[#This Row],[Account_ID]], Accounts[ID], Accounts[Account'#], "Unknown")</f>
        <v>7328</v>
      </c>
      <c r="I514" s="168" t="str">
        <f>_xlfn.XLOOKUP(Table1[[#This Row],[Institution_ID]], Institutions[ID], Institutions[Institution nickname], "Unknown")</f>
        <v>Discover</v>
      </c>
      <c r="J514" s="139" t="s">
        <v>591</v>
      </c>
      <c r="K514" s="129" t="s">
        <v>110</v>
      </c>
      <c r="L514" s="129" t="s">
        <v>108</v>
      </c>
      <c r="M514" s="130" t="str" cm="1">
        <f t="array" ref="M514">IFERROR(INDEX(CategoriesTable[Category type],MATCH(Table1[[#This Row],[Category]],CategoriesTable[Category name],0),0),"")</f>
        <v>Expense</v>
      </c>
      <c r="N514" s="130" t="str" cm="1">
        <f t="array" ref="N514">IFERROR(INDEX(SubcategoriesTable[Subcategory name],MATCH(Table1[[#This Row],[Category]],SubcategoriesTable[Category name],0),0),"")</f>
        <v>Variable</v>
      </c>
      <c r="O514" s="130">
        <v>9</v>
      </c>
      <c r="P514" s="130">
        <f>MONTH(Table1[[#This Row],[Date]])</f>
        <v>10</v>
      </c>
      <c r="Q514" s="130">
        <v>2020</v>
      </c>
      <c r="R514" s="166">
        <f>IF(ISBLANK(Table1[[#This Row],[Date]]),"",Table1[[#This Row],[Date]]-WEEKDAY(Table1[[#This Row],[Date]],2)+1)</f>
        <v>44109</v>
      </c>
      <c r="S514" s="131">
        <f>IF(ISBLANK(Table1[[#This Row],[Date]]),"",DATE(Table1[[#This Row],[Date_Year]],Table1[[#This Row],[Date_Month]],1))</f>
        <v>44105</v>
      </c>
    </row>
    <row r="515" spans="2:19" ht="15.75" x14ac:dyDescent="0.25">
      <c r="B515" s="133">
        <v>44112</v>
      </c>
      <c r="C515" s="128" t="s">
        <v>1202</v>
      </c>
      <c r="D515" s="128" t="s">
        <v>50</v>
      </c>
      <c r="E515" s="128" t="str" cm="1">
        <f t="array" ref="E515">IFERROR(INDEX(SubcategoriesTable[Subcategory name],MATCH(Table1[[#This Row],[Category]],SubcategoriesTable[Category name],0),0),"")</f>
        <v>Variable</v>
      </c>
      <c r="F515" s="134">
        <v>95</v>
      </c>
      <c r="G515" s="167" t="str">
        <f>_xlfn.XLOOKUP(Table1[[#This Row],[Account_ID]], Accounts[ID], Accounts[Account nickname], "Unknown")</f>
        <v>EVERYDAY CHECKING</v>
      </c>
      <c r="H515" s="137" t="str">
        <f>_xlfn.XLOOKUP(Table1[[#This Row],[Account_ID]], Accounts[ID], Accounts[Account'#], "Unknown")</f>
        <v>4636</v>
      </c>
      <c r="I515" s="168" t="str">
        <f>_xlfn.XLOOKUP(Table1[[#This Row],[Institution_ID]], Institutions[ID], Institutions[Institution nickname], "Unknown")</f>
        <v>Wells Fargo</v>
      </c>
      <c r="J515" s="139" t="s">
        <v>1491</v>
      </c>
      <c r="K515" s="129" t="s">
        <v>1229</v>
      </c>
      <c r="L515" s="129" t="s">
        <v>1228</v>
      </c>
      <c r="M515" s="130" t="str" cm="1">
        <f t="array" ref="M515">IFERROR(INDEX(CategoriesTable[Category type],MATCH(Table1[[#This Row],[Category]],CategoriesTable[Category name],0),0),"")</f>
        <v>Transfer</v>
      </c>
      <c r="N515" s="130" t="str" cm="1">
        <f t="array" ref="N515">IFERROR(INDEX(SubcategoriesTable[Subcategory name],MATCH(Table1[[#This Row],[Category]],SubcategoriesTable[Category name],0),0),"")</f>
        <v>Variable</v>
      </c>
      <c r="O515" s="130">
        <v>8</v>
      </c>
      <c r="P515" s="130">
        <f>MONTH(Table1[[#This Row],[Date]])</f>
        <v>10</v>
      </c>
      <c r="Q515" s="130">
        <v>2020</v>
      </c>
      <c r="R515" s="166">
        <f>IF(ISBLANK(Table1[[#This Row],[Date]]),"",Table1[[#This Row],[Date]]-WEEKDAY(Table1[[#This Row],[Date]],2)+1)</f>
        <v>44109</v>
      </c>
      <c r="S515" s="131">
        <f>IF(ISBLANK(Table1[[#This Row],[Date]]),"",DATE(Table1[[#This Row],[Date_Year]],Table1[[#This Row],[Date_Month]],1))</f>
        <v>44105</v>
      </c>
    </row>
    <row r="516" spans="2:19" ht="15.75" x14ac:dyDescent="0.25">
      <c r="B516" s="133">
        <v>44112</v>
      </c>
      <c r="C516" s="128" t="s">
        <v>380</v>
      </c>
      <c r="D516" s="128" t="s">
        <v>46</v>
      </c>
      <c r="E516" s="128" t="str" cm="1">
        <f t="array" ref="E516">IFERROR(INDEX(SubcategoriesTable[Subcategory name],MATCH(Table1[[#This Row],[Category]],SubcategoriesTable[Category name],0),0),"")</f>
        <v>Variable</v>
      </c>
      <c r="F516" s="134">
        <v>2.5</v>
      </c>
      <c r="G516" s="167" t="str">
        <f>_xlfn.XLOOKUP(Table1[[#This Row],[Account_ID]], Accounts[ID], Accounts[Account nickname], "Unknown")</f>
        <v>Discover it chrome Card</v>
      </c>
      <c r="H516" s="137" t="str">
        <f>_xlfn.XLOOKUP(Table1[[#This Row],[Account_ID]], Accounts[ID], Accounts[Account'#], "Unknown")</f>
        <v>7328</v>
      </c>
      <c r="I516" s="168" t="str">
        <f>_xlfn.XLOOKUP(Table1[[#This Row],[Institution_ID]], Institutions[ID], Institutions[Institution nickname], "Unknown")</f>
        <v>Discover</v>
      </c>
      <c r="J516" s="139" t="s">
        <v>592</v>
      </c>
      <c r="K516" s="129" t="s">
        <v>110</v>
      </c>
      <c r="L516" s="129" t="s">
        <v>108</v>
      </c>
      <c r="M516" s="130" t="str" cm="1">
        <f t="array" ref="M516">IFERROR(INDEX(CategoriesTable[Category type],MATCH(Table1[[#This Row],[Category]],CategoriesTable[Category name],0),0),"")</f>
        <v>Expense</v>
      </c>
      <c r="N516" s="130" t="str" cm="1">
        <f t="array" ref="N516">IFERROR(INDEX(SubcategoriesTable[Subcategory name],MATCH(Table1[[#This Row],[Category]],SubcategoriesTable[Category name],0),0),"")</f>
        <v>Variable</v>
      </c>
      <c r="O516" s="130">
        <v>8</v>
      </c>
      <c r="P516" s="130">
        <f>MONTH(Table1[[#This Row],[Date]])</f>
        <v>10</v>
      </c>
      <c r="Q516" s="130">
        <v>2020</v>
      </c>
      <c r="R516" s="166">
        <f>IF(ISBLANK(Table1[[#This Row],[Date]]),"",Table1[[#This Row],[Date]]-WEEKDAY(Table1[[#This Row],[Date]],2)+1)</f>
        <v>44109</v>
      </c>
      <c r="S516" s="131">
        <f>IF(ISBLANK(Table1[[#This Row],[Date]]),"",DATE(Table1[[#This Row],[Date_Year]],Table1[[#This Row],[Date_Month]],1))</f>
        <v>44105</v>
      </c>
    </row>
    <row r="517" spans="2:19" ht="15.75" x14ac:dyDescent="0.25">
      <c r="B517" s="133">
        <v>44112</v>
      </c>
      <c r="C517" s="128" t="s">
        <v>380</v>
      </c>
      <c r="D517" s="128" t="s">
        <v>46</v>
      </c>
      <c r="E517" s="128" t="str" cm="1">
        <f t="array" ref="E517">IFERROR(INDEX(SubcategoriesTable[Subcategory name],MATCH(Table1[[#This Row],[Category]],SubcategoriesTable[Category name],0),0),"")</f>
        <v>Variable</v>
      </c>
      <c r="F517" s="134">
        <v>-9.99</v>
      </c>
      <c r="G517" s="167" t="str">
        <f>_xlfn.XLOOKUP(Table1[[#This Row],[Account_ID]], Accounts[ID], Accounts[Account nickname], "Unknown")</f>
        <v>Discover it chrome Card</v>
      </c>
      <c r="H517" s="137" t="str">
        <f>_xlfn.XLOOKUP(Table1[[#This Row],[Account_ID]], Accounts[ID], Accounts[Account'#], "Unknown")</f>
        <v>7328</v>
      </c>
      <c r="I517" s="168" t="str">
        <f>_xlfn.XLOOKUP(Table1[[#This Row],[Institution_ID]], Institutions[ID], Institutions[Institution nickname], "Unknown")</f>
        <v>Discover</v>
      </c>
      <c r="J517" s="139" t="s">
        <v>593</v>
      </c>
      <c r="K517" s="129" t="s">
        <v>110</v>
      </c>
      <c r="L517" s="129" t="s">
        <v>108</v>
      </c>
      <c r="M517" s="130" t="str" cm="1">
        <f t="array" ref="M517">IFERROR(INDEX(CategoriesTable[Category type],MATCH(Table1[[#This Row],[Category]],CategoriesTable[Category name],0),0),"")</f>
        <v>Expense</v>
      </c>
      <c r="N517" s="130" t="str" cm="1">
        <f t="array" ref="N517">IFERROR(INDEX(SubcategoriesTable[Subcategory name],MATCH(Table1[[#This Row],[Category]],SubcategoriesTable[Category name],0),0),"")</f>
        <v>Variable</v>
      </c>
      <c r="O517" s="130">
        <v>8</v>
      </c>
      <c r="P517" s="130">
        <f>MONTH(Table1[[#This Row],[Date]])</f>
        <v>10</v>
      </c>
      <c r="Q517" s="130">
        <v>2020</v>
      </c>
      <c r="R517" s="166">
        <f>IF(ISBLANK(Table1[[#This Row],[Date]]),"",Table1[[#This Row],[Date]]-WEEKDAY(Table1[[#This Row],[Date]],2)+1)</f>
        <v>44109</v>
      </c>
      <c r="S517" s="131">
        <f>IF(ISBLANK(Table1[[#This Row],[Date]]),"",DATE(Table1[[#This Row],[Date_Year]],Table1[[#This Row],[Date_Month]],1))</f>
        <v>44105</v>
      </c>
    </row>
    <row r="518" spans="2:19" ht="15.75" x14ac:dyDescent="0.25">
      <c r="B518" s="133">
        <v>44112</v>
      </c>
      <c r="C518" s="128" t="s">
        <v>380</v>
      </c>
      <c r="D518" s="128" t="s">
        <v>46</v>
      </c>
      <c r="E518" s="128" t="str" cm="1">
        <f t="array" ref="E518">IFERROR(INDEX(SubcategoriesTable[Subcategory name],MATCH(Table1[[#This Row],[Category]],SubcategoriesTable[Category name],0),0),"")</f>
        <v>Variable</v>
      </c>
      <c r="F518" s="134">
        <v>-4.99</v>
      </c>
      <c r="G518" s="167" t="str">
        <f>_xlfn.XLOOKUP(Table1[[#This Row],[Account_ID]], Accounts[ID], Accounts[Account nickname], "Unknown")</f>
        <v>Discover it chrome Card</v>
      </c>
      <c r="H518" s="137" t="str">
        <f>_xlfn.XLOOKUP(Table1[[#This Row],[Account_ID]], Accounts[ID], Accounts[Account'#], "Unknown")</f>
        <v>7328</v>
      </c>
      <c r="I518" s="168" t="str">
        <f>_xlfn.XLOOKUP(Table1[[#This Row],[Institution_ID]], Institutions[ID], Institutions[Institution nickname], "Unknown")</f>
        <v>Discover</v>
      </c>
      <c r="J518" s="139" t="s">
        <v>594</v>
      </c>
      <c r="K518" s="129" t="s">
        <v>110</v>
      </c>
      <c r="L518" s="129" t="s">
        <v>108</v>
      </c>
      <c r="M518" s="130" t="str" cm="1">
        <f t="array" ref="M518">IFERROR(INDEX(CategoriesTable[Category type],MATCH(Table1[[#This Row],[Category]],CategoriesTable[Category name],0),0),"")</f>
        <v>Expense</v>
      </c>
      <c r="N518" s="130" t="str" cm="1">
        <f t="array" ref="N518">IFERROR(INDEX(SubcategoriesTable[Subcategory name],MATCH(Table1[[#This Row],[Category]],SubcategoriesTable[Category name],0),0),"")</f>
        <v>Variable</v>
      </c>
      <c r="O518" s="130">
        <v>8</v>
      </c>
      <c r="P518" s="130">
        <f>MONTH(Table1[[#This Row],[Date]])</f>
        <v>10</v>
      </c>
      <c r="Q518" s="130">
        <v>2020</v>
      </c>
      <c r="R518" s="166">
        <f>IF(ISBLANK(Table1[[#This Row],[Date]]),"",Table1[[#This Row],[Date]]-WEEKDAY(Table1[[#This Row],[Date]],2)+1)</f>
        <v>44109</v>
      </c>
      <c r="S518" s="131">
        <f>IF(ISBLANK(Table1[[#This Row],[Date]]),"",DATE(Table1[[#This Row],[Date_Year]],Table1[[#This Row],[Date_Month]],1))</f>
        <v>44105</v>
      </c>
    </row>
    <row r="519" spans="2:19" ht="15.75" x14ac:dyDescent="0.25">
      <c r="B519" s="133">
        <v>44112</v>
      </c>
      <c r="C519" s="128" t="s">
        <v>115</v>
      </c>
      <c r="D519" s="128" t="s">
        <v>48</v>
      </c>
      <c r="E519" s="128" t="str" cm="1">
        <f t="array" ref="E519">IFERROR(INDEX(SubcategoriesTable[Subcategory name],MATCH(Table1[[#This Row],[Category]],SubcategoriesTable[Category name],0),0),"")</f>
        <v>Variable</v>
      </c>
      <c r="F519" s="134">
        <v>-277.63</v>
      </c>
      <c r="G519" s="167" t="str">
        <f>_xlfn.XLOOKUP(Table1[[#This Row],[Account_ID]], Accounts[ID], Accounts[Account nickname], "Unknown")</f>
        <v>Discover it chrome Card</v>
      </c>
      <c r="H519" s="137" t="str">
        <f>_xlfn.XLOOKUP(Table1[[#This Row],[Account_ID]], Accounts[ID], Accounts[Account'#], "Unknown")</f>
        <v>7328</v>
      </c>
      <c r="I519" s="168" t="str">
        <f>_xlfn.XLOOKUP(Table1[[#This Row],[Institution_ID]], Institutions[ID], Institutions[Institution nickname], "Unknown")</f>
        <v>Discover</v>
      </c>
      <c r="J519" s="139" t="s">
        <v>595</v>
      </c>
      <c r="K519" s="129" t="s">
        <v>110</v>
      </c>
      <c r="L519" s="129" t="s">
        <v>108</v>
      </c>
      <c r="M519" s="130" t="str" cm="1">
        <f t="array" ref="M519">IFERROR(INDEX(CategoriesTable[Category type],MATCH(Table1[[#This Row],[Category]],CategoriesTable[Category name],0),0),"")</f>
        <v>Expense</v>
      </c>
      <c r="N519" s="130" t="str" cm="1">
        <f t="array" ref="N519">IFERROR(INDEX(SubcategoriesTable[Subcategory name],MATCH(Table1[[#This Row],[Category]],SubcategoriesTable[Category name],0),0),"")</f>
        <v>Variable</v>
      </c>
      <c r="O519" s="130">
        <v>8</v>
      </c>
      <c r="P519" s="130">
        <f>MONTH(Table1[[#This Row],[Date]])</f>
        <v>10</v>
      </c>
      <c r="Q519" s="130">
        <v>2020</v>
      </c>
      <c r="R519" s="166">
        <f>IF(ISBLANK(Table1[[#This Row],[Date]]),"",Table1[[#This Row],[Date]]-WEEKDAY(Table1[[#This Row],[Date]],2)+1)</f>
        <v>44109</v>
      </c>
      <c r="S519" s="131">
        <f>IF(ISBLANK(Table1[[#This Row],[Date]]),"",DATE(Table1[[#This Row],[Date_Year]],Table1[[#This Row],[Date_Month]],1))</f>
        <v>44105</v>
      </c>
    </row>
    <row r="520" spans="2:19" ht="15.75" x14ac:dyDescent="0.25">
      <c r="B520" s="133">
        <v>44111</v>
      </c>
      <c r="C520" s="128" t="s">
        <v>1185</v>
      </c>
      <c r="D520" s="128" t="s">
        <v>57</v>
      </c>
      <c r="E520" s="128" t="str" cm="1">
        <f t="array" ref="E520">IFERROR(INDEX(SubcategoriesTable[Subcategory name],MATCH(Table1[[#This Row],[Category]],SubcategoriesTable[Category name],0),0),"")</f>
        <v>Variable</v>
      </c>
      <c r="F520" s="134">
        <v>160.01</v>
      </c>
      <c r="G520" s="167" t="str">
        <f>_xlfn.XLOOKUP(Table1[[#This Row],[Account_ID]], Accounts[ID], Accounts[Account nickname], "Unknown")</f>
        <v>EVERYDAY CHECKING</v>
      </c>
      <c r="H520" s="137" t="str">
        <f>_xlfn.XLOOKUP(Table1[[#This Row],[Account_ID]], Accounts[ID], Accounts[Account'#], "Unknown")</f>
        <v>4636</v>
      </c>
      <c r="I520" s="168" t="str">
        <f>_xlfn.XLOOKUP(Table1[[#This Row],[Institution_ID]], Institutions[ID], Institutions[Institution nickname], "Unknown")</f>
        <v>Wells Fargo</v>
      </c>
      <c r="J520" s="139" t="s">
        <v>1492</v>
      </c>
      <c r="K520" s="129" t="s">
        <v>1229</v>
      </c>
      <c r="L520" s="129" t="s">
        <v>1228</v>
      </c>
      <c r="M520" s="130" t="str" cm="1">
        <f t="array" ref="M520">IFERROR(INDEX(CategoriesTable[Category type],MATCH(Table1[[#This Row],[Category]],CategoriesTable[Category name],0),0),"")</f>
        <v>Transfer</v>
      </c>
      <c r="N520" s="130" t="str" cm="1">
        <f t="array" ref="N520">IFERROR(INDEX(SubcategoriesTable[Subcategory name],MATCH(Table1[[#This Row],[Category]],SubcategoriesTable[Category name],0),0),"")</f>
        <v>Variable</v>
      </c>
      <c r="O520" s="130">
        <v>7</v>
      </c>
      <c r="P520" s="130">
        <f>MONTH(Table1[[#This Row],[Date]])</f>
        <v>10</v>
      </c>
      <c r="Q520" s="130">
        <v>2020</v>
      </c>
      <c r="R520" s="166">
        <f>IF(ISBLANK(Table1[[#This Row],[Date]]),"",Table1[[#This Row],[Date]]-WEEKDAY(Table1[[#This Row],[Date]],2)+1)</f>
        <v>44109</v>
      </c>
      <c r="S520" s="131">
        <f>IF(ISBLANK(Table1[[#This Row],[Date]]),"",DATE(Table1[[#This Row],[Date_Year]],Table1[[#This Row],[Date_Month]],1))</f>
        <v>44105</v>
      </c>
    </row>
    <row r="521" spans="2:19" ht="15.75" x14ac:dyDescent="0.25">
      <c r="B521" s="133">
        <v>44111</v>
      </c>
      <c r="C521" s="128" t="s">
        <v>256</v>
      </c>
      <c r="D521" s="128" t="s">
        <v>46</v>
      </c>
      <c r="E521" s="128" t="str" cm="1">
        <f t="array" ref="E521">IFERROR(INDEX(SubcategoriesTable[Subcategory name],MATCH(Table1[[#This Row],[Category]],SubcategoriesTable[Category name],0),0),"")</f>
        <v>Variable</v>
      </c>
      <c r="F521" s="134">
        <v>189.53</v>
      </c>
      <c r="G521" s="167" t="str">
        <f>_xlfn.XLOOKUP(Table1[[#This Row],[Account_ID]], Accounts[ID], Accounts[Account nickname], "Unknown")</f>
        <v>Discover it chrome Card</v>
      </c>
      <c r="H521" s="137" t="str">
        <f>_xlfn.XLOOKUP(Table1[[#This Row],[Account_ID]], Accounts[ID], Accounts[Account'#], "Unknown")</f>
        <v>7328</v>
      </c>
      <c r="I521" s="168" t="str">
        <f>_xlfn.XLOOKUP(Table1[[#This Row],[Institution_ID]], Institutions[ID], Institutions[Institution nickname], "Unknown")</f>
        <v>Discover</v>
      </c>
      <c r="J521" s="139" t="s">
        <v>596</v>
      </c>
      <c r="K521" s="129" t="s">
        <v>110</v>
      </c>
      <c r="L521" s="129" t="s">
        <v>108</v>
      </c>
      <c r="M521" s="130" t="str" cm="1">
        <f t="array" ref="M521">IFERROR(INDEX(CategoriesTable[Category type],MATCH(Table1[[#This Row],[Category]],CategoriesTable[Category name],0),0),"")</f>
        <v>Expense</v>
      </c>
      <c r="N521" s="130" t="str" cm="1">
        <f t="array" ref="N521">IFERROR(INDEX(SubcategoriesTable[Subcategory name],MATCH(Table1[[#This Row],[Category]],SubcategoriesTable[Category name],0),0),"")</f>
        <v>Variable</v>
      </c>
      <c r="O521" s="130">
        <v>7</v>
      </c>
      <c r="P521" s="130">
        <f>MONTH(Table1[[#This Row],[Date]])</f>
        <v>10</v>
      </c>
      <c r="Q521" s="130">
        <v>2020</v>
      </c>
      <c r="R521" s="166">
        <f>IF(ISBLANK(Table1[[#This Row],[Date]]),"",Table1[[#This Row],[Date]]-WEEKDAY(Table1[[#This Row],[Date]],2)+1)</f>
        <v>44109</v>
      </c>
      <c r="S521" s="131">
        <f>IF(ISBLANK(Table1[[#This Row],[Date]]),"",DATE(Table1[[#This Row],[Date_Year]],Table1[[#This Row],[Date_Month]],1))</f>
        <v>44105</v>
      </c>
    </row>
    <row r="522" spans="2:19" ht="15.75" x14ac:dyDescent="0.25">
      <c r="B522" s="133">
        <v>44111</v>
      </c>
      <c r="C522" s="128" t="s">
        <v>125</v>
      </c>
      <c r="D522" s="128" t="s">
        <v>45</v>
      </c>
      <c r="E522" s="128" t="str" cm="1">
        <f t="array" ref="E522">IFERROR(INDEX(SubcategoriesTable[Subcategory name],MATCH(Table1[[#This Row],[Category]],SubcategoriesTable[Category name],0),0),"")</f>
        <v>Variable</v>
      </c>
      <c r="F522" s="134">
        <v>-8.0299999999999994</v>
      </c>
      <c r="G522" s="167" t="str">
        <f>_xlfn.XLOOKUP(Table1[[#This Row],[Account_ID]], Accounts[ID], Accounts[Account nickname], "Unknown")</f>
        <v>Discover it chrome Card</v>
      </c>
      <c r="H522" s="137" t="str">
        <f>_xlfn.XLOOKUP(Table1[[#This Row],[Account_ID]], Accounts[ID], Accounts[Account'#], "Unknown")</f>
        <v>7328</v>
      </c>
      <c r="I522" s="168" t="str">
        <f>_xlfn.XLOOKUP(Table1[[#This Row],[Institution_ID]], Institutions[ID], Institutions[Institution nickname], "Unknown")</f>
        <v>Discover</v>
      </c>
      <c r="J522" s="139" t="s">
        <v>597</v>
      </c>
      <c r="K522" s="129" t="s">
        <v>110</v>
      </c>
      <c r="L522" s="129" t="s">
        <v>108</v>
      </c>
      <c r="M522" s="130" t="str" cm="1">
        <f t="array" ref="M522">IFERROR(INDEX(CategoriesTable[Category type],MATCH(Table1[[#This Row],[Category]],CategoriesTable[Category name],0),0),"")</f>
        <v>Expense</v>
      </c>
      <c r="N522" s="130" t="str" cm="1">
        <f t="array" ref="N522">IFERROR(INDEX(SubcategoriesTable[Subcategory name],MATCH(Table1[[#This Row],[Category]],SubcategoriesTable[Category name],0),0),"")</f>
        <v>Variable</v>
      </c>
      <c r="O522" s="130">
        <v>7</v>
      </c>
      <c r="P522" s="130">
        <f>MONTH(Table1[[#This Row],[Date]])</f>
        <v>10</v>
      </c>
      <c r="Q522" s="130">
        <v>2020</v>
      </c>
      <c r="R522" s="166">
        <f>IF(ISBLANK(Table1[[#This Row],[Date]]),"",Table1[[#This Row],[Date]]-WEEKDAY(Table1[[#This Row],[Date]],2)+1)</f>
        <v>44109</v>
      </c>
      <c r="S522" s="131">
        <f>IF(ISBLANK(Table1[[#This Row],[Date]]),"",DATE(Table1[[#This Row],[Date_Year]],Table1[[#This Row],[Date_Month]],1))</f>
        <v>44105</v>
      </c>
    </row>
    <row r="523" spans="2:19" ht="15.75" x14ac:dyDescent="0.25">
      <c r="B523" s="133">
        <v>44110</v>
      </c>
      <c r="C523" s="128" t="s">
        <v>598</v>
      </c>
      <c r="D523" s="128" t="s">
        <v>46</v>
      </c>
      <c r="E523" s="128" t="str" cm="1">
        <f t="array" ref="E523">IFERROR(INDEX(SubcategoriesTable[Subcategory name],MATCH(Table1[[#This Row],[Category]],SubcategoriesTable[Category name],0),0),"")</f>
        <v>Variable</v>
      </c>
      <c r="F523" s="134">
        <v>-9.99</v>
      </c>
      <c r="G523" s="167" t="str">
        <f>_xlfn.XLOOKUP(Table1[[#This Row],[Account_ID]], Accounts[ID], Accounts[Account nickname], "Unknown")</f>
        <v>Discover it chrome Card</v>
      </c>
      <c r="H523" s="137" t="str">
        <f>_xlfn.XLOOKUP(Table1[[#This Row],[Account_ID]], Accounts[ID], Accounts[Account'#], "Unknown")</f>
        <v>7328</v>
      </c>
      <c r="I523" s="168" t="str">
        <f>_xlfn.XLOOKUP(Table1[[#This Row],[Institution_ID]], Institutions[ID], Institutions[Institution nickname], "Unknown")</f>
        <v>Discover</v>
      </c>
      <c r="J523" s="139" t="s">
        <v>599</v>
      </c>
      <c r="K523" s="129" t="s">
        <v>110</v>
      </c>
      <c r="L523" s="129" t="s">
        <v>108</v>
      </c>
      <c r="M523" s="130" t="str" cm="1">
        <f t="array" ref="M523">IFERROR(INDEX(CategoriesTable[Category type],MATCH(Table1[[#This Row],[Category]],CategoriesTable[Category name],0),0),"")</f>
        <v>Expense</v>
      </c>
      <c r="N523" s="130" t="str" cm="1">
        <f t="array" ref="N523">IFERROR(INDEX(SubcategoriesTable[Subcategory name],MATCH(Table1[[#This Row],[Category]],SubcategoriesTable[Category name],0),0),"")</f>
        <v>Variable</v>
      </c>
      <c r="O523" s="130">
        <v>6</v>
      </c>
      <c r="P523" s="130">
        <f>MONTH(Table1[[#This Row],[Date]])</f>
        <v>10</v>
      </c>
      <c r="Q523" s="130">
        <v>2020</v>
      </c>
      <c r="R523" s="166">
        <f>IF(ISBLANK(Table1[[#This Row],[Date]]),"",Table1[[#This Row],[Date]]-WEEKDAY(Table1[[#This Row],[Date]],2)+1)</f>
        <v>44109</v>
      </c>
      <c r="S523" s="131">
        <f>IF(ISBLANK(Table1[[#This Row],[Date]]),"",DATE(Table1[[#This Row],[Date_Year]],Table1[[#This Row],[Date_Month]],1))</f>
        <v>44105</v>
      </c>
    </row>
    <row r="524" spans="2:19" ht="15.75" x14ac:dyDescent="0.25">
      <c r="B524" s="133">
        <v>44109</v>
      </c>
      <c r="C524" s="128" t="s">
        <v>1493</v>
      </c>
      <c r="D524" s="128" t="s">
        <v>59</v>
      </c>
      <c r="E524" s="128" t="str" cm="1">
        <f t="array" ref="E524">IFERROR(INDEX(SubcategoriesTable[Subcategory name],MATCH(Table1[[#This Row],[Category]],SubcategoriesTable[Category name],0),0),"")</f>
        <v>Fixed</v>
      </c>
      <c r="F524" s="134">
        <v>100</v>
      </c>
      <c r="G524" s="167" t="str">
        <f>_xlfn.XLOOKUP(Table1[[#This Row],[Account_ID]], Accounts[ID], Accounts[Account nickname], "Unknown")</f>
        <v>EVERYDAY CHECKING</v>
      </c>
      <c r="H524" s="137" t="str">
        <f>_xlfn.XLOOKUP(Table1[[#This Row],[Account_ID]], Accounts[ID], Accounts[Account'#], "Unknown")</f>
        <v>4636</v>
      </c>
      <c r="I524" s="168" t="str">
        <f>_xlfn.XLOOKUP(Table1[[#This Row],[Institution_ID]], Institutions[ID], Institutions[Institution nickname], "Unknown")</f>
        <v>Wells Fargo</v>
      </c>
      <c r="J524" s="139" t="s">
        <v>1494</v>
      </c>
      <c r="K524" s="129" t="s">
        <v>1229</v>
      </c>
      <c r="L524" s="129" t="s">
        <v>1228</v>
      </c>
      <c r="M524" s="130" t="str" cm="1">
        <f t="array" ref="M524">IFERROR(INDEX(CategoriesTable[Category type],MATCH(Table1[[#This Row],[Category]],CategoriesTable[Category name],0),0),"")</f>
        <v>Income</v>
      </c>
      <c r="N524" s="130" t="str" cm="1">
        <f t="array" ref="N524">IFERROR(INDEX(SubcategoriesTable[Subcategory name],MATCH(Table1[[#This Row],[Category]],SubcategoriesTable[Category name],0),0),"")</f>
        <v>Fixed</v>
      </c>
      <c r="O524" s="130">
        <v>5</v>
      </c>
      <c r="P524" s="130">
        <f>MONTH(Table1[[#This Row],[Date]])</f>
        <v>10</v>
      </c>
      <c r="Q524" s="130">
        <v>2020</v>
      </c>
      <c r="R524" s="166">
        <f>IF(ISBLANK(Table1[[#This Row],[Date]]),"",Table1[[#This Row],[Date]]-WEEKDAY(Table1[[#This Row],[Date]],2)+1)</f>
        <v>44109</v>
      </c>
      <c r="S524" s="131">
        <f>IF(ISBLANK(Table1[[#This Row],[Date]]),"",DATE(Table1[[#This Row],[Date_Year]],Table1[[#This Row],[Date_Month]],1))</f>
        <v>44105</v>
      </c>
    </row>
    <row r="525" spans="2:19" ht="15.75" x14ac:dyDescent="0.25">
      <c r="B525" s="133">
        <v>44109</v>
      </c>
      <c r="C525" s="128" t="s">
        <v>1495</v>
      </c>
      <c r="D525" s="128" t="s">
        <v>58</v>
      </c>
      <c r="E525" s="128" t="str" cm="1">
        <f t="array" ref="E525">IFERROR(INDEX(SubcategoriesTable[Subcategory name],MATCH(Table1[[#This Row],[Category]],SubcategoriesTable[Category name],0),0),"")</f>
        <v>Fixed</v>
      </c>
      <c r="F525" s="134">
        <v>-99.45</v>
      </c>
      <c r="G525" s="167" t="str">
        <f>_xlfn.XLOOKUP(Table1[[#This Row],[Account_ID]], Accounts[ID], Accounts[Account nickname], "Unknown")</f>
        <v>EVERYDAY CHECKING</v>
      </c>
      <c r="H525" s="137" t="str">
        <f>_xlfn.XLOOKUP(Table1[[#This Row],[Account_ID]], Accounts[ID], Accounts[Account'#], "Unknown")</f>
        <v>4636</v>
      </c>
      <c r="I525" s="168" t="str">
        <f>_xlfn.XLOOKUP(Table1[[#This Row],[Institution_ID]], Institutions[ID], Institutions[Institution nickname], "Unknown")</f>
        <v>Wells Fargo</v>
      </c>
      <c r="J525" s="139" t="s">
        <v>1496</v>
      </c>
      <c r="K525" s="129" t="s">
        <v>1229</v>
      </c>
      <c r="L525" s="129" t="s">
        <v>1228</v>
      </c>
      <c r="M525" s="130" t="str" cm="1">
        <f t="array" ref="M525">IFERROR(INDEX(CategoriesTable[Category type],MATCH(Table1[[#This Row],[Category]],CategoriesTable[Category name],0),0),"")</f>
        <v>Expense</v>
      </c>
      <c r="N525" s="130" t="str" cm="1">
        <f t="array" ref="N525">IFERROR(INDEX(SubcategoriesTable[Subcategory name],MATCH(Table1[[#This Row],[Category]],SubcategoriesTable[Category name],0),0),"")</f>
        <v>Fixed</v>
      </c>
      <c r="O525" s="130">
        <v>5</v>
      </c>
      <c r="P525" s="130">
        <f>MONTH(Table1[[#This Row],[Date]])</f>
        <v>10</v>
      </c>
      <c r="Q525" s="130">
        <v>2020</v>
      </c>
      <c r="R525" s="166">
        <f>IF(ISBLANK(Table1[[#This Row],[Date]]),"",Table1[[#This Row],[Date]]-WEEKDAY(Table1[[#This Row],[Date]],2)+1)</f>
        <v>44109</v>
      </c>
      <c r="S525" s="131">
        <f>IF(ISBLANK(Table1[[#This Row],[Date]]),"",DATE(Table1[[#This Row],[Date_Year]],Table1[[#This Row],[Date_Month]],1))</f>
        <v>44105</v>
      </c>
    </row>
    <row r="526" spans="2:19" ht="15.75" x14ac:dyDescent="0.25">
      <c r="B526" s="133">
        <v>44109</v>
      </c>
      <c r="C526" s="128" t="s">
        <v>1180</v>
      </c>
      <c r="D526" s="128" t="s">
        <v>50</v>
      </c>
      <c r="E526" s="128" t="str" cm="1">
        <f t="array" ref="E526">IFERROR(INDEX(SubcategoriesTable[Subcategory name],MATCH(Table1[[#This Row],[Category]],SubcategoriesTable[Category name],0),0),"")</f>
        <v>Variable</v>
      </c>
      <c r="F526" s="134">
        <v>-500</v>
      </c>
      <c r="G526" s="167" t="str">
        <f>_xlfn.XLOOKUP(Table1[[#This Row],[Account_ID]], Accounts[ID], Accounts[Account nickname], "Unknown")</f>
        <v>EVERYDAY CHECKING</v>
      </c>
      <c r="H526" s="137" t="str">
        <f>_xlfn.XLOOKUP(Table1[[#This Row],[Account_ID]], Accounts[ID], Accounts[Account'#], "Unknown")</f>
        <v>4636</v>
      </c>
      <c r="I526" s="168" t="str">
        <f>_xlfn.XLOOKUP(Table1[[#This Row],[Institution_ID]], Institutions[ID], Institutions[Institution nickname], "Unknown")</f>
        <v>Wells Fargo</v>
      </c>
      <c r="J526" s="139" t="s">
        <v>1497</v>
      </c>
      <c r="K526" s="129" t="s">
        <v>1229</v>
      </c>
      <c r="L526" s="129" t="s">
        <v>1228</v>
      </c>
      <c r="M526" s="130" t="str" cm="1">
        <f t="array" ref="M526">IFERROR(INDEX(CategoriesTable[Category type],MATCH(Table1[[#This Row],[Category]],CategoriesTable[Category name],0),0),"")</f>
        <v>Transfer</v>
      </c>
      <c r="N526" s="130" t="str" cm="1">
        <f t="array" ref="N526">IFERROR(INDEX(SubcategoriesTable[Subcategory name],MATCH(Table1[[#This Row],[Category]],SubcategoriesTable[Category name],0),0),"")</f>
        <v>Variable</v>
      </c>
      <c r="O526" s="130">
        <v>5</v>
      </c>
      <c r="P526" s="130">
        <f>MONTH(Table1[[#This Row],[Date]])</f>
        <v>10</v>
      </c>
      <c r="Q526" s="130">
        <v>2020</v>
      </c>
      <c r="R526" s="166">
        <f>IF(ISBLANK(Table1[[#This Row],[Date]]),"",Table1[[#This Row],[Date]]-WEEKDAY(Table1[[#This Row],[Date]],2)+1)</f>
        <v>44109</v>
      </c>
      <c r="S526" s="131">
        <f>IF(ISBLANK(Table1[[#This Row],[Date]]),"",DATE(Table1[[#This Row],[Date_Year]],Table1[[#This Row],[Date_Month]],1))</f>
        <v>44105</v>
      </c>
    </row>
    <row r="527" spans="2:19" ht="15.75" x14ac:dyDescent="0.25">
      <c r="B527" s="133">
        <v>44109</v>
      </c>
      <c r="C527" s="128" t="s">
        <v>1498</v>
      </c>
      <c r="D527" s="128" t="s">
        <v>46</v>
      </c>
      <c r="E527" s="128" t="str" cm="1">
        <f t="array" ref="E527">IFERROR(INDEX(SubcategoriesTable[Subcategory name],MATCH(Table1[[#This Row],[Category]],SubcategoriesTable[Category name],0),0),"")</f>
        <v>Variable</v>
      </c>
      <c r="F527" s="134">
        <v>-0.95</v>
      </c>
      <c r="G527" s="167" t="str">
        <f>_xlfn.XLOOKUP(Table1[[#This Row],[Account_ID]], Accounts[ID], Accounts[Account nickname], "Unknown")</f>
        <v>EVERYDAY CHECKING</v>
      </c>
      <c r="H527" s="137" t="str">
        <f>_xlfn.XLOOKUP(Table1[[#This Row],[Account_ID]], Accounts[ID], Accounts[Account'#], "Unknown")</f>
        <v>4636</v>
      </c>
      <c r="I527" s="168" t="str">
        <f>_xlfn.XLOOKUP(Table1[[#This Row],[Institution_ID]], Institutions[ID], Institutions[Institution nickname], "Unknown")</f>
        <v>Wells Fargo</v>
      </c>
      <c r="J527" s="139" t="s">
        <v>1499</v>
      </c>
      <c r="K527" s="129" t="s">
        <v>1229</v>
      </c>
      <c r="L527" s="129" t="s">
        <v>1228</v>
      </c>
      <c r="M527" s="130" t="str" cm="1">
        <f t="array" ref="M527">IFERROR(INDEX(CategoriesTable[Category type],MATCH(Table1[[#This Row],[Category]],CategoriesTable[Category name],0),0),"")</f>
        <v>Expense</v>
      </c>
      <c r="N527" s="130" t="str" cm="1">
        <f t="array" ref="N527">IFERROR(INDEX(SubcategoriesTable[Subcategory name],MATCH(Table1[[#This Row],[Category]],SubcategoriesTable[Category name],0),0),"")</f>
        <v>Variable</v>
      </c>
      <c r="O527" s="130">
        <v>5</v>
      </c>
      <c r="P527" s="130">
        <f>MONTH(Table1[[#This Row],[Date]])</f>
        <v>10</v>
      </c>
      <c r="Q527" s="130">
        <v>2020</v>
      </c>
      <c r="R527" s="166">
        <f>IF(ISBLANK(Table1[[#This Row],[Date]]),"",Table1[[#This Row],[Date]]-WEEKDAY(Table1[[#This Row],[Date]],2)+1)</f>
        <v>44109</v>
      </c>
      <c r="S527" s="131">
        <f>IF(ISBLANK(Table1[[#This Row],[Date]]),"",DATE(Table1[[#This Row],[Date_Year]],Table1[[#This Row],[Date_Month]],1))</f>
        <v>44105</v>
      </c>
    </row>
    <row r="528" spans="2:19" ht="15.75" x14ac:dyDescent="0.25">
      <c r="B528" s="133">
        <v>44109</v>
      </c>
      <c r="C528" s="128" t="s">
        <v>1233</v>
      </c>
      <c r="D528" s="128" t="s">
        <v>50</v>
      </c>
      <c r="E528" s="128"/>
      <c r="F528" s="134">
        <v>-100</v>
      </c>
      <c r="G528" s="167" t="str">
        <f>_xlfn.XLOOKUP(Table1[[#This Row],[Account_ID]], Accounts[ID], Accounts[Account nickname], "Unknown")</f>
        <v>Checking - 4480</v>
      </c>
      <c r="H528" s="137" t="str">
        <f>_xlfn.XLOOKUP(Table1[[#This Row],[Account_ID]], Accounts[ID], Accounts[Account'#], "Unknown")</f>
        <v>4480</v>
      </c>
      <c r="I528" s="168" t="str">
        <f>_xlfn.XLOOKUP(Table1[[#This Row],[Institution_ID]], Institutions[ID], Institutions[Institution nickname], "Unknown")</f>
        <v>Robinhood</v>
      </c>
      <c r="J528" s="139" t="s">
        <v>1234</v>
      </c>
      <c r="K528" s="129" t="s">
        <v>1208</v>
      </c>
      <c r="L528" s="173" t="s">
        <v>1207</v>
      </c>
      <c r="M528" s="130" t="str" cm="1">
        <f t="array" ref="M528">IFERROR(INDEX(CategoriesTable[Category type],MATCH(Table1[[#This Row],[Category]],CategoriesTable[Category name],0),0),"")</f>
        <v>Transfer</v>
      </c>
      <c r="N528" s="130" t="str" cm="1">
        <f t="array" ref="N528">IFERROR(INDEX(SubcategoriesTable[Subcategory name],MATCH(Table1[[#This Row],[Category]],SubcategoriesTable[Category name],0),0),"")</f>
        <v>Variable</v>
      </c>
      <c r="O528" s="130">
        <v>5</v>
      </c>
      <c r="P528" s="130">
        <f>MONTH(Table1[[#This Row],[Date]])</f>
        <v>10</v>
      </c>
      <c r="Q528" s="130">
        <v>2020</v>
      </c>
      <c r="R528" s="166">
        <f>IF(ISBLANK(Table1[[#This Row],[Date]]),"",Table1[[#This Row],[Date]]-WEEKDAY(Table1[[#This Row],[Date]],2)+1)</f>
        <v>44109</v>
      </c>
      <c r="S528" s="131">
        <f>IF(ISBLANK(Table1[[#This Row],[Date]]),"",DATE(Table1[[#This Row],[Date_Year]],Table1[[#This Row],[Date_Month]],1))</f>
        <v>44105</v>
      </c>
    </row>
    <row r="529" spans="2:19" ht="15.75" x14ac:dyDescent="0.25">
      <c r="B529" s="133">
        <v>44109</v>
      </c>
      <c r="C529" s="128" t="s">
        <v>176</v>
      </c>
      <c r="D529" s="128" t="s">
        <v>51</v>
      </c>
      <c r="E529" s="128" t="str" cm="1">
        <f t="array" ref="E529">IFERROR(INDEX(SubcategoriesTable[Subcategory name],MATCH(Table1[[#This Row],[Category]],SubcategoriesTable[Category name],0),0),"")</f>
        <v>Variable</v>
      </c>
      <c r="F529" s="134">
        <v>-25</v>
      </c>
      <c r="G529" s="167" t="str">
        <f>_xlfn.XLOOKUP(Table1[[#This Row],[Account_ID]], Accounts[ID], Accounts[Account nickname], "Unknown")</f>
        <v>Discover it chrome Card</v>
      </c>
      <c r="H529" s="137" t="str">
        <f>_xlfn.XLOOKUP(Table1[[#This Row],[Account_ID]], Accounts[ID], Accounts[Account'#], "Unknown")</f>
        <v>7328</v>
      </c>
      <c r="I529" s="168" t="str">
        <f>_xlfn.XLOOKUP(Table1[[#This Row],[Institution_ID]], Institutions[ID], Institutions[Institution nickname], "Unknown")</f>
        <v>Discover</v>
      </c>
      <c r="J529" s="139" t="s">
        <v>600</v>
      </c>
      <c r="K529" s="129" t="s">
        <v>110</v>
      </c>
      <c r="L529" s="129" t="s">
        <v>108</v>
      </c>
      <c r="M529" s="130" t="str" cm="1">
        <f t="array" ref="M529">IFERROR(INDEX(CategoriesTable[Category type],MATCH(Table1[[#This Row],[Category]],CategoriesTable[Category name],0),0),"")</f>
        <v>Expense</v>
      </c>
      <c r="N529" s="130" t="str" cm="1">
        <f t="array" ref="N529">IFERROR(INDEX(SubcategoriesTable[Subcategory name],MATCH(Table1[[#This Row],[Category]],SubcategoriesTable[Category name],0),0),"")</f>
        <v>Variable</v>
      </c>
      <c r="O529" s="130">
        <v>5</v>
      </c>
      <c r="P529" s="130">
        <f>MONTH(Table1[[#This Row],[Date]])</f>
        <v>10</v>
      </c>
      <c r="Q529" s="130">
        <v>2020</v>
      </c>
      <c r="R529" s="166">
        <f>IF(ISBLANK(Table1[[#This Row],[Date]]),"",Table1[[#This Row],[Date]]-WEEKDAY(Table1[[#This Row],[Date]],2)+1)</f>
        <v>44109</v>
      </c>
      <c r="S529" s="131">
        <f>IF(ISBLANK(Table1[[#This Row],[Date]]),"",DATE(Table1[[#This Row],[Date_Year]],Table1[[#This Row],[Date_Month]],1))</f>
        <v>44105</v>
      </c>
    </row>
    <row r="530" spans="2:19" ht="15.75" x14ac:dyDescent="0.25">
      <c r="B530" s="133">
        <v>44109</v>
      </c>
      <c r="C530" s="128" t="s">
        <v>267</v>
      </c>
      <c r="D530" s="128" t="s">
        <v>46</v>
      </c>
      <c r="E530" s="128" t="str" cm="1">
        <f t="array" ref="E530">IFERROR(INDEX(SubcategoriesTable[Subcategory name],MATCH(Table1[[#This Row],[Category]],SubcategoriesTable[Category name],0),0),"")</f>
        <v>Variable</v>
      </c>
      <c r="F530" s="134">
        <v>-14.31</v>
      </c>
      <c r="G530" s="167" t="str">
        <f>_xlfn.XLOOKUP(Table1[[#This Row],[Account_ID]], Accounts[ID], Accounts[Account nickname], "Unknown")</f>
        <v>Discover it chrome Card</v>
      </c>
      <c r="H530" s="137" t="str">
        <f>_xlfn.XLOOKUP(Table1[[#This Row],[Account_ID]], Accounts[ID], Accounts[Account'#], "Unknown")</f>
        <v>7328</v>
      </c>
      <c r="I530" s="168" t="str">
        <f>_xlfn.XLOOKUP(Table1[[#This Row],[Institution_ID]], Institutions[ID], Institutions[Institution nickname], "Unknown")</f>
        <v>Discover</v>
      </c>
      <c r="J530" s="139" t="s">
        <v>601</v>
      </c>
      <c r="K530" s="129" t="s">
        <v>110</v>
      </c>
      <c r="L530" s="129" t="s">
        <v>108</v>
      </c>
      <c r="M530" s="130" t="str" cm="1">
        <f t="array" ref="M530">IFERROR(INDEX(CategoriesTable[Category type],MATCH(Table1[[#This Row],[Category]],CategoriesTable[Category name],0),0),"")</f>
        <v>Expense</v>
      </c>
      <c r="N530" s="130" t="str" cm="1">
        <f t="array" ref="N530">IFERROR(INDEX(SubcategoriesTable[Subcategory name],MATCH(Table1[[#This Row],[Category]],SubcategoriesTable[Category name],0),0),"")</f>
        <v>Variable</v>
      </c>
      <c r="O530" s="130">
        <v>5</v>
      </c>
      <c r="P530" s="130">
        <f>MONTH(Table1[[#This Row],[Date]])</f>
        <v>10</v>
      </c>
      <c r="Q530" s="130">
        <v>2020</v>
      </c>
      <c r="R530" s="166">
        <f>IF(ISBLANK(Table1[[#This Row],[Date]]),"",Table1[[#This Row],[Date]]-WEEKDAY(Table1[[#This Row],[Date]],2)+1)</f>
        <v>44109</v>
      </c>
      <c r="S530" s="131">
        <f>IF(ISBLANK(Table1[[#This Row],[Date]]),"",DATE(Table1[[#This Row],[Date_Year]],Table1[[#This Row],[Date_Month]],1))</f>
        <v>44105</v>
      </c>
    </row>
    <row r="531" spans="2:19" ht="15.75" x14ac:dyDescent="0.25">
      <c r="B531" s="133">
        <v>44109</v>
      </c>
      <c r="C531" s="128" t="s">
        <v>295</v>
      </c>
      <c r="D531" s="128" t="s">
        <v>56</v>
      </c>
      <c r="E531" s="128" t="str" cm="1">
        <f t="array" ref="E531">IFERROR(INDEX(SubcategoriesTable[Subcategory name],MATCH(Table1[[#This Row],[Category]],SubcategoriesTable[Category name],0),0),"")</f>
        <v>Variable</v>
      </c>
      <c r="F531" s="134">
        <v>-39.950000000000003</v>
      </c>
      <c r="G531" s="167" t="str">
        <f>_xlfn.XLOOKUP(Table1[[#This Row],[Account_ID]], Accounts[ID], Accounts[Account nickname], "Unknown")</f>
        <v>Discover it chrome Card</v>
      </c>
      <c r="H531" s="137" t="str">
        <f>_xlfn.XLOOKUP(Table1[[#This Row],[Account_ID]], Accounts[ID], Accounts[Account'#], "Unknown")</f>
        <v>7328</v>
      </c>
      <c r="I531" s="168" t="str">
        <f>_xlfn.XLOOKUP(Table1[[#This Row],[Institution_ID]], Institutions[ID], Institutions[Institution nickname], "Unknown")</f>
        <v>Discover</v>
      </c>
      <c r="J531" s="139" t="s">
        <v>602</v>
      </c>
      <c r="K531" s="129" t="s">
        <v>110</v>
      </c>
      <c r="L531" s="129" t="s">
        <v>108</v>
      </c>
      <c r="M531" s="130" t="str" cm="1">
        <f t="array" ref="M531">IFERROR(INDEX(CategoriesTable[Category type],MATCH(Table1[[#This Row],[Category]],CategoriesTable[Category name],0),0),"")</f>
        <v>Expense</v>
      </c>
      <c r="N531" s="130" t="str" cm="1">
        <f t="array" ref="N531">IFERROR(INDEX(SubcategoriesTable[Subcategory name],MATCH(Table1[[#This Row],[Category]],SubcategoriesTable[Category name],0),0),"")</f>
        <v>Variable</v>
      </c>
      <c r="O531" s="130">
        <v>5</v>
      </c>
      <c r="P531" s="130">
        <f>MONTH(Table1[[#This Row],[Date]])</f>
        <v>10</v>
      </c>
      <c r="Q531" s="130">
        <v>2020</v>
      </c>
      <c r="R531" s="166">
        <f>IF(ISBLANK(Table1[[#This Row],[Date]]),"",Table1[[#This Row],[Date]]-WEEKDAY(Table1[[#This Row],[Date]],2)+1)</f>
        <v>44109</v>
      </c>
      <c r="S531" s="131">
        <f>IF(ISBLANK(Table1[[#This Row],[Date]]),"",DATE(Table1[[#This Row],[Date_Year]],Table1[[#This Row],[Date_Month]],1))</f>
        <v>44105</v>
      </c>
    </row>
    <row r="532" spans="2:19" ht="15.75" x14ac:dyDescent="0.25">
      <c r="B532" s="133">
        <v>44109</v>
      </c>
      <c r="C532" s="128" t="s">
        <v>195</v>
      </c>
      <c r="D532" s="128" t="s">
        <v>48</v>
      </c>
      <c r="E532" s="128" t="str" cm="1">
        <f t="array" ref="E532">IFERROR(INDEX(SubcategoriesTable[Subcategory name],MATCH(Table1[[#This Row],[Category]],SubcategoriesTable[Category name],0),0),"")</f>
        <v>Variable</v>
      </c>
      <c r="F532" s="134">
        <v>-8.01</v>
      </c>
      <c r="G532" s="167" t="str">
        <f>_xlfn.XLOOKUP(Table1[[#This Row],[Account_ID]], Accounts[ID], Accounts[Account nickname], "Unknown")</f>
        <v>Discover it chrome Card</v>
      </c>
      <c r="H532" s="137" t="str">
        <f>_xlfn.XLOOKUP(Table1[[#This Row],[Account_ID]], Accounts[ID], Accounts[Account'#], "Unknown")</f>
        <v>7328</v>
      </c>
      <c r="I532" s="168" t="str">
        <f>_xlfn.XLOOKUP(Table1[[#This Row],[Institution_ID]], Institutions[ID], Institutions[Institution nickname], "Unknown")</f>
        <v>Discover</v>
      </c>
      <c r="J532" s="139" t="s">
        <v>603</v>
      </c>
      <c r="K532" s="129" t="s">
        <v>110</v>
      </c>
      <c r="L532" s="129" t="s">
        <v>108</v>
      </c>
      <c r="M532" s="130" t="str" cm="1">
        <f t="array" ref="M532">IFERROR(INDEX(CategoriesTable[Category type],MATCH(Table1[[#This Row],[Category]],CategoriesTable[Category name],0),0),"")</f>
        <v>Expense</v>
      </c>
      <c r="N532" s="130" t="str" cm="1">
        <f t="array" ref="N532">IFERROR(INDEX(SubcategoriesTable[Subcategory name],MATCH(Table1[[#This Row],[Category]],SubcategoriesTable[Category name],0),0),"")</f>
        <v>Variable</v>
      </c>
      <c r="O532" s="130">
        <v>5</v>
      </c>
      <c r="P532" s="130">
        <f>MONTH(Table1[[#This Row],[Date]])</f>
        <v>10</v>
      </c>
      <c r="Q532" s="130">
        <v>2020</v>
      </c>
      <c r="R532" s="166">
        <f>IF(ISBLANK(Table1[[#This Row],[Date]]),"",Table1[[#This Row],[Date]]-WEEKDAY(Table1[[#This Row],[Date]],2)+1)</f>
        <v>44109</v>
      </c>
      <c r="S532" s="131">
        <f>IF(ISBLANK(Table1[[#This Row],[Date]]),"",DATE(Table1[[#This Row],[Date_Year]],Table1[[#This Row],[Date_Month]],1))</f>
        <v>44105</v>
      </c>
    </row>
    <row r="533" spans="2:19" ht="15.75" x14ac:dyDescent="0.25">
      <c r="B533" s="133">
        <v>44108</v>
      </c>
      <c r="C533" s="128" t="s">
        <v>1196</v>
      </c>
      <c r="D533" s="128" t="s">
        <v>56</v>
      </c>
      <c r="E533" s="128" t="str" cm="1">
        <f t="array" ref="E533">IFERROR(INDEX(SubcategoriesTable[Subcategory name],MATCH(Table1[[#This Row],[Category]],SubcategoriesTable[Category name],0),0),"")</f>
        <v>Variable</v>
      </c>
      <c r="F533" s="134">
        <v>-20</v>
      </c>
      <c r="G533" s="167" t="str">
        <f>_xlfn.XLOOKUP(Table1[[#This Row],[Account_ID]], Accounts[ID], Accounts[Account nickname], "Unknown")</f>
        <v>EVERYDAY CHECKING</v>
      </c>
      <c r="H533" s="137" t="str">
        <f>_xlfn.XLOOKUP(Table1[[#This Row],[Account_ID]], Accounts[ID], Accounts[Account'#], "Unknown")</f>
        <v>4636</v>
      </c>
      <c r="I533" s="168" t="str">
        <f>_xlfn.XLOOKUP(Table1[[#This Row],[Institution_ID]], Institutions[ID], Institutions[Institution nickname], "Unknown")</f>
        <v>Wells Fargo</v>
      </c>
      <c r="J533" s="139" t="s">
        <v>1500</v>
      </c>
      <c r="K533" s="129" t="s">
        <v>1229</v>
      </c>
      <c r="L533" s="129" t="s">
        <v>1228</v>
      </c>
      <c r="M533" s="130" t="str" cm="1">
        <f t="array" ref="M533">IFERROR(INDEX(CategoriesTable[Category type],MATCH(Table1[[#This Row],[Category]],CategoriesTable[Category name],0),0),"")</f>
        <v>Expense</v>
      </c>
      <c r="N533" s="130" t="str" cm="1">
        <f t="array" ref="N533">IFERROR(INDEX(SubcategoriesTable[Subcategory name],MATCH(Table1[[#This Row],[Category]],SubcategoriesTable[Category name],0),0),"")</f>
        <v>Variable</v>
      </c>
      <c r="O533" s="130">
        <v>4</v>
      </c>
      <c r="P533" s="130">
        <f>MONTH(Table1[[#This Row],[Date]])</f>
        <v>10</v>
      </c>
      <c r="Q533" s="130">
        <v>2020</v>
      </c>
      <c r="R533" s="166">
        <f>IF(ISBLANK(Table1[[#This Row],[Date]]),"",Table1[[#This Row],[Date]]-WEEKDAY(Table1[[#This Row],[Date]],2)+1)</f>
        <v>44102</v>
      </c>
      <c r="S533" s="131">
        <f>IF(ISBLANK(Table1[[#This Row],[Date]]),"",DATE(Table1[[#This Row],[Date_Year]],Table1[[#This Row],[Date_Month]],1))</f>
        <v>44105</v>
      </c>
    </row>
    <row r="534" spans="2:19" ht="15.75" x14ac:dyDescent="0.25">
      <c r="B534" s="133">
        <v>44108</v>
      </c>
      <c r="C534" s="128" t="s">
        <v>206</v>
      </c>
      <c r="D534" s="128" t="s">
        <v>57</v>
      </c>
      <c r="E534" s="128" t="str" cm="1">
        <f t="array" ref="E534">IFERROR(INDEX(SubcategoriesTable[Subcategory name],MATCH(Table1[[#This Row],[Category]],SubcategoriesTable[Category name],0),0),"")</f>
        <v>Variable</v>
      </c>
      <c r="F534" s="134">
        <v>25.22</v>
      </c>
      <c r="G534" s="167" t="str">
        <f>_xlfn.XLOOKUP(Table1[[#This Row],[Account_ID]], Accounts[ID], Accounts[Account nickname], "Unknown")</f>
        <v>Discover it chrome Card</v>
      </c>
      <c r="H534" s="137" t="str">
        <f>_xlfn.XLOOKUP(Table1[[#This Row],[Account_ID]], Accounts[ID], Accounts[Account'#], "Unknown")</f>
        <v>7328</v>
      </c>
      <c r="I534" s="168" t="str">
        <f>_xlfn.XLOOKUP(Table1[[#This Row],[Institution_ID]], Institutions[ID], Institutions[Institution nickname], "Unknown")</f>
        <v>Discover</v>
      </c>
      <c r="J534" s="139" t="s">
        <v>604</v>
      </c>
      <c r="K534" s="129" t="s">
        <v>110</v>
      </c>
      <c r="L534" s="129" t="s">
        <v>108</v>
      </c>
      <c r="M534" s="130" t="str" cm="1">
        <f t="array" ref="M534">IFERROR(INDEX(CategoriesTable[Category type],MATCH(Table1[[#This Row],[Category]],CategoriesTable[Category name],0),0),"")</f>
        <v>Transfer</v>
      </c>
      <c r="N534" s="130" t="str" cm="1">
        <f t="array" ref="N534">IFERROR(INDEX(SubcategoriesTable[Subcategory name],MATCH(Table1[[#This Row],[Category]],SubcategoriesTable[Category name],0),0),"")</f>
        <v>Variable</v>
      </c>
      <c r="O534" s="130">
        <v>4</v>
      </c>
      <c r="P534" s="130">
        <f>MONTH(Table1[[#This Row],[Date]])</f>
        <v>10</v>
      </c>
      <c r="Q534" s="130">
        <v>2020</v>
      </c>
      <c r="R534" s="166">
        <f>IF(ISBLANK(Table1[[#This Row],[Date]]),"",Table1[[#This Row],[Date]]-WEEKDAY(Table1[[#This Row],[Date]],2)+1)</f>
        <v>44102</v>
      </c>
      <c r="S534" s="131">
        <f>IF(ISBLANK(Table1[[#This Row],[Date]]),"",DATE(Table1[[#This Row],[Date_Year]],Table1[[#This Row],[Date_Month]],1))</f>
        <v>44105</v>
      </c>
    </row>
    <row r="535" spans="2:19" ht="15.75" x14ac:dyDescent="0.25">
      <c r="B535" s="133">
        <v>44108</v>
      </c>
      <c r="C535" s="128" t="s">
        <v>113</v>
      </c>
      <c r="D535" s="128" t="s">
        <v>50</v>
      </c>
      <c r="E535" s="128" t="str" cm="1">
        <f t="array" ref="E535">IFERROR(INDEX(SubcategoriesTable[Subcategory name],MATCH(Table1[[#This Row],[Category]],SubcategoriesTable[Category name],0),0),"")</f>
        <v>Variable</v>
      </c>
      <c r="F535" s="134">
        <v>500</v>
      </c>
      <c r="G535" s="167" t="str">
        <f>_xlfn.XLOOKUP(Table1[[#This Row],[Account_ID]], Accounts[ID], Accounts[Account nickname], "Unknown")</f>
        <v>Discover it chrome Card</v>
      </c>
      <c r="H535" s="137" t="str">
        <f>_xlfn.XLOOKUP(Table1[[#This Row],[Account_ID]], Accounts[ID], Accounts[Account'#], "Unknown")</f>
        <v>7328</v>
      </c>
      <c r="I535" s="168" t="str">
        <f>_xlfn.XLOOKUP(Table1[[#This Row],[Institution_ID]], Institutions[ID], Institutions[Institution nickname], "Unknown")</f>
        <v>Discover</v>
      </c>
      <c r="J535" s="139" t="s">
        <v>605</v>
      </c>
      <c r="K535" s="129" t="s">
        <v>110</v>
      </c>
      <c r="L535" s="129" t="s">
        <v>108</v>
      </c>
      <c r="M535" s="130" t="str" cm="1">
        <f t="array" ref="M535">IFERROR(INDEX(CategoriesTable[Category type],MATCH(Table1[[#This Row],[Category]],CategoriesTable[Category name],0),0),"")</f>
        <v>Transfer</v>
      </c>
      <c r="N535" s="130" t="str" cm="1">
        <f t="array" ref="N535">IFERROR(INDEX(SubcategoriesTable[Subcategory name],MATCH(Table1[[#This Row],[Category]],SubcategoriesTable[Category name],0),0),"")</f>
        <v>Variable</v>
      </c>
      <c r="O535" s="130">
        <v>4</v>
      </c>
      <c r="P535" s="130">
        <f>MONTH(Table1[[#This Row],[Date]])</f>
        <v>10</v>
      </c>
      <c r="Q535" s="130">
        <v>2020</v>
      </c>
      <c r="R535" s="166">
        <f>IF(ISBLANK(Table1[[#This Row],[Date]]),"",Table1[[#This Row],[Date]]-WEEKDAY(Table1[[#This Row],[Date]],2)+1)</f>
        <v>44102</v>
      </c>
      <c r="S535" s="131">
        <f>IF(ISBLANK(Table1[[#This Row],[Date]]),"",DATE(Table1[[#This Row],[Date_Year]],Table1[[#This Row],[Date_Month]],1))</f>
        <v>44105</v>
      </c>
    </row>
    <row r="536" spans="2:19" ht="15.75" x14ac:dyDescent="0.25">
      <c r="B536" s="133">
        <v>44108</v>
      </c>
      <c r="C536" s="128" t="s">
        <v>193</v>
      </c>
      <c r="D536" s="128" t="s">
        <v>54</v>
      </c>
      <c r="E536" s="128" t="str" cm="1">
        <f t="array" ref="E536">IFERROR(INDEX(SubcategoriesTable[Subcategory name],MATCH(Table1[[#This Row],[Category]],SubcategoriesTable[Category name],0),0),"")</f>
        <v>Fixed</v>
      </c>
      <c r="F536" s="134">
        <v>-86.25</v>
      </c>
      <c r="G536" s="167" t="str">
        <f>_xlfn.XLOOKUP(Table1[[#This Row],[Account_ID]], Accounts[ID], Accounts[Account nickname], "Unknown")</f>
        <v>Discover it chrome Card</v>
      </c>
      <c r="H536" s="137" t="str">
        <f>_xlfn.XLOOKUP(Table1[[#This Row],[Account_ID]], Accounts[ID], Accounts[Account'#], "Unknown")</f>
        <v>7328</v>
      </c>
      <c r="I536" s="168" t="str">
        <f>_xlfn.XLOOKUP(Table1[[#This Row],[Institution_ID]], Institutions[ID], Institutions[Institution nickname], "Unknown")</f>
        <v>Discover</v>
      </c>
      <c r="J536" s="139" t="s">
        <v>606</v>
      </c>
      <c r="K536" s="129" t="s">
        <v>110</v>
      </c>
      <c r="L536" s="129" t="s">
        <v>108</v>
      </c>
      <c r="M536" s="130" t="str" cm="1">
        <f t="array" ref="M536">IFERROR(INDEX(CategoriesTable[Category type],MATCH(Table1[[#This Row],[Category]],CategoriesTable[Category name],0),0),"")</f>
        <v>Expense</v>
      </c>
      <c r="N536" s="130" t="str" cm="1">
        <f t="array" ref="N536">IFERROR(INDEX(SubcategoriesTable[Subcategory name],MATCH(Table1[[#This Row],[Category]],SubcategoriesTable[Category name],0),0),"")</f>
        <v>Fixed</v>
      </c>
      <c r="O536" s="130">
        <v>4</v>
      </c>
      <c r="P536" s="130">
        <f>MONTH(Table1[[#This Row],[Date]])</f>
        <v>10</v>
      </c>
      <c r="Q536" s="130">
        <v>2020</v>
      </c>
      <c r="R536" s="166">
        <f>IF(ISBLANK(Table1[[#This Row],[Date]]),"",Table1[[#This Row],[Date]]-WEEKDAY(Table1[[#This Row],[Date]],2)+1)</f>
        <v>44102</v>
      </c>
      <c r="S536" s="131">
        <f>IF(ISBLANK(Table1[[#This Row],[Date]]),"",DATE(Table1[[#This Row],[Date_Year]],Table1[[#This Row],[Date_Month]],1))</f>
        <v>44105</v>
      </c>
    </row>
    <row r="537" spans="2:19" ht="15.75" x14ac:dyDescent="0.25">
      <c r="B537" s="133">
        <v>44108</v>
      </c>
      <c r="C537" s="128" t="s">
        <v>195</v>
      </c>
      <c r="D537" s="128" t="s">
        <v>48</v>
      </c>
      <c r="E537" s="128" t="str" cm="1">
        <f t="array" ref="E537">IFERROR(INDEX(SubcategoriesTable[Subcategory name],MATCH(Table1[[#This Row],[Category]],SubcategoriesTable[Category name],0),0),"")</f>
        <v>Variable</v>
      </c>
      <c r="F537" s="134">
        <v>-17.239999999999998</v>
      </c>
      <c r="G537" s="167" t="str">
        <f>_xlfn.XLOOKUP(Table1[[#This Row],[Account_ID]], Accounts[ID], Accounts[Account nickname], "Unknown")</f>
        <v>Discover it chrome Card</v>
      </c>
      <c r="H537" s="137" t="str">
        <f>_xlfn.XLOOKUP(Table1[[#This Row],[Account_ID]], Accounts[ID], Accounts[Account'#], "Unknown")</f>
        <v>7328</v>
      </c>
      <c r="I537" s="168" t="str">
        <f>_xlfn.XLOOKUP(Table1[[#This Row],[Institution_ID]], Institutions[ID], Institutions[Institution nickname], "Unknown")</f>
        <v>Discover</v>
      </c>
      <c r="J537" s="139" t="s">
        <v>607</v>
      </c>
      <c r="K537" s="129" t="s">
        <v>110</v>
      </c>
      <c r="L537" s="129" t="s">
        <v>108</v>
      </c>
      <c r="M537" s="130" t="str" cm="1">
        <f t="array" ref="M537">IFERROR(INDEX(CategoriesTable[Category type],MATCH(Table1[[#This Row],[Category]],CategoriesTable[Category name],0),0),"")</f>
        <v>Expense</v>
      </c>
      <c r="N537" s="130" t="str" cm="1">
        <f t="array" ref="N537">IFERROR(INDEX(SubcategoriesTable[Subcategory name],MATCH(Table1[[#This Row],[Category]],SubcategoriesTable[Category name],0),0),"")</f>
        <v>Variable</v>
      </c>
      <c r="O537" s="130">
        <v>4</v>
      </c>
      <c r="P537" s="130">
        <f>MONTH(Table1[[#This Row],[Date]])</f>
        <v>10</v>
      </c>
      <c r="Q537" s="130">
        <v>2020</v>
      </c>
      <c r="R537" s="166">
        <f>IF(ISBLANK(Table1[[#This Row],[Date]]),"",Table1[[#This Row],[Date]]-WEEKDAY(Table1[[#This Row],[Date]],2)+1)</f>
        <v>44102</v>
      </c>
      <c r="S537" s="131">
        <f>IF(ISBLANK(Table1[[#This Row],[Date]]),"",DATE(Table1[[#This Row],[Date_Year]],Table1[[#This Row],[Date_Month]],1))</f>
        <v>44105</v>
      </c>
    </row>
    <row r="538" spans="2:19" ht="15.75" x14ac:dyDescent="0.25">
      <c r="B538" s="133">
        <v>44107</v>
      </c>
      <c r="C538" s="128" t="s">
        <v>125</v>
      </c>
      <c r="D538" s="128" t="s">
        <v>45</v>
      </c>
      <c r="E538" s="128" t="str" cm="1">
        <f t="array" ref="E538">IFERROR(INDEX(SubcategoriesTable[Subcategory name],MATCH(Table1[[#This Row],[Category]],SubcategoriesTable[Category name],0),0),"")</f>
        <v>Variable</v>
      </c>
      <c r="F538" s="134">
        <v>-6.23</v>
      </c>
      <c r="G538" s="167" t="str">
        <f>_xlfn.XLOOKUP(Table1[[#This Row],[Account_ID]], Accounts[ID], Accounts[Account nickname], "Unknown")</f>
        <v>Discover it chrome Card</v>
      </c>
      <c r="H538" s="137" t="str">
        <f>_xlfn.XLOOKUP(Table1[[#This Row],[Account_ID]], Accounts[ID], Accounts[Account'#], "Unknown")</f>
        <v>7328</v>
      </c>
      <c r="I538" s="168" t="str">
        <f>_xlfn.XLOOKUP(Table1[[#This Row],[Institution_ID]], Institutions[ID], Institutions[Institution nickname], "Unknown")</f>
        <v>Discover</v>
      </c>
      <c r="J538" s="139" t="s">
        <v>608</v>
      </c>
      <c r="K538" s="129" t="s">
        <v>110</v>
      </c>
      <c r="L538" s="129" t="s">
        <v>108</v>
      </c>
      <c r="M538" s="130" t="str" cm="1">
        <f t="array" ref="M538">IFERROR(INDEX(CategoriesTable[Category type],MATCH(Table1[[#This Row],[Category]],CategoriesTable[Category name],0),0),"")</f>
        <v>Expense</v>
      </c>
      <c r="N538" s="130" t="str" cm="1">
        <f t="array" ref="N538">IFERROR(INDEX(SubcategoriesTable[Subcategory name],MATCH(Table1[[#This Row],[Category]],SubcategoriesTable[Category name],0),0),"")</f>
        <v>Variable</v>
      </c>
      <c r="O538" s="130">
        <v>3</v>
      </c>
      <c r="P538" s="130">
        <f>MONTH(Table1[[#This Row],[Date]])</f>
        <v>10</v>
      </c>
      <c r="Q538" s="130">
        <v>2020</v>
      </c>
      <c r="R538" s="166">
        <f>IF(ISBLANK(Table1[[#This Row],[Date]]),"",Table1[[#This Row],[Date]]-WEEKDAY(Table1[[#This Row],[Date]],2)+1)</f>
        <v>44102</v>
      </c>
      <c r="S538" s="131">
        <f>IF(ISBLANK(Table1[[#This Row],[Date]]),"",DATE(Table1[[#This Row],[Date_Year]],Table1[[#This Row],[Date_Month]],1))</f>
        <v>44105</v>
      </c>
    </row>
    <row r="539" spans="2:19" ht="15.75" x14ac:dyDescent="0.25">
      <c r="B539" s="133">
        <v>44106</v>
      </c>
      <c r="C539" s="128" t="s">
        <v>1196</v>
      </c>
      <c r="D539" s="128" t="s">
        <v>56</v>
      </c>
      <c r="E539" s="128" t="str" cm="1">
        <f t="array" ref="E539">IFERROR(INDEX(SubcategoriesTable[Subcategory name],MATCH(Table1[[#This Row],[Category]],SubcategoriesTable[Category name],0),0),"")</f>
        <v>Variable</v>
      </c>
      <c r="F539" s="134">
        <v>-75</v>
      </c>
      <c r="G539" s="167" t="str">
        <f>_xlfn.XLOOKUP(Table1[[#This Row],[Account_ID]], Accounts[ID], Accounts[Account nickname], "Unknown")</f>
        <v>EVERYDAY CHECKING</v>
      </c>
      <c r="H539" s="137" t="str">
        <f>_xlfn.XLOOKUP(Table1[[#This Row],[Account_ID]], Accounts[ID], Accounts[Account'#], "Unknown")</f>
        <v>4636</v>
      </c>
      <c r="I539" s="168" t="str">
        <f>_xlfn.XLOOKUP(Table1[[#This Row],[Institution_ID]], Institutions[ID], Institutions[Institution nickname], "Unknown")</f>
        <v>Wells Fargo</v>
      </c>
      <c r="J539" s="139" t="s">
        <v>1501</v>
      </c>
      <c r="K539" s="129" t="s">
        <v>1229</v>
      </c>
      <c r="L539" s="129" t="s">
        <v>1228</v>
      </c>
      <c r="M539" s="130" t="str" cm="1">
        <f t="array" ref="M539">IFERROR(INDEX(CategoriesTable[Category type],MATCH(Table1[[#This Row],[Category]],CategoriesTable[Category name],0),0),"")</f>
        <v>Expense</v>
      </c>
      <c r="N539" s="130" t="str" cm="1">
        <f t="array" ref="N539">IFERROR(INDEX(SubcategoriesTable[Subcategory name],MATCH(Table1[[#This Row],[Category]],SubcategoriesTable[Category name],0),0),"")</f>
        <v>Variable</v>
      </c>
      <c r="O539" s="130">
        <v>2</v>
      </c>
      <c r="P539" s="130">
        <f>MONTH(Table1[[#This Row],[Date]])</f>
        <v>10</v>
      </c>
      <c r="Q539" s="130">
        <v>2020</v>
      </c>
      <c r="R539" s="166">
        <f>IF(ISBLANK(Table1[[#This Row],[Date]]),"",Table1[[#This Row],[Date]]-WEEKDAY(Table1[[#This Row],[Date]],2)+1)</f>
        <v>44102</v>
      </c>
      <c r="S539" s="131">
        <f>IF(ISBLANK(Table1[[#This Row],[Date]]),"",DATE(Table1[[#This Row],[Date_Year]],Table1[[#This Row],[Date_Month]],1))</f>
        <v>44105</v>
      </c>
    </row>
    <row r="540" spans="2:19" ht="15.75" x14ac:dyDescent="0.25">
      <c r="B540" s="133">
        <v>44106</v>
      </c>
      <c r="C540" s="128" t="s">
        <v>508</v>
      </c>
      <c r="D540" s="128" t="s">
        <v>50</v>
      </c>
      <c r="E540" s="128" t="str" cm="1">
        <f t="array" ref="E540">IFERROR(INDEX(SubcategoriesTable[Subcategory name],MATCH(Table1[[#This Row],[Category]],SubcategoriesTable[Category name],0),0),"")</f>
        <v>Variable</v>
      </c>
      <c r="F540" s="134">
        <v>-23.9</v>
      </c>
      <c r="G540" s="167" t="str">
        <f>_xlfn.XLOOKUP(Table1[[#This Row],[Account_ID]], Accounts[ID], Accounts[Account nickname], "Unknown")</f>
        <v>EVERYDAY CHECKING</v>
      </c>
      <c r="H540" s="137" t="str">
        <f>_xlfn.XLOOKUP(Table1[[#This Row],[Account_ID]], Accounts[ID], Accounts[Account'#], "Unknown")</f>
        <v>4636</v>
      </c>
      <c r="I540" s="168" t="str">
        <f>_xlfn.XLOOKUP(Table1[[#This Row],[Institution_ID]], Institutions[ID], Institutions[Institution nickname], "Unknown")</f>
        <v>Wells Fargo</v>
      </c>
      <c r="J540" s="139" t="s">
        <v>1502</v>
      </c>
      <c r="K540" s="129" t="s">
        <v>1229</v>
      </c>
      <c r="L540" s="129" t="s">
        <v>1228</v>
      </c>
      <c r="M540" s="130" t="str" cm="1">
        <f t="array" ref="M540">IFERROR(INDEX(CategoriesTable[Category type],MATCH(Table1[[#This Row],[Category]],CategoriesTable[Category name],0),0),"")</f>
        <v>Transfer</v>
      </c>
      <c r="N540" s="130" t="str" cm="1">
        <f t="array" ref="N540">IFERROR(INDEX(SubcategoriesTable[Subcategory name],MATCH(Table1[[#This Row],[Category]],SubcategoriesTable[Category name],0),0),"")</f>
        <v>Variable</v>
      </c>
      <c r="O540" s="130">
        <v>2</v>
      </c>
      <c r="P540" s="130">
        <f>MONTH(Table1[[#This Row],[Date]])</f>
        <v>10</v>
      </c>
      <c r="Q540" s="130">
        <v>2020</v>
      </c>
      <c r="R540" s="166">
        <f>IF(ISBLANK(Table1[[#This Row],[Date]]),"",Table1[[#This Row],[Date]]-WEEKDAY(Table1[[#This Row],[Date]],2)+1)</f>
        <v>44102</v>
      </c>
      <c r="S540" s="131">
        <f>IF(ISBLANK(Table1[[#This Row],[Date]]),"",DATE(Table1[[#This Row],[Date_Year]],Table1[[#This Row],[Date_Month]],1))</f>
        <v>44105</v>
      </c>
    </row>
    <row r="541" spans="2:19" ht="15.75" x14ac:dyDescent="0.25">
      <c r="B541" s="133">
        <v>44105</v>
      </c>
      <c r="C541" s="128" t="s">
        <v>163</v>
      </c>
      <c r="D541" s="128" t="s">
        <v>46</v>
      </c>
      <c r="E541" s="128" t="str" cm="1">
        <f t="array" ref="E541">IFERROR(INDEX(SubcategoriesTable[Subcategory name],MATCH(Table1[[#This Row],[Category]],SubcategoriesTable[Category name],0),0),"")</f>
        <v>Variable</v>
      </c>
      <c r="F541" s="134">
        <v>-39.99</v>
      </c>
      <c r="G541" s="167" t="str">
        <f>_xlfn.XLOOKUP(Table1[[#This Row],[Account_ID]], Accounts[ID], Accounts[Account nickname], "Unknown")</f>
        <v>Discover it chrome Card</v>
      </c>
      <c r="H541" s="137" t="str">
        <f>_xlfn.XLOOKUP(Table1[[#This Row],[Account_ID]], Accounts[ID], Accounts[Account'#], "Unknown")</f>
        <v>7328</v>
      </c>
      <c r="I541" s="168" t="str">
        <f>_xlfn.XLOOKUP(Table1[[#This Row],[Institution_ID]], Institutions[ID], Institutions[Institution nickname], "Unknown")</f>
        <v>Discover</v>
      </c>
      <c r="J541" s="139" t="s">
        <v>609</v>
      </c>
      <c r="K541" s="129" t="s">
        <v>110</v>
      </c>
      <c r="L541" s="129" t="s">
        <v>108</v>
      </c>
      <c r="M541" s="130" t="str" cm="1">
        <f t="array" ref="M541">IFERROR(INDEX(CategoriesTable[Category type],MATCH(Table1[[#This Row],[Category]],CategoriesTable[Category name],0),0),"")</f>
        <v>Expense</v>
      </c>
      <c r="N541" s="130" t="str" cm="1">
        <f t="array" ref="N541">IFERROR(INDEX(SubcategoriesTable[Subcategory name],MATCH(Table1[[#This Row],[Category]],SubcategoriesTable[Category name],0),0),"")</f>
        <v>Variable</v>
      </c>
      <c r="O541" s="130">
        <v>1</v>
      </c>
      <c r="P541" s="130">
        <f>MONTH(Table1[[#This Row],[Date]])</f>
        <v>10</v>
      </c>
      <c r="Q541" s="130">
        <v>2020</v>
      </c>
      <c r="R541" s="166">
        <f>IF(ISBLANK(Table1[[#This Row],[Date]]),"",Table1[[#This Row],[Date]]-WEEKDAY(Table1[[#This Row],[Date]],2)+1)</f>
        <v>44102</v>
      </c>
      <c r="S541" s="131">
        <f>IF(ISBLANK(Table1[[#This Row],[Date]]),"",DATE(Table1[[#This Row],[Date_Year]],Table1[[#This Row],[Date_Month]],1))</f>
        <v>44105</v>
      </c>
    </row>
    <row r="542" spans="2:19" ht="15.75" x14ac:dyDescent="0.25">
      <c r="B542" s="133">
        <v>44105</v>
      </c>
      <c r="C542" s="128" t="s">
        <v>610</v>
      </c>
      <c r="D542" s="128" t="s">
        <v>45</v>
      </c>
      <c r="E542" s="128" t="str" cm="1">
        <f t="array" ref="E542">IFERROR(INDEX(SubcategoriesTable[Subcategory name],MATCH(Table1[[#This Row],[Category]],SubcategoriesTable[Category name],0),0),"")</f>
        <v>Variable</v>
      </c>
      <c r="F542" s="134">
        <v>-10</v>
      </c>
      <c r="G542" s="167" t="str">
        <f>_xlfn.XLOOKUP(Table1[[#This Row],[Account_ID]], Accounts[ID], Accounts[Account nickname], "Unknown")</f>
        <v>Discover it chrome Card</v>
      </c>
      <c r="H542" s="137" t="str">
        <f>_xlfn.XLOOKUP(Table1[[#This Row],[Account_ID]], Accounts[ID], Accounts[Account'#], "Unknown")</f>
        <v>7328</v>
      </c>
      <c r="I542" s="168" t="str">
        <f>_xlfn.XLOOKUP(Table1[[#This Row],[Institution_ID]], Institutions[ID], Institutions[Institution nickname], "Unknown")</f>
        <v>Discover</v>
      </c>
      <c r="J542" s="139" t="s">
        <v>611</v>
      </c>
      <c r="K542" s="129" t="s">
        <v>110</v>
      </c>
      <c r="L542" s="129" t="s">
        <v>108</v>
      </c>
      <c r="M542" s="130" t="str" cm="1">
        <f t="array" ref="M542">IFERROR(INDEX(CategoriesTable[Category type],MATCH(Table1[[#This Row],[Category]],CategoriesTable[Category name],0),0),"")</f>
        <v>Expense</v>
      </c>
      <c r="N542" s="130" t="str" cm="1">
        <f t="array" ref="N542">IFERROR(INDEX(SubcategoriesTable[Subcategory name],MATCH(Table1[[#This Row],[Category]],SubcategoriesTable[Category name],0),0),"")</f>
        <v>Variable</v>
      </c>
      <c r="O542" s="130">
        <v>1</v>
      </c>
      <c r="P542" s="130">
        <f>MONTH(Table1[[#This Row],[Date]])</f>
        <v>10</v>
      </c>
      <c r="Q542" s="130">
        <v>2020</v>
      </c>
      <c r="R542" s="166">
        <f>IF(ISBLANK(Table1[[#This Row],[Date]]),"",Table1[[#This Row],[Date]]-WEEKDAY(Table1[[#This Row],[Date]],2)+1)</f>
        <v>44102</v>
      </c>
      <c r="S542" s="131">
        <f>IF(ISBLANK(Table1[[#This Row],[Date]]),"",DATE(Table1[[#This Row],[Date_Year]],Table1[[#This Row],[Date_Month]],1))</f>
        <v>44105</v>
      </c>
    </row>
    <row r="543" spans="2:19" ht="15.75" x14ac:dyDescent="0.25">
      <c r="B543" s="133">
        <v>44105</v>
      </c>
      <c r="C543" s="128" t="s">
        <v>610</v>
      </c>
      <c r="D543" s="128" t="s">
        <v>45</v>
      </c>
      <c r="E543" s="128" t="str" cm="1">
        <f t="array" ref="E543">IFERROR(INDEX(SubcategoriesTable[Subcategory name],MATCH(Table1[[#This Row],[Category]],SubcategoriesTable[Category name],0),0),"")</f>
        <v>Variable</v>
      </c>
      <c r="F543" s="134">
        <v>-10</v>
      </c>
      <c r="G543" s="167" t="str">
        <f>_xlfn.XLOOKUP(Table1[[#This Row],[Account_ID]], Accounts[ID], Accounts[Account nickname], "Unknown")</f>
        <v>Discover it chrome Card</v>
      </c>
      <c r="H543" s="137" t="str">
        <f>_xlfn.XLOOKUP(Table1[[#This Row],[Account_ID]], Accounts[ID], Accounts[Account'#], "Unknown")</f>
        <v>7328</v>
      </c>
      <c r="I543" s="168" t="str">
        <f>_xlfn.XLOOKUP(Table1[[#This Row],[Institution_ID]], Institutions[ID], Institutions[Institution nickname], "Unknown")</f>
        <v>Discover</v>
      </c>
      <c r="J543" s="139" t="s">
        <v>612</v>
      </c>
      <c r="K543" s="129" t="s">
        <v>110</v>
      </c>
      <c r="L543" s="129" t="s">
        <v>108</v>
      </c>
      <c r="M543" s="130" t="str" cm="1">
        <f t="array" ref="M543">IFERROR(INDEX(CategoriesTable[Category type],MATCH(Table1[[#This Row],[Category]],CategoriesTable[Category name],0),0),"")</f>
        <v>Expense</v>
      </c>
      <c r="N543" s="130" t="str" cm="1">
        <f t="array" ref="N543">IFERROR(INDEX(SubcategoriesTable[Subcategory name],MATCH(Table1[[#This Row],[Category]],SubcategoriesTable[Category name],0),0),"")</f>
        <v>Variable</v>
      </c>
      <c r="O543" s="130">
        <v>1</v>
      </c>
      <c r="P543" s="130">
        <f>MONTH(Table1[[#This Row],[Date]])</f>
        <v>10</v>
      </c>
      <c r="Q543" s="130">
        <v>2020</v>
      </c>
      <c r="R543" s="166">
        <f>IF(ISBLANK(Table1[[#This Row],[Date]]),"",Table1[[#This Row],[Date]]-WEEKDAY(Table1[[#This Row],[Date]],2)+1)</f>
        <v>44102</v>
      </c>
      <c r="S543" s="131">
        <f>IF(ISBLANK(Table1[[#This Row],[Date]]),"",DATE(Table1[[#This Row],[Date_Year]],Table1[[#This Row],[Date_Month]],1))</f>
        <v>44105</v>
      </c>
    </row>
    <row r="544" spans="2:19" ht="15.75" x14ac:dyDescent="0.25">
      <c r="B544" s="133">
        <v>44105</v>
      </c>
      <c r="C544" s="128" t="s">
        <v>610</v>
      </c>
      <c r="D544" s="128" t="s">
        <v>45</v>
      </c>
      <c r="E544" s="128" t="str" cm="1">
        <f t="array" ref="E544">IFERROR(INDEX(SubcategoriesTable[Subcategory name],MATCH(Table1[[#This Row],[Category]],SubcategoriesTable[Category name],0),0),"")</f>
        <v>Variable</v>
      </c>
      <c r="F544" s="134">
        <v>-20</v>
      </c>
      <c r="G544" s="167" t="str">
        <f>_xlfn.XLOOKUP(Table1[[#This Row],[Account_ID]], Accounts[ID], Accounts[Account nickname], "Unknown")</f>
        <v>Discover it chrome Card</v>
      </c>
      <c r="H544" s="137" t="str">
        <f>_xlfn.XLOOKUP(Table1[[#This Row],[Account_ID]], Accounts[ID], Accounts[Account'#], "Unknown")</f>
        <v>7328</v>
      </c>
      <c r="I544" s="168" t="str">
        <f>_xlfn.XLOOKUP(Table1[[#This Row],[Institution_ID]], Institutions[ID], Institutions[Institution nickname], "Unknown")</f>
        <v>Discover</v>
      </c>
      <c r="J544" s="139" t="s">
        <v>613</v>
      </c>
      <c r="K544" s="129" t="s">
        <v>110</v>
      </c>
      <c r="L544" s="129" t="s">
        <v>108</v>
      </c>
      <c r="M544" s="130" t="str" cm="1">
        <f t="array" ref="M544">IFERROR(INDEX(CategoriesTable[Category type],MATCH(Table1[[#This Row],[Category]],CategoriesTable[Category name],0),0),"")</f>
        <v>Expense</v>
      </c>
      <c r="N544" s="130" t="str" cm="1">
        <f t="array" ref="N544">IFERROR(INDEX(SubcategoriesTable[Subcategory name],MATCH(Table1[[#This Row],[Category]],SubcategoriesTable[Category name],0),0),"")</f>
        <v>Variable</v>
      </c>
      <c r="O544" s="130">
        <v>1</v>
      </c>
      <c r="P544" s="130">
        <f>MONTH(Table1[[#This Row],[Date]])</f>
        <v>10</v>
      </c>
      <c r="Q544" s="130">
        <v>2020</v>
      </c>
      <c r="R544" s="166">
        <f>IF(ISBLANK(Table1[[#This Row],[Date]]),"",Table1[[#This Row],[Date]]-WEEKDAY(Table1[[#This Row],[Date]],2)+1)</f>
        <v>44102</v>
      </c>
      <c r="S544" s="131">
        <f>IF(ISBLANK(Table1[[#This Row],[Date]]),"",DATE(Table1[[#This Row],[Date_Year]],Table1[[#This Row],[Date_Month]],1))</f>
        <v>44105</v>
      </c>
    </row>
    <row r="545" spans="2:19" ht="15.75" x14ac:dyDescent="0.25">
      <c r="B545" s="133">
        <v>44105</v>
      </c>
      <c r="C545" s="128" t="s">
        <v>152</v>
      </c>
      <c r="D545" s="128" t="s">
        <v>54</v>
      </c>
      <c r="E545" s="128" t="str" cm="1">
        <f t="array" ref="E545">IFERROR(INDEX(SubcategoriesTable[Subcategory name],MATCH(Table1[[#This Row],[Category]],SubcategoriesTable[Category name],0),0),"")</f>
        <v>Fixed</v>
      </c>
      <c r="F545" s="134">
        <v>-12.99</v>
      </c>
      <c r="G545" s="167" t="str">
        <f>_xlfn.XLOOKUP(Table1[[#This Row],[Account_ID]], Accounts[ID], Accounts[Account nickname], "Unknown")</f>
        <v>Discover it chrome Card</v>
      </c>
      <c r="H545" s="137" t="str">
        <f>_xlfn.XLOOKUP(Table1[[#This Row],[Account_ID]], Accounts[ID], Accounts[Account'#], "Unknown")</f>
        <v>7328</v>
      </c>
      <c r="I545" s="168" t="str">
        <f>_xlfn.XLOOKUP(Table1[[#This Row],[Institution_ID]], Institutions[ID], Institutions[Institution nickname], "Unknown")</f>
        <v>Discover</v>
      </c>
      <c r="J545" s="139" t="s">
        <v>614</v>
      </c>
      <c r="K545" s="129" t="s">
        <v>110</v>
      </c>
      <c r="L545" s="129" t="s">
        <v>108</v>
      </c>
      <c r="M545" s="130" t="str" cm="1">
        <f t="array" ref="M545">IFERROR(INDEX(CategoriesTable[Category type],MATCH(Table1[[#This Row],[Category]],CategoriesTable[Category name],0),0),"")</f>
        <v>Expense</v>
      </c>
      <c r="N545" s="130" t="str" cm="1">
        <f t="array" ref="N545">IFERROR(INDEX(SubcategoriesTable[Subcategory name],MATCH(Table1[[#This Row],[Category]],SubcategoriesTable[Category name],0),0),"")</f>
        <v>Fixed</v>
      </c>
      <c r="O545" s="130">
        <v>1</v>
      </c>
      <c r="P545" s="130">
        <f>MONTH(Table1[[#This Row],[Date]])</f>
        <v>10</v>
      </c>
      <c r="Q545" s="130">
        <v>2020</v>
      </c>
      <c r="R545" s="166">
        <f>IF(ISBLANK(Table1[[#This Row],[Date]]),"",Table1[[#This Row],[Date]]-WEEKDAY(Table1[[#This Row],[Date]],2)+1)</f>
        <v>44102</v>
      </c>
      <c r="S545" s="131">
        <f>IF(ISBLANK(Table1[[#This Row],[Date]]),"",DATE(Table1[[#This Row],[Date_Year]],Table1[[#This Row],[Date_Month]],1))</f>
        <v>44105</v>
      </c>
    </row>
    <row r="546" spans="2:19" ht="15.75" x14ac:dyDescent="0.25">
      <c r="B546" s="133">
        <v>44105</v>
      </c>
      <c r="C546" s="128" t="s">
        <v>237</v>
      </c>
      <c r="D546" s="128" t="s">
        <v>48</v>
      </c>
      <c r="E546" s="128" t="str" cm="1">
        <f t="array" ref="E546">IFERROR(INDEX(SubcategoriesTable[Subcategory name],MATCH(Table1[[#This Row],[Category]],SubcategoriesTable[Category name],0),0),"")</f>
        <v>Variable</v>
      </c>
      <c r="F546" s="134">
        <v>-5.1100000000000003</v>
      </c>
      <c r="G546" s="167" t="str">
        <f>_xlfn.XLOOKUP(Table1[[#This Row],[Account_ID]], Accounts[ID], Accounts[Account nickname], "Unknown")</f>
        <v>Discover it chrome Card</v>
      </c>
      <c r="H546" s="137" t="str">
        <f>_xlfn.XLOOKUP(Table1[[#This Row],[Account_ID]], Accounts[ID], Accounts[Account'#], "Unknown")</f>
        <v>7328</v>
      </c>
      <c r="I546" s="168" t="str">
        <f>_xlfn.XLOOKUP(Table1[[#This Row],[Institution_ID]], Institutions[ID], Institutions[Institution nickname], "Unknown")</f>
        <v>Discover</v>
      </c>
      <c r="J546" s="139" t="s">
        <v>615</v>
      </c>
      <c r="K546" s="129" t="s">
        <v>110</v>
      </c>
      <c r="L546" s="129" t="s">
        <v>108</v>
      </c>
      <c r="M546" s="130" t="str" cm="1">
        <f t="array" ref="M546">IFERROR(INDEX(CategoriesTable[Category type],MATCH(Table1[[#This Row],[Category]],CategoriesTable[Category name],0),0),"")</f>
        <v>Expense</v>
      </c>
      <c r="N546" s="130" t="str" cm="1">
        <f t="array" ref="N546">IFERROR(INDEX(SubcategoriesTable[Subcategory name],MATCH(Table1[[#This Row],[Category]],SubcategoriesTable[Category name],0),0),"")</f>
        <v>Variable</v>
      </c>
      <c r="O546" s="130">
        <v>1</v>
      </c>
      <c r="P546" s="130">
        <f>MONTH(Table1[[#This Row],[Date]])</f>
        <v>10</v>
      </c>
      <c r="Q546" s="130">
        <v>2020</v>
      </c>
      <c r="R546" s="166">
        <f>IF(ISBLANK(Table1[[#This Row],[Date]]),"",Table1[[#This Row],[Date]]-WEEKDAY(Table1[[#This Row],[Date]],2)+1)</f>
        <v>44102</v>
      </c>
      <c r="S546" s="131">
        <f>IF(ISBLANK(Table1[[#This Row],[Date]]),"",DATE(Table1[[#This Row],[Date_Year]],Table1[[#This Row],[Date_Month]],1))</f>
        <v>44105</v>
      </c>
    </row>
    <row r="547" spans="2:19" ht="15.75" x14ac:dyDescent="0.25">
      <c r="B547" s="133">
        <v>44104</v>
      </c>
      <c r="C547" s="128" t="s">
        <v>304</v>
      </c>
      <c r="D547" s="128" t="s">
        <v>46</v>
      </c>
      <c r="E547" s="128" t="str" cm="1">
        <f t="array" ref="E547">IFERROR(INDEX(SubcategoriesTable[Subcategory name],MATCH(Table1[[#This Row],[Category]],SubcategoriesTable[Category name],0),0),"")</f>
        <v>Variable</v>
      </c>
      <c r="F547" s="134">
        <v>119</v>
      </c>
      <c r="G547" s="167" t="str">
        <f>_xlfn.XLOOKUP(Table1[[#This Row],[Account_ID]], Accounts[ID], Accounts[Account nickname], "Unknown")</f>
        <v>Discover it chrome Card</v>
      </c>
      <c r="H547" s="137" t="str">
        <f>_xlfn.XLOOKUP(Table1[[#This Row],[Account_ID]], Accounts[ID], Accounts[Account'#], "Unknown")</f>
        <v>7328</v>
      </c>
      <c r="I547" s="168" t="str">
        <f>_xlfn.XLOOKUP(Table1[[#This Row],[Institution_ID]], Institutions[ID], Institutions[Institution nickname], "Unknown")</f>
        <v>Discover</v>
      </c>
      <c r="J547" s="139" t="s">
        <v>616</v>
      </c>
      <c r="K547" s="129" t="s">
        <v>110</v>
      </c>
      <c r="L547" s="129" t="s">
        <v>108</v>
      </c>
      <c r="M547" s="130" t="str" cm="1">
        <f t="array" ref="M547">IFERROR(INDEX(CategoriesTable[Category type],MATCH(Table1[[#This Row],[Category]],CategoriesTable[Category name],0),0),"")</f>
        <v>Expense</v>
      </c>
      <c r="N547" s="130" t="str" cm="1">
        <f t="array" ref="N547">IFERROR(INDEX(SubcategoriesTable[Subcategory name],MATCH(Table1[[#This Row],[Category]],SubcategoriesTable[Category name],0),0),"")</f>
        <v>Variable</v>
      </c>
      <c r="O547" s="130">
        <v>30</v>
      </c>
      <c r="P547" s="130">
        <f>MONTH(Table1[[#This Row],[Date]])</f>
        <v>9</v>
      </c>
      <c r="Q547" s="130">
        <v>2020</v>
      </c>
      <c r="R547" s="166">
        <f>IF(ISBLANK(Table1[[#This Row],[Date]]),"",Table1[[#This Row],[Date]]-WEEKDAY(Table1[[#This Row],[Date]],2)+1)</f>
        <v>44102</v>
      </c>
      <c r="S547" s="131">
        <f>IF(ISBLANK(Table1[[#This Row],[Date]]),"",DATE(Table1[[#This Row],[Date_Year]],Table1[[#This Row],[Date_Month]],1))</f>
        <v>44075</v>
      </c>
    </row>
    <row r="548" spans="2:19" ht="15.75" x14ac:dyDescent="0.25">
      <c r="B548" s="133">
        <v>44104</v>
      </c>
      <c r="C548" s="128" t="s">
        <v>304</v>
      </c>
      <c r="D548" s="128" t="s">
        <v>46</v>
      </c>
      <c r="E548" s="128" t="str" cm="1">
        <f t="array" ref="E548">IFERROR(INDEX(SubcategoriesTable[Subcategory name],MATCH(Table1[[#This Row],[Category]],SubcategoriesTable[Category name],0),0),"")</f>
        <v>Variable</v>
      </c>
      <c r="F548" s="134">
        <v>-119</v>
      </c>
      <c r="G548" s="167" t="str">
        <f>_xlfn.XLOOKUP(Table1[[#This Row],[Account_ID]], Accounts[ID], Accounts[Account nickname], "Unknown")</f>
        <v>Discover it chrome Card</v>
      </c>
      <c r="H548" s="137" t="str">
        <f>_xlfn.XLOOKUP(Table1[[#This Row],[Account_ID]], Accounts[ID], Accounts[Account'#], "Unknown")</f>
        <v>7328</v>
      </c>
      <c r="I548" s="168" t="str">
        <f>_xlfn.XLOOKUP(Table1[[#This Row],[Institution_ID]], Institutions[ID], Institutions[Institution nickname], "Unknown")</f>
        <v>Discover</v>
      </c>
      <c r="J548" s="171" t="s">
        <v>617</v>
      </c>
      <c r="K548" s="129" t="s">
        <v>110</v>
      </c>
      <c r="L548" s="129" t="s">
        <v>108</v>
      </c>
      <c r="M548" s="130" t="str" cm="1">
        <f t="array" ref="M548">IFERROR(INDEX(CategoriesTable[Category type],MATCH(Table1[[#This Row],[Category]],CategoriesTable[Category name],0),0),"")</f>
        <v>Expense</v>
      </c>
      <c r="N548" s="130" t="str" cm="1">
        <f t="array" ref="N548">IFERROR(INDEX(SubcategoriesTable[Subcategory name],MATCH(Table1[[#This Row],[Category]],SubcategoriesTable[Category name],0),0),"")</f>
        <v>Variable</v>
      </c>
      <c r="O548" s="130">
        <v>30</v>
      </c>
      <c r="P548" s="130">
        <f>MONTH(Table1[[#This Row],[Date]])</f>
        <v>9</v>
      </c>
      <c r="Q548" s="130">
        <v>2020</v>
      </c>
      <c r="R548" s="166">
        <f>IF(ISBLANK(Table1[[#This Row],[Date]]),"",Table1[[#This Row],[Date]]-WEEKDAY(Table1[[#This Row],[Date]],2)+1)</f>
        <v>44102</v>
      </c>
      <c r="S548" s="131">
        <f>IF(ISBLANK(Table1[[#This Row],[Date]]),"",DATE(Table1[[#This Row],[Date_Year]],Table1[[#This Row],[Date_Month]],1))</f>
        <v>44075</v>
      </c>
    </row>
    <row r="549" spans="2:19" ht="15.75" x14ac:dyDescent="0.25">
      <c r="B549" s="133">
        <v>44104</v>
      </c>
      <c r="C549" s="128" t="s">
        <v>610</v>
      </c>
      <c r="D549" s="128" t="s">
        <v>45</v>
      </c>
      <c r="E549" s="128" t="str" cm="1">
        <f t="array" ref="E549">IFERROR(INDEX(SubcategoriesTable[Subcategory name],MATCH(Table1[[#This Row],[Category]],SubcategoriesTable[Category name],0),0),"")</f>
        <v>Variable</v>
      </c>
      <c r="F549" s="134">
        <v>-10</v>
      </c>
      <c r="G549" s="167" t="str">
        <f>_xlfn.XLOOKUP(Table1[[#This Row],[Account_ID]], Accounts[ID], Accounts[Account nickname], "Unknown")</f>
        <v>Discover it chrome Card</v>
      </c>
      <c r="H549" s="137" t="str">
        <f>_xlfn.XLOOKUP(Table1[[#This Row],[Account_ID]], Accounts[ID], Accounts[Account'#], "Unknown")</f>
        <v>7328</v>
      </c>
      <c r="I549" s="168" t="str">
        <f>_xlfn.XLOOKUP(Table1[[#This Row],[Institution_ID]], Institutions[ID], Institutions[Institution nickname], "Unknown")</f>
        <v>Discover</v>
      </c>
      <c r="J549" s="139" t="s">
        <v>618</v>
      </c>
      <c r="K549" s="129" t="s">
        <v>110</v>
      </c>
      <c r="L549" s="129" t="s">
        <v>108</v>
      </c>
      <c r="M549" s="130" t="str" cm="1">
        <f t="array" ref="M549">IFERROR(INDEX(CategoriesTable[Category type],MATCH(Table1[[#This Row],[Category]],CategoriesTable[Category name],0),0),"")</f>
        <v>Expense</v>
      </c>
      <c r="N549" s="130" t="str" cm="1">
        <f t="array" ref="N549">IFERROR(INDEX(SubcategoriesTable[Subcategory name],MATCH(Table1[[#This Row],[Category]],SubcategoriesTable[Category name],0),0),"")</f>
        <v>Variable</v>
      </c>
      <c r="O549" s="130">
        <v>30</v>
      </c>
      <c r="P549" s="130">
        <f>MONTH(Table1[[#This Row],[Date]])</f>
        <v>9</v>
      </c>
      <c r="Q549" s="130">
        <v>2020</v>
      </c>
      <c r="R549" s="166">
        <f>IF(ISBLANK(Table1[[#This Row],[Date]]),"",Table1[[#This Row],[Date]]-WEEKDAY(Table1[[#This Row],[Date]],2)+1)</f>
        <v>44102</v>
      </c>
      <c r="S549" s="131">
        <f>IF(ISBLANK(Table1[[#This Row],[Date]]),"",DATE(Table1[[#This Row],[Date_Year]],Table1[[#This Row],[Date_Month]],1))</f>
        <v>44075</v>
      </c>
    </row>
    <row r="550" spans="2:19" ht="15.75" x14ac:dyDescent="0.25">
      <c r="B550" s="133">
        <v>44103</v>
      </c>
      <c r="C550" s="128" t="s">
        <v>619</v>
      </c>
      <c r="D550" s="128" t="s">
        <v>50</v>
      </c>
      <c r="E550" s="128" t="str" cm="1">
        <f t="array" ref="E550">IFERROR(INDEX(SubcategoriesTable[Subcategory name],MATCH(Table1[[#This Row],[Category]],SubcategoriesTable[Category name],0),0),"")</f>
        <v>Variable</v>
      </c>
      <c r="F550" s="134">
        <v>-55</v>
      </c>
      <c r="G550" s="167" t="str">
        <f>_xlfn.XLOOKUP(Table1[[#This Row],[Account_ID]], Accounts[ID], Accounts[Account nickname], "Unknown")</f>
        <v>Discover it chrome Card</v>
      </c>
      <c r="H550" s="137" t="str">
        <f>_xlfn.XLOOKUP(Table1[[#This Row],[Account_ID]], Accounts[ID], Accounts[Account'#], "Unknown")</f>
        <v>7328</v>
      </c>
      <c r="I550" s="168" t="str">
        <f>_xlfn.XLOOKUP(Table1[[#This Row],[Institution_ID]], Institutions[ID], Institutions[Institution nickname], "Unknown")</f>
        <v>Discover</v>
      </c>
      <c r="J550" s="139" t="s">
        <v>620</v>
      </c>
      <c r="K550" s="129" t="s">
        <v>110</v>
      </c>
      <c r="L550" s="129" t="s">
        <v>108</v>
      </c>
      <c r="M550" s="130" t="str" cm="1">
        <f t="array" ref="M550">IFERROR(INDEX(CategoriesTable[Category type],MATCH(Table1[[#This Row],[Category]],CategoriesTable[Category name],0),0),"")</f>
        <v>Transfer</v>
      </c>
      <c r="N550" s="130" t="str" cm="1">
        <f t="array" ref="N550">IFERROR(INDEX(SubcategoriesTable[Subcategory name],MATCH(Table1[[#This Row],[Category]],SubcategoriesTable[Category name],0),0),"")</f>
        <v>Variable</v>
      </c>
      <c r="O550" s="130">
        <v>29</v>
      </c>
      <c r="P550" s="130">
        <f>MONTH(Table1[[#This Row],[Date]])</f>
        <v>9</v>
      </c>
      <c r="Q550" s="130">
        <v>2020</v>
      </c>
      <c r="R550" s="166">
        <f>IF(ISBLANK(Table1[[#This Row],[Date]]),"",Table1[[#This Row],[Date]]-WEEKDAY(Table1[[#This Row],[Date]],2)+1)</f>
        <v>44102</v>
      </c>
      <c r="S550" s="131">
        <f>IF(ISBLANK(Table1[[#This Row],[Date]]),"",DATE(Table1[[#This Row],[Date_Year]],Table1[[#This Row],[Date_Month]],1))</f>
        <v>44075</v>
      </c>
    </row>
    <row r="551" spans="2:19" ht="15.75" x14ac:dyDescent="0.25">
      <c r="B551" s="133">
        <v>44102</v>
      </c>
      <c r="C551" s="128" t="s">
        <v>1503</v>
      </c>
      <c r="D551" s="128" t="s">
        <v>51</v>
      </c>
      <c r="E551" s="128" t="str" cm="1">
        <f t="array" ref="E551">IFERROR(INDEX(SubcategoriesTable[Subcategory name],MATCH(Table1[[#This Row],[Category]],SubcategoriesTable[Category name],0),0),"")</f>
        <v>Variable</v>
      </c>
      <c r="F551" s="134">
        <v>-9.9499999999999993</v>
      </c>
      <c r="G551" s="167" t="str">
        <f>_xlfn.XLOOKUP(Table1[[#This Row],[Account_ID]], Accounts[ID], Accounts[Account nickname], "Unknown")</f>
        <v>EVERYDAY CHECKING</v>
      </c>
      <c r="H551" s="137" t="str">
        <f>_xlfn.XLOOKUP(Table1[[#This Row],[Account_ID]], Accounts[ID], Accounts[Account'#], "Unknown")</f>
        <v>4636</v>
      </c>
      <c r="I551" s="168" t="str">
        <f>_xlfn.XLOOKUP(Table1[[#This Row],[Institution_ID]], Institutions[ID], Institutions[Institution nickname], "Unknown")</f>
        <v>Wells Fargo</v>
      </c>
      <c r="J551" s="139" t="s">
        <v>1504</v>
      </c>
      <c r="K551" s="129" t="s">
        <v>1229</v>
      </c>
      <c r="L551" s="129" t="s">
        <v>1228</v>
      </c>
      <c r="M551" s="130" t="str" cm="1">
        <f t="array" ref="M551">IFERROR(INDEX(CategoriesTable[Category type],MATCH(Table1[[#This Row],[Category]],CategoriesTable[Category name],0),0),"")</f>
        <v>Expense</v>
      </c>
      <c r="N551" s="130" t="str" cm="1">
        <f t="array" ref="N551">IFERROR(INDEX(SubcategoriesTable[Subcategory name],MATCH(Table1[[#This Row],[Category]],SubcategoriesTable[Category name],0),0),"")</f>
        <v>Variable</v>
      </c>
      <c r="O551" s="130">
        <v>28</v>
      </c>
      <c r="P551" s="130">
        <f>MONTH(Table1[[#This Row],[Date]])</f>
        <v>9</v>
      </c>
      <c r="Q551" s="130">
        <v>2020</v>
      </c>
      <c r="R551" s="166">
        <f>IF(ISBLANK(Table1[[#This Row],[Date]]),"",Table1[[#This Row],[Date]]-WEEKDAY(Table1[[#This Row],[Date]],2)+1)</f>
        <v>44102</v>
      </c>
      <c r="S551" s="131">
        <f>IF(ISBLANK(Table1[[#This Row],[Date]]),"",DATE(Table1[[#This Row],[Date_Year]],Table1[[#This Row],[Date_Month]],1))</f>
        <v>44075</v>
      </c>
    </row>
    <row r="552" spans="2:19" ht="15.75" x14ac:dyDescent="0.25">
      <c r="B552" s="133">
        <v>44102</v>
      </c>
      <c r="C552" s="128" t="s">
        <v>1194</v>
      </c>
      <c r="D552" s="128" t="s">
        <v>59</v>
      </c>
      <c r="E552" s="128" t="str" cm="1">
        <f t="array" ref="E552">IFERROR(INDEX(SubcategoriesTable[Subcategory name],MATCH(Table1[[#This Row],[Category]],SubcategoriesTable[Category name],0),0),"")</f>
        <v>Fixed</v>
      </c>
      <c r="F552" s="134">
        <v>520</v>
      </c>
      <c r="G552" s="167" t="str">
        <f>_xlfn.XLOOKUP(Table1[[#This Row],[Account_ID]], Accounts[ID], Accounts[Account nickname], "Unknown")</f>
        <v>EVERYDAY CHECKING</v>
      </c>
      <c r="H552" s="137" t="str">
        <f>_xlfn.XLOOKUP(Table1[[#This Row],[Account_ID]], Accounts[ID], Accounts[Account'#], "Unknown")</f>
        <v>4636</v>
      </c>
      <c r="I552" s="168" t="str">
        <f>_xlfn.XLOOKUP(Table1[[#This Row],[Institution_ID]], Institutions[ID], Institutions[Institution nickname], "Unknown")</f>
        <v>Wells Fargo</v>
      </c>
      <c r="J552" s="139" t="s">
        <v>1505</v>
      </c>
      <c r="K552" s="129" t="s">
        <v>1229</v>
      </c>
      <c r="L552" s="129" t="s">
        <v>1228</v>
      </c>
      <c r="M552" s="130" t="str" cm="1">
        <f t="array" ref="M552">IFERROR(INDEX(CategoriesTable[Category type],MATCH(Table1[[#This Row],[Category]],CategoriesTable[Category name],0),0),"")</f>
        <v>Income</v>
      </c>
      <c r="N552" s="130" t="str" cm="1">
        <f t="array" ref="N552">IFERROR(INDEX(SubcategoriesTable[Subcategory name],MATCH(Table1[[#This Row],[Category]],SubcategoriesTable[Category name],0),0),"")</f>
        <v>Fixed</v>
      </c>
      <c r="O552" s="130">
        <v>28</v>
      </c>
      <c r="P552" s="130">
        <f>MONTH(Table1[[#This Row],[Date]])</f>
        <v>9</v>
      </c>
      <c r="Q552" s="130">
        <v>2020</v>
      </c>
      <c r="R552" s="166">
        <f>IF(ISBLANK(Table1[[#This Row],[Date]]),"",Table1[[#This Row],[Date]]-WEEKDAY(Table1[[#This Row],[Date]],2)+1)</f>
        <v>44102</v>
      </c>
      <c r="S552" s="131">
        <f>IF(ISBLANK(Table1[[#This Row],[Date]]),"",DATE(Table1[[#This Row],[Date_Year]],Table1[[#This Row],[Date_Month]],1))</f>
        <v>44075</v>
      </c>
    </row>
    <row r="553" spans="2:19" ht="15.75" x14ac:dyDescent="0.25">
      <c r="B553" s="133">
        <v>44102</v>
      </c>
      <c r="C553" s="128" t="s">
        <v>508</v>
      </c>
      <c r="D553" s="128" t="s">
        <v>50</v>
      </c>
      <c r="E553" s="128" t="str" cm="1">
        <f t="array" ref="E553">IFERROR(INDEX(SubcategoriesTable[Subcategory name],MATCH(Table1[[#This Row],[Category]],SubcategoriesTable[Category name],0),0),"")</f>
        <v>Variable</v>
      </c>
      <c r="F553" s="134">
        <v>74.2</v>
      </c>
      <c r="G553" s="167" t="str">
        <f>_xlfn.XLOOKUP(Table1[[#This Row],[Account_ID]], Accounts[ID], Accounts[Account nickname], "Unknown")</f>
        <v>EVERYDAY CHECKING</v>
      </c>
      <c r="H553" s="137" t="str">
        <f>_xlfn.XLOOKUP(Table1[[#This Row],[Account_ID]], Accounts[ID], Accounts[Account'#], "Unknown")</f>
        <v>4636</v>
      </c>
      <c r="I553" s="168" t="str">
        <f>_xlfn.XLOOKUP(Table1[[#This Row],[Institution_ID]], Institutions[ID], Institutions[Institution nickname], "Unknown")</f>
        <v>Wells Fargo</v>
      </c>
      <c r="J553" s="139" t="s">
        <v>1506</v>
      </c>
      <c r="K553" s="129" t="s">
        <v>1229</v>
      </c>
      <c r="L553" s="129" t="s">
        <v>1228</v>
      </c>
      <c r="M553" s="130" t="str" cm="1">
        <f t="array" ref="M553">IFERROR(INDEX(CategoriesTable[Category type],MATCH(Table1[[#This Row],[Category]],CategoriesTable[Category name],0),0),"")</f>
        <v>Transfer</v>
      </c>
      <c r="N553" s="130" t="str" cm="1">
        <f t="array" ref="N553">IFERROR(INDEX(SubcategoriesTable[Subcategory name],MATCH(Table1[[#This Row],[Category]],SubcategoriesTable[Category name],0),0),"")</f>
        <v>Variable</v>
      </c>
      <c r="O553" s="130">
        <v>28</v>
      </c>
      <c r="P553" s="130">
        <f>MONTH(Table1[[#This Row],[Date]])</f>
        <v>9</v>
      </c>
      <c r="Q553" s="130">
        <v>2020</v>
      </c>
      <c r="R553" s="166">
        <f>IF(ISBLANK(Table1[[#This Row],[Date]]),"",Table1[[#This Row],[Date]]-WEEKDAY(Table1[[#This Row],[Date]],2)+1)</f>
        <v>44102</v>
      </c>
      <c r="S553" s="131">
        <f>IF(ISBLANK(Table1[[#This Row],[Date]]),"",DATE(Table1[[#This Row],[Date_Year]],Table1[[#This Row],[Date_Month]],1))</f>
        <v>44075</v>
      </c>
    </row>
    <row r="554" spans="2:19" ht="15.75" x14ac:dyDescent="0.25">
      <c r="B554" s="133">
        <v>44102</v>
      </c>
      <c r="C554" s="128" t="s">
        <v>621</v>
      </c>
      <c r="D554" s="128" t="s">
        <v>50</v>
      </c>
      <c r="E554" s="128" t="str" cm="1">
        <f t="array" ref="E554">IFERROR(INDEX(SubcategoriesTable[Subcategory name],MATCH(Table1[[#This Row],[Category]],SubcategoriesTable[Category name],0),0),"")</f>
        <v>Variable</v>
      </c>
      <c r="F554" s="134">
        <v>-5</v>
      </c>
      <c r="G554" s="167" t="str">
        <f>_xlfn.XLOOKUP(Table1[[#This Row],[Account_ID]], Accounts[ID], Accounts[Account nickname], "Unknown")</f>
        <v>Discover it chrome Card</v>
      </c>
      <c r="H554" s="137" t="str">
        <f>_xlfn.XLOOKUP(Table1[[#This Row],[Account_ID]], Accounts[ID], Accounts[Account'#], "Unknown")</f>
        <v>7328</v>
      </c>
      <c r="I554" s="168" t="str">
        <f>_xlfn.XLOOKUP(Table1[[#This Row],[Institution_ID]], Institutions[ID], Institutions[Institution nickname], "Unknown")</f>
        <v>Discover</v>
      </c>
      <c r="J554" s="139" t="s">
        <v>622</v>
      </c>
      <c r="K554" s="129" t="s">
        <v>110</v>
      </c>
      <c r="L554" s="129" t="s">
        <v>108</v>
      </c>
      <c r="M554" s="130" t="str" cm="1">
        <f t="array" ref="M554">IFERROR(INDEX(CategoriesTable[Category type],MATCH(Table1[[#This Row],[Category]],CategoriesTable[Category name],0),0),"")</f>
        <v>Transfer</v>
      </c>
      <c r="N554" s="130" t="str" cm="1">
        <f t="array" ref="N554">IFERROR(INDEX(SubcategoriesTable[Subcategory name],MATCH(Table1[[#This Row],[Category]],SubcategoriesTable[Category name],0),0),"")</f>
        <v>Variable</v>
      </c>
      <c r="O554" s="130">
        <v>28</v>
      </c>
      <c r="P554" s="130">
        <f>MONTH(Table1[[#This Row],[Date]])</f>
        <v>9</v>
      </c>
      <c r="Q554" s="130">
        <v>2020</v>
      </c>
      <c r="R554" s="166">
        <f>IF(ISBLANK(Table1[[#This Row],[Date]]),"",Table1[[#This Row],[Date]]-WEEKDAY(Table1[[#This Row],[Date]],2)+1)</f>
        <v>44102</v>
      </c>
      <c r="S554" s="131">
        <f>IF(ISBLANK(Table1[[#This Row],[Date]]),"",DATE(Table1[[#This Row],[Date_Year]],Table1[[#This Row],[Date_Month]],1))</f>
        <v>44075</v>
      </c>
    </row>
    <row r="555" spans="2:19" ht="15.75" x14ac:dyDescent="0.25">
      <c r="B555" s="133">
        <v>44102</v>
      </c>
      <c r="C555" s="128" t="s">
        <v>195</v>
      </c>
      <c r="D555" s="128" t="s">
        <v>48</v>
      </c>
      <c r="E555" s="128" t="str" cm="1">
        <f t="array" ref="E555">IFERROR(INDEX(SubcategoriesTable[Subcategory name],MATCH(Table1[[#This Row],[Category]],SubcategoriesTable[Category name],0),0),"")</f>
        <v>Variable</v>
      </c>
      <c r="F555" s="134">
        <v>-2.04</v>
      </c>
      <c r="G555" s="167" t="str">
        <f>_xlfn.XLOOKUP(Table1[[#This Row],[Account_ID]], Accounts[ID], Accounts[Account nickname], "Unknown")</f>
        <v>Discover it chrome Card</v>
      </c>
      <c r="H555" s="137" t="str">
        <f>_xlfn.XLOOKUP(Table1[[#This Row],[Account_ID]], Accounts[ID], Accounts[Account'#], "Unknown")</f>
        <v>7328</v>
      </c>
      <c r="I555" s="168" t="str">
        <f>_xlfn.XLOOKUP(Table1[[#This Row],[Institution_ID]], Institutions[ID], Institutions[Institution nickname], "Unknown")</f>
        <v>Discover</v>
      </c>
      <c r="J555" s="139" t="s">
        <v>623</v>
      </c>
      <c r="K555" s="129" t="s">
        <v>110</v>
      </c>
      <c r="L555" s="129" t="s">
        <v>108</v>
      </c>
      <c r="M555" s="130" t="str" cm="1">
        <f t="array" ref="M555">IFERROR(INDEX(CategoriesTable[Category type],MATCH(Table1[[#This Row],[Category]],CategoriesTable[Category name],0),0),"")</f>
        <v>Expense</v>
      </c>
      <c r="N555" s="130" t="str" cm="1">
        <f t="array" ref="N555">IFERROR(INDEX(SubcategoriesTable[Subcategory name],MATCH(Table1[[#This Row],[Category]],SubcategoriesTable[Category name],0),0),"")</f>
        <v>Variable</v>
      </c>
      <c r="O555" s="130">
        <v>28</v>
      </c>
      <c r="P555" s="130">
        <f>MONTH(Table1[[#This Row],[Date]])</f>
        <v>9</v>
      </c>
      <c r="Q555" s="130">
        <v>2020</v>
      </c>
      <c r="R555" s="166">
        <f>IF(ISBLANK(Table1[[#This Row],[Date]]),"",Table1[[#This Row],[Date]]-WEEKDAY(Table1[[#This Row],[Date]],2)+1)</f>
        <v>44102</v>
      </c>
      <c r="S555" s="131">
        <f>IF(ISBLANK(Table1[[#This Row],[Date]]),"",DATE(Table1[[#This Row],[Date_Year]],Table1[[#This Row],[Date_Month]],1))</f>
        <v>44075</v>
      </c>
    </row>
    <row r="556" spans="2:19" ht="15.75" x14ac:dyDescent="0.25">
      <c r="B556" s="133">
        <v>44101</v>
      </c>
      <c r="C556" s="128" t="s">
        <v>380</v>
      </c>
      <c r="D556" s="128" t="s">
        <v>46</v>
      </c>
      <c r="E556" s="128" t="str" cm="1">
        <f t="array" ref="E556">IFERROR(INDEX(SubcategoriesTable[Subcategory name],MATCH(Table1[[#This Row],[Category]],SubcategoriesTable[Category name],0),0),"")</f>
        <v>Variable</v>
      </c>
      <c r="F556" s="134">
        <v>-9.9700000000000006</v>
      </c>
      <c r="G556" s="167" t="str">
        <f>_xlfn.XLOOKUP(Table1[[#This Row],[Account_ID]], Accounts[ID], Accounts[Account nickname], "Unknown")</f>
        <v>Discover it chrome Card</v>
      </c>
      <c r="H556" s="137" t="str">
        <f>_xlfn.XLOOKUP(Table1[[#This Row],[Account_ID]], Accounts[ID], Accounts[Account'#], "Unknown")</f>
        <v>7328</v>
      </c>
      <c r="I556" s="168" t="str">
        <f>_xlfn.XLOOKUP(Table1[[#This Row],[Institution_ID]], Institutions[ID], Institutions[Institution nickname], "Unknown")</f>
        <v>Discover</v>
      </c>
      <c r="J556" s="139" t="s">
        <v>624</v>
      </c>
      <c r="K556" s="129" t="s">
        <v>110</v>
      </c>
      <c r="L556" s="129" t="s">
        <v>108</v>
      </c>
      <c r="M556" s="130" t="str" cm="1">
        <f t="array" ref="M556">IFERROR(INDEX(CategoriesTable[Category type],MATCH(Table1[[#This Row],[Category]],CategoriesTable[Category name],0),0),"")</f>
        <v>Expense</v>
      </c>
      <c r="N556" s="130" t="str" cm="1">
        <f t="array" ref="N556">IFERROR(INDEX(SubcategoriesTable[Subcategory name],MATCH(Table1[[#This Row],[Category]],SubcategoriesTable[Category name],0),0),"")</f>
        <v>Variable</v>
      </c>
      <c r="O556" s="130">
        <v>27</v>
      </c>
      <c r="P556" s="130">
        <f>MONTH(Table1[[#This Row],[Date]])</f>
        <v>9</v>
      </c>
      <c r="Q556" s="130">
        <v>2020</v>
      </c>
      <c r="R556" s="166">
        <f>IF(ISBLANK(Table1[[#This Row],[Date]]),"",Table1[[#This Row],[Date]]-WEEKDAY(Table1[[#This Row],[Date]],2)+1)</f>
        <v>44095</v>
      </c>
      <c r="S556" s="131">
        <f>IF(ISBLANK(Table1[[#This Row],[Date]]),"",DATE(Table1[[#This Row],[Date_Year]],Table1[[#This Row],[Date_Month]],1))</f>
        <v>44075</v>
      </c>
    </row>
    <row r="557" spans="2:19" ht="15.75" x14ac:dyDescent="0.25">
      <c r="B557" s="133">
        <v>44101</v>
      </c>
      <c r="C557" s="128" t="s">
        <v>256</v>
      </c>
      <c r="D557" s="128" t="s">
        <v>46</v>
      </c>
      <c r="E557" s="128" t="str" cm="1">
        <f t="array" ref="E557">IFERROR(INDEX(SubcategoriesTable[Subcategory name],MATCH(Table1[[#This Row],[Category]],SubcategoriesTable[Category name],0),0),"")</f>
        <v>Variable</v>
      </c>
      <c r="F557" s="134">
        <v>147.41</v>
      </c>
      <c r="G557" s="167" t="str">
        <f>_xlfn.XLOOKUP(Table1[[#This Row],[Account_ID]], Accounts[ID], Accounts[Account nickname], "Unknown")</f>
        <v>Discover it chrome Card</v>
      </c>
      <c r="H557" s="137" t="str">
        <f>_xlfn.XLOOKUP(Table1[[#This Row],[Account_ID]], Accounts[ID], Accounts[Account'#], "Unknown")</f>
        <v>7328</v>
      </c>
      <c r="I557" s="168" t="str">
        <f>_xlfn.XLOOKUP(Table1[[#This Row],[Institution_ID]], Institutions[ID], Institutions[Institution nickname], "Unknown")</f>
        <v>Discover</v>
      </c>
      <c r="J557" s="139" t="s">
        <v>625</v>
      </c>
      <c r="K557" s="129" t="s">
        <v>110</v>
      </c>
      <c r="L557" s="129" t="s">
        <v>108</v>
      </c>
      <c r="M557" s="130" t="str" cm="1">
        <f t="array" ref="M557">IFERROR(INDEX(CategoriesTable[Category type],MATCH(Table1[[#This Row],[Category]],CategoriesTable[Category name],0),0),"")</f>
        <v>Expense</v>
      </c>
      <c r="N557" s="130" t="str" cm="1">
        <f t="array" ref="N557">IFERROR(INDEX(SubcategoriesTable[Subcategory name],MATCH(Table1[[#This Row],[Category]],SubcategoriesTable[Category name],0),0),"")</f>
        <v>Variable</v>
      </c>
      <c r="O557" s="130">
        <v>27</v>
      </c>
      <c r="P557" s="130">
        <f>MONTH(Table1[[#This Row],[Date]])</f>
        <v>9</v>
      </c>
      <c r="Q557" s="130">
        <v>2020</v>
      </c>
      <c r="R557" s="166">
        <f>IF(ISBLANK(Table1[[#This Row],[Date]]),"",Table1[[#This Row],[Date]]-WEEKDAY(Table1[[#This Row],[Date]],2)+1)</f>
        <v>44095</v>
      </c>
      <c r="S557" s="131">
        <f>IF(ISBLANK(Table1[[#This Row],[Date]]),"",DATE(Table1[[#This Row],[Date_Year]],Table1[[#This Row],[Date_Month]],1))</f>
        <v>44075</v>
      </c>
    </row>
    <row r="558" spans="2:19" ht="15.75" x14ac:dyDescent="0.25">
      <c r="B558" s="133">
        <v>44101</v>
      </c>
      <c r="C558" s="128" t="s">
        <v>626</v>
      </c>
      <c r="D558" s="128" t="s">
        <v>48</v>
      </c>
      <c r="E558" s="128" t="str" cm="1">
        <f t="array" ref="E558">IFERROR(INDEX(SubcategoriesTable[Subcategory name],MATCH(Table1[[#This Row],[Category]],SubcategoriesTable[Category name],0),0),"")</f>
        <v>Variable</v>
      </c>
      <c r="F558" s="134">
        <v>-54.45</v>
      </c>
      <c r="G558" s="167" t="str">
        <f>_xlfn.XLOOKUP(Table1[[#This Row],[Account_ID]], Accounts[ID], Accounts[Account nickname], "Unknown")</f>
        <v>Discover it chrome Card</v>
      </c>
      <c r="H558" s="137" t="str">
        <f>_xlfn.XLOOKUP(Table1[[#This Row],[Account_ID]], Accounts[ID], Accounts[Account'#], "Unknown")</f>
        <v>7328</v>
      </c>
      <c r="I558" s="168" t="str">
        <f>_xlfn.XLOOKUP(Table1[[#This Row],[Institution_ID]], Institutions[ID], Institutions[Institution nickname], "Unknown")</f>
        <v>Discover</v>
      </c>
      <c r="J558" s="139" t="s">
        <v>627</v>
      </c>
      <c r="K558" s="129" t="s">
        <v>110</v>
      </c>
      <c r="L558" s="129" t="s">
        <v>108</v>
      </c>
      <c r="M558" s="130" t="str" cm="1">
        <f t="array" ref="M558">IFERROR(INDEX(CategoriesTable[Category type],MATCH(Table1[[#This Row],[Category]],CategoriesTable[Category name],0),0),"")</f>
        <v>Expense</v>
      </c>
      <c r="N558" s="130" t="str" cm="1">
        <f t="array" ref="N558">IFERROR(INDEX(SubcategoriesTable[Subcategory name],MATCH(Table1[[#This Row],[Category]],SubcategoriesTable[Category name],0),0),"")</f>
        <v>Variable</v>
      </c>
      <c r="O558" s="130">
        <v>27</v>
      </c>
      <c r="P558" s="130">
        <f>MONTH(Table1[[#This Row],[Date]])</f>
        <v>9</v>
      </c>
      <c r="Q558" s="130">
        <v>2020</v>
      </c>
      <c r="R558" s="166">
        <f>IF(ISBLANK(Table1[[#This Row],[Date]]),"",Table1[[#This Row],[Date]]-WEEKDAY(Table1[[#This Row],[Date]],2)+1)</f>
        <v>44095</v>
      </c>
      <c r="S558" s="131">
        <f>IF(ISBLANK(Table1[[#This Row],[Date]]),"",DATE(Table1[[#This Row],[Date_Year]],Table1[[#This Row],[Date_Month]],1))</f>
        <v>44075</v>
      </c>
    </row>
    <row r="559" spans="2:19" ht="15.75" x14ac:dyDescent="0.25">
      <c r="B559" s="133">
        <v>44099</v>
      </c>
      <c r="C559" s="128" t="s">
        <v>1180</v>
      </c>
      <c r="D559" s="128" t="s">
        <v>50</v>
      </c>
      <c r="E559" s="128" t="str" cm="1">
        <f t="array" ref="E559">IFERROR(INDEX(SubcategoriesTable[Subcategory name],MATCH(Table1[[#This Row],[Category]],SubcategoriesTable[Category name],0),0),"")</f>
        <v>Variable</v>
      </c>
      <c r="F559" s="134">
        <v>-800</v>
      </c>
      <c r="G559" s="167" t="str">
        <f>_xlfn.XLOOKUP(Table1[[#This Row],[Account_ID]], Accounts[ID], Accounts[Account nickname], "Unknown")</f>
        <v>EVERYDAY CHECKING</v>
      </c>
      <c r="H559" s="137" t="str">
        <f>_xlfn.XLOOKUP(Table1[[#This Row],[Account_ID]], Accounts[ID], Accounts[Account'#], "Unknown")</f>
        <v>4636</v>
      </c>
      <c r="I559" s="168" t="str">
        <f>_xlfn.XLOOKUP(Table1[[#This Row],[Institution_ID]], Institutions[ID], Institutions[Institution nickname], "Unknown")</f>
        <v>Wells Fargo</v>
      </c>
      <c r="J559" s="139" t="s">
        <v>1507</v>
      </c>
      <c r="K559" s="129" t="s">
        <v>1229</v>
      </c>
      <c r="L559" s="129" t="s">
        <v>1228</v>
      </c>
      <c r="M559" s="130" t="str" cm="1">
        <f t="array" ref="M559">IFERROR(INDEX(CategoriesTable[Category type],MATCH(Table1[[#This Row],[Category]],CategoriesTable[Category name],0),0),"")</f>
        <v>Transfer</v>
      </c>
      <c r="N559" s="130" t="str" cm="1">
        <f t="array" ref="N559">IFERROR(INDEX(SubcategoriesTable[Subcategory name],MATCH(Table1[[#This Row],[Category]],SubcategoriesTable[Category name],0),0),"")</f>
        <v>Variable</v>
      </c>
      <c r="O559" s="130">
        <v>25</v>
      </c>
      <c r="P559" s="130">
        <f>MONTH(Table1[[#This Row],[Date]])</f>
        <v>9</v>
      </c>
      <c r="Q559" s="130">
        <v>2020</v>
      </c>
      <c r="R559" s="166">
        <f>IF(ISBLANK(Table1[[#This Row],[Date]]),"",Table1[[#This Row],[Date]]-WEEKDAY(Table1[[#This Row],[Date]],2)+1)</f>
        <v>44095</v>
      </c>
      <c r="S559" s="131">
        <f>IF(ISBLANK(Table1[[#This Row],[Date]]),"",DATE(Table1[[#This Row],[Date_Year]],Table1[[#This Row],[Date_Month]],1))</f>
        <v>44075</v>
      </c>
    </row>
    <row r="560" spans="2:19" ht="15.75" x14ac:dyDescent="0.25">
      <c r="B560" s="133">
        <v>44099</v>
      </c>
      <c r="C560" s="128" t="s">
        <v>1508</v>
      </c>
      <c r="D560" s="128" t="s">
        <v>47</v>
      </c>
      <c r="E560" s="128" t="str" cm="1">
        <f t="array" ref="E560">IFERROR(INDEX(SubcategoriesTable[Subcategory name],MATCH(Table1[[#This Row],[Category]],SubcategoriesTable[Category name],0),0),"")</f>
        <v>Variable</v>
      </c>
      <c r="F560" s="134">
        <v>-3.95</v>
      </c>
      <c r="G560" s="167" t="str">
        <f>_xlfn.XLOOKUP(Table1[[#This Row],[Account_ID]], Accounts[ID], Accounts[Account nickname], "Unknown")</f>
        <v>EVERYDAY CHECKING</v>
      </c>
      <c r="H560" s="137" t="str">
        <f>_xlfn.XLOOKUP(Table1[[#This Row],[Account_ID]], Accounts[ID], Accounts[Account'#], "Unknown")</f>
        <v>4636</v>
      </c>
      <c r="I560" s="168" t="str">
        <f>_xlfn.XLOOKUP(Table1[[#This Row],[Institution_ID]], Institutions[ID], Institutions[Institution nickname], "Unknown")</f>
        <v>Wells Fargo</v>
      </c>
      <c r="J560" s="139" t="s">
        <v>1509</v>
      </c>
      <c r="K560" s="129" t="s">
        <v>1229</v>
      </c>
      <c r="L560" s="129" t="s">
        <v>1228</v>
      </c>
      <c r="M560" s="130" t="str" cm="1">
        <f t="array" ref="M560">IFERROR(INDEX(CategoriesTable[Category type],MATCH(Table1[[#This Row],[Category]],CategoriesTable[Category name],0),0),"")</f>
        <v>Expense</v>
      </c>
      <c r="N560" s="130" t="str" cm="1">
        <f t="array" ref="N560">IFERROR(INDEX(SubcategoriesTable[Subcategory name],MATCH(Table1[[#This Row],[Category]],SubcategoriesTable[Category name],0),0),"")</f>
        <v>Variable</v>
      </c>
      <c r="O560" s="130">
        <v>25</v>
      </c>
      <c r="P560" s="130">
        <f>MONTH(Table1[[#This Row],[Date]])</f>
        <v>9</v>
      </c>
      <c r="Q560" s="130">
        <v>2020</v>
      </c>
      <c r="R560" s="166">
        <f>IF(ISBLANK(Table1[[#This Row],[Date]]),"",Table1[[#This Row],[Date]]-WEEKDAY(Table1[[#This Row],[Date]],2)+1)</f>
        <v>44095</v>
      </c>
      <c r="S560" s="131">
        <f>IF(ISBLANK(Table1[[#This Row],[Date]]),"",DATE(Table1[[#This Row],[Date_Year]],Table1[[#This Row],[Date_Month]],1))</f>
        <v>44075</v>
      </c>
    </row>
    <row r="561" spans="2:19" ht="15.75" x14ac:dyDescent="0.25">
      <c r="B561" s="133">
        <v>44099</v>
      </c>
      <c r="C561" s="128" t="s">
        <v>1510</v>
      </c>
      <c r="D561" s="128" t="s">
        <v>45</v>
      </c>
      <c r="E561" s="128" t="str" cm="1">
        <f t="array" ref="E561">IFERROR(INDEX(SubcategoriesTable[Subcategory name],MATCH(Table1[[#This Row],[Category]],SubcategoriesTable[Category name],0),0),"")</f>
        <v>Variable</v>
      </c>
      <c r="F561" s="134">
        <v>-9.36</v>
      </c>
      <c r="G561" s="167" t="str">
        <f>_xlfn.XLOOKUP(Table1[[#This Row],[Account_ID]], Accounts[ID], Accounts[Account nickname], "Unknown")</f>
        <v>EVERYDAY CHECKING</v>
      </c>
      <c r="H561" s="137" t="str">
        <f>_xlfn.XLOOKUP(Table1[[#This Row],[Account_ID]], Accounts[ID], Accounts[Account'#], "Unknown")</f>
        <v>4636</v>
      </c>
      <c r="I561" s="168" t="str">
        <f>_xlfn.XLOOKUP(Table1[[#This Row],[Institution_ID]], Institutions[ID], Institutions[Institution nickname], "Unknown")</f>
        <v>Wells Fargo</v>
      </c>
      <c r="J561" s="139" t="s">
        <v>1511</v>
      </c>
      <c r="K561" s="129" t="s">
        <v>1229</v>
      </c>
      <c r="L561" s="129" t="s">
        <v>1228</v>
      </c>
      <c r="M561" s="130" t="str" cm="1">
        <f t="array" ref="M561">IFERROR(INDEX(CategoriesTable[Category type],MATCH(Table1[[#This Row],[Category]],CategoriesTable[Category name],0),0),"")</f>
        <v>Expense</v>
      </c>
      <c r="N561" s="130" t="str" cm="1">
        <f t="array" ref="N561">IFERROR(INDEX(SubcategoriesTable[Subcategory name],MATCH(Table1[[#This Row],[Category]],SubcategoriesTable[Category name],0),0),"")</f>
        <v>Variable</v>
      </c>
      <c r="O561" s="130">
        <v>25</v>
      </c>
      <c r="P561" s="130">
        <f>MONTH(Table1[[#This Row],[Date]])</f>
        <v>9</v>
      </c>
      <c r="Q561" s="130">
        <v>2020</v>
      </c>
      <c r="R561" s="166">
        <f>IF(ISBLANK(Table1[[#This Row],[Date]]),"",Table1[[#This Row],[Date]]-WEEKDAY(Table1[[#This Row],[Date]],2)+1)</f>
        <v>44095</v>
      </c>
      <c r="S561" s="131">
        <f>IF(ISBLANK(Table1[[#This Row],[Date]]),"",DATE(Table1[[#This Row],[Date_Year]],Table1[[#This Row],[Date_Month]],1))</f>
        <v>44075</v>
      </c>
    </row>
    <row r="562" spans="2:19" ht="15.75" x14ac:dyDescent="0.25">
      <c r="B562" s="133">
        <v>44099</v>
      </c>
      <c r="C562" s="128" t="s">
        <v>1181</v>
      </c>
      <c r="D562" s="128" t="s">
        <v>59</v>
      </c>
      <c r="E562" s="128" t="str" cm="1">
        <f t="array" ref="E562">IFERROR(INDEX(SubcategoriesTable[Subcategory name],MATCH(Table1[[#This Row],[Category]],SubcategoriesTable[Category name],0),0),"")</f>
        <v>Fixed</v>
      </c>
      <c r="F562" s="134">
        <v>1450.14</v>
      </c>
      <c r="G562" s="167" t="str">
        <f>_xlfn.XLOOKUP(Table1[[#This Row],[Account_ID]], Accounts[ID], Accounts[Account nickname], "Unknown")</f>
        <v>EVERYDAY CHECKING</v>
      </c>
      <c r="H562" s="137" t="str">
        <f>_xlfn.XLOOKUP(Table1[[#This Row],[Account_ID]], Accounts[ID], Accounts[Account'#], "Unknown")</f>
        <v>4636</v>
      </c>
      <c r="I562" s="168" t="str">
        <f>_xlfn.XLOOKUP(Table1[[#This Row],[Institution_ID]], Institutions[ID], Institutions[Institution nickname], "Unknown")</f>
        <v>Wells Fargo</v>
      </c>
      <c r="J562" s="139" t="s">
        <v>1512</v>
      </c>
      <c r="K562" s="129" t="s">
        <v>1229</v>
      </c>
      <c r="L562" s="129" t="s">
        <v>1228</v>
      </c>
      <c r="M562" s="130" t="str" cm="1">
        <f t="array" ref="M562">IFERROR(INDEX(CategoriesTable[Category type],MATCH(Table1[[#This Row],[Category]],CategoriesTable[Category name],0),0),"")</f>
        <v>Income</v>
      </c>
      <c r="N562" s="130" t="str" cm="1">
        <f t="array" ref="N562">IFERROR(INDEX(SubcategoriesTable[Subcategory name],MATCH(Table1[[#This Row],[Category]],SubcategoriesTable[Category name],0),0),"")</f>
        <v>Fixed</v>
      </c>
      <c r="O562" s="130">
        <v>25</v>
      </c>
      <c r="P562" s="130">
        <f>MONTH(Table1[[#This Row],[Date]])</f>
        <v>9</v>
      </c>
      <c r="Q562" s="130">
        <v>2020</v>
      </c>
      <c r="R562" s="166">
        <f>IF(ISBLANK(Table1[[#This Row],[Date]]),"",Table1[[#This Row],[Date]]-WEEKDAY(Table1[[#This Row],[Date]],2)+1)</f>
        <v>44095</v>
      </c>
      <c r="S562" s="131">
        <f>IF(ISBLANK(Table1[[#This Row],[Date]]),"",DATE(Table1[[#This Row],[Date_Year]],Table1[[#This Row],[Date_Month]],1))</f>
        <v>44075</v>
      </c>
    </row>
    <row r="563" spans="2:19" ht="15.75" x14ac:dyDescent="0.25">
      <c r="B563" s="133">
        <v>44099</v>
      </c>
      <c r="C563" s="128" t="s">
        <v>508</v>
      </c>
      <c r="D563" s="128" t="s">
        <v>50</v>
      </c>
      <c r="E563" s="128" t="str" cm="1">
        <f t="array" ref="E563">IFERROR(INDEX(SubcategoriesTable[Subcategory name],MATCH(Table1[[#This Row],[Category]],SubcategoriesTable[Category name],0),0),"")</f>
        <v>Variable</v>
      </c>
      <c r="F563" s="134">
        <v>-57.89</v>
      </c>
      <c r="G563" s="167" t="str">
        <f>_xlfn.XLOOKUP(Table1[[#This Row],[Account_ID]], Accounts[ID], Accounts[Account nickname], "Unknown")</f>
        <v>EVERYDAY CHECKING</v>
      </c>
      <c r="H563" s="137" t="str">
        <f>_xlfn.XLOOKUP(Table1[[#This Row],[Account_ID]], Accounts[ID], Accounts[Account'#], "Unknown")</f>
        <v>4636</v>
      </c>
      <c r="I563" s="168" t="str">
        <f>_xlfn.XLOOKUP(Table1[[#This Row],[Institution_ID]], Institutions[ID], Institutions[Institution nickname], "Unknown")</f>
        <v>Wells Fargo</v>
      </c>
      <c r="J563" s="139" t="s">
        <v>1513</v>
      </c>
      <c r="K563" s="129" t="s">
        <v>1229</v>
      </c>
      <c r="L563" s="129" t="s">
        <v>1228</v>
      </c>
      <c r="M563" s="130" t="str" cm="1">
        <f t="array" ref="M563">IFERROR(INDEX(CategoriesTable[Category type],MATCH(Table1[[#This Row],[Category]],CategoriesTable[Category name],0),0),"")</f>
        <v>Transfer</v>
      </c>
      <c r="N563" s="130" t="str" cm="1">
        <f t="array" ref="N563">IFERROR(INDEX(SubcategoriesTable[Subcategory name],MATCH(Table1[[#This Row],[Category]],SubcategoriesTable[Category name],0),0),"")</f>
        <v>Variable</v>
      </c>
      <c r="O563" s="130">
        <v>25</v>
      </c>
      <c r="P563" s="130">
        <f>MONTH(Table1[[#This Row],[Date]])</f>
        <v>9</v>
      </c>
      <c r="Q563" s="130">
        <v>2020</v>
      </c>
      <c r="R563" s="166">
        <f>IF(ISBLANK(Table1[[#This Row],[Date]]),"",Table1[[#This Row],[Date]]-WEEKDAY(Table1[[#This Row],[Date]],2)+1)</f>
        <v>44095</v>
      </c>
      <c r="S563" s="131">
        <f>IF(ISBLANK(Table1[[#This Row],[Date]]),"",DATE(Table1[[#This Row],[Date_Year]],Table1[[#This Row],[Date_Month]],1))</f>
        <v>44075</v>
      </c>
    </row>
    <row r="564" spans="2:19" ht="15.75" x14ac:dyDescent="0.25">
      <c r="B564" s="133">
        <v>44099</v>
      </c>
      <c r="C564" s="128" t="s">
        <v>508</v>
      </c>
      <c r="D564" s="128" t="s">
        <v>78</v>
      </c>
      <c r="E564" s="128" t="str" cm="1">
        <f t="array" ref="E564">IFERROR(INDEX(SubcategoriesTable[Subcategory name],MATCH(Table1[[#This Row],[Category]],SubcategoriesTable[Category name],0),0),"")</f>
        <v>Fixed</v>
      </c>
      <c r="F564" s="134">
        <v>-700</v>
      </c>
      <c r="G564" s="167" t="str">
        <f>_xlfn.XLOOKUP(Table1[[#This Row],[Account_ID]], Accounts[ID], Accounts[Account nickname], "Unknown")</f>
        <v>EVERYDAY CHECKING</v>
      </c>
      <c r="H564" s="137" t="str">
        <f>_xlfn.XLOOKUP(Table1[[#This Row],[Account_ID]], Accounts[ID], Accounts[Account'#], "Unknown")</f>
        <v>4636</v>
      </c>
      <c r="I564" s="168" t="str">
        <f>_xlfn.XLOOKUP(Table1[[#This Row],[Institution_ID]], Institutions[ID], Institutions[Institution nickname], "Unknown")</f>
        <v>Wells Fargo</v>
      </c>
      <c r="J564" s="139" t="s">
        <v>1514</v>
      </c>
      <c r="K564" s="129" t="s">
        <v>1229</v>
      </c>
      <c r="L564" s="129" t="s">
        <v>1228</v>
      </c>
      <c r="M564" s="130" t="str" cm="1">
        <f t="array" ref="M564">IFERROR(INDEX(CategoriesTable[Category type],MATCH(Table1[[#This Row],[Category]],CategoriesTable[Category name],0),0),"")</f>
        <v>Expense</v>
      </c>
      <c r="N564" s="130" t="str" cm="1">
        <f t="array" ref="N564">IFERROR(INDEX(SubcategoriesTable[Subcategory name],MATCH(Table1[[#This Row],[Category]],SubcategoriesTable[Category name],0),0),"")</f>
        <v>Fixed</v>
      </c>
      <c r="O564" s="130">
        <v>25</v>
      </c>
      <c r="P564" s="130">
        <f>MONTH(Table1[[#This Row],[Date]])</f>
        <v>9</v>
      </c>
      <c r="Q564" s="130">
        <v>2020</v>
      </c>
      <c r="R564" s="166">
        <f>IF(ISBLANK(Table1[[#This Row],[Date]]),"",Table1[[#This Row],[Date]]-WEEKDAY(Table1[[#This Row],[Date]],2)+1)</f>
        <v>44095</v>
      </c>
      <c r="S564" s="131">
        <f>IF(ISBLANK(Table1[[#This Row],[Date]]),"",DATE(Table1[[#This Row],[Date_Year]],Table1[[#This Row],[Date_Month]],1))</f>
        <v>44075</v>
      </c>
    </row>
    <row r="565" spans="2:19" ht="15.75" x14ac:dyDescent="0.25">
      <c r="B565" s="133">
        <v>44099</v>
      </c>
      <c r="C565" s="128" t="s">
        <v>113</v>
      </c>
      <c r="D565" s="128" t="s">
        <v>50</v>
      </c>
      <c r="E565" s="128" t="str" cm="1">
        <f t="array" ref="E565">IFERROR(INDEX(SubcategoriesTable[Subcategory name],MATCH(Table1[[#This Row],[Category]],SubcategoriesTable[Category name],0),0),"")</f>
        <v>Variable</v>
      </c>
      <c r="F565" s="134">
        <v>800</v>
      </c>
      <c r="G565" s="167" t="str">
        <f>_xlfn.XLOOKUP(Table1[[#This Row],[Account_ID]], Accounts[ID], Accounts[Account nickname], "Unknown")</f>
        <v>Discover it chrome Card</v>
      </c>
      <c r="H565" s="137" t="str">
        <f>_xlfn.XLOOKUP(Table1[[#This Row],[Account_ID]], Accounts[ID], Accounts[Account'#], "Unknown")</f>
        <v>7328</v>
      </c>
      <c r="I565" s="168" t="str">
        <f>_xlfn.XLOOKUP(Table1[[#This Row],[Institution_ID]], Institutions[ID], Institutions[Institution nickname], "Unknown")</f>
        <v>Discover</v>
      </c>
      <c r="J565" s="139" t="s">
        <v>628</v>
      </c>
      <c r="K565" s="129" t="s">
        <v>110</v>
      </c>
      <c r="L565" s="129" t="s">
        <v>108</v>
      </c>
      <c r="M565" s="130" t="str" cm="1">
        <f t="array" ref="M565">IFERROR(INDEX(CategoriesTable[Category type],MATCH(Table1[[#This Row],[Category]],CategoriesTable[Category name],0),0),"")</f>
        <v>Transfer</v>
      </c>
      <c r="N565" s="130" t="str" cm="1">
        <f t="array" ref="N565">IFERROR(INDEX(SubcategoriesTable[Subcategory name],MATCH(Table1[[#This Row],[Category]],SubcategoriesTable[Category name],0),0),"")</f>
        <v>Variable</v>
      </c>
      <c r="O565" s="130">
        <v>25</v>
      </c>
      <c r="P565" s="130">
        <f>MONTH(Table1[[#This Row],[Date]])</f>
        <v>9</v>
      </c>
      <c r="Q565" s="130">
        <v>2020</v>
      </c>
      <c r="R565" s="166">
        <f>IF(ISBLANK(Table1[[#This Row],[Date]]),"",Table1[[#This Row],[Date]]-WEEKDAY(Table1[[#This Row],[Date]],2)+1)</f>
        <v>44095</v>
      </c>
      <c r="S565" s="131">
        <f>IF(ISBLANK(Table1[[#This Row],[Date]]),"",DATE(Table1[[#This Row],[Date_Year]],Table1[[#This Row],[Date_Month]],1))</f>
        <v>44075</v>
      </c>
    </row>
    <row r="566" spans="2:19" ht="15.75" x14ac:dyDescent="0.25">
      <c r="B566" s="133">
        <v>44099</v>
      </c>
      <c r="C566" s="128" t="s">
        <v>541</v>
      </c>
      <c r="D566" s="128" t="s">
        <v>46</v>
      </c>
      <c r="E566" s="128" t="str" cm="1">
        <f t="array" ref="E566">IFERROR(INDEX(SubcategoriesTable[Subcategory name],MATCH(Table1[[#This Row],[Category]],SubcategoriesTable[Category name],0),0),"")</f>
        <v>Variable</v>
      </c>
      <c r="F566" s="134">
        <v>-247.44</v>
      </c>
      <c r="G566" s="167" t="str">
        <f>_xlfn.XLOOKUP(Table1[[#This Row],[Account_ID]], Accounts[ID], Accounts[Account nickname], "Unknown")</f>
        <v>Discover it chrome Card</v>
      </c>
      <c r="H566" s="137" t="str">
        <f>_xlfn.XLOOKUP(Table1[[#This Row],[Account_ID]], Accounts[ID], Accounts[Account'#], "Unknown")</f>
        <v>7328</v>
      </c>
      <c r="I566" s="168" t="str">
        <f>_xlfn.XLOOKUP(Table1[[#This Row],[Institution_ID]], Institutions[ID], Institutions[Institution nickname], "Unknown")</f>
        <v>Discover</v>
      </c>
      <c r="J566" s="139" t="s">
        <v>629</v>
      </c>
      <c r="K566" s="129" t="s">
        <v>110</v>
      </c>
      <c r="L566" s="129" t="s">
        <v>108</v>
      </c>
      <c r="M566" s="130" t="str" cm="1">
        <f t="array" ref="M566">IFERROR(INDEX(CategoriesTable[Category type],MATCH(Table1[[#This Row],[Category]],CategoriesTable[Category name],0),0),"")</f>
        <v>Expense</v>
      </c>
      <c r="N566" s="130" t="str" cm="1">
        <f t="array" ref="N566">IFERROR(INDEX(SubcategoriesTable[Subcategory name],MATCH(Table1[[#This Row],[Category]],SubcategoriesTable[Category name],0),0),"")</f>
        <v>Variable</v>
      </c>
      <c r="O566" s="130">
        <v>25</v>
      </c>
      <c r="P566" s="130">
        <f>MONTH(Table1[[#This Row],[Date]])</f>
        <v>9</v>
      </c>
      <c r="Q566" s="130">
        <v>2020</v>
      </c>
      <c r="R566" s="166">
        <f>IF(ISBLANK(Table1[[#This Row],[Date]]),"",Table1[[#This Row],[Date]]-WEEKDAY(Table1[[#This Row],[Date]],2)+1)</f>
        <v>44095</v>
      </c>
      <c r="S566" s="131">
        <f>IF(ISBLANK(Table1[[#This Row],[Date]]),"",DATE(Table1[[#This Row],[Date_Year]],Table1[[#This Row],[Date_Month]],1))</f>
        <v>44075</v>
      </c>
    </row>
    <row r="567" spans="2:19" ht="15.75" x14ac:dyDescent="0.25">
      <c r="B567" s="133">
        <v>44099</v>
      </c>
      <c r="C567" s="128" t="s">
        <v>201</v>
      </c>
      <c r="D567" s="128" t="s">
        <v>48</v>
      </c>
      <c r="E567" s="128" t="str" cm="1">
        <f t="array" ref="E567">IFERROR(INDEX(SubcategoriesTable[Subcategory name],MATCH(Table1[[#This Row],[Category]],SubcategoriesTable[Category name],0),0),"")</f>
        <v>Variable</v>
      </c>
      <c r="F567" s="134">
        <v>14.73</v>
      </c>
      <c r="G567" s="167" t="str">
        <f>_xlfn.XLOOKUP(Table1[[#This Row],[Account_ID]], Accounts[ID], Accounts[Account nickname], "Unknown")</f>
        <v>Discover it chrome Card</v>
      </c>
      <c r="H567" s="137" t="str">
        <f>_xlfn.XLOOKUP(Table1[[#This Row],[Account_ID]], Accounts[ID], Accounts[Account'#], "Unknown")</f>
        <v>7328</v>
      </c>
      <c r="I567" s="168" t="str">
        <f>_xlfn.XLOOKUP(Table1[[#This Row],[Institution_ID]], Institutions[ID], Institutions[Institution nickname], "Unknown")</f>
        <v>Discover</v>
      </c>
      <c r="J567" s="139" t="s">
        <v>630</v>
      </c>
      <c r="K567" s="129" t="s">
        <v>110</v>
      </c>
      <c r="L567" s="129" t="s">
        <v>108</v>
      </c>
      <c r="M567" s="130" t="str" cm="1">
        <f t="array" ref="M567">IFERROR(INDEX(CategoriesTable[Category type],MATCH(Table1[[#This Row],[Category]],CategoriesTable[Category name],0),0),"")</f>
        <v>Expense</v>
      </c>
      <c r="N567" s="130" t="str" cm="1">
        <f t="array" ref="N567">IFERROR(INDEX(SubcategoriesTable[Subcategory name],MATCH(Table1[[#This Row],[Category]],SubcategoriesTable[Category name],0),0),"")</f>
        <v>Variable</v>
      </c>
      <c r="O567" s="130">
        <v>25</v>
      </c>
      <c r="P567" s="130">
        <f>MONTH(Table1[[#This Row],[Date]])</f>
        <v>9</v>
      </c>
      <c r="Q567" s="130">
        <v>2020</v>
      </c>
      <c r="R567" s="166">
        <f>IF(ISBLANK(Table1[[#This Row],[Date]]),"",Table1[[#This Row],[Date]]-WEEKDAY(Table1[[#This Row],[Date]],2)+1)</f>
        <v>44095</v>
      </c>
      <c r="S567" s="131">
        <f>IF(ISBLANK(Table1[[#This Row],[Date]]),"",DATE(Table1[[#This Row],[Date_Year]],Table1[[#This Row],[Date_Month]],1))</f>
        <v>44075</v>
      </c>
    </row>
    <row r="568" spans="2:19" ht="15.75" x14ac:dyDescent="0.25">
      <c r="B568" s="133">
        <v>44099</v>
      </c>
      <c r="C568" s="128" t="s">
        <v>201</v>
      </c>
      <c r="D568" s="128" t="s">
        <v>48</v>
      </c>
      <c r="E568" s="128" t="str" cm="1">
        <f t="array" ref="E568">IFERROR(INDEX(SubcategoriesTable[Subcategory name],MATCH(Table1[[#This Row],[Category]],SubcategoriesTable[Category name],0),0),"")</f>
        <v>Variable</v>
      </c>
      <c r="F568" s="134">
        <v>-23.69</v>
      </c>
      <c r="G568" s="167" t="str">
        <f>_xlfn.XLOOKUP(Table1[[#This Row],[Account_ID]], Accounts[ID], Accounts[Account nickname], "Unknown")</f>
        <v>Discover it chrome Card</v>
      </c>
      <c r="H568" s="137" t="str">
        <f>_xlfn.XLOOKUP(Table1[[#This Row],[Account_ID]], Accounts[ID], Accounts[Account'#], "Unknown")</f>
        <v>7328</v>
      </c>
      <c r="I568" s="168" t="str">
        <f>_xlfn.XLOOKUP(Table1[[#This Row],[Institution_ID]], Institutions[ID], Institutions[Institution nickname], "Unknown")</f>
        <v>Discover</v>
      </c>
      <c r="J568" s="139" t="s">
        <v>631</v>
      </c>
      <c r="K568" s="129" t="s">
        <v>110</v>
      </c>
      <c r="L568" s="129" t="s">
        <v>108</v>
      </c>
      <c r="M568" s="130" t="str" cm="1">
        <f t="array" ref="M568">IFERROR(INDEX(CategoriesTable[Category type],MATCH(Table1[[#This Row],[Category]],CategoriesTable[Category name],0),0),"")</f>
        <v>Expense</v>
      </c>
      <c r="N568" s="130" t="str" cm="1">
        <f t="array" ref="N568">IFERROR(INDEX(SubcategoriesTable[Subcategory name],MATCH(Table1[[#This Row],[Category]],SubcategoriesTable[Category name],0),0),"")</f>
        <v>Variable</v>
      </c>
      <c r="O568" s="130">
        <v>25</v>
      </c>
      <c r="P568" s="130">
        <f>MONTH(Table1[[#This Row],[Date]])</f>
        <v>9</v>
      </c>
      <c r="Q568" s="130">
        <v>2020</v>
      </c>
      <c r="R568" s="166">
        <f>IF(ISBLANK(Table1[[#This Row],[Date]]),"",Table1[[#This Row],[Date]]-WEEKDAY(Table1[[#This Row],[Date]],2)+1)</f>
        <v>44095</v>
      </c>
      <c r="S568" s="131">
        <f>IF(ISBLANK(Table1[[#This Row],[Date]]),"",DATE(Table1[[#This Row],[Date_Year]],Table1[[#This Row],[Date_Month]],1))</f>
        <v>44075</v>
      </c>
    </row>
    <row r="569" spans="2:19" ht="15.75" x14ac:dyDescent="0.25">
      <c r="B569" s="133">
        <v>44099</v>
      </c>
      <c r="C569" s="128" t="s">
        <v>201</v>
      </c>
      <c r="D569" s="128" t="s">
        <v>48</v>
      </c>
      <c r="E569" s="128" t="str" cm="1">
        <f t="array" ref="E569">IFERROR(INDEX(SubcategoriesTable[Subcategory name],MATCH(Table1[[#This Row],[Category]],SubcategoriesTable[Category name],0),0),"")</f>
        <v>Variable</v>
      </c>
      <c r="F569" s="134">
        <v>-24.2</v>
      </c>
      <c r="G569" s="167" t="str">
        <f>_xlfn.XLOOKUP(Table1[[#This Row],[Account_ID]], Accounts[ID], Accounts[Account nickname], "Unknown")</f>
        <v>Discover it chrome Card</v>
      </c>
      <c r="H569" s="137" t="str">
        <f>_xlfn.XLOOKUP(Table1[[#This Row],[Account_ID]], Accounts[ID], Accounts[Account'#], "Unknown")</f>
        <v>7328</v>
      </c>
      <c r="I569" s="168" t="str">
        <f>_xlfn.XLOOKUP(Table1[[#This Row],[Institution_ID]], Institutions[ID], Institutions[Institution nickname], "Unknown")</f>
        <v>Discover</v>
      </c>
      <c r="J569" s="139" t="s">
        <v>632</v>
      </c>
      <c r="K569" s="129" t="s">
        <v>110</v>
      </c>
      <c r="L569" s="129" t="s">
        <v>108</v>
      </c>
      <c r="M569" s="130" t="str" cm="1">
        <f t="array" ref="M569">IFERROR(INDEX(CategoriesTable[Category type],MATCH(Table1[[#This Row],[Category]],CategoriesTable[Category name],0),0),"")</f>
        <v>Expense</v>
      </c>
      <c r="N569" s="130" t="str" cm="1">
        <f t="array" ref="N569">IFERROR(INDEX(SubcategoriesTable[Subcategory name],MATCH(Table1[[#This Row],[Category]],SubcategoriesTable[Category name],0),0),"")</f>
        <v>Variable</v>
      </c>
      <c r="O569" s="130">
        <v>25</v>
      </c>
      <c r="P569" s="130">
        <f>MONTH(Table1[[#This Row],[Date]])</f>
        <v>9</v>
      </c>
      <c r="Q569" s="130">
        <v>2020</v>
      </c>
      <c r="R569" s="166">
        <f>IF(ISBLANK(Table1[[#This Row],[Date]]),"",Table1[[#This Row],[Date]]-WEEKDAY(Table1[[#This Row],[Date]],2)+1)</f>
        <v>44095</v>
      </c>
      <c r="S569" s="131">
        <f>IF(ISBLANK(Table1[[#This Row],[Date]]),"",DATE(Table1[[#This Row],[Date_Year]],Table1[[#This Row],[Date_Month]],1))</f>
        <v>44075</v>
      </c>
    </row>
    <row r="570" spans="2:19" ht="15.75" x14ac:dyDescent="0.25">
      <c r="B570" s="133">
        <v>44097</v>
      </c>
      <c r="C570" s="128" t="s">
        <v>1515</v>
      </c>
      <c r="D570" s="128" t="s">
        <v>52</v>
      </c>
      <c r="E570" s="128" t="str" cm="1">
        <f t="array" ref="E570">IFERROR(INDEX(SubcategoriesTable[Subcategory name],MATCH(Table1[[#This Row],[Category]],SubcategoriesTable[Category name],0),0),"")</f>
        <v>Variable</v>
      </c>
      <c r="F570" s="134">
        <v>-2.0299999999999998</v>
      </c>
      <c r="G570" s="167" t="str">
        <f>_xlfn.XLOOKUP(Table1[[#This Row],[Account_ID]], Accounts[ID], Accounts[Account nickname], "Unknown")</f>
        <v>EVERYDAY CHECKING</v>
      </c>
      <c r="H570" s="137" t="str">
        <f>_xlfn.XLOOKUP(Table1[[#This Row],[Account_ID]], Accounts[ID], Accounts[Account'#], "Unknown")</f>
        <v>4636</v>
      </c>
      <c r="I570" s="168" t="str">
        <f>_xlfn.XLOOKUP(Table1[[#This Row],[Institution_ID]], Institutions[ID], Institutions[Institution nickname], "Unknown")</f>
        <v>Wells Fargo</v>
      </c>
      <c r="J570" s="139" t="s">
        <v>1516</v>
      </c>
      <c r="K570" s="129" t="s">
        <v>1229</v>
      </c>
      <c r="L570" s="129" t="s">
        <v>1228</v>
      </c>
      <c r="M570" s="130" t="str" cm="1">
        <f t="array" ref="M570">IFERROR(INDEX(CategoriesTable[Category type],MATCH(Table1[[#This Row],[Category]],CategoriesTable[Category name],0),0),"")</f>
        <v>Expense</v>
      </c>
      <c r="N570" s="130" t="str" cm="1">
        <f t="array" ref="N570">IFERROR(INDEX(SubcategoriesTable[Subcategory name],MATCH(Table1[[#This Row],[Category]],SubcategoriesTable[Category name],0),0),"")</f>
        <v>Variable</v>
      </c>
      <c r="O570" s="130">
        <v>23</v>
      </c>
      <c r="P570" s="130">
        <f>MONTH(Table1[[#This Row],[Date]])</f>
        <v>9</v>
      </c>
      <c r="Q570" s="130">
        <v>2020</v>
      </c>
      <c r="R570" s="166">
        <f>IF(ISBLANK(Table1[[#This Row],[Date]]),"",Table1[[#This Row],[Date]]-WEEKDAY(Table1[[#This Row],[Date]],2)+1)</f>
        <v>44095</v>
      </c>
      <c r="S570" s="131">
        <f>IF(ISBLANK(Table1[[#This Row],[Date]]),"",DATE(Table1[[#This Row],[Date_Year]],Table1[[#This Row],[Date_Month]],1))</f>
        <v>44075</v>
      </c>
    </row>
    <row r="571" spans="2:19" ht="15.75" x14ac:dyDescent="0.25">
      <c r="B571" s="133">
        <v>44097</v>
      </c>
      <c r="C571" s="128" t="s">
        <v>633</v>
      </c>
      <c r="D571" s="128" t="s">
        <v>45</v>
      </c>
      <c r="E571" s="128" t="str" cm="1">
        <f t="array" ref="E571">IFERROR(INDEX(SubcategoriesTable[Subcategory name],MATCH(Table1[[#This Row],[Category]],SubcategoriesTable[Category name],0),0),"")</f>
        <v>Variable</v>
      </c>
      <c r="F571" s="134">
        <v>-14.76</v>
      </c>
      <c r="G571" s="167" t="str">
        <f>_xlfn.XLOOKUP(Table1[[#This Row],[Account_ID]], Accounts[ID], Accounts[Account nickname], "Unknown")</f>
        <v>Discover it chrome Card</v>
      </c>
      <c r="H571" s="137" t="str">
        <f>_xlfn.XLOOKUP(Table1[[#This Row],[Account_ID]], Accounts[ID], Accounts[Account'#], "Unknown")</f>
        <v>7328</v>
      </c>
      <c r="I571" s="168" t="str">
        <f>_xlfn.XLOOKUP(Table1[[#This Row],[Institution_ID]], Institutions[ID], Institutions[Institution nickname], "Unknown")</f>
        <v>Discover</v>
      </c>
      <c r="J571" s="139" t="s">
        <v>634</v>
      </c>
      <c r="K571" s="129" t="s">
        <v>110</v>
      </c>
      <c r="L571" s="129" t="s">
        <v>108</v>
      </c>
      <c r="M571" s="130" t="str" cm="1">
        <f t="array" ref="M571">IFERROR(INDEX(CategoriesTable[Category type],MATCH(Table1[[#This Row],[Category]],CategoriesTable[Category name],0),0),"")</f>
        <v>Expense</v>
      </c>
      <c r="N571" s="130" t="str" cm="1">
        <f t="array" ref="N571">IFERROR(INDEX(SubcategoriesTable[Subcategory name],MATCH(Table1[[#This Row],[Category]],SubcategoriesTable[Category name],0),0),"")</f>
        <v>Variable</v>
      </c>
      <c r="O571" s="130">
        <v>23</v>
      </c>
      <c r="P571" s="130">
        <f>MONTH(Table1[[#This Row],[Date]])</f>
        <v>9</v>
      </c>
      <c r="Q571" s="130">
        <v>2020</v>
      </c>
      <c r="R571" s="166">
        <f>IF(ISBLANK(Table1[[#This Row],[Date]]),"",Table1[[#This Row],[Date]]-WEEKDAY(Table1[[#This Row],[Date]],2)+1)</f>
        <v>44095</v>
      </c>
      <c r="S571" s="131">
        <f>IF(ISBLANK(Table1[[#This Row],[Date]]),"",DATE(Table1[[#This Row],[Date_Year]],Table1[[#This Row],[Date_Month]],1))</f>
        <v>44075</v>
      </c>
    </row>
    <row r="572" spans="2:19" ht="15.75" x14ac:dyDescent="0.25">
      <c r="B572" s="133">
        <v>44096</v>
      </c>
      <c r="C572" s="128" t="s">
        <v>1185</v>
      </c>
      <c r="D572" s="128" t="s">
        <v>57</v>
      </c>
      <c r="E572" s="128" t="str" cm="1">
        <f t="array" ref="E572">IFERROR(INDEX(SubcategoriesTable[Subcategory name],MATCH(Table1[[#This Row],[Category]],SubcategoriesTable[Category name],0),0),"")</f>
        <v>Variable</v>
      </c>
      <c r="F572" s="134">
        <v>160</v>
      </c>
      <c r="G572" s="167" t="str">
        <f>_xlfn.XLOOKUP(Table1[[#This Row],[Account_ID]], Accounts[ID], Accounts[Account nickname], "Unknown")</f>
        <v>EVERYDAY CHECKING</v>
      </c>
      <c r="H572" s="137" t="str">
        <f>_xlfn.XLOOKUP(Table1[[#This Row],[Account_ID]], Accounts[ID], Accounts[Account'#], "Unknown")</f>
        <v>4636</v>
      </c>
      <c r="I572" s="168" t="str">
        <f>_xlfn.XLOOKUP(Table1[[#This Row],[Institution_ID]], Institutions[ID], Institutions[Institution nickname], "Unknown")</f>
        <v>Wells Fargo</v>
      </c>
      <c r="J572" s="139" t="s">
        <v>1517</v>
      </c>
      <c r="K572" s="129" t="s">
        <v>1229</v>
      </c>
      <c r="L572" s="129" t="s">
        <v>1228</v>
      </c>
      <c r="M572" s="130" t="str" cm="1">
        <f t="array" ref="M572">IFERROR(INDEX(CategoriesTable[Category type],MATCH(Table1[[#This Row],[Category]],CategoriesTable[Category name],0),0),"")</f>
        <v>Transfer</v>
      </c>
      <c r="N572" s="130" t="str" cm="1">
        <f t="array" ref="N572">IFERROR(INDEX(SubcategoriesTable[Subcategory name],MATCH(Table1[[#This Row],[Category]],SubcategoriesTable[Category name],0),0),"")</f>
        <v>Variable</v>
      </c>
      <c r="O572" s="130">
        <v>22</v>
      </c>
      <c r="P572" s="130">
        <f>MONTH(Table1[[#This Row],[Date]])</f>
        <v>9</v>
      </c>
      <c r="Q572" s="130">
        <v>2020</v>
      </c>
      <c r="R572" s="166">
        <f>IF(ISBLANK(Table1[[#This Row],[Date]]),"",Table1[[#This Row],[Date]]-WEEKDAY(Table1[[#This Row],[Date]],2)+1)</f>
        <v>44095</v>
      </c>
      <c r="S572" s="131">
        <f>IF(ISBLANK(Table1[[#This Row],[Date]]),"",DATE(Table1[[#This Row],[Date_Year]],Table1[[#This Row],[Date_Month]],1))</f>
        <v>44075</v>
      </c>
    </row>
    <row r="573" spans="2:19" ht="15.75" x14ac:dyDescent="0.25">
      <c r="B573" s="133">
        <v>44096</v>
      </c>
      <c r="C573" s="128" t="s">
        <v>635</v>
      </c>
      <c r="D573" s="128" t="s">
        <v>52</v>
      </c>
      <c r="E573" s="128" t="str" cm="1">
        <f t="array" ref="E573">IFERROR(INDEX(SubcategoriesTable[Subcategory name],MATCH(Table1[[#This Row],[Category]],SubcategoriesTable[Category name],0),0),"")</f>
        <v>Variable</v>
      </c>
      <c r="F573" s="134">
        <v>-22.01</v>
      </c>
      <c r="G573" s="167" t="str">
        <f>_xlfn.XLOOKUP(Table1[[#This Row],[Account_ID]], Accounts[ID], Accounts[Account nickname], "Unknown")</f>
        <v>Discover it chrome Card</v>
      </c>
      <c r="H573" s="137" t="str">
        <f>_xlfn.XLOOKUP(Table1[[#This Row],[Account_ID]], Accounts[ID], Accounts[Account'#], "Unknown")</f>
        <v>7328</v>
      </c>
      <c r="I573" s="168" t="str">
        <f>_xlfn.XLOOKUP(Table1[[#This Row],[Institution_ID]], Institutions[ID], Institutions[Institution nickname], "Unknown")</f>
        <v>Discover</v>
      </c>
      <c r="J573" s="139" t="s">
        <v>636</v>
      </c>
      <c r="K573" s="129" t="s">
        <v>110</v>
      </c>
      <c r="L573" s="129" t="s">
        <v>108</v>
      </c>
      <c r="M573" s="130" t="str" cm="1">
        <f t="array" ref="M573">IFERROR(INDEX(CategoriesTable[Category type],MATCH(Table1[[#This Row],[Category]],CategoriesTable[Category name],0),0),"")</f>
        <v>Expense</v>
      </c>
      <c r="N573" s="130" t="str" cm="1">
        <f t="array" ref="N573">IFERROR(INDEX(SubcategoriesTable[Subcategory name],MATCH(Table1[[#This Row],[Category]],SubcategoriesTable[Category name],0),0),"")</f>
        <v>Variable</v>
      </c>
      <c r="O573" s="130">
        <v>22</v>
      </c>
      <c r="P573" s="130">
        <f>MONTH(Table1[[#This Row],[Date]])</f>
        <v>9</v>
      </c>
      <c r="Q573" s="130">
        <v>2020</v>
      </c>
      <c r="R573" s="166">
        <f>IF(ISBLANK(Table1[[#This Row],[Date]]),"",Table1[[#This Row],[Date]]-WEEKDAY(Table1[[#This Row],[Date]],2)+1)</f>
        <v>44095</v>
      </c>
      <c r="S573" s="131">
        <f>IF(ISBLANK(Table1[[#This Row],[Date]]),"",DATE(Table1[[#This Row],[Date_Year]],Table1[[#This Row],[Date_Month]],1))</f>
        <v>44075</v>
      </c>
    </row>
    <row r="574" spans="2:19" ht="15.75" x14ac:dyDescent="0.25">
      <c r="B574" s="133">
        <v>44096</v>
      </c>
      <c r="C574" s="128" t="s">
        <v>148</v>
      </c>
      <c r="D574" s="128" t="s">
        <v>54</v>
      </c>
      <c r="E574" s="128" t="str" cm="1">
        <f t="array" ref="E574">IFERROR(INDEX(SubcategoriesTable[Subcategory name],MATCH(Table1[[#This Row],[Category]],SubcategoriesTable[Category name],0),0),"")</f>
        <v>Fixed</v>
      </c>
      <c r="F574" s="134">
        <v>-9.99</v>
      </c>
      <c r="G574" s="167" t="str">
        <f>_xlfn.XLOOKUP(Table1[[#This Row],[Account_ID]], Accounts[ID], Accounts[Account nickname], "Unknown")</f>
        <v>Discover it chrome Card</v>
      </c>
      <c r="H574" s="137" t="str">
        <f>_xlfn.XLOOKUP(Table1[[#This Row],[Account_ID]], Accounts[ID], Accounts[Account'#], "Unknown")</f>
        <v>7328</v>
      </c>
      <c r="I574" s="168" t="str">
        <f>_xlfn.XLOOKUP(Table1[[#This Row],[Institution_ID]], Institutions[ID], Institutions[Institution nickname], "Unknown")</f>
        <v>Discover</v>
      </c>
      <c r="J574" s="139" t="s">
        <v>637</v>
      </c>
      <c r="K574" s="129" t="s">
        <v>110</v>
      </c>
      <c r="L574" s="129" t="s">
        <v>108</v>
      </c>
      <c r="M574" s="130" t="str" cm="1">
        <f t="array" ref="M574">IFERROR(INDEX(CategoriesTable[Category type],MATCH(Table1[[#This Row],[Category]],CategoriesTable[Category name],0),0),"")</f>
        <v>Expense</v>
      </c>
      <c r="N574" s="130" t="str" cm="1">
        <f t="array" ref="N574">IFERROR(INDEX(SubcategoriesTable[Subcategory name],MATCH(Table1[[#This Row],[Category]],SubcategoriesTable[Category name],0),0),"")</f>
        <v>Fixed</v>
      </c>
      <c r="O574" s="130">
        <v>22</v>
      </c>
      <c r="P574" s="130">
        <f>MONTH(Table1[[#This Row],[Date]])</f>
        <v>9</v>
      </c>
      <c r="Q574" s="130">
        <v>2020</v>
      </c>
      <c r="R574" s="166">
        <f>IF(ISBLANK(Table1[[#This Row],[Date]]),"",Table1[[#This Row],[Date]]-WEEKDAY(Table1[[#This Row],[Date]],2)+1)</f>
        <v>44095</v>
      </c>
      <c r="S574" s="131">
        <f>IF(ISBLANK(Table1[[#This Row],[Date]]),"",DATE(Table1[[#This Row],[Date_Year]],Table1[[#This Row],[Date_Month]],1))</f>
        <v>44075</v>
      </c>
    </row>
    <row r="575" spans="2:19" ht="15.75" x14ac:dyDescent="0.25">
      <c r="B575" s="133">
        <v>44095</v>
      </c>
      <c r="C575" s="128" t="s">
        <v>638</v>
      </c>
      <c r="D575" s="128" t="s">
        <v>50</v>
      </c>
      <c r="E575" s="128" t="str" cm="1">
        <f t="array" ref="E575">IFERROR(INDEX(SubcategoriesTable[Subcategory name],MATCH(Table1[[#This Row],[Category]],SubcategoriesTable[Category name],0),0),"")</f>
        <v>Variable</v>
      </c>
      <c r="F575" s="134">
        <v>-175</v>
      </c>
      <c r="G575" s="167" t="str">
        <f>_xlfn.XLOOKUP(Table1[[#This Row],[Account_ID]], Accounts[ID], Accounts[Account nickname], "Unknown")</f>
        <v>Discover it chrome Card</v>
      </c>
      <c r="H575" s="137" t="str">
        <f>_xlfn.XLOOKUP(Table1[[#This Row],[Account_ID]], Accounts[ID], Accounts[Account'#], "Unknown")</f>
        <v>7328</v>
      </c>
      <c r="I575" s="168" t="str">
        <f>_xlfn.XLOOKUP(Table1[[#This Row],[Institution_ID]], Institutions[ID], Institutions[Institution nickname], "Unknown")</f>
        <v>Discover</v>
      </c>
      <c r="J575" s="139" t="s">
        <v>639</v>
      </c>
      <c r="K575" s="129" t="s">
        <v>110</v>
      </c>
      <c r="L575" s="129" t="s">
        <v>108</v>
      </c>
      <c r="M575" s="130" t="str" cm="1">
        <f t="array" ref="M575">IFERROR(INDEX(CategoriesTable[Category type],MATCH(Table1[[#This Row],[Category]],CategoriesTable[Category name],0),0),"")</f>
        <v>Transfer</v>
      </c>
      <c r="N575" s="130" t="str" cm="1">
        <f t="array" ref="N575">IFERROR(INDEX(SubcategoriesTable[Subcategory name],MATCH(Table1[[#This Row],[Category]],SubcategoriesTable[Category name],0),0),"")</f>
        <v>Variable</v>
      </c>
      <c r="O575" s="130">
        <v>21</v>
      </c>
      <c r="P575" s="130">
        <f>MONTH(Table1[[#This Row],[Date]])</f>
        <v>9</v>
      </c>
      <c r="Q575" s="130">
        <v>2020</v>
      </c>
      <c r="R575" s="166">
        <f>IF(ISBLANK(Table1[[#This Row],[Date]]),"",Table1[[#This Row],[Date]]-WEEKDAY(Table1[[#This Row],[Date]],2)+1)</f>
        <v>44095</v>
      </c>
      <c r="S575" s="131">
        <f>IF(ISBLANK(Table1[[#This Row],[Date]]),"",DATE(Table1[[#This Row],[Date_Year]],Table1[[#This Row],[Date_Month]],1))</f>
        <v>44075</v>
      </c>
    </row>
    <row r="576" spans="2:19" ht="15.75" x14ac:dyDescent="0.25">
      <c r="B576" s="133">
        <v>44095</v>
      </c>
      <c r="C576" s="128" t="s">
        <v>195</v>
      </c>
      <c r="D576" s="128" t="s">
        <v>48</v>
      </c>
      <c r="E576" s="128" t="str" cm="1">
        <f t="array" ref="E576">IFERROR(INDEX(SubcategoriesTable[Subcategory name],MATCH(Table1[[#This Row],[Category]],SubcategoriesTable[Category name],0),0),"")</f>
        <v>Variable</v>
      </c>
      <c r="F576" s="134">
        <v>-10.37</v>
      </c>
      <c r="G576" s="167" t="str">
        <f>_xlfn.XLOOKUP(Table1[[#This Row],[Account_ID]], Accounts[ID], Accounts[Account nickname], "Unknown")</f>
        <v>Discover it chrome Card</v>
      </c>
      <c r="H576" s="137" t="str">
        <f>_xlfn.XLOOKUP(Table1[[#This Row],[Account_ID]], Accounts[ID], Accounts[Account'#], "Unknown")</f>
        <v>7328</v>
      </c>
      <c r="I576" s="168" t="str">
        <f>_xlfn.XLOOKUP(Table1[[#This Row],[Institution_ID]], Institutions[ID], Institutions[Institution nickname], "Unknown")</f>
        <v>Discover</v>
      </c>
      <c r="J576" s="139" t="s">
        <v>640</v>
      </c>
      <c r="K576" s="129" t="s">
        <v>110</v>
      </c>
      <c r="L576" s="129" t="s">
        <v>108</v>
      </c>
      <c r="M576" s="130" t="str" cm="1">
        <f t="array" ref="M576">IFERROR(INDEX(CategoriesTable[Category type],MATCH(Table1[[#This Row],[Category]],CategoriesTable[Category name],0),0),"")</f>
        <v>Expense</v>
      </c>
      <c r="N576" s="130" t="str" cm="1">
        <f t="array" ref="N576">IFERROR(INDEX(SubcategoriesTable[Subcategory name],MATCH(Table1[[#This Row],[Category]],SubcategoriesTable[Category name],0),0),"")</f>
        <v>Variable</v>
      </c>
      <c r="O576" s="130">
        <v>21</v>
      </c>
      <c r="P576" s="130">
        <f>MONTH(Table1[[#This Row],[Date]])</f>
        <v>9</v>
      </c>
      <c r="Q576" s="130">
        <v>2020</v>
      </c>
      <c r="R576" s="166">
        <f>IF(ISBLANK(Table1[[#This Row],[Date]]),"",Table1[[#This Row],[Date]]-WEEKDAY(Table1[[#This Row],[Date]],2)+1)</f>
        <v>44095</v>
      </c>
      <c r="S576" s="131">
        <f>IF(ISBLANK(Table1[[#This Row],[Date]]),"",DATE(Table1[[#This Row],[Date_Year]],Table1[[#This Row],[Date_Month]],1))</f>
        <v>44075</v>
      </c>
    </row>
    <row r="577" spans="2:19" ht="15.75" x14ac:dyDescent="0.25">
      <c r="B577" s="133">
        <v>44095</v>
      </c>
      <c r="C577" s="128" t="s">
        <v>195</v>
      </c>
      <c r="D577" s="128" t="s">
        <v>48</v>
      </c>
      <c r="E577" s="128" t="str" cm="1">
        <f t="array" ref="E577">IFERROR(INDEX(SubcategoriesTable[Subcategory name],MATCH(Table1[[#This Row],[Category]],SubcategoriesTable[Category name],0),0),"")</f>
        <v>Variable</v>
      </c>
      <c r="F577" s="134">
        <v>-12.76</v>
      </c>
      <c r="G577" s="167" t="str">
        <f>_xlfn.XLOOKUP(Table1[[#This Row],[Account_ID]], Accounts[ID], Accounts[Account nickname], "Unknown")</f>
        <v>Discover it chrome Card</v>
      </c>
      <c r="H577" s="137" t="str">
        <f>_xlfn.XLOOKUP(Table1[[#This Row],[Account_ID]], Accounts[ID], Accounts[Account'#], "Unknown")</f>
        <v>7328</v>
      </c>
      <c r="I577" s="168" t="str">
        <f>_xlfn.XLOOKUP(Table1[[#This Row],[Institution_ID]], Institutions[ID], Institutions[Institution nickname], "Unknown")</f>
        <v>Discover</v>
      </c>
      <c r="J577" s="139" t="s">
        <v>641</v>
      </c>
      <c r="K577" s="129" t="s">
        <v>110</v>
      </c>
      <c r="L577" s="129" t="s">
        <v>108</v>
      </c>
      <c r="M577" s="130" t="str" cm="1">
        <f t="array" ref="M577">IFERROR(INDEX(CategoriesTable[Category type],MATCH(Table1[[#This Row],[Category]],CategoriesTable[Category name],0),0),"")</f>
        <v>Expense</v>
      </c>
      <c r="N577" s="130" t="str" cm="1">
        <f t="array" ref="N577">IFERROR(INDEX(SubcategoriesTable[Subcategory name],MATCH(Table1[[#This Row],[Category]],SubcategoriesTable[Category name],0),0),"")</f>
        <v>Variable</v>
      </c>
      <c r="O577" s="130">
        <v>21</v>
      </c>
      <c r="P577" s="130">
        <f>MONTH(Table1[[#This Row],[Date]])</f>
        <v>9</v>
      </c>
      <c r="Q577" s="130">
        <v>2020</v>
      </c>
      <c r="R577" s="166">
        <f>IF(ISBLANK(Table1[[#This Row],[Date]]),"",Table1[[#This Row],[Date]]-WEEKDAY(Table1[[#This Row],[Date]],2)+1)</f>
        <v>44095</v>
      </c>
      <c r="S577" s="131">
        <f>IF(ISBLANK(Table1[[#This Row],[Date]]),"",DATE(Table1[[#This Row],[Date_Year]],Table1[[#This Row],[Date_Month]],1))</f>
        <v>44075</v>
      </c>
    </row>
    <row r="578" spans="2:19" ht="15.75" x14ac:dyDescent="0.25">
      <c r="B578" s="133">
        <v>44095</v>
      </c>
      <c r="C578" s="128" t="s">
        <v>195</v>
      </c>
      <c r="D578" s="128" t="s">
        <v>48</v>
      </c>
      <c r="E578" s="128" t="str" cm="1">
        <f t="array" ref="E578">IFERROR(INDEX(SubcategoriesTable[Subcategory name],MATCH(Table1[[#This Row],[Category]],SubcategoriesTable[Category name],0),0),"")</f>
        <v>Variable</v>
      </c>
      <c r="F578" s="134">
        <v>-26.92</v>
      </c>
      <c r="G578" s="167" t="str">
        <f>_xlfn.XLOOKUP(Table1[[#This Row],[Account_ID]], Accounts[ID], Accounts[Account nickname], "Unknown")</f>
        <v>Discover it chrome Card</v>
      </c>
      <c r="H578" s="137" t="str">
        <f>_xlfn.XLOOKUP(Table1[[#This Row],[Account_ID]], Accounts[ID], Accounts[Account'#], "Unknown")</f>
        <v>7328</v>
      </c>
      <c r="I578" s="168" t="str">
        <f>_xlfn.XLOOKUP(Table1[[#This Row],[Institution_ID]], Institutions[ID], Institutions[Institution nickname], "Unknown")</f>
        <v>Discover</v>
      </c>
      <c r="J578" s="139" t="s">
        <v>642</v>
      </c>
      <c r="K578" s="129" t="s">
        <v>110</v>
      </c>
      <c r="L578" s="129" t="s">
        <v>108</v>
      </c>
      <c r="M578" s="130" t="str" cm="1">
        <f t="array" ref="M578">IFERROR(INDEX(CategoriesTable[Category type],MATCH(Table1[[#This Row],[Category]],CategoriesTable[Category name],0),0),"")</f>
        <v>Expense</v>
      </c>
      <c r="N578" s="130" t="str" cm="1">
        <f t="array" ref="N578">IFERROR(INDEX(SubcategoriesTable[Subcategory name],MATCH(Table1[[#This Row],[Category]],SubcategoriesTable[Category name],0),0),"")</f>
        <v>Variable</v>
      </c>
      <c r="O578" s="130">
        <v>21</v>
      </c>
      <c r="P578" s="130">
        <f>MONTH(Table1[[#This Row],[Date]])</f>
        <v>9</v>
      </c>
      <c r="Q578" s="130">
        <v>2020</v>
      </c>
      <c r="R578" s="166">
        <f>IF(ISBLANK(Table1[[#This Row],[Date]]),"",Table1[[#This Row],[Date]]-WEEKDAY(Table1[[#This Row],[Date]],2)+1)</f>
        <v>44095</v>
      </c>
      <c r="S578" s="131">
        <f>IF(ISBLANK(Table1[[#This Row],[Date]]),"",DATE(Table1[[#This Row],[Date_Year]],Table1[[#This Row],[Date_Month]],1))</f>
        <v>44075</v>
      </c>
    </row>
    <row r="579" spans="2:19" ht="15.75" x14ac:dyDescent="0.25">
      <c r="B579" s="133">
        <v>44094</v>
      </c>
      <c r="C579" s="128" t="s">
        <v>643</v>
      </c>
      <c r="D579" s="128" t="s">
        <v>56</v>
      </c>
      <c r="E579" s="128" t="str" cm="1">
        <f t="array" ref="E579">IFERROR(INDEX(SubcategoriesTable[Subcategory name],MATCH(Table1[[#This Row],[Category]],SubcategoriesTable[Category name],0),0),"")</f>
        <v>Variable</v>
      </c>
      <c r="F579" s="134">
        <v>-25.79</v>
      </c>
      <c r="G579" s="167" t="str">
        <f>_xlfn.XLOOKUP(Table1[[#This Row],[Account_ID]], Accounts[ID], Accounts[Account nickname], "Unknown")</f>
        <v>Discover it chrome Card</v>
      </c>
      <c r="H579" s="137" t="str">
        <f>_xlfn.XLOOKUP(Table1[[#This Row],[Account_ID]], Accounts[ID], Accounts[Account'#], "Unknown")</f>
        <v>7328</v>
      </c>
      <c r="I579" s="168" t="str">
        <f>_xlfn.XLOOKUP(Table1[[#This Row],[Institution_ID]], Institutions[ID], Institutions[Institution nickname], "Unknown")</f>
        <v>Discover</v>
      </c>
      <c r="J579" s="139" t="s">
        <v>644</v>
      </c>
      <c r="K579" s="129" t="s">
        <v>110</v>
      </c>
      <c r="L579" s="129" t="s">
        <v>108</v>
      </c>
      <c r="M579" s="130" t="str" cm="1">
        <f t="array" ref="M579">IFERROR(INDEX(CategoriesTable[Category type],MATCH(Table1[[#This Row],[Category]],CategoriesTable[Category name],0),0),"")</f>
        <v>Expense</v>
      </c>
      <c r="N579" s="130" t="str" cm="1">
        <f t="array" ref="N579">IFERROR(INDEX(SubcategoriesTable[Subcategory name],MATCH(Table1[[#This Row],[Category]],SubcategoriesTable[Category name],0),0),"")</f>
        <v>Variable</v>
      </c>
      <c r="O579" s="130">
        <v>20</v>
      </c>
      <c r="P579" s="130">
        <f>MONTH(Table1[[#This Row],[Date]])</f>
        <v>9</v>
      </c>
      <c r="Q579" s="130">
        <v>2020</v>
      </c>
      <c r="R579" s="166">
        <f>IF(ISBLANK(Table1[[#This Row],[Date]]),"",Table1[[#This Row],[Date]]-WEEKDAY(Table1[[#This Row],[Date]],2)+1)</f>
        <v>44088</v>
      </c>
      <c r="S579" s="131">
        <f>IF(ISBLANK(Table1[[#This Row],[Date]]),"",DATE(Table1[[#This Row],[Date_Year]],Table1[[#This Row],[Date_Month]],1))</f>
        <v>44075</v>
      </c>
    </row>
    <row r="580" spans="2:19" ht="15.75" x14ac:dyDescent="0.25">
      <c r="B580" s="133">
        <v>44093</v>
      </c>
      <c r="C580" s="128" t="s">
        <v>645</v>
      </c>
      <c r="D580" s="128" t="s">
        <v>45</v>
      </c>
      <c r="E580" s="128" t="str" cm="1">
        <f t="array" ref="E580">IFERROR(INDEX(SubcategoriesTable[Subcategory name],MATCH(Table1[[#This Row],[Category]],SubcategoriesTable[Category name],0),0),"")</f>
        <v>Variable</v>
      </c>
      <c r="F580" s="134">
        <v>-19.84</v>
      </c>
      <c r="G580" s="167" t="str">
        <f>_xlfn.XLOOKUP(Table1[[#This Row],[Account_ID]], Accounts[ID], Accounts[Account nickname], "Unknown")</f>
        <v>Discover it chrome Card</v>
      </c>
      <c r="H580" s="137" t="str">
        <f>_xlfn.XLOOKUP(Table1[[#This Row],[Account_ID]], Accounts[ID], Accounts[Account'#], "Unknown")</f>
        <v>7328</v>
      </c>
      <c r="I580" s="168" t="str">
        <f>_xlfn.XLOOKUP(Table1[[#This Row],[Institution_ID]], Institutions[ID], Institutions[Institution nickname], "Unknown")</f>
        <v>Discover</v>
      </c>
      <c r="J580" s="139" t="s">
        <v>646</v>
      </c>
      <c r="K580" s="129" t="s">
        <v>110</v>
      </c>
      <c r="L580" s="129" t="s">
        <v>108</v>
      </c>
      <c r="M580" s="130" t="str" cm="1">
        <f t="array" ref="M580">IFERROR(INDEX(CategoriesTable[Category type],MATCH(Table1[[#This Row],[Category]],CategoriesTable[Category name],0),0),"")</f>
        <v>Expense</v>
      </c>
      <c r="N580" s="130" t="str" cm="1">
        <f t="array" ref="N580">IFERROR(INDEX(SubcategoriesTable[Subcategory name],MATCH(Table1[[#This Row],[Category]],SubcategoriesTable[Category name],0),0),"")</f>
        <v>Variable</v>
      </c>
      <c r="O580" s="130">
        <v>19</v>
      </c>
      <c r="P580" s="130">
        <f>MONTH(Table1[[#This Row],[Date]])</f>
        <v>9</v>
      </c>
      <c r="Q580" s="130">
        <v>2020</v>
      </c>
      <c r="R580" s="166">
        <f>IF(ISBLANK(Table1[[#This Row],[Date]]),"",Table1[[#This Row],[Date]]-WEEKDAY(Table1[[#This Row],[Date]],2)+1)</f>
        <v>44088</v>
      </c>
      <c r="S580" s="131">
        <f>IF(ISBLANK(Table1[[#This Row],[Date]]),"",DATE(Table1[[#This Row],[Date_Year]],Table1[[#This Row],[Date_Month]],1))</f>
        <v>44075</v>
      </c>
    </row>
    <row r="581" spans="2:19" ht="15.75" x14ac:dyDescent="0.25">
      <c r="B581" s="133">
        <v>44093</v>
      </c>
      <c r="C581" s="128" t="s">
        <v>193</v>
      </c>
      <c r="D581" s="128" t="s">
        <v>54</v>
      </c>
      <c r="E581" s="128" t="str" cm="1">
        <f t="array" ref="E581">IFERROR(INDEX(SubcategoriesTable[Subcategory name],MATCH(Table1[[#This Row],[Category]],SubcategoriesTable[Category name],0),0),"")</f>
        <v>Fixed</v>
      </c>
      <c r="F581" s="134">
        <v>-86.25</v>
      </c>
      <c r="G581" s="167" t="str">
        <f>_xlfn.XLOOKUP(Table1[[#This Row],[Account_ID]], Accounts[ID], Accounts[Account nickname], "Unknown")</f>
        <v>Discover it chrome Card</v>
      </c>
      <c r="H581" s="137" t="str">
        <f>_xlfn.XLOOKUP(Table1[[#This Row],[Account_ID]], Accounts[ID], Accounts[Account'#], "Unknown")</f>
        <v>7328</v>
      </c>
      <c r="I581" s="168" t="str">
        <f>_xlfn.XLOOKUP(Table1[[#This Row],[Institution_ID]], Institutions[ID], Institutions[Institution nickname], "Unknown")</f>
        <v>Discover</v>
      </c>
      <c r="J581" s="139" t="s">
        <v>647</v>
      </c>
      <c r="K581" s="129" t="s">
        <v>110</v>
      </c>
      <c r="L581" s="129" t="s">
        <v>108</v>
      </c>
      <c r="M581" s="130" t="str" cm="1">
        <f t="array" ref="M581">IFERROR(INDEX(CategoriesTable[Category type],MATCH(Table1[[#This Row],[Category]],CategoriesTable[Category name],0),0),"")</f>
        <v>Expense</v>
      </c>
      <c r="N581" s="130" t="str" cm="1">
        <f t="array" ref="N581">IFERROR(INDEX(SubcategoriesTable[Subcategory name],MATCH(Table1[[#This Row],[Category]],SubcategoriesTable[Category name],0),0),"")</f>
        <v>Fixed</v>
      </c>
      <c r="O581" s="130">
        <v>19</v>
      </c>
      <c r="P581" s="130">
        <f>MONTH(Table1[[#This Row],[Date]])</f>
        <v>9</v>
      </c>
      <c r="Q581" s="130">
        <v>2020</v>
      </c>
      <c r="R581" s="166">
        <f>IF(ISBLANK(Table1[[#This Row],[Date]]),"",Table1[[#This Row],[Date]]-WEEKDAY(Table1[[#This Row],[Date]],2)+1)</f>
        <v>44088</v>
      </c>
      <c r="S581" s="131">
        <f>IF(ISBLANK(Table1[[#This Row],[Date]]),"",DATE(Table1[[#This Row],[Date_Year]],Table1[[#This Row],[Date_Month]],1))</f>
        <v>44075</v>
      </c>
    </row>
    <row r="582" spans="2:19" ht="15.75" x14ac:dyDescent="0.25">
      <c r="B582" s="133">
        <v>44093</v>
      </c>
      <c r="C582" s="128" t="s">
        <v>201</v>
      </c>
      <c r="D582" s="128" t="s">
        <v>48</v>
      </c>
      <c r="E582" s="128" t="str" cm="1">
        <f t="array" ref="E582">IFERROR(INDEX(SubcategoriesTable[Subcategory name],MATCH(Table1[[#This Row],[Category]],SubcategoriesTable[Category name],0),0),"")</f>
        <v>Variable</v>
      </c>
      <c r="F582" s="134">
        <v>-57.87</v>
      </c>
      <c r="G582" s="167" t="str">
        <f>_xlfn.XLOOKUP(Table1[[#This Row],[Account_ID]], Accounts[ID], Accounts[Account nickname], "Unknown")</f>
        <v>Discover it chrome Card</v>
      </c>
      <c r="H582" s="137" t="str">
        <f>_xlfn.XLOOKUP(Table1[[#This Row],[Account_ID]], Accounts[ID], Accounts[Account'#], "Unknown")</f>
        <v>7328</v>
      </c>
      <c r="I582" s="168" t="str">
        <f>_xlfn.XLOOKUP(Table1[[#This Row],[Institution_ID]], Institutions[ID], Institutions[Institution nickname], "Unknown")</f>
        <v>Discover</v>
      </c>
      <c r="J582" s="139" t="s">
        <v>648</v>
      </c>
      <c r="K582" s="129" t="s">
        <v>110</v>
      </c>
      <c r="L582" s="129" t="s">
        <v>108</v>
      </c>
      <c r="M582" s="130" t="str" cm="1">
        <f t="array" ref="M582">IFERROR(INDEX(CategoriesTable[Category type],MATCH(Table1[[#This Row],[Category]],CategoriesTable[Category name],0),0),"")</f>
        <v>Expense</v>
      </c>
      <c r="N582" s="130" t="str" cm="1">
        <f t="array" ref="N582">IFERROR(INDEX(SubcategoriesTable[Subcategory name],MATCH(Table1[[#This Row],[Category]],SubcategoriesTable[Category name],0),0),"")</f>
        <v>Variable</v>
      </c>
      <c r="O582" s="130">
        <v>19</v>
      </c>
      <c r="P582" s="130">
        <f>MONTH(Table1[[#This Row],[Date]])</f>
        <v>9</v>
      </c>
      <c r="Q582" s="130">
        <v>2020</v>
      </c>
      <c r="R582" s="166">
        <f>IF(ISBLANK(Table1[[#This Row],[Date]]),"",Table1[[#This Row],[Date]]-WEEKDAY(Table1[[#This Row],[Date]],2)+1)</f>
        <v>44088</v>
      </c>
      <c r="S582" s="131">
        <f>IF(ISBLANK(Table1[[#This Row],[Date]]),"",DATE(Table1[[#This Row],[Date_Year]],Table1[[#This Row],[Date_Month]],1))</f>
        <v>44075</v>
      </c>
    </row>
    <row r="583" spans="2:19" ht="15.75" x14ac:dyDescent="0.25">
      <c r="B583" s="133">
        <v>44092</v>
      </c>
      <c r="C583" s="128" t="s">
        <v>267</v>
      </c>
      <c r="D583" s="128" t="s">
        <v>46</v>
      </c>
      <c r="E583" s="128" t="str" cm="1">
        <f t="array" ref="E583">IFERROR(INDEX(SubcategoriesTable[Subcategory name],MATCH(Table1[[#This Row],[Category]],SubcategoriesTable[Category name],0),0),"")</f>
        <v>Variable</v>
      </c>
      <c r="F583" s="134">
        <v>-17.329999999999998</v>
      </c>
      <c r="G583" s="167" t="str">
        <f>_xlfn.XLOOKUP(Table1[[#This Row],[Account_ID]], Accounts[ID], Accounts[Account nickname], "Unknown")</f>
        <v>Discover it chrome Card</v>
      </c>
      <c r="H583" s="137" t="str">
        <f>_xlfn.XLOOKUP(Table1[[#This Row],[Account_ID]], Accounts[ID], Accounts[Account'#], "Unknown")</f>
        <v>7328</v>
      </c>
      <c r="I583" s="168" t="str">
        <f>_xlfn.XLOOKUP(Table1[[#This Row],[Institution_ID]], Institutions[ID], Institutions[Institution nickname], "Unknown")</f>
        <v>Discover</v>
      </c>
      <c r="J583" s="139" t="s">
        <v>649</v>
      </c>
      <c r="K583" s="129" t="s">
        <v>110</v>
      </c>
      <c r="L583" s="129" t="s">
        <v>108</v>
      </c>
      <c r="M583" s="130" t="str" cm="1">
        <f t="array" ref="M583">IFERROR(INDEX(CategoriesTable[Category type],MATCH(Table1[[#This Row],[Category]],CategoriesTable[Category name],0),0),"")</f>
        <v>Expense</v>
      </c>
      <c r="N583" s="130" t="str" cm="1">
        <f t="array" ref="N583">IFERROR(INDEX(SubcategoriesTable[Subcategory name],MATCH(Table1[[#This Row],[Category]],SubcategoriesTable[Category name],0),0),"")</f>
        <v>Variable</v>
      </c>
      <c r="O583" s="130">
        <v>18</v>
      </c>
      <c r="P583" s="130">
        <f>MONTH(Table1[[#This Row],[Date]])</f>
        <v>9</v>
      </c>
      <c r="Q583" s="130">
        <v>2020</v>
      </c>
      <c r="R583" s="166">
        <f>IF(ISBLANK(Table1[[#This Row],[Date]]),"",Table1[[#This Row],[Date]]-WEEKDAY(Table1[[#This Row],[Date]],2)+1)</f>
        <v>44088</v>
      </c>
      <c r="S583" s="131">
        <f>IF(ISBLANK(Table1[[#This Row],[Date]]),"",DATE(Table1[[#This Row],[Date_Year]],Table1[[#This Row],[Date_Month]],1))</f>
        <v>44075</v>
      </c>
    </row>
    <row r="584" spans="2:19" ht="15.75" x14ac:dyDescent="0.25">
      <c r="B584" s="133">
        <v>44092</v>
      </c>
      <c r="C584" s="128" t="s">
        <v>650</v>
      </c>
      <c r="D584" s="128" t="s">
        <v>48</v>
      </c>
      <c r="E584" s="128" t="str" cm="1">
        <f t="array" ref="E584">IFERROR(INDEX(SubcategoriesTable[Subcategory name],MATCH(Table1[[#This Row],[Category]],SubcategoriesTable[Category name],0),0),"")</f>
        <v>Variable</v>
      </c>
      <c r="F584" s="134">
        <v>-15.9</v>
      </c>
      <c r="G584" s="167" t="str">
        <f>_xlfn.XLOOKUP(Table1[[#This Row],[Account_ID]], Accounts[ID], Accounts[Account nickname], "Unknown")</f>
        <v>Discover it chrome Card</v>
      </c>
      <c r="H584" s="137" t="str">
        <f>_xlfn.XLOOKUP(Table1[[#This Row],[Account_ID]], Accounts[ID], Accounts[Account'#], "Unknown")</f>
        <v>7328</v>
      </c>
      <c r="I584" s="168" t="str">
        <f>_xlfn.XLOOKUP(Table1[[#This Row],[Institution_ID]], Institutions[ID], Institutions[Institution nickname], "Unknown")</f>
        <v>Discover</v>
      </c>
      <c r="J584" s="139" t="s">
        <v>651</v>
      </c>
      <c r="K584" s="129" t="s">
        <v>110</v>
      </c>
      <c r="L584" s="129" t="s">
        <v>108</v>
      </c>
      <c r="M584" s="130" t="str" cm="1">
        <f t="array" ref="M584">IFERROR(INDEX(CategoriesTable[Category type],MATCH(Table1[[#This Row],[Category]],CategoriesTable[Category name],0),0),"")</f>
        <v>Expense</v>
      </c>
      <c r="N584" s="130" t="str" cm="1">
        <f t="array" ref="N584">IFERROR(INDEX(SubcategoriesTable[Subcategory name],MATCH(Table1[[#This Row],[Category]],SubcategoriesTable[Category name],0),0),"")</f>
        <v>Variable</v>
      </c>
      <c r="O584" s="130">
        <v>18</v>
      </c>
      <c r="P584" s="130">
        <f>MONTH(Table1[[#This Row],[Date]])</f>
        <v>9</v>
      </c>
      <c r="Q584" s="130">
        <v>2020</v>
      </c>
      <c r="R584" s="166">
        <f>IF(ISBLANK(Table1[[#This Row],[Date]]),"",Table1[[#This Row],[Date]]-WEEKDAY(Table1[[#This Row],[Date]],2)+1)</f>
        <v>44088</v>
      </c>
      <c r="S584" s="131">
        <f>IF(ISBLANK(Table1[[#This Row],[Date]]),"",DATE(Table1[[#This Row],[Date_Year]],Table1[[#This Row],[Date_Month]],1))</f>
        <v>44075</v>
      </c>
    </row>
    <row r="585" spans="2:19" ht="15.75" x14ac:dyDescent="0.25">
      <c r="B585" s="133">
        <v>44092</v>
      </c>
      <c r="C585" s="128" t="s">
        <v>652</v>
      </c>
      <c r="D585" s="128" t="s">
        <v>45</v>
      </c>
      <c r="E585" s="128" t="str" cm="1">
        <f t="array" ref="E585">IFERROR(INDEX(SubcategoriesTable[Subcategory name],MATCH(Table1[[#This Row],[Category]],SubcategoriesTable[Category name],0),0),"")</f>
        <v>Variable</v>
      </c>
      <c r="F585" s="134">
        <v>-24.04</v>
      </c>
      <c r="G585" s="167" t="str">
        <f>_xlfn.XLOOKUP(Table1[[#This Row],[Account_ID]], Accounts[ID], Accounts[Account nickname], "Unknown")</f>
        <v>Discover it chrome Card</v>
      </c>
      <c r="H585" s="137" t="str">
        <f>_xlfn.XLOOKUP(Table1[[#This Row],[Account_ID]], Accounts[ID], Accounts[Account'#], "Unknown")</f>
        <v>7328</v>
      </c>
      <c r="I585" s="168" t="str">
        <f>_xlfn.XLOOKUP(Table1[[#This Row],[Institution_ID]], Institutions[ID], Institutions[Institution nickname], "Unknown")</f>
        <v>Discover</v>
      </c>
      <c r="J585" s="139" t="s">
        <v>653</v>
      </c>
      <c r="K585" s="129" t="s">
        <v>110</v>
      </c>
      <c r="L585" s="129" t="s">
        <v>108</v>
      </c>
      <c r="M585" s="130" t="str" cm="1">
        <f t="array" ref="M585">IFERROR(INDEX(CategoriesTable[Category type],MATCH(Table1[[#This Row],[Category]],CategoriesTable[Category name],0),0),"")</f>
        <v>Expense</v>
      </c>
      <c r="N585" s="130" t="str" cm="1">
        <f t="array" ref="N585">IFERROR(INDEX(SubcategoriesTable[Subcategory name],MATCH(Table1[[#This Row],[Category]],SubcategoriesTable[Category name],0),0),"")</f>
        <v>Variable</v>
      </c>
      <c r="O585" s="130">
        <v>18</v>
      </c>
      <c r="P585" s="130">
        <f>MONTH(Table1[[#This Row],[Date]])</f>
        <v>9</v>
      </c>
      <c r="Q585" s="130">
        <v>2020</v>
      </c>
      <c r="R585" s="166">
        <f>IF(ISBLANK(Table1[[#This Row],[Date]]),"",Table1[[#This Row],[Date]]-WEEKDAY(Table1[[#This Row],[Date]],2)+1)</f>
        <v>44088</v>
      </c>
      <c r="S585" s="131">
        <f>IF(ISBLANK(Table1[[#This Row],[Date]]),"",DATE(Table1[[#This Row],[Date_Year]],Table1[[#This Row],[Date_Month]],1))</f>
        <v>44075</v>
      </c>
    </row>
    <row r="586" spans="2:19" ht="15.75" x14ac:dyDescent="0.25">
      <c r="B586" s="133">
        <v>44090</v>
      </c>
      <c r="C586" s="128" t="s">
        <v>1518</v>
      </c>
      <c r="D586" s="128" t="s">
        <v>58</v>
      </c>
      <c r="E586" s="128" t="str" cm="1">
        <f t="array" ref="E586">IFERROR(INDEX(SubcategoriesTable[Subcategory name],MATCH(Table1[[#This Row],[Category]],SubcategoriesTable[Category name],0),0),"")</f>
        <v>Fixed</v>
      </c>
      <c r="F586" s="134">
        <v>-100</v>
      </c>
      <c r="G586" s="167" t="str">
        <f>_xlfn.XLOOKUP(Table1[[#This Row],[Account_ID]], Accounts[ID], Accounts[Account nickname], "Unknown")</f>
        <v>EVERYDAY CHECKING</v>
      </c>
      <c r="H586" s="137" t="str">
        <f>_xlfn.XLOOKUP(Table1[[#This Row],[Account_ID]], Accounts[ID], Accounts[Account'#], "Unknown")</f>
        <v>4636</v>
      </c>
      <c r="I586" s="168" t="str">
        <f>_xlfn.XLOOKUP(Table1[[#This Row],[Institution_ID]], Institutions[ID], Institutions[Institution nickname], "Unknown")</f>
        <v>Wells Fargo</v>
      </c>
      <c r="J586" s="139" t="s">
        <v>1519</v>
      </c>
      <c r="K586" s="129" t="s">
        <v>1229</v>
      </c>
      <c r="L586" s="129" t="s">
        <v>1228</v>
      </c>
      <c r="M586" s="130" t="str" cm="1">
        <f t="array" ref="M586">IFERROR(INDEX(CategoriesTable[Category type],MATCH(Table1[[#This Row],[Category]],CategoriesTable[Category name],0),0),"")</f>
        <v>Expense</v>
      </c>
      <c r="N586" s="130" t="str" cm="1">
        <f t="array" ref="N586">IFERROR(INDEX(SubcategoriesTable[Subcategory name],MATCH(Table1[[#This Row],[Category]],SubcategoriesTable[Category name],0),0),"")</f>
        <v>Fixed</v>
      </c>
      <c r="O586" s="130">
        <v>16</v>
      </c>
      <c r="P586" s="130">
        <f>MONTH(Table1[[#This Row],[Date]])</f>
        <v>9</v>
      </c>
      <c r="Q586" s="130">
        <v>2020</v>
      </c>
      <c r="R586" s="166">
        <f>IF(ISBLANK(Table1[[#This Row],[Date]]),"",Table1[[#This Row],[Date]]-WEEKDAY(Table1[[#This Row],[Date]],2)+1)</f>
        <v>44088</v>
      </c>
      <c r="S586" s="131">
        <f>IF(ISBLANK(Table1[[#This Row],[Date]]),"",DATE(Table1[[#This Row],[Date_Year]],Table1[[#This Row],[Date_Month]],1))</f>
        <v>44075</v>
      </c>
    </row>
    <row r="587" spans="2:19" ht="15.75" x14ac:dyDescent="0.25">
      <c r="B587" s="133">
        <v>44090</v>
      </c>
      <c r="C587" s="128" t="s">
        <v>1520</v>
      </c>
      <c r="D587" s="128" t="s">
        <v>49</v>
      </c>
      <c r="E587" s="128" t="str" cm="1">
        <f t="array" ref="E587">IFERROR(INDEX(SubcategoriesTable[Subcategory name],MATCH(Table1[[#This Row],[Category]],SubcategoriesTable[Category name],0),0),"")</f>
        <v>Variable</v>
      </c>
      <c r="F587" s="134">
        <v>-43.95</v>
      </c>
      <c r="G587" s="167" t="str">
        <f>_xlfn.XLOOKUP(Table1[[#This Row],[Account_ID]], Accounts[ID], Accounts[Account nickname], "Unknown")</f>
        <v>EVERYDAY CHECKING</v>
      </c>
      <c r="H587" s="137" t="str">
        <f>_xlfn.XLOOKUP(Table1[[#This Row],[Account_ID]], Accounts[ID], Accounts[Account'#], "Unknown")</f>
        <v>4636</v>
      </c>
      <c r="I587" s="168" t="str">
        <f>_xlfn.XLOOKUP(Table1[[#This Row],[Institution_ID]], Institutions[ID], Institutions[Institution nickname], "Unknown")</f>
        <v>Wells Fargo</v>
      </c>
      <c r="J587" s="139" t="s">
        <v>1521</v>
      </c>
      <c r="K587" s="129" t="s">
        <v>1229</v>
      </c>
      <c r="L587" s="129" t="s">
        <v>1228</v>
      </c>
      <c r="M587" s="130" t="str" cm="1">
        <f t="array" ref="M587">IFERROR(INDEX(CategoriesTable[Category type],MATCH(Table1[[#This Row],[Category]],CategoriesTable[Category name],0),0),"")</f>
        <v>Expense</v>
      </c>
      <c r="N587" s="130" t="str" cm="1">
        <f t="array" ref="N587">IFERROR(INDEX(SubcategoriesTable[Subcategory name],MATCH(Table1[[#This Row],[Category]],SubcategoriesTable[Category name],0),0),"")</f>
        <v>Variable</v>
      </c>
      <c r="O587" s="130">
        <v>16</v>
      </c>
      <c r="P587" s="130">
        <f>MONTH(Table1[[#This Row],[Date]])</f>
        <v>9</v>
      </c>
      <c r="Q587" s="130">
        <v>2020</v>
      </c>
      <c r="R587" s="166">
        <f>IF(ISBLANK(Table1[[#This Row],[Date]]),"",Table1[[#This Row],[Date]]-WEEKDAY(Table1[[#This Row],[Date]],2)+1)</f>
        <v>44088</v>
      </c>
      <c r="S587" s="131">
        <f>IF(ISBLANK(Table1[[#This Row],[Date]]),"",DATE(Table1[[#This Row],[Date_Year]],Table1[[#This Row],[Date_Month]],1))</f>
        <v>44075</v>
      </c>
    </row>
    <row r="588" spans="2:19" ht="15.75" x14ac:dyDescent="0.25">
      <c r="B588" s="133">
        <v>44090</v>
      </c>
      <c r="C588" s="128" t="s">
        <v>256</v>
      </c>
      <c r="D588" s="128" t="s">
        <v>46</v>
      </c>
      <c r="E588" s="128" t="str" cm="1">
        <f t="array" ref="E588">IFERROR(INDEX(SubcategoriesTable[Subcategory name],MATCH(Table1[[#This Row],[Category]],SubcategoriesTable[Category name],0),0),"")</f>
        <v>Variable</v>
      </c>
      <c r="F588" s="134">
        <v>-336.94</v>
      </c>
      <c r="G588" s="167" t="str">
        <f>_xlfn.XLOOKUP(Table1[[#This Row],[Account_ID]], Accounts[ID], Accounts[Account nickname], "Unknown")</f>
        <v>Discover it chrome Card</v>
      </c>
      <c r="H588" s="137" t="str">
        <f>_xlfn.XLOOKUP(Table1[[#This Row],[Account_ID]], Accounts[ID], Accounts[Account'#], "Unknown")</f>
        <v>7328</v>
      </c>
      <c r="I588" s="168" t="str">
        <f>_xlfn.XLOOKUP(Table1[[#This Row],[Institution_ID]], Institutions[ID], Institutions[Institution nickname], "Unknown")</f>
        <v>Discover</v>
      </c>
      <c r="J588" s="139" t="s">
        <v>654</v>
      </c>
      <c r="K588" s="129" t="s">
        <v>110</v>
      </c>
      <c r="L588" s="129" t="s">
        <v>108</v>
      </c>
      <c r="M588" s="130" t="str" cm="1">
        <f t="array" ref="M588">IFERROR(INDEX(CategoriesTable[Category type],MATCH(Table1[[#This Row],[Category]],CategoriesTable[Category name],0),0),"")</f>
        <v>Expense</v>
      </c>
      <c r="N588" s="130" t="str" cm="1">
        <f t="array" ref="N588">IFERROR(INDEX(SubcategoriesTable[Subcategory name],MATCH(Table1[[#This Row],[Category]],SubcategoriesTable[Category name],0),0),"")</f>
        <v>Variable</v>
      </c>
      <c r="O588" s="130">
        <v>16</v>
      </c>
      <c r="P588" s="130">
        <f>MONTH(Table1[[#This Row],[Date]])</f>
        <v>9</v>
      </c>
      <c r="Q588" s="130">
        <v>2020</v>
      </c>
      <c r="R588" s="166">
        <f>IF(ISBLANK(Table1[[#This Row],[Date]]),"",Table1[[#This Row],[Date]]-WEEKDAY(Table1[[#This Row],[Date]],2)+1)</f>
        <v>44088</v>
      </c>
      <c r="S588" s="131">
        <f>IF(ISBLANK(Table1[[#This Row],[Date]]),"",DATE(Table1[[#This Row],[Date_Year]],Table1[[#This Row],[Date_Month]],1))</f>
        <v>44075</v>
      </c>
    </row>
    <row r="589" spans="2:19" ht="15.75" x14ac:dyDescent="0.25">
      <c r="B589" s="133">
        <v>44090</v>
      </c>
      <c r="C589" s="128" t="s">
        <v>610</v>
      </c>
      <c r="D589" s="128" t="s">
        <v>45</v>
      </c>
      <c r="E589" s="128" t="str" cm="1">
        <f t="array" ref="E589">IFERROR(INDEX(SubcategoriesTable[Subcategory name],MATCH(Table1[[#This Row],[Category]],SubcategoriesTable[Category name],0),0),"")</f>
        <v>Variable</v>
      </c>
      <c r="F589" s="134">
        <v>-10</v>
      </c>
      <c r="G589" s="167" t="str">
        <f>_xlfn.XLOOKUP(Table1[[#This Row],[Account_ID]], Accounts[ID], Accounts[Account nickname], "Unknown")</f>
        <v>Discover it chrome Card</v>
      </c>
      <c r="H589" s="137" t="str">
        <f>_xlfn.XLOOKUP(Table1[[#This Row],[Account_ID]], Accounts[ID], Accounts[Account'#], "Unknown")</f>
        <v>7328</v>
      </c>
      <c r="I589" s="168" t="str">
        <f>_xlfn.XLOOKUP(Table1[[#This Row],[Institution_ID]], Institutions[ID], Institutions[Institution nickname], "Unknown")</f>
        <v>Discover</v>
      </c>
      <c r="J589" s="139" t="s">
        <v>655</v>
      </c>
      <c r="K589" s="129" t="s">
        <v>110</v>
      </c>
      <c r="L589" s="129" t="s">
        <v>108</v>
      </c>
      <c r="M589" s="130" t="str" cm="1">
        <f t="array" ref="M589">IFERROR(INDEX(CategoriesTable[Category type],MATCH(Table1[[#This Row],[Category]],CategoriesTable[Category name],0),0),"")</f>
        <v>Expense</v>
      </c>
      <c r="N589" s="130" t="str" cm="1">
        <f t="array" ref="N589">IFERROR(INDEX(SubcategoriesTable[Subcategory name],MATCH(Table1[[#This Row],[Category]],SubcategoriesTable[Category name],0),0),"")</f>
        <v>Variable</v>
      </c>
      <c r="O589" s="130">
        <v>16</v>
      </c>
      <c r="P589" s="130">
        <f>MONTH(Table1[[#This Row],[Date]])</f>
        <v>9</v>
      </c>
      <c r="Q589" s="130">
        <v>2020</v>
      </c>
      <c r="R589" s="166">
        <f>IF(ISBLANK(Table1[[#This Row],[Date]]),"",Table1[[#This Row],[Date]]-WEEKDAY(Table1[[#This Row],[Date]],2)+1)</f>
        <v>44088</v>
      </c>
      <c r="S589" s="131">
        <f>IF(ISBLANK(Table1[[#This Row],[Date]]),"",DATE(Table1[[#This Row],[Date_Year]],Table1[[#This Row],[Date_Month]],1))</f>
        <v>44075</v>
      </c>
    </row>
    <row r="590" spans="2:19" ht="15.75" x14ac:dyDescent="0.25">
      <c r="B590" s="133">
        <v>44090</v>
      </c>
      <c r="C590" s="128" t="s">
        <v>195</v>
      </c>
      <c r="D590" s="128" t="s">
        <v>48</v>
      </c>
      <c r="E590" s="128" t="str" cm="1">
        <f t="array" ref="E590">IFERROR(INDEX(SubcategoriesTable[Subcategory name],MATCH(Table1[[#This Row],[Category]],SubcategoriesTable[Category name],0),0),"")</f>
        <v>Variable</v>
      </c>
      <c r="F590" s="134">
        <v>-12.59</v>
      </c>
      <c r="G590" s="167" t="str">
        <f>_xlfn.XLOOKUP(Table1[[#This Row],[Account_ID]], Accounts[ID], Accounts[Account nickname], "Unknown")</f>
        <v>Discover it chrome Card</v>
      </c>
      <c r="H590" s="137" t="str">
        <f>_xlfn.XLOOKUP(Table1[[#This Row],[Account_ID]], Accounts[ID], Accounts[Account'#], "Unknown")</f>
        <v>7328</v>
      </c>
      <c r="I590" s="168" t="str">
        <f>_xlfn.XLOOKUP(Table1[[#This Row],[Institution_ID]], Institutions[ID], Institutions[Institution nickname], "Unknown")</f>
        <v>Discover</v>
      </c>
      <c r="J590" s="139" t="s">
        <v>656</v>
      </c>
      <c r="K590" s="129" t="s">
        <v>110</v>
      </c>
      <c r="L590" s="129" t="s">
        <v>108</v>
      </c>
      <c r="M590" s="130" t="str" cm="1">
        <f t="array" ref="M590">IFERROR(INDEX(CategoriesTable[Category type],MATCH(Table1[[#This Row],[Category]],CategoriesTable[Category name],0),0),"")</f>
        <v>Expense</v>
      </c>
      <c r="N590" s="130" t="str" cm="1">
        <f t="array" ref="N590">IFERROR(INDEX(SubcategoriesTable[Subcategory name],MATCH(Table1[[#This Row],[Category]],SubcategoriesTable[Category name],0),0),"")</f>
        <v>Variable</v>
      </c>
      <c r="O590" s="130">
        <v>16</v>
      </c>
      <c r="P590" s="130">
        <f>MONTH(Table1[[#This Row],[Date]])</f>
        <v>9</v>
      </c>
      <c r="Q590" s="130">
        <v>2020</v>
      </c>
      <c r="R590" s="166">
        <f>IF(ISBLANK(Table1[[#This Row],[Date]]),"",Table1[[#This Row],[Date]]-WEEKDAY(Table1[[#This Row],[Date]],2)+1)</f>
        <v>44088</v>
      </c>
      <c r="S590" s="131">
        <f>IF(ISBLANK(Table1[[#This Row],[Date]]),"",DATE(Table1[[#This Row],[Date_Year]],Table1[[#This Row],[Date_Month]],1))</f>
        <v>44075</v>
      </c>
    </row>
    <row r="591" spans="2:19" ht="15.75" x14ac:dyDescent="0.25">
      <c r="B591" s="133">
        <v>44090</v>
      </c>
      <c r="C591" s="128" t="s">
        <v>169</v>
      </c>
      <c r="D591" s="128" t="s">
        <v>45</v>
      </c>
      <c r="E591" s="128" t="str" cm="1">
        <f t="array" ref="E591">IFERROR(INDEX(SubcategoriesTable[Subcategory name],MATCH(Table1[[#This Row],[Category]],SubcategoriesTable[Category name],0),0),"")</f>
        <v>Variable</v>
      </c>
      <c r="F591" s="134">
        <v>-12.11</v>
      </c>
      <c r="G591" s="167" t="str">
        <f>_xlfn.XLOOKUP(Table1[[#This Row],[Account_ID]], Accounts[ID], Accounts[Account nickname], "Unknown")</f>
        <v>Discover it chrome Card</v>
      </c>
      <c r="H591" s="137" t="str">
        <f>_xlfn.XLOOKUP(Table1[[#This Row],[Account_ID]], Accounts[ID], Accounts[Account'#], "Unknown")</f>
        <v>7328</v>
      </c>
      <c r="I591" s="168" t="str">
        <f>_xlfn.XLOOKUP(Table1[[#This Row],[Institution_ID]], Institutions[ID], Institutions[Institution nickname], "Unknown")</f>
        <v>Discover</v>
      </c>
      <c r="J591" s="139" t="s">
        <v>657</v>
      </c>
      <c r="K591" s="129" t="s">
        <v>110</v>
      </c>
      <c r="L591" s="129" t="s">
        <v>108</v>
      </c>
      <c r="M591" s="130" t="str" cm="1">
        <f t="array" ref="M591">IFERROR(INDEX(CategoriesTable[Category type],MATCH(Table1[[#This Row],[Category]],CategoriesTable[Category name],0),0),"")</f>
        <v>Expense</v>
      </c>
      <c r="N591" s="130" t="str" cm="1">
        <f t="array" ref="N591">IFERROR(INDEX(SubcategoriesTable[Subcategory name],MATCH(Table1[[#This Row],[Category]],SubcategoriesTable[Category name],0),0),"")</f>
        <v>Variable</v>
      </c>
      <c r="O591" s="130">
        <v>16</v>
      </c>
      <c r="P591" s="130">
        <f>MONTH(Table1[[#This Row],[Date]])</f>
        <v>9</v>
      </c>
      <c r="Q591" s="130">
        <v>2020</v>
      </c>
      <c r="R591" s="166">
        <f>IF(ISBLANK(Table1[[#This Row],[Date]]),"",Table1[[#This Row],[Date]]-WEEKDAY(Table1[[#This Row],[Date]],2)+1)</f>
        <v>44088</v>
      </c>
      <c r="S591" s="131">
        <f>IF(ISBLANK(Table1[[#This Row],[Date]]),"",DATE(Table1[[#This Row],[Date_Year]],Table1[[#This Row],[Date_Month]],1))</f>
        <v>44075</v>
      </c>
    </row>
    <row r="592" spans="2:19" ht="15.75" x14ac:dyDescent="0.25">
      <c r="B592" s="133">
        <v>44089</v>
      </c>
      <c r="C592" s="128" t="s">
        <v>380</v>
      </c>
      <c r="D592" s="128" t="s">
        <v>46</v>
      </c>
      <c r="E592" s="128" t="str" cm="1">
        <f t="array" ref="E592">IFERROR(INDEX(SubcategoriesTable[Subcategory name],MATCH(Table1[[#This Row],[Category]],SubcategoriesTable[Category name],0),0),"")</f>
        <v>Variable</v>
      </c>
      <c r="F592" s="134">
        <v>-4.99</v>
      </c>
      <c r="G592" s="167" t="str">
        <f>_xlfn.XLOOKUP(Table1[[#This Row],[Account_ID]], Accounts[ID], Accounts[Account nickname], "Unknown")</f>
        <v>Discover it chrome Card</v>
      </c>
      <c r="H592" s="137" t="str">
        <f>_xlfn.XLOOKUP(Table1[[#This Row],[Account_ID]], Accounts[ID], Accounts[Account'#], "Unknown")</f>
        <v>7328</v>
      </c>
      <c r="I592" s="168" t="str">
        <f>_xlfn.XLOOKUP(Table1[[#This Row],[Institution_ID]], Institutions[ID], Institutions[Institution nickname], "Unknown")</f>
        <v>Discover</v>
      </c>
      <c r="J592" s="139" t="s">
        <v>658</v>
      </c>
      <c r="K592" s="129" t="s">
        <v>110</v>
      </c>
      <c r="L592" s="129" t="s">
        <v>108</v>
      </c>
      <c r="M592" s="130" t="str" cm="1">
        <f t="array" ref="M592">IFERROR(INDEX(CategoriesTable[Category type],MATCH(Table1[[#This Row],[Category]],CategoriesTable[Category name],0),0),"")</f>
        <v>Expense</v>
      </c>
      <c r="N592" s="130" t="str" cm="1">
        <f t="array" ref="N592">IFERROR(INDEX(SubcategoriesTable[Subcategory name],MATCH(Table1[[#This Row],[Category]],SubcategoriesTable[Category name],0),0),"")</f>
        <v>Variable</v>
      </c>
      <c r="O592" s="130">
        <v>15</v>
      </c>
      <c r="P592" s="130">
        <f>MONTH(Table1[[#This Row],[Date]])</f>
        <v>9</v>
      </c>
      <c r="Q592" s="130">
        <v>2020</v>
      </c>
      <c r="R592" s="166">
        <f>IF(ISBLANK(Table1[[#This Row],[Date]]),"",Table1[[#This Row],[Date]]-WEEKDAY(Table1[[#This Row],[Date]],2)+1)</f>
        <v>44088</v>
      </c>
      <c r="S592" s="131">
        <f>IF(ISBLANK(Table1[[#This Row],[Date]]),"",DATE(Table1[[#This Row],[Date_Year]],Table1[[#This Row],[Date_Month]],1))</f>
        <v>44075</v>
      </c>
    </row>
    <row r="593" spans="2:19" ht="15.75" x14ac:dyDescent="0.25">
      <c r="B593" s="133">
        <v>44089</v>
      </c>
      <c r="C593" s="128" t="s">
        <v>340</v>
      </c>
      <c r="D593" s="128" t="s">
        <v>45</v>
      </c>
      <c r="E593" s="128" t="str" cm="1">
        <f t="array" ref="E593">IFERROR(INDEX(SubcategoriesTable[Subcategory name],MATCH(Table1[[#This Row],[Category]],SubcategoriesTable[Category name],0),0),"")</f>
        <v>Variable</v>
      </c>
      <c r="F593" s="134">
        <v>-25.01</v>
      </c>
      <c r="G593" s="167" t="str">
        <f>_xlfn.XLOOKUP(Table1[[#This Row],[Account_ID]], Accounts[ID], Accounts[Account nickname], "Unknown")</f>
        <v>Discover it chrome Card</v>
      </c>
      <c r="H593" s="137" t="str">
        <f>_xlfn.XLOOKUP(Table1[[#This Row],[Account_ID]], Accounts[ID], Accounts[Account'#], "Unknown")</f>
        <v>7328</v>
      </c>
      <c r="I593" s="168" t="str">
        <f>_xlfn.XLOOKUP(Table1[[#This Row],[Institution_ID]], Institutions[ID], Institutions[Institution nickname], "Unknown")</f>
        <v>Discover</v>
      </c>
      <c r="J593" s="171" t="s">
        <v>659</v>
      </c>
      <c r="K593" s="129" t="s">
        <v>110</v>
      </c>
      <c r="L593" s="129" t="s">
        <v>108</v>
      </c>
      <c r="M593" s="130" t="str" cm="1">
        <f t="array" ref="M593">IFERROR(INDEX(CategoriesTable[Category type],MATCH(Table1[[#This Row],[Category]],CategoriesTable[Category name],0),0),"")</f>
        <v>Expense</v>
      </c>
      <c r="N593" s="130" t="str" cm="1">
        <f t="array" ref="N593">IFERROR(INDEX(SubcategoriesTable[Subcategory name],MATCH(Table1[[#This Row],[Category]],SubcategoriesTable[Category name],0),0),"")</f>
        <v>Variable</v>
      </c>
      <c r="O593" s="130">
        <v>15</v>
      </c>
      <c r="P593" s="130">
        <f>MONTH(Table1[[#This Row],[Date]])</f>
        <v>9</v>
      </c>
      <c r="Q593" s="130">
        <v>2020</v>
      </c>
      <c r="R593" s="166">
        <f>IF(ISBLANK(Table1[[#This Row],[Date]]),"",Table1[[#This Row],[Date]]-WEEKDAY(Table1[[#This Row],[Date]],2)+1)</f>
        <v>44088</v>
      </c>
      <c r="S593" s="131">
        <f>IF(ISBLANK(Table1[[#This Row],[Date]]),"",DATE(Table1[[#This Row],[Date_Year]],Table1[[#This Row],[Date_Month]],1))</f>
        <v>44075</v>
      </c>
    </row>
    <row r="594" spans="2:19" ht="15.75" x14ac:dyDescent="0.25">
      <c r="B594" s="133">
        <v>44088</v>
      </c>
      <c r="C594" s="128" t="s">
        <v>1180</v>
      </c>
      <c r="D594" s="128" t="s">
        <v>50</v>
      </c>
      <c r="E594" s="128" t="str" cm="1">
        <f t="array" ref="E594">IFERROR(INDEX(SubcategoriesTable[Subcategory name],MATCH(Table1[[#This Row],[Category]],SubcategoriesTable[Category name],0),0),"")</f>
        <v>Variable</v>
      </c>
      <c r="F594" s="134">
        <v>-63.44</v>
      </c>
      <c r="G594" s="167" t="str">
        <f>_xlfn.XLOOKUP(Table1[[#This Row],[Account_ID]], Accounts[ID], Accounts[Account nickname], "Unknown")</f>
        <v>EVERYDAY CHECKING</v>
      </c>
      <c r="H594" s="137" t="str">
        <f>_xlfn.XLOOKUP(Table1[[#This Row],[Account_ID]], Accounts[ID], Accounts[Account'#], "Unknown")</f>
        <v>4636</v>
      </c>
      <c r="I594" s="168" t="str">
        <f>_xlfn.XLOOKUP(Table1[[#This Row],[Institution_ID]], Institutions[ID], Institutions[Institution nickname], "Unknown")</f>
        <v>Wells Fargo</v>
      </c>
      <c r="J594" s="139" t="s">
        <v>1522</v>
      </c>
      <c r="K594" s="129" t="s">
        <v>1229</v>
      </c>
      <c r="L594" s="129" t="s">
        <v>1228</v>
      </c>
      <c r="M594" s="130" t="str" cm="1">
        <f t="array" ref="M594">IFERROR(INDEX(CategoriesTable[Category type],MATCH(Table1[[#This Row],[Category]],CategoriesTable[Category name],0),0),"")</f>
        <v>Transfer</v>
      </c>
      <c r="N594" s="130" t="str" cm="1">
        <f t="array" ref="N594">IFERROR(INDEX(SubcategoriesTable[Subcategory name],MATCH(Table1[[#This Row],[Category]],SubcategoriesTable[Category name],0),0),"")</f>
        <v>Variable</v>
      </c>
      <c r="O594" s="130">
        <v>14</v>
      </c>
      <c r="P594" s="130">
        <f>MONTH(Table1[[#This Row],[Date]])</f>
        <v>9</v>
      </c>
      <c r="Q594" s="130">
        <v>2020</v>
      </c>
      <c r="R594" s="166">
        <f>IF(ISBLANK(Table1[[#This Row],[Date]]),"",Table1[[#This Row],[Date]]-WEEKDAY(Table1[[#This Row],[Date]],2)+1)</f>
        <v>44088</v>
      </c>
      <c r="S594" s="131">
        <f>IF(ISBLANK(Table1[[#This Row],[Date]]),"",DATE(Table1[[#This Row],[Date_Year]],Table1[[#This Row],[Date_Month]],1))</f>
        <v>44075</v>
      </c>
    </row>
    <row r="595" spans="2:19" ht="15.75" x14ac:dyDescent="0.25">
      <c r="B595" s="133">
        <v>44088</v>
      </c>
      <c r="C595" s="128" t="s">
        <v>50</v>
      </c>
      <c r="D595" s="128" t="s">
        <v>50</v>
      </c>
      <c r="E595" s="128"/>
      <c r="F595" s="134">
        <v>-300</v>
      </c>
      <c r="G595" s="167" t="str">
        <f>_xlfn.XLOOKUP(Table1[[#This Row],[Account_ID]], Accounts[ID], Accounts[Account nickname], "Unknown")</f>
        <v>Checking - 4480</v>
      </c>
      <c r="H595" s="137" t="str">
        <f>_xlfn.XLOOKUP(Table1[[#This Row],[Account_ID]], Accounts[ID], Accounts[Account'#], "Unknown")</f>
        <v>4480</v>
      </c>
      <c r="I595" s="168" t="str">
        <f>_xlfn.XLOOKUP(Table1[[#This Row],[Institution_ID]], Institutions[ID], Institutions[Institution nickname], "Unknown")</f>
        <v>Robinhood</v>
      </c>
      <c r="J595" s="139" t="s">
        <v>1235</v>
      </c>
      <c r="K595" s="129" t="s">
        <v>1208</v>
      </c>
      <c r="L595" s="173" t="s">
        <v>1207</v>
      </c>
      <c r="M595" s="130" t="str" cm="1">
        <f t="array" ref="M595">IFERROR(INDEX(CategoriesTable[Category type],MATCH(Table1[[#This Row],[Category]],CategoriesTable[Category name],0),0),"")</f>
        <v>Transfer</v>
      </c>
      <c r="N595" s="130" t="str" cm="1">
        <f t="array" ref="N595">IFERROR(INDEX(SubcategoriesTable[Subcategory name],MATCH(Table1[[#This Row],[Category]],SubcategoriesTable[Category name],0),0),"")</f>
        <v>Variable</v>
      </c>
      <c r="O595" s="130">
        <v>14</v>
      </c>
      <c r="P595" s="130">
        <f>MONTH(Table1[[#This Row],[Date]])</f>
        <v>9</v>
      </c>
      <c r="Q595" s="130">
        <v>2020</v>
      </c>
      <c r="R595" s="166">
        <f>IF(ISBLANK(Table1[[#This Row],[Date]]),"",Table1[[#This Row],[Date]]-WEEKDAY(Table1[[#This Row],[Date]],2)+1)</f>
        <v>44088</v>
      </c>
      <c r="S595" s="131">
        <f>IF(ISBLANK(Table1[[#This Row],[Date]]),"",DATE(Table1[[#This Row],[Date_Year]],Table1[[#This Row],[Date_Month]],1))</f>
        <v>44075</v>
      </c>
    </row>
    <row r="596" spans="2:19" ht="15.75" x14ac:dyDescent="0.25">
      <c r="B596" s="133">
        <v>44088</v>
      </c>
      <c r="C596" s="128" t="s">
        <v>610</v>
      </c>
      <c r="D596" s="128" t="s">
        <v>45</v>
      </c>
      <c r="E596" s="128" t="str" cm="1">
        <f t="array" ref="E596">IFERROR(INDEX(SubcategoriesTable[Subcategory name],MATCH(Table1[[#This Row],[Category]],SubcategoriesTable[Category name],0),0),"")</f>
        <v>Variable</v>
      </c>
      <c r="F596" s="134">
        <v>-10</v>
      </c>
      <c r="G596" s="167" t="str">
        <f>_xlfn.XLOOKUP(Table1[[#This Row],[Account_ID]], Accounts[ID], Accounts[Account nickname], "Unknown")</f>
        <v>Discover it chrome Card</v>
      </c>
      <c r="H596" s="137" t="str">
        <f>_xlfn.XLOOKUP(Table1[[#This Row],[Account_ID]], Accounts[ID], Accounts[Account'#], "Unknown")</f>
        <v>7328</v>
      </c>
      <c r="I596" s="168" t="str">
        <f>_xlfn.XLOOKUP(Table1[[#This Row],[Institution_ID]], Institutions[ID], Institutions[Institution nickname], "Unknown")</f>
        <v>Discover</v>
      </c>
      <c r="J596" s="139" t="s">
        <v>660</v>
      </c>
      <c r="K596" s="129" t="s">
        <v>110</v>
      </c>
      <c r="L596" s="129" t="s">
        <v>108</v>
      </c>
      <c r="M596" s="130" t="str" cm="1">
        <f t="array" ref="M596">IFERROR(INDEX(CategoriesTable[Category type],MATCH(Table1[[#This Row],[Category]],CategoriesTable[Category name],0),0),"")</f>
        <v>Expense</v>
      </c>
      <c r="N596" s="130" t="str" cm="1">
        <f t="array" ref="N596">IFERROR(INDEX(SubcategoriesTable[Subcategory name],MATCH(Table1[[#This Row],[Category]],SubcategoriesTable[Category name],0),0),"")</f>
        <v>Variable</v>
      </c>
      <c r="O596" s="130">
        <v>14</v>
      </c>
      <c r="P596" s="130">
        <f>MONTH(Table1[[#This Row],[Date]])</f>
        <v>9</v>
      </c>
      <c r="Q596" s="130">
        <v>2020</v>
      </c>
      <c r="R596" s="166">
        <f>IF(ISBLANK(Table1[[#This Row],[Date]]),"",Table1[[#This Row],[Date]]-WEEKDAY(Table1[[#This Row],[Date]],2)+1)</f>
        <v>44088</v>
      </c>
      <c r="S596" s="131">
        <f>IF(ISBLANK(Table1[[#This Row],[Date]]),"",DATE(Table1[[#This Row],[Date_Year]],Table1[[#This Row],[Date_Month]],1))</f>
        <v>44075</v>
      </c>
    </row>
    <row r="597" spans="2:19" ht="15.75" x14ac:dyDescent="0.25">
      <c r="B597" s="133">
        <v>44088</v>
      </c>
      <c r="C597" s="128" t="s">
        <v>661</v>
      </c>
      <c r="D597" s="128" t="s">
        <v>45</v>
      </c>
      <c r="E597" s="128" t="str" cm="1">
        <f t="array" ref="E597">IFERROR(INDEX(SubcategoriesTable[Subcategory name],MATCH(Table1[[#This Row],[Category]],SubcategoriesTable[Category name],0),0),"")</f>
        <v>Variable</v>
      </c>
      <c r="F597" s="134">
        <v>-10</v>
      </c>
      <c r="G597" s="167" t="str">
        <f>_xlfn.XLOOKUP(Table1[[#This Row],[Account_ID]], Accounts[ID], Accounts[Account nickname], "Unknown")</f>
        <v>Discover it chrome Card</v>
      </c>
      <c r="H597" s="137" t="str">
        <f>_xlfn.XLOOKUP(Table1[[#This Row],[Account_ID]], Accounts[ID], Accounts[Account'#], "Unknown")</f>
        <v>7328</v>
      </c>
      <c r="I597" s="168" t="str">
        <f>_xlfn.XLOOKUP(Table1[[#This Row],[Institution_ID]], Institutions[ID], Institutions[Institution nickname], "Unknown")</f>
        <v>Discover</v>
      </c>
      <c r="J597" s="171" t="s">
        <v>662</v>
      </c>
      <c r="K597" s="129" t="s">
        <v>110</v>
      </c>
      <c r="L597" s="129" t="s">
        <v>108</v>
      </c>
      <c r="M597" s="130" t="str" cm="1">
        <f t="array" ref="M597">IFERROR(INDEX(CategoriesTable[Category type],MATCH(Table1[[#This Row],[Category]],CategoriesTable[Category name],0),0),"")</f>
        <v>Expense</v>
      </c>
      <c r="N597" s="130" t="str" cm="1">
        <f t="array" ref="N597">IFERROR(INDEX(SubcategoriesTable[Subcategory name],MATCH(Table1[[#This Row],[Category]],SubcategoriesTable[Category name],0),0),"")</f>
        <v>Variable</v>
      </c>
      <c r="O597" s="130">
        <v>14</v>
      </c>
      <c r="P597" s="130">
        <f>MONTH(Table1[[#This Row],[Date]])</f>
        <v>9</v>
      </c>
      <c r="Q597" s="130">
        <v>2020</v>
      </c>
      <c r="R597" s="166">
        <f>IF(ISBLANK(Table1[[#This Row],[Date]]),"",Table1[[#This Row],[Date]]-WEEKDAY(Table1[[#This Row],[Date]],2)+1)</f>
        <v>44088</v>
      </c>
      <c r="S597" s="131">
        <f>IF(ISBLANK(Table1[[#This Row],[Date]]),"",DATE(Table1[[#This Row],[Date_Year]],Table1[[#This Row],[Date_Month]],1))</f>
        <v>44075</v>
      </c>
    </row>
    <row r="598" spans="2:19" ht="15.75" x14ac:dyDescent="0.25">
      <c r="B598" s="133">
        <v>44087</v>
      </c>
      <c r="C598" s="128" t="s">
        <v>342</v>
      </c>
      <c r="D598" s="128" t="s">
        <v>46</v>
      </c>
      <c r="E598" s="128" t="str" cm="1">
        <f t="array" ref="E598">IFERROR(INDEX(SubcategoriesTable[Subcategory name],MATCH(Table1[[#This Row],[Category]],SubcategoriesTable[Category name],0),0),"")</f>
        <v>Variable</v>
      </c>
      <c r="F598" s="134">
        <v>-136.88</v>
      </c>
      <c r="G598" s="167" t="str">
        <f>_xlfn.XLOOKUP(Table1[[#This Row],[Account_ID]], Accounts[ID], Accounts[Account nickname], "Unknown")</f>
        <v>Discover it chrome Card</v>
      </c>
      <c r="H598" s="137" t="str">
        <f>_xlfn.XLOOKUP(Table1[[#This Row],[Account_ID]], Accounts[ID], Accounts[Account'#], "Unknown")</f>
        <v>7328</v>
      </c>
      <c r="I598" s="168" t="str">
        <f>_xlfn.XLOOKUP(Table1[[#This Row],[Institution_ID]], Institutions[ID], Institutions[Institution nickname], "Unknown")</f>
        <v>Discover</v>
      </c>
      <c r="J598" s="139" t="s">
        <v>663</v>
      </c>
      <c r="K598" s="129" t="s">
        <v>110</v>
      </c>
      <c r="L598" s="129" t="s">
        <v>108</v>
      </c>
      <c r="M598" s="130" t="str" cm="1">
        <f t="array" ref="M598">IFERROR(INDEX(CategoriesTable[Category type],MATCH(Table1[[#This Row],[Category]],CategoriesTable[Category name],0),0),"")</f>
        <v>Expense</v>
      </c>
      <c r="N598" s="130" t="str" cm="1">
        <f t="array" ref="N598">IFERROR(INDEX(SubcategoriesTable[Subcategory name],MATCH(Table1[[#This Row],[Category]],SubcategoriesTable[Category name],0),0),"")</f>
        <v>Variable</v>
      </c>
      <c r="O598" s="130">
        <v>13</v>
      </c>
      <c r="P598" s="130">
        <f>MONTH(Table1[[#This Row],[Date]])</f>
        <v>9</v>
      </c>
      <c r="Q598" s="130">
        <v>2020</v>
      </c>
      <c r="R598" s="166">
        <f>IF(ISBLANK(Table1[[#This Row],[Date]]),"",Table1[[#This Row],[Date]]-WEEKDAY(Table1[[#This Row],[Date]],2)+1)</f>
        <v>44081</v>
      </c>
      <c r="S598" s="131">
        <f>IF(ISBLANK(Table1[[#This Row],[Date]]),"",DATE(Table1[[#This Row],[Date_Year]],Table1[[#This Row],[Date_Month]],1))</f>
        <v>44075</v>
      </c>
    </row>
    <row r="599" spans="2:19" ht="15.75" x14ac:dyDescent="0.25">
      <c r="B599" s="133">
        <v>44087</v>
      </c>
      <c r="C599" s="128" t="s">
        <v>201</v>
      </c>
      <c r="D599" s="128" t="s">
        <v>48</v>
      </c>
      <c r="E599" s="128" t="str" cm="1">
        <f t="array" ref="E599">IFERROR(INDEX(SubcategoriesTable[Subcategory name],MATCH(Table1[[#This Row],[Category]],SubcategoriesTable[Category name],0),0),"")</f>
        <v>Variable</v>
      </c>
      <c r="F599" s="134">
        <v>-107.36</v>
      </c>
      <c r="G599" s="167" t="str">
        <f>_xlfn.XLOOKUP(Table1[[#This Row],[Account_ID]], Accounts[ID], Accounts[Account nickname], "Unknown")</f>
        <v>Discover it chrome Card</v>
      </c>
      <c r="H599" s="137" t="str">
        <f>_xlfn.XLOOKUP(Table1[[#This Row],[Account_ID]], Accounts[ID], Accounts[Account'#], "Unknown")</f>
        <v>7328</v>
      </c>
      <c r="I599" s="168" t="str">
        <f>_xlfn.XLOOKUP(Table1[[#This Row],[Institution_ID]], Institutions[ID], Institutions[Institution nickname], "Unknown")</f>
        <v>Discover</v>
      </c>
      <c r="J599" s="139" t="s">
        <v>664</v>
      </c>
      <c r="K599" s="129" t="s">
        <v>110</v>
      </c>
      <c r="L599" s="129" t="s">
        <v>108</v>
      </c>
      <c r="M599" s="130" t="str" cm="1">
        <f t="array" ref="M599">IFERROR(INDEX(CategoriesTable[Category type],MATCH(Table1[[#This Row],[Category]],CategoriesTable[Category name],0),0),"")</f>
        <v>Expense</v>
      </c>
      <c r="N599" s="130" t="str" cm="1">
        <f t="array" ref="N599">IFERROR(INDEX(SubcategoriesTable[Subcategory name],MATCH(Table1[[#This Row],[Category]],SubcategoriesTable[Category name],0),0),"")</f>
        <v>Variable</v>
      </c>
      <c r="O599" s="130">
        <v>13</v>
      </c>
      <c r="P599" s="130">
        <f>MONTH(Table1[[#This Row],[Date]])</f>
        <v>9</v>
      </c>
      <c r="Q599" s="130">
        <v>2020</v>
      </c>
      <c r="R599" s="166">
        <f>IF(ISBLANK(Table1[[#This Row],[Date]]),"",Table1[[#This Row],[Date]]-WEEKDAY(Table1[[#This Row],[Date]],2)+1)</f>
        <v>44081</v>
      </c>
      <c r="S599" s="131">
        <f>IF(ISBLANK(Table1[[#This Row],[Date]]),"",DATE(Table1[[#This Row],[Date_Year]],Table1[[#This Row],[Date_Month]],1))</f>
        <v>44075</v>
      </c>
    </row>
    <row r="600" spans="2:19" ht="15.75" x14ac:dyDescent="0.25">
      <c r="B600" s="133">
        <v>44086</v>
      </c>
      <c r="C600" s="128" t="s">
        <v>1236</v>
      </c>
      <c r="D600" s="128" t="s">
        <v>2371</v>
      </c>
      <c r="E600" s="128"/>
      <c r="F600" s="134">
        <v>-119</v>
      </c>
      <c r="G600" s="167" t="str">
        <f>_xlfn.XLOOKUP(Table1[[#This Row],[Account_ID]], Accounts[ID], Accounts[Account nickname], "Unknown")</f>
        <v>Checking - 4480</v>
      </c>
      <c r="H600" s="137" t="str">
        <f>_xlfn.XLOOKUP(Table1[[#This Row],[Account_ID]], Accounts[ID], Accounts[Account'#], "Unknown")</f>
        <v>4480</v>
      </c>
      <c r="I600" s="168" t="str">
        <f>_xlfn.XLOOKUP(Table1[[#This Row],[Institution_ID]], Institutions[ID], Institutions[Institution nickname], "Unknown")</f>
        <v>Robinhood</v>
      </c>
      <c r="J600" s="139" t="s">
        <v>1237</v>
      </c>
      <c r="K600" s="129" t="s">
        <v>1208</v>
      </c>
      <c r="L600" s="173" t="s">
        <v>1207</v>
      </c>
      <c r="M600" s="130" t="str" cm="1">
        <f t="array" ref="M600">IFERROR(INDEX(CategoriesTable[Category type],MATCH(Table1[[#This Row],[Category]],CategoriesTable[Category name],0),0),"")</f>
        <v>Expense</v>
      </c>
      <c r="N600" s="130" t="str" cm="1">
        <f t="array" ref="N600">IFERROR(INDEX(SubcategoriesTable[Subcategory name],MATCH(Table1[[#This Row],[Category]],SubcategoriesTable[Category name],0),0),"")</f>
        <v>Variable</v>
      </c>
      <c r="O600" s="130">
        <v>12</v>
      </c>
      <c r="P600" s="130">
        <f>MONTH(Table1[[#This Row],[Date]])</f>
        <v>9</v>
      </c>
      <c r="Q600" s="130">
        <v>2020</v>
      </c>
      <c r="R600" s="166">
        <f>IF(ISBLANK(Table1[[#This Row],[Date]]),"",Table1[[#This Row],[Date]]-WEEKDAY(Table1[[#This Row],[Date]],2)+1)</f>
        <v>44081</v>
      </c>
      <c r="S600" s="131">
        <f>IF(ISBLANK(Table1[[#This Row],[Date]]),"",DATE(Table1[[#This Row],[Date_Year]],Table1[[#This Row],[Date_Month]],1))</f>
        <v>44075</v>
      </c>
    </row>
    <row r="601" spans="2:19" ht="15.75" x14ac:dyDescent="0.25">
      <c r="B601" s="133">
        <v>44086</v>
      </c>
      <c r="C601" s="128" t="s">
        <v>508</v>
      </c>
      <c r="D601" s="128" t="s">
        <v>50</v>
      </c>
      <c r="E601" s="128"/>
      <c r="F601" s="134">
        <v>-64.400000000000006</v>
      </c>
      <c r="G601" s="167" t="str">
        <f>_xlfn.XLOOKUP(Table1[[#This Row],[Account_ID]], Accounts[ID], Accounts[Account nickname], "Unknown")</f>
        <v>Checking - 4480</v>
      </c>
      <c r="H601" s="137" t="str">
        <f>_xlfn.XLOOKUP(Table1[[#This Row],[Account_ID]], Accounts[ID], Accounts[Account'#], "Unknown")</f>
        <v>4480</v>
      </c>
      <c r="I601" s="168" t="str">
        <f>_xlfn.XLOOKUP(Table1[[#This Row],[Institution_ID]], Institutions[ID], Institutions[Institution nickname], "Unknown")</f>
        <v>Robinhood</v>
      </c>
      <c r="J601" s="139" t="s">
        <v>1238</v>
      </c>
      <c r="K601" s="129" t="s">
        <v>1208</v>
      </c>
      <c r="L601" s="173" t="s">
        <v>1207</v>
      </c>
      <c r="M601" s="130" t="str" cm="1">
        <f t="array" ref="M601">IFERROR(INDEX(CategoriesTable[Category type],MATCH(Table1[[#This Row],[Category]],CategoriesTable[Category name],0),0),"")</f>
        <v>Transfer</v>
      </c>
      <c r="N601" s="130" t="str" cm="1">
        <f t="array" ref="N601">IFERROR(INDEX(SubcategoriesTable[Subcategory name],MATCH(Table1[[#This Row],[Category]],SubcategoriesTable[Category name],0),0),"")</f>
        <v>Variable</v>
      </c>
      <c r="O601" s="130">
        <v>12</v>
      </c>
      <c r="P601" s="130">
        <f>MONTH(Table1[[#This Row],[Date]])</f>
        <v>9</v>
      </c>
      <c r="Q601" s="130">
        <v>2020</v>
      </c>
      <c r="R601" s="166">
        <f>IF(ISBLANK(Table1[[#This Row],[Date]]),"",Table1[[#This Row],[Date]]-WEEKDAY(Table1[[#This Row],[Date]],2)+1)</f>
        <v>44081</v>
      </c>
      <c r="S601" s="131">
        <f>IF(ISBLANK(Table1[[#This Row],[Date]]),"",DATE(Table1[[#This Row],[Date_Year]],Table1[[#This Row],[Date_Month]],1))</f>
        <v>44075</v>
      </c>
    </row>
    <row r="602" spans="2:19" ht="15.75" x14ac:dyDescent="0.25">
      <c r="B602" s="133">
        <v>44086</v>
      </c>
      <c r="C602" s="128" t="s">
        <v>665</v>
      </c>
      <c r="D602" s="128" t="s">
        <v>46</v>
      </c>
      <c r="E602" s="128" t="str" cm="1">
        <f t="array" ref="E602">IFERROR(INDEX(SubcategoriesTable[Subcategory name],MATCH(Table1[[#This Row],[Category]],SubcategoriesTable[Category name],0),0),"")</f>
        <v>Variable</v>
      </c>
      <c r="F602" s="134">
        <v>-36.840000000000003</v>
      </c>
      <c r="G602" s="167" t="str">
        <f>_xlfn.XLOOKUP(Table1[[#This Row],[Account_ID]], Accounts[ID], Accounts[Account nickname], "Unknown")</f>
        <v>Discover it chrome Card</v>
      </c>
      <c r="H602" s="137" t="str">
        <f>_xlfn.XLOOKUP(Table1[[#This Row],[Account_ID]], Accounts[ID], Accounts[Account'#], "Unknown")</f>
        <v>7328</v>
      </c>
      <c r="I602" s="168" t="str">
        <f>_xlfn.XLOOKUP(Table1[[#This Row],[Institution_ID]], Institutions[ID], Institutions[Institution nickname], "Unknown")</f>
        <v>Discover</v>
      </c>
      <c r="J602" s="139" t="s">
        <v>666</v>
      </c>
      <c r="K602" s="129" t="s">
        <v>110</v>
      </c>
      <c r="L602" s="129" t="s">
        <v>108</v>
      </c>
      <c r="M602" s="130" t="str" cm="1">
        <f t="array" ref="M602">IFERROR(INDEX(CategoriesTable[Category type],MATCH(Table1[[#This Row],[Category]],CategoriesTable[Category name],0),0),"")</f>
        <v>Expense</v>
      </c>
      <c r="N602" s="130" t="str" cm="1">
        <f t="array" ref="N602">IFERROR(INDEX(SubcategoriesTable[Subcategory name],MATCH(Table1[[#This Row],[Category]],SubcategoriesTable[Category name],0),0),"")</f>
        <v>Variable</v>
      </c>
      <c r="O602" s="130">
        <v>12</v>
      </c>
      <c r="P602" s="130">
        <f>MONTH(Table1[[#This Row],[Date]])</f>
        <v>9</v>
      </c>
      <c r="Q602" s="130">
        <v>2020</v>
      </c>
      <c r="R602" s="166">
        <f>IF(ISBLANK(Table1[[#This Row],[Date]]),"",Table1[[#This Row],[Date]]-WEEKDAY(Table1[[#This Row],[Date]],2)+1)</f>
        <v>44081</v>
      </c>
      <c r="S602" s="131">
        <f>IF(ISBLANK(Table1[[#This Row],[Date]]),"",DATE(Table1[[#This Row],[Date_Year]],Table1[[#This Row],[Date_Month]],1))</f>
        <v>44075</v>
      </c>
    </row>
    <row r="603" spans="2:19" ht="15.75" x14ac:dyDescent="0.25">
      <c r="B603" s="133">
        <v>44086</v>
      </c>
      <c r="C603" s="128" t="s">
        <v>113</v>
      </c>
      <c r="D603" s="128" t="s">
        <v>50</v>
      </c>
      <c r="E603" s="128" t="str" cm="1">
        <f t="array" ref="E603">IFERROR(INDEX(SubcategoriesTable[Subcategory name],MATCH(Table1[[#This Row],[Category]],SubcategoriesTable[Category name],0),0),"")</f>
        <v>Variable</v>
      </c>
      <c r="F603" s="134">
        <v>63.44</v>
      </c>
      <c r="G603" s="167" t="str">
        <f>_xlfn.XLOOKUP(Table1[[#This Row],[Account_ID]], Accounts[ID], Accounts[Account nickname], "Unknown")</f>
        <v>Discover it chrome Card</v>
      </c>
      <c r="H603" s="137" t="str">
        <f>_xlfn.XLOOKUP(Table1[[#This Row],[Account_ID]], Accounts[ID], Accounts[Account'#], "Unknown")</f>
        <v>7328</v>
      </c>
      <c r="I603" s="168" t="str">
        <f>_xlfn.XLOOKUP(Table1[[#This Row],[Institution_ID]], Institutions[ID], Institutions[Institution nickname], "Unknown")</f>
        <v>Discover</v>
      </c>
      <c r="J603" s="139" t="s">
        <v>667</v>
      </c>
      <c r="K603" s="129" t="s">
        <v>110</v>
      </c>
      <c r="L603" s="129" t="s">
        <v>108</v>
      </c>
      <c r="M603" s="130" t="str" cm="1">
        <f t="array" ref="M603">IFERROR(INDEX(CategoriesTable[Category type],MATCH(Table1[[#This Row],[Category]],CategoriesTable[Category name],0),0),"")</f>
        <v>Transfer</v>
      </c>
      <c r="N603" s="130" t="str" cm="1">
        <f t="array" ref="N603">IFERROR(INDEX(SubcategoriesTable[Subcategory name],MATCH(Table1[[#This Row],[Category]],SubcategoriesTable[Category name],0),0),"")</f>
        <v>Variable</v>
      </c>
      <c r="O603" s="130">
        <v>12</v>
      </c>
      <c r="P603" s="130">
        <f>MONTH(Table1[[#This Row],[Date]])</f>
        <v>9</v>
      </c>
      <c r="Q603" s="130">
        <v>2020</v>
      </c>
      <c r="R603" s="166">
        <f>IF(ISBLANK(Table1[[#This Row],[Date]]),"",Table1[[#This Row],[Date]]-WEEKDAY(Table1[[#This Row],[Date]],2)+1)</f>
        <v>44081</v>
      </c>
      <c r="S603" s="131">
        <f>IF(ISBLANK(Table1[[#This Row],[Date]]),"",DATE(Table1[[#This Row],[Date_Year]],Table1[[#This Row],[Date_Month]],1))</f>
        <v>44075</v>
      </c>
    </row>
    <row r="604" spans="2:19" ht="15.75" x14ac:dyDescent="0.25">
      <c r="B604" s="133">
        <v>44086</v>
      </c>
      <c r="C604" s="128" t="s">
        <v>633</v>
      </c>
      <c r="D604" s="128" t="s">
        <v>45</v>
      </c>
      <c r="E604" s="128" t="str" cm="1">
        <f t="array" ref="E604">IFERROR(INDEX(SubcategoriesTable[Subcategory name],MATCH(Table1[[#This Row],[Category]],SubcategoriesTable[Category name],0),0),"")</f>
        <v>Variable</v>
      </c>
      <c r="F604" s="134">
        <v>-16.670000000000002</v>
      </c>
      <c r="G604" s="167" t="str">
        <f>_xlfn.XLOOKUP(Table1[[#This Row],[Account_ID]], Accounts[ID], Accounts[Account nickname], "Unknown")</f>
        <v>Discover it chrome Card</v>
      </c>
      <c r="H604" s="137" t="str">
        <f>_xlfn.XLOOKUP(Table1[[#This Row],[Account_ID]], Accounts[ID], Accounts[Account'#], "Unknown")</f>
        <v>7328</v>
      </c>
      <c r="I604" s="168" t="str">
        <f>_xlfn.XLOOKUP(Table1[[#This Row],[Institution_ID]], Institutions[ID], Institutions[Institution nickname], "Unknown")</f>
        <v>Discover</v>
      </c>
      <c r="J604" s="139" t="s">
        <v>668</v>
      </c>
      <c r="K604" s="129" t="s">
        <v>110</v>
      </c>
      <c r="L604" s="129" t="s">
        <v>108</v>
      </c>
      <c r="M604" s="130" t="str" cm="1">
        <f t="array" ref="M604">IFERROR(INDEX(CategoriesTable[Category type],MATCH(Table1[[#This Row],[Category]],CategoriesTable[Category name],0),0),"")</f>
        <v>Expense</v>
      </c>
      <c r="N604" s="130" t="str" cm="1">
        <f t="array" ref="N604">IFERROR(INDEX(SubcategoriesTable[Subcategory name],MATCH(Table1[[#This Row],[Category]],SubcategoriesTable[Category name],0),0),"")</f>
        <v>Variable</v>
      </c>
      <c r="O604" s="130">
        <v>12</v>
      </c>
      <c r="P604" s="130">
        <f>MONTH(Table1[[#This Row],[Date]])</f>
        <v>9</v>
      </c>
      <c r="Q604" s="130">
        <v>2020</v>
      </c>
      <c r="R604" s="166">
        <f>IF(ISBLANK(Table1[[#This Row],[Date]]),"",Table1[[#This Row],[Date]]-WEEKDAY(Table1[[#This Row],[Date]],2)+1)</f>
        <v>44081</v>
      </c>
      <c r="S604" s="131">
        <f>IF(ISBLANK(Table1[[#This Row],[Date]]),"",DATE(Table1[[#This Row],[Date_Year]],Table1[[#This Row],[Date_Month]],1))</f>
        <v>44075</v>
      </c>
    </row>
    <row r="605" spans="2:19" ht="15.75" x14ac:dyDescent="0.25">
      <c r="B605" s="133">
        <v>44086</v>
      </c>
      <c r="C605" s="128" t="s">
        <v>195</v>
      </c>
      <c r="D605" s="128" t="s">
        <v>48</v>
      </c>
      <c r="E605" s="128" t="str" cm="1">
        <f t="array" ref="E605">IFERROR(INDEX(SubcategoriesTable[Subcategory name],MATCH(Table1[[#This Row],[Category]],SubcategoriesTable[Category name],0),0),"")</f>
        <v>Variable</v>
      </c>
      <c r="F605" s="134">
        <v>-28.74</v>
      </c>
      <c r="G605" s="167" t="str">
        <f>_xlfn.XLOOKUP(Table1[[#This Row],[Account_ID]], Accounts[ID], Accounts[Account nickname], "Unknown")</f>
        <v>Discover it chrome Card</v>
      </c>
      <c r="H605" s="137" t="str">
        <f>_xlfn.XLOOKUP(Table1[[#This Row],[Account_ID]], Accounts[ID], Accounts[Account'#], "Unknown")</f>
        <v>7328</v>
      </c>
      <c r="I605" s="168" t="str">
        <f>_xlfn.XLOOKUP(Table1[[#This Row],[Institution_ID]], Institutions[ID], Institutions[Institution nickname], "Unknown")</f>
        <v>Discover</v>
      </c>
      <c r="J605" s="139" t="s">
        <v>669</v>
      </c>
      <c r="K605" s="129" t="s">
        <v>110</v>
      </c>
      <c r="L605" s="129" t="s">
        <v>108</v>
      </c>
      <c r="M605" s="130" t="str" cm="1">
        <f t="array" ref="M605">IFERROR(INDEX(CategoriesTable[Category type],MATCH(Table1[[#This Row],[Category]],CategoriesTable[Category name],0),0),"")</f>
        <v>Expense</v>
      </c>
      <c r="N605" s="130" t="str" cm="1">
        <f t="array" ref="N605">IFERROR(INDEX(SubcategoriesTable[Subcategory name],MATCH(Table1[[#This Row],[Category]],SubcategoriesTable[Category name],0),0),"")</f>
        <v>Variable</v>
      </c>
      <c r="O605" s="130">
        <v>12</v>
      </c>
      <c r="P605" s="130">
        <f>MONTH(Table1[[#This Row],[Date]])</f>
        <v>9</v>
      </c>
      <c r="Q605" s="130">
        <v>2020</v>
      </c>
      <c r="R605" s="166">
        <f>IF(ISBLANK(Table1[[#This Row],[Date]]),"",Table1[[#This Row],[Date]]-WEEKDAY(Table1[[#This Row],[Date]],2)+1)</f>
        <v>44081</v>
      </c>
      <c r="S605" s="131">
        <f>IF(ISBLANK(Table1[[#This Row],[Date]]),"",DATE(Table1[[#This Row],[Date_Year]],Table1[[#This Row],[Date_Month]],1))</f>
        <v>44075</v>
      </c>
    </row>
    <row r="606" spans="2:19" ht="15.75" x14ac:dyDescent="0.25">
      <c r="B606" s="133">
        <v>44086</v>
      </c>
      <c r="C606" s="128" t="s">
        <v>537</v>
      </c>
      <c r="D606" s="128" t="s">
        <v>56</v>
      </c>
      <c r="E606" s="128" t="str" cm="1">
        <f t="array" ref="E606">IFERROR(INDEX(SubcategoriesTable[Subcategory name],MATCH(Table1[[#This Row],[Category]],SubcategoriesTable[Category name],0),0),"")</f>
        <v>Variable</v>
      </c>
      <c r="F606" s="134">
        <v>-17.350000000000001</v>
      </c>
      <c r="G606" s="167" t="str">
        <f>_xlfn.XLOOKUP(Table1[[#This Row],[Account_ID]], Accounts[ID], Accounts[Account nickname], "Unknown")</f>
        <v>Discover it chrome Card</v>
      </c>
      <c r="H606" s="137" t="str">
        <f>_xlfn.XLOOKUP(Table1[[#This Row],[Account_ID]], Accounts[ID], Accounts[Account'#], "Unknown")</f>
        <v>7328</v>
      </c>
      <c r="I606" s="168" t="str">
        <f>_xlfn.XLOOKUP(Table1[[#This Row],[Institution_ID]], Institutions[ID], Institutions[Institution nickname], "Unknown")</f>
        <v>Discover</v>
      </c>
      <c r="J606" s="139" t="s">
        <v>670</v>
      </c>
      <c r="K606" s="129" t="s">
        <v>110</v>
      </c>
      <c r="L606" s="129" t="s">
        <v>108</v>
      </c>
      <c r="M606" s="130" t="str" cm="1">
        <f t="array" ref="M606">IFERROR(INDEX(CategoriesTable[Category type],MATCH(Table1[[#This Row],[Category]],CategoriesTable[Category name],0),0),"")</f>
        <v>Expense</v>
      </c>
      <c r="N606" s="130" t="str" cm="1">
        <f t="array" ref="N606">IFERROR(INDEX(SubcategoriesTable[Subcategory name],MATCH(Table1[[#This Row],[Category]],SubcategoriesTable[Category name],0),0),"")</f>
        <v>Variable</v>
      </c>
      <c r="O606" s="130">
        <v>12</v>
      </c>
      <c r="P606" s="130">
        <f>MONTH(Table1[[#This Row],[Date]])</f>
        <v>9</v>
      </c>
      <c r="Q606" s="130">
        <v>2020</v>
      </c>
      <c r="R606" s="166">
        <f>IF(ISBLANK(Table1[[#This Row],[Date]]),"",Table1[[#This Row],[Date]]-WEEKDAY(Table1[[#This Row],[Date]],2)+1)</f>
        <v>44081</v>
      </c>
      <c r="S606" s="131">
        <f>IF(ISBLANK(Table1[[#This Row],[Date]]),"",DATE(Table1[[#This Row],[Date_Year]],Table1[[#This Row],[Date_Month]],1))</f>
        <v>44075</v>
      </c>
    </row>
    <row r="607" spans="2:19" ht="15.75" x14ac:dyDescent="0.25">
      <c r="B607" s="133">
        <v>44086</v>
      </c>
      <c r="C607" s="128" t="s">
        <v>671</v>
      </c>
      <c r="D607" s="128" t="s">
        <v>46</v>
      </c>
      <c r="E607" s="128" t="str" cm="1">
        <f t="array" ref="E607">IFERROR(INDEX(SubcategoriesTable[Subcategory name],MATCH(Table1[[#This Row],[Category]],SubcategoriesTable[Category name],0),0),"")</f>
        <v>Variable</v>
      </c>
      <c r="F607" s="134">
        <v>-33.409999999999997</v>
      </c>
      <c r="G607" s="167" t="str">
        <f>_xlfn.XLOOKUP(Table1[[#This Row],[Account_ID]], Accounts[ID], Accounts[Account nickname], "Unknown")</f>
        <v>Discover it chrome Card</v>
      </c>
      <c r="H607" s="137" t="str">
        <f>_xlfn.XLOOKUP(Table1[[#This Row],[Account_ID]], Accounts[ID], Accounts[Account'#], "Unknown")</f>
        <v>7328</v>
      </c>
      <c r="I607" s="168" t="str">
        <f>_xlfn.XLOOKUP(Table1[[#This Row],[Institution_ID]], Institutions[ID], Institutions[Institution nickname], "Unknown")</f>
        <v>Discover</v>
      </c>
      <c r="J607" s="139" t="s">
        <v>672</v>
      </c>
      <c r="K607" s="129" t="s">
        <v>110</v>
      </c>
      <c r="L607" s="129" t="s">
        <v>108</v>
      </c>
      <c r="M607" s="130" t="str" cm="1">
        <f t="array" ref="M607">IFERROR(INDEX(CategoriesTable[Category type],MATCH(Table1[[#This Row],[Category]],CategoriesTable[Category name],0),0),"")</f>
        <v>Expense</v>
      </c>
      <c r="N607" s="130" t="str" cm="1">
        <f t="array" ref="N607">IFERROR(INDEX(SubcategoriesTable[Subcategory name],MATCH(Table1[[#This Row],[Category]],SubcategoriesTable[Category name],0),0),"")</f>
        <v>Variable</v>
      </c>
      <c r="O607" s="130">
        <v>12</v>
      </c>
      <c r="P607" s="130">
        <f>MONTH(Table1[[#This Row],[Date]])</f>
        <v>9</v>
      </c>
      <c r="Q607" s="130">
        <v>2020</v>
      </c>
      <c r="R607" s="166">
        <f>IF(ISBLANK(Table1[[#This Row],[Date]]),"",Table1[[#This Row],[Date]]-WEEKDAY(Table1[[#This Row],[Date]],2)+1)</f>
        <v>44081</v>
      </c>
      <c r="S607" s="131">
        <f>IF(ISBLANK(Table1[[#This Row],[Date]]),"",DATE(Table1[[#This Row],[Date_Year]],Table1[[#This Row],[Date_Month]],1))</f>
        <v>44075</v>
      </c>
    </row>
    <row r="608" spans="2:19" ht="15.75" x14ac:dyDescent="0.25">
      <c r="B608" s="133">
        <v>44085</v>
      </c>
      <c r="C608" s="128" t="s">
        <v>1180</v>
      </c>
      <c r="D608" s="128" t="s">
        <v>50</v>
      </c>
      <c r="E608" s="128" t="str" cm="1">
        <f t="array" ref="E608">IFERROR(INDEX(SubcategoriesTable[Subcategory name],MATCH(Table1[[#This Row],[Category]],SubcategoriesTable[Category name],0),0),"")</f>
        <v>Variable</v>
      </c>
      <c r="F608" s="134">
        <v>-1437.1</v>
      </c>
      <c r="G608" s="167" t="str">
        <f>_xlfn.XLOOKUP(Table1[[#This Row],[Account_ID]], Accounts[ID], Accounts[Account nickname], "Unknown")</f>
        <v>EVERYDAY CHECKING</v>
      </c>
      <c r="H608" s="137" t="str">
        <f>_xlfn.XLOOKUP(Table1[[#This Row],[Account_ID]], Accounts[ID], Accounts[Account'#], "Unknown")</f>
        <v>4636</v>
      </c>
      <c r="I608" s="168" t="str">
        <f>_xlfn.XLOOKUP(Table1[[#This Row],[Institution_ID]], Institutions[ID], Institutions[Institution nickname], "Unknown")</f>
        <v>Wells Fargo</v>
      </c>
      <c r="J608" s="139" t="s">
        <v>1523</v>
      </c>
      <c r="K608" s="129" t="s">
        <v>1229</v>
      </c>
      <c r="L608" s="129" t="s">
        <v>1228</v>
      </c>
      <c r="M608" s="130" t="str" cm="1">
        <f t="array" ref="M608">IFERROR(INDEX(CategoriesTable[Category type],MATCH(Table1[[#This Row],[Category]],CategoriesTable[Category name],0),0),"")</f>
        <v>Transfer</v>
      </c>
      <c r="N608" s="130" t="str" cm="1">
        <f t="array" ref="N608">IFERROR(INDEX(SubcategoriesTable[Subcategory name],MATCH(Table1[[#This Row],[Category]],SubcategoriesTable[Category name],0),0),"")</f>
        <v>Variable</v>
      </c>
      <c r="O608" s="130">
        <v>11</v>
      </c>
      <c r="P608" s="130">
        <f>MONTH(Table1[[#This Row],[Date]])</f>
        <v>9</v>
      </c>
      <c r="Q608" s="130">
        <v>2020</v>
      </c>
      <c r="R608" s="166">
        <f>IF(ISBLANK(Table1[[#This Row],[Date]]),"",Table1[[#This Row],[Date]]-WEEKDAY(Table1[[#This Row],[Date]],2)+1)</f>
        <v>44081</v>
      </c>
      <c r="S608" s="131">
        <f>IF(ISBLANK(Table1[[#This Row],[Date]]),"",DATE(Table1[[#This Row],[Date_Year]],Table1[[#This Row],[Date_Month]],1))</f>
        <v>44075</v>
      </c>
    </row>
    <row r="609" spans="2:19" ht="15.75" x14ac:dyDescent="0.25">
      <c r="B609" s="133">
        <v>44085</v>
      </c>
      <c r="C609" s="128" t="s">
        <v>1181</v>
      </c>
      <c r="D609" s="128" t="s">
        <v>59</v>
      </c>
      <c r="E609" s="128" t="str" cm="1">
        <f t="array" ref="E609">IFERROR(INDEX(SubcategoriesTable[Subcategory name],MATCH(Table1[[#This Row],[Category]],SubcategoriesTable[Category name],0),0),"")</f>
        <v>Fixed</v>
      </c>
      <c r="F609" s="134">
        <v>1450.14</v>
      </c>
      <c r="G609" s="167" t="str">
        <f>_xlfn.XLOOKUP(Table1[[#This Row],[Account_ID]], Accounts[ID], Accounts[Account nickname], "Unknown")</f>
        <v>EVERYDAY CHECKING</v>
      </c>
      <c r="H609" s="137" t="str">
        <f>_xlfn.XLOOKUP(Table1[[#This Row],[Account_ID]], Accounts[ID], Accounts[Account'#], "Unknown")</f>
        <v>4636</v>
      </c>
      <c r="I609" s="168" t="str">
        <f>_xlfn.XLOOKUP(Table1[[#This Row],[Institution_ID]], Institutions[ID], Institutions[Institution nickname], "Unknown")</f>
        <v>Wells Fargo</v>
      </c>
      <c r="J609" s="139" t="s">
        <v>1524</v>
      </c>
      <c r="K609" s="129" t="s">
        <v>1229</v>
      </c>
      <c r="L609" s="129" t="s">
        <v>1228</v>
      </c>
      <c r="M609" s="130" t="str" cm="1">
        <f t="array" ref="M609">IFERROR(INDEX(CategoriesTable[Category type],MATCH(Table1[[#This Row],[Category]],CategoriesTable[Category name],0),0),"")</f>
        <v>Income</v>
      </c>
      <c r="N609" s="130" t="str" cm="1">
        <f t="array" ref="N609">IFERROR(INDEX(SubcategoriesTable[Subcategory name],MATCH(Table1[[#This Row],[Category]],SubcategoriesTable[Category name],0),0),"")</f>
        <v>Fixed</v>
      </c>
      <c r="O609" s="130">
        <v>11</v>
      </c>
      <c r="P609" s="130">
        <f>MONTH(Table1[[#This Row],[Date]])</f>
        <v>9</v>
      </c>
      <c r="Q609" s="130">
        <v>2020</v>
      </c>
      <c r="R609" s="166">
        <f>IF(ISBLANK(Table1[[#This Row],[Date]]),"",Table1[[#This Row],[Date]]-WEEKDAY(Table1[[#This Row],[Date]],2)+1)</f>
        <v>44081</v>
      </c>
      <c r="S609" s="131">
        <f>IF(ISBLANK(Table1[[#This Row],[Date]]),"",DATE(Table1[[#This Row],[Date_Year]],Table1[[#This Row],[Date_Month]],1))</f>
        <v>44075</v>
      </c>
    </row>
    <row r="610" spans="2:19" ht="15.75" x14ac:dyDescent="0.25">
      <c r="B610" s="133">
        <v>44085</v>
      </c>
      <c r="C610" s="128" t="s">
        <v>610</v>
      </c>
      <c r="D610" s="128" t="s">
        <v>45</v>
      </c>
      <c r="E610" s="128" t="str" cm="1">
        <f t="array" ref="E610">IFERROR(INDEX(SubcategoriesTable[Subcategory name],MATCH(Table1[[#This Row],[Category]],SubcategoriesTable[Category name],0),0),"")</f>
        <v>Variable</v>
      </c>
      <c r="F610" s="134">
        <v>-10</v>
      </c>
      <c r="G610" s="167" t="str">
        <f>_xlfn.XLOOKUP(Table1[[#This Row],[Account_ID]], Accounts[ID], Accounts[Account nickname], "Unknown")</f>
        <v>Discover it chrome Card</v>
      </c>
      <c r="H610" s="137" t="str">
        <f>_xlfn.XLOOKUP(Table1[[#This Row],[Account_ID]], Accounts[ID], Accounts[Account'#], "Unknown")</f>
        <v>7328</v>
      </c>
      <c r="I610" s="168" t="str">
        <f>_xlfn.XLOOKUP(Table1[[#This Row],[Institution_ID]], Institutions[ID], Institutions[Institution nickname], "Unknown")</f>
        <v>Discover</v>
      </c>
      <c r="J610" s="139" t="s">
        <v>673</v>
      </c>
      <c r="K610" s="129" t="s">
        <v>110</v>
      </c>
      <c r="L610" s="129" t="s">
        <v>108</v>
      </c>
      <c r="M610" s="130" t="str" cm="1">
        <f t="array" ref="M610">IFERROR(INDEX(CategoriesTable[Category type],MATCH(Table1[[#This Row],[Category]],CategoriesTable[Category name],0),0),"")</f>
        <v>Expense</v>
      </c>
      <c r="N610" s="130" t="str" cm="1">
        <f t="array" ref="N610">IFERROR(INDEX(SubcategoriesTable[Subcategory name],MATCH(Table1[[#This Row],[Category]],SubcategoriesTable[Category name],0),0),"")</f>
        <v>Variable</v>
      </c>
      <c r="O610" s="130">
        <v>11</v>
      </c>
      <c r="P610" s="130">
        <f>MONTH(Table1[[#This Row],[Date]])</f>
        <v>9</v>
      </c>
      <c r="Q610" s="130">
        <v>2020</v>
      </c>
      <c r="R610" s="166">
        <f>IF(ISBLANK(Table1[[#This Row],[Date]]),"",Table1[[#This Row],[Date]]-WEEKDAY(Table1[[#This Row],[Date]],2)+1)</f>
        <v>44081</v>
      </c>
      <c r="S610" s="131">
        <f>IF(ISBLANK(Table1[[#This Row],[Date]]),"",DATE(Table1[[#This Row],[Date_Year]],Table1[[#This Row],[Date_Month]],1))</f>
        <v>44075</v>
      </c>
    </row>
    <row r="611" spans="2:19" ht="15.75" x14ac:dyDescent="0.25">
      <c r="B611" s="133">
        <v>44085</v>
      </c>
      <c r="C611" s="128" t="s">
        <v>206</v>
      </c>
      <c r="D611" s="128" t="s">
        <v>57</v>
      </c>
      <c r="E611" s="128" t="str" cm="1">
        <f t="array" ref="E611">IFERROR(INDEX(SubcategoriesTable[Subcategory name],MATCH(Table1[[#This Row],[Category]],SubcategoriesTable[Category name],0),0),"")</f>
        <v>Variable</v>
      </c>
      <c r="F611" s="134">
        <v>32.44</v>
      </c>
      <c r="G611" s="167" t="str">
        <f>_xlfn.XLOOKUP(Table1[[#This Row],[Account_ID]], Accounts[ID], Accounts[Account nickname], "Unknown")</f>
        <v>Discover it chrome Card</v>
      </c>
      <c r="H611" s="137" t="str">
        <f>_xlfn.XLOOKUP(Table1[[#This Row],[Account_ID]], Accounts[ID], Accounts[Account'#], "Unknown")</f>
        <v>7328</v>
      </c>
      <c r="I611" s="168" t="str">
        <f>_xlfn.XLOOKUP(Table1[[#This Row],[Institution_ID]], Institutions[ID], Institutions[Institution nickname], "Unknown")</f>
        <v>Discover</v>
      </c>
      <c r="J611" s="139" t="s">
        <v>674</v>
      </c>
      <c r="K611" s="129" t="s">
        <v>110</v>
      </c>
      <c r="L611" s="129" t="s">
        <v>108</v>
      </c>
      <c r="M611" s="130" t="str" cm="1">
        <f t="array" ref="M611">IFERROR(INDEX(CategoriesTable[Category type],MATCH(Table1[[#This Row],[Category]],CategoriesTable[Category name],0),0),"")</f>
        <v>Transfer</v>
      </c>
      <c r="N611" s="130" t="str" cm="1">
        <f t="array" ref="N611">IFERROR(INDEX(SubcategoriesTable[Subcategory name],MATCH(Table1[[#This Row],[Category]],SubcategoriesTable[Category name],0),0),"")</f>
        <v>Variable</v>
      </c>
      <c r="O611" s="130">
        <v>11</v>
      </c>
      <c r="P611" s="130">
        <f>MONTH(Table1[[#This Row],[Date]])</f>
        <v>9</v>
      </c>
      <c r="Q611" s="130">
        <v>2020</v>
      </c>
      <c r="R611" s="166">
        <f>IF(ISBLANK(Table1[[#This Row],[Date]]),"",Table1[[#This Row],[Date]]-WEEKDAY(Table1[[#This Row],[Date]],2)+1)</f>
        <v>44081</v>
      </c>
      <c r="S611" s="131">
        <f>IF(ISBLANK(Table1[[#This Row],[Date]]),"",DATE(Table1[[#This Row],[Date_Year]],Table1[[#This Row],[Date_Month]],1))</f>
        <v>44075</v>
      </c>
    </row>
    <row r="612" spans="2:19" ht="15.75" x14ac:dyDescent="0.25">
      <c r="B612" s="133">
        <v>44085</v>
      </c>
      <c r="C612" s="128" t="s">
        <v>113</v>
      </c>
      <c r="D612" s="128" t="s">
        <v>50</v>
      </c>
      <c r="E612" s="128" t="str" cm="1">
        <f t="array" ref="E612">IFERROR(INDEX(SubcategoriesTable[Subcategory name],MATCH(Table1[[#This Row],[Category]],SubcategoriesTable[Category name],0),0),"")</f>
        <v>Variable</v>
      </c>
      <c r="F612" s="134">
        <v>1437.1</v>
      </c>
      <c r="G612" s="167" t="str">
        <f>_xlfn.XLOOKUP(Table1[[#This Row],[Account_ID]], Accounts[ID], Accounts[Account nickname], "Unknown")</f>
        <v>Discover it chrome Card</v>
      </c>
      <c r="H612" s="137" t="str">
        <f>_xlfn.XLOOKUP(Table1[[#This Row],[Account_ID]], Accounts[ID], Accounts[Account'#], "Unknown")</f>
        <v>7328</v>
      </c>
      <c r="I612" s="168" t="str">
        <f>_xlfn.XLOOKUP(Table1[[#This Row],[Institution_ID]], Institutions[ID], Institutions[Institution nickname], "Unknown")</f>
        <v>Discover</v>
      </c>
      <c r="J612" s="139" t="s">
        <v>675</v>
      </c>
      <c r="K612" s="129" t="s">
        <v>110</v>
      </c>
      <c r="L612" s="129" t="s">
        <v>108</v>
      </c>
      <c r="M612" s="130" t="str" cm="1">
        <f t="array" ref="M612">IFERROR(INDEX(CategoriesTable[Category type],MATCH(Table1[[#This Row],[Category]],CategoriesTable[Category name],0),0),"")</f>
        <v>Transfer</v>
      </c>
      <c r="N612" s="130" t="str" cm="1">
        <f t="array" ref="N612">IFERROR(INDEX(SubcategoriesTable[Subcategory name],MATCH(Table1[[#This Row],[Category]],SubcategoriesTable[Category name],0),0),"")</f>
        <v>Variable</v>
      </c>
      <c r="O612" s="130">
        <v>11</v>
      </c>
      <c r="P612" s="130">
        <f>MONTH(Table1[[#This Row],[Date]])</f>
        <v>9</v>
      </c>
      <c r="Q612" s="130">
        <v>2020</v>
      </c>
      <c r="R612" s="166">
        <f>IF(ISBLANK(Table1[[#This Row],[Date]]),"",Table1[[#This Row],[Date]]-WEEKDAY(Table1[[#This Row],[Date]],2)+1)</f>
        <v>44081</v>
      </c>
      <c r="S612" s="131">
        <f>IF(ISBLANK(Table1[[#This Row],[Date]]),"",DATE(Table1[[#This Row],[Date_Year]],Table1[[#This Row],[Date_Month]],1))</f>
        <v>44075</v>
      </c>
    </row>
    <row r="613" spans="2:19" ht="15.75" x14ac:dyDescent="0.25">
      <c r="B613" s="133">
        <v>44085</v>
      </c>
      <c r="C613" s="128" t="s">
        <v>633</v>
      </c>
      <c r="D613" s="128" t="s">
        <v>45</v>
      </c>
      <c r="E613" s="128" t="str" cm="1">
        <f t="array" ref="E613">IFERROR(INDEX(SubcategoriesTable[Subcategory name],MATCH(Table1[[#This Row],[Category]],SubcategoriesTable[Category name],0),0),"")</f>
        <v>Variable</v>
      </c>
      <c r="F613" s="134">
        <v>-14.99</v>
      </c>
      <c r="G613" s="167" t="str">
        <f>_xlfn.XLOOKUP(Table1[[#This Row],[Account_ID]], Accounts[ID], Accounts[Account nickname], "Unknown")</f>
        <v>Discover it chrome Card</v>
      </c>
      <c r="H613" s="137" t="str">
        <f>_xlfn.XLOOKUP(Table1[[#This Row],[Account_ID]], Accounts[ID], Accounts[Account'#], "Unknown")</f>
        <v>7328</v>
      </c>
      <c r="I613" s="168" t="str">
        <f>_xlfn.XLOOKUP(Table1[[#This Row],[Institution_ID]], Institutions[ID], Institutions[Institution nickname], "Unknown")</f>
        <v>Discover</v>
      </c>
      <c r="J613" s="139" t="s">
        <v>676</v>
      </c>
      <c r="K613" s="129" t="s">
        <v>110</v>
      </c>
      <c r="L613" s="129" t="s">
        <v>108</v>
      </c>
      <c r="M613" s="130" t="str" cm="1">
        <f t="array" ref="M613">IFERROR(INDEX(CategoriesTable[Category type],MATCH(Table1[[#This Row],[Category]],CategoriesTable[Category name],0),0),"")</f>
        <v>Expense</v>
      </c>
      <c r="N613" s="130" t="str" cm="1">
        <f t="array" ref="N613">IFERROR(INDEX(SubcategoriesTable[Subcategory name],MATCH(Table1[[#This Row],[Category]],SubcategoriesTable[Category name],0),0),"")</f>
        <v>Variable</v>
      </c>
      <c r="O613" s="130">
        <v>11</v>
      </c>
      <c r="P613" s="130">
        <f>MONTH(Table1[[#This Row],[Date]])</f>
        <v>9</v>
      </c>
      <c r="Q613" s="130">
        <v>2020</v>
      </c>
      <c r="R613" s="166">
        <f>IF(ISBLANK(Table1[[#This Row],[Date]]),"",Table1[[#This Row],[Date]]-WEEKDAY(Table1[[#This Row],[Date]],2)+1)</f>
        <v>44081</v>
      </c>
      <c r="S613" s="131">
        <f>IF(ISBLANK(Table1[[#This Row],[Date]]),"",DATE(Table1[[#This Row],[Date_Year]],Table1[[#This Row],[Date_Month]],1))</f>
        <v>44075</v>
      </c>
    </row>
    <row r="614" spans="2:19" ht="15.75" x14ac:dyDescent="0.25">
      <c r="B614" s="133">
        <v>44085</v>
      </c>
      <c r="C614" s="128" t="s">
        <v>146</v>
      </c>
      <c r="D614" s="128" t="s">
        <v>54</v>
      </c>
      <c r="E614" s="128" t="str" cm="1">
        <f t="array" ref="E614">IFERROR(INDEX(SubcategoriesTable[Subcategory name],MATCH(Table1[[#This Row],[Category]],SubcategoriesTable[Category name],0),0),"")</f>
        <v>Fixed</v>
      </c>
      <c r="F614" s="134">
        <v>-110.21</v>
      </c>
      <c r="G614" s="167" t="str">
        <f>_xlfn.XLOOKUP(Table1[[#This Row],[Account_ID]], Accounts[ID], Accounts[Account nickname], "Unknown")</f>
        <v>Discover it chrome Card</v>
      </c>
      <c r="H614" s="137" t="str">
        <f>_xlfn.XLOOKUP(Table1[[#This Row],[Account_ID]], Accounts[ID], Accounts[Account'#], "Unknown")</f>
        <v>7328</v>
      </c>
      <c r="I614" s="168" t="str">
        <f>_xlfn.XLOOKUP(Table1[[#This Row],[Institution_ID]], Institutions[ID], Institutions[Institution nickname], "Unknown")</f>
        <v>Discover</v>
      </c>
      <c r="J614" s="139" t="s">
        <v>677</v>
      </c>
      <c r="K614" s="129" t="s">
        <v>110</v>
      </c>
      <c r="L614" s="129" t="s">
        <v>108</v>
      </c>
      <c r="M614" s="130" t="str" cm="1">
        <f t="array" ref="M614">IFERROR(INDEX(CategoriesTable[Category type],MATCH(Table1[[#This Row],[Category]],CategoriesTable[Category name],0),0),"")</f>
        <v>Expense</v>
      </c>
      <c r="N614" s="130" t="str" cm="1">
        <f t="array" ref="N614">IFERROR(INDEX(SubcategoriesTable[Subcategory name],MATCH(Table1[[#This Row],[Category]],SubcategoriesTable[Category name],0),0),"")</f>
        <v>Fixed</v>
      </c>
      <c r="O614" s="130">
        <v>11</v>
      </c>
      <c r="P614" s="130">
        <f>MONTH(Table1[[#This Row],[Date]])</f>
        <v>9</v>
      </c>
      <c r="Q614" s="130">
        <v>2020</v>
      </c>
      <c r="R614" s="166">
        <f>IF(ISBLANK(Table1[[#This Row],[Date]]),"",Table1[[#This Row],[Date]]-WEEKDAY(Table1[[#This Row],[Date]],2)+1)</f>
        <v>44081</v>
      </c>
      <c r="S614" s="131">
        <f>IF(ISBLANK(Table1[[#This Row],[Date]]),"",DATE(Table1[[#This Row],[Date_Year]],Table1[[#This Row],[Date_Month]],1))</f>
        <v>44075</v>
      </c>
    </row>
    <row r="615" spans="2:19" ht="15.75" x14ac:dyDescent="0.25">
      <c r="B615" s="133">
        <v>44085</v>
      </c>
      <c r="C615" s="128" t="s">
        <v>678</v>
      </c>
      <c r="D615" s="128" t="s">
        <v>58</v>
      </c>
      <c r="E615" s="128" t="str" cm="1">
        <f t="array" ref="E615">IFERROR(INDEX(SubcategoriesTable[Subcategory name],MATCH(Table1[[#This Row],[Category]],SubcategoriesTable[Category name],0),0),"")</f>
        <v>Fixed</v>
      </c>
      <c r="F615" s="134">
        <v>-34.99</v>
      </c>
      <c r="G615" s="167" t="str">
        <f>_xlfn.XLOOKUP(Table1[[#This Row],[Account_ID]], Accounts[ID], Accounts[Account nickname], "Unknown")</f>
        <v>Discover it chrome Card</v>
      </c>
      <c r="H615" s="137" t="str">
        <f>_xlfn.XLOOKUP(Table1[[#This Row],[Account_ID]], Accounts[ID], Accounts[Account'#], "Unknown")</f>
        <v>7328</v>
      </c>
      <c r="I615" s="168" t="str">
        <f>_xlfn.XLOOKUP(Table1[[#This Row],[Institution_ID]], Institutions[ID], Institutions[Institution nickname], "Unknown")</f>
        <v>Discover</v>
      </c>
      <c r="J615" s="139" t="s">
        <v>679</v>
      </c>
      <c r="K615" s="129" t="s">
        <v>110</v>
      </c>
      <c r="L615" s="129" t="s">
        <v>108</v>
      </c>
      <c r="M615" s="130" t="str" cm="1">
        <f t="array" ref="M615">IFERROR(INDEX(CategoriesTable[Category type],MATCH(Table1[[#This Row],[Category]],CategoriesTable[Category name],0),0),"")</f>
        <v>Expense</v>
      </c>
      <c r="N615" s="130" t="str" cm="1">
        <f t="array" ref="N615">IFERROR(INDEX(SubcategoriesTable[Subcategory name],MATCH(Table1[[#This Row],[Category]],SubcategoriesTable[Category name],0),0),"")</f>
        <v>Fixed</v>
      </c>
      <c r="O615" s="130">
        <v>11</v>
      </c>
      <c r="P615" s="130">
        <f>MONTH(Table1[[#This Row],[Date]])</f>
        <v>9</v>
      </c>
      <c r="Q615" s="130">
        <v>2020</v>
      </c>
      <c r="R615" s="166">
        <f>IF(ISBLANK(Table1[[#This Row],[Date]]),"",Table1[[#This Row],[Date]]-WEEKDAY(Table1[[#This Row],[Date]],2)+1)</f>
        <v>44081</v>
      </c>
      <c r="S615" s="131">
        <f>IF(ISBLANK(Table1[[#This Row],[Date]]),"",DATE(Table1[[#This Row],[Date_Year]],Table1[[#This Row],[Date_Month]],1))</f>
        <v>44075</v>
      </c>
    </row>
    <row r="616" spans="2:19" ht="15.75" x14ac:dyDescent="0.25">
      <c r="B616" s="133">
        <v>44084</v>
      </c>
      <c r="C616" s="128" t="s">
        <v>163</v>
      </c>
      <c r="D616" s="128" t="s">
        <v>54</v>
      </c>
      <c r="E616" s="128" t="str" cm="1">
        <f t="array" ref="E616">IFERROR(INDEX(SubcategoriesTable[Subcategory name],MATCH(Table1[[#This Row],[Category]],SubcategoriesTable[Category name],0),0),"")</f>
        <v>Fixed</v>
      </c>
      <c r="F616" s="134">
        <v>-14.99</v>
      </c>
      <c r="G616" s="167" t="str">
        <f>_xlfn.XLOOKUP(Table1[[#This Row],[Account_ID]], Accounts[ID], Accounts[Account nickname], "Unknown")</f>
        <v>Discover it chrome Card</v>
      </c>
      <c r="H616" s="137" t="str">
        <f>_xlfn.XLOOKUP(Table1[[#This Row],[Account_ID]], Accounts[ID], Accounts[Account'#], "Unknown")</f>
        <v>7328</v>
      </c>
      <c r="I616" s="168" t="str">
        <f>_xlfn.XLOOKUP(Table1[[#This Row],[Institution_ID]], Institutions[ID], Institutions[Institution nickname], "Unknown")</f>
        <v>Discover</v>
      </c>
      <c r="J616" s="139" t="s">
        <v>680</v>
      </c>
      <c r="K616" s="129" t="s">
        <v>110</v>
      </c>
      <c r="L616" s="129" t="s">
        <v>108</v>
      </c>
      <c r="M616" s="130" t="str" cm="1">
        <f t="array" ref="M616">IFERROR(INDEX(CategoriesTable[Category type],MATCH(Table1[[#This Row],[Category]],CategoriesTable[Category name],0),0),"")</f>
        <v>Expense</v>
      </c>
      <c r="N616" s="130" t="str" cm="1">
        <f t="array" ref="N616">IFERROR(INDEX(SubcategoriesTable[Subcategory name],MATCH(Table1[[#This Row],[Category]],SubcategoriesTable[Category name],0),0),"")</f>
        <v>Fixed</v>
      </c>
      <c r="O616" s="130">
        <v>10</v>
      </c>
      <c r="P616" s="130">
        <f>MONTH(Table1[[#This Row],[Date]])</f>
        <v>9</v>
      </c>
      <c r="Q616" s="130">
        <v>2020</v>
      </c>
      <c r="R616" s="166">
        <f>IF(ISBLANK(Table1[[#This Row],[Date]]),"",Table1[[#This Row],[Date]]-WEEKDAY(Table1[[#This Row],[Date]],2)+1)</f>
        <v>44081</v>
      </c>
      <c r="S616" s="131">
        <f>IF(ISBLANK(Table1[[#This Row],[Date]]),"",DATE(Table1[[#This Row],[Date_Year]],Table1[[#This Row],[Date_Month]],1))</f>
        <v>44075</v>
      </c>
    </row>
    <row r="617" spans="2:19" ht="15.75" x14ac:dyDescent="0.25">
      <c r="B617" s="133">
        <v>44084</v>
      </c>
      <c r="C617" s="128" t="s">
        <v>380</v>
      </c>
      <c r="D617" s="128" t="s">
        <v>46</v>
      </c>
      <c r="E617" s="128" t="str" cm="1">
        <f t="array" ref="E617">IFERROR(INDEX(SubcategoriesTable[Subcategory name],MATCH(Table1[[#This Row],[Category]],SubcategoriesTable[Category name],0),0),"")</f>
        <v>Variable</v>
      </c>
      <c r="F617" s="134">
        <v>-12.98</v>
      </c>
      <c r="G617" s="167" t="str">
        <f>_xlfn.XLOOKUP(Table1[[#This Row],[Account_ID]], Accounts[ID], Accounts[Account nickname], "Unknown")</f>
        <v>Discover it chrome Card</v>
      </c>
      <c r="H617" s="137" t="str">
        <f>_xlfn.XLOOKUP(Table1[[#This Row],[Account_ID]], Accounts[ID], Accounts[Account'#], "Unknown")</f>
        <v>7328</v>
      </c>
      <c r="I617" s="168" t="str">
        <f>_xlfn.XLOOKUP(Table1[[#This Row],[Institution_ID]], Institutions[ID], Institutions[Institution nickname], "Unknown")</f>
        <v>Discover</v>
      </c>
      <c r="J617" s="139" t="s">
        <v>681</v>
      </c>
      <c r="K617" s="129" t="s">
        <v>110</v>
      </c>
      <c r="L617" s="129" t="s">
        <v>108</v>
      </c>
      <c r="M617" s="130" t="str" cm="1">
        <f t="array" ref="M617">IFERROR(INDEX(CategoriesTable[Category type],MATCH(Table1[[#This Row],[Category]],CategoriesTable[Category name],0),0),"")</f>
        <v>Expense</v>
      </c>
      <c r="N617" s="130" t="str" cm="1">
        <f t="array" ref="N617">IFERROR(INDEX(SubcategoriesTable[Subcategory name],MATCH(Table1[[#This Row],[Category]],SubcategoriesTable[Category name],0),0),"")</f>
        <v>Variable</v>
      </c>
      <c r="O617" s="130">
        <v>10</v>
      </c>
      <c r="P617" s="130">
        <f>MONTH(Table1[[#This Row],[Date]])</f>
        <v>9</v>
      </c>
      <c r="Q617" s="130">
        <v>2020</v>
      </c>
      <c r="R617" s="166">
        <f>IF(ISBLANK(Table1[[#This Row],[Date]]),"",Table1[[#This Row],[Date]]-WEEKDAY(Table1[[#This Row],[Date]],2)+1)</f>
        <v>44081</v>
      </c>
      <c r="S617" s="131">
        <f>IF(ISBLANK(Table1[[#This Row],[Date]]),"",DATE(Table1[[#This Row],[Date_Year]],Table1[[#This Row],[Date_Month]],1))</f>
        <v>44075</v>
      </c>
    </row>
    <row r="618" spans="2:19" ht="15.75" x14ac:dyDescent="0.25">
      <c r="B618" s="133">
        <v>44083</v>
      </c>
      <c r="C618" s="128" t="s">
        <v>115</v>
      </c>
      <c r="D618" s="128" t="s">
        <v>48</v>
      </c>
      <c r="E618" s="128" t="str" cm="1">
        <f t="array" ref="E618">IFERROR(INDEX(SubcategoriesTable[Subcategory name],MATCH(Table1[[#This Row],[Category]],SubcategoriesTable[Category name],0),0),"")</f>
        <v>Variable</v>
      </c>
      <c r="F618" s="134">
        <v>-3.03</v>
      </c>
      <c r="G618" s="167" t="str">
        <f>_xlfn.XLOOKUP(Table1[[#This Row],[Account_ID]], Accounts[ID], Accounts[Account nickname], "Unknown")</f>
        <v>Discover it chrome Card</v>
      </c>
      <c r="H618" s="137" t="str">
        <f>_xlfn.XLOOKUP(Table1[[#This Row],[Account_ID]], Accounts[ID], Accounts[Account'#], "Unknown")</f>
        <v>7328</v>
      </c>
      <c r="I618" s="168" t="str">
        <f>_xlfn.XLOOKUP(Table1[[#This Row],[Institution_ID]], Institutions[ID], Institutions[Institution nickname], "Unknown")</f>
        <v>Discover</v>
      </c>
      <c r="J618" s="139" t="s">
        <v>682</v>
      </c>
      <c r="K618" s="129" t="s">
        <v>110</v>
      </c>
      <c r="L618" s="129" t="s">
        <v>108</v>
      </c>
      <c r="M618" s="130" t="str" cm="1">
        <f t="array" ref="M618">IFERROR(INDEX(CategoriesTable[Category type],MATCH(Table1[[#This Row],[Category]],CategoriesTable[Category name],0),0),"")</f>
        <v>Expense</v>
      </c>
      <c r="N618" s="130" t="str" cm="1">
        <f t="array" ref="N618">IFERROR(INDEX(SubcategoriesTable[Subcategory name],MATCH(Table1[[#This Row],[Category]],SubcategoriesTable[Category name],0),0),"")</f>
        <v>Variable</v>
      </c>
      <c r="O618" s="130">
        <v>9</v>
      </c>
      <c r="P618" s="130">
        <f>MONTH(Table1[[#This Row],[Date]])</f>
        <v>9</v>
      </c>
      <c r="Q618" s="130">
        <v>2020</v>
      </c>
      <c r="R618" s="166">
        <f>IF(ISBLANK(Table1[[#This Row],[Date]]),"",Table1[[#This Row],[Date]]-WEEKDAY(Table1[[#This Row],[Date]],2)+1)</f>
        <v>44081</v>
      </c>
      <c r="S618" s="131">
        <f>IF(ISBLANK(Table1[[#This Row],[Date]]),"",DATE(Table1[[#This Row],[Date_Year]],Table1[[#This Row],[Date_Month]],1))</f>
        <v>44075</v>
      </c>
    </row>
    <row r="619" spans="2:19" ht="15.75" x14ac:dyDescent="0.25">
      <c r="B619" s="133">
        <v>44082</v>
      </c>
      <c r="C619" s="128" t="s">
        <v>1185</v>
      </c>
      <c r="D619" s="128" t="s">
        <v>57</v>
      </c>
      <c r="E619" s="128" t="str" cm="1">
        <f t="array" ref="E619">IFERROR(INDEX(SubcategoriesTable[Subcategory name],MATCH(Table1[[#This Row],[Category]],SubcategoriesTable[Category name],0),0),"")</f>
        <v>Variable</v>
      </c>
      <c r="F619" s="134">
        <v>160</v>
      </c>
      <c r="G619" s="167" t="str">
        <f>_xlfn.XLOOKUP(Table1[[#This Row],[Account_ID]], Accounts[ID], Accounts[Account nickname], "Unknown")</f>
        <v>EVERYDAY CHECKING</v>
      </c>
      <c r="H619" s="137" t="str">
        <f>_xlfn.XLOOKUP(Table1[[#This Row],[Account_ID]], Accounts[ID], Accounts[Account'#], "Unknown")</f>
        <v>4636</v>
      </c>
      <c r="I619" s="168" t="str">
        <f>_xlfn.XLOOKUP(Table1[[#This Row],[Institution_ID]], Institutions[ID], Institutions[Institution nickname], "Unknown")</f>
        <v>Wells Fargo</v>
      </c>
      <c r="J619" s="139" t="s">
        <v>1525</v>
      </c>
      <c r="K619" s="129" t="s">
        <v>1229</v>
      </c>
      <c r="L619" s="129" t="s">
        <v>1228</v>
      </c>
      <c r="M619" s="130" t="str" cm="1">
        <f t="array" ref="M619">IFERROR(INDEX(CategoriesTable[Category type],MATCH(Table1[[#This Row],[Category]],CategoriesTable[Category name],0),0),"")</f>
        <v>Transfer</v>
      </c>
      <c r="N619" s="130" t="str" cm="1">
        <f t="array" ref="N619">IFERROR(INDEX(SubcategoriesTable[Subcategory name],MATCH(Table1[[#This Row],[Category]],SubcategoriesTable[Category name],0),0),"")</f>
        <v>Variable</v>
      </c>
      <c r="O619" s="130">
        <v>8</v>
      </c>
      <c r="P619" s="130">
        <f>MONTH(Table1[[#This Row],[Date]])</f>
        <v>9</v>
      </c>
      <c r="Q619" s="130">
        <v>2020</v>
      </c>
      <c r="R619" s="166">
        <f>IF(ISBLANK(Table1[[#This Row],[Date]]),"",Table1[[#This Row],[Date]]-WEEKDAY(Table1[[#This Row],[Date]],2)+1)</f>
        <v>44081</v>
      </c>
      <c r="S619" s="131">
        <f>IF(ISBLANK(Table1[[#This Row],[Date]]),"",DATE(Table1[[#This Row],[Date_Year]],Table1[[#This Row],[Date_Month]],1))</f>
        <v>44075</v>
      </c>
    </row>
    <row r="620" spans="2:19" ht="15.75" x14ac:dyDescent="0.25">
      <c r="B620" s="133">
        <v>44082</v>
      </c>
      <c r="C620" s="128" t="s">
        <v>508</v>
      </c>
      <c r="D620" s="128" t="s">
        <v>50</v>
      </c>
      <c r="E620" s="128"/>
      <c r="F620" s="134">
        <v>-35</v>
      </c>
      <c r="G620" s="167" t="str">
        <f>_xlfn.XLOOKUP(Table1[[#This Row],[Account_ID]], Accounts[ID], Accounts[Account nickname], "Unknown")</f>
        <v>Checking - 4480</v>
      </c>
      <c r="H620" s="137" t="str">
        <f>_xlfn.XLOOKUP(Table1[[#This Row],[Account_ID]], Accounts[ID], Accounts[Account'#], "Unknown")</f>
        <v>4480</v>
      </c>
      <c r="I620" s="168" t="str">
        <f>_xlfn.XLOOKUP(Table1[[#This Row],[Institution_ID]], Institutions[ID], Institutions[Institution nickname], "Unknown")</f>
        <v>Robinhood</v>
      </c>
      <c r="J620" s="139" t="s">
        <v>1239</v>
      </c>
      <c r="K620" s="129" t="s">
        <v>1208</v>
      </c>
      <c r="L620" s="173" t="s">
        <v>1207</v>
      </c>
      <c r="M620" s="130" t="str" cm="1">
        <f t="array" ref="M620">IFERROR(INDEX(CategoriesTable[Category type],MATCH(Table1[[#This Row],[Category]],CategoriesTable[Category name],0),0),"")</f>
        <v>Transfer</v>
      </c>
      <c r="N620" s="130" t="str" cm="1">
        <f t="array" ref="N620">IFERROR(INDEX(SubcategoriesTable[Subcategory name],MATCH(Table1[[#This Row],[Category]],SubcategoriesTable[Category name],0),0),"")</f>
        <v>Variable</v>
      </c>
      <c r="O620" s="130">
        <v>8</v>
      </c>
      <c r="P620" s="130">
        <f>MONTH(Table1[[#This Row],[Date]])</f>
        <v>9</v>
      </c>
      <c r="Q620" s="130">
        <v>2020</v>
      </c>
      <c r="R620" s="166">
        <f>IF(ISBLANK(Table1[[#This Row],[Date]]),"",Table1[[#This Row],[Date]]-WEEKDAY(Table1[[#This Row],[Date]],2)+1)</f>
        <v>44081</v>
      </c>
      <c r="S620" s="131">
        <f>IF(ISBLANK(Table1[[#This Row],[Date]]),"",DATE(Table1[[#This Row],[Date_Year]],Table1[[#This Row],[Date_Month]],1))</f>
        <v>44075</v>
      </c>
    </row>
    <row r="621" spans="2:19" ht="15.75" x14ac:dyDescent="0.25">
      <c r="B621" s="133">
        <v>44082</v>
      </c>
      <c r="C621" s="128" t="s">
        <v>508</v>
      </c>
      <c r="D621" s="128" t="s">
        <v>78</v>
      </c>
      <c r="E621" s="128"/>
      <c r="F621" s="134">
        <v>-700</v>
      </c>
      <c r="G621" s="167" t="str">
        <f>_xlfn.XLOOKUP(Table1[[#This Row],[Account_ID]], Accounts[ID], Accounts[Account nickname], "Unknown")</f>
        <v>Checking - 4480</v>
      </c>
      <c r="H621" s="137" t="str">
        <f>_xlfn.XLOOKUP(Table1[[#This Row],[Account_ID]], Accounts[ID], Accounts[Account'#], "Unknown")</f>
        <v>4480</v>
      </c>
      <c r="I621" s="168" t="str">
        <f>_xlfn.XLOOKUP(Table1[[#This Row],[Institution_ID]], Institutions[ID], Institutions[Institution nickname], "Unknown")</f>
        <v>Robinhood</v>
      </c>
      <c r="J621" s="139" t="s">
        <v>1240</v>
      </c>
      <c r="K621" s="129" t="s">
        <v>1208</v>
      </c>
      <c r="L621" s="173" t="s">
        <v>1207</v>
      </c>
      <c r="M621" s="130" t="str" cm="1">
        <f t="array" ref="M621">IFERROR(INDEX(CategoriesTable[Category type],MATCH(Table1[[#This Row],[Category]],CategoriesTable[Category name],0),0),"")</f>
        <v>Expense</v>
      </c>
      <c r="N621" s="130" t="str" cm="1">
        <f t="array" ref="N621">IFERROR(INDEX(SubcategoriesTable[Subcategory name],MATCH(Table1[[#This Row],[Category]],SubcategoriesTable[Category name],0),0),"")</f>
        <v>Fixed</v>
      </c>
      <c r="O621" s="130">
        <v>8</v>
      </c>
      <c r="P621" s="130">
        <f>MONTH(Table1[[#This Row],[Date]])</f>
        <v>9</v>
      </c>
      <c r="Q621" s="130">
        <v>2020</v>
      </c>
      <c r="R621" s="166">
        <f>IF(ISBLANK(Table1[[#This Row],[Date]]),"",Table1[[#This Row],[Date]]-WEEKDAY(Table1[[#This Row],[Date]],2)+1)</f>
        <v>44081</v>
      </c>
      <c r="S621" s="131">
        <f>IF(ISBLANK(Table1[[#This Row],[Date]]),"",DATE(Table1[[#This Row],[Date_Year]],Table1[[#This Row],[Date_Month]],1))</f>
        <v>44075</v>
      </c>
    </row>
    <row r="622" spans="2:19" ht="15.75" x14ac:dyDescent="0.25">
      <c r="B622" s="133">
        <v>44082</v>
      </c>
      <c r="C622" s="128" t="s">
        <v>610</v>
      </c>
      <c r="D622" s="128" t="s">
        <v>45</v>
      </c>
      <c r="E622" s="128" t="str" cm="1">
        <f t="array" ref="E622">IFERROR(INDEX(SubcategoriesTable[Subcategory name],MATCH(Table1[[#This Row],[Category]],SubcategoriesTable[Category name],0),0),"")</f>
        <v>Variable</v>
      </c>
      <c r="F622" s="134">
        <v>-10</v>
      </c>
      <c r="G622" s="167" t="str">
        <f>_xlfn.XLOOKUP(Table1[[#This Row],[Account_ID]], Accounts[ID], Accounts[Account nickname], "Unknown")</f>
        <v>Discover it chrome Card</v>
      </c>
      <c r="H622" s="137" t="str">
        <f>_xlfn.XLOOKUP(Table1[[#This Row],[Account_ID]], Accounts[ID], Accounts[Account'#], "Unknown")</f>
        <v>7328</v>
      </c>
      <c r="I622" s="168" t="str">
        <f>_xlfn.XLOOKUP(Table1[[#This Row],[Institution_ID]], Institutions[ID], Institutions[Institution nickname], "Unknown")</f>
        <v>Discover</v>
      </c>
      <c r="J622" s="139" t="s">
        <v>683</v>
      </c>
      <c r="K622" s="129" t="s">
        <v>110</v>
      </c>
      <c r="L622" s="129" t="s">
        <v>108</v>
      </c>
      <c r="M622" s="130" t="str" cm="1">
        <f t="array" ref="M622">IFERROR(INDEX(CategoriesTable[Category type],MATCH(Table1[[#This Row],[Category]],CategoriesTable[Category name],0),0),"")</f>
        <v>Expense</v>
      </c>
      <c r="N622" s="130" t="str" cm="1">
        <f t="array" ref="N622">IFERROR(INDEX(SubcategoriesTable[Subcategory name],MATCH(Table1[[#This Row],[Category]],SubcategoriesTable[Category name],0),0),"")</f>
        <v>Variable</v>
      </c>
      <c r="O622" s="130">
        <v>8</v>
      </c>
      <c r="P622" s="130">
        <f>MONTH(Table1[[#This Row],[Date]])</f>
        <v>9</v>
      </c>
      <c r="Q622" s="130">
        <v>2020</v>
      </c>
      <c r="R622" s="166">
        <f>IF(ISBLANK(Table1[[#This Row],[Date]]),"",Table1[[#This Row],[Date]]-WEEKDAY(Table1[[#This Row],[Date]],2)+1)</f>
        <v>44081</v>
      </c>
      <c r="S622" s="131">
        <f>IF(ISBLANK(Table1[[#This Row],[Date]]),"",DATE(Table1[[#This Row],[Date_Year]],Table1[[#This Row],[Date_Month]],1))</f>
        <v>44075</v>
      </c>
    </row>
    <row r="623" spans="2:19" ht="15.75" x14ac:dyDescent="0.25">
      <c r="B623" s="133">
        <v>44082</v>
      </c>
      <c r="C623" s="128" t="s">
        <v>684</v>
      </c>
      <c r="D623" s="128" t="s">
        <v>46</v>
      </c>
      <c r="E623" s="128" t="str" cm="1">
        <f t="array" ref="E623">IFERROR(INDEX(SubcategoriesTable[Subcategory name],MATCH(Table1[[#This Row],[Category]],SubcategoriesTable[Category name],0),0),"")</f>
        <v>Variable</v>
      </c>
      <c r="F623" s="134">
        <v>-7.99</v>
      </c>
      <c r="G623" s="167" t="str">
        <f>_xlfn.XLOOKUP(Table1[[#This Row],[Account_ID]], Accounts[ID], Accounts[Account nickname], "Unknown")</f>
        <v>Discover it chrome Card</v>
      </c>
      <c r="H623" s="137" t="str">
        <f>_xlfn.XLOOKUP(Table1[[#This Row],[Account_ID]], Accounts[ID], Accounts[Account'#], "Unknown")</f>
        <v>7328</v>
      </c>
      <c r="I623" s="168" t="str">
        <f>_xlfn.XLOOKUP(Table1[[#This Row],[Institution_ID]], Institutions[ID], Institutions[Institution nickname], "Unknown")</f>
        <v>Discover</v>
      </c>
      <c r="J623" s="139" t="s">
        <v>685</v>
      </c>
      <c r="K623" s="129" t="s">
        <v>110</v>
      </c>
      <c r="L623" s="129" t="s">
        <v>108</v>
      </c>
      <c r="M623" s="130" t="str" cm="1">
        <f t="array" ref="M623">IFERROR(INDEX(CategoriesTable[Category type],MATCH(Table1[[#This Row],[Category]],CategoriesTable[Category name],0),0),"")</f>
        <v>Expense</v>
      </c>
      <c r="N623" s="130" t="str" cm="1">
        <f t="array" ref="N623">IFERROR(INDEX(SubcategoriesTable[Subcategory name],MATCH(Table1[[#This Row],[Category]],SubcategoriesTable[Category name],0),0),"")</f>
        <v>Variable</v>
      </c>
      <c r="O623" s="130">
        <v>8</v>
      </c>
      <c r="P623" s="130">
        <f>MONTH(Table1[[#This Row],[Date]])</f>
        <v>9</v>
      </c>
      <c r="Q623" s="130">
        <v>2020</v>
      </c>
      <c r="R623" s="166">
        <f>IF(ISBLANK(Table1[[#This Row],[Date]]),"",Table1[[#This Row],[Date]]-WEEKDAY(Table1[[#This Row],[Date]],2)+1)</f>
        <v>44081</v>
      </c>
      <c r="S623" s="131">
        <f>IF(ISBLANK(Table1[[#This Row],[Date]]),"",DATE(Table1[[#This Row],[Date_Year]],Table1[[#This Row],[Date_Month]],1))</f>
        <v>44075</v>
      </c>
    </row>
    <row r="624" spans="2:19" ht="15.75" x14ac:dyDescent="0.25">
      <c r="B624" s="133">
        <v>44082</v>
      </c>
      <c r="C624" s="128" t="s">
        <v>580</v>
      </c>
      <c r="D624" s="128" t="s">
        <v>46</v>
      </c>
      <c r="E624" s="128" t="str" cm="1">
        <f t="array" ref="E624">IFERROR(INDEX(SubcategoriesTable[Subcategory name],MATCH(Table1[[#This Row],[Category]],SubcategoriesTable[Category name],0),0),"")</f>
        <v>Variable</v>
      </c>
      <c r="F624" s="134">
        <v>-4.99</v>
      </c>
      <c r="G624" s="167" t="str">
        <f>_xlfn.XLOOKUP(Table1[[#This Row],[Account_ID]], Accounts[ID], Accounts[Account nickname], "Unknown")</f>
        <v>Discover it chrome Card</v>
      </c>
      <c r="H624" s="137" t="str">
        <f>_xlfn.XLOOKUP(Table1[[#This Row],[Account_ID]], Accounts[ID], Accounts[Account'#], "Unknown")</f>
        <v>7328</v>
      </c>
      <c r="I624" s="168" t="str">
        <f>_xlfn.XLOOKUP(Table1[[#This Row],[Institution_ID]], Institutions[ID], Institutions[Institution nickname], "Unknown")</f>
        <v>Discover</v>
      </c>
      <c r="J624" s="139" t="s">
        <v>686</v>
      </c>
      <c r="K624" s="129" t="s">
        <v>110</v>
      </c>
      <c r="L624" s="129" t="s">
        <v>108</v>
      </c>
      <c r="M624" s="130" t="str" cm="1">
        <f t="array" ref="M624">IFERROR(INDEX(CategoriesTable[Category type],MATCH(Table1[[#This Row],[Category]],CategoriesTable[Category name],0),0),"")</f>
        <v>Expense</v>
      </c>
      <c r="N624" s="130" t="str" cm="1">
        <f t="array" ref="N624">IFERROR(INDEX(SubcategoriesTable[Subcategory name],MATCH(Table1[[#This Row],[Category]],SubcategoriesTable[Category name],0),0),"")</f>
        <v>Variable</v>
      </c>
      <c r="O624" s="130">
        <v>8</v>
      </c>
      <c r="P624" s="130">
        <f>MONTH(Table1[[#This Row],[Date]])</f>
        <v>9</v>
      </c>
      <c r="Q624" s="130">
        <v>2020</v>
      </c>
      <c r="R624" s="166">
        <f>IF(ISBLANK(Table1[[#This Row],[Date]]),"",Table1[[#This Row],[Date]]-WEEKDAY(Table1[[#This Row],[Date]],2)+1)</f>
        <v>44081</v>
      </c>
      <c r="S624" s="131">
        <f>IF(ISBLANK(Table1[[#This Row],[Date]]),"",DATE(Table1[[#This Row],[Date_Year]],Table1[[#This Row],[Date_Month]],1))</f>
        <v>44075</v>
      </c>
    </row>
    <row r="625" spans="2:19" ht="15.75" x14ac:dyDescent="0.25">
      <c r="B625" s="133">
        <v>44081</v>
      </c>
      <c r="C625" s="128" t="s">
        <v>171</v>
      </c>
      <c r="D625" s="128" t="s">
        <v>46</v>
      </c>
      <c r="E625" s="128" t="str" cm="1">
        <f t="array" ref="E625">IFERROR(INDEX(SubcategoriesTable[Subcategory name],MATCH(Table1[[#This Row],[Category]],SubcategoriesTable[Category name],0),0),"")</f>
        <v>Variable</v>
      </c>
      <c r="F625" s="134">
        <v>-16</v>
      </c>
      <c r="G625" s="167" t="str">
        <f>_xlfn.XLOOKUP(Table1[[#This Row],[Account_ID]], Accounts[ID], Accounts[Account nickname], "Unknown")</f>
        <v>Discover it chrome Card</v>
      </c>
      <c r="H625" s="137" t="str">
        <f>_xlfn.XLOOKUP(Table1[[#This Row],[Account_ID]], Accounts[ID], Accounts[Account'#], "Unknown")</f>
        <v>7328</v>
      </c>
      <c r="I625" s="168" t="str">
        <f>_xlfn.XLOOKUP(Table1[[#This Row],[Institution_ID]], Institutions[ID], Institutions[Institution nickname], "Unknown")</f>
        <v>Discover</v>
      </c>
      <c r="J625" s="139" t="s">
        <v>687</v>
      </c>
      <c r="K625" s="129" t="s">
        <v>110</v>
      </c>
      <c r="L625" s="129" t="s">
        <v>108</v>
      </c>
      <c r="M625" s="130" t="str" cm="1">
        <f t="array" ref="M625">IFERROR(INDEX(CategoriesTable[Category type],MATCH(Table1[[#This Row],[Category]],CategoriesTable[Category name],0),0),"")</f>
        <v>Expense</v>
      </c>
      <c r="N625" s="130" t="str" cm="1">
        <f t="array" ref="N625">IFERROR(INDEX(SubcategoriesTable[Subcategory name],MATCH(Table1[[#This Row],[Category]],SubcategoriesTable[Category name],0),0),"")</f>
        <v>Variable</v>
      </c>
      <c r="O625" s="130">
        <v>7</v>
      </c>
      <c r="P625" s="130">
        <f>MONTH(Table1[[#This Row],[Date]])</f>
        <v>9</v>
      </c>
      <c r="Q625" s="130">
        <v>2020</v>
      </c>
      <c r="R625" s="166">
        <f>IF(ISBLANK(Table1[[#This Row],[Date]]),"",Table1[[#This Row],[Date]]-WEEKDAY(Table1[[#This Row],[Date]],2)+1)</f>
        <v>44081</v>
      </c>
      <c r="S625" s="131">
        <f>IF(ISBLANK(Table1[[#This Row],[Date]]),"",DATE(Table1[[#This Row],[Date_Year]],Table1[[#This Row],[Date_Month]],1))</f>
        <v>44075</v>
      </c>
    </row>
    <row r="626" spans="2:19" ht="15.75" x14ac:dyDescent="0.25">
      <c r="B626" s="133">
        <v>44080</v>
      </c>
      <c r="C626" s="128" t="s">
        <v>688</v>
      </c>
      <c r="D626" s="128" t="s">
        <v>48</v>
      </c>
      <c r="E626" s="128" t="str" cm="1">
        <f t="array" ref="E626">IFERROR(INDEX(SubcategoriesTable[Subcategory name],MATCH(Table1[[#This Row],[Category]],SubcategoriesTable[Category name],0),0),"")</f>
        <v>Variable</v>
      </c>
      <c r="F626" s="134">
        <v>-15.47</v>
      </c>
      <c r="G626" s="167" t="str">
        <f>_xlfn.XLOOKUP(Table1[[#This Row],[Account_ID]], Accounts[ID], Accounts[Account nickname], "Unknown")</f>
        <v>Discover it chrome Card</v>
      </c>
      <c r="H626" s="137" t="str">
        <f>_xlfn.XLOOKUP(Table1[[#This Row],[Account_ID]], Accounts[ID], Accounts[Account'#], "Unknown")</f>
        <v>7328</v>
      </c>
      <c r="I626" s="168" t="str">
        <f>_xlfn.XLOOKUP(Table1[[#This Row],[Institution_ID]], Institutions[ID], Institutions[Institution nickname], "Unknown")</f>
        <v>Discover</v>
      </c>
      <c r="J626" s="139" t="s">
        <v>689</v>
      </c>
      <c r="K626" s="129" t="s">
        <v>110</v>
      </c>
      <c r="L626" s="129" t="s">
        <v>108</v>
      </c>
      <c r="M626" s="130" t="str" cm="1">
        <f t="array" ref="M626">IFERROR(INDEX(CategoriesTable[Category type],MATCH(Table1[[#This Row],[Category]],CategoriesTable[Category name],0),0),"")</f>
        <v>Expense</v>
      </c>
      <c r="N626" s="130" t="str" cm="1">
        <f t="array" ref="N626">IFERROR(INDEX(SubcategoriesTable[Subcategory name],MATCH(Table1[[#This Row],[Category]],SubcategoriesTable[Category name],0),0),"")</f>
        <v>Variable</v>
      </c>
      <c r="O626" s="130">
        <v>6</v>
      </c>
      <c r="P626" s="130">
        <f>MONTH(Table1[[#This Row],[Date]])</f>
        <v>9</v>
      </c>
      <c r="Q626" s="130">
        <v>2020</v>
      </c>
      <c r="R626" s="166">
        <f>IF(ISBLANK(Table1[[#This Row],[Date]]),"",Table1[[#This Row],[Date]]-WEEKDAY(Table1[[#This Row],[Date]],2)+1)</f>
        <v>44074</v>
      </c>
      <c r="S626" s="131">
        <f>IF(ISBLANK(Table1[[#This Row],[Date]]),"",DATE(Table1[[#This Row],[Date_Year]],Table1[[#This Row],[Date_Month]],1))</f>
        <v>44075</v>
      </c>
    </row>
    <row r="627" spans="2:19" ht="15.75" x14ac:dyDescent="0.25">
      <c r="B627" s="133">
        <v>44080</v>
      </c>
      <c r="C627" s="128" t="s">
        <v>690</v>
      </c>
      <c r="D627" s="128" t="s">
        <v>48</v>
      </c>
      <c r="E627" s="128" t="str" cm="1">
        <f t="array" ref="E627">IFERROR(INDEX(SubcategoriesTable[Subcategory name],MATCH(Table1[[#This Row],[Category]],SubcategoriesTable[Category name],0),0),"")</f>
        <v>Variable</v>
      </c>
      <c r="F627" s="134">
        <v>-21.17</v>
      </c>
      <c r="G627" s="167" t="str">
        <f>_xlfn.XLOOKUP(Table1[[#This Row],[Account_ID]], Accounts[ID], Accounts[Account nickname], "Unknown")</f>
        <v>Discover it chrome Card</v>
      </c>
      <c r="H627" s="137" t="str">
        <f>_xlfn.XLOOKUP(Table1[[#This Row],[Account_ID]], Accounts[ID], Accounts[Account'#], "Unknown")</f>
        <v>7328</v>
      </c>
      <c r="I627" s="168" t="str">
        <f>_xlfn.XLOOKUP(Table1[[#This Row],[Institution_ID]], Institutions[ID], Institutions[Institution nickname], "Unknown")</f>
        <v>Discover</v>
      </c>
      <c r="J627" s="139" t="s">
        <v>691</v>
      </c>
      <c r="K627" s="129" t="s">
        <v>110</v>
      </c>
      <c r="L627" s="129" t="s">
        <v>108</v>
      </c>
      <c r="M627" s="130" t="str" cm="1">
        <f t="array" ref="M627">IFERROR(INDEX(CategoriesTable[Category type],MATCH(Table1[[#This Row],[Category]],CategoriesTable[Category name],0),0),"")</f>
        <v>Expense</v>
      </c>
      <c r="N627" s="130" t="str" cm="1">
        <f t="array" ref="N627">IFERROR(INDEX(SubcategoriesTable[Subcategory name],MATCH(Table1[[#This Row],[Category]],SubcategoriesTable[Category name],0),0),"")</f>
        <v>Variable</v>
      </c>
      <c r="O627" s="130">
        <v>6</v>
      </c>
      <c r="P627" s="130">
        <f>MONTH(Table1[[#This Row],[Date]])</f>
        <v>9</v>
      </c>
      <c r="Q627" s="130">
        <v>2020</v>
      </c>
      <c r="R627" s="166">
        <f>IF(ISBLANK(Table1[[#This Row],[Date]]),"",Table1[[#This Row],[Date]]-WEEKDAY(Table1[[#This Row],[Date]],2)+1)</f>
        <v>44074</v>
      </c>
      <c r="S627" s="131">
        <f>IF(ISBLANK(Table1[[#This Row],[Date]]),"",DATE(Table1[[#This Row],[Date_Year]],Table1[[#This Row],[Date_Month]],1))</f>
        <v>44075</v>
      </c>
    </row>
    <row r="628" spans="2:19" ht="15.75" x14ac:dyDescent="0.25">
      <c r="B628" s="133">
        <v>44080</v>
      </c>
      <c r="C628" s="128" t="s">
        <v>692</v>
      </c>
      <c r="D628" s="128" t="s">
        <v>48</v>
      </c>
      <c r="E628" s="128" t="str" cm="1">
        <f t="array" ref="E628">IFERROR(INDEX(SubcategoriesTable[Subcategory name],MATCH(Table1[[#This Row],[Category]],SubcategoriesTable[Category name],0),0),"")</f>
        <v>Variable</v>
      </c>
      <c r="F628" s="134">
        <v>-15.57</v>
      </c>
      <c r="G628" s="167" t="str">
        <f>_xlfn.XLOOKUP(Table1[[#This Row],[Account_ID]], Accounts[ID], Accounts[Account nickname], "Unknown")</f>
        <v>Discover it chrome Card</v>
      </c>
      <c r="H628" s="137" t="str">
        <f>_xlfn.XLOOKUP(Table1[[#This Row],[Account_ID]], Accounts[ID], Accounts[Account'#], "Unknown")</f>
        <v>7328</v>
      </c>
      <c r="I628" s="168" t="str">
        <f>_xlfn.XLOOKUP(Table1[[#This Row],[Institution_ID]], Institutions[ID], Institutions[Institution nickname], "Unknown")</f>
        <v>Discover</v>
      </c>
      <c r="J628" s="139" t="s">
        <v>693</v>
      </c>
      <c r="K628" s="129" t="s">
        <v>110</v>
      </c>
      <c r="L628" s="129" t="s">
        <v>108</v>
      </c>
      <c r="M628" s="130" t="str" cm="1">
        <f t="array" ref="M628">IFERROR(INDEX(CategoriesTable[Category type],MATCH(Table1[[#This Row],[Category]],CategoriesTable[Category name],0),0),"")</f>
        <v>Expense</v>
      </c>
      <c r="N628" s="130" t="str" cm="1">
        <f t="array" ref="N628">IFERROR(INDEX(SubcategoriesTable[Subcategory name],MATCH(Table1[[#This Row],[Category]],SubcategoriesTable[Category name],0),0),"")</f>
        <v>Variable</v>
      </c>
      <c r="O628" s="130">
        <v>6</v>
      </c>
      <c r="P628" s="130">
        <f>MONTH(Table1[[#This Row],[Date]])</f>
        <v>9</v>
      </c>
      <c r="Q628" s="130">
        <v>2020</v>
      </c>
      <c r="R628" s="166">
        <f>IF(ISBLANK(Table1[[#This Row],[Date]]),"",Table1[[#This Row],[Date]]-WEEKDAY(Table1[[#This Row],[Date]],2)+1)</f>
        <v>44074</v>
      </c>
      <c r="S628" s="131">
        <f>IF(ISBLANK(Table1[[#This Row],[Date]]),"",DATE(Table1[[#This Row],[Date_Year]],Table1[[#This Row],[Date_Month]],1))</f>
        <v>44075</v>
      </c>
    </row>
    <row r="629" spans="2:19" ht="15.75" x14ac:dyDescent="0.25">
      <c r="B629" s="133">
        <v>44079</v>
      </c>
      <c r="C629" s="128" t="s">
        <v>267</v>
      </c>
      <c r="D629" s="128" t="s">
        <v>46</v>
      </c>
      <c r="E629" s="128" t="str" cm="1">
        <f t="array" ref="E629">IFERROR(INDEX(SubcategoriesTable[Subcategory name],MATCH(Table1[[#This Row],[Category]],SubcategoriesTable[Category name],0),0),"")</f>
        <v>Variable</v>
      </c>
      <c r="F629" s="134">
        <v>-7.69</v>
      </c>
      <c r="G629" s="167" t="str">
        <f>_xlfn.XLOOKUP(Table1[[#This Row],[Account_ID]], Accounts[ID], Accounts[Account nickname], "Unknown")</f>
        <v>Discover it chrome Card</v>
      </c>
      <c r="H629" s="137" t="str">
        <f>_xlfn.XLOOKUP(Table1[[#This Row],[Account_ID]], Accounts[ID], Accounts[Account'#], "Unknown")</f>
        <v>7328</v>
      </c>
      <c r="I629" s="168" t="str">
        <f>_xlfn.XLOOKUP(Table1[[#This Row],[Institution_ID]], Institutions[ID], Institutions[Institution nickname], "Unknown")</f>
        <v>Discover</v>
      </c>
      <c r="J629" s="139" t="s">
        <v>694</v>
      </c>
      <c r="K629" s="129" t="s">
        <v>110</v>
      </c>
      <c r="L629" s="129" t="s">
        <v>108</v>
      </c>
      <c r="M629" s="130" t="str" cm="1">
        <f t="array" ref="M629">IFERROR(INDEX(CategoriesTable[Category type],MATCH(Table1[[#This Row],[Category]],CategoriesTable[Category name],0),0),"")</f>
        <v>Expense</v>
      </c>
      <c r="N629" s="130" t="str" cm="1">
        <f t="array" ref="N629">IFERROR(INDEX(SubcategoriesTable[Subcategory name],MATCH(Table1[[#This Row],[Category]],SubcategoriesTable[Category name],0),0),"")</f>
        <v>Variable</v>
      </c>
      <c r="O629" s="130">
        <v>5</v>
      </c>
      <c r="P629" s="130">
        <f>MONTH(Table1[[#This Row],[Date]])</f>
        <v>9</v>
      </c>
      <c r="Q629" s="130">
        <v>2020</v>
      </c>
      <c r="R629" s="166">
        <f>IF(ISBLANK(Table1[[#This Row],[Date]]),"",Table1[[#This Row],[Date]]-WEEKDAY(Table1[[#This Row],[Date]],2)+1)</f>
        <v>44074</v>
      </c>
      <c r="S629" s="131">
        <f>IF(ISBLANK(Table1[[#This Row],[Date]]),"",DATE(Table1[[#This Row],[Date_Year]],Table1[[#This Row],[Date_Month]],1))</f>
        <v>44075</v>
      </c>
    </row>
    <row r="630" spans="2:19" ht="15.75" x14ac:dyDescent="0.25">
      <c r="B630" s="133">
        <v>44079</v>
      </c>
      <c r="C630" s="128" t="s">
        <v>295</v>
      </c>
      <c r="D630" s="128" t="s">
        <v>56</v>
      </c>
      <c r="E630" s="128" t="str" cm="1">
        <f t="array" ref="E630">IFERROR(INDEX(SubcategoriesTable[Subcategory name],MATCH(Table1[[#This Row],[Category]],SubcategoriesTable[Category name],0),0),"")</f>
        <v>Variable</v>
      </c>
      <c r="F630" s="134">
        <v>-39.950000000000003</v>
      </c>
      <c r="G630" s="167" t="str">
        <f>_xlfn.XLOOKUP(Table1[[#This Row],[Account_ID]], Accounts[ID], Accounts[Account nickname], "Unknown")</f>
        <v>Discover it chrome Card</v>
      </c>
      <c r="H630" s="137" t="str">
        <f>_xlfn.XLOOKUP(Table1[[#This Row],[Account_ID]], Accounts[ID], Accounts[Account'#], "Unknown")</f>
        <v>7328</v>
      </c>
      <c r="I630" s="168" t="str">
        <f>_xlfn.XLOOKUP(Table1[[#This Row],[Institution_ID]], Institutions[ID], Institutions[Institution nickname], "Unknown")</f>
        <v>Discover</v>
      </c>
      <c r="J630" s="139" t="s">
        <v>695</v>
      </c>
      <c r="K630" s="129" t="s">
        <v>110</v>
      </c>
      <c r="L630" s="129" t="s">
        <v>108</v>
      </c>
      <c r="M630" s="130" t="str" cm="1">
        <f t="array" ref="M630">IFERROR(INDEX(CategoriesTable[Category type],MATCH(Table1[[#This Row],[Category]],CategoriesTable[Category name],0),0),"")</f>
        <v>Expense</v>
      </c>
      <c r="N630" s="130" t="str" cm="1">
        <f t="array" ref="N630">IFERROR(INDEX(SubcategoriesTable[Subcategory name],MATCH(Table1[[#This Row],[Category]],SubcategoriesTable[Category name],0),0),"")</f>
        <v>Variable</v>
      </c>
      <c r="O630" s="130">
        <v>5</v>
      </c>
      <c r="P630" s="130">
        <f>MONTH(Table1[[#This Row],[Date]])</f>
        <v>9</v>
      </c>
      <c r="Q630" s="130">
        <v>2020</v>
      </c>
      <c r="R630" s="166">
        <f>IF(ISBLANK(Table1[[#This Row],[Date]]),"",Table1[[#This Row],[Date]]-WEEKDAY(Table1[[#This Row],[Date]],2)+1)</f>
        <v>44074</v>
      </c>
      <c r="S630" s="131">
        <f>IF(ISBLANK(Table1[[#This Row],[Date]]),"",DATE(Table1[[#This Row],[Date_Year]],Table1[[#This Row],[Date_Month]],1))</f>
        <v>44075</v>
      </c>
    </row>
    <row r="631" spans="2:19" ht="15.75" x14ac:dyDescent="0.25">
      <c r="B631" s="133">
        <v>44079</v>
      </c>
      <c r="C631" s="128" t="s">
        <v>696</v>
      </c>
      <c r="D631" s="128" t="s">
        <v>45</v>
      </c>
      <c r="E631" s="128" t="str" cm="1">
        <f t="array" ref="E631">IFERROR(INDEX(SubcategoriesTable[Subcategory name],MATCH(Table1[[#This Row],[Category]],SubcategoriesTable[Category name],0),0),"")</f>
        <v>Variable</v>
      </c>
      <c r="F631" s="134">
        <v>-11.04</v>
      </c>
      <c r="G631" s="167" t="str">
        <f>_xlfn.XLOOKUP(Table1[[#This Row],[Account_ID]], Accounts[ID], Accounts[Account nickname], "Unknown")</f>
        <v>Discover it chrome Card</v>
      </c>
      <c r="H631" s="137" t="str">
        <f>_xlfn.XLOOKUP(Table1[[#This Row],[Account_ID]], Accounts[ID], Accounts[Account'#], "Unknown")</f>
        <v>7328</v>
      </c>
      <c r="I631" s="168" t="str">
        <f>_xlfn.XLOOKUP(Table1[[#This Row],[Institution_ID]], Institutions[ID], Institutions[Institution nickname], "Unknown")</f>
        <v>Discover</v>
      </c>
      <c r="J631" s="139" t="s">
        <v>697</v>
      </c>
      <c r="K631" s="129" t="s">
        <v>110</v>
      </c>
      <c r="L631" s="129" t="s">
        <v>108</v>
      </c>
      <c r="M631" s="130" t="str" cm="1">
        <f t="array" ref="M631">IFERROR(INDEX(CategoriesTable[Category type],MATCH(Table1[[#This Row],[Category]],CategoriesTable[Category name],0),0),"")</f>
        <v>Expense</v>
      </c>
      <c r="N631" s="130" t="str" cm="1">
        <f t="array" ref="N631">IFERROR(INDEX(SubcategoriesTable[Subcategory name],MATCH(Table1[[#This Row],[Category]],SubcategoriesTable[Category name],0),0),"")</f>
        <v>Variable</v>
      </c>
      <c r="O631" s="130">
        <v>5</v>
      </c>
      <c r="P631" s="130">
        <f>MONTH(Table1[[#This Row],[Date]])</f>
        <v>9</v>
      </c>
      <c r="Q631" s="130">
        <v>2020</v>
      </c>
      <c r="R631" s="166">
        <f>IF(ISBLANK(Table1[[#This Row],[Date]]),"",Table1[[#This Row],[Date]]-WEEKDAY(Table1[[#This Row],[Date]],2)+1)</f>
        <v>44074</v>
      </c>
      <c r="S631" s="131">
        <f>IF(ISBLANK(Table1[[#This Row],[Date]]),"",DATE(Table1[[#This Row],[Date_Year]],Table1[[#This Row],[Date_Month]],1))</f>
        <v>44075</v>
      </c>
    </row>
    <row r="632" spans="2:19" ht="15.75" x14ac:dyDescent="0.25">
      <c r="B632" s="133">
        <v>44079</v>
      </c>
      <c r="C632" s="128" t="s">
        <v>698</v>
      </c>
      <c r="D632" s="128" t="s">
        <v>46</v>
      </c>
      <c r="E632" s="128" t="str" cm="1">
        <f t="array" ref="E632">IFERROR(INDEX(SubcategoriesTable[Subcategory name],MATCH(Table1[[#This Row],[Category]],SubcategoriesTable[Category name],0),0),"")</f>
        <v>Variable</v>
      </c>
      <c r="F632" s="134">
        <v>-0.88</v>
      </c>
      <c r="G632" s="167" t="str">
        <f>_xlfn.XLOOKUP(Table1[[#This Row],[Account_ID]], Accounts[ID], Accounts[Account nickname], "Unknown")</f>
        <v>Discover it chrome Card</v>
      </c>
      <c r="H632" s="137" t="str">
        <f>_xlfn.XLOOKUP(Table1[[#This Row],[Account_ID]], Accounts[ID], Accounts[Account'#], "Unknown")</f>
        <v>7328</v>
      </c>
      <c r="I632" s="168" t="str">
        <f>_xlfn.XLOOKUP(Table1[[#This Row],[Institution_ID]], Institutions[ID], Institutions[Institution nickname], "Unknown")</f>
        <v>Discover</v>
      </c>
      <c r="J632" s="139" t="s">
        <v>699</v>
      </c>
      <c r="K632" s="129" t="s">
        <v>110</v>
      </c>
      <c r="L632" s="129" t="s">
        <v>108</v>
      </c>
      <c r="M632" s="130" t="str" cm="1">
        <f t="array" ref="M632">IFERROR(INDEX(CategoriesTable[Category type],MATCH(Table1[[#This Row],[Category]],CategoriesTable[Category name],0),0),"")</f>
        <v>Expense</v>
      </c>
      <c r="N632" s="130" t="str" cm="1">
        <f t="array" ref="N632">IFERROR(INDEX(SubcategoriesTable[Subcategory name],MATCH(Table1[[#This Row],[Category]],SubcategoriesTable[Category name],0),0),"")</f>
        <v>Variable</v>
      </c>
      <c r="O632" s="130">
        <v>5</v>
      </c>
      <c r="P632" s="130">
        <f>MONTH(Table1[[#This Row],[Date]])</f>
        <v>9</v>
      </c>
      <c r="Q632" s="130">
        <v>2020</v>
      </c>
      <c r="R632" s="166">
        <f>IF(ISBLANK(Table1[[#This Row],[Date]]),"",Table1[[#This Row],[Date]]-WEEKDAY(Table1[[#This Row],[Date]],2)+1)</f>
        <v>44074</v>
      </c>
      <c r="S632" s="131">
        <f>IF(ISBLANK(Table1[[#This Row],[Date]]),"",DATE(Table1[[#This Row],[Date_Year]],Table1[[#This Row],[Date_Month]],1))</f>
        <v>44075</v>
      </c>
    </row>
    <row r="633" spans="2:19" ht="15.75" x14ac:dyDescent="0.25">
      <c r="B633" s="133">
        <v>44079</v>
      </c>
      <c r="C633" s="128" t="s">
        <v>698</v>
      </c>
      <c r="D633" s="128" t="s">
        <v>46</v>
      </c>
      <c r="E633" s="128" t="str" cm="1">
        <f t="array" ref="E633">IFERROR(INDEX(SubcategoriesTable[Subcategory name],MATCH(Table1[[#This Row],[Category]],SubcategoriesTable[Category name],0),0),"")</f>
        <v>Variable</v>
      </c>
      <c r="F633" s="134">
        <v>-11.89</v>
      </c>
      <c r="G633" s="167" t="str">
        <f>_xlfn.XLOOKUP(Table1[[#This Row],[Account_ID]], Accounts[ID], Accounts[Account nickname], "Unknown")</f>
        <v>Discover it chrome Card</v>
      </c>
      <c r="H633" s="137" t="str">
        <f>_xlfn.XLOOKUP(Table1[[#This Row],[Account_ID]], Accounts[ID], Accounts[Account'#], "Unknown")</f>
        <v>7328</v>
      </c>
      <c r="I633" s="168" t="str">
        <f>_xlfn.XLOOKUP(Table1[[#This Row],[Institution_ID]], Institutions[ID], Institutions[Institution nickname], "Unknown")</f>
        <v>Discover</v>
      </c>
      <c r="J633" s="139" t="s">
        <v>700</v>
      </c>
      <c r="K633" s="129" t="s">
        <v>110</v>
      </c>
      <c r="L633" s="129" t="s">
        <v>108</v>
      </c>
      <c r="M633" s="130" t="str" cm="1">
        <f t="array" ref="M633">IFERROR(INDEX(CategoriesTable[Category type],MATCH(Table1[[#This Row],[Category]],CategoriesTable[Category name],0),0),"")</f>
        <v>Expense</v>
      </c>
      <c r="N633" s="130" t="str" cm="1">
        <f t="array" ref="N633">IFERROR(INDEX(SubcategoriesTable[Subcategory name],MATCH(Table1[[#This Row],[Category]],SubcategoriesTable[Category name],0),0),"")</f>
        <v>Variable</v>
      </c>
      <c r="O633" s="130">
        <v>5</v>
      </c>
      <c r="P633" s="130">
        <f>MONTH(Table1[[#This Row],[Date]])</f>
        <v>9</v>
      </c>
      <c r="Q633" s="130">
        <v>2020</v>
      </c>
      <c r="R633" s="166">
        <f>IF(ISBLANK(Table1[[#This Row],[Date]]),"",Table1[[#This Row],[Date]]-WEEKDAY(Table1[[#This Row],[Date]],2)+1)</f>
        <v>44074</v>
      </c>
      <c r="S633" s="131">
        <f>IF(ISBLANK(Table1[[#This Row],[Date]]),"",DATE(Table1[[#This Row],[Date_Year]],Table1[[#This Row],[Date_Month]],1))</f>
        <v>44075</v>
      </c>
    </row>
    <row r="634" spans="2:19" ht="15.75" x14ac:dyDescent="0.25">
      <c r="B634" s="133">
        <v>44078</v>
      </c>
      <c r="C634" s="128" t="s">
        <v>698</v>
      </c>
      <c r="D634" s="128" t="s">
        <v>46</v>
      </c>
      <c r="E634" s="128" t="str" cm="1">
        <f t="array" ref="E634">IFERROR(INDEX(SubcategoriesTable[Subcategory name],MATCH(Table1[[#This Row],[Category]],SubcategoriesTable[Category name],0),0),"")</f>
        <v>Variable</v>
      </c>
      <c r="F634" s="134">
        <v>-17.48</v>
      </c>
      <c r="G634" s="167" t="str">
        <f>_xlfn.XLOOKUP(Table1[[#This Row],[Account_ID]], Accounts[ID], Accounts[Account nickname], "Unknown")</f>
        <v>Discover it chrome Card</v>
      </c>
      <c r="H634" s="137" t="str">
        <f>_xlfn.XLOOKUP(Table1[[#This Row],[Account_ID]], Accounts[ID], Accounts[Account'#], "Unknown")</f>
        <v>7328</v>
      </c>
      <c r="I634" s="168" t="str">
        <f>_xlfn.XLOOKUP(Table1[[#This Row],[Institution_ID]], Institutions[ID], Institutions[Institution nickname], "Unknown")</f>
        <v>Discover</v>
      </c>
      <c r="J634" s="139" t="s">
        <v>701</v>
      </c>
      <c r="K634" s="129" t="s">
        <v>110</v>
      </c>
      <c r="L634" s="129" t="s">
        <v>108</v>
      </c>
      <c r="M634" s="130" t="str" cm="1">
        <f t="array" ref="M634">IFERROR(INDEX(CategoriesTable[Category type],MATCH(Table1[[#This Row],[Category]],CategoriesTable[Category name],0),0),"")</f>
        <v>Expense</v>
      </c>
      <c r="N634" s="130" t="str" cm="1">
        <f t="array" ref="N634">IFERROR(INDEX(SubcategoriesTable[Subcategory name],MATCH(Table1[[#This Row],[Category]],SubcategoriesTable[Category name],0),0),"")</f>
        <v>Variable</v>
      </c>
      <c r="O634" s="130">
        <v>4</v>
      </c>
      <c r="P634" s="130">
        <f>MONTH(Table1[[#This Row],[Date]])</f>
        <v>9</v>
      </c>
      <c r="Q634" s="130">
        <v>2020</v>
      </c>
      <c r="R634" s="166">
        <f>IF(ISBLANK(Table1[[#This Row],[Date]]),"",Table1[[#This Row],[Date]]-WEEKDAY(Table1[[#This Row],[Date]],2)+1)</f>
        <v>44074</v>
      </c>
      <c r="S634" s="131">
        <f>IF(ISBLANK(Table1[[#This Row],[Date]]),"",DATE(Table1[[#This Row],[Date_Year]],Table1[[#This Row],[Date_Month]],1))</f>
        <v>44075</v>
      </c>
    </row>
    <row r="635" spans="2:19" ht="15.75" x14ac:dyDescent="0.25">
      <c r="B635" s="133">
        <v>44078</v>
      </c>
      <c r="C635" s="128" t="s">
        <v>380</v>
      </c>
      <c r="D635" s="128" t="s">
        <v>46</v>
      </c>
      <c r="E635" s="128" t="str" cm="1">
        <f t="array" ref="E635">IFERROR(INDEX(SubcategoriesTable[Subcategory name],MATCH(Table1[[#This Row],[Category]],SubcategoriesTable[Category name],0),0),"")</f>
        <v>Variable</v>
      </c>
      <c r="F635" s="134">
        <v>-1.99</v>
      </c>
      <c r="G635" s="167" t="str">
        <f>_xlfn.XLOOKUP(Table1[[#This Row],[Account_ID]], Accounts[ID], Accounts[Account nickname], "Unknown")</f>
        <v>Discover it chrome Card</v>
      </c>
      <c r="H635" s="137" t="str">
        <f>_xlfn.XLOOKUP(Table1[[#This Row],[Account_ID]], Accounts[ID], Accounts[Account'#], "Unknown")</f>
        <v>7328</v>
      </c>
      <c r="I635" s="168" t="str">
        <f>_xlfn.XLOOKUP(Table1[[#This Row],[Institution_ID]], Institutions[ID], Institutions[Institution nickname], "Unknown")</f>
        <v>Discover</v>
      </c>
      <c r="J635" s="139" t="s">
        <v>702</v>
      </c>
      <c r="K635" s="129" t="s">
        <v>110</v>
      </c>
      <c r="L635" s="129" t="s">
        <v>108</v>
      </c>
      <c r="M635" s="130" t="str" cm="1">
        <f t="array" ref="M635">IFERROR(INDEX(CategoriesTable[Category type],MATCH(Table1[[#This Row],[Category]],CategoriesTable[Category name],0),0),"")</f>
        <v>Expense</v>
      </c>
      <c r="N635" s="130" t="str" cm="1">
        <f t="array" ref="N635">IFERROR(INDEX(SubcategoriesTable[Subcategory name],MATCH(Table1[[#This Row],[Category]],SubcategoriesTable[Category name],0),0),"")</f>
        <v>Variable</v>
      </c>
      <c r="O635" s="130">
        <v>4</v>
      </c>
      <c r="P635" s="130">
        <f>MONTH(Table1[[#This Row],[Date]])</f>
        <v>9</v>
      </c>
      <c r="Q635" s="130">
        <v>2020</v>
      </c>
      <c r="R635" s="166">
        <f>IF(ISBLANK(Table1[[#This Row],[Date]]),"",Table1[[#This Row],[Date]]-WEEKDAY(Table1[[#This Row],[Date]],2)+1)</f>
        <v>44074</v>
      </c>
      <c r="S635" s="131">
        <f>IF(ISBLANK(Table1[[#This Row],[Date]]),"",DATE(Table1[[#This Row],[Date_Year]],Table1[[#This Row],[Date_Month]],1))</f>
        <v>44075</v>
      </c>
    </row>
    <row r="636" spans="2:19" ht="15.75" x14ac:dyDescent="0.25">
      <c r="B636" s="133">
        <v>44078</v>
      </c>
      <c r="C636" s="128" t="s">
        <v>703</v>
      </c>
      <c r="D636" s="128" t="s">
        <v>46</v>
      </c>
      <c r="E636" s="128" t="str" cm="1">
        <f t="array" ref="E636">IFERROR(INDEX(SubcategoriesTable[Subcategory name],MATCH(Table1[[#This Row],[Category]],SubcategoriesTable[Category name],0),0),"")</f>
        <v>Variable</v>
      </c>
      <c r="F636" s="134">
        <v>-7.37</v>
      </c>
      <c r="G636" s="167" t="str">
        <f>_xlfn.XLOOKUP(Table1[[#This Row],[Account_ID]], Accounts[ID], Accounts[Account nickname], "Unknown")</f>
        <v>Discover it chrome Card</v>
      </c>
      <c r="H636" s="137" t="str">
        <f>_xlfn.XLOOKUP(Table1[[#This Row],[Account_ID]], Accounts[ID], Accounts[Account'#], "Unknown")</f>
        <v>7328</v>
      </c>
      <c r="I636" s="168" t="str">
        <f>_xlfn.XLOOKUP(Table1[[#This Row],[Institution_ID]], Institutions[ID], Institutions[Institution nickname], "Unknown")</f>
        <v>Discover</v>
      </c>
      <c r="J636" s="139" t="s">
        <v>704</v>
      </c>
      <c r="K636" s="129" t="s">
        <v>110</v>
      </c>
      <c r="L636" s="129" t="s">
        <v>108</v>
      </c>
      <c r="M636" s="130" t="str" cm="1">
        <f t="array" ref="M636">IFERROR(INDEX(CategoriesTable[Category type],MATCH(Table1[[#This Row],[Category]],CategoriesTable[Category name],0),0),"")</f>
        <v>Expense</v>
      </c>
      <c r="N636" s="130" t="str" cm="1">
        <f t="array" ref="N636">IFERROR(INDEX(SubcategoriesTable[Subcategory name],MATCH(Table1[[#This Row],[Category]],SubcategoriesTable[Category name],0),0),"")</f>
        <v>Variable</v>
      </c>
      <c r="O636" s="130">
        <v>4</v>
      </c>
      <c r="P636" s="130">
        <f>MONTH(Table1[[#This Row],[Date]])</f>
        <v>9</v>
      </c>
      <c r="Q636" s="130">
        <v>2020</v>
      </c>
      <c r="R636" s="166">
        <f>IF(ISBLANK(Table1[[#This Row],[Date]]),"",Table1[[#This Row],[Date]]-WEEKDAY(Table1[[#This Row],[Date]],2)+1)</f>
        <v>44074</v>
      </c>
      <c r="S636" s="131">
        <f>IF(ISBLANK(Table1[[#This Row],[Date]]),"",DATE(Table1[[#This Row],[Date_Year]],Table1[[#This Row],[Date_Month]],1))</f>
        <v>44075</v>
      </c>
    </row>
    <row r="637" spans="2:19" ht="15.75" x14ac:dyDescent="0.25">
      <c r="B637" s="133">
        <v>44078</v>
      </c>
      <c r="C637" s="128" t="s">
        <v>698</v>
      </c>
      <c r="D637" s="128" t="s">
        <v>46</v>
      </c>
      <c r="E637" s="128" t="str" cm="1">
        <f t="array" ref="E637">IFERROR(INDEX(SubcategoriesTable[Subcategory name],MATCH(Table1[[#This Row],[Category]],SubcategoriesTable[Category name],0),0),"")</f>
        <v>Variable</v>
      </c>
      <c r="F637" s="134">
        <v>-0.74</v>
      </c>
      <c r="G637" s="167" t="str">
        <f>_xlfn.XLOOKUP(Table1[[#This Row],[Account_ID]], Accounts[ID], Accounts[Account nickname], "Unknown")</f>
        <v>Discover it chrome Card</v>
      </c>
      <c r="H637" s="137" t="str">
        <f>_xlfn.XLOOKUP(Table1[[#This Row],[Account_ID]], Accounts[ID], Accounts[Account'#], "Unknown")</f>
        <v>7328</v>
      </c>
      <c r="I637" s="168" t="str">
        <f>_xlfn.XLOOKUP(Table1[[#This Row],[Institution_ID]], Institutions[ID], Institutions[Institution nickname], "Unknown")</f>
        <v>Discover</v>
      </c>
      <c r="J637" s="139" t="s">
        <v>705</v>
      </c>
      <c r="K637" s="129" t="s">
        <v>110</v>
      </c>
      <c r="L637" s="129" t="s">
        <v>108</v>
      </c>
      <c r="M637" s="130" t="str" cm="1">
        <f t="array" ref="M637">IFERROR(INDEX(CategoriesTable[Category type],MATCH(Table1[[#This Row],[Category]],CategoriesTable[Category name],0),0),"")</f>
        <v>Expense</v>
      </c>
      <c r="N637" s="130" t="str" cm="1">
        <f t="array" ref="N637">IFERROR(INDEX(SubcategoriesTable[Subcategory name],MATCH(Table1[[#This Row],[Category]],SubcategoriesTable[Category name],0),0),"")</f>
        <v>Variable</v>
      </c>
      <c r="O637" s="130">
        <v>4</v>
      </c>
      <c r="P637" s="130">
        <f>MONTH(Table1[[#This Row],[Date]])</f>
        <v>9</v>
      </c>
      <c r="Q637" s="130">
        <v>2020</v>
      </c>
      <c r="R637" s="166">
        <f>IF(ISBLANK(Table1[[#This Row],[Date]]),"",Table1[[#This Row],[Date]]-WEEKDAY(Table1[[#This Row],[Date]],2)+1)</f>
        <v>44074</v>
      </c>
      <c r="S637" s="131">
        <f>IF(ISBLANK(Table1[[#This Row],[Date]]),"",DATE(Table1[[#This Row],[Date_Year]],Table1[[#This Row],[Date_Month]],1))</f>
        <v>44075</v>
      </c>
    </row>
    <row r="638" spans="2:19" ht="15.75" x14ac:dyDescent="0.25">
      <c r="B638" s="133">
        <v>44078</v>
      </c>
      <c r="C638" s="128" t="s">
        <v>698</v>
      </c>
      <c r="D638" s="128" t="s">
        <v>46</v>
      </c>
      <c r="E638" s="128" t="str" cm="1">
        <f t="array" ref="E638">IFERROR(INDEX(SubcategoriesTable[Subcategory name],MATCH(Table1[[#This Row],[Category]],SubcategoriesTable[Category name],0),0),"")</f>
        <v>Variable</v>
      </c>
      <c r="F638" s="134">
        <v>-3.29</v>
      </c>
      <c r="G638" s="167" t="str">
        <f>_xlfn.XLOOKUP(Table1[[#This Row],[Account_ID]], Accounts[ID], Accounts[Account nickname], "Unknown")</f>
        <v>Discover it chrome Card</v>
      </c>
      <c r="H638" s="137" t="str">
        <f>_xlfn.XLOOKUP(Table1[[#This Row],[Account_ID]], Accounts[ID], Accounts[Account'#], "Unknown")</f>
        <v>7328</v>
      </c>
      <c r="I638" s="168" t="str">
        <f>_xlfn.XLOOKUP(Table1[[#This Row],[Institution_ID]], Institutions[ID], Institutions[Institution nickname], "Unknown")</f>
        <v>Discover</v>
      </c>
      <c r="J638" s="139" t="s">
        <v>706</v>
      </c>
      <c r="K638" s="129" t="s">
        <v>110</v>
      </c>
      <c r="L638" s="129" t="s">
        <v>108</v>
      </c>
      <c r="M638" s="130" t="str" cm="1">
        <f t="array" ref="M638">IFERROR(INDEX(CategoriesTable[Category type],MATCH(Table1[[#This Row],[Category]],CategoriesTable[Category name],0),0),"")</f>
        <v>Expense</v>
      </c>
      <c r="N638" s="130" t="str" cm="1">
        <f t="array" ref="N638">IFERROR(INDEX(SubcategoriesTable[Subcategory name],MATCH(Table1[[#This Row],[Category]],SubcategoriesTable[Category name],0),0),"")</f>
        <v>Variable</v>
      </c>
      <c r="O638" s="130">
        <v>4</v>
      </c>
      <c r="P638" s="130">
        <f>MONTH(Table1[[#This Row],[Date]])</f>
        <v>9</v>
      </c>
      <c r="Q638" s="130">
        <v>2020</v>
      </c>
      <c r="R638" s="166">
        <f>IF(ISBLANK(Table1[[#This Row],[Date]]),"",Table1[[#This Row],[Date]]-WEEKDAY(Table1[[#This Row],[Date]],2)+1)</f>
        <v>44074</v>
      </c>
      <c r="S638" s="131">
        <f>IF(ISBLANK(Table1[[#This Row],[Date]]),"",DATE(Table1[[#This Row],[Date_Year]],Table1[[#This Row],[Date_Month]],1))</f>
        <v>44075</v>
      </c>
    </row>
    <row r="639" spans="2:19" ht="15.75" x14ac:dyDescent="0.25">
      <c r="B639" s="133">
        <v>44078</v>
      </c>
      <c r="C639" s="128" t="s">
        <v>698</v>
      </c>
      <c r="D639" s="128" t="s">
        <v>46</v>
      </c>
      <c r="E639" s="128" t="str" cm="1">
        <f t="array" ref="E639">IFERROR(INDEX(SubcategoriesTable[Subcategory name],MATCH(Table1[[#This Row],[Category]],SubcategoriesTable[Category name],0),0),"")</f>
        <v>Variable</v>
      </c>
      <c r="F639" s="134">
        <v>-4.84</v>
      </c>
      <c r="G639" s="167" t="str">
        <f>_xlfn.XLOOKUP(Table1[[#This Row],[Account_ID]], Accounts[ID], Accounts[Account nickname], "Unknown")</f>
        <v>Discover it chrome Card</v>
      </c>
      <c r="H639" s="137" t="str">
        <f>_xlfn.XLOOKUP(Table1[[#This Row],[Account_ID]], Accounts[ID], Accounts[Account'#], "Unknown")</f>
        <v>7328</v>
      </c>
      <c r="I639" s="168" t="str">
        <f>_xlfn.XLOOKUP(Table1[[#This Row],[Institution_ID]], Institutions[ID], Institutions[Institution nickname], "Unknown")</f>
        <v>Discover</v>
      </c>
      <c r="J639" s="139" t="s">
        <v>707</v>
      </c>
      <c r="K639" s="129" t="s">
        <v>110</v>
      </c>
      <c r="L639" s="129" t="s">
        <v>108</v>
      </c>
      <c r="M639" s="130" t="str" cm="1">
        <f t="array" ref="M639">IFERROR(INDEX(CategoriesTable[Category type],MATCH(Table1[[#This Row],[Category]],CategoriesTable[Category name],0),0),"")</f>
        <v>Expense</v>
      </c>
      <c r="N639" s="130" t="str" cm="1">
        <f t="array" ref="N639">IFERROR(INDEX(SubcategoriesTable[Subcategory name],MATCH(Table1[[#This Row],[Category]],SubcategoriesTable[Category name],0),0),"")</f>
        <v>Variable</v>
      </c>
      <c r="O639" s="130">
        <v>4</v>
      </c>
      <c r="P639" s="130">
        <f>MONTH(Table1[[#This Row],[Date]])</f>
        <v>9</v>
      </c>
      <c r="Q639" s="130">
        <v>2020</v>
      </c>
      <c r="R639" s="166">
        <f>IF(ISBLANK(Table1[[#This Row],[Date]]),"",Table1[[#This Row],[Date]]-WEEKDAY(Table1[[#This Row],[Date]],2)+1)</f>
        <v>44074</v>
      </c>
      <c r="S639" s="131">
        <f>IF(ISBLANK(Table1[[#This Row],[Date]]),"",DATE(Table1[[#This Row],[Date_Year]],Table1[[#This Row],[Date_Month]],1))</f>
        <v>44075</v>
      </c>
    </row>
    <row r="640" spans="2:19" ht="15.75" x14ac:dyDescent="0.25">
      <c r="B640" s="133">
        <v>44078</v>
      </c>
      <c r="C640" s="128" t="s">
        <v>698</v>
      </c>
      <c r="D640" s="128" t="s">
        <v>46</v>
      </c>
      <c r="E640" s="128" t="str" cm="1">
        <f t="array" ref="E640">IFERROR(INDEX(SubcategoriesTable[Subcategory name],MATCH(Table1[[#This Row],[Category]],SubcategoriesTable[Category name],0),0),"")</f>
        <v>Variable</v>
      </c>
      <c r="F640" s="134">
        <v>-5.25</v>
      </c>
      <c r="G640" s="167" t="str">
        <f>_xlfn.XLOOKUP(Table1[[#This Row],[Account_ID]], Accounts[ID], Accounts[Account nickname], "Unknown")</f>
        <v>Discover it chrome Card</v>
      </c>
      <c r="H640" s="137" t="str">
        <f>_xlfn.XLOOKUP(Table1[[#This Row],[Account_ID]], Accounts[ID], Accounts[Account'#], "Unknown")</f>
        <v>7328</v>
      </c>
      <c r="I640" s="168" t="str">
        <f>_xlfn.XLOOKUP(Table1[[#This Row],[Institution_ID]], Institutions[ID], Institutions[Institution nickname], "Unknown")</f>
        <v>Discover</v>
      </c>
      <c r="J640" s="139" t="s">
        <v>708</v>
      </c>
      <c r="K640" s="129" t="s">
        <v>110</v>
      </c>
      <c r="L640" s="129" t="s">
        <v>108</v>
      </c>
      <c r="M640" s="130" t="str" cm="1">
        <f t="array" ref="M640">IFERROR(INDEX(CategoriesTable[Category type],MATCH(Table1[[#This Row],[Category]],CategoriesTable[Category name],0),0),"")</f>
        <v>Expense</v>
      </c>
      <c r="N640" s="130" t="str" cm="1">
        <f t="array" ref="N640">IFERROR(INDEX(SubcategoriesTable[Subcategory name],MATCH(Table1[[#This Row],[Category]],SubcategoriesTable[Category name],0),0),"")</f>
        <v>Variable</v>
      </c>
      <c r="O640" s="130">
        <v>4</v>
      </c>
      <c r="P640" s="130">
        <f>MONTH(Table1[[#This Row],[Date]])</f>
        <v>9</v>
      </c>
      <c r="Q640" s="130">
        <v>2020</v>
      </c>
      <c r="R640" s="166">
        <f>IF(ISBLANK(Table1[[#This Row],[Date]]),"",Table1[[#This Row],[Date]]-WEEKDAY(Table1[[#This Row],[Date]],2)+1)</f>
        <v>44074</v>
      </c>
      <c r="S640" s="131">
        <f>IF(ISBLANK(Table1[[#This Row],[Date]]),"",DATE(Table1[[#This Row],[Date_Year]],Table1[[#This Row],[Date_Month]],1))</f>
        <v>44075</v>
      </c>
    </row>
    <row r="641" spans="2:19" ht="15.75" x14ac:dyDescent="0.25">
      <c r="B641" s="133">
        <v>44078</v>
      </c>
      <c r="C641" s="128" t="s">
        <v>698</v>
      </c>
      <c r="D641" s="128" t="s">
        <v>46</v>
      </c>
      <c r="E641" s="128" t="str" cm="1">
        <f t="array" ref="E641">IFERROR(INDEX(SubcategoriesTable[Subcategory name],MATCH(Table1[[#This Row],[Category]],SubcategoriesTable[Category name],0),0),"")</f>
        <v>Variable</v>
      </c>
      <c r="F641" s="134">
        <v>-14.85</v>
      </c>
      <c r="G641" s="167" t="str">
        <f>_xlfn.XLOOKUP(Table1[[#This Row],[Account_ID]], Accounts[ID], Accounts[Account nickname], "Unknown")</f>
        <v>Discover it chrome Card</v>
      </c>
      <c r="H641" s="137" t="str">
        <f>_xlfn.XLOOKUP(Table1[[#This Row],[Account_ID]], Accounts[ID], Accounts[Account'#], "Unknown")</f>
        <v>7328</v>
      </c>
      <c r="I641" s="168" t="str">
        <f>_xlfn.XLOOKUP(Table1[[#This Row],[Institution_ID]], Institutions[ID], Institutions[Institution nickname], "Unknown")</f>
        <v>Discover</v>
      </c>
      <c r="J641" s="139" t="s">
        <v>709</v>
      </c>
      <c r="K641" s="129" t="s">
        <v>110</v>
      </c>
      <c r="L641" s="129" t="s">
        <v>108</v>
      </c>
      <c r="M641" s="130" t="str" cm="1">
        <f t="array" ref="M641">IFERROR(INDEX(CategoriesTable[Category type],MATCH(Table1[[#This Row],[Category]],CategoriesTable[Category name],0),0),"")</f>
        <v>Expense</v>
      </c>
      <c r="N641" s="130" t="str" cm="1">
        <f t="array" ref="N641">IFERROR(INDEX(SubcategoriesTable[Subcategory name],MATCH(Table1[[#This Row],[Category]],SubcategoriesTable[Category name],0),0),"")</f>
        <v>Variable</v>
      </c>
      <c r="O641" s="130">
        <v>4</v>
      </c>
      <c r="P641" s="130">
        <f>MONTH(Table1[[#This Row],[Date]])</f>
        <v>9</v>
      </c>
      <c r="Q641" s="130">
        <v>2020</v>
      </c>
      <c r="R641" s="166">
        <f>IF(ISBLANK(Table1[[#This Row],[Date]]),"",Table1[[#This Row],[Date]]-WEEKDAY(Table1[[#This Row],[Date]],2)+1)</f>
        <v>44074</v>
      </c>
      <c r="S641" s="131">
        <f>IF(ISBLANK(Table1[[#This Row],[Date]]),"",DATE(Table1[[#This Row],[Date_Year]],Table1[[#This Row],[Date_Month]],1))</f>
        <v>44075</v>
      </c>
    </row>
    <row r="642" spans="2:19" ht="15.75" x14ac:dyDescent="0.25">
      <c r="B642" s="133">
        <v>44077</v>
      </c>
      <c r="C642" s="128" t="s">
        <v>1526</v>
      </c>
      <c r="D642" s="128" t="s">
        <v>56</v>
      </c>
      <c r="E642" s="128" t="str" cm="1">
        <f t="array" ref="E642">IFERROR(INDEX(SubcategoriesTable[Subcategory name],MATCH(Table1[[#This Row],[Category]],SubcategoriesTable[Category name],0),0),"")</f>
        <v>Variable</v>
      </c>
      <c r="F642" s="134">
        <v>8.16</v>
      </c>
      <c r="G642" s="167" t="str">
        <f>_xlfn.XLOOKUP(Table1[[#This Row],[Account_ID]], Accounts[ID], Accounts[Account nickname], "Unknown")</f>
        <v>EVERYDAY CHECKING</v>
      </c>
      <c r="H642" s="137" t="str">
        <f>_xlfn.XLOOKUP(Table1[[#This Row],[Account_ID]], Accounts[ID], Accounts[Account'#], "Unknown")</f>
        <v>4636</v>
      </c>
      <c r="I642" s="168" t="str">
        <f>_xlfn.XLOOKUP(Table1[[#This Row],[Institution_ID]], Institutions[ID], Institutions[Institution nickname], "Unknown")</f>
        <v>Wells Fargo</v>
      </c>
      <c r="J642" s="139" t="s">
        <v>1527</v>
      </c>
      <c r="K642" s="129" t="s">
        <v>1229</v>
      </c>
      <c r="L642" s="129" t="s">
        <v>1228</v>
      </c>
      <c r="M642" s="130" t="str" cm="1">
        <f t="array" ref="M642">IFERROR(INDEX(CategoriesTable[Category type],MATCH(Table1[[#This Row],[Category]],CategoriesTable[Category name],0),0),"")</f>
        <v>Expense</v>
      </c>
      <c r="N642" s="130" t="str" cm="1">
        <f t="array" ref="N642">IFERROR(INDEX(SubcategoriesTable[Subcategory name],MATCH(Table1[[#This Row],[Category]],SubcategoriesTable[Category name],0),0),"")</f>
        <v>Variable</v>
      </c>
      <c r="O642" s="130">
        <v>3</v>
      </c>
      <c r="P642" s="130">
        <f>MONTH(Table1[[#This Row],[Date]])</f>
        <v>9</v>
      </c>
      <c r="Q642" s="130">
        <v>2020</v>
      </c>
      <c r="R642" s="166">
        <f>IF(ISBLANK(Table1[[#This Row],[Date]]),"",Table1[[#This Row],[Date]]-WEEKDAY(Table1[[#This Row],[Date]],2)+1)</f>
        <v>44074</v>
      </c>
      <c r="S642" s="131">
        <f>IF(ISBLANK(Table1[[#This Row],[Date]]),"",DATE(Table1[[#This Row],[Date_Year]],Table1[[#This Row],[Date_Month]],1))</f>
        <v>44075</v>
      </c>
    </row>
    <row r="643" spans="2:19" ht="15.75" x14ac:dyDescent="0.25">
      <c r="B643" s="133">
        <v>44077</v>
      </c>
      <c r="C643" s="128" t="s">
        <v>710</v>
      </c>
      <c r="D643" s="128" t="s">
        <v>46</v>
      </c>
      <c r="E643" s="128" t="str" cm="1">
        <f t="array" ref="E643">IFERROR(INDEX(SubcategoriesTable[Subcategory name],MATCH(Table1[[#This Row],[Category]],SubcategoriesTable[Category name],0),0),"")</f>
        <v>Variable</v>
      </c>
      <c r="F643" s="134">
        <v>-64.2</v>
      </c>
      <c r="G643" s="167" t="str">
        <f>_xlfn.XLOOKUP(Table1[[#This Row],[Account_ID]], Accounts[ID], Accounts[Account nickname], "Unknown")</f>
        <v>Discover it chrome Card</v>
      </c>
      <c r="H643" s="137" t="str">
        <f>_xlfn.XLOOKUP(Table1[[#This Row],[Account_ID]], Accounts[ID], Accounts[Account'#], "Unknown")</f>
        <v>7328</v>
      </c>
      <c r="I643" s="168" t="str">
        <f>_xlfn.XLOOKUP(Table1[[#This Row],[Institution_ID]], Institutions[ID], Institutions[Institution nickname], "Unknown")</f>
        <v>Discover</v>
      </c>
      <c r="J643" s="139" t="s">
        <v>711</v>
      </c>
      <c r="K643" s="129" t="s">
        <v>110</v>
      </c>
      <c r="L643" s="129" t="s">
        <v>108</v>
      </c>
      <c r="M643" s="130" t="str" cm="1">
        <f t="array" ref="M643">IFERROR(INDEX(CategoriesTable[Category type],MATCH(Table1[[#This Row],[Category]],CategoriesTable[Category name],0),0),"")</f>
        <v>Expense</v>
      </c>
      <c r="N643" s="130" t="str" cm="1">
        <f t="array" ref="N643">IFERROR(INDEX(SubcategoriesTable[Subcategory name],MATCH(Table1[[#This Row],[Category]],SubcategoriesTable[Category name],0),0),"")</f>
        <v>Variable</v>
      </c>
      <c r="O643" s="130">
        <v>3</v>
      </c>
      <c r="P643" s="130">
        <f>MONTH(Table1[[#This Row],[Date]])</f>
        <v>9</v>
      </c>
      <c r="Q643" s="130">
        <v>2020</v>
      </c>
      <c r="R643" s="166">
        <f>IF(ISBLANK(Table1[[#This Row],[Date]]),"",Table1[[#This Row],[Date]]-WEEKDAY(Table1[[#This Row],[Date]],2)+1)</f>
        <v>44074</v>
      </c>
      <c r="S643" s="131">
        <f>IF(ISBLANK(Table1[[#This Row],[Date]]),"",DATE(Table1[[#This Row],[Date_Year]],Table1[[#This Row],[Date_Month]],1))</f>
        <v>44075</v>
      </c>
    </row>
    <row r="644" spans="2:19" ht="15.75" x14ac:dyDescent="0.25">
      <c r="B644" s="133">
        <v>44076</v>
      </c>
      <c r="C644" s="128" t="s">
        <v>621</v>
      </c>
      <c r="D644" s="128" t="s">
        <v>50</v>
      </c>
      <c r="E644" s="128" t="str" cm="1">
        <f t="array" ref="E644">IFERROR(INDEX(SubcategoriesTable[Subcategory name],MATCH(Table1[[#This Row],[Category]],SubcategoriesTable[Category name],0),0),"")</f>
        <v>Variable</v>
      </c>
      <c r="F644" s="134">
        <v>-5</v>
      </c>
      <c r="G644" s="167" t="str">
        <f>_xlfn.XLOOKUP(Table1[[#This Row],[Account_ID]], Accounts[ID], Accounts[Account nickname], "Unknown")</f>
        <v>Discover it chrome Card</v>
      </c>
      <c r="H644" s="137" t="str">
        <f>_xlfn.XLOOKUP(Table1[[#This Row],[Account_ID]], Accounts[ID], Accounts[Account'#], "Unknown")</f>
        <v>7328</v>
      </c>
      <c r="I644" s="168" t="str">
        <f>_xlfn.XLOOKUP(Table1[[#This Row],[Institution_ID]], Institutions[ID], Institutions[Institution nickname], "Unknown")</f>
        <v>Discover</v>
      </c>
      <c r="J644" s="139" t="s">
        <v>712</v>
      </c>
      <c r="K644" s="129" t="s">
        <v>110</v>
      </c>
      <c r="L644" s="129" t="s">
        <v>108</v>
      </c>
      <c r="M644" s="130" t="str" cm="1">
        <f t="array" ref="M644">IFERROR(INDEX(CategoriesTable[Category type],MATCH(Table1[[#This Row],[Category]],CategoriesTable[Category name],0),0),"")</f>
        <v>Transfer</v>
      </c>
      <c r="N644" s="130" t="str" cm="1">
        <f t="array" ref="N644">IFERROR(INDEX(SubcategoriesTable[Subcategory name],MATCH(Table1[[#This Row],[Category]],SubcategoriesTable[Category name],0),0),"")</f>
        <v>Variable</v>
      </c>
      <c r="O644" s="130">
        <v>2</v>
      </c>
      <c r="P644" s="130">
        <f>MONTH(Table1[[#This Row],[Date]])</f>
        <v>9</v>
      </c>
      <c r="Q644" s="130">
        <v>2020</v>
      </c>
      <c r="R644" s="166">
        <f>IF(ISBLANK(Table1[[#This Row],[Date]]),"",Table1[[#This Row],[Date]]-WEEKDAY(Table1[[#This Row],[Date]],2)+1)</f>
        <v>44074</v>
      </c>
      <c r="S644" s="131">
        <f>IF(ISBLANK(Table1[[#This Row],[Date]]),"",DATE(Table1[[#This Row],[Date_Year]],Table1[[#This Row],[Date_Month]],1))</f>
        <v>44075</v>
      </c>
    </row>
    <row r="645" spans="2:19" ht="15.75" x14ac:dyDescent="0.25">
      <c r="B645" s="133">
        <v>44075</v>
      </c>
      <c r="C645" s="128" t="s">
        <v>1183</v>
      </c>
      <c r="D645" s="128" t="s">
        <v>1204</v>
      </c>
      <c r="E645" s="128" t="str" cm="1">
        <f t="array" ref="E645">IFERROR(INDEX(SubcategoriesTable[Subcategory name],MATCH(Table1[[#This Row],[Category]],SubcategoriesTable[Category name],0),0),"")</f>
        <v>Variable</v>
      </c>
      <c r="F645" s="134">
        <v>-200</v>
      </c>
      <c r="G645" s="167" t="str">
        <f>_xlfn.XLOOKUP(Table1[[#This Row],[Account_ID]], Accounts[ID], Accounts[Account nickname], "Unknown")</f>
        <v>EVERYDAY CHECKING</v>
      </c>
      <c r="H645" s="137" t="str">
        <f>_xlfn.XLOOKUP(Table1[[#This Row],[Account_ID]], Accounts[ID], Accounts[Account'#], "Unknown")</f>
        <v>4636</v>
      </c>
      <c r="I645" s="168" t="str">
        <f>_xlfn.XLOOKUP(Table1[[#This Row],[Institution_ID]], Institutions[ID], Institutions[Institution nickname], "Unknown")</f>
        <v>Wells Fargo</v>
      </c>
      <c r="J645" s="139" t="s">
        <v>1528</v>
      </c>
      <c r="K645" s="129" t="s">
        <v>1229</v>
      </c>
      <c r="L645" s="129" t="s">
        <v>1228</v>
      </c>
      <c r="M645" s="130" t="str" cm="1">
        <f t="array" ref="M645">IFERROR(INDEX(CategoriesTable[Category type],MATCH(Table1[[#This Row],[Category]],CategoriesTable[Category name],0),0),"")</f>
        <v>Savings</v>
      </c>
      <c r="N645" s="130" t="str" cm="1">
        <f t="array" ref="N645">IFERROR(INDEX(SubcategoriesTable[Subcategory name],MATCH(Table1[[#This Row],[Category]],SubcategoriesTable[Category name],0),0),"")</f>
        <v>Variable</v>
      </c>
      <c r="O645" s="130">
        <v>1</v>
      </c>
      <c r="P645" s="130">
        <f>MONTH(Table1[[#This Row],[Date]])</f>
        <v>9</v>
      </c>
      <c r="Q645" s="130">
        <v>2020</v>
      </c>
      <c r="R645" s="166">
        <f>IF(ISBLANK(Table1[[#This Row],[Date]]),"",Table1[[#This Row],[Date]]-WEEKDAY(Table1[[#This Row],[Date]],2)+1)</f>
        <v>44074</v>
      </c>
      <c r="S645" s="131">
        <f>IF(ISBLANK(Table1[[#This Row],[Date]]),"",DATE(Table1[[#This Row],[Date_Year]],Table1[[#This Row],[Date_Month]],1))</f>
        <v>44075</v>
      </c>
    </row>
    <row r="646" spans="2:19" ht="15.75" x14ac:dyDescent="0.25">
      <c r="B646" s="133">
        <v>44075</v>
      </c>
      <c r="C646" s="128" t="s">
        <v>508</v>
      </c>
      <c r="D646" s="128" t="s">
        <v>78</v>
      </c>
      <c r="E646" s="128" t="str" cm="1">
        <f t="array" ref="E646">IFERROR(INDEX(SubcategoriesTable[Subcategory name],MATCH(Table1[[#This Row],[Category]],SubcategoriesTable[Category name],0),0),"")</f>
        <v>Fixed</v>
      </c>
      <c r="F646" s="134">
        <v>-700</v>
      </c>
      <c r="G646" s="167" t="str">
        <f>_xlfn.XLOOKUP(Table1[[#This Row],[Account_ID]], Accounts[ID], Accounts[Account nickname], "Unknown")</f>
        <v>EVERYDAY CHECKING</v>
      </c>
      <c r="H646" s="137" t="str">
        <f>_xlfn.XLOOKUP(Table1[[#This Row],[Account_ID]], Accounts[ID], Accounts[Account'#], "Unknown")</f>
        <v>4636</v>
      </c>
      <c r="I646" s="168" t="str">
        <f>_xlfn.XLOOKUP(Table1[[#This Row],[Institution_ID]], Institutions[ID], Institutions[Institution nickname], "Unknown")</f>
        <v>Wells Fargo</v>
      </c>
      <c r="J646" s="139" t="s">
        <v>1529</v>
      </c>
      <c r="K646" s="129" t="s">
        <v>1229</v>
      </c>
      <c r="L646" s="129" t="s">
        <v>1228</v>
      </c>
      <c r="M646" s="130" t="str" cm="1">
        <f t="array" ref="M646">IFERROR(INDEX(CategoriesTable[Category type],MATCH(Table1[[#This Row],[Category]],CategoriesTable[Category name],0),0),"")</f>
        <v>Expense</v>
      </c>
      <c r="N646" s="130" t="str" cm="1">
        <f t="array" ref="N646">IFERROR(INDEX(SubcategoriesTable[Subcategory name],MATCH(Table1[[#This Row],[Category]],SubcategoriesTable[Category name],0),0),"")</f>
        <v>Fixed</v>
      </c>
      <c r="O646" s="130">
        <v>1</v>
      </c>
      <c r="P646" s="130">
        <f>MONTH(Table1[[#This Row],[Date]])</f>
        <v>9</v>
      </c>
      <c r="Q646" s="130">
        <v>2020</v>
      </c>
      <c r="R646" s="166">
        <f>IF(ISBLANK(Table1[[#This Row],[Date]]),"",Table1[[#This Row],[Date]]-WEEKDAY(Table1[[#This Row],[Date]],2)+1)</f>
        <v>44074</v>
      </c>
      <c r="S646" s="131">
        <f>IF(ISBLANK(Table1[[#This Row],[Date]]),"",DATE(Table1[[#This Row],[Date_Year]],Table1[[#This Row],[Date_Month]],1))</f>
        <v>44075</v>
      </c>
    </row>
    <row r="647" spans="2:19" ht="15.75" x14ac:dyDescent="0.25">
      <c r="B647" s="133">
        <v>44075</v>
      </c>
      <c r="C647" s="128" t="s">
        <v>256</v>
      </c>
      <c r="D647" s="128" t="s">
        <v>46</v>
      </c>
      <c r="E647" s="128" t="str" cm="1">
        <f t="array" ref="E647">IFERROR(INDEX(SubcategoriesTable[Subcategory name],MATCH(Table1[[#This Row],[Category]],SubcategoriesTable[Category name],0),0),"")</f>
        <v>Variable</v>
      </c>
      <c r="F647" s="134">
        <v>-38</v>
      </c>
      <c r="G647" s="167" t="str">
        <f>_xlfn.XLOOKUP(Table1[[#This Row],[Account_ID]], Accounts[ID], Accounts[Account nickname], "Unknown")</f>
        <v>Discover it chrome Card</v>
      </c>
      <c r="H647" s="137" t="str">
        <f>_xlfn.XLOOKUP(Table1[[#This Row],[Account_ID]], Accounts[ID], Accounts[Account'#], "Unknown")</f>
        <v>7328</v>
      </c>
      <c r="I647" s="168" t="str">
        <f>_xlfn.XLOOKUP(Table1[[#This Row],[Institution_ID]], Institutions[ID], Institutions[Institution nickname], "Unknown")</f>
        <v>Discover</v>
      </c>
      <c r="J647" s="139" t="s">
        <v>713</v>
      </c>
      <c r="K647" s="129" t="s">
        <v>110</v>
      </c>
      <c r="L647" s="129" t="s">
        <v>108</v>
      </c>
      <c r="M647" s="130" t="str" cm="1">
        <f t="array" ref="M647">IFERROR(INDEX(CategoriesTable[Category type],MATCH(Table1[[#This Row],[Category]],CategoriesTable[Category name],0),0),"")</f>
        <v>Expense</v>
      </c>
      <c r="N647" s="130" t="str" cm="1">
        <f t="array" ref="N647">IFERROR(INDEX(SubcategoriesTable[Subcategory name],MATCH(Table1[[#This Row],[Category]],SubcategoriesTable[Category name],0),0),"")</f>
        <v>Variable</v>
      </c>
      <c r="O647" s="130">
        <v>1</v>
      </c>
      <c r="P647" s="130">
        <f>MONTH(Table1[[#This Row],[Date]])</f>
        <v>9</v>
      </c>
      <c r="Q647" s="130">
        <v>2020</v>
      </c>
      <c r="R647" s="166">
        <f>IF(ISBLANK(Table1[[#This Row],[Date]]),"",Table1[[#This Row],[Date]]-WEEKDAY(Table1[[#This Row],[Date]],2)+1)</f>
        <v>44074</v>
      </c>
      <c r="S647" s="131">
        <f>IF(ISBLANK(Table1[[#This Row],[Date]]),"",DATE(Table1[[#This Row],[Date_Year]],Table1[[#This Row],[Date_Month]],1))</f>
        <v>44075</v>
      </c>
    </row>
    <row r="648" spans="2:19" ht="15.75" x14ac:dyDescent="0.25">
      <c r="B648" s="133">
        <v>44075</v>
      </c>
      <c r="C648" s="128" t="s">
        <v>256</v>
      </c>
      <c r="D648" s="128" t="s">
        <v>46</v>
      </c>
      <c r="E648" s="128" t="str" cm="1">
        <f t="array" ref="E648">IFERROR(INDEX(SubcategoriesTable[Subcategory name],MATCH(Table1[[#This Row],[Category]],SubcategoriesTable[Category name],0),0),"")</f>
        <v>Variable</v>
      </c>
      <c r="F648" s="134">
        <v>-73.7</v>
      </c>
      <c r="G648" s="167" t="str">
        <f>_xlfn.XLOOKUP(Table1[[#This Row],[Account_ID]], Accounts[ID], Accounts[Account nickname], "Unknown")</f>
        <v>Discover it chrome Card</v>
      </c>
      <c r="H648" s="137" t="str">
        <f>_xlfn.XLOOKUP(Table1[[#This Row],[Account_ID]], Accounts[ID], Accounts[Account'#], "Unknown")</f>
        <v>7328</v>
      </c>
      <c r="I648" s="168" t="str">
        <f>_xlfn.XLOOKUP(Table1[[#This Row],[Institution_ID]], Institutions[ID], Institutions[Institution nickname], "Unknown")</f>
        <v>Discover</v>
      </c>
      <c r="J648" s="139" t="s">
        <v>714</v>
      </c>
      <c r="K648" s="129" t="s">
        <v>110</v>
      </c>
      <c r="L648" s="129" t="s">
        <v>108</v>
      </c>
      <c r="M648" s="130" t="str" cm="1">
        <f t="array" ref="M648">IFERROR(INDEX(CategoriesTable[Category type],MATCH(Table1[[#This Row],[Category]],CategoriesTable[Category name],0),0),"")</f>
        <v>Expense</v>
      </c>
      <c r="N648" s="130" t="str" cm="1">
        <f t="array" ref="N648">IFERROR(INDEX(SubcategoriesTable[Subcategory name],MATCH(Table1[[#This Row],[Category]],SubcategoriesTable[Category name],0),0),"")</f>
        <v>Variable</v>
      </c>
      <c r="O648" s="130">
        <v>1</v>
      </c>
      <c r="P648" s="130">
        <f>MONTH(Table1[[#This Row],[Date]])</f>
        <v>9</v>
      </c>
      <c r="Q648" s="130">
        <v>2020</v>
      </c>
      <c r="R648" s="166">
        <f>IF(ISBLANK(Table1[[#This Row],[Date]]),"",Table1[[#This Row],[Date]]-WEEKDAY(Table1[[#This Row],[Date]],2)+1)</f>
        <v>44074</v>
      </c>
      <c r="S648" s="131">
        <f>IF(ISBLANK(Table1[[#This Row],[Date]]),"",DATE(Table1[[#This Row],[Date_Year]],Table1[[#This Row],[Date_Month]],1))</f>
        <v>44075</v>
      </c>
    </row>
    <row r="649" spans="2:19" ht="15.75" x14ac:dyDescent="0.25">
      <c r="B649" s="133">
        <v>44075</v>
      </c>
      <c r="C649" s="128" t="s">
        <v>715</v>
      </c>
      <c r="D649" s="128" t="s">
        <v>60</v>
      </c>
      <c r="E649" s="128" t="str" cm="1">
        <f t="array" ref="E649">IFERROR(INDEX(SubcategoriesTable[Subcategory name],MATCH(Table1[[#This Row],[Category]],SubcategoriesTable[Category name],0),0),"")</f>
        <v>Variable</v>
      </c>
      <c r="F649" s="134">
        <v>-60.12</v>
      </c>
      <c r="G649" s="167" t="str">
        <f>_xlfn.XLOOKUP(Table1[[#This Row],[Account_ID]], Accounts[ID], Accounts[Account nickname], "Unknown")</f>
        <v>Discover it chrome Card</v>
      </c>
      <c r="H649" s="137" t="str">
        <f>_xlfn.XLOOKUP(Table1[[#This Row],[Account_ID]], Accounts[ID], Accounts[Account'#], "Unknown")</f>
        <v>7328</v>
      </c>
      <c r="I649" s="168" t="str">
        <f>_xlfn.XLOOKUP(Table1[[#This Row],[Institution_ID]], Institutions[ID], Institutions[Institution nickname], "Unknown")</f>
        <v>Discover</v>
      </c>
      <c r="J649" s="139" t="s">
        <v>716</v>
      </c>
      <c r="K649" s="129" t="s">
        <v>110</v>
      </c>
      <c r="L649" s="129" t="s">
        <v>108</v>
      </c>
      <c r="M649" s="130" t="str" cm="1">
        <f t="array" ref="M649">IFERROR(INDEX(CategoriesTable[Category type],MATCH(Table1[[#This Row],[Category]],CategoriesTable[Category name],0),0),"")</f>
        <v>Expense</v>
      </c>
      <c r="N649" s="130" t="str" cm="1">
        <f t="array" ref="N649">IFERROR(INDEX(SubcategoriesTable[Subcategory name],MATCH(Table1[[#This Row],[Category]],SubcategoriesTable[Category name],0),0),"")</f>
        <v>Variable</v>
      </c>
      <c r="O649" s="130">
        <v>1</v>
      </c>
      <c r="P649" s="130">
        <f>MONTH(Table1[[#This Row],[Date]])</f>
        <v>9</v>
      </c>
      <c r="Q649" s="130">
        <v>2020</v>
      </c>
      <c r="R649" s="166">
        <f>IF(ISBLANK(Table1[[#This Row],[Date]]),"",Table1[[#This Row],[Date]]-WEEKDAY(Table1[[#This Row],[Date]],2)+1)</f>
        <v>44074</v>
      </c>
      <c r="S649" s="131">
        <f>IF(ISBLANK(Table1[[#This Row],[Date]]),"",DATE(Table1[[#This Row],[Date_Year]],Table1[[#This Row],[Date_Month]],1))</f>
        <v>44075</v>
      </c>
    </row>
    <row r="650" spans="2:19" ht="15.75" x14ac:dyDescent="0.25">
      <c r="B650" s="133">
        <v>44075</v>
      </c>
      <c r="C650" s="128" t="s">
        <v>152</v>
      </c>
      <c r="D650" s="128" t="s">
        <v>54</v>
      </c>
      <c r="E650" s="128" t="str" cm="1">
        <f t="array" ref="E650">IFERROR(INDEX(SubcategoriesTable[Subcategory name],MATCH(Table1[[#This Row],[Category]],SubcategoriesTable[Category name],0),0),"")</f>
        <v>Fixed</v>
      </c>
      <c r="F650" s="134">
        <v>-12.99</v>
      </c>
      <c r="G650" s="167" t="str">
        <f>_xlfn.XLOOKUP(Table1[[#This Row],[Account_ID]], Accounts[ID], Accounts[Account nickname], "Unknown")</f>
        <v>Discover it chrome Card</v>
      </c>
      <c r="H650" s="137" t="str">
        <f>_xlfn.XLOOKUP(Table1[[#This Row],[Account_ID]], Accounts[ID], Accounts[Account'#], "Unknown")</f>
        <v>7328</v>
      </c>
      <c r="I650" s="168" t="str">
        <f>_xlfn.XLOOKUP(Table1[[#This Row],[Institution_ID]], Institutions[ID], Institutions[Institution nickname], "Unknown")</f>
        <v>Discover</v>
      </c>
      <c r="J650" s="139" t="s">
        <v>717</v>
      </c>
      <c r="K650" s="129" t="s">
        <v>110</v>
      </c>
      <c r="L650" s="129" t="s">
        <v>108</v>
      </c>
      <c r="M650" s="130" t="str" cm="1">
        <f t="array" ref="M650">IFERROR(INDEX(CategoriesTable[Category type],MATCH(Table1[[#This Row],[Category]],CategoriesTable[Category name],0),0),"")</f>
        <v>Expense</v>
      </c>
      <c r="N650" s="130" t="str" cm="1">
        <f t="array" ref="N650">IFERROR(INDEX(SubcategoriesTable[Subcategory name],MATCH(Table1[[#This Row],[Category]],SubcategoriesTable[Category name],0),0),"")</f>
        <v>Fixed</v>
      </c>
      <c r="O650" s="130">
        <v>1</v>
      </c>
      <c r="P650" s="130">
        <f>MONTH(Table1[[#This Row],[Date]])</f>
        <v>9</v>
      </c>
      <c r="Q650" s="130">
        <v>2020</v>
      </c>
      <c r="R650" s="166">
        <f>IF(ISBLANK(Table1[[#This Row],[Date]]),"",Table1[[#This Row],[Date]]-WEEKDAY(Table1[[#This Row],[Date]],2)+1)</f>
        <v>44074</v>
      </c>
      <c r="S650" s="131">
        <f>IF(ISBLANK(Table1[[#This Row],[Date]]),"",DATE(Table1[[#This Row],[Date_Year]],Table1[[#This Row],[Date_Month]],1))</f>
        <v>44075</v>
      </c>
    </row>
    <row r="651" spans="2:19" ht="15.75" x14ac:dyDescent="0.25">
      <c r="B651" s="133">
        <v>44074</v>
      </c>
      <c r="C651" s="128" t="s">
        <v>1183</v>
      </c>
      <c r="D651" s="128" t="s">
        <v>1204</v>
      </c>
      <c r="E651" s="128" t="str" cm="1">
        <f t="array" ref="E651">IFERROR(INDEX(SubcategoriesTable[Subcategory name],MATCH(Table1[[#This Row],[Category]],SubcategoriesTable[Category name],0),0),"")</f>
        <v>Variable</v>
      </c>
      <c r="F651" s="134">
        <v>-25</v>
      </c>
      <c r="G651" s="167" t="str">
        <f>_xlfn.XLOOKUP(Table1[[#This Row],[Account_ID]], Accounts[ID], Accounts[Account nickname], "Unknown")</f>
        <v>EVERYDAY CHECKING</v>
      </c>
      <c r="H651" s="137" t="str">
        <f>_xlfn.XLOOKUP(Table1[[#This Row],[Account_ID]], Accounts[ID], Accounts[Account'#], "Unknown")</f>
        <v>4636</v>
      </c>
      <c r="I651" s="168" t="str">
        <f>_xlfn.XLOOKUP(Table1[[#This Row],[Institution_ID]], Institutions[ID], Institutions[Institution nickname], "Unknown")</f>
        <v>Wells Fargo</v>
      </c>
      <c r="J651" s="139" t="s">
        <v>1530</v>
      </c>
      <c r="K651" s="129" t="s">
        <v>1229</v>
      </c>
      <c r="L651" s="129" t="s">
        <v>1228</v>
      </c>
      <c r="M651" s="130" t="str" cm="1">
        <f t="array" ref="M651">IFERROR(INDEX(CategoriesTable[Category type],MATCH(Table1[[#This Row],[Category]],CategoriesTable[Category name],0),0),"")</f>
        <v>Savings</v>
      </c>
      <c r="N651" s="130" t="str" cm="1">
        <f t="array" ref="N651">IFERROR(INDEX(SubcategoriesTable[Subcategory name],MATCH(Table1[[#This Row],[Category]],SubcategoriesTable[Category name],0),0),"")</f>
        <v>Variable</v>
      </c>
      <c r="O651" s="130">
        <v>31</v>
      </c>
      <c r="P651" s="130">
        <f>MONTH(Table1[[#This Row],[Date]])</f>
        <v>8</v>
      </c>
      <c r="Q651" s="130">
        <v>2020</v>
      </c>
      <c r="R651" s="166">
        <f>IF(ISBLANK(Table1[[#This Row],[Date]]),"",Table1[[#This Row],[Date]]-WEEKDAY(Table1[[#This Row],[Date]],2)+1)</f>
        <v>44074</v>
      </c>
      <c r="S651" s="131">
        <f>IF(ISBLANK(Table1[[#This Row],[Date]]),"",DATE(Table1[[#This Row],[Date_Year]],Table1[[#This Row],[Date_Month]],1))</f>
        <v>44044</v>
      </c>
    </row>
    <row r="652" spans="2:19" ht="15.75" x14ac:dyDescent="0.25">
      <c r="B652" s="133">
        <v>44074</v>
      </c>
      <c r="C652" s="128" t="s">
        <v>1200</v>
      </c>
      <c r="D652" s="128" t="s">
        <v>50</v>
      </c>
      <c r="E652" s="128" t="str" cm="1">
        <f t="array" ref="E652">IFERROR(INDEX(SubcategoriesTable[Subcategory name],MATCH(Table1[[#This Row],[Category]],SubcategoriesTable[Category name],0),0),"")</f>
        <v>Variable</v>
      </c>
      <c r="F652" s="134">
        <v>-300</v>
      </c>
      <c r="G652" s="167" t="str">
        <f>_xlfn.XLOOKUP(Table1[[#This Row],[Account_ID]], Accounts[ID], Accounts[Account nickname], "Unknown")</f>
        <v>EVERYDAY CHECKING</v>
      </c>
      <c r="H652" s="137" t="str">
        <f>_xlfn.XLOOKUP(Table1[[#This Row],[Account_ID]], Accounts[ID], Accounts[Account'#], "Unknown")</f>
        <v>4636</v>
      </c>
      <c r="I652" s="168" t="str">
        <f>_xlfn.XLOOKUP(Table1[[#This Row],[Institution_ID]], Institutions[ID], Institutions[Institution nickname], "Unknown")</f>
        <v>Wells Fargo</v>
      </c>
      <c r="J652" s="139" t="s">
        <v>1531</v>
      </c>
      <c r="K652" s="129" t="s">
        <v>1229</v>
      </c>
      <c r="L652" s="129" t="s">
        <v>1228</v>
      </c>
      <c r="M652" s="130" t="str" cm="1">
        <f t="array" ref="M652">IFERROR(INDEX(CategoriesTable[Category type],MATCH(Table1[[#This Row],[Category]],CategoriesTable[Category name],0),0),"")</f>
        <v>Transfer</v>
      </c>
      <c r="N652" s="130" t="str" cm="1">
        <f t="array" ref="N652">IFERROR(INDEX(SubcategoriesTable[Subcategory name],MATCH(Table1[[#This Row],[Category]],SubcategoriesTable[Category name],0),0),"")</f>
        <v>Variable</v>
      </c>
      <c r="O652" s="130">
        <v>31</v>
      </c>
      <c r="P652" s="130">
        <f>MONTH(Table1[[#This Row],[Date]])</f>
        <v>8</v>
      </c>
      <c r="Q652" s="130">
        <v>2020</v>
      </c>
      <c r="R652" s="166">
        <f>IF(ISBLANK(Table1[[#This Row],[Date]]),"",Table1[[#This Row],[Date]]-WEEKDAY(Table1[[#This Row],[Date]],2)+1)</f>
        <v>44074</v>
      </c>
      <c r="S652" s="131">
        <f>IF(ISBLANK(Table1[[#This Row],[Date]]),"",DATE(Table1[[#This Row],[Date_Year]],Table1[[#This Row],[Date_Month]],1))</f>
        <v>44044</v>
      </c>
    </row>
    <row r="653" spans="2:19" ht="15.75" x14ac:dyDescent="0.25">
      <c r="B653" s="133">
        <v>44074</v>
      </c>
      <c r="C653" s="128" t="s">
        <v>508</v>
      </c>
      <c r="D653" s="128" t="s">
        <v>50</v>
      </c>
      <c r="E653" s="128" t="str" cm="1">
        <f t="array" ref="E653">IFERROR(INDEX(SubcategoriesTable[Subcategory name],MATCH(Table1[[#This Row],[Category]],SubcategoriesTable[Category name],0),0),"")</f>
        <v>Variable</v>
      </c>
      <c r="F653" s="134">
        <v>700</v>
      </c>
      <c r="G653" s="167" t="str">
        <f>_xlfn.XLOOKUP(Table1[[#This Row],[Account_ID]], Accounts[ID], Accounts[Account nickname], "Unknown")</f>
        <v>EVERYDAY CHECKING</v>
      </c>
      <c r="H653" s="137" t="str">
        <f>_xlfn.XLOOKUP(Table1[[#This Row],[Account_ID]], Accounts[ID], Accounts[Account'#], "Unknown")</f>
        <v>4636</v>
      </c>
      <c r="I653" s="168" t="str">
        <f>_xlfn.XLOOKUP(Table1[[#This Row],[Institution_ID]], Institutions[ID], Institutions[Institution nickname], "Unknown")</f>
        <v>Wells Fargo</v>
      </c>
      <c r="J653" s="139" t="s">
        <v>1532</v>
      </c>
      <c r="K653" s="129" t="s">
        <v>1229</v>
      </c>
      <c r="L653" s="129" t="s">
        <v>1228</v>
      </c>
      <c r="M653" s="130" t="str" cm="1">
        <f t="array" ref="M653">IFERROR(INDEX(CategoriesTable[Category type],MATCH(Table1[[#This Row],[Category]],CategoriesTable[Category name],0),0),"")</f>
        <v>Transfer</v>
      </c>
      <c r="N653" s="130" t="str" cm="1">
        <f t="array" ref="N653">IFERROR(INDEX(SubcategoriesTable[Subcategory name],MATCH(Table1[[#This Row],[Category]],SubcategoriesTable[Category name],0),0),"")</f>
        <v>Variable</v>
      </c>
      <c r="O653" s="130">
        <v>31</v>
      </c>
      <c r="P653" s="130">
        <f>MONTH(Table1[[#This Row],[Date]])</f>
        <v>8</v>
      </c>
      <c r="Q653" s="130">
        <v>2020</v>
      </c>
      <c r="R653" s="166">
        <f>IF(ISBLANK(Table1[[#This Row],[Date]]),"",Table1[[#This Row],[Date]]-WEEKDAY(Table1[[#This Row],[Date]],2)+1)</f>
        <v>44074</v>
      </c>
      <c r="S653" s="131">
        <f>IF(ISBLANK(Table1[[#This Row],[Date]]),"",DATE(Table1[[#This Row],[Date_Year]],Table1[[#This Row],[Date_Month]],1))</f>
        <v>44044</v>
      </c>
    </row>
    <row r="654" spans="2:19" ht="15.75" x14ac:dyDescent="0.25">
      <c r="B654" s="133">
        <v>44073</v>
      </c>
      <c r="C654" s="128" t="s">
        <v>50</v>
      </c>
      <c r="D654" s="128" t="s">
        <v>1204</v>
      </c>
      <c r="E654" s="128"/>
      <c r="F654" s="134">
        <v>200</v>
      </c>
      <c r="G654" s="167" t="str">
        <f>_xlfn.XLOOKUP(Table1[[#This Row],[Account_ID]], Accounts[ID], Accounts[Account nickname], "Unknown")</f>
        <v>Checking - 4480</v>
      </c>
      <c r="H654" s="137" t="str">
        <f>_xlfn.XLOOKUP(Table1[[#This Row],[Account_ID]], Accounts[ID], Accounts[Account'#], "Unknown")</f>
        <v>4480</v>
      </c>
      <c r="I654" s="168" t="str">
        <f>_xlfn.XLOOKUP(Table1[[#This Row],[Institution_ID]], Institutions[ID], Institutions[Institution nickname], "Unknown")</f>
        <v>Robinhood</v>
      </c>
      <c r="J654" s="139" t="s">
        <v>1241</v>
      </c>
      <c r="K654" s="129" t="s">
        <v>1208</v>
      </c>
      <c r="L654" s="173" t="s">
        <v>1207</v>
      </c>
      <c r="M654" s="130" t="str" cm="1">
        <f t="array" ref="M654">IFERROR(INDEX(CategoriesTable[Category type],MATCH(Table1[[#This Row],[Category]],CategoriesTable[Category name],0),0),"")</f>
        <v>Savings</v>
      </c>
      <c r="N654" s="130" t="str" cm="1">
        <f t="array" ref="N654">IFERROR(INDEX(SubcategoriesTable[Subcategory name],MATCH(Table1[[#This Row],[Category]],SubcategoriesTable[Category name],0),0),"")</f>
        <v>Variable</v>
      </c>
      <c r="O654" s="130">
        <v>30</v>
      </c>
      <c r="P654" s="130">
        <f>MONTH(Table1[[#This Row],[Date]])</f>
        <v>8</v>
      </c>
      <c r="Q654" s="130">
        <v>2020</v>
      </c>
      <c r="R654" s="166">
        <f>IF(ISBLANK(Table1[[#This Row],[Date]]),"",Table1[[#This Row],[Date]]-WEEKDAY(Table1[[#This Row],[Date]],2)+1)</f>
        <v>44067</v>
      </c>
      <c r="S654" s="131">
        <f>IF(ISBLANK(Table1[[#This Row],[Date]]),"",DATE(Table1[[#This Row],[Date_Year]],Table1[[#This Row],[Date_Month]],1))</f>
        <v>44044</v>
      </c>
    </row>
    <row r="655" spans="2:19" ht="15.75" x14ac:dyDescent="0.25">
      <c r="B655" s="133">
        <v>44072</v>
      </c>
      <c r="C655" s="128" t="s">
        <v>380</v>
      </c>
      <c r="D655" s="128" t="s">
        <v>46</v>
      </c>
      <c r="E655" s="128" t="str" cm="1">
        <f t="array" ref="E655">IFERROR(INDEX(SubcategoriesTable[Subcategory name],MATCH(Table1[[#This Row],[Category]],SubcategoriesTable[Category name],0),0),"")</f>
        <v>Variable</v>
      </c>
      <c r="F655" s="134">
        <v>2.99</v>
      </c>
      <c r="G655" s="167" t="str">
        <f>_xlfn.XLOOKUP(Table1[[#This Row],[Account_ID]], Accounts[ID], Accounts[Account nickname], "Unknown")</f>
        <v>Discover it chrome Card</v>
      </c>
      <c r="H655" s="137" t="str">
        <f>_xlfn.XLOOKUP(Table1[[#This Row],[Account_ID]], Accounts[ID], Accounts[Account'#], "Unknown")</f>
        <v>7328</v>
      </c>
      <c r="I655" s="168" t="str">
        <f>_xlfn.XLOOKUP(Table1[[#This Row],[Institution_ID]], Institutions[ID], Institutions[Institution nickname], "Unknown")</f>
        <v>Discover</v>
      </c>
      <c r="J655" s="139" t="s">
        <v>718</v>
      </c>
      <c r="K655" s="129" t="s">
        <v>110</v>
      </c>
      <c r="L655" s="129" t="s">
        <v>108</v>
      </c>
      <c r="M655" s="130" t="str" cm="1">
        <f t="array" ref="M655">IFERROR(INDEX(CategoriesTable[Category type],MATCH(Table1[[#This Row],[Category]],CategoriesTable[Category name],0),0),"")</f>
        <v>Expense</v>
      </c>
      <c r="N655" s="130" t="str" cm="1">
        <f t="array" ref="N655">IFERROR(INDEX(SubcategoriesTable[Subcategory name],MATCH(Table1[[#This Row],[Category]],SubcategoriesTable[Category name],0),0),"")</f>
        <v>Variable</v>
      </c>
      <c r="O655" s="130">
        <v>29</v>
      </c>
      <c r="P655" s="130">
        <f>MONTH(Table1[[#This Row],[Date]])</f>
        <v>8</v>
      </c>
      <c r="Q655" s="130">
        <v>2020</v>
      </c>
      <c r="R655" s="166">
        <f>IF(ISBLANK(Table1[[#This Row],[Date]]),"",Table1[[#This Row],[Date]]-WEEKDAY(Table1[[#This Row],[Date]],2)+1)</f>
        <v>44067</v>
      </c>
      <c r="S655" s="131">
        <f>IF(ISBLANK(Table1[[#This Row],[Date]]),"",DATE(Table1[[#This Row],[Date_Year]],Table1[[#This Row],[Date_Month]],1))</f>
        <v>44044</v>
      </c>
    </row>
    <row r="656" spans="2:19" ht="15.75" x14ac:dyDescent="0.25">
      <c r="B656" s="133">
        <v>44072</v>
      </c>
      <c r="C656" s="128" t="s">
        <v>380</v>
      </c>
      <c r="D656" s="128" t="s">
        <v>46</v>
      </c>
      <c r="E656" s="128" t="str" cm="1">
        <f t="array" ref="E656">IFERROR(INDEX(SubcategoriesTable[Subcategory name],MATCH(Table1[[#This Row],[Category]],SubcategoriesTable[Category name],0),0),"")</f>
        <v>Variable</v>
      </c>
      <c r="F656" s="134">
        <v>-20.96</v>
      </c>
      <c r="G656" s="167" t="str">
        <f>_xlfn.XLOOKUP(Table1[[#This Row],[Account_ID]], Accounts[ID], Accounts[Account nickname], "Unknown")</f>
        <v>Discover it chrome Card</v>
      </c>
      <c r="H656" s="137" t="str">
        <f>_xlfn.XLOOKUP(Table1[[#This Row],[Account_ID]], Accounts[ID], Accounts[Account'#], "Unknown")</f>
        <v>7328</v>
      </c>
      <c r="I656" s="168" t="str">
        <f>_xlfn.XLOOKUP(Table1[[#This Row],[Institution_ID]], Institutions[ID], Institutions[Institution nickname], "Unknown")</f>
        <v>Discover</v>
      </c>
      <c r="J656" s="139" t="s">
        <v>719</v>
      </c>
      <c r="K656" s="129" t="s">
        <v>110</v>
      </c>
      <c r="L656" s="129" t="s">
        <v>108</v>
      </c>
      <c r="M656" s="130" t="str" cm="1">
        <f t="array" ref="M656">IFERROR(INDEX(CategoriesTable[Category type],MATCH(Table1[[#This Row],[Category]],CategoriesTable[Category name],0),0),"")</f>
        <v>Expense</v>
      </c>
      <c r="N656" s="130" t="str" cm="1">
        <f t="array" ref="N656">IFERROR(INDEX(SubcategoriesTable[Subcategory name],MATCH(Table1[[#This Row],[Category]],SubcategoriesTable[Category name],0),0),"")</f>
        <v>Variable</v>
      </c>
      <c r="O656" s="130">
        <v>29</v>
      </c>
      <c r="P656" s="130">
        <f>MONTH(Table1[[#This Row],[Date]])</f>
        <v>8</v>
      </c>
      <c r="Q656" s="130">
        <v>2020</v>
      </c>
      <c r="R656" s="166">
        <f>IF(ISBLANK(Table1[[#This Row],[Date]]),"",Table1[[#This Row],[Date]]-WEEKDAY(Table1[[#This Row],[Date]],2)+1)</f>
        <v>44067</v>
      </c>
      <c r="S656" s="131">
        <f>IF(ISBLANK(Table1[[#This Row],[Date]]),"",DATE(Table1[[#This Row],[Date_Year]],Table1[[#This Row],[Date_Month]],1))</f>
        <v>44044</v>
      </c>
    </row>
    <row r="657" spans="2:19" ht="15.75" x14ac:dyDescent="0.25">
      <c r="B657" s="133">
        <v>44072</v>
      </c>
      <c r="C657" s="128" t="s">
        <v>720</v>
      </c>
      <c r="D657" s="128" t="s">
        <v>56</v>
      </c>
      <c r="E657" s="128" t="str" cm="1">
        <f t="array" ref="E657">IFERROR(INDEX(SubcategoriesTable[Subcategory name],MATCH(Table1[[#This Row],[Category]],SubcategoriesTable[Category name],0),0),"")</f>
        <v>Variable</v>
      </c>
      <c r="F657" s="134">
        <v>-29.95</v>
      </c>
      <c r="G657" s="167" t="str">
        <f>_xlfn.XLOOKUP(Table1[[#This Row],[Account_ID]], Accounts[ID], Accounts[Account nickname], "Unknown")</f>
        <v>Discover it chrome Card</v>
      </c>
      <c r="H657" s="137" t="str">
        <f>_xlfn.XLOOKUP(Table1[[#This Row],[Account_ID]], Accounts[ID], Accounts[Account'#], "Unknown")</f>
        <v>7328</v>
      </c>
      <c r="I657" s="168" t="str">
        <f>_xlfn.XLOOKUP(Table1[[#This Row],[Institution_ID]], Institutions[ID], Institutions[Institution nickname], "Unknown")</f>
        <v>Discover</v>
      </c>
      <c r="J657" s="139" t="s">
        <v>721</v>
      </c>
      <c r="K657" s="129" t="s">
        <v>110</v>
      </c>
      <c r="L657" s="129" t="s">
        <v>108</v>
      </c>
      <c r="M657" s="130" t="str" cm="1">
        <f t="array" ref="M657">IFERROR(INDEX(CategoriesTable[Category type],MATCH(Table1[[#This Row],[Category]],CategoriesTable[Category name],0),0),"")</f>
        <v>Expense</v>
      </c>
      <c r="N657" s="130" t="str" cm="1">
        <f t="array" ref="N657">IFERROR(INDEX(SubcategoriesTable[Subcategory name],MATCH(Table1[[#This Row],[Category]],SubcategoriesTable[Category name],0),0),"")</f>
        <v>Variable</v>
      </c>
      <c r="O657" s="130">
        <v>29</v>
      </c>
      <c r="P657" s="130">
        <f>MONTH(Table1[[#This Row],[Date]])</f>
        <v>8</v>
      </c>
      <c r="Q657" s="130">
        <v>2020</v>
      </c>
      <c r="R657" s="166">
        <f>IF(ISBLANK(Table1[[#This Row],[Date]]),"",Table1[[#This Row],[Date]]-WEEKDAY(Table1[[#This Row],[Date]],2)+1)</f>
        <v>44067</v>
      </c>
      <c r="S657" s="131">
        <f>IF(ISBLANK(Table1[[#This Row],[Date]]),"",DATE(Table1[[#This Row],[Date_Year]],Table1[[#This Row],[Date_Month]],1))</f>
        <v>44044</v>
      </c>
    </row>
    <row r="658" spans="2:19" ht="15.75" x14ac:dyDescent="0.25">
      <c r="B658" s="133">
        <v>44071</v>
      </c>
      <c r="C658" s="128" t="s">
        <v>1503</v>
      </c>
      <c r="D658" s="128" t="s">
        <v>51</v>
      </c>
      <c r="E658" s="128" t="str" cm="1">
        <f t="array" ref="E658">IFERROR(INDEX(SubcategoriesTable[Subcategory name],MATCH(Table1[[#This Row],[Category]],SubcategoriesTable[Category name],0),0),"")</f>
        <v>Variable</v>
      </c>
      <c r="F658" s="134">
        <v>-9.9499999999999993</v>
      </c>
      <c r="G658" s="167" t="str">
        <f>_xlfn.XLOOKUP(Table1[[#This Row],[Account_ID]], Accounts[ID], Accounts[Account nickname], "Unknown")</f>
        <v>EVERYDAY CHECKING</v>
      </c>
      <c r="H658" s="137" t="str">
        <f>_xlfn.XLOOKUP(Table1[[#This Row],[Account_ID]], Accounts[ID], Accounts[Account'#], "Unknown")</f>
        <v>4636</v>
      </c>
      <c r="I658" s="168" t="str">
        <f>_xlfn.XLOOKUP(Table1[[#This Row],[Institution_ID]], Institutions[ID], Institutions[Institution nickname], "Unknown")</f>
        <v>Wells Fargo</v>
      </c>
      <c r="J658" s="139" t="s">
        <v>1533</v>
      </c>
      <c r="K658" s="129" t="s">
        <v>1229</v>
      </c>
      <c r="L658" s="129" t="s">
        <v>1228</v>
      </c>
      <c r="M658" s="130" t="str" cm="1">
        <f t="array" ref="M658">IFERROR(INDEX(CategoriesTable[Category type],MATCH(Table1[[#This Row],[Category]],CategoriesTable[Category name],0),0),"")</f>
        <v>Expense</v>
      </c>
      <c r="N658" s="130" t="str" cm="1">
        <f t="array" ref="N658">IFERROR(INDEX(SubcategoriesTable[Subcategory name],MATCH(Table1[[#This Row],[Category]],SubcategoriesTable[Category name],0),0),"")</f>
        <v>Variable</v>
      </c>
      <c r="O658" s="130">
        <v>28</v>
      </c>
      <c r="P658" s="130">
        <f>MONTH(Table1[[#This Row],[Date]])</f>
        <v>8</v>
      </c>
      <c r="Q658" s="130">
        <v>2020</v>
      </c>
      <c r="R658" s="166">
        <f>IF(ISBLANK(Table1[[#This Row],[Date]]),"",Table1[[#This Row],[Date]]-WEEKDAY(Table1[[#This Row],[Date]],2)+1)</f>
        <v>44067</v>
      </c>
      <c r="S658" s="131">
        <f>IF(ISBLANK(Table1[[#This Row],[Date]]),"",DATE(Table1[[#This Row],[Date_Year]],Table1[[#This Row],[Date_Month]],1))</f>
        <v>44044</v>
      </c>
    </row>
    <row r="659" spans="2:19" ht="15.75" x14ac:dyDescent="0.25">
      <c r="B659" s="133">
        <v>44071</v>
      </c>
      <c r="C659" s="128" t="s">
        <v>1180</v>
      </c>
      <c r="D659" s="128" t="s">
        <v>50</v>
      </c>
      <c r="E659" s="128" t="str" cm="1">
        <f t="array" ref="E659">IFERROR(INDEX(SubcategoriesTable[Subcategory name],MATCH(Table1[[#This Row],[Category]],SubcategoriesTable[Category name],0),0),"")</f>
        <v>Variable</v>
      </c>
      <c r="F659" s="134">
        <v>-800</v>
      </c>
      <c r="G659" s="167" t="str">
        <f>_xlfn.XLOOKUP(Table1[[#This Row],[Account_ID]], Accounts[ID], Accounts[Account nickname], "Unknown")</f>
        <v>EVERYDAY CHECKING</v>
      </c>
      <c r="H659" s="137" t="str">
        <f>_xlfn.XLOOKUP(Table1[[#This Row],[Account_ID]], Accounts[ID], Accounts[Account'#], "Unknown")</f>
        <v>4636</v>
      </c>
      <c r="I659" s="168" t="str">
        <f>_xlfn.XLOOKUP(Table1[[#This Row],[Institution_ID]], Institutions[ID], Institutions[Institution nickname], "Unknown")</f>
        <v>Wells Fargo</v>
      </c>
      <c r="J659" s="139" t="s">
        <v>1534</v>
      </c>
      <c r="K659" s="129" t="s">
        <v>1229</v>
      </c>
      <c r="L659" s="129" t="s">
        <v>1228</v>
      </c>
      <c r="M659" s="130" t="str" cm="1">
        <f t="array" ref="M659">IFERROR(INDEX(CategoriesTable[Category type],MATCH(Table1[[#This Row],[Category]],CategoriesTable[Category name],0),0),"")</f>
        <v>Transfer</v>
      </c>
      <c r="N659" s="130" t="str" cm="1">
        <f t="array" ref="N659">IFERROR(INDEX(SubcategoriesTable[Subcategory name],MATCH(Table1[[#This Row],[Category]],SubcategoriesTable[Category name],0),0),"")</f>
        <v>Variable</v>
      </c>
      <c r="O659" s="130">
        <v>28</v>
      </c>
      <c r="P659" s="130">
        <f>MONTH(Table1[[#This Row],[Date]])</f>
        <v>8</v>
      </c>
      <c r="Q659" s="130">
        <v>2020</v>
      </c>
      <c r="R659" s="166">
        <f>IF(ISBLANK(Table1[[#This Row],[Date]]),"",Table1[[#This Row],[Date]]-WEEKDAY(Table1[[#This Row],[Date]],2)+1)</f>
        <v>44067</v>
      </c>
      <c r="S659" s="131">
        <f>IF(ISBLANK(Table1[[#This Row],[Date]]),"",DATE(Table1[[#This Row],[Date_Year]],Table1[[#This Row],[Date_Month]],1))</f>
        <v>44044</v>
      </c>
    </row>
    <row r="660" spans="2:19" ht="15.75" x14ac:dyDescent="0.25">
      <c r="B660" s="133">
        <v>44071</v>
      </c>
      <c r="C660" s="128" t="s">
        <v>1181</v>
      </c>
      <c r="D660" s="128" t="s">
        <v>59</v>
      </c>
      <c r="E660" s="128" t="str" cm="1">
        <f t="array" ref="E660">IFERROR(INDEX(SubcategoriesTable[Subcategory name],MATCH(Table1[[#This Row],[Category]],SubcategoriesTable[Category name],0),0),"")</f>
        <v>Fixed</v>
      </c>
      <c r="F660" s="134">
        <v>1450.15</v>
      </c>
      <c r="G660" s="167" t="str">
        <f>_xlfn.XLOOKUP(Table1[[#This Row],[Account_ID]], Accounts[ID], Accounts[Account nickname], "Unknown")</f>
        <v>EVERYDAY CHECKING</v>
      </c>
      <c r="H660" s="137" t="str">
        <f>_xlfn.XLOOKUP(Table1[[#This Row],[Account_ID]], Accounts[ID], Accounts[Account'#], "Unknown")</f>
        <v>4636</v>
      </c>
      <c r="I660" s="168" t="str">
        <f>_xlfn.XLOOKUP(Table1[[#This Row],[Institution_ID]], Institutions[ID], Institutions[Institution nickname], "Unknown")</f>
        <v>Wells Fargo</v>
      </c>
      <c r="J660" s="139" t="s">
        <v>1535</v>
      </c>
      <c r="K660" s="129" t="s">
        <v>1229</v>
      </c>
      <c r="L660" s="129" t="s">
        <v>1228</v>
      </c>
      <c r="M660" s="130" t="str" cm="1">
        <f t="array" ref="M660">IFERROR(INDEX(CategoriesTable[Category type],MATCH(Table1[[#This Row],[Category]],CategoriesTable[Category name],0),0),"")</f>
        <v>Income</v>
      </c>
      <c r="N660" s="130" t="str" cm="1">
        <f t="array" ref="N660">IFERROR(INDEX(SubcategoriesTable[Subcategory name],MATCH(Table1[[#This Row],[Category]],SubcategoriesTable[Category name],0),0),"")</f>
        <v>Fixed</v>
      </c>
      <c r="O660" s="130">
        <v>28</v>
      </c>
      <c r="P660" s="130">
        <f>MONTH(Table1[[#This Row],[Date]])</f>
        <v>8</v>
      </c>
      <c r="Q660" s="130">
        <v>2020</v>
      </c>
      <c r="R660" s="166">
        <f>IF(ISBLANK(Table1[[#This Row],[Date]]),"",Table1[[#This Row],[Date]]-WEEKDAY(Table1[[#This Row],[Date]],2)+1)</f>
        <v>44067</v>
      </c>
      <c r="S660" s="131">
        <f>IF(ISBLANK(Table1[[#This Row],[Date]]),"",DATE(Table1[[#This Row],[Date_Year]],Table1[[#This Row],[Date_Month]],1))</f>
        <v>44044</v>
      </c>
    </row>
    <row r="661" spans="2:19" ht="15.75" x14ac:dyDescent="0.25">
      <c r="B661" s="133">
        <v>44071</v>
      </c>
      <c r="C661" s="128" t="s">
        <v>1183</v>
      </c>
      <c r="D661" s="128" t="s">
        <v>1204</v>
      </c>
      <c r="E661" s="128" t="str" cm="1">
        <f t="array" ref="E661">IFERROR(INDEX(SubcategoriesTable[Subcategory name],MATCH(Table1[[#This Row],[Category]],SubcategoriesTable[Category name],0),0),"")</f>
        <v>Variable</v>
      </c>
      <c r="F661" s="134">
        <v>-10</v>
      </c>
      <c r="G661" s="167" t="str">
        <f>_xlfn.XLOOKUP(Table1[[#This Row],[Account_ID]], Accounts[ID], Accounts[Account nickname], "Unknown")</f>
        <v>EVERYDAY CHECKING</v>
      </c>
      <c r="H661" s="137" t="str">
        <f>_xlfn.XLOOKUP(Table1[[#This Row],[Account_ID]], Accounts[ID], Accounts[Account'#], "Unknown")</f>
        <v>4636</v>
      </c>
      <c r="I661" s="168" t="str">
        <f>_xlfn.XLOOKUP(Table1[[#This Row],[Institution_ID]], Institutions[ID], Institutions[Institution nickname], "Unknown")</f>
        <v>Wells Fargo</v>
      </c>
      <c r="J661" s="139" t="s">
        <v>1536</v>
      </c>
      <c r="K661" s="129" t="s">
        <v>1229</v>
      </c>
      <c r="L661" s="129" t="s">
        <v>1228</v>
      </c>
      <c r="M661" s="130" t="str" cm="1">
        <f t="array" ref="M661">IFERROR(INDEX(CategoriesTable[Category type],MATCH(Table1[[#This Row],[Category]],CategoriesTable[Category name],0),0),"")</f>
        <v>Savings</v>
      </c>
      <c r="N661" s="130" t="str" cm="1">
        <f t="array" ref="N661">IFERROR(INDEX(SubcategoriesTable[Subcategory name],MATCH(Table1[[#This Row],[Category]],SubcategoriesTable[Category name],0),0),"")</f>
        <v>Variable</v>
      </c>
      <c r="O661" s="130">
        <v>28</v>
      </c>
      <c r="P661" s="130">
        <f>MONTH(Table1[[#This Row],[Date]])</f>
        <v>8</v>
      </c>
      <c r="Q661" s="130">
        <v>2020</v>
      </c>
      <c r="R661" s="166">
        <f>IF(ISBLANK(Table1[[#This Row],[Date]]),"",Table1[[#This Row],[Date]]-WEEKDAY(Table1[[#This Row],[Date]],2)+1)</f>
        <v>44067</v>
      </c>
      <c r="S661" s="131">
        <f>IF(ISBLANK(Table1[[#This Row],[Date]]),"",DATE(Table1[[#This Row],[Date_Year]],Table1[[#This Row],[Date_Month]],1))</f>
        <v>44044</v>
      </c>
    </row>
    <row r="662" spans="2:19" ht="15.75" x14ac:dyDescent="0.25">
      <c r="B662" s="133">
        <v>44071</v>
      </c>
      <c r="C662" s="128" t="s">
        <v>1198</v>
      </c>
      <c r="D662" s="128" t="s">
        <v>58</v>
      </c>
      <c r="E662" s="128" t="str" cm="1">
        <f t="array" ref="E662">IFERROR(INDEX(SubcategoriesTable[Subcategory name],MATCH(Table1[[#This Row],[Category]],SubcategoriesTable[Category name],0),0),"")</f>
        <v>Fixed</v>
      </c>
      <c r="F662" s="134">
        <v>-50</v>
      </c>
      <c r="G662" s="167" t="str">
        <f>_xlfn.XLOOKUP(Table1[[#This Row],[Account_ID]], Accounts[ID], Accounts[Account nickname], "Unknown")</f>
        <v>EVERYDAY CHECKING</v>
      </c>
      <c r="H662" s="137" t="str">
        <f>_xlfn.XLOOKUP(Table1[[#This Row],[Account_ID]], Accounts[ID], Accounts[Account'#], "Unknown")</f>
        <v>4636</v>
      </c>
      <c r="I662" s="168" t="str">
        <f>_xlfn.XLOOKUP(Table1[[#This Row],[Institution_ID]], Institutions[ID], Institutions[Institution nickname], "Unknown")</f>
        <v>Wells Fargo</v>
      </c>
      <c r="J662" s="139" t="s">
        <v>1537</v>
      </c>
      <c r="K662" s="129" t="s">
        <v>1229</v>
      </c>
      <c r="L662" s="129" t="s">
        <v>1228</v>
      </c>
      <c r="M662" s="130" t="str" cm="1">
        <f t="array" ref="M662">IFERROR(INDEX(CategoriesTable[Category type],MATCH(Table1[[#This Row],[Category]],CategoriesTable[Category name],0),0),"")</f>
        <v>Expense</v>
      </c>
      <c r="N662" s="130" t="str" cm="1">
        <f t="array" ref="N662">IFERROR(INDEX(SubcategoriesTable[Subcategory name],MATCH(Table1[[#This Row],[Category]],SubcategoriesTable[Category name],0),0),"")</f>
        <v>Fixed</v>
      </c>
      <c r="O662" s="130">
        <v>28</v>
      </c>
      <c r="P662" s="130">
        <f>MONTH(Table1[[#This Row],[Date]])</f>
        <v>8</v>
      </c>
      <c r="Q662" s="130">
        <v>2020</v>
      </c>
      <c r="R662" s="166">
        <f>IF(ISBLANK(Table1[[#This Row],[Date]]),"",Table1[[#This Row],[Date]]-WEEKDAY(Table1[[#This Row],[Date]],2)+1)</f>
        <v>44067</v>
      </c>
      <c r="S662" s="131">
        <f>IF(ISBLANK(Table1[[#This Row],[Date]]),"",DATE(Table1[[#This Row],[Date_Year]],Table1[[#This Row],[Date_Month]],1))</f>
        <v>44044</v>
      </c>
    </row>
    <row r="663" spans="2:19" ht="15.75" x14ac:dyDescent="0.25">
      <c r="B663" s="133">
        <v>44071</v>
      </c>
      <c r="C663" s="128" t="s">
        <v>50</v>
      </c>
      <c r="D663" s="128" t="s">
        <v>1204</v>
      </c>
      <c r="E663" s="128"/>
      <c r="F663" s="134">
        <v>25</v>
      </c>
      <c r="G663" s="167" t="str">
        <f>_xlfn.XLOOKUP(Table1[[#This Row],[Account_ID]], Accounts[ID], Accounts[Account nickname], "Unknown")</f>
        <v>Checking - 4480</v>
      </c>
      <c r="H663" s="137" t="str">
        <f>_xlfn.XLOOKUP(Table1[[#This Row],[Account_ID]], Accounts[ID], Accounts[Account'#], "Unknown")</f>
        <v>4480</v>
      </c>
      <c r="I663" s="168" t="str">
        <f>_xlfn.XLOOKUP(Table1[[#This Row],[Institution_ID]], Institutions[ID], Institutions[Institution nickname], "Unknown")</f>
        <v>Robinhood</v>
      </c>
      <c r="J663" s="139" t="s">
        <v>1242</v>
      </c>
      <c r="K663" s="129" t="s">
        <v>1208</v>
      </c>
      <c r="L663" s="173" t="s">
        <v>1207</v>
      </c>
      <c r="M663" s="130" t="str" cm="1">
        <f t="array" ref="M663">IFERROR(INDEX(CategoriesTable[Category type],MATCH(Table1[[#This Row],[Category]],CategoriesTable[Category name],0),0),"")</f>
        <v>Savings</v>
      </c>
      <c r="N663" s="130" t="str" cm="1">
        <f t="array" ref="N663">IFERROR(INDEX(SubcategoriesTable[Subcategory name],MATCH(Table1[[#This Row],[Category]],SubcategoriesTable[Category name],0),0),"")</f>
        <v>Variable</v>
      </c>
      <c r="O663" s="130">
        <v>28</v>
      </c>
      <c r="P663" s="130">
        <f>MONTH(Table1[[#This Row],[Date]])</f>
        <v>8</v>
      </c>
      <c r="Q663" s="130">
        <v>2020</v>
      </c>
      <c r="R663" s="166">
        <f>IF(ISBLANK(Table1[[#This Row],[Date]]),"",Table1[[#This Row],[Date]]-WEEKDAY(Table1[[#This Row],[Date]],2)+1)</f>
        <v>44067</v>
      </c>
      <c r="S663" s="131">
        <f>IF(ISBLANK(Table1[[#This Row],[Date]]),"",DATE(Table1[[#This Row],[Date_Year]],Table1[[#This Row],[Date_Month]],1))</f>
        <v>44044</v>
      </c>
    </row>
    <row r="664" spans="2:19" ht="15.75" x14ac:dyDescent="0.25">
      <c r="B664" s="133">
        <v>44071</v>
      </c>
      <c r="C664" s="128" t="s">
        <v>610</v>
      </c>
      <c r="D664" s="128" t="s">
        <v>45</v>
      </c>
      <c r="E664" s="128" t="str" cm="1">
        <f t="array" ref="E664">IFERROR(INDEX(SubcategoriesTable[Subcategory name],MATCH(Table1[[#This Row],[Category]],SubcategoriesTable[Category name],0),0),"")</f>
        <v>Variable</v>
      </c>
      <c r="F664" s="134">
        <v>-10</v>
      </c>
      <c r="G664" s="167" t="str">
        <f>_xlfn.XLOOKUP(Table1[[#This Row],[Account_ID]], Accounts[ID], Accounts[Account nickname], "Unknown")</f>
        <v>Discover it chrome Card</v>
      </c>
      <c r="H664" s="137" t="str">
        <f>_xlfn.XLOOKUP(Table1[[#This Row],[Account_ID]], Accounts[ID], Accounts[Account'#], "Unknown")</f>
        <v>7328</v>
      </c>
      <c r="I664" s="168" t="str">
        <f>_xlfn.XLOOKUP(Table1[[#This Row],[Institution_ID]], Institutions[ID], Institutions[Institution nickname], "Unknown")</f>
        <v>Discover</v>
      </c>
      <c r="J664" s="139" t="s">
        <v>722</v>
      </c>
      <c r="K664" s="129" t="s">
        <v>110</v>
      </c>
      <c r="L664" s="129" t="s">
        <v>108</v>
      </c>
      <c r="M664" s="130" t="str" cm="1">
        <f t="array" ref="M664">IFERROR(INDEX(CategoriesTable[Category type],MATCH(Table1[[#This Row],[Category]],CategoriesTable[Category name],0),0),"")</f>
        <v>Expense</v>
      </c>
      <c r="N664" s="130" t="str" cm="1">
        <f t="array" ref="N664">IFERROR(INDEX(SubcategoriesTable[Subcategory name],MATCH(Table1[[#This Row],[Category]],SubcategoriesTable[Category name],0),0),"")</f>
        <v>Variable</v>
      </c>
      <c r="O664" s="130">
        <v>28</v>
      </c>
      <c r="P664" s="130">
        <f>MONTH(Table1[[#This Row],[Date]])</f>
        <v>8</v>
      </c>
      <c r="Q664" s="130">
        <v>2020</v>
      </c>
      <c r="R664" s="166">
        <f>IF(ISBLANK(Table1[[#This Row],[Date]]),"",Table1[[#This Row],[Date]]-WEEKDAY(Table1[[#This Row],[Date]],2)+1)</f>
        <v>44067</v>
      </c>
      <c r="S664" s="131">
        <f>IF(ISBLANK(Table1[[#This Row],[Date]]),"",DATE(Table1[[#This Row],[Date_Year]],Table1[[#This Row],[Date_Month]],1))</f>
        <v>44044</v>
      </c>
    </row>
    <row r="665" spans="2:19" ht="15.75" x14ac:dyDescent="0.25">
      <c r="B665" s="133">
        <v>44071</v>
      </c>
      <c r="C665" s="128" t="s">
        <v>723</v>
      </c>
      <c r="D665" s="128" t="s">
        <v>45</v>
      </c>
      <c r="E665" s="128" t="str" cm="1">
        <f t="array" ref="E665">IFERROR(INDEX(SubcategoriesTable[Subcategory name],MATCH(Table1[[#This Row],[Category]],SubcategoriesTable[Category name],0),0),"")</f>
        <v>Variable</v>
      </c>
      <c r="F665" s="134">
        <v>-3.38</v>
      </c>
      <c r="G665" s="167" t="str">
        <f>_xlfn.XLOOKUP(Table1[[#This Row],[Account_ID]], Accounts[ID], Accounts[Account nickname], "Unknown")</f>
        <v>Discover it chrome Card</v>
      </c>
      <c r="H665" s="137" t="str">
        <f>_xlfn.XLOOKUP(Table1[[#This Row],[Account_ID]], Accounts[ID], Accounts[Account'#], "Unknown")</f>
        <v>7328</v>
      </c>
      <c r="I665" s="168" t="str">
        <f>_xlfn.XLOOKUP(Table1[[#This Row],[Institution_ID]], Institutions[ID], Institutions[Institution nickname], "Unknown")</f>
        <v>Discover</v>
      </c>
      <c r="J665" s="139" t="s">
        <v>724</v>
      </c>
      <c r="K665" s="129" t="s">
        <v>110</v>
      </c>
      <c r="L665" s="129" t="s">
        <v>108</v>
      </c>
      <c r="M665" s="130" t="str" cm="1">
        <f t="array" ref="M665">IFERROR(INDEX(CategoriesTable[Category type],MATCH(Table1[[#This Row],[Category]],CategoriesTable[Category name],0),0),"")</f>
        <v>Expense</v>
      </c>
      <c r="N665" s="130" t="str" cm="1">
        <f t="array" ref="N665">IFERROR(INDEX(SubcategoriesTable[Subcategory name],MATCH(Table1[[#This Row],[Category]],SubcategoriesTable[Category name],0),0),"")</f>
        <v>Variable</v>
      </c>
      <c r="O665" s="130">
        <v>28</v>
      </c>
      <c r="P665" s="130">
        <f>MONTH(Table1[[#This Row],[Date]])</f>
        <v>8</v>
      </c>
      <c r="Q665" s="130">
        <v>2020</v>
      </c>
      <c r="R665" s="166">
        <f>IF(ISBLANK(Table1[[#This Row],[Date]]),"",Table1[[#This Row],[Date]]-WEEKDAY(Table1[[#This Row],[Date]],2)+1)</f>
        <v>44067</v>
      </c>
      <c r="S665" s="131">
        <f>IF(ISBLANK(Table1[[#This Row],[Date]]),"",DATE(Table1[[#This Row],[Date_Year]],Table1[[#This Row],[Date_Month]],1))</f>
        <v>44044</v>
      </c>
    </row>
    <row r="666" spans="2:19" ht="15.75" x14ac:dyDescent="0.25">
      <c r="B666" s="133">
        <v>44071</v>
      </c>
      <c r="C666" s="128" t="s">
        <v>113</v>
      </c>
      <c r="D666" s="128" t="s">
        <v>50</v>
      </c>
      <c r="E666" s="128" t="str" cm="1">
        <f t="array" ref="E666">IFERROR(INDEX(SubcategoriesTable[Subcategory name],MATCH(Table1[[#This Row],[Category]],SubcategoriesTable[Category name],0),0),"")</f>
        <v>Variable</v>
      </c>
      <c r="F666" s="134">
        <v>800</v>
      </c>
      <c r="G666" s="167" t="str">
        <f>_xlfn.XLOOKUP(Table1[[#This Row],[Account_ID]], Accounts[ID], Accounts[Account nickname], "Unknown")</f>
        <v>Discover it chrome Card</v>
      </c>
      <c r="H666" s="137" t="str">
        <f>_xlfn.XLOOKUP(Table1[[#This Row],[Account_ID]], Accounts[ID], Accounts[Account'#], "Unknown")</f>
        <v>7328</v>
      </c>
      <c r="I666" s="168" t="str">
        <f>_xlfn.XLOOKUP(Table1[[#This Row],[Institution_ID]], Institutions[ID], Institutions[Institution nickname], "Unknown")</f>
        <v>Discover</v>
      </c>
      <c r="J666" s="139" t="s">
        <v>725</v>
      </c>
      <c r="K666" s="129" t="s">
        <v>110</v>
      </c>
      <c r="L666" s="129" t="s">
        <v>108</v>
      </c>
      <c r="M666" s="130" t="str" cm="1">
        <f t="array" ref="M666">IFERROR(INDEX(CategoriesTable[Category type],MATCH(Table1[[#This Row],[Category]],CategoriesTable[Category name],0),0),"")</f>
        <v>Transfer</v>
      </c>
      <c r="N666" s="130" t="str" cm="1">
        <f t="array" ref="N666">IFERROR(INDEX(SubcategoriesTable[Subcategory name],MATCH(Table1[[#This Row],[Category]],SubcategoriesTable[Category name],0),0),"")</f>
        <v>Variable</v>
      </c>
      <c r="O666" s="130">
        <v>28</v>
      </c>
      <c r="P666" s="130">
        <f>MONTH(Table1[[#This Row],[Date]])</f>
        <v>8</v>
      </c>
      <c r="Q666" s="130">
        <v>2020</v>
      </c>
      <c r="R666" s="166">
        <f>IF(ISBLANK(Table1[[#This Row],[Date]]),"",Table1[[#This Row],[Date]]-WEEKDAY(Table1[[#This Row],[Date]],2)+1)</f>
        <v>44067</v>
      </c>
      <c r="S666" s="131">
        <f>IF(ISBLANK(Table1[[#This Row],[Date]]),"",DATE(Table1[[#This Row],[Date_Year]],Table1[[#This Row],[Date_Month]],1))</f>
        <v>44044</v>
      </c>
    </row>
    <row r="667" spans="2:19" ht="15.75" x14ac:dyDescent="0.25">
      <c r="B667" s="133">
        <v>44071</v>
      </c>
      <c r="C667" s="128" t="s">
        <v>195</v>
      </c>
      <c r="D667" s="128" t="s">
        <v>48</v>
      </c>
      <c r="E667" s="128" t="str" cm="1">
        <f t="array" ref="E667">IFERROR(INDEX(SubcategoriesTable[Subcategory name],MATCH(Table1[[#This Row],[Category]],SubcategoriesTable[Category name],0),0),"")</f>
        <v>Variable</v>
      </c>
      <c r="F667" s="134">
        <v>-13.94</v>
      </c>
      <c r="G667" s="167" t="str">
        <f>_xlfn.XLOOKUP(Table1[[#This Row],[Account_ID]], Accounts[ID], Accounts[Account nickname], "Unknown")</f>
        <v>Discover it chrome Card</v>
      </c>
      <c r="H667" s="137" t="str">
        <f>_xlfn.XLOOKUP(Table1[[#This Row],[Account_ID]], Accounts[ID], Accounts[Account'#], "Unknown")</f>
        <v>7328</v>
      </c>
      <c r="I667" s="168" t="str">
        <f>_xlfn.XLOOKUP(Table1[[#This Row],[Institution_ID]], Institutions[ID], Institutions[Institution nickname], "Unknown")</f>
        <v>Discover</v>
      </c>
      <c r="J667" s="139" t="s">
        <v>726</v>
      </c>
      <c r="K667" s="129" t="s">
        <v>110</v>
      </c>
      <c r="L667" s="129" t="s">
        <v>108</v>
      </c>
      <c r="M667" s="130" t="str" cm="1">
        <f t="array" ref="M667">IFERROR(INDEX(CategoriesTable[Category type],MATCH(Table1[[#This Row],[Category]],CategoriesTable[Category name],0),0),"")</f>
        <v>Expense</v>
      </c>
      <c r="N667" s="130" t="str" cm="1">
        <f t="array" ref="N667">IFERROR(INDEX(SubcategoriesTable[Subcategory name],MATCH(Table1[[#This Row],[Category]],SubcategoriesTable[Category name],0),0),"")</f>
        <v>Variable</v>
      </c>
      <c r="O667" s="130">
        <v>28</v>
      </c>
      <c r="P667" s="130">
        <f>MONTH(Table1[[#This Row],[Date]])</f>
        <v>8</v>
      </c>
      <c r="Q667" s="130">
        <v>2020</v>
      </c>
      <c r="R667" s="166">
        <f>IF(ISBLANK(Table1[[#This Row],[Date]]),"",Table1[[#This Row],[Date]]-WEEKDAY(Table1[[#This Row],[Date]],2)+1)</f>
        <v>44067</v>
      </c>
      <c r="S667" s="131">
        <f>IF(ISBLANK(Table1[[#This Row],[Date]]),"",DATE(Table1[[#This Row],[Date_Year]],Table1[[#This Row],[Date_Month]],1))</f>
        <v>44044</v>
      </c>
    </row>
    <row r="668" spans="2:19" ht="15.75" x14ac:dyDescent="0.25">
      <c r="B668" s="133">
        <v>44071</v>
      </c>
      <c r="C668" s="128" t="s">
        <v>195</v>
      </c>
      <c r="D668" s="128" t="s">
        <v>48</v>
      </c>
      <c r="E668" s="128" t="str" cm="1">
        <f t="array" ref="E668">IFERROR(INDEX(SubcategoriesTable[Subcategory name],MATCH(Table1[[#This Row],[Category]],SubcategoriesTable[Category name],0),0),"")</f>
        <v>Variable</v>
      </c>
      <c r="F668" s="134">
        <v>-18.18</v>
      </c>
      <c r="G668" s="167" t="str">
        <f>_xlfn.XLOOKUP(Table1[[#This Row],[Account_ID]], Accounts[ID], Accounts[Account nickname], "Unknown")</f>
        <v>Discover it chrome Card</v>
      </c>
      <c r="H668" s="137" t="str">
        <f>_xlfn.XLOOKUP(Table1[[#This Row],[Account_ID]], Accounts[ID], Accounts[Account'#], "Unknown")</f>
        <v>7328</v>
      </c>
      <c r="I668" s="168" t="str">
        <f>_xlfn.XLOOKUP(Table1[[#This Row],[Institution_ID]], Institutions[ID], Institutions[Institution nickname], "Unknown")</f>
        <v>Discover</v>
      </c>
      <c r="J668" s="139" t="s">
        <v>727</v>
      </c>
      <c r="K668" s="129" t="s">
        <v>110</v>
      </c>
      <c r="L668" s="129" t="s">
        <v>108</v>
      </c>
      <c r="M668" s="130" t="str" cm="1">
        <f t="array" ref="M668">IFERROR(INDEX(CategoriesTable[Category type],MATCH(Table1[[#This Row],[Category]],CategoriesTable[Category name],0),0),"")</f>
        <v>Expense</v>
      </c>
      <c r="N668" s="130" t="str" cm="1">
        <f t="array" ref="N668">IFERROR(INDEX(SubcategoriesTable[Subcategory name],MATCH(Table1[[#This Row],[Category]],SubcategoriesTable[Category name],0),0),"")</f>
        <v>Variable</v>
      </c>
      <c r="O668" s="130">
        <v>28</v>
      </c>
      <c r="P668" s="130">
        <f>MONTH(Table1[[#This Row],[Date]])</f>
        <v>8</v>
      </c>
      <c r="Q668" s="130">
        <v>2020</v>
      </c>
      <c r="R668" s="166">
        <f>IF(ISBLANK(Table1[[#This Row],[Date]]),"",Table1[[#This Row],[Date]]-WEEKDAY(Table1[[#This Row],[Date]],2)+1)</f>
        <v>44067</v>
      </c>
      <c r="S668" s="131">
        <f>IF(ISBLANK(Table1[[#This Row],[Date]]),"",DATE(Table1[[#This Row],[Date_Year]],Table1[[#This Row],[Date_Month]],1))</f>
        <v>44044</v>
      </c>
    </row>
    <row r="669" spans="2:19" ht="15.75" x14ac:dyDescent="0.25">
      <c r="B669" s="133">
        <v>44071</v>
      </c>
      <c r="C669" s="128" t="s">
        <v>195</v>
      </c>
      <c r="D669" s="128" t="s">
        <v>48</v>
      </c>
      <c r="E669" s="128" t="str" cm="1">
        <f t="array" ref="E669">IFERROR(INDEX(SubcategoriesTable[Subcategory name],MATCH(Table1[[#This Row],[Category]],SubcategoriesTable[Category name],0),0),"")</f>
        <v>Variable</v>
      </c>
      <c r="F669" s="134">
        <v>-52.82</v>
      </c>
      <c r="G669" s="167" t="str">
        <f>_xlfn.XLOOKUP(Table1[[#This Row],[Account_ID]], Accounts[ID], Accounts[Account nickname], "Unknown")</f>
        <v>Discover it chrome Card</v>
      </c>
      <c r="H669" s="137" t="str">
        <f>_xlfn.XLOOKUP(Table1[[#This Row],[Account_ID]], Accounts[ID], Accounts[Account'#], "Unknown")</f>
        <v>7328</v>
      </c>
      <c r="I669" s="168" t="str">
        <f>_xlfn.XLOOKUP(Table1[[#This Row],[Institution_ID]], Institutions[ID], Institutions[Institution nickname], "Unknown")</f>
        <v>Discover</v>
      </c>
      <c r="J669" s="139" t="s">
        <v>728</v>
      </c>
      <c r="K669" s="129" t="s">
        <v>110</v>
      </c>
      <c r="L669" s="129" t="s">
        <v>108</v>
      </c>
      <c r="M669" s="130" t="str" cm="1">
        <f t="array" ref="M669">IFERROR(INDEX(CategoriesTable[Category type],MATCH(Table1[[#This Row],[Category]],CategoriesTable[Category name],0),0),"")</f>
        <v>Expense</v>
      </c>
      <c r="N669" s="130" t="str" cm="1">
        <f t="array" ref="N669">IFERROR(INDEX(SubcategoriesTable[Subcategory name],MATCH(Table1[[#This Row],[Category]],SubcategoriesTable[Category name],0),0),"")</f>
        <v>Variable</v>
      </c>
      <c r="O669" s="130">
        <v>28</v>
      </c>
      <c r="P669" s="130">
        <f>MONTH(Table1[[#This Row],[Date]])</f>
        <v>8</v>
      </c>
      <c r="Q669" s="130">
        <v>2020</v>
      </c>
      <c r="R669" s="166">
        <f>IF(ISBLANK(Table1[[#This Row],[Date]]),"",Table1[[#This Row],[Date]]-WEEKDAY(Table1[[#This Row],[Date]],2)+1)</f>
        <v>44067</v>
      </c>
      <c r="S669" s="131">
        <f>IF(ISBLANK(Table1[[#This Row],[Date]]),"",DATE(Table1[[#This Row],[Date_Year]],Table1[[#This Row],[Date_Month]],1))</f>
        <v>44044</v>
      </c>
    </row>
    <row r="670" spans="2:19" ht="15.75" x14ac:dyDescent="0.25">
      <c r="B670" s="133">
        <v>44071</v>
      </c>
      <c r="C670" s="128" t="s">
        <v>115</v>
      </c>
      <c r="D670" s="128" t="s">
        <v>48</v>
      </c>
      <c r="E670" s="128" t="str" cm="1">
        <f t="array" ref="E670">IFERROR(INDEX(SubcategoriesTable[Subcategory name],MATCH(Table1[[#This Row],[Category]],SubcategoriesTable[Category name],0),0),"")</f>
        <v>Variable</v>
      </c>
      <c r="F670" s="134">
        <v>-67.38</v>
      </c>
      <c r="G670" s="167" t="str">
        <f>_xlfn.XLOOKUP(Table1[[#This Row],[Account_ID]], Accounts[ID], Accounts[Account nickname], "Unknown")</f>
        <v>Discover it chrome Card</v>
      </c>
      <c r="H670" s="137" t="str">
        <f>_xlfn.XLOOKUP(Table1[[#This Row],[Account_ID]], Accounts[ID], Accounts[Account'#], "Unknown")</f>
        <v>7328</v>
      </c>
      <c r="I670" s="168" t="str">
        <f>_xlfn.XLOOKUP(Table1[[#This Row],[Institution_ID]], Institutions[ID], Institutions[Institution nickname], "Unknown")</f>
        <v>Discover</v>
      </c>
      <c r="J670" s="139" t="s">
        <v>729</v>
      </c>
      <c r="K670" s="129" t="s">
        <v>110</v>
      </c>
      <c r="L670" s="129" t="s">
        <v>108</v>
      </c>
      <c r="M670" s="130" t="str" cm="1">
        <f t="array" ref="M670">IFERROR(INDEX(CategoriesTable[Category type],MATCH(Table1[[#This Row],[Category]],CategoriesTable[Category name],0),0),"")</f>
        <v>Expense</v>
      </c>
      <c r="N670" s="130" t="str" cm="1">
        <f t="array" ref="N670">IFERROR(INDEX(SubcategoriesTable[Subcategory name],MATCH(Table1[[#This Row],[Category]],SubcategoriesTable[Category name],0),0),"")</f>
        <v>Variable</v>
      </c>
      <c r="O670" s="130">
        <v>28</v>
      </c>
      <c r="P670" s="130">
        <f>MONTH(Table1[[#This Row],[Date]])</f>
        <v>8</v>
      </c>
      <c r="Q670" s="130">
        <v>2020</v>
      </c>
      <c r="R670" s="166">
        <f>IF(ISBLANK(Table1[[#This Row],[Date]]),"",Table1[[#This Row],[Date]]-WEEKDAY(Table1[[#This Row],[Date]],2)+1)</f>
        <v>44067</v>
      </c>
      <c r="S670" s="131">
        <f>IF(ISBLANK(Table1[[#This Row],[Date]]),"",DATE(Table1[[#This Row],[Date_Year]],Table1[[#This Row],[Date_Month]],1))</f>
        <v>44044</v>
      </c>
    </row>
    <row r="671" spans="2:19" ht="15.75" x14ac:dyDescent="0.25">
      <c r="B671" s="133">
        <v>44070</v>
      </c>
      <c r="C671" s="128" t="s">
        <v>50</v>
      </c>
      <c r="D671" s="128" t="s">
        <v>1204</v>
      </c>
      <c r="E671" s="128"/>
      <c r="F671" s="134">
        <v>10</v>
      </c>
      <c r="G671" s="167" t="str">
        <f>_xlfn.XLOOKUP(Table1[[#This Row],[Account_ID]], Accounts[ID], Accounts[Account nickname], "Unknown")</f>
        <v>Checking - 4480</v>
      </c>
      <c r="H671" s="137" t="str">
        <f>_xlfn.XLOOKUP(Table1[[#This Row],[Account_ID]], Accounts[ID], Accounts[Account'#], "Unknown")</f>
        <v>4480</v>
      </c>
      <c r="I671" s="168" t="str">
        <f>_xlfn.XLOOKUP(Table1[[#This Row],[Institution_ID]], Institutions[ID], Institutions[Institution nickname], "Unknown")</f>
        <v>Robinhood</v>
      </c>
      <c r="J671" s="139" t="s">
        <v>1243</v>
      </c>
      <c r="K671" s="129" t="s">
        <v>1208</v>
      </c>
      <c r="L671" s="173" t="s">
        <v>1207</v>
      </c>
      <c r="M671" s="130" t="str" cm="1">
        <f t="array" ref="M671">IFERROR(INDEX(CategoriesTable[Category type],MATCH(Table1[[#This Row],[Category]],CategoriesTable[Category name],0),0),"")</f>
        <v>Savings</v>
      </c>
      <c r="N671" s="130" t="str" cm="1">
        <f t="array" ref="N671">IFERROR(INDEX(SubcategoriesTable[Subcategory name],MATCH(Table1[[#This Row],[Category]],SubcategoriesTable[Category name],0),0),"")</f>
        <v>Variable</v>
      </c>
      <c r="O671" s="130">
        <v>27</v>
      </c>
      <c r="P671" s="130">
        <f>MONTH(Table1[[#This Row],[Date]])</f>
        <v>8</v>
      </c>
      <c r="Q671" s="130">
        <v>2020</v>
      </c>
      <c r="R671" s="166">
        <f>IF(ISBLANK(Table1[[#This Row],[Date]]),"",Table1[[#This Row],[Date]]-WEEKDAY(Table1[[#This Row],[Date]],2)+1)</f>
        <v>44067</v>
      </c>
      <c r="S671" s="131">
        <f>IF(ISBLANK(Table1[[#This Row],[Date]]),"",DATE(Table1[[#This Row],[Date_Year]],Table1[[#This Row],[Date_Month]],1))</f>
        <v>44044</v>
      </c>
    </row>
    <row r="672" spans="2:19" ht="15.75" x14ac:dyDescent="0.25">
      <c r="B672" s="133">
        <v>44070</v>
      </c>
      <c r="C672" s="128" t="s">
        <v>730</v>
      </c>
      <c r="D672" s="128" t="s">
        <v>46</v>
      </c>
      <c r="E672" s="128" t="str" cm="1">
        <f t="array" ref="E672">IFERROR(INDEX(SubcategoriesTable[Subcategory name],MATCH(Table1[[#This Row],[Category]],SubcategoriesTable[Category name],0),0),"")</f>
        <v>Variable</v>
      </c>
      <c r="F672" s="134">
        <v>-24.98</v>
      </c>
      <c r="G672" s="167" t="str">
        <f>_xlfn.XLOOKUP(Table1[[#This Row],[Account_ID]], Accounts[ID], Accounts[Account nickname], "Unknown")</f>
        <v>Discover it chrome Card</v>
      </c>
      <c r="H672" s="137" t="str">
        <f>_xlfn.XLOOKUP(Table1[[#This Row],[Account_ID]], Accounts[ID], Accounts[Account'#], "Unknown")</f>
        <v>7328</v>
      </c>
      <c r="I672" s="168" t="str">
        <f>_xlfn.XLOOKUP(Table1[[#This Row],[Institution_ID]], Institutions[ID], Institutions[Institution nickname], "Unknown")</f>
        <v>Discover</v>
      </c>
      <c r="J672" s="139" t="s">
        <v>731</v>
      </c>
      <c r="K672" s="129" t="s">
        <v>110</v>
      </c>
      <c r="L672" s="129" t="s">
        <v>108</v>
      </c>
      <c r="M672" s="130" t="str" cm="1">
        <f t="array" ref="M672">IFERROR(INDEX(CategoriesTable[Category type],MATCH(Table1[[#This Row],[Category]],CategoriesTable[Category name],0),0),"")</f>
        <v>Expense</v>
      </c>
      <c r="N672" s="130" t="str" cm="1">
        <f t="array" ref="N672">IFERROR(INDEX(SubcategoriesTable[Subcategory name],MATCH(Table1[[#This Row],[Category]],SubcategoriesTable[Category name],0),0),"")</f>
        <v>Variable</v>
      </c>
      <c r="O672" s="130">
        <v>27</v>
      </c>
      <c r="P672" s="130">
        <f>MONTH(Table1[[#This Row],[Date]])</f>
        <v>8</v>
      </c>
      <c r="Q672" s="130">
        <v>2020</v>
      </c>
      <c r="R672" s="166">
        <f>IF(ISBLANK(Table1[[#This Row],[Date]]),"",Table1[[#This Row],[Date]]-WEEKDAY(Table1[[#This Row],[Date]],2)+1)</f>
        <v>44067</v>
      </c>
      <c r="S672" s="131">
        <f>IF(ISBLANK(Table1[[#This Row],[Date]]),"",DATE(Table1[[#This Row],[Date_Year]],Table1[[#This Row],[Date_Month]],1))</f>
        <v>44044</v>
      </c>
    </row>
    <row r="673" spans="2:19" ht="15.75" x14ac:dyDescent="0.25">
      <c r="B673" s="133">
        <v>44070</v>
      </c>
      <c r="C673" s="128" t="s">
        <v>380</v>
      </c>
      <c r="D673" s="128" t="s">
        <v>46</v>
      </c>
      <c r="E673" s="128" t="str" cm="1">
        <f t="array" ref="E673">IFERROR(INDEX(SubcategoriesTable[Subcategory name],MATCH(Table1[[#This Row],[Category]],SubcategoriesTable[Category name],0),0),"")</f>
        <v>Variable</v>
      </c>
      <c r="F673" s="134">
        <v>-10.98</v>
      </c>
      <c r="G673" s="167" t="str">
        <f>_xlfn.XLOOKUP(Table1[[#This Row],[Account_ID]], Accounts[ID], Accounts[Account nickname], "Unknown")</f>
        <v>Discover it chrome Card</v>
      </c>
      <c r="H673" s="137" t="str">
        <f>_xlfn.XLOOKUP(Table1[[#This Row],[Account_ID]], Accounts[ID], Accounts[Account'#], "Unknown")</f>
        <v>7328</v>
      </c>
      <c r="I673" s="168" t="str">
        <f>_xlfn.XLOOKUP(Table1[[#This Row],[Institution_ID]], Institutions[ID], Institutions[Institution nickname], "Unknown")</f>
        <v>Discover</v>
      </c>
      <c r="J673" s="139" t="s">
        <v>732</v>
      </c>
      <c r="K673" s="129" t="s">
        <v>110</v>
      </c>
      <c r="L673" s="129" t="s">
        <v>108</v>
      </c>
      <c r="M673" s="130" t="str" cm="1">
        <f t="array" ref="M673">IFERROR(INDEX(CategoriesTable[Category type],MATCH(Table1[[#This Row],[Category]],CategoriesTable[Category name],0),0),"")</f>
        <v>Expense</v>
      </c>
      <c r="N673" s="130" t="str" cm="1">
        <f t="array" ref="N673">IFERROR(INDEX(SubcategoriesTable[Subcategory name],MATCH(Table1[[#This Row],[Category]],SubcategoriesTable[Category name],0),0),"")</f>
        <v>Variable</v>
      </c>
      <c r="O673" s="130">
        <v>27</v>
      </c>
      <c r="P673" s="130">
        <f>MONTH(Table1[[#This Row],[Date]])</f>
        <v>8</v>
      </c>
      <c r="Q673" s="130">
        <v>2020</v>
      </c>
      <c r="R673" s="166">
        <f>IF(ISBLANK(Table1[[#This Row],[Date]]),"",Table1[[#This Row],[Date]]-WEEKDAY(Table1[[#This Row],[Date]],2)+1)</f>
        <v>44067</v>
      </c>
      <c r="S673" s="131">
        <f>IF(ISBLANK(Table1[[#This Row],[Date]]),"",DATE(Table1[[#This Row],[Date_Year]],Table1[[#This Row],[Date_Month]],1))</f>
        <v>44044</v>
      </c>
    </row>
    <row r="674" spans="2:19" ht="15.75" x14ac:dyDescent="0.25">
      <c r="B674" s="133">
        <v>44069</v>
      </c>
      <c r="C674" s="128" t="s">
        <v>239</v>
      </c>
      <c r="D674" s="128" t="s">
        <v>52</v>
      </c>
      <c r="E674" s="128" t="str" cm="1">
        <f t="array" ref="E674">IFERROR(INDEX(SubcategoriesTable[Subcategory name],MATCH(Table1[[#This Row],[Category]],SubcategoriesTable[Category name],0),0),"")</f>
        <v>Variable</v>
      </c>
      <c r="F674" s="134">
        <v>-24.01</v>
      </c>
      <c r="G674" s="167" t="str">
        <f>_xlfn.XLOOKUP(Table1[[#This Row],[Account_ID]], Accounts[ID], Accounts[Account nickname], "Unknown")</f>
        <v>Discover it chrome Card</v>
      </c>
      <c r="H674" s="137" t="str">
        <f>_xlfn.XLOOKUP(Table1[[#This Row],[Account_ID]], Accounts[ID], Accounts[Account'#], "Unknown")</f>
        <v>7328</v>
      </c>
      <c r="I674" s="168" t="str">
        <f>_xlfn.XLOOKUP(Table1[[#This Row],[Institution_ID]], Institutions[ID], Institutions[Institution nickname], "Unknown")</f>
        <v>Discover</v>
      </c>
      <c r="J674" s="139" t="s">
        <v>733</v>
      </c>
      <c r="K674" s="129" t="s">
        <v>110</v>
      </c>
      <c r="L674" s="129" t="s">
        <v>108</v>
      </c>
      <c r="M674" s="130" t="str" cm="1">
        <f t="array" ref="M674">IFERROR(INDEX(CategoriesTable[Category type],MATCH(Table1[[#This Row],[Category]],CategoriesTable[Category name],0),0),"")</f>
        <v>Expense</v>
      </c>
      <c r="N674" s="130" t="str" cm="1">
        <f t="array" ref="N674">IFERROR(INDEX(SubcategoriesTable[Subcategory name],MATCH(Table1[[#This Row],[Category]],SubcategoriesTable[Category name],0),0),"")</f>
        <v>Variable</v>
      </c>
      <c r="O674" s="130">
        <v>26</v>
      </c>
      <c r="P674" s="130">
        <f>MONTH(Table1[[#This Row],[Date]])</f>
        <v>8</v>
      </c>
      <c r="Q674" s="130">
        <v>2020</v>
      </c>
      <c r="R674" s="166">
        <f>IF(ISBLANK(Table1[[#This Row],[Date]]),"",Table1[[#This Row],[Date]]-WEEKDAY(Table1[[#This Row],[Date]],2)+1)</f>
        <v>44067</v>
      </c>
      <c r="S674" s="131">
        <f>IF(ISBLANK(Table1[[#This Row],[Date]]),"",DATE(Table1[[#This Row],[Date_Year]],Table1[[#This Row],[Date_Month]],1))</f>
        <v>44044</v>
      </c>
    </row>
    <row r="675" spans="2:19" ht="15.75" x14ac:dyDescent="0.25">
      <c r="B675" s="133">
        <v>44069</v>
      </c>
      <c r="C675" s="128" t="s">
        <v>267</v>
      </c>
      <c r="D675" s="128" t="s">
        <v>46</v>
      </c>
      <c r="E675" s="128" t="str" cm="1">
        <f t="array" ref="E675">IFERROR(INDEX(SubcategoriesTable[Subcategory name],MATCH(Table1[[#This Row],[Category]],SubcategoriesTable[Category name],0),0),"")</f>
        <v>Variable</v>
      </c>
      <c r="F675" s="134">
        <v>-33.43</v>
      </c>
      <c r="G675" s="167" t="str">
        <f>_xlfn.XLOOKUP(Table1[[#This Row],[Account_ID]], Accounts[ID], Accounts[Account nickname], "Unknown")</f>
        <v>Discover it chrome Card</v>
      </c>
      <c r="H675" s="137" t="str">
        <f>_xlfn.XLOOKUP(Table1[[#This Row],[Account_ID]], Accounts[ID], Accounts[Account'#], "Unknown")</f>
        <v>7328</v>
      </c>
      <c r="I675" s="168" t="str">
        <f>_xlfn.XLOOKUP(Table1[[#This Row],[Institution_ID]], Institutions[ID], Institutions[Institution nickname], "Unknown")</f>
        <v>Discover</v>
      </c>
      <c r="J675" s="139" t="s">
        <v>734</v>
      </c>
      <c r="K675" s="129" t="s">
        <v>110</v>
      </c>
      <c r="L675" s="129" t="s">
        <v>108</v>
      </c>
      <c r="M675" s="130" t="str" cm="1">
        <f t="array" ref="M675">IFERROR(INDEX(CategoriesTable[Category type],MATCH(Table1[[#This Row],[Category]],CategoriesTable[Category name],0),0),"")</f>
        <v>Expense</v>
      </c>
      <c r="N675" s="130" t="str" cm="1">
        <f t="array" ref="N675">IFERROR(INDEX(SubcategoriesTable[Subcategory name],MATCH(Table1[[#This Row],[Category]],SubcategoriesTable[Category name],0),0),"")</f>
        <v>Variable</v>
      </c>
      <c r="O675" s="130">
        <v>26</v>
      </c>
      <c r="P675" s="130">
        <f>MONTH(Table1[[#This Row],[Date]])</f>
        <v>8</v>
      </c>
      <c r="Q675" s="130">
        <v>2020</v>
      </c>
      <c r="R675" s="166">
        <f>IF(ISBLANK(Table1[[#This Row],[Date]]),"",Table1[[#This Row],[Date]]-WEEKDAY(Table1[[#This Row],[Date]],2)+1)</f>
        <v>44067</v>
      </c>
      <c r="S675" s="131">
        <f>IF(ISBLANK(Table1[[#This Row],[Date]]),"",DATE(Table1[[#This Row],[Date_Year]],Table1[[#This Row],[Date_Month]],1))</f>
        <v>44044</v>
      </c>
    </row>
    <row r="676" spans="2:19" ht="15.75" x14ac:dyDescent="0.25">
      <c r="B676" s="133">
        <v>44069</v>
      </c>
      <c r="C676" s="128" t="s">
        <v>541</v>
      </c>
      <c r="D676" s="128" t="s">
        <v>46</v>
      </c>
      <c r="E676" s="128" t="str" cm="1">
        <f t="array" ref="E676">IFERROR(INDEX(SubcategoriesTable[Subcategory name],MATCH(Table1[[#This Row],[Category]],SubcategoriesTable[Category name],0),0),"")</f>
        <v>Variable</v>
      </c>
      <c r="F676" s="134">
        <v>-70.22</v>
      </c>
      <c r="G676" s="167" t="str">
        <f>_xlfn.XLOOKUP(Table1[[#This Row],[Account_ID]], Accounts[ID], Accounts[Account nickname], "Unknown")</f>
        <v>Discover it chrome Card</v>
      </c>
      <c r="H676" s="137" t="str">
        <f>_xlfn.XLOOKUP(Table1[[#This Row],[Account_ID]], Accounts[ID], Accounts[Account'#], "Unknown")</f>
        <v>7328</v>
      </c>
      <c r="I676" s="168" t="str">
        <f>_xlfn.XLOOKUP(Table1[[#This Row],[Institution_ID]], Institutions[ID], Institutions[Institution nickname], "Unknown")</f>
        <v>Discover</v>
      </c>
      <c r="J676" s="139" t="s">
        <v>735</v>
      </c>
      <c r="K676" s="129" t="s">
        <v>110</v>
      </c>
      <c r="L676" s="129" t="s">
        <v>108</v>
      </c>
      <c r="M676" s="130" t="str" cm="1">
        <f t="array" ref="M676">IFERROR(INDEX(CategoriesTable[Category type],MATCH(Table1[[#This Row],[Category]],CategoriesTable[Category name],0),0),"")</f>
        <v>Expense</v>
      </c>
      <c r="N676" s="130" t="str" cm="1">
        <f t="array" ref="N676">IFERROR(INDEX(SubcategoriesTable[Subcategory name],MATCH(Table1[[#This Row],[Category]],SubcategoriesTable[Category name],0),0),"")</f>
        <v>Variable</v>
      </c>
      <c r="O676" s="130">
        <v>26</v>
      </c>
      <c r="P676" s="130">
        <f>MONTH(Table1[[#This Row],[Date]])</f>
        <v>8</v>
      </c>
      <c r="Q676" s="130">
        <v>2020</v>
      </c>
      <c r="R676" s="166">
        <f>IF(ISBLANK(Table1[[#This Row],[Date]]),"",Table1[[#This Row],[Date]]-WEEKDAY(Table1[[#This Row],[Date]],2)+1)</f>
        <v>44067</v>
      </c>
      <c r="S676" s="131">
        <f>IF(ISBLANK(Table1[[#This Row],[Date]]),"",DATE(Table1[[#This Row],[Date_Year]],Table1[[#This Row],[Date_Month]],1))</f>
        <v>44044</v>
      </c>
    </row>
    <row r="677" spans="2:19" ht="15.75" x14ac:dyDescent="0.25">
      <c r="B677" s="133">
        <v>44068</v>
      </c>
      <c r="C677" s="128" t="s">
        <v>1185</v>
      </c>
      <c r="D677" s="128" t="s">
        <v>57</v>
      </c>
      <c r="E677" s="128" t="str" cm="1">
        <f t="array" ref="E677">IFERROR(INDEX(SubcategoriesTable[Subcategory name],MATCH(Table1[[#This Row],[Category]],SubcategoriesTable[Category name],0),0),"")</f>
        <v>Variable</v>
      </c>
      <c r="F677" s="134">
        <v>234.1</v>
      </c>
      <c r="G677" s="167" t="str">
        <f>_xlfn.XLOOKUP(Table1[[#This Row],[Account_ID]], Accounts[ID], Accounts[Account nickname], "Unknown")</f>
        <v>EVERYDAY CHECKING</v>
      </c>
      <c r="H677" s="137" t="str">
        <f>_xlfn.XLOOKUP(Table1[[#This Row],[Account_ID]], Accounts[ID], Accounts[Account'#], "Unknown")</f>
        <v>4636</v>
      </c>
      <c r="I677" s="168" t="str">
        <f>_xlfn.XLOOKUP(Table1[[#This Row],[Institution_ID]], Institutions[ID], Institutions[Institution nickname], "Unknown")</f>
        <v>Wells Fargo</v>
      </c>
      <c r="J677" s="139" t="s">
        <v>1538</v>
      </c>
      <c r="K677" s="129" t="s">
        <v>1229</v>
      </c>
      <c r="L677" s="129" t="s">
        <v>1228</v>
      </c>
      <c r="M677" s="130" t="str" cm="1">
        <f t="array" ref="M677">IFERROR(INDEX(CategoriesTable[Category type],MATCH(Table1[[#This Row],[Category]],CategoriesTable[Category name],0),0),"")</f>
        <v>Transfer</v>
      </c>
      <c r="N677" s="130" t="str" cm="1">
        <f t="array" ref="N677">IFERROR(INDEX(SubcategoriesTable[Subcategory name],MATCH(Table1[[#This Row],[Category]],SubcategoriesTable[Category name],0),0),"")</f>
        <v>Variable</v>
      </c>
      <c r="O677" s="130">
        <v>25</v>
      </c>
      <c r="P677" s="130">
        <f>MONTH(Table1[[#This Row],[Date]])</f>
        <v>8</v>
      </c>
      <c r="Q677" s="130">
        <v>2020</v>
      </c>
      <c r="R677" s="166">
        <f>IF(ISBLANK(Table1[[#This Row],[Date]]),"",Table1[[#This Row],[Date]]-WEEKDAY(Table1[[#This Row],[Date]],2)+1)</f>
        <v>44067</v>
      </c>
      <c r="S677" s="131">
        <f>IF(ISBLANK(Table1[[#This Row],[Date]]),"",DATE(Table1[[#This Row],[Date_Year]],Table1[[#This Row],[Date_Month]],1))</f>
        <v>44044</v>
      </c>
    </row>
    <row r="678" spans="2:19" ht="15.75" x14ac:dyDescent="0.25">
      <c r="B678" s="133">
        <v>44068</v>
      </c>
      <c r="C678" s="128" t="s">
        <v>1180</v>
      </c>
      <c r="D678" s="128" t="s">
        <v>50</v>
      </c>
      <c r="E678" s="128" t="str" cm="1">
        <f t="array" ref="E678">IFERROR(INDEX(SubcategoriesTable[Subcategory name],MATCH(Table1[[#This Row],[Category]],SubcategoriesTable[Category name],0),0),"")</f>
        <v>Variable</v>
      </c>
      <c r="F678" s="134">
        <v>-300</v>
      </c>
      <c r="G678" s="167" t="str">
        <f>_xlfn.XLOOKUP(Table1[[#This Row],[Account_ID]], Accounts[ID], Accounts[Account nickname], "Unknown")</f>
        <v>EVERYDAY CHECKING</v>
      </c>
      <c r="H678" s="137" t="str">
        <f>_xlfn.XLOOKUP(Table1[[#This Row],[Account_ID]], Accounts[ID], Accounts[Account'#], "Unknown")</f>
        <v>4636</v>
      </c>
      <c r="I678" s="168" t="str">
        <f>_xlfn.XLOOKUP(Table1[[#This Row],[Institution_ID]], Institutions[ID], Institutions[Institution nickname], "Unknown")</f>
        <v>Wells Fargo</v>
      </c>
      <c r="J678" s="139" t="s">
        <v>1539</v>
      </c>
      <c r="K678" s="129" t="s">
        <v>1229</v>
      </c>
      <c r="L678" s="129" t="s">
        <v>1228</v>
      </c>
      <c r="M678" s="130" t="str" cm="1">
        <f t="array" ref="M678">IFERROR(INDEX(CategoriesTable[Category type],MATCH(Table1[[#This Row],[Category]],CategoriesTable[Category name],0),0),"")</f>
        <v>Transfer</v>
      </c>
      <c r="N678" s="130" t="str" cm="1">
        <f t="array" ref="N678">IFERROR(INDEX(SubcategoriesTable[Subcategory name],MATCH(Table1[[#This Row],[Category]],SubcategoriesTable[Category name],0),0),"")</f>
        <v>Variable</v>
      </c>
      <c r="O678" s="130">
        <v>25</v>
      </c>
      <c r="P678" s="130">
        <f>MONTH(Table1[[#This Row],[Date]])</f>
        <v>8</v>
      </c>
      <c r="Q678" s="130">
        <v>2020</v>
      </c>
      <c r="R678" s="166">
        <f>IF(ISBLANK(Table1[[#This Row],[Date]]),"",Table1[[#This Row],[Date]]-WEEKDAY(Table1[[#This Row],[Date]],2)+1)</f>
        <v>44067</v>
      </c>
      <c r="S678" s="131">
        <f>IF(ISBLANK(Table1[[#This Row],[Date]]),"",DATE(Table1[[#This Row],[Date_Year]],Table1[[#This Row],[Date_Month]],1))</f>
        <v>44044</v>
      </c>
    </row>
    <row r="679" spans="2:19" ht="15.75" x14ac:dyDescent="0.25">
      <c r="B679" s="133">
        <v>44068</v>
      </c>
      <c r="C679" s="128" t="s">
        <v>256</v>
      </c>
      <c r="D679" s="128" t="s">
        <v>46</v>
      </c>
      <c r="E679" s="128" t="str" cm="1">
        <f t="array" ref="E679">IFERROR(INDEX(SubcategoriesTable[Subcategory name],MATCH(Table1[[#This Row],[Category]],SubcategoriesTable[Category name],0),0),"")</f>
        <v>Variable</v>
      </c>
      <c r="F679" s="134">
        <v>-26.33</v>
      </c>
      <c r="G679" s="167" t="str">
        <f>_xlfn.XLOOKUP(Table1[[#This Row],[Account_ID]], Accounts[ID], Accounts[Account nickname], "Unknown")</f>
        <v>Discover it chrome Card</v>
      </c>
      <c r="H679" s="137" t="str">
        <f>_xlfn.XLOOKUP(Table1[[#This Row],[Account_ID]], Accounts[ID], Accounts[Account'#], "Unknown")</f>
        <v>7328</v>
      </c>
      <c r="I679" s="168" t="str">
        <f>_xlfn.XLOOKUP(Table1[[#This Row],[Institution_ID]], Institutions[ID], Institutions[Institution nickname], "Unknown")</f>
        <v>Discover</v>
      </c>
      <c r="J679" s="139" t="s">
        <v>736</v>
      </c>
      <c r="K679" s="129" t="s">
        <v>110</v>
      </c>
      <c r="L679" s="129" t="s">
        <v>108</v>
      </c>
      <c r="M679" s="130" t="str" cm="1">
        <f t="array" ref="M679">IFERROR(INDEX(CategoriesTable[Category type],MATCH(Table1[[#This Row],[Category]],CategoriesTable[Category name],0),0),"")</f>
        <v>Expense</v>
      </c>
      <c r="N679" s="130" t="str" cm="1">
        <f t="array" ref="N679">IFERROR(INDEX(SubcategoriesTable[Subcategory name],MATCH(Table1[[#This Row],[Category]],SubcategoriesTable[Category name],0),0),"")</f>
        <v>Variable</v>
      </c>
      <c r="O679" s="130">
        <v>25</v>
      </c>
      <c r="P679" s="130">
        <f>MONTH(Table1[[#This Row],[Date]])</f>
        <v>8</v>
      </c>
      <c r="Q679" s="130">
        <v>2020</v>
      </c>
      <c r="R679" s="166">
        <f>IF(ISBLANK(Table1[[#This Row],[Date]]),"",Table1[[#This Row],[Date]]-WEEKDAY(Table1[[#This Row],[Date]],2)+1)</f>
        <v>44067</v>
      </c>
      <c r="S679" s="131">
        <f>IF(ISBLANK(Table1[[#This Row],[Date]]),"",DATE(Table1[[#This Row],[Date_Year]],Table1[[#This Row],[Date_Month]],1))</f>
        <v>44044</v>
      </c>
    </row>
    <row r="680" spans="2:19" ht="15.75" x14ac:dyDescent="0.25">
      <c r="B680" s="133">
        <v>44068</v>
      </c>
      <c r="C680" s="128" t="s">
        <v>256</v>
      </c>
      <c r="D680" s="128" t="s">
        <v>46</v>
      </c>
      <c r="E680" s="128" t="str" cm="1">
        <f t="array" ref="E680">IFERROR(INDEX(SubcategoriesTable[Subcategory name],MATCH(Table1[[#This Row],[Category]],SubcategoriesTable[Category name],0),0),"")</f>
        <v>Variable</v>
      </c>
      <c r="F680" s="134">
        <v>-32.6</v>
      </c>
      <c r="G680" s="167" t="str">
        <f>_xlfn.XLOOKUP(Table1[[#This Row],[Account_ID]], Accounts[ID], Accounts[Account nickname], "Unknown")</f>
        <v>Discover it chrome Card</v>
      </c>
      <c r="H680" s="137" t="str">
        <f>_xlfn.XLOOKUP(Table1[[#This Row],[Account_ID]], Accounts[ID], Accounts[Account'#], "Unknown")</f>
        <v>7328</v>
      </c>
      <c r="I680" s="168" t="str">
        <f>_xlfn.XLOOKUP(Table1[[#This Row],[Institution_ID]], Institutions[ID], Institutions[Institution nickname], "Unknown")</f>
        <v>Discover</v>
      </c>
      <c r="J680" s="139" t="s">
        <v>737</v>
      </c>
      <c r="K680" s="129" t="s">
        <v>110</v>
      </c>
      <c r="L680" s="129" t="s">
        <v>108</v>
      </c>
      <c r="M680" s="130" t="str" cm="1">
        <f t="array" ref="M680">IFERROR(INDEX(CategoriesTable[Category type],MATCH(Table1[[#This Row],[Category]],CategoriesTable[Category name],0),0),"")</f>
        <v>Expense</v>
      </c>
      <c r="N680" s="130" t="str" cm="1">
        <f t="array" ref="N680">IFERROR(INDEX(SubcategoriesTable[Subcategory name],MATCH(Table1[[#This Row],[Category]],SubcategoriesTable[Category name],0),0),"")</f>
        <v>Variable</v>
      </c>
      <c r="O680" s="130">
        <v>25</v>
      </c>
      <c r="P680" s="130">
        <f>MONTH(Table1[[#This Row],[Date]])</f>
        <v>8</v>
      </c>
      <c r="Q680" s="130">
        <v>2020</v>
      </c>
      <c r="R680" s="166">
        <f>IF(ISBLANK(Table1[[#This Row],[Date]]),"",Table1[[#This Row],[Date]]-WEEKDAY(Table1[[#This Row],[Date]],2)+1)</f>
        <v>44067</v>
      </c>
      <c r="S680" s="131">
        <f>IF(ISBLANK(Table1[[#This Row],[Date]]),"",DATE(Table1[[#This Row],[Date_Year]],Table1[[#This Row],[Date_Month]],1))</f>
        <v>44044</v>
      </c>
    </row>
    <row r="681" spans="2:19" ht="15.75" x14ac:dyDescent="0.25">
      <c r="B681" s="133">
        <v>44068</v>
      </c>
      <c r="C681" s="128" t="s">
        <v>113</v>
      </c>
      <c r="D681" s="128" t="s">
        <v>50</v>
      </c>
      <c r="E681" s="128" t="str" cm="1">
        <f t="array" ref="E681">IFERROR(INDEX(SubcategoriesTable[Subcategory name],MATCH(Table1[[#This Row],[Category]],SubcategoriesTable[Category name],0),0),"")</f>
        <v>Variable</v>
      </c>
      <c r="F681" s="134">
        <v>300</v>
      </c>
      <c r="G681" s="167" t="str">
        <f>_xlfn.XLOOKUP(Table1[[#This Row],[Account_ID]], Accounts[ID], Accounts[Account nickname], "Unknown")</f>
        <v>Discover it chrome Card</v>
      </c>
      <c r="H681" s="137" t="str">
        <f>_xlfn.XLOOKUP(Table1[[#This Row],[Account_ID]], Accounts[ID], Accounts[Account'#], "Unknown")</f>
        <v>7328</v>
      </c>
      <c r="I681" s="168" t="str">
        <f>_xlfn.XLOOKUP(Table1[[#This Row],[Institution_ID]], Institutions[ID], Institutions[Institution nickname], "Unknown")</f>
        <v>Discover</v>
      </c>
      <c r="J681" s="139" t="s">
        <v>738</v>
      </c>
      <c r="K681" s="129" t="s">
        <v>110</v>
      </c>
      <c r="L681" s="129" t="s">
        <v>108</v>
      </c>
      <c r="M681" s="130" t="str" cm="1">
        <f t="array" ref="M681">IFERROR(INDEX(CategoriesTable[Category type],MATCH(Table1[[#This Row],[Category]],CategoriesTable[Category name],0),0),"")</f>
        <v>Transfer</v>
      </c>
      <c r="N681" s="130" t="str" cm="1">
        <f t="array" ref="N681">IFERROR(INDEX(SubcategoriesTable[Subcategory name],MATCH(Table1[[#This Row],[Category]],SubcategoriesTable[Category name],0),0),"")</f>
        <v>Variable</v>
      </c>
      <c r="O681" s="130">
        <v>25</v>
      </c>
      <c r="P681" s="130">
        <f>MONTH(Table1[[#This Row],[Date]])</f>
        <v>8</v>
      </c>
      <c r="Q681" s="130">
        <v>2020</v>
      </c>
      <c r="R681" s="166">
        <f>IF(ISBLANK(Table1[[#This Row],[Date]]),"",Table1[[#This Row],[Date]]-WEEKDAY(Table1[[#This Row],[Date]],2)+1)</f>
        <v>44067</v>
      </c>
      <c r="S681" s="131">
        <f>IF(ISBLANK(Table1[[#This Row],[Date]]),"",DATE(Table1[[#This Row],[Date_Year]],Table1[[#This Row],[Date_Month]],1))</f>
        <v>44044</v>
      </c>
    </row>
    <row r="682" spans="2:19" ht="15.75" x14ac:dyDescent="0.25">
      <c r="B682" s="133">
        <v>44068</v>
      </c>
      <c r="C682" s="128" t="s">
        <v>541</v>
      </c>
      <c r="D682" s="128" t="s">
        <v>46</v>
      </c>
      <c r="E682" s="128" t="str" cm="1">
        <f t="array" ref="E682">IFERROR(INDEX(SubcategoriesTable[Subcategory name],MATCH(Table1[[#This Row],[Category]],SubcategoriesTable[Category name],0),0),"")</f>
        <v>Variable</v>
      </c>
      <c r="F682" s="134">
        <v>-103.75</v>
      </c>
      <c r="G682" s="167" t="str">
        <f>_xlfn.XLOOKUP(Table1[[#This Row],[Account_ID]], Accounts[ID], Accounts[Account nickname], "Unknown")</f>
        <v>Discover it chrome Card</v>
      </c>
      <c r="H682" s="137" t="str">
        <f>_xlfn.XLOOKUP(Table1[[#This Row],[Account_ID]], Accounts[ID], Accounts[Account'#], "Unknown")</f>
        <v>7328</v>
      </c>
      <c r="I682" s="168" t="str">
        <f>_xlfn.XLOOKUP(Table1[[#This Row],[Institution_ID]], Institutions[ID], Institutions[Institution nickname], "Unknown")</f>
        <v>Discover</v>
      </c>
      <c r="J682" s="139" t="s">
        <v>739</v>
      </c>
      <c r="K682" s="129" t="s">
        <v>110</v>
      </c>
      <c r="L682" s="129" t="s">
        <v>108</v>
      </c>
      <c r="M682" s="130" t="str" cm="1">
        <f t="array" ref="M682">IFERROR(INDEX(CategoriesTable[Category type],MATCH(Table1[[#This Row],[Category]],CategoriesTable[Category name],0),0),"")</f>
        <v>Expense</v>
      </c>
      <c r="N682" s="130" t="str" cm="1">
        <f t="array" ref="N682">IFERROR(INDEX(SubcategoriesTable[Subcategory name],MATCH(Table1[[#This Row],[Category]],SubcategoriesTable[Category name],0),0),"")</f>
        <v>Variable</v>
      </c>
      <c r="O682" s="130">
        <v>25</v>
      </c>
      <c r="P682" s="130">
        <f>MONTH(Table1[[#This Row],[Date]])</f>
        <v>8</v>
      </c>
      <c r="Q682" s="130">
        <v>2020</v>
      </c>
      <c r="R682" s="166">
        <f>IF(ISBLANK(Table1[[#This Row],[Date]]),"",Table1[[#This Row],[Date]]-WEEKDAY(Table1[[#This Row],[Date]],2)+1)</f>
        <v>44067</v>
      </c>
      <c r="S682" s="131">
        <f>IF(ISBLANK(Table1[[#This Row],[Date]]),"",DATE(Table1[[#This Row],[Date_Year]],Table1[[#This Row],[Date_Month]],1))</f>
        <v>44044</v>
      </c>
    </row>
    <row r="683" spans="2:19" ht="15.75" x14ac:dyDescent="0.25">
      <c r="B683" s="133">
        <v>44068</v>
      </c>
      <c r="C683" s="128" t="s">
        <v>740</v>
      </c>
      <c r="D683" s="128" t="s">
        <v>46</v>
      </c>
      <c r="E683" s="128" t="str" cm="1">
        <f t="array" ref="E683">IFERROR(INDEX(SubcategoriesTable[Subcategory name],MATCH(Table1[[#This Row],[Category]],SubcategoriesTable[Category name],0),0),"")</f>
        <v>Variable</v>
      </c>
      <c r="F683" s="134">
        <v>-178.5</v>
      </c>
      <c r="G683" s="167" t="str">
        <f>_xlfn.XLOOKUP(Table1[[#This Row],[Account_ID]], Accounts[ID], Accounts[Account nickname], "Unknown")</f>
        <v>Discover it chrome Card</v>
      </c>
      <c r="H683" s="137" t="str">
        <f>_xlfn.XLOOKUP(Table1[[#This Row],[Account_ID]], Accounts[ID], Accounts[Account'#], "Unknown")</f>
        <v>7328</v>
      </c>
      <c r="I683" s="168" t="str">
        <f>_xlfn.XLOOKUP(Table1[[#This Row],[Institution_ID]], Institutions[ID], Institutions[Institution nickname], "Unknown")</f>
        <v>Discover</v>
      </c>
      <c r="J683" s="139" t="s">
        <v>741</v>
      </c>
      <c r="K683" s="129" t="s">
        <v>110</v>
      </c>
      <c r="L683" s="129" t="s">
        <v>108</v>
      </c>
      <c r="M683" s="130" t="str" cm="1">
        <f t="array" ref="M683">IFERROR(INDEX(CategoriesTable[Category type],MATCH(Table1[[#This Row],[Category]],CategoriesTable[Category name],0),0),"")</f>
        <v>Expense</v>
      </c>
      <c r="N683" s="130" t="str" cm="1">
        <f t="array" ref="N683">IFERROR(INDEX(SubcategoriesTable[Subcategory name],MATCH(Table1[[#This Row],[Category]],SubcategoriesTable[Category name],0),0),"")</f>
        <v>Variable</v>
      </c>
      <c r="O683" s="130">
        <v>25</v>
      </c>
      <c r="P683" s="130">
        <f>MONTH(Table1[[#This Row],[Date]])</f>
        <v>8</v>
      </c>
      <c r="Q683" s="130">
        <v>2020</v>
      </c>
      <c r="R683" s="166">
        <f>IF(ISBLANK(Table1[[#This Row],[Date]]),"",Table1[[#This Row],[Date]]-WEEKDAY(Table1[[#This Row],[Date]],2)+1)</f>
        <v>44067</v>
      </c>
      <c r="S683" s="131">
        <f>IF(ISBLANK(Table1[[#This Row],[Date]]),"",DATE(Table1[[#This Row],[Date_Year]],Table1[[#This Row],[Date_Month]],1))</f>
        <v>44044</v>
      </c>
    </row>
    <row r="684" spans="2:19" ht="15.75" x14ac:dyDescent="0.25">
      <c r="B684" s="133">
        <v>44067</v>
      </c>
      <c r="C684" s="128" t="s">
        <v>1183</v>
      </c>
      <c r="D684" s="128" t="s">
        <v>1204</v>
      </c>
      <c r="E684" s="128" t="str" cm="1">
        <f t="array" ref="E684">IFERROR(INDEX(SubcategoriesTable[Subcategory name],MATCH(Table1[[#This Row],[Category]],SubcategoriesTable[Category name],0),0),"")</f>
        <v>Variable</v>
      </c>
      <c r="F684" s="134">
        <v>-200</v>
      </c>
      <c r="G684" s="167" t="str">
        <f>_xlfn.XLOOKUP(Table1[[#This Row],[Account_ID]], Accounts[ID], Accounts[Account nickname], "Unknown")</f>
        <v>EVERYDAY CHECKING</v>
      </c>
      <c r="H684" s="137" t="str">
        <f>_xlfn.XLOOKUP(Table1[[#This Row],[Account_ID]], Accounts[ID], Accounts[Account'#], "Unknown")</f>
        <v>4636</v>
      </c>
      <c r="I684" s="168" t="str">
        <f>_xlfn.XLOOKUP(Table1[[#This Row],[Institution_ID]], Institutions[ID], Institutions[Institution nickname], "Unknown")</f>
        <v>Wells Fargo</v>
      </c>
      <c r="J684" s="139" t="s">
        <v>1540</v>
      </c>
      <c r="K684" s="129" t="s">
        <v>1229</v>
      </c>
      <c r="L684" s="129" t="s">
        <v>1228</v>
      </c>
      <c r="M684" s="130" t="str" cm="1">
        <f t="array" ref="M684">IFERROR(INDEX(CategoriesTable[Category type],MATCH(Table1[[#This Row],[Category]],CategoriesTable[Category name],0),0),"")</f>
        <v>Savings</v>
      </c>
      <c r="N684" s="130" t="str" cm="1">
        <f t="array" ref="N684">IFERROR(INDEX(SubcategoriesTable[Subcategory name],MATCH(Table1[[#This Row],[Category]],SubcategoriesTable[Category name],0),0),"")</f>
        <v>Variable</v>
      </c>
      <c r="O684" s="130">
        <v>24</v>
      </c>
      <c r="P684" s="130">
        <f>MONTH(Table1[[#This Row],[Date]])</f>
        <v>8</v>
      </c>
      <c r="Q684" s="130">
        <v>2020</v>
      </c>
      <c r="R684" s="166">
        <f>IF(ISBLANK(Table1[[#This Row],[Date]]),"",Table1[[#This Row],[Date]]-WEEKDAY(Table1[[#This Row],[Date]],2)+1)</f>
        <v>44067</v>
      </c>
      <c r="S684" s="131">
        <f>IF(ISBLANK(Table1[[#This Row],[Date]]),"",DATE(Table1[[#This Row],[Date_Year]],Table1[[#This Row],[Date_Month]],1))</f>
        <v>44044</v>
      </c>
    </row>
    <row r="685" spans="2:19" ht="15.75" x14ac:dyDescent="0.25">
      <c r="B685" s="133">
        <v>44067</v>
      </c>
      <c r="C685" s="128" t="s">
        <v>380</v>
      </c>
      <c r="D685" s="128" t="s">
        <v>46</v>
      </c>
      <c r="E685" s="128" t="str" cm="1">
        <f t="array" ref="E685">IFERROR(INDEX(SubcategoriesTable[Subcategory name],MATCH(Table1[[#This Row],[Category]],SubcategoriesTable[Category name],0),0),"")</f>
        <v>Variable</v>
      </c>
      <c r="F685" s="134">
        <v>-19.989999999999998</v>
      </c>
      <c r="G685" s="167" t="str">
        <f>_xlfn.XLOOKUP(Table1[[#This Row],[Account_ID]], Accounts[ID], Accounts[Account nickname], "Unknown")</f>
        <v>Discover it chrome Card</v>
      </c>
      <c r="H685" s="137" t="str">
        <f>_xlfn.XLOOKUP(Table1[[#This Row],[Account_ID]], Accounts[ID], Accounts[Account'#], "Unknown")</f>
        <v>7328</v>
      </c>
      <c r="I685" s="168" t="str">
        <f>_xlfn.XLOOKUP(Table1[[#This Row],[Institution_ID]], Institutions[ID], Institutions[Institution nickname], "Unknown")</f>
        <v>Discover</v>
      </c>
      <c r="J685" s="139" t="s">
        <v>742</v>
      </c>
      <c r="K685" s="129" t="s">
        <v>110</v>
      </c>
      <c r="L685" s="129" t="s">
        <v>108</v>
      </c>
      <c r="M685" s="130" t="str" cm="1">
        <f t="array" ref="M685">IFERROR(INDEX(CategoriesTable[Category type],MATCH(Table1[[#This Row],[Category]],CategoriesTable[Category name],0),0),"")</f>
        <v>Expense</v>
      </c>
      <c r="N685" s="130" t="str" cm="1">
        <f t="array" ref="N685">IFERROR(INDEX(SubcategoriesTable[Subcategory name],MATCH(Table1[[#This Row],[Category]],SubcategoriesTable[Category name],0),0),"")</f>
        <v>Variable</v>
      </c>
      <c r="O685" s="130">
        <v>24</v>
      </c>
      <c r="P685" s="130">
        <f>MONTH(Table1[[#This Row],[Date]])</f>
        <v>8</v>
      </c>
      <c r="Q685" s="130">
        <v>2020</v>
      </c>
      <c r="R685" s="166">
        <f>IF(ISBLANK(Table1[[#This Row],[Date]]),"",Table1[[#This Row],[Date]]-WEEKDAY(Table1[[#This Row],[Date]],2)+1)</f>
        <v>44067</v>
      </c>
      <c r="S685" s="131">
        <f>IF(ISBLANK(Table1[[#This Row],[Date]]),"",DATE(Table1[[#This Row],[Date_Year]],Table1[[#This Row],[Date_Month]],1))</f>
        <v>44044</v>
      </c>
    </row>
    <row r="686" spans="2:19" ht="15.75" x14ac:dyDescent="0.25">
      <c r="B686" s="133">
        <v>44067</v>
      </c>
      <c r="C686" s="128" t="s">
        <v>211</v>
      </c>
      <c r="D686" s="128" t="s">
        <v>56</v>
      </c>
      <c r="E686" s="128" t="str" cm="1">
        <f t="array" ref="E686">IFERROR(INDEX(SubcategoriesTable[Subcategory name],MATCH(Table1[[#This Row],[Category]],SubcategoriesTable[Category name],0),0),"")</f>
        <v>Variable</v>
      </c>
      <c r="F686" s="134">
        <v>-3.92</v>
      </c>
      <c r="G686" s="167" t="str">
        <f>_xlfn.XLOOKUP(Table1[[#This Row],[Account_ID]], Accounts[ID], Accounts[Account nickname], "Unknown")</f>
        <v>Discover it chrome Card</v>
      </c>
      <c r="H686" s="137" t="str">
        <f>_xlfn.XLOOKUP(Table1[[#This Row],[Account_ID]], Accounts[ID], Accounts[Account'#], "Unknown")</f>
        <v>7328</v>
      </c>
      <c r="I686" s="168" t="str">
        <f>_xlfn.XLOOKUP(Table1[[#This Row],[Institution_ID]], Institutions[ID], Institutions[Institution nickname], "Unknown")</f>
        <v>Discover</v>
      </c>
      <c r="J686" s="139" t="s">
        <v>743</v>
      </c>
      <c r="K686" s="129" t="s">
        <v>110</v>
      </c>
      <c r="L686" s="129" t="s">
        <v>108</v>
      </c>
      <c r="M686" s="130" t="str" cm="1">
        <f t="array" ref="M686">IFERROR(INDEX(CategoriesTable[Category type],MATCH(Table1[[#This Row],[Category]],CategoriesTable[Category name],0),0),"")</f>
        <v>Expense</v>
      </c>
      <c r="N686" s="130" t="str" cm="1">
        <f t="array" ref="N686">IFERROR(INDEX(SubcategoriesTable[Subcategory name],MATCH(Table1[[#This Row],[Category]],SubcategoriesTable[Category name],0),0),"")</f>
        <v>Variable</v>
      </c>
      <c r="O686" s="130">
        <v>24</v>
      </c>
      <c r="P686" s="130">
        <f>MONTH(Table1[[#This Row],[Date]])</f>
        <v>8</v>
      </c>
      <c r="Q686" s="130">
        <v>2020</v>
      </c>
      <c r="R686" s="166">
        <f>IF(ISBLANK(Table1[[#This Row],[Date]]),"",Table1[[#This Row],[Date]]-WEEKDAY(Table1[[#This Row],[Date]],2)+1)</f>
        <v>44067</v>
      </c>
      <c r="S686" s="131">
        <f>IF(ISBLANK(Table1[[#This Row],[Date]]),"",DATE(Table1[[#This Row],[Date_Year]],Table1[[#This Row],[Date_Month]],1))</f>
        <v>44044</v>
      </c>
    </row>
    <row r="687" spans="2:19" ht="15.75" x14ac:dyDescent="0.25">
      <c r="B687" s="133">
        <v>44067</v>
      </c>
      <c r="C687" s="128" t="s">
        <v>267</v>
      </c>
      <c r="D687" s="128" t="s">
        <v>46</v>
      </c>
      <c r="E687" s="128" t="str" cm="1">
        <f t="array" ref="E687">IFERROR(INDEX(SubcategoriesTable[Subcategory name],MATCH(Table1[[#This Row],[Category]],SubcategoriesTable[Category name],0),0),"")</f>
        <v>Variable</v>
      </c>
      <c r="F687" s="134">
        <v>-28.82</v>
      </c>
      <c r="G687" s="167" t="str">
        <f>_xlfn.XLOOKUP(Table1[[#This Row],[Account_ID]], Accounts[ID], Accounts[Account nickname], "Unknown")</f>
        <v>Discover it chrome Card</v>
      </c>
      <c r="H687" s="137" t="str">
        <f>_xlfn.XLOOKUP(Table1[[#This Row],[Account_ID]], Accounts[ID], Accounts[Account'#], "Unknown")</f>
        <v>7328</v>
      </c>
      <c r="I687" s="168" t="str">
        <f>_xlfn.XLOOKUP(Table1[[#This Row],[Institution_ID]], Institutions[ID], Institutions[Institution nickname], "Unknown")</f>
        <v>Discover</v>
      </c>
      <c r="J687" s="139" t="s">
        <v>744</v>
      </c>
      <c r="K687" s="129" t="s">
        <v>110</v>
      </c>
      <c r="L687" s="129" t="s">
        <v>108</v>
      </c>
      <c r="M687" s="130" t="str" cm="1">
        <f t="array" ref="M687">IFERROR(INDEX(CategoriesTable[Category type],MATCH(Table1[[#This Row],[Category]],CategoriesTable[Category name],0),0),"")</f>
        <v>Expense</v>
      </c>
      <c r="N687" s="130" t="str" cm="1">
        <f t="array" ref="N687">IFERROR(INDEX(SubcategoriesTable[Subcategory name],MATCH(Table1[[#This Row],[Category]],SubcategoriesTable[Category name],0),0),"")</f>
        <v>Variable</v>
      </c>
      <c r="O687" s="130">
        <v>24</v>
      </c>
      <c r="P687" s="130">
        <f>MONTH(Table1[[#This Row],[Date]])</f>
        <v>8</v>
      </c>
      <c r="Q687" s="130">
        <v>2020</v>
      </c>
      <c r="R687" s="166">
        <f>IF(ISBLANK(Table1[[#This Row],[Date]]),"",Table1[[#This Row],[Date]]-WEEKDAY(Table1[[#This Row],[Date]],2)+1)</f>
        <v>44067</v>
      </c>
      <c r="S687" s="131">
        <f>IF(ISBLANK(Table1[[#This Row],[Date]]),"",DATE(Table1[[#This Row],[Date_Year]],Table1[[#This Row],[Date_Month]],1))</f>
        <v>44044</v>
      </c>
    </row>
    <row r="688" spans="2:19" ht="15.75" x14ac:dyDescent="0.25">
      <c r="B688" s="133">
        <v>44067</v>
      </c>
      <c r="C688" s="128" t="s">
        <v>745</v>
      </c>
      <c r="D688" s="128" t="s">
        <v>46</v>
      </c>
      <c r="E688" s="128" t="str" cm="1">
        <f t="array" ref="E688">IFERROR(INDEX(SubcategoriesTable[Subcategory name],MATCH(Table1[[#This Row],[Category]],SubcategoriesTable[Category name],0),0),"")</f>
        <v>Variable</v>
      </c>
      <c r="F688" s="134">
        <v>-73.7</v>
      </c>
      <c r="G688" s="167" t="str">
        <f>_xlfn.XLOOKUP(Table1[[#This Row],[Account_ID]], Accounts[ID], Accounts[Account nickname], "Unknown")</f>
        <v>Discover it chrome Card</v>
      </c>
      <c r="H688" s="137" t="str">
        <f>_xlfn.XLOOKUP(Table1[[#This Row],[Account_ID]], Accounts[ID], Accounts[Account'#], "Unknown")</f>
        <v>7328</v>
      </c>
      <c r="I688" s="168" t="str">
        <f>_xlfn.XLOOKUP(Table1[[#This Row],[Institution_ID]], Institutions[ID], Institutions[Institution nickname], "Unknown")</f>
        <v>Discover</v>
      </c>
      <c r="J688" s="139" t="s">
        <v>746</v>
      </c>
      <c r="K688" s="129" t="s">
        <v>110</v>
      </c>
      <c r="L688" s="129" t="s">
        <v>108</v>
      </c>
      <c r="M688" s="130" t="str" cm="1">
        <f t="array" ref="M688">IFERROR(INDEX(CategoriesTable[Category type],MATCH(Table1[[#This Row],[Category]],CategoriesTable[Category name],0),0),"")</f>
        <v>Expense</v>
      </c>
      <c r="N688" s="130" t="str" cm="1">
        <f t="array" ref="N688">IFERROR(INDEX(SubcategoriesTable[Subcategory name],MATCH(Table1[[#This Row],[Category]],SubcategoriesTable[Category name],0),0),"")</f>
        <v>Variable</v>
      </c>
      <c r="O688" s="130">
        <v>24</v>
      </c>
      <c r="P688" s="130">
        <f>MONTH(Table1[[#This Row],[Date]])</f>
        <v>8</v>
      </c>
      <c r="Q688" s="130">
        <v>2020</v>
      </c>
      <c r="R688" s="166">
        <f>IF(ISBLANK(Table1[[#This Row],[Date]]),"",Table1[[#This Row],[Date]]-WEEKDAY(Table1[[#This Row],[Date]],2)+1)</f>
        <v>44067</v>
      </c>
      <c r="S688" s="131">
        <f>IF(ISBLANK(Table1[[#This Row],[Date]]),"",DATE(Table1[[#This Row],[Date_Year]],Table1[[#This Row],[Date_Month]],1))</f>
        <v>44044</v>
      </c>
    </row>
    <row r="689" spans="2:19" ht="15.75" x14ac:dyDescent="0.25">
      <c r="B689" s="133">
        <v>44067</v>
      </c>
      <c r="C689" s="128" t="s">
        <v>496</v>
      </c>
      <c r="D689" s="128" t="s">
        <v>45</v>
      </c>
      <c r="E689" s="128" t="str" cm="1">
        <f t="array" ref="E689">IFERROR(INDEX(SubcategoriesTable[Subcategory name],MATCH(Table1[[#This Row],[Category]],SubcategoriesTable[Category name],0),0),"")</f>
        <v>Variable</v>
      </c>
      <c r="F689" s="134">
        <v>-26.15</v>
      </c>
      <c r="G689" s="167" t="str">
        <f>_xlfn.XLOOKUP(Table1[[#This Row],[Account_ID]], Accounts[ID], Accounts[Account nickname], "Unknown")</f>
        <v>Discover it chrome Card</v>
      </c>
      <c r="H689" s="137" t="str">
        <f>_xlfn.XLOOKUP(Table1[[#This Row],[Account_ID]], Accounts[ID], Accounts[Account'#], "Unknown")</f>
        <v>7328</v>
      </c>
      <c r="I689" s="168" t="str">
        <f>_xlfn.XLOOKUP(Table1[[#This Row],[Institution_ID]], Institutions[ID], Institutions[Institution nickname], "Unknown")</f>
        <v>Discover</v>
      </c>
      <c r="J689" s="139" t="s">
        <v>747</v>
      </c>
      <c r="K689" s="129" t="s">
        <v>110</v>
      </c>
      <c r="L689" s="129" t="s">
        <v>108</v>
      </c>
      <c r="M689" s="130" t="str" cm="1">
        <f t="array" ref="M689">IFERROR(INDEX(CategoriesTable[Category type],MATCH(Table1[[#This Row],[Category]],CategoriesTable[Category name],0),0),"")</f>
        <v>Expense</v>
      </c>
      <c r="N689" s="130" t="str" cm="1">
        <f t="array" ref="N689">IFERROR(INDEX(SubcategoriesTable[Subcategory name],MATCH(Table1[[#This Row],[Category]],SubcategoriesTable[Category name],0),0),"")</f>
        <v>Variable</v>
      </c>
      <c r="O689" s="130">
        <v>24</v>
      </c>
      <c r="P689" s="130">
        <f>MONTH(Table1[[#This Row],[Date]])</f>
        <v>8</v>
      </c>
      <c r="Q689" s="130">
        <v>2020</v>
      </c>
      <c r="R689" s="166">
        <f>IF(ISBLANK(Table1[[#This Row],[Date]]),"",Table1[[#This Row],[Date]]-WEEKDAY(Table1[[#This Row],[Date]],2)+1)</f>
        <v>44067</v>
      </c>
      <c r="S689" s="131">
        <f>IF(ISBLANK(Table1[[#This Row],[Date]]),"",DATE(Table1[[#This Row],[Date_Year]],Table1[[#This Row],[Date_Month]],1))</f>
        <v>44044</v>
      </c>
    </row>
    <row r="690" spans="2:19" ht="15.75" x14ac:dyDescent="0.25">
      <c r="B690" s="133">
        <v>44067</v>
      </c>
      <c r="C690" s="128" t="s">
        <v>748</v>
      </c>
      <c r="D690" s="128" t="s">
        <v>46</v>
      </c>
      <c r="E690" s="128" t="str" cm="1">
        <f t="array" ref="E690">IFERROR(INDEX(SubcategoriesTable[Subcategory name],MATCH(Table1[[#This Row],[Category]],SubcategoriesTable[Category name],0),0),"")</f>
        <v>Variable</v>
      </c>
      <c r="F690" s="134">
        <v>-58.95</v>
      </c>
      <c r="G690" s="167" t="str">
        <f>_xlfn.XLOOKUP(Table1[[#This Row],[Account_ID]], Accounts[ID], Accounts[Account nickname], "Unknown")</f>
        <v>Discover it chrome Card</v>
      </c>
      <c r="H690" s="137" t="str">
        <f>_xlfn.XLOOKUP(Table1[[#This Row],[Account_ID]], Accounts[ID], Accounts[Account'#], "Unknown")</f>
        <v>7328</v>
      </c>
      <c r="I690" s="168" t="str">
        <f>_xlfn.XLOOKUP(Table1[[#This Row],[Institution_ID]], Institutions[ID], Institutions[Institution nickname], "Unknown")</f>
        <v>Discover</v>
      </c>
      <c r="J690" s="139" t="s">
        <v>749</v>
      </c>
      <c r="K690" s="129" t="s">
        <v>110</v>
      </c>
      <c r="L690" s="129" t="s">
        <v>108</v>
      </c>
      <c r="M690" s="130" t="str" cm="1">
        <f t="array" ref="M690">IFERROR(INDEX(CategoriesTable[Category type],MATCH(Table1[[#This Row],[Category]],CategoriesTable[Category name],0),0),"")</f>
        <v>Expense</v>
      </c>
      <c r="N690" s="130" t="str" cm="1">
        <f t="array" ref="N690">IFERROR(INDEX(SubcategoriesTable[Subcategory name],MATCH(Table1[[#This Row],[Category]],SubcategoriesTable[Category name],0),0),"")</f>
        <v>Variable</v>
      </c>
      <c r="O690" s="130">
        <v>24</v>
      </c>
      <c r="P690" s="130">
        <f>MONTH(Table1[[#This Row],[Date]])</f>
        <v>8</v>
      </c>
      <c r="Q690" s="130">
        <v>2020</v>
      </c>
      <c r="R690" s="166">
        <f>IF(ISBLANK(Table1[[#This Row],[Date]]),"",Table1[[#This Row],[Date]]-WEEKDAY(Table1[[#This Row],[Date]],2)+1)</f>
        <v>44067</v>
      </c>
      <c r="S690" s="131">
        <f>IF(ISBLANK(Table1[[#This Row],[Date]]),"",DATE(Table1[[#This Row],[Date_Year]],Table1[[#This Row],[Date_Month]],1))</f>
        <v>44044</v>
      </c>
    </row>
    <row r="691" spans="2:19" ht="15.75" x14ac:dyDescent="0.25">
      <c r="B691" s="133">
        <v>44067</v>
      </c>
      <c r="C691" s="128" t="s">
        <v>115</v>
      </c>
      <c r="D691" s="128" t="s">
        <v>48</v>
      </c>
      <c r="E691" s="128" t="str" cm="1">
        <f t="array" ref="E691">IFERROR(INDEX(SubcategoriesTable[Subcategory name],MATCH(Table1[[#This Row],[Category]],SubcategoriesTable[Category name],0),0),"")</f>
        <v>Variable</v>
      </c>
      <c r="F691" s="134">
        <v>-3.29</v>
      </c>
      <c r="G691" s="167" t="str">
        <f>_xlfn.XLOOKUP(Table1[[#This Row],[Account_ID]], Accounts[ID], Accounts[Account nickname], "Unknown")</f>
        <v>Discover it chrome Card</v>
      </c>
      <c r="H691" s="137" t="str">
        <f>_xlfn.XLOOKUP(Table1[[#This Row],[Account_ID]], Accounts[ID], Accounts[Account'#], "Unknown")</f>
        <v>7328</v>
      </c>
      <c r="I691" s="168" t="str">
        <f>_xlfn.XLOOKUP(Table1[[#This Row],[Institution_ID]], Institutions[ID], Institutions[Institution nickname], "Unknown")</f>
        <v>Discover</v>
      </c>
      <c r="J691" s="139" t="s">
        <v>750</v>
      </c>
      <c r="K691" s="129" t="s">
        <v>110</v>
      </c>
      <c r="L691" s="129" t="s">
        <v>108</v>
      </c>
      <c r="M691" s="130" t="str" cm="1">
        <f t="array" ref="M691">IFERROR(INDEX(CategoriesTable[Category type],MATCH(Table1[[#This Row],[Category]],CategoriesTable[Category name],0),0),"")</f>
        <v>Expense</v>
      </c>
      <c r="N691" s="130" t="str" cm="1">
        <f t="array" ref="N691">IFERROR(INDEX(SubcategoriesTable[Subcategory name],MATCH(Table1[[#This Row],[Category]],SubcategoriesTable[Category name],0),0),"")</f>
        <v>Variable</v>
      </c>
      <c r="O691" s="130">
        <v>24</v>
      </c>
      <c r="P691" s="130">
        <f>MONTH(Table1[[#This Row],[Date]])</f>
        <v>8</v>
      </c>
      <c r="Q691" s="130">
        <v>2020</v>
      </c>
      <c r="R691" s="166">
        <f>IF(ISBLANK(Table1[[#This Row],[Date]]),"",Table1[[#This Row],[Date]]-WEEKDAY(Table1[[#This Row],[Date]],2)+1)</f>
        <v>44067</v>
      </c>
      <c r="S691" s="131">
        <f>IF(ISBLANK(Table1[[#This Row],[Date]]),"",DATE(Table1[[#This Row],[Date_Year]],Table1[[#This Row],[Date_Month]],1))</f>
        <v>44044</v>
      </c>
    </row>
    <row r="692" spans="2:19" ht="15.75" x14ac:dyDescent="0.25">
      <c r="B692" s="133">
        <v>44066</v>
      </c>
      <c r="C692" s="128" t="s">
        <v>380</v>
      </c>
      <c r="D692" s="128" t="s">
        <v>46</v>
      </c>
      <c r="E692" s="128" t="str" cm="1">
        <f t="array" ref="E692">IFERROR(INDEX(SubcategoriesTable[Subcategory name],MATCH(Table1[[#This Row],[Category]],SubcategoriesTable[Category name],0),0),"")</f>
        <v>Variable</v>
      </c>
      <c r="F692" s="134">
        <v>-19.989999999999998</v>
      </c>
      <c r="G692" s="167" t="str">
        <f>_xlfn.XLOOKUP(Table1[[#This Row],[Account_ID]], Accounts[ID], Accounts[Account nickname], "Unknown")</f>
        <v>Discover it chrome Card</v>
      </c>
      <c r="H692" s="137" t="str">
        <f>_xlfn.XLOOKUP(Table1[[#This Row],[Account_ID]], Accounts[ID], Accounts[Account'#], "Unknown")</f>
        <v>7328</v>
      </c>
      <c r="I692" s="168" t="str">
        <f>_xlfn.XLOOKUP(Table1[[#This Row],[Institution_ID]], Institutions[ID], Institutions[Institution nickname], "Unknown")</f>
        <v>Discover</v>
      </c>
      <c r="J692" s="139" t="s">
        <v>751</v>
      </c>
      <c r="K692" s="129" t="s">
        <v>110</v>
      </c>
      <c r="L692" s="129" t="s">
        <v>108</v>
      </c>
      <c r="M692" s="130" t="str" cm="1">
        <f t="array" ref="M692">IFERROR(INDEX(CategoriesTable[Category type],MATCH(Table1[[#This Row],[Category]],CategoriesTable[Category name],0),0),"")</f>
        <v>Expense</v>
      </c>
      <c r="N692" s="130" t="str" cm="1">
        <f t="array" ref="N692">IFERROR(INDEX(SubcategoriesTable[Subcategory name],MATCH(Table1[[#This Row],[Category]],SubcategoriesTable[Category name],0),0),"")</f>
        <v>Variable</v>
      </c>
      <c r="O692" s="130">
        <v>23</v>
      </c>
      <c r="P692" s="130">
        <f>MONTH(Table1[[#This Row],[Date]])</f>
        <v>8</v>
      </c>
      <c r="Q692" s="130">
        <v>2020</v>
      </c>
      <c r="R692" s="166">
        <f>IF(ISBLANK(Table1[[#This Row],[Date]]),"",Table1[[#This Row],[Date]]-WEEKDAY(Table1[[#This Row],[Date]],2)+1)</f>
        <v>44060</v>
      </c>
      <c r="S692" s="131">
        <f>IF(ISBLANK(Table1[[#This Row],[Date]]),"",DATE(Table1[[#This Row],[Date_Year]],Table1[[#This Row],[Date_Month]],1))</f>
        <v>44044</v>
      </c>
    </row>
    <row r="693" spans="2:19" ht="15.75" x14ac:dyDescent="0.25">
      <c r="B693" s="133">
        <v>44066</v>
      </c>
      <c r="C693" s="128" t="s">
        <v>457</v>
      </c>
      <c r="D693" s="128" t="s">
        <v>46</v>
      </c>
      <c r="E693" s="128" t="str" cm="1">
        <f t="array" ref="E693">IFERROR(INDEX(SubcategoriesTable[Subcategory name],MATCH(Table1[[#This Row],[Category]],SubcategoriesTable[Category name],0),0),"")</f>
        <v>Variable</v>
      </c>
      <c r="F693" s="134">
        <v>-26.31</v>
      </c>
      <c r="G693" s="167" t="str">
        <f>_xlfn.XLOOKUP(Table1[[#This Row],[Account_ID]], Accounts[ID], Accounts[Account nickname], "Unknown")</f>
        <v>Discover it chrome Card</v>
      </c>
      <c r="H693" s="137" t="str">
        <f>_xlfn.XLOOKUP(Table1[[#This Row],[Account_ID]], Accounts[ID], Accounts[Account'#], "Unknown")</f>
        <v>7328</v>
      </c>
      <c r="I693" s="168" t="str">
        <f>_xlfn.XLOOKUP(Table1[[#This Row],[Institution_ID]], Institutions[ID], Institutions[Institution nickname], "Unknown")</f>
        <v>Discover</v>
      </c>
      <c r="J693" s="139" t="s">
        <v>752</v>
      </c>
      <c r="K693" s="129" t="s">
        <v>110</v>
      </c>
      <c r="L693" s="129" t="s">
        <v>108</v>
      </c>
      <c r="M693" s="130" t="str" cm="1">
        <f t="array" ref="M693">IFERROR(INDEX(CategoriesTable[Category type],MATCH(Table1[[#This Row],[Category]],CategoriesTable[Category name],0),0),"")</f>
        <v>Expense</v>
      </c>
      <c r="N693" s="130" t="str" cm="1">
        <f t="array" ref="N693">IFERROR(INDEX(SubcategoriesTable[Subcategory name],MATCH(Table1[[#This Row],[Category]],SubcategoriesTable[Category name],0),0),"")</f>
        <v>Variable</v>
      </c>
      <c r="O693" s="130">
        <v>23</v>
      </c>
      <c r="P693" s="130">
        <f>MONTH(Table1[[#This Row],[Date]])</f>
        <v>8</v>
      </c>
      <c r="Q693" s="130">
        <v>2020</v>
      </c>
      <c r="R693" s="166">
        <f>IF(ISBLANK(Table1[[#This Row],[Date]]),"",Table1[[#This Row],[Date]]-WEEKDAY(Table1[[#This Row],[Date]],2)+1)</f>
        <v>44060</v>
      </c>
      <c r="S693" s="131">
        <f>IF(ISBLANK(Table1[[#This Row],[Date]]),"",DATE(Table1[[#This Row],[Date_Year]],Table1[[#This Row],[Date_Month]],1))</f>
        <v>44044</v>
      </c>
    </row>
    <row r="694" spans="2:19" ht="15.75" x14ac:dyDescent="0.25">
      <c r="B694" s="133">
        <v>44066</v>
      </c>
      <c r="C694" s="128" t="s">
        <v>176</v>
      </c>
      <c r="D694" s="128" t="s">
        <v>51</v>
      </c>
      <c r="E694" s="128" t="str" cm="1">
        <f t="array" ref="E694">IFERROR(INDEX(SubcategoriesTable[Subcategory name],MATCH(Table1[[#This Row],[Category]],SubcategoriesTable[Category name],0),0),"")</f>
        <v>Variable</v>
      </c>
      <c r="F694" s="134">
        <v>-599</v>
      </c>
      <c r="G694" s="167" t="str">
        <f>_xlfn.XLOOKUP(Table1[[#This Row],[Account_ID]], Accounts[ID], Accounts[Account nickname], "Unknown")</f>
        <v>Discover it chrome Card</v>
      </c>
      <c r="H694" s="137" t="str">
        <f>_xlfn.XLOOKUP(Table1[[#This Row],[Account_ID]], Accounts[ID], Accounts[Account'#], "Unknown")</f>
        <v>7328</v>
      </c>
      <c r="I694" s="168" t="str">
        <f>_xlfn.XLOOKUP(Table1[[#This Row],[Institution_ID]], Institutions[ID], Institutions[Institution nickname], "Unknown")</f>
        <v>Discover</v>
      </c>
      <c r="J694" s="139" t="s">
        <v>753</v>
      </c>
      <c r="K694" s="129" t="s">
        <v>110</v>
      </c>
      <c r="L694" s="129" t="s">
        <v>108</v>
      </c>
      <c r="M694" s="130" t="str" cm="1">
        <f t="array" ref="M694">IFERROR(INDEX(CategoriesTable[Category type],MATCH(Table1[[#This Row],[Category]],CategoriesTable[Category name],0),0),"")</f>
        <v>Expense</v>
      </c>
      <c r="N694" s="130" t="str" cm="1">
        <f t="array" ref="N694">IFERROR(INDEX(SubcategoriesTable[Subcategory name],MATCH(Table1[[#This Row],[Category]],SubcategoriesTable[Category name],0),0),"")</f>
        <v>Variable</v>
      </c>
      <c r="O694" s="130">
        <v>23</v>
      </c>
      <c r="P694" s="130">
        <f>MONTH(Table1[[#This Row],[Date]])</f>
        <v>8</v>
      </c>
      <c r="Q694" s="130">
        <v>2020</v>
      </c>
      <c r="R694" s="166">
        <f>IF(ISBLANK(Table1[[#This Row],[Date]]),"",Table1[[#This Row],[Date]]-WEEKDAY(Table1[[#This Row],[Date]],2)+1)</f>
        <v>44060</v>
      </c>
      <c r="S694" s="131">
        <f>IF(ISBLANK(Table1[[#This Row],[Date]]),"",DATE(Table1[[#This Row],[Date_Year]],Table1[[#This Row],[Date_Month]],1))</f>
        <v>44044</v>
      </c>
    </row>
    <row r="695" spans="2:19" ht="15.75" x14ac:dyDescent="0.25">
      <c r="B695" s="133">
        <v>44066</v>
      </c>
      <c r="C695" s="128" t="s">
        <v>748</v>
      </c>
      <c r="D695" s="128" t="s">
        <v>46</v>
      </c>
      <c r="E695" s="128" t="str" cm="1">
        <f t="array" ref="E695">IFERROR(INDEX(SubcategoriesTable[Subcategory name],MATCH(Table1[[#This Row],[Category]],SubcategoriesTable[Category name],0),0),"")</f>
        <v>Variable</v>
      </c>
      <c r="F695" s="134">
        <v>-15.95</v>
      </c>
      <c r="G695" s="167" t="str">
        <f>_xlfn.XLOOKUP(Table1[[#This Row],[Account_ID]], Accounts[ID], Accounts[Account nickname], "Unknown")</f>
        <v>Discover it chrome Card</v>
      </c>
      <c r="H695" s="137" t="str">
        <f>_xlfn.XLOOKUP(Table1[[#This Row],[Account_ID]], Accounts[ID], Accounts[Account'#], "Unknown")</f>
        <v>7328</v>
      </c>
      <c r="I695" s="168" t="str">
        <f>_xlfn.XLOOKUP(Table1[[#This Row],[Institution_ID]], Institutions[ID], Institutions[Institution nickname], "Unknown")</f>
        <v>Discover</v>
      </c>
      <c r="J695" s="139" t="s">
        <v>754</v>
      </c>
      <c r="K695" s="129" t="s">
        <v>110</v>
      </c>
      <c r="L695" s="129" t="s">
        <v>108</v>
      </c>
      <c r="M695" s="130" t="str" cm="1">
        <f t="array" ref="M695">IFERROR(INDEX(CategoriesTable[Category type],MATCH(Table1[[#This Row],[Category]],CategoriesTable[Category name],0),0),"")</f>
        <v>Expense</v>
      </c>
      <c r="N695" s="130" t="str" cm="1">
        <f t="array" ref="N695">IFERROR(INDEX(SubcategoriesTable[Subcategory name],MATCH(Table1[[#This Row],[Category]],SubcategoriesTable[Category name],0),0),"")</f>
        <v>Variable</v>
      </c>
      <c r="O695" s="130">
        <v>23</v>
      </c>
      <c r="P695" s="130">
        <f>MONTH(Table1[[#This Row],[Date]])</f>
        <v>8</v>
      </c>
      <c r="Q695" s="130">
        <v>2020</v>
      </c>
      <c r="R695" s="166">
        <f>IF(ISBLANK(Table1[[#This Row],[Date]]),"",Table1[[#This Row],[Date]]-WEEKDAY(Table1[[#This Row],[Date]],2)+1)</f>
        <v>44060</v>
      </c>
      <c r="S695" s="131">
        <f>IF(ISBLANK(Table1[[#This Row],[Date]]),"",DATE(Table1[[#This Row],[Date_Year]],Table1[[#This Row],[Date_Month]],1))</f>
        <v>44044</v>
      </c>
    </row>
    <row r="696" spans="2:19" ht="15.75" x14ac:dyDescent="0.25">
      <c r="B696" s="133">
        <v>44066</v>
      </c>
      <c r="C696" s="128" t="s">
        <v>115</v>
      </c>
      <c r="D696" s="128" t="s">
        <v>48</v>
      </c>
      <c r="E696" s="128" t="str" cm="1">
        <f t="array" ref="E696">IFERROR(INDEX(SubcategoriesTable[Subcategory name],MATCH(Table1[[#This Row],[Category]],SubcategoriesTable[Category name],0),0),"")</f>
        <v>Variable</v>
      </c>
      <c r="F696" s="134">
        <v>-17.87</v>
      </c>
      <c r="G696" s="167" t="str">
        <f>_xlfn.XLOOKUP(Table1[[#This Row],[Account_ID]], Accounts[ID], Accounts[Account nickname], "Unknown")</f>
        <v>Discover it chrome Card</v>
      </c>
      <c r="H696" s="137" t="str">
        <f>_xlfn.XLOOKUP(Table1[[#This Row],[Account_ID]], Accounts[ID], Accounts[Account'#], "Unknown")</f>
        <v>7328</v>
      </c>
      <c r="I696" s="168" t="str">
        <f>_xlfn.XLOOKUP(Table1[[#This Row],[Institution_ID]], Institutions[ID], Institutions[Institution nickname], "Unknown")</f>
        <v>Discover</v>
      </c>
      <c r="J696" s="139" t="s">
        <v>755</v>
      </c>
      <c r="K696" s="129" t="s">
        <v>110</v>
      </c>
      <c r="L696" s="129" t="s">
        <v>108</v>
      </c>
      <c r="M696" s="130" t="str" cm="1">
        <f t="array" ref="M696">IFERROR(INDEX(CategoriesTable[Category type],MATCH(Table1[[#This Row],[Category]],CategoriesTable[Category name],0),0),"")</f>
        <v>Expense</v>
      </c>
      <c r="N696" s="130" t="str" cm="1">
        <f t="array" ref="N696">IFERROR(INDEX(SubcategoriesTable[Subcategory name],MATCH(Table1[[#This Row],[Category]],SubcategoriesTable[Category name],0),0),"")</f>
        <v>Variable</v>
      </c>
      <c r="O696" s="130">
        <v>23</v>
      </c>
      <c r="P696" s="130">
        <f>MONTH(Table1[[#This Row],[Date]])</f>
        <v>8</v>
      </c>
      <c r="Q696" s="130">
        <v>2020</v>
      </c>
      <c r="R696" s="166">
        <f>IF(ISBLANK(Table1[[#This Row],[Date]]),"",Table1[[#This Row],[Date]]-WEEKDAY(Table1[[#This Row],[Date]],2)+1)</f>
        <v>44060</v>
      </c>
      <c r="S696" s="131">
        <f>IF(ISBLANK(Table1[[#This Row],[Date]]),"",DATE(Table1[[#This Row],[Date_Year]],Table1[[#This Row],[Date_Month]],1))</f>
        <v>44044</v>
      </c>
    </row>
    <row r="697" spans="2:19" ht="15.75" x14ac:dyDescent="0.25">
      <c r="B697" s="133">
        <v>44066</v>
      </c>
      <c r="C697" s="128" t="s">
        <v>115</v>
      </c>
      <c r="D697" s="128" t="s">
        <v>48</v>
      </c>
      <c r="E697" s="128" t="str" cm="1">
        <f t="array" ref="E697">IFERROR(INDEX(SubcategoriesTable[Subcategory name],MATCH(Table1[[#This Row],[Category]],SubcategoriesTable[Category name],0),0),"")</f>
        <v>Variable</v>
      </c>
      <c r="F697" s="134">
        <v>-138.56</v>
      </c>
      <c r="G697" s="167" t="str">
        <f>_xlfn.XLOOKUP(Table1[[#This Row],[Account_ID]], Accounts[ID], Accounts[Account nickname], "Unknown")</f>
        <v>Discover it chrome Card</v>
      </c>
      <c r="H697" s="137" t="str">
        <f>_xlfn.XLOOKUP(Table1[[#This Row],[Account_ID]], Accounts[ID], Accounts[Account'#], "Unknown")</f>
        <v>7328</v>
      </c>
      <c r="I697" s="168" t="str">
        <f>_xlfn.XLOOKUP(Table1[[#This Row],[Institution_ID]], Institutions[ID], Institutions[Institution nickname], "Unknown")</f>
        <v>Discover</v>
      </c>
      <c r="J697" s="139" t="s">
        <v>756</v>
      </c>
      <c r="K697" s="129" t="s">
        <v>110</v>
      </c>
      <c r="L697" s="129" t="s">
        <v>108</v>
      </c>
      <c r="M697" s="130" t="str" cm="1">
        <f t="array" ref="M697">IFERROR(INDEX(CategoriesTable[Category type],MATCH(Table1[[#This Row],[Category]],CategoriesTable[Category name],0),0),"")</f>
        <v>Expense</v>
      </c>
      <c r="N697" s="130" t="str" cm="1">
        <f t="array" ref="N697">IFERROR(INDEX(SubcategoriesTable[Subcategory name],MATCH(Table1[[#This Row],[Category]],SubcategoriesTable[Category name],0),0),"")</f>
        <v>Variable</v>
      </c>
      <c r="O697" s="130">
        <v>23</v>
      </c>
      <c r="P697" s="130">
        <f>MONTH(Table1[[#This Row],[Date]])</f>
        <v>8</v>
      </c>
      <c r="Q697" s="130">
        <v>2020</v>
      </c>
      <c r="R697" s="166">
        <f>IF(ISBLANK(Table1[[#This Row],[Date]]),"",Table1[[#This Row],[Date]]-WEEKDAY(Table1[[#This Row],[Date]],2)+1)</f>
        <v>44060</v>
      </c>
      <c r="S697" s="131">
        <f>IF(ISBLANK(Table1[[#This Row],[Date]]),"",DATE(Table1[[#This Row],[Date_Year]],Table1[[#This Row],[Date_Month]],1))</f>
        <v>44044</v>
      </c>
    </row>
    <row r="698" spans="2:19" ht="15.75" x14ac:dyDescent="0.25">
      <c r="B698" s="133">
        <v>44065</v>
      </c>
      <c r="C698" s="128" t="s">
        <v>757</v>
      </c>
      <c r="D698" s="128" t="s">
        <v>45</v>
      </c>
      <c r="E698" s="128" t="str" cm="1">
        <f t="array" ref="E698">IFERROR(INDEX(SubcategoriesTable[Subcategory name],MATCH(Table1[[#This Row],[Category]],SubcategoriesTable[Category name],0),0),"")</f>
        <v>Variable</v>
      </c>
      <c r="F698" s="134">
        <v>-20</v>
      </c>
      <c r="G698" s="167" t="str">
        <f>_xlfn.XLOOKUP(Table1[[#This Row],[Account_ID]], Accounts[ID], Accounts[Account nickname], "Unknown")</f>
        <v>Discover it chrome Card</v>
      </c>
      <c r="H698" s="137" t="str">
        <f>_xlfn.XLOOKUP(Table1[[#This Row],[Account_ID]], Accounts[ID], Accounts[Account'#], "Unknown")</f>
        <v>7328</v>
      </c>
      <c r="I698" s="168" t="str">
        <f>_xlfn.XLOOKUP(Table1[[#This Row],[Institution_ID]], Institutions[ID], Institutions[Institution nickname], "Unknown")</f>
        <v>Discover</v>
      </c>
      <c r="J698" s="139" t="s">
        <v>758</v>
      </c>
      <c r="K698" s="129" t="s">
        <v>110</v>
      </c>
      <c r="L698" s="129" t="s">
        <v>108</v>
      </c>
      <c r="M698" s="130" t="str" cm="1">
        <f t="array" ref="M698">IFERROR(INDEX(CategoriesTable[Category type],MATCH(Table1[[#This Row],[Category]],CategoriesTable[Category name],0),0),"")</f>
        <v>Expense</v>
      </c>
      <c r="N698" s="130" t="str" cm="1">
        <f t="array" ref="N698">IFERROR(INDEX(SubcategoriesTable[Subcategory name],MATCH(Table1[[#This Row],[Category]],SubcategoriesTable[Category name],0),0),"")</f>
        <v>Variable</v>
      </c>
      <c r="O698" s="130">
        <v>22</v>
      </c>
      <c r="P698" s="130">
        <f>MONTH(Table1[[#This Row],[Date]])</f>
        <v>8</v>
      </c>
      <c r="Q698" s="130">
        <v>2020</v>
      </c>
      <c r="R698" s="166">
        <f>IF(ISBLANK(Table1[[#This Row],[Date]]),"",Table1[[#This Row],[Date]]-WEEKDAY(Table1[[#This Row],[Date]],2)+1)</f>
        <v>44060</v>
      </c>
      <c r="S698" s="131">
        <f>IF(ISBLANK(Table1[[#This Row],[Date]]),"",DATE(Table1[[#This Row],[Date_Year]],Table1[[#This Row],[Date_Month]],1))</f>
        <v>44044</v>
      </c>
    </row>
    <row r="699" spans="2:19" ht="15.75" x14ac:dyDescent="0.25">
      <c r="B699" s="133">
        <v>44065</v>
      </c>
      <c r="C699" s="128" t="s">
        <v>380</v>
      </c>
      <c r="D699" s="128" t="s">
        <v>46</v>
      </c>
      <c r="E699" s="128" t="str" cm="1">
        <f t="array" ref="E699">IFERROR(INDEX(SubcategoriesTable[Subcategory name],MATCH(Table1[[#This Row],[Category]],SubcategoriesTable[Category name],0),0),"")</f>
        <v>Variable</v>
      </c>
      <c r="F699" s="134">
        <v>-4.99</v>
      </c>
      <c r="G699" s="167" t="str">
        <f>_xlfn.XLOOKUP(Table1[[#This Row],[Account_ID]], Accounts[ID], Accounts[Account nickname], "Unknown")</f>
        <v>Discover it chrome Card</v>
      </c>
      <c r="H699" s="137" t="str">
        <f>_xlfn.XLOOKUP(Table1[[#This Row],[Account_ID]], Accounts[ID], Accounts[Account'#], "Unknown")</f>
        <v>7328</v>
      </c>
      <c r="I699" s="168" t="str">
        <f>_xlfn.XLOOKUP(Table1[[#This Row],[Institution_ID]], Institutions[ID], Institutions[Institution nickname], "Unknown")</f>
        <v>Discover</v>
      </c>
      <c r="J699" s="139" t="s">
        <v>759</v>
      </c>
      <c r="K699" s="129" t="s">
        <v>110</v>
      </c>
      <c r="L699" s="129" t="s">
        <v>108</v>
      </c>
      <c r="M699" s="130" t="str" cm="1">
        <f t="array" ref="M699">IFERROR(INDEX(CategoriesTable[Category type],MATCH(Table1[[#This Row],[Category]],CategoriesTable[Category name],0),0),"")</f>
        <v>Expense</v>
      </c>
      <c r="N699" s="130" t="str" cm="1">
        <f t="array" ref="N699">IFERROR(INDEX(SubcategoriesTable[Subcategory name],MATCH(Table1[[#This Row],[Category]],SubcategoriesTable[Category name],0),0),"")</f>
        <v>Variable</v>
      </c>
      <c r="O699" s="130">
        <v>22</v>
      </c>
      <c r="P699" s="130">
        <f>MONTH(Table1[[#This Row],[Date]])</f>
        <v>8</v>
      </c>
      <c r="Q699" s="130">
        <v>2020</v>
      </c>
      <c r="R699" s="166">
        <f>IF(ISBLANK(Table1[[#This Row],[Date]]),"",Table1[[#This Row],[Date]]-WEEKDAY(Table1[[#This Row],[Date]],2)+1)</f>
        <v>44060</v>
      </c>
      <c r="S699" s="131">
        <f>IF(ISBLANK(Table1[[#This Row],[Date]]),"",DATE(Table1[[#This Row],[Date_Year]],Table1[[#This Row],[Date_Month]],1))</f>
        <v>44044</v>
      </c>
    </row>
    <row r="700" spans="2:19" ht="15.75" x14ac:dyDescent="0.25">
      <c r="B700" s="133">
        <v>44065</v>
      </c>
      <c r="C700" s="128" t="s">
        <v>380</v>
      </c>
      <c r="D700" s="128" t="s">
        <v>46</v>
      </c>
      <c r="E700" s="128" t="str" cm="1">
        <f t="array" ref="E700">IFERROR(INDEX(SubcategoriesTable[Subcategory name],MATCH(Table1[[#This Row],[Category]],SubcategoriesTable[Category name],0),0),"")</f>
        <v>Variable</v>
      </c>
      <c r="F700" s="134">
        <v>-4.99</v>
      </c>
      <c r="G700" s="167" t="str">
        <f>_xlfn.XLOOKUP(Table1[[#This Row],[Account_ID]], Accounts[ID], Accounts[Account nickname], "Unknown")</f>
        <v>Discover it chrome Card</v>
      </c>
      <c r="H700" s="137" t="str">
        <f>_xlfn.XLOOKUP(Table1[[#This Row],[Account_ID]], Accounts[ID], Accounts[Account'#], "Unknown")</f>
        <v>7328</v>
      </c>
      <c r="I700" s="168" t="str">
        <f>_xlfn.XLOOKUP(Table1[[#This Row],[Institution_ID]], Institutions[ID], Institutions[Institution nickname], "Unknown")</f>
        <v>Discover</v>
      </c>
      <c r="J700" s="139" t="s">
        <v>760</v>
      </c>
      <c r="K700" s="129" t="s">
        <v>110</v>
      </c>
      <c r="L700" s="129" t="s">
        <v>108</v>
      </c>
      <c r="M700" s="130" t="str" cm="1">
        <f t="array" ref="M700">IFERROR(INDEX(CategoriesTable[Category type],MATCH(Table1[[#This Row],[Category]],CategoriesTable[Category name],0),0),"")</f>
        <v>Expense</v>
      </c>
      <c r="N700" s="130" t="str" cm="1">
        <f t="array" ref="N700">IFERROR(INDEX(SubcategoriesTable[Subcategory name],MATCH(Table1[[#This Row],[Category]],SubcategoriesTable[Category name],0),0),"")</f>
        <v>Variable</v>
      </c>
      <c r="O700" s="130">
        <v>22</v>
      </c>
      <c r="P700" s="130">
        <f>MONTH(Table1[[#This Row],[Date]])</f>
        <v>8</v>
      </c>
      <c r="Q700" s="130">
        <v>2020</v>
      </c>
      <c r="R700" s="166">
        <f>IF(ISBLANK(Table1[[#This Row],[Date]]),"",Table1[[#This Row],[Date]]-WEEKDAY(Table1[[#This Row],[Date]],2)+1)</f>
        <v>44060</v>
      </c>
      <c r="S700" s="131">
        <f>IF(ISBLANK(Table1[[#This Row],[Date]]),"",DATE(Table1[[#This Row],[Date_Year]],Table1[[#This Row],[Date_Month]],1))</f>
        <v>44044</v>
      </c>
    </row>
    <row r="701" spans="2:19" ht="15.75" x14ac:dyDescent="0.25">
      <c r="B701" s="133">
        <v>44065</v>
      </c>
      <c r="C701" s="128" t="s">
        <v>211</v>
      </c>
      <c r="D701" s="128" t="s">
        <v>56</v>
      </c>
      <c r="E701" s="128" t="str" cm="1">
        <f t="array" ref="E701">IFERROR(INDEX(SubcategoriesTable[Subcategory name],MATCH(Table1[[#This Row],[Category]],SubcategoriesTable[Category name],0),0),"")</f>
        <v>Variable</v>
      </c>
      <c r="F701" s="134">
        <v>-10</v>
      </c>
      <c r="G701" s="167" t="str">
        <f>_xlfn.XLOOKUP(Table1[[#This Row],[Account_ID]], Accounts[ID], Accounts[Account nickname], "Unknown")</f>
        <v>Discover it chrome Card</v>
      </c>
      <c r="H701" s="137" t="str">
        <f>_xlfn.XLOOKUP(Table1[[#This Row],[Account_ID]], Accounts[ID], Accounts[Account'#], "Unknown")</f>
        <v>7328</v>
      </c>
      <c r="I701" s="168" t="str">
        <f>_xlfn.XLOOKUP(Table1[[#This Row],[Institution_ID]], Institutions[ID], Institutions[Institution nickname], "Unknown")</f>
        <v>Discover</v>
      </c>
      <c r="J701" s="139" t="s">
        <v>761</v>
      </c>
      <c r="K701" s="129" t="s">
        <v>110</v>
      </c>
      <c r="L701" s="129" t="s">
        <v>108</v>
      </c>
      <c r="M701" s="130" t="str" cm="1">
        <f t="array" ref="M701">IFERROR(INDEX(CategoriesTable[Category type],MATCH(Table1[[#This Row],[Category]],CategoriesTable[Category name],0),0),"")</f>
        <v>Expense</v>
      </c>
      <c r="N701" s="130" t="str" cm="1">
        <f t="array" ref="N701">IFERROR(INDEX(SubcategoriesTable[Subcategory name],MATCH(Table1[[#This Row],[Category]],SubcategoriesTable[Category name],0),0),"")</f>
        <v>Variable</v>
      </c>
      <c r="O701" s="130">
        <v>22</v>
      </c>
      <c r="P701" s="130">
        <f>MONTH(Table1[[#This Row],[Date]])</f>
        <v>8</v>
      </c>
      <c r="Q701" s="130">
        <v>2020</v>
      </c>
      <c r="R701" s="166">
        <f>IF(ISBLANK(Table1[[#This Row],[Date]]),"",Table1[[#This Row],[Date]]-WEEKDAY(Table1[[#This Row],[Date]],2)+1)</f>
        <v>44060</v>
      </c>
      <c r="S701" s="131">
        <f>IF(ISBLANK(Table1[[#This Row],[Date]]),"",DATE(Table1[[#This Row],[Date_Year]],Table1[[#This Row],[Date_Month]],1))</f>
        <v>44044</v>
      </c>
    </row>
    <row r="702" spans="2:19" ht="15.75" x14ac:dyDescent="0.25">
      <c r="B702" s="133">
        <v>44065</v>
      </c>
      <c r="C702" s="128" t="s">
        <v>211</v>
      </c>
      <c r="D702" s="128" t="s">
        <v>56</v>
      </c>
      <c r="E702" s="128" t="str" cm="1">
        <f t="array" ref="E702">IFERROR(INDEX(SubcategoriesTable[Subcategory name],MATCH(Table1[[#This Row],[Category]],SubcategoriesTable[Category name],0),0),"")</f>
        <v>Variable</v>
      </c>
      <c r="F702" s="134">
        <v>-10</v>
      </c>
      <c r="G702" s="167" t="str">
        <f>_xlfn.XLOOKUP(Table1[[#This Row],[Account_ID]], Accounts[ID], Accounts[Account nickname], "Unknown")</f>
        <v>Discover it chrome Card</v>
      </c>
      <c r="H702" s="137" t="str">
        <f>_xlfn.XLOOKUP(Table1[[#This Row],[Account_ID]], Accounts[ID], Accounts[Account'#], "Unknown")</f>
        <v>7328</v>
      </c>
      <c r="I702" s="168" t="str">
        <f>_xlfn.XLOOKUP(Table1[[#This Row],[Institution_ID]], Institutions[ID], Institutions[Institution nickname], "Unknown")</f>
        <v>Discover</v>
      </c>
      <c r="J702" s="139" t="s">
        <v>762</v>
      </c>
      <c r="K702" s="129" t="s">
        <v>110</v>
      </c>
      <c r="L702" s="129" t="s">
        <v>108</v>
      </c>
      <c r="M702" s="130" t="str" cm="1">
        <f t="array" ref="M702">IFERROR(INDEX(CategoriesTable[Category type],MATCH(Table1[[#This Row],[Category]],CategoriesTable[Category name],0),0),"")</f>
        <v>Expense</v>
      </c>
      <c r="N702" s="130" t="str" cm="1">
        <f t="array" ref="N702">IFERROR(INDEX(SubcategoriesTable[Subcategory name],MATCH(Table1[[#This Row],[Category]],SubcategoriesTable[Category name],0),0),"")</f>
        <v>Variable</v>
      </c>
      <c r="O702" s="130">
        <v>22</v>
      </c>
      <c r="P702" s="130">
        <f>MONTH(Table1[[#This Row],[Date]])</f>
        <v>8</v>
      </c>
      <c r="Q702" s="130">
        <v>2020</v>
      </c>
      <c r="R702" s="166">
        <f>IF(ISBLANK(Table1[[#This Row],[Date]]),"",Table1[[#This Row],[Date]]-WEEKDAY(Table1[[#This Row],[Date]],2)+1)</f>
        <v>44060</v>
      </c>
      <c r="S702" s="131">
        <f>IF(ISBLANK(Table1[[#This Row],[Date]]),"",DATE(Table1[[#This Row],[Date_Year]],Table1[[#This Row],[Date_Month]],1))</f>
        <v>44044</v>
      </c>
    </row>
    <row r="703" spans="2:19" ht="15.75" x14ac:dyDescent="0.25">
      <c r="B703" s="133">
        <v>44065</v>
      </c>
      <c r="C703" s="128" t="s">
        <v>763</v>
      </c>
      <c r="D703" s="128" t="s">
        <v>52</v>
      </c>
      <c r="E703" s="128" t="str" cm="1">
        <f t="array" ref="E703">IFERROR(INDEX(SubcategoriesTable[Subcategory name],MATCH(Table1[[#This Row],[Category]],SubcategoriesTable[Category name],0),0),"")</f>
        <v>Variable</v>
      </c>
      <c r="F703" s="134">
        <v>-2.04</v>
      </c>
      <c r="G703" s="167" t="str">
        <f>_xlfn.XLOOKUP(Table1[[#This Row],[Account_ID]], Accounts[ID], Accounts[Account nickname], "Unknown")</f>
        <v>Discover it chrome Card</v>
      </c>
      <c r="H703" s="137" t="str">
        <f>_xlfn.XLOOKUP(Table1[[#This Row],[Account_ID]], Accounts[ID], Accounts[Account'#], "Unknown")</f>
        <v>7328</v>
      </c>
      <c r="I703" s="168" t="str">
        <f>_xlfn.XLOOKUP(Table1[[#This Row],[Institution_ID]], Institutions[ID], Institutions[Institution nickname], "Unknown")</f>
        <v>Discover</v>
      </c>
      <c r="J703" s="139" t="s">
        <v>764</v>
      </c>
      <c r="K703" s="129" t="s">
        <v>110</v>
      </c>
      <c r="L703" s="129" t="s">
        <v>108</v>
      </c>
      <c r="M703" s="130" t="str" cm="1">
        <f t="array" ref="M703">IFERROR(INDEX(CategoriesTable[Category type],MATCH(Table1[[#This Row],[Category]],CategoriesTable[Category name],0),0),"")</f>
        <v>Expense</v>
      </c>
      <c r="N703" s="130" t="str" cm="1">
        <f t="array" ref="N703">IFERROR(INDEX(SubcategoriesTable[Subcategory name],MATCH(Table1[[#This Row],[Category]],SubcategoriesTable[Category name],0),0),"")</f>
        <v>Variable</v>
      </c>
      <c r="O703" s="130">
        <v>22</v>
      </c>
      <c r="P703" s="130">
        <f>MONTH(Table1[[#This Row],[Date]])</f>
        <v>8</v>
      </c>
      <c r="Q703" s="130">
        <v>2020</v>
      </c>
      <c r="R703" s="166">
        <f>IF(ISBLANK(Table1[[#This Row],[Date]]),"",Table1[[#This Row],[Date]]-WEEKDAY(Table1[[#This Row],[Date]],2)+1)</f>
        <v>44060</v>
      </c>
      <c r="S703" s="131">
        <f>IF(ISBLANK(Table1[[#This Row],[Date]]),"",DATE(Table1[[#This Row],[Date_Year]],Table1[[#This Row],[Date_Month]],1))</f>
        <v>44044</v>
      </c>
    </row>
    <row r="704" spans="2:19" ht="15.75" x14ac:dyDescent="0.25">
      <c r="B704" s="133">
        <v>44065</v>
      </c>
      <c r="C704" s="128" t="s">
        <v>267</v>
      </c>
      <c r="D704" s="128" t="s">
        <v>46</v>
      </c>
      <c r="E704" s="128" t="str" cm="1">
        <f t="array" ref="E704">IFERROR(INDEX(SubcategoriesTable[Subcategory name],MATCH(Table1[[#This Row],[Category]],SubcategoriesTable[Category name],0),0),"")</f>
        <v>Variable</v>
      </c>
      <c r="F704" s="134">
        <v>-9.32</v>
      </c>
      <c r="G704" s="167" t="str">
        <f>_xlfn.XLOOKUP(Table1[[#This Row],[Account_ID]], Accounts[ID], Accounts[Account nickname], "Unknown")</f>
        <v>Discover it chrome Card</v>
      </c>
      <c r="H704" s="137" t="str">
        <f>_xlfn.XLOOKUP(Table1[[#This Row],[Account_ID]], Accounts[ID], Accounts[Account'#], "Unknown")</f>
        <v>7328</v>
      </c>
      <c r="I704" s="168" t="str">
        <f>_xlfn.XLOOKUP(Table1[[#This Row],[Institution_ID]], Institutions[ID], Institutions[Institution nickname], "Unknown")</f>
        <v>Discover</v>
      </c>
      <c r="J704" s="139" t="s">
        <v>765</v>
      </c>
      <c r="K704" s="129" t="s">
        <v>110</v>
      </c>
      <c r="L704" s="129" t="s">
        <v>108</v>
      </c>
      <c r="M704" s="130" t="str" cm="1">
        <f t="array" ref="M704">IFERROR(INDEX(CategoriesTable[Category type],MATCH(Table1[[#This Row],[Category]],CategoriesTable[Category name],0),0),"")</f>
        <v>Expense</v>
      </c>
      <c r="N704" s="130" t="str" cm="1">
        <f t="array" ref="N704">IFERROR(INDEX(SubcategoriesTable[Subcategory name],MATCH(Table1[[#This Row],[Category]],SubcategoriesTable[Category name],0),0),"")</f>
        <v>Variable</v>
      </c>
      <c r="O704" s="130">
        <v>22</v>
      </c>
      <c r="P704" s="130">
        <f>MONTH(Table1[[#This Row],[Date]])</f>
        <v>8</v>
      </c>
      <c r="Q704" s="130">
        <v>2020</v>
      </c>
      <c r="R704" s="166">
        <f>IF(ISBLANK(Table1[[#This Row],[Date]]),"",Table1[[#This Row],[Date]]-WEEKDAY(Table1[[#This Row],[Date]],2)+1)</f>
        <v>44060</v>
      </c>
      <c r="S704" s="131">
        <f>IF(ISBLANK(Table1[[#This Row],[Date]]),"",DATE(Table1[[#This Row],[Date_Year]],Table1[[#This Row],[Date_Month]],1))</f>
        <v>44044</v>
      </c>
    </row>
    <row r="705" spans="2:19" ht="15.75" x14ac:dyDescent="0.25">
      <c r="B705" s="133">
        <v>44065</v>
      </c>
      <c r="C705" s="128" t="s">
        <v>633</v>
      </c>
      <c r="D705" s="128" t="s">
        <v>45</v>
      </c>
      <c r="E705" s="128" t="str" cm="1">
        <f t="array" ref="E705">IFERROR(INDEX(SubcategoriesTable[Subcategory name],MATCH(Table1[[#This Row],[Category]],SubcategoriesTable[Category name],0),0),"")</f>
        <v>Variable</v>
      </c>
      <c r="F705" s="134">
        <v>-7.41</v>
      </c>
      <c r="G705" s="167" t="str">
        <f>_xlfn.XLOOKUP(Table1[[#This Row],[Account_ID]], Accounts[ID], Accounts[Account nickname], "Unknown")</f>
        <v>Discover it chrome Card</v>
      </c>
      <c r="H705" s="137" t="str">
        <f>_xlfn.XLOOKUP(Table1[[#This Row],[Account_ID]], Accounts[ID], Accounts[Account'#], "Unknown")</f>
        <v>7328</v>
      </c>
      <c r="I705" s="168" t="str">
        <f>_xlfn.XLOOKUP(Table1[[#This Row],[Institution_ID]], Institutions[ID], Institutions[Institution nickname], "Unknown")</f>
        <v>Discover</v>
      </c>
      <c r="J705" s="139" t="s">
        <v>766</v>
      </c>
      <c r="K705" s="129" t="s">
        <v>110</v>
      </c>
      <c r="L705" s="129" t="s">
        <v>108</v>
      </c>
      <c r="M705" s="130" t="str" cm="1">
        <f t="array" ref="M705">IFERROR(INDEX(CategoriesTable[Category type],MATCH(Table1[[#This Row],[Category]],CategoriesTable[Category name],0),0),"")</f>
        <v>Expense</v>
      </c>
      <c r="N705" s="130" t="str" cm="1">
        <f t="array" ref="N705">IFERROR(INDEX(SubcategoriesTable[Subcategory name],MATCH(Table1[[#This Row],[Category]],SubcategoriesTable[Category name],0),0),"")</f>
        <v>Variable</v>
      </c>
      <c r="O705" s="130">
        <v>22</v>
      </c>
      <c r="P705" s="130">
        <f>MONTH(Table1[[#This Row],[Date]])</f>
        <v>8</v>
      </c>
      <c r="Q705" s="130">
        <v>2020</v>
      </c>
      <c r="R705" s="166">
        <f>IF(ISBLANK(Table1[[#This Row],[Date]]),"",Table1[[#This Row],[Date]]-WEEKDAY(Table1[[#This Row],[Date]],2)+1)</f>
        <v>44060</v>
      </c>
      <c r="S705" s="131">
        <f>IF(ISBLANK(Table1[[#This Row],[Date]]),"",DATE(Table1[[#This Row],[Date_Year]],Table1[[#This Row],[Date_Month]],1))</f>
        <v>44044</v>
      </c>
    </row>
    <row r="706" spans="2:19" ht="15.75" x14ac:dyDescent="0.25">
      <c r="B706" s="133">
        <v>44065</v>
      </c>
      <c r="C706" s="128" t="s">
        <v>767</v>
      </c>
      <c r="D706" s="128" t="s">
        <v>45</v>
      </c>
      <c r="E706" s="128" t="str" cm="1">
        <f t="array" ref="E706">IFERROR(INDEX(SubcategoriesTable[Subcategory name],MATCH(Table1[[#This Row],[Category]],SubcategoriesTable[Category name],0),0),"")</f>
        <v>Variable</v>
      </c>
      <c r="F706" s="134">
        <v>-17.010000000000002</v>
      </c>
      <c r="G706" s="167" t="str">
        <f>_xlfn.XLOOKUP(Table1[[#This Row],[Account_ID]], Accounts[ID], Accounts[Account nickname], "Unknown")</f>
        <v>Discover it chrome Card</v>
      </c>
      <c r="H706" s="137" t="str">
        <f>_xlfn.XLOOKUP(Table1[[#This Row],[Account_ID]], Accounts[ID], Accounts[Account'#], "Unknown")</f>
        <v>7328</v>
      </c>
      <c r="I706" s="168" t="str">
        <f>_xlfn.XLOOKUP(Table1[[#This Row],[Institution_ID]], Institutions[ID], Institutions[Institution nickname], "Unknown")</f>
        <v>Discover</v>
      </c>
      <c r="J706" s="139" t="s">
        <v>768</v>
      </c>
      <c r="K706" s="129" t="s">
        <v>110</v>
      </c>
      <c r="L706" s="129" t="s">
        <v>108</v>
      </c>
      <c r="M706" s="130" t="str" cm="1">
        <f t="array" ref="M706">IFERROR(INDEX(CategoriesTable[Category type],MATCH(Table1[[#This Row],[Category]],CategoriesTable[Category name],0),0),"")</f>
        <v>Expense</v>
      </c>
      <c r="N706" s="130" t="str" cm="1">
        <f t="array" ref="N706">IFERROR(INDEX(SubcategoriesTable[Subcategory name],MATCH(Table1[[#This Row],[Category]],SubcategoriesTable[Category name],0),0),"")</f>
        <v>Variable</v>
      </c>
      <c r="O706" s="130">
        <v>22</v>
      </c>
      <c r="P706" s="130">
        <f>MONTH(Table1[[#This Row],[Date]])</f>
        <v>8</v>
      </c>
      <c r="Q706" s="130">
        <v>2020</v>
      </c>
      <c r="R706" s="166">
        <f>IF(ISBLANK(Table1[[#This Row],[Date]]),"",Table1[[#This Row],[Date]]-WEEKDAY(Table1[[#This Row],[Date]],2)+1)</f>
        <v>44060</v>
      </c>
      <c r="S706" s="131">
        <f>IF(ISBLANK(Table1[[#This Row],[Date]]),"",DATE(Table1[[#This Row],[Date_Year]],Table1[[#This Row],[Date_Month]],1))</f>
        <v>44044</v>
      </c>
    </row>
    <row r="707" spans="2:19" ht="15.75" x14ac:dyDescent="0.25">
      <c r="B707" s="133">
        <v>44065</v>
      </c>
      <c r="C707" s="128" t="s">
        <v>436</v>
      </c>
      <c r="D707" s="128" t="s">
        <v>45</v>
      </c>
      <c r="E707" s="128" t="str" cm="1">
        <f t="array" ref="E707">IFERROR(INDEX(SubcategoriesTable[Subcategory name],MATCH(Table1[[#This Row],[Category]],SubcategoriesTable[Category name],0),0),"")</f>
        <v>Variable</v>
      </c>
      <c r="F707" s="134">
        <v>-9.4600000000000009</v>
      </c>
      <c r="G707" s="167" t="str">
        <f>_xlfn.XLOOKUP(Table1[[#This Row],[Account_ID]], Accounts[ID], Accounts[Account nickname], "Unknown")</f>
        <v>Discover it chrome Card</v>
      </c>
      <c r="H707" s="137" t="str">
        <f>_xlfn.XLOOKUP(Table1[[#This Row],[Account_ID]], Accounts[ID], Accounts[Account'#], "Unknown")</f>
        <v>7328</v>
      </c>
      <c r="I707" s="168" t="str">
        <f>_xlfn.XLOOKUP(Table1[[#This Row],[Institution_ID]], Institutions[ID], Institutions[Institution nickname], "Unknown")</f>
        <v>Discover</v>
      </c>
      <c r="J707" s="139" t="s">
        <v>769</v>
      </c>
      <c r="K707" s="129" t="s">
        <v>110</v>
      </c>
      <c r="L707" s="129" t="s">
        <v>108</v>
      </c>
      <c r="M707" s="130" t="str" cm="1">
        <f t="array" ref="M707">IFERROR(INDEX(CategoriesTable[Category type],MATCH(Table1[[#This Row],[Category]],CategoriesTable[Category name],0),0),"")</f>
        <v>Expense</v>
      </c>
      <c r="N707" s="130" t="str" cm="1">
        <f t="array" ref="N707">IFERROR(INDEX(SubcategoriesTable[Subcategory name],MATCH(Table1[[#This Row],[Category]],SubcategoriesTable[Category name],0),0),"")</f>
        <v>Variable</v>
      </c>
      <c r="O707" s="130">
        <v>22</v>
      </c>
      <c r="P707" s="130">
        <f>MONTH(Table1[[#This Row],[Date]])</f>
        <v>8</v>
      </c>
      <c r="Q707" s="130">
        <v>2020</v>
      </c>
      <c r="R707" s="166">
        <f>IF(ISBLANK(Table1[[#This Row],[Date]]),"",Table1[[#This Row],[Date]]-WEEKDAY(Table1[[#This Row],[Date]],2)+1)</f>
        <v>44060</v>
      </c>
      <c r="S707" s="131">
        <f>IF(ISBLANK(Table1[[#This Row],[Date]]),"",DATE(Table1[[#This Row],[Date_Year]],Table1[[#This Row],[Date_Month]],1))</f>
        <v>44044</v>
      </c>
    </row>
    <row r="708" spans="2:19" ht="15.75" x14ac:dyDescent="0.25">
      <c r="B708" s="133">
        <v>44065</v>
      </c>
      <c r="C708" s="128" t="s">
        <v>148</v>
      </c>
      <c r="D708" s="128" t="s">
        <v>54</v>
      </c>
      <c r="E708" s="128" t="str" cm="1">
        <f t="array" ref="E708">IFERROR(INDEX(SubcategoriesTable[Subcategory name],MATCH(Table1[[#This Row],[Category]],SubcategoriesTable[Category name],0),0),"")</f>
        <v>Fixed</v>
      </c>
      <c r="F708" s="134">
        <v>-9.99</v>
      </c>
      <c r="G708" s="167" t="str">
        <f>_xlfn.XLOOKUP(Table1[[#This Row],[Account_ID]], Accounts[ID], Accounts[Account nickname], "Unknown")</f>
        <v>Discover it chrome Card</v>
      </c>
      <c r="H708" s="137" t="str">
        <f>_xlfn.XLOOKUP(Table1[[#This Row],[Account_ID]], Accounts[ID], Accounts[Account'#], "Unknown")</f>
        <v>7328</v>
      </c>
      <c r="I708" s="168" t="str">
        <f>_xlfn.XLOOKUP(Table1[[#This Row],[Institution_ID]], Institutions[ID], Institutions[Institution nickname], "Unknown")</f>
        <v>Discover</v>
      </c>
      <c r="J708" s="139" t="s">
        <v>770</v>
      </c>
      <c r="K708" s="129" t="s">
        <v>110</v>
      </c>
      <c r="L708" s="129" t="s">
        <v>108</v>
      </c>
      <c r="M708" s="130" t="str" cm="1">
        <f t="array" ref="M708">IFERROR(INDEX(CategoriesTable[Category type],MATCH(Table1[[#This Row],[Category]],CategoriesTable[Category name],0),0),"")</f>
        <v>Expense</v>
      </c>
      <c r="N708" s="130" t="str" cm="1">
        <f t="array" ref="N708">IFERROR(INDEX(SubcategoriesTable[Subcategory name],MATCH(Table1[[#This Row],[Category]],SubcategoriesTable[Category name],0),0),"")</f>
        <v>Fixed</v>
      </c>
      <c r="O708" s="130">
        <v>22</v>
      </c>
      <c r="P708" s="130">
        <f>MONTH(Table1[[#This Row],[Date]])</f>
        <v>8</v>
      </c>
      <c r="Q708" s="130">
        <v>2020</v>
      </c>
      <c r="R708" s="166">
        <f>IF(ISBLANK(Table1[[#This Row],[Date]]),"",Table1[[#This Row],[Date]]-WEEKDAY(Table1[[#This Row],[Date]],2)+1)</f>
        <v>44060</v>
      </c>
      <c r="S708" s="131">
        <f>IF(ISBLANK(Table1[[#This Row],[Date]]),"",DATE(Table1[[#This Row],[Date_Year]],Table1[[#This Row],[Date_Month]],1))</f>
        <v>44044</v>
      </c>
    </row>
    <row r="709" spans="2:19" ht="15.75" x14ac:dyDescent="0.25">
      <c r="B709" s="133">
        <v>44064</v>
      </c>
      <c r="C709" s="128" t="s">
        <v>50</v>
      </c>
      <c r="D709" s="128" t="s">
        <v>1204</v>
      </c>
      <c r="E709" s="128"/>
      <c r="F709" s="134">
        <v>200</v>
      </c>
      <c r="G709" s="167" t="str">
        <f>_xlfn.XLOOKUP(Table1[[#This Row],[Account_ID]], Accounts[ID], Accounts[Account nickname], "Unknown")</f>
        <v>Checking - 4480</v>
      </c>
      <c r="H709" s="137" t="str">
        <f>_xlfn.XLOOKUP(Table1[[#This Row],[Account_ID]], Accounts[ID], Accounts[Account'#], "Unknown")</f>
        <v>4480</v>
      </c>
      <c r="I709" s="168" t="str">
        <f>_xlfn.XLOOKUP(Table1[[#This Row],[Institution_ID]], Institutions[ID], Institutions[Institution nickname], "Unknown")</f>
        <v>Robinhood</v>
      </c>
      <c r="J709" s="139" t="s">
        <v>1244</v>
      </c>
      <c r="K709" s="129" t="s">
        <v>1208</v>
      </c>
      <c r="L709" s="173" t="s">
        <v>1207</v>
      </c>
      <c r="M709" s="130" t="str" cm="1">
        <f t="array" ref="M709">IFERROR(INDEX(CategoriesTable[Category type],MATCH(Table1[[#This Row],[Category]],CategoriesTable[Category name],0),0),"")</f>
        <v>Savings</v>
      </c>
      <c r="N709" s="130" t="str" cm="1">
        <f t="array" ref="N709">IFERROR(INDEX(SubcategoriesTable[Subcategory name],MATCH(Table1[[#This Row],[Category]],SubcategoriesTable[Category name],0),0),"")</f>
        <v>Variable</v>
      </c>
      <c r="O709" s="130">
        <v>21</v>
      </c>
      <c r="P709" s="130">
        <f>MONTH(Table1[[#This Row],[Date]])</f>
        <v>8</v>
      </c>
      <c r="Q709" s="130">
        <v>2020</v>
      </c>
      <c r="R709" s="166">
        <f>IF(ISBLANK(Table1[[#This Row],[Date]]),"",Table1[[#This Row],[Date]]-WEEKDAY(Table1[[#This Row],[Date]],2)+1)</f>
        <v>44060</v>
      </c>
      <c r="S709" s="131">
        <f>IF(ISBLANK(Table1[[#This Row],[Date]]),"",DATE(Table1[[#This Row],[Date_Year]],Table1[[#This Row],[Date_Month]],1))</f>
        <v>44044</v>
      </c>
    </row>
    <row r="710" spans="2:19" ht="15.75" x14ac:dyDescent="0.25">
      <c r="B710" s="133">
        <v>44064</v>
      </c>
      <c r="C710" s="128" t="s">
        <v>757</v>
      </c>
      <c r="D710" s="128" t="s">
        <v>45</v>
      </c>
      <c r="E710" s="128" t="str" cm="1">
        <f t="array" ref="E710">IFERROR(INDEX(SubcategoriesTable[Subcategory name],MATCH(Table1[[#This Row],[Category]],SubcategoriesTable[Category name],0),0),"")</f>
        <v>Variable</v>
      </c>
      <c r="F710" s="134">
        <v>-20</v>
      </c>
      <c r="G710" s="167" t="str">
        <f>_xlfn.XLOOKUP(Table1[[#This Row],[Account_ID]], Accounts[ID], Accounts[Account nickname], "Unknown")</f>
        <v>Discover it chrome Card</v>
      </c>
      <c r="H710" s="137" t="str">
        <f>_xlfn.XLOOKUP(Table1[[#This Row],[Account_ID]], Accounts[ID], Accounts[Account'#], "Unknown")</f>
        <v>7328</v>
      </c>
      <c r="I710" s="168" t="str">
        <f>_xlfn.XLOOKUP(Table1[[#This Row],[Institution_ID]], Institutions[ID], Institutions[Institution nickname], "Unknown")</f>
        <v>Discover</v>
      </c>
      <c r="J710" s="139" t="s">
        <v>771</v>
      </c>
      <c r="K710" s="129" t="s">
        <v>110</v>
      </c>
      <c r="L710" s="129" t="s">
        <v>108</v>
      </c>
      <c r="M710" s="130" t="str" cm="1">
        <f t="array" ref="M710">IFERROR(INDEX(CategoriesTable[Category type],MATCH(Table1[[#This Row],[Category]],CategoriesTable[Category name],0),0),"")</f>
        <v>Expense</v>
      </c>
      <c r="N710" s="130" t="str" cm="1">
        <f t="array" ref="N710">IFERROR(INDEX(SubcategoriesTable[Subcategory name],MATCH(Table1[[#This Row],[Category]],SubcategoriesTable[Category name],0),0),"")</f>
        <v>Variable</v>
      </c>
      <c r="O710" s="130">
        <v>21</v>
      </c>
      <c r="P710" s="130">
        <f>MONTH(Table1[[#This Row],[Date]])</f>
        <v>8</v>
      </c>
      <c r="Q710" s="130">
        <v>2020</v>
      </c>
      <c r="R710" s="166">
        <f>IF(ISBLANK(Table1[[#This Row],[Date]]),"",Table1[[#This Row],[Date]]-WEEKDAY(Table1[[#This Row],[Date]],2)+1)</f>
        <v>44060</v>
      </c>
      <c r="S710" s="131">
        <f>IF(ISBLANK(Table1[[#This Row],[Date]]),"",DATE(Table1[[#This Row],[Date_Year]],Table1[[#This Row],[Date_Month]],1))</f>
        <v>44044</v>
      </c>
    </row>
    <row r="711" spans="2:19" ht="15.75" x14ac:dyDescent="0.25">
      <c r="B711" s="133">
        <v>44064</v>
      </c>
      <c r="C711" s="128" t="s">
        <v>171</v>
      </c>
      <c r="D711" s="128" t="s">
        <v>46</v>
      </c>
      <c r="E711" s="128" t="str" cm="1">
        <f t="array" ref="E711">IFERROR(INDEX(SubcategoriesTable[Subcategory name],MATCH(Table1[[#This Row],[Category]],SubcategoriesTable[Category name],0),0),"")</f>
        <v>Variable</v>
      </c>
      <c r="F711" s="134">
        <v>-15</v>
      </c>
      <c r="G711" s="167" t="str">
        <f>_xlfn.XLOOKUP(Table1[[#This Row],[Account_ID]], Accounts[ID], Accounts[Account nickname], "Unknown")</f>
        <v>Discover it chrome Card</v>
      </c>
      <c r="H711" s="137" t="str">
        <f>_xlfn.XLOOKUP(Table1[[#This Row],[Account_ID]], Accounts[ID], Accounts[Account'#], "Unknown")</f>
        <v>7328</v>
      </c>
      <c r="I711" s="168" t="str">
        <f>_xlfn.XLOOKUP(Table1[[#This Row],[Institution_ID]], Institutions[ID], Institutions[Institution nickname], "Unknown")</f>
        <v>Discover</v>
      </c>
      <c r="J711" s="139" t="s">
        <v>772</v>
      </c>
      <c r="K711" s="129" t="s">
        <v>110</v>
      </c>
      <c r="L711" s="129" t="s">
        <v>108</v>
      </c>
      <c r="M711" s="130" t="str" cm="1">
        <f t="array" ref="M711">IFERROR(INDEX(CategoriesTable[Category type],MATCH(Table1[[#This Row],[Category]],CategoriesTable[Category name],0),0),"")</f>
        <v>Expense</v>
      </c>
      <c r="N711" s="130" t="str" cm="1">
        <f t="array" ref="N711">IFERROR(INDEX(SubcategoriesTable[Subcategory name],MATCH(Table1[[#This Row],[Category]],SubcategoriesTable[Category name],0),0),"")</f>
        <v>Variable</v>
      </c>
      <c r="O711" s="130">
        <v>21</v>
      </c>
      <c r="P711" s="130">
        <f>MONTH(Table1[[#This Row],[Date]])</f>
        <v>8</v>
      </c>
      <c r="Q711" s="130">
        <v>2020</v>
      </c>
      <c r="R711" s="166">
        <f>IF(ISBLANK(Table1[[#This Row],[Date]]),"",Table1[[#This Row],[Date]]-WEEKDAY(Table1[[#This Row],[Date]],2)+1)</f>
        <v>44060</v>
      </c>
      <c r="S711" s="131">
        <f>IF(ISBLANK(Table1[[#This Row],[Date]]),"",DATE(Table1[[#This Row],[Date_Year]],Table1[[#This Row],[Date_Month]],1))</f>
        <v>44044</v>
      </c>
    </row>
    <row r="712" spans="2:19" ht="15.75" x14ac:dyDescent="0.25">
      <c r="B712" s="133">
        <v>44064</v>
      </c>
      <c r="C712" s="128" t="s">
        <v>773</v>
      </c>
      <c r="D712" s="128" t="s">
        <v>45</v>
      </c>
      <c r="E712" s="128" t="str" cm="1">
        <f t="array" ref="E712">IFERROR(INDEX(SubcategoriesTable[Subcategory name],MATCH(Table1[[#This Row],[Category]],SubcategoriesTable[Category name],0),0),"")</f>
        <v>Variable</v>
      </c>
      <c r="F712" s="134">
        <v>-10</v>
      </c>
      <c r="G712" s="167" t="str">
        <f>_xlfn.XLOOKUP(Table1[[#This Row],[Account_ID]], Accounts[ID], Accounts[Account nickname], "Unknown")</f>
        <v>Discover it chrome Card</v>
      </c>
      <c r="H712" s="137" t="str">
        <f>_xlfn.XLOOKUP(Table1[[#This Row],[Account_ID]], Accounts[ID], Accounts[Account'#], "Unknown")</f>
        <v>7328</v>
      </c>
      <c r="I712" s="168" t="str">
        <f>_xlfn.XLOOKUP(Table1[[#This Row],[Institution_ID]], Institutions[ID], Institutions[Institution nickname], "Unknown")</f>
        <v>Discover</v>
      </c>
      <c r="J712" s="139" t="s">
        <v>774</v>
      </c>
      <c r="K712" s="129" t="s">
        <v>110</v>
      </c>
      <c r="L712" s="129" t="s">
        <v>108</v>
      </c>
      <c r="M712" s="130" t="str" cm="1">
        <f t="array" ref="M712">IFERROR(INDEX(CategoriesTable[Category type],MATCH(Table1[[#This Row],[Category]],CategoriesTable[Category name],0),0),"")</f>
        <v>Expense</v>
      </c>
      <c r="N712" s="130" t="str" cm="1">
        <f t="array" ref="N712">IFERROR(INDEX(SubcategoriesTable[Subcategory name],MATCH(Table1[[#This Row],[Category]],SubcategoriesTable[Category name],0),0),"")</f>
        <v>Variable</v>
      </c>
      <c r="O712" s="130">
        <v>21</v>
      </c>
      <c r="P712" s="130">
        <f>MONTH(Table1[[#This Row],[Date]])</f>
        <v>8</v>
      </c>
      <c r="Q712" s="130">
        <v>2020</v>
      </c>
      <c r="R712" s="166">
        <f>IF(ISBLANK(Table1[[#This Row],[Date]]),"",Table1[[#This Row],[Date]]-WEEKDAY(Table1[[#This Row],[Date]],2)+1)</f>
        <v>44060</v>
      </c>
      <c r="S712" s="131">
        <f>IF(ISBLANK(Table1[[#This Row],[Date]]),"",DATE(Table1[[#This Row],[Date_Year]],Table1[[#This Row],[Date_Month]],1))</f>
        <v>44044</v>
      </c>
    </row>
    <row r="713" spans="2:19" ht="15.75" x14ac:dyDescent="0.25">
      <c r="B713" s="133">
        <v>44063</v>
      </c>
      <c r="C713" s="128" t="s">
        <v>1180</v>
      </c>
      <c r="D713" s="128" t="s">
        <v>50</v>
      </c>
      <c r="E713" s="128" t="str" cm="1">
        <f t="array" ref="E713">IFERROR(INDEX(SubcategoriesTable[Subcategory name],MATCH(Table1[[#This Row],[Category]],SubcategoriesTable[Category name],0),0),"")</f>
        <v>Variable</v>
      </c>
      <c r="F713" s="134">
        <v>-393.63</v>
      </c>
      <c r="G713" s="167" t="str">
        <f>_xlfn.XLOOKUP(Table1[[#This Row],[Account_ID]], Accounts[ID], Accounts[Account nickname], "Unknown")</f>
        <v>EVERYDAY CHECKING</v>
      </c>
      <c r="H713" s="137" t="str">
        <f>_xlfn.XLOOKUP(Table1[[#This Row],[Account_ID]], Accounts[ID], Accounts[Account'#], "Unknown")</f>
        <v>4636</v>
      </c>
      <c r="I713" s="168" t="str">
        <f>_xlfn.XLOOKUP(Table1[[#This Row],[Institution_ID]], Institutions[ID], Institutions[Institution nickname], "Unknown")</f>
        <v>Wells Fargo</v>
      </c>
      <c r="J713" s="139" t="s">
        <v>1541</v>
      </c>
      <c r="K713" s="129" t="s">
        <v>1229</v>
      </c>
      <c r="L713" s="129" t="s">
        <v>1228</v>
      </c>
      <c r="M713" s="130" t="str" cm="1">
        <f t="array" ref="M713">IFERROR(INDEX(CategoriesTable[Category type],MATCH(Table1[[#This Row],[Category]],CategoriesTable[Category name],0),0),"")</f>
        <v>Transfer</v>
      </c>
      <c r="N713" s="130" t="str" cm="1">
        <f t="array" ref="N713">IFERROR(INDEX(SubcategoriesTable[Subcategory name],MATCH(Table1[[#This Row],[Category]],SubcategoriesTable[Category name],0),0),"")</f>
        <v>Variable</v>
      </c>
      <c r="O713" s="130">
        <v>20</v>
      </c>
      <c r="P713" s="130">
        <f>MONTH(Table1[[#This Row],[Date]])</f>
        <v>8</v>
      </c>
      <c r="Q713" s="130">
        <v>2020</v>
      </c>
      <c r="R713" s="166">
        <f>IF(ISBLANK(Table1[[#This Row],[Date]]),"",Table1[[#This Row],[Date]]-WEEKDAY(Table1[[#This Row],[Date]],2)+1)</f>
        <v>44060</v>
      </c>
      <c r="S713" s="131">
        <f>IF(ISBLANK(Table1[[#This Row],[Date]]),"",DATE(Table1[[#This Row],[Date_Year]],Table1[[#This Row],[Date_Month]],1))</f>
        <v>44044</v>
      </c>
    </row>
    <row r="714" spans="2:19" ht="15.75" x14ac:dyDescent="0.25">
      <c r="B714" s="133">
        <v>44063</v>
      </c>
      <c r="C714" s="128" t="s">
        <v>784</v>
      </c>
      <c r="D714" s="128" t="s">
        <v>45</v>
      </c>
      <c r="E714" s="128" t="str" cm="1">
        <f t="array" ref="E714">IFERROR(INDEX(SubcategoriesTable[Subcategory name],MATCH(Table1[[#This Row],[Category]],SubcategoriesTable[Category name],0),0),"")</f>
        <v>Variable</v>
      </c>
      <c r="F714" s="134">
        <v>-5.0999999999999996</v>
      </c>
      <c r="G714" s="167" t="str">
        <f>_xlfn.XLOOKUP(Table1[[#This Row],[Account_ID]], Accounts[ID], Accounts[Account nickname], "Unknown")</f>
        <v>Discover it chrome Card</v>
      </c>
      <c r="H714" s="137" t="str">
        <f>_xlfn.XLOOKUP(Table1[[#This Row],[Account_ID]], Accounts[ID], Accounts[Account'#], "Unknown")</f>
        <v>7328</v>
      </c>
      <c r="I714" s="168" t="str">
        <f>_xlfn.XLOOKUP(Table1[[#This Row],[Institution_ID]], Institutions[ID], Institutions[Institution nickname], "Unknown")</f>
        <v>Discover</v>
      </c>
      <c r="J714" s="139" t="s">
        <v>785</v>
      </c>
      <c r="K714" s="129" t="s">
        <v>110</v>
      </c>
      <c r="L714" s="129" t="s">
        <v>108</v>
      </c>
      <c r="M714" s="130" t="str" cm="1">
        <f t="array" ref="M714">IFERROR(INDEX(CategoriesTable[Category type],MATCH(Table1[[#This Row],[Category]],CategoriesTable[Category name],0),0),"")</f>
        <v>Expense</v>
      </c>
      <c r="N714" s="130" t="str" cm="1">
        <f t="array" ref="N714">IFERROR(INDEX(SubcategoriesTable[Subcategory name],MATCH(Table1[[#This Row],[Category]],SubcategoriesTable[Category name],0),0),"")</f>
        <v>Variable</v>
      </c>
      <c r="O714" s="130">
        <v>20</v>
      </c>
      <c r="P714" s="130">
        <f>MONTH(Table1[[#This Row],[Date]])</f>
        <v>8</v>
      </c>
      <c r="Q714" s="130">
        <v>2020</v>
      </c>
      <c r="R714" s="166">
        <f>IF(ISBLANK(Table1[[#This Row],[Date]]),"",Table1[[#This Row],[Date]]-WEEKDAY(Table1[[#This Row],[Date]],2)+1)</f>
        <v>44060</v>
      </c>
      <c r="S714" s="131">
        <f>IF(ISBLANK(Table1[[#This Row],[Date]]),"",DATE(Table1[[#This Row],[Date_Year]],Table1[[#This Row],[Date_Month]],1))</f>
        <v>44044</v>
      </c>
    </row>
    <row r="715" spans="2:19" ht="15.75" x14ac:dyDescent="0.25">
      <c r="B715" s="133">
        <v>44063</v>
      </c>
      <c r="C715" s="128" t="s">
        <v>380</v>
      </c>
      <c r="D715" s="128" t="s">
        <v>46</v>
      </c>
      <c r="E715" s="128" t="str" cm="1">
        <f t="array" ref="E715">IFERROR(INDEX(SubcategoriesTable[Subcategory name],MATCH(Table1[[#This Row],[Category]],SubcategoriesTable[Category name],0),0),"")</f>
        <v>Variable</v>
      </c>
      <c r="F715" s="134">
        <v>-19.989999999999998</v>
      </c>
      <c r="G715" s="167" t="str">
        <f>_xlfn.XLOOKUP(Table1[[#This Row],[Account_ID]], Accounts[ID], Accounts[Account nickname], "Unknown")</f>
        <v>Discover it chrome Card</v>
      </c>
      <c r="H715" s="137" t="str">
        <f>_xlfn.XLOOKUP(Table1[[#This Row],[Account_ID]], Accounts[ID], Accounts[Account'#], "Unknown")</f>
        <v>7328</v>
      </c>
      <c r="I715" s="168" t="str">
        <f>_xlfn.XLOOKUP(Table1[[#This Row],[Institution_ID]], Institutions[ID], Institutions[Institution nickname], "Unknown")</f>
        <v>Discover</v>
      </c>
      <c r="J715" s="139" t="s">
        <v>775</v>
      </c>
      <c r="K715" s="129" t="s">
        <v>110</v>
      </c>
      <c r="L715" s="129" t="s">
        <v>108</v>
      </c>
      <c r="M715" s="130" t="str" cm="1">
        <f t="array" ref="M715">IFERROR(INDEX(CategoriesTable[Category type],MATCH(Table1[[#This Row],[Category]],CategoriesTable[Category name],0),0),"")</f>
        <v>Expense</v>
      </c>
      <c r="N715" s="130" t="str" cm="1">
        <f t="array" ref="N715">IFERROR(INDEX(SubcategoriesTable[Subcategory name],MATCH(Table1[[#This Row],[Category]],SubcategoriesTable[Category name],0),0),"")</f>
        <v>Variable</v>
      </c>
      <c r="O715" s="130">
        <v>20</v>
      </c>
      <c r="P715" s="130">
        <f>MONTH(Table1[[#This Row],[Date]])</f>
        <v>8</v>
      </c>
      <c r="Q715" s="130">
        <v>2020</v>
      </c>
      <c r="R715" s="166">
        <f>IF(ISBLANK(Table1[[#This Row],[Date]]),"",Table1[[#This Row],[Date]]-WEEKDAY(Table1[[#This Row],[Date]],2)+1)</f>
        <v>44060</v>
      </c>
      <c r="S715" s="131">
        <f>IF(ISBLANK(Table1[[#This Row],[Date]]),"",DATE(Table1[[#This Row],[Date_Year]],Table1[[#This Row],[Date_Month]],1))</f>
        <v>44044</v>
      </c>
    </row>
    <row r="716" spans="2:19" ht="15.75" x14ac:dyDescent="0.25">
      <c r="B716" s="133">
        <v>44063</v>
      </c>
      <c r="C716" s="128" t="s">
        <v>598</v>
      </c>
      <c r="D716" s="128" t="s">
        <v>46</v>
      </c>
      <c r="E716" s="128" t="str" cm="1">
        <f t="array" ref="E716">IFERROR(INDEX(SubcategoriesTable[Subcategory name],MATCH(Table1[[#This Row],[Category]],SubcategoriesTable[Category name],0),0),"")</f>
        <v>Variable</v>
      </c>
      <c r="F716" s="134">
        <v>-1.99</v>
      </c>
      <c r="G716" s="167" t="str">
        <f>_xlfn.XLOOKUP(Table1[[#This Row],[Account_ID]], Accounts[ID], Accounts[Account nickname], "Unknown")</f>
        <v>Discover it chrome Card</v>
      </c>
      <c r="H716" s="137" t="str">
        <f>_xlfn.XLOOKUP(Table1[[#This Row],[Account_ID]], Accounts[ID], Accounts[Account'#], "Unknown")</f>
        <v>7328</v>
      </c>
      <c r="I716" s="168" t="str">
        <f>_xlfn.XLOOKUP(Table1[[#This Row],[Institution_ID]], Institutions[ID], Institutions[Institution nickname], "Unknown")</f>
        <v>Discover</v>
      </c>
      <c r="J716" s="139" t="s">
        <v>776</v>
      </c>
      <c r="K716" s="129" t="s">
        <v>110</v>
      </c>
      <c r="L716" s="129" t="s">
        <v>108</v>
      </c>
      <c r="M716" s="130" t="str" cm="1">
        <f t="array" ref="M716">IFERROR(INDEX(CategoriesTable[Category type],MATCH(Table1[[#This Row],[Category]],CategoriesTable[Category name],0),0),"")</f>
        <v>Expense</v>
      </c>
      <c r="N716" s="130" t="str" cm="1">
        <f t="array" ref="N716">IFERROR(INDEX(SubcategoriesTable[Subcategory name],MATCH(Table1[[#This Row],[Category]],SubcategoriesTable[Category name],0),0),"")</f>
        <v>Variable</v>
      </c>
      <c r="O716" s="130">
        <v>20</v>
      </c>
      <c r="P716" s="130">
        <f>MONTH(Table1[[#This Row],[Date]])</f>
        <v>8</v>
      </c>
      <c r="Q716" s="130">
        <v>2020</v>
      </c>
      <c r="R716" s="166">
        <f>IF(ISBLANK(Table1[[#This Row],[Date]]),"",Table1[[#This Row],[Date]]-WEEKDAY(Table1[[#This Row],[Date]],2)+1)</f>
        <v>44060</v>
      </c>
      <c r="S716" s="131">
        <f>IF(ISBLANK(Table1[[#This Row],[Date]]),"",DATE(Table1[[#This Row],[Date_Year]],Table1[[#This Row],[Date_Month]],1))</f>
        <v>44044</v>
      </c>
    </row>
    <row r="717" spans="2:19" ht="15.75" x14ac:dyDescent="0.25">
      <c r="B717" s="133">
        <v>44063</v>
      </c>
      <c r="C717" s="128" t="s">
        <v>380</v>
      </c>
      <c r="D717" s="128" t="s">
        <v>54</v>
      </c>
      <c r="E717" s="128" t="str" cm="1">
        <f t="array" ref="E717">IFERROR(INDEX(SubcategoriesTable[Subcategory name],MATCH(Table1[[#This Row],[Category]],SubcategoriesTable[Category name],0),0),"")</f>
        <v>Fixed</v>
      </c>
      <c r="F717" s="134">
        <v>-14.99</v>
      </c>
      <c r="G717" s="167" t="str">
        <f>_xlfn.XLOOKUP(Table1[[#This Row],[Account_ID]], Accounts[ID], Accounts[Account nickname], "Unknown")</f>
        <v>Discover it chrome Card</v>
      </c>
      <c r="H717" s="137" t="str">
        <f>_xlfn.XLOOKUP(Table1[[#This Row],[Account_ID]], Accounts[ID], Accounts[Account'#], "Unknown")</f>
        <v>7328</v>
      </c>
      <c r="I717" s="168" t="str">
        <f>_xlfn.XLOOKUP(Table1[[#This Row],[Institution_ID]], Institutions[ID], Institutions[Institution nickname], "Unknown")</f>
        <v>Discover</v>
      </c>
      <c r="J717" s="139" t="s">
        <v>777</v>
      </c>
      <c r="K717" s="129" t="s">
        <v>110</v>
      </c>
      <c r="L717" s="129" t="s">
        <v>108</v>
      </c>
      <c r="M717" s="130" t="str" cm="1">
        <f t="array" ref="M717">IFERROR(INDEX(CategoriesTable[Category type],MATCH(Table1[[#This Row],[Category]],CategoriesTable[Category name],0),0),"")</f>
        <v>Expense</v>
      </c>
      <c r="N717" s="130" t="str" cm="1">
        <f t="array" ref="N717">IFERROR(INDEX(SubcategoriesTable[Subcategory name],MATCH(Table1[[#This Row],[Category]],SubcategoriesTable[Category name],0),0),"")</f>
        <v>Fixed</v>
      </c>
      <c r="O717" s="130">
        <v>20</v>
      </c>
      <c r="P717" s="130">
        <f>MONTH(Table1[[#This Row],[Date]])</f>
        <v>8</v>
      </c>
      <c r="Q717" s="130">
        <v>2020</v>
      </c>
      <c r="R717" s="166">
        <f>IF(ISBLANK(Table1[[#This Row],[Date]]),"",Table1[[#This Row],[Date]]-WEEKDAY(Table1[[#This Row],[Date]],2)+1)</f>
        <v>44060</v>
      </c>
      <c r="S717" s="131">
        <f>IF(ISBLANK(Table1[[#This Row],[Date]]),"",DATE(Table1[[#This Row],[Date_Year]],Table1[[#This Row],[Date_Month]],1))</f>
        <v>44044</v>
      </c>
    </row>
    <row r="718" spans="2:19" ht="15.75" x14ac:dyDescent="0.25">
      <c r="B718" s="133">
        <v>44063</v>
      </c>
      <c r="C718" s="128" t="s">
        <v>610</v>
      </c>
      <c r="D718" s="128" t="s">
        <v>45</v>
      </c>
      <c r="E718" s="128" t="str" cm="1">
        <f t="array" ref="E718">IFERROR(INDEX(SubcategoriesTable[Subcategory name],MATCH(Table1[[#This Row],[Category]],SubcategoriesTable[Category name],0),0),"")</f>
        <v>Variable</v>
      </c>
      <c r="F718" s="134">
        <v>-10</v>
      </c>
      <c r="G718" s="167" t="str">
        <f>_xlfn.XLOOKUP(Table1[[#This Row],[Account_ID]], Accounts[ID], Accounts[Account nickname], "Unknown")</f>
        <v>Discover it chrome Card</v>
      </c>
      <c r="H718" s="137" t="str">
        <f>_xlfn.XLOOKUP(Table1[[#This Row],[Account_ID]], Accounts[ID], Accounts[Account'#], "Unknown")</f>
        <v>7328</v>
      </c>
      <c r="I718" s="168" t="str">
        <f>_xlfn.XLOOKUP(Table1[[#This Row],[Institution_ID]], Institutions[ID], Institutions[Institution nickname], "Unknown")</f>
        <v>Discover</v>
      </c>
      <c r="J718" s="139" t="s">
        <v>778</v>
      </c>
      <c r="K718" s="129" t="s">
        <v>110</v>
      </c>
      <c r="L718" s="129" t="s">
        <v>108</v>
      </c>
      <c r="M718" s="130" t="str" cm="1">
        <f t="array" ref="M718">IFERROR(INDEX(CategoriesTable[Category type],MATCH(Table1[[#This Row],[Category]],CategoriesTable[Category name],0),0),"")</f>
        <v>Expense</v>
      </c>
      <c r="N718" s="130" t="str" cm="1">
        <f t="array" ref="N718">IFERROR(INDEX(SubcategoriesTable[Subcategory name],MATCH(Table1[[#This Row],[Category]],SubcategoriesTable[Category name],0),0),"")</f>
        <v>Variable</v>
      </c>
      <c r="O718" s="130">
        <v>20</v>
      </c>
      <c r="P718" s="130">
        <f>MONTH(Table1[[#This Row],[Date]])</f>
        <v>8</v>
      </c>
      <c r="Q718" s="130">
        <v>2020</v>
      </c>
      <c r="R718" s="166">
        <f>IF(ISBLANK(Table1[[#This Row],[Date]]),"",Table1[[#This Row],[Date]]-WEEKDAY(Table1[[#This Row],[Date]],2)+1)</f>
        <v>44060</v>
      </c>
      <c r="S718" s="131">
        <f>IF(ISBLANK(Table1[[#This Row],[Date]]),"",DATE(Table1[[#This Row],[Date_Year]],Table1[[#This Row],[Date_Month]],1))</f>
        <v>44044</v>
      </c>
    </row>
    <row r="719" spans="2:19" ht="15.75" x14ac:dyDescent="0.25">
      <c r="B719" s="133">
        <v>44063</v>
      </c>
      <c r="C719" s="128" t="s">
        <v>610</v>
      </c>
      <c r="D719" s="128" t="s">
        <v>45</v>
      </c>
      <c r="E719" s="128" t="str" cm="1">
        <f t="array" ref="E719">IFERROR(INDEX(SubcategoriesTable[Subcategory name],MATCH(Table1[[#This Row],[Category]],SubcategoriesTable[Category name],0),0),"")</f>
        <v>Variable</v>
      </c>
      <c r="F719" s="134">
        <v>-10</v>
      </c>
      <c r="G719" s="167" t="str">
        <f>_xlfn.XLOOKUP(Table1[[#This Row],[Account_ID]], Accounts[ID], Accounts[Account nickname], "Unknown")</f>
        <v>Discover it chrome Card</v>
      </c>
      <c r="H719" s="137" t="str">
        <f>_xlfn.XLOOKUP(Table1[[#This Row],[Account_ID]], Accounts[ID], Accounts[Account'#], "Unknown")</f>
        <v>7328</v>
      </c>
      <c r="I719" s="168" t="str">
        <f>_xlfn.XLOOKUP(Table1[[#This Row],[Institution_ID]], Institutions[ID], Institutions[Institution nickname], "Unknown")</f>
        <v>Discover</v>
      </c>
      <c r="J719" s="139" t="s">
        <v>779</v>
      </c>
      <c r="K719" s="129" t="s">
        <v>110</v>
      </c>
      <c r="L719" s="129" t="s">
        <v>108</v>
      </c>
      <c r="M719" s="130" t="str" cm="1">
        <f t="array" ref="M719">IFERROR(INDEX(CategoriesTable[Category type],MATCH(Table1[[#This Row],[Category]],CategoriesTable[Category name],0),0),"")</f>
        <v>Expense</v>
      </c>
      <c r="N719" s="130" t="str" cm="1">
        <f t="array" ref="N719">IFERROR(INDEX(SubcategoriesTable[Subcategory name],MATCH(Table1[[#This Row],[Category]],SubcategoriesTable[Category name],0),0),"")</f>
        <v>Variable</v>
      </c>
      <c r="O719" s="130">
        <v>20</v>
      </c>
      <c r="P719" s="130">
        <f>MONTH(Table1[[#This Row],[Date]])</f>
        <v>8</v>
      </c>
      <c r="Q719" s="130">
        <v>2020</v>
      </c>
      <c r="R719" s="166">
        <f>IF(ISBLANK(Table1[[#This Row],[Date]]),"",Table1[[#This Row],[Date]]-WEEKDAY(Table1[[#This Row],[Date]],2)+1)</f>
        <v>44060</v>
      </c>
      <c r="S719" s="131">
        <f>IF(ISBLANK(Table1[[#This Row],[Date]]),"",DATE(Table1[[#This Row],[Date_Year]],Table1[[#This Row],[Date_Month]],1))</f>
        <v>44044</v>
      </c>
    </row>
    <row r="720" spans="2:19" ht="15.75" x14ac:dyDescent="0.25">
      <c r="B720" s="133">
        <v>44063</v>
      </c>
      <c r="C720" s="128" t="s">
        <v>780</v>
      </c>
      <c r="D720" s="128" t="s">
        <v>45</v>
      </c>
      <c r="E720" s="128" t="str" cm="1">
        <f t="array" ref="E720">IFERROR(INDEX(SubcategoriesTable[Subcategory name],MATCH(Table1[[#This Row],[Category]],SubcategoriesTable[Category name],0),0),"")</f>
        <v>Variable</v>
      </c>
      <c r="F720" s="134">
        <v>-7.4</v>
      </c>
      <c r="G720" s="167" t="str">
        <f>_xlfn.XLOOKUP(Table1[[#This Row],[Account_ID]], Accounts[ID], Accounts[Account nickname], "Unknown")</f>
        <v>Discover it chrome Card</v>
      </c>
      <c r="H720" s="137" t="str">
        <f>_xlfn.XLOOKUP(Table1[[#This Row],[Account_ID]], Accounts[ID], Accounts[Account'#], "Unknown")</f>
        <v>7328</v>
      </c>
      <c r="I720" s="168" t="str">
        <f>_xlfn.XLOOKUP(Table1[[#This Row],[Institution_ID]], Institutions[ID], Institutions[Institution nickname], "Unknown")</f>
        <v>Discover</v>
      </c>
      <c r="J720" s="139" t="s">
        <v>781</v>
      </c>
      <c r="K720" s="129" t="s">
        <v>110</v>
      </c>
      <c r="L720" s="129" t="s">
        <v>108</v>
      </c>
      <c r="M720" s="130" t="str" cm="1">
        <f t="array" ref="M720">IFERROR(INDEX(CategoriesTable[Category type],MATCH(Table1[[#This Row],[Category]],CategoriesTable[Category name],0),0),"")</f>
        <v>Expense</v>
      </c>
      <c r="N720" s="130" t="str" cm="1">
        <f t="array" ref="N720">IFERROR(INDEX(SubcategoriesTable[Subcategory name],MATCH(Table1[[#This Row],[Category]],SubcategoriesTable[Category name],0),0),"")</f>
        <v>Variable</v>
      </c>
      <c r="O720" s="130">
        <v>20</v>
      </c>
      <c r="P720" s="130">
        <f>MONTH(Table1[[#This Row],[Date]])</f>
        <v>8</v>
      </c>
      <c r="Q720" s="130">
        <v>2020</v>
      </c>
      <c r="R720" s="166">
        <f>IF(ISBLANK(Table1[[#This Row],[Date]]),"",Table1[[#This Row],[Date]]-WEEKDAY(Table1[[#This Row],[Date]],2)+1)</f>
        <v>44060</v>
      </c>
      <c r="S720" s="131">
        <f>IF(ISBLANK(Table1[[#This Row],[Date]]),"",DATE(Table1[[#This Row],[Date_Year]],Table1[[#This Row],[Date_Month]],1))</f>
        <v>44044</v>
      </c>
    </row>
    <row r="721" spans="2:19" ht="15.75" x14ac:dyDescent="0.25">
      <c r="B721" s="133">
        <v>44063</v>
      </c>
      <c r="C721" s="128" t="s">
        <v>782</v>
      </c>
      <c r="D721" s="128" t="s">
        <v>45</v>
      </c>
      <c r="E721" s="128" t="str" cm="1">
        <f t="array" ref="E721">IFERROR(INDEX(SubcategoriesTable[Subcategory name],MATCH(Table1[[#This Row],[Category]],SubcategoriesTable[Category name],0),0),"")</f>
        <v>Variable</v>
      </c>
      <c r="F721" s="134">
        <v>-15.53</v>
      </c>
      <c r="G721" s="167" t="str">
        <f>_xlfn.XLOOKUP(Table1[[#This Row],[Account_ID]], Accounts[ID], Accounts[Account nickname], "Unknown")</f>
        <v>Discover it chrome Card</v>
      </c>
      <c r="H721" s="137" t="str">
        <f>_xlfn.XLOOKUP(Table1[[#This Row],[Account_ID]], Accounts[ID], Accounts[Account'#], "Unknown")</f>
        <v>7328</v>
      </c>
      <c r="I721" s="168" t="str">
        <f>_xlfn.XLOOKUP(Table1[[#This Row],[Institution_ID]], Institutions[ID], Institutions[Institution nickname], "Unknown")</f>
        <v>Discover</v>
      </c>
      <c r="J721" s="139" t="s">
        <v>783</v>
      </c>
      <c r="K721" s="129" t="s">
        <v>110</v>
      </c>
      <c r="L721" s="129" t="s">
        <v>108</v>
      </c>
      <c r="M721" s="130" t="str" cm="1">
        <f t="array" ref="M721">IFERROR(INDEX(CategoriesTable[Category type],MATCH(Table1[[#This Row],[Category]],CategoriesTable[Category name],0),0),"")</f>
        <v>Expense</v>
      </c>
      <c r="N721" s="130" t="str" cm="1">
        <f t="array" ref="N721">IFERROR(INDEX(SubcategoriesTable[Subcategory name],MATCH(Table1[[#This Row],[Category]],SubcategoriesTable[Category name],0),0),"")</f>
        <v>Variable</v>
      </c>
      <c r="O721" s="130">
        <v>20</v>
      </c>
      <c r="P721" s="130">
        <f>MONTH(Table1[[#This Row],[Date]])</f>
        <v>8</v>
      </c>
      <c r="Q721" s="130">
        <v>2020</v>
      </c>
      <c r="R721" s="166">
        <f>IF(ISBLANK(Table1[[#This Row],[Date]]),"",Table1[[#This Row],[Date]]-WEEKDAY(Table1[[#This Row],[Date]],2)+1)</f>
        <v>44060</v>
      </c>
      <c r="S721" s="131">
        <f>IF(ISBLANK(Table1[[#This Row],[Date]]),"",DATE(Table1[[#This Row],[Date_Year]],Table1[[#This Row],[Date_Month]],1))</f>
        <v>44044</v>
      </c>
    </row>
    <row r="722" spans="2:19" ht="15.75" x14ac:dyDescent="0.25">
      <c r="B722" s="133">
        <v>44062</v>
      </c>
      <c r="C722" s="128" t="s">
        <v>1542</v>
      </c>
      <c r="D722" s="128" t="s">
        <v>58</v>
      </c>
      <c r="E722" s="128" t="str" cm="1">
        <f t="array" ref="E722">IFERROR(INDEX(SubcategoriesTable[Subcategory name],MATCH(Table1[[#This Row],[Category]],SubcategoriesTable[Category name],0),0),"")</f>
        <v>Fixed</v>
      </c>
      <c r="F722" s="134">
        <v>-10</v>
      </c>
      <c r="G722" s="167" t="str">
        <f>_xlfn.XLOOKUP(Table1[[#This Row],[Account_ID]], Accounts[ID], Accounts[Account nickname], "Unknown")</f>
        <v>EVERYDAY CHECKING</v>
      </c>
      <c r="H722" s="137" t="str">
        <f>_xlfn.XLOOKUP(Table1[[#This Row],[Account_ID]], Accounts[ID], Accounts[Account'#], "Unknown")</f>
        <v>4636</v>
      </c>
      <c r="I722" s="168" t="str">
        <f>_xlfn.XLOOKUP(Table1[[#This Row],[Institution_ID]], Institutions[ID], Institutions[Institution nickname], "Unknown")</f>
        <v>Wells Fargo</v>
      </c>
      <c r="J722" s="171" t="s">
        <v>1543</v>
      </c>
      <c r="K722" s="129" t="s">
        <v>1229</v>
      </c>
      <c r="L722" s="129" t="s">
        <v>1228</v>
      </c>
      <c r="M722" s="130" t="str" cm="1">
        <f t="array" ref="M722">IFERROR(INDEX(CategoriesTable[Category type],MATCH(Table1[[#This Row],[Category]],CategoriesTable[Category name],0),0),"")</f>
        <v>Expense</v>
      </c>
      <c r="N722" s="130" t="str" cm="1">
        <f t="array" ref="N722">IFERROR(INDEX(SubcategoriesTable[Subcategory name],MATCH(Table1[[#This Row],[Category]],SubcategoriesTable[Category name],0),0),"")</f>
        <v>Fixed</v>
      </c>
      <c r="O722" s="130">
        <v>19</v>
      </c>
      <c r="P722" s="130">
        <f>MONTH(Table1[[#This Row],[Date]])</f>
        <v>8</v>
      </c>
      <c r="Q722" s="130">
        <v>2020</v>
      </c>
      <c r="R722" s="166">
        <f>IF(ISBLANK(Table1[[#This Row],[Date]]),"",Table1[[#This Row],[Date]]-WEEKDAY(Table1[[#This Row],[Date]],2)+1)</f>
        <v>44060</v>
      </c>
      <c r="S722" s="131">
        <f>IF(ISBLANK(Table1[[#This Row],[Date]]),"",DATE(Table1[[#This Row],[Date_Year]],Table1[[#This Row],[Date_Month]],1))</f>
        <v>44044</v>
      </c>
    </row>
    <row r="723" spans="2:19" ht="15.75" x14ac:dyDescent="0.25">
      <c r="B723" s="133">
        <v>44062</v>
      </c>
      <c r="C723" s="128" t="s">
        <v>1183</v>
      </c>
      <c r="D723" s="128" t="s">
        <v>1204</v>
      </c>
      <c r="E723" s="128" t="str" cm="1">
        <f t="array" ref="E723">IFERROR(INDEX(SubcategoriesTable[Subcategory name],MATCH(Table1[[#This Row],[Category]],SubcategoriesTable[Category name],0),0),"")</f>
        <v>Variable</v>
      </c>
      <c r="F723" s="134">
        <v>-500</v>
      </c>
      <c r="G723" s="167" t="str">
        <f>_xlfn.XLOOKUP(Table1[[#This Row],[Account_ID]], Accounts[ID], Accounts[Account nickname], "Unknown")</f>
        <v>EVERYDAY CHECKING</v>
      </c>
      <c r="H723" s="137" t="str">
        <f>_xlfn.XLOOKUP(Table1[[#This Row],[Account_ID]], Accounts[ID], Accounts[Account'#], "Unknown")</f>
        <v>4636</v>
      </c>
      <c r="I723" s="168" t="str">
        <f>_xlfn.XLOOKUP(Table1[[#This Row],[Institution_ID]], Institutions[ID], Institutions[Institution nickname], "Unknown")</f>
        <v>Wells Fargo</v>
      </c>
      <c r="J723" s="139" t="s">
        <v>1544</v>
      </c>
      <c r="K723" s="129" t="s">
        <v>1229</v>
      </c>
      <c r="L723" s="129" t="s">
        <v>1228</v>
      </c>
      <c r="M723" s="130" t="str" cm="1">
        <f t="array" ref="M723">IFERROR(INDEX(CategoriesTable[Category type],MATCH(Table1[[#This Row],[Category]],CategoriesTable[Category name],0),0),"")</f>
        <v>Savings</v>
      </c>
      <c r="N723" s="130" t="str" cm="1">
        <f t="array" ref="N723">IFERROR(INDEX(SubcategoriesTable[Subcategory name],MATCH(Table1[[#This Row],[Category]],SubcategoriesTable[Category name],0),0),"")</f>
        <v>Variable</v>
      </c>
      <c r="O723" s="130">
        <v>19</v>
      </c>
      <c r="P723" s="130">
        <f>MONTH(Table1[[#This Row],[Date]])</f>
        <v>8</v>
      </c>
      <c r="Q723" s="130">
        <v>2020</v>
      </c>
      <c r="R723" s="166">
        <f>IF(ISBLANK(Table1[[#This Row],[Date]]),"",Table1[[#This Row],[Date]]-WEEKDAY(Table1[[#This Row],[Date]],2)+1)</f>
        <v>44060</v>
      </c>
      <c r="S723" s="131">
        <f>IF(ISBLANK(Table1[[#This Row],[Date]]),"",DATE(Table1[[#This Row],[Date_Year]],Table1[[#This Row],[Date_Month]],1))</f>
        <v>44044</v>
      </c>
    </row>
    <row r="724" spans="2:19" ht="15.75" x14ac:dyDescent="0.25">
      <c r="B724" s="133">
        <v>44062</v>
      </c>
      <c r="C724" s="128" t="s">
        <v>508</v>
      </c>
      <c r="D724" s="128" t="s">
        <v>50</v>
      </c>
      <c r="E724" s="128" t="str" cm="1">
        <f t="array" ref="E724">IFERROR(INDEX(SubcategoriesTable[Subcategory name],MATCH(Table1[[#This Row],[Category]],SubcategoriesTable[Category name],0),0),"")</f>
        <v>Variable</v>
      </c>
      <c r="F724" s="134">
        <v>300</v>
      </c>
      <c r="G724" s="167" t="str">
        <f>_xlfn.XLOOKUP(Table1[[#This Row],[Account_ID]], Accounts[ID], Accounts[Account nickname], "Unknown")</f>
        <v>EVERYDAY CHECKING</v>
      </c>
      <c r="H724" s="137" t="str">
        <f>_xlfn.XLOOKUP(Table1[[#This Row],[Account_ID]], Accounts[ID], Accounts[Account'#], "Unknown")</f>
        <v>4636</v>
      </c>
      <c r="I724" s="168" t="str">
        <f>_xlfn.XLOOKUP(Table1[[#This Row],[Institution_ID]], Institutions[ID], Institutions[Institution nickname], "Unknown")</f>
        <v>Wells Fargo</v>
      </c>
      <c r="J724" s="139" t="s">
        <v>1545</v>
      </c>
      <c r="K724" s="129" t="s">
        <v>1229</v>
      </c>
      <c r="L724" s="129" t="s">
        <v>1228</v>
      </c>
      <c r="M724" s="130" t="str" cm="1">
        <f t="array" ref="M724">IFERROR(INDEX(CategoriesTable[Category type],MATCH(Table1[[#This Row],[Category]],CategoriesTable[Category name],0),0),"")</f>
        <v>Transfer</v>
      </c>
      <c r="N724" s="130" t="str" cm="1">
        <f t="array" ref="N724">IFERROR(INDEX(SubcategoriesTable[Subcategory name],MATCH(Table1[[#This Row],[Category]],SubcategoriesTable[Category name],0),0),"")</f>
        <v>Variable</v>
      </c>
      <c r="O724" s="130">
        <v>19</v>
      </c>
      <c r="P724" s="130">
        <f>MONTH(Table1[[#This Row],[Date]])</f>
        <v>8</v>
      </c>
      <c r="Q724" s="130">
        <v>2020</v>
      </c>
      <c r="R724" s="166">
        <f>IF(ISBLANK(Table1[[#This Row],[Date]]),"",Table1[[#This Row],[Date]]-WEEKDAY(Table1[[#This Row],[Date]],2)+1)</f>
        <v>44060</v>
      </c>
      <c r="S724" s="131">
        <f>IF(ISBLANK(Table1[[#This Row],[Date]]),"",DATE(Table1[[#This Row],[Date_Year]],Table1[[#This Row],[Date_Month]],1))</f>
        <v>44044</v>
      </c>
    </row>
    <row r="725" spans="2:19" ht="15.75" x14ac:dyDescent="0.25">
      <c r="B725" s="133">
        <v>44062</v>
      </c>
      <c r="C725" s="128" t="s">
        <v>256</v>
      </c>
      <c r="D725" s="128" t="s">
        <v>46</v>
      </c>
      <c r="E725" s="128" t="str" cm="1">
        <f t="array" ref="E725">IFERROR(INDEX(SubcategoriesTable[Subcategory name],MATCH(Table1[[#This Row],[Category]],SubcategoriesTable[Category name],0),0),"")</f>
        <v>Variable</v>
      </c>
      <c r="F725" s="134">
        <v>-38.42</v>
      </c>
      <c r="G725" s="167" t="str">
        <f>_xlfn.XLOOKUP(Table1[[#This Row],[Account_ID]], Accounts[ID], Accounts[Account nickname], "Unknown")</f>
        <v>Discover it chrome Card</v>
      </c>
      <c r="H725" s="137" t="str">
        <f>_xlfn.XLOOKUP(Table1[[#This Row],[Account_ID]], Accounts[ID], Accounts[Account'#], "Unknown")</f>
        <v>7328</v>
      </c>
      <c r="I725" s="168" t="str">
        <f>_xlfn.XLOOKUP(Table1[[#This Row],[Institution_ID]], Institutions[ID], Institutions[Institution nickname], "Unknown")</f>
        <v>Discover</v>
      </c>
      <c r="J725" s="139" t="s">
        <v>786</v>
      </c>
      <c r="K725" s="129" t="s">
        <v>110</v>
      </c>
      <c r="L725" s="129" t="s">
        <v>108</v>
      </c>
      <c r="M725" s="130" t="str" cm="1">
        <f t="array" ref="M725">IFERROR(INDEX(CategoriesTable[Category type],MATCH(Table1[[#This Row],[Category]],CategoriesTable[Category name],0),0),"")</f>
        <v>Expense</v>
      </c>
      <c r="N725" s="130" t="str" cm="1">
        <f t="array" ref="N725">IFERROR(INDEX(SubcategoriesTable[Subcategory name],MATCH(Table1[[#This Row],[Category]],SubcategoriesTable[Category name],0),0),"")</f>
        <v>Variable</v>
      </c>
      <c r="O725" s="130">
        <v>19</v>
      </c>
      <c r="P725" s="130">
        <f>MONTH(Table1[[#This Row],[Date]])</f>
        <v>8</v>
      </c>
      <c r="Q725" s="130">
        <v>2020</v>
      </c>
      <c r="R725" s="166">
        <f>IF(ISBLANK(Table1[[#This Row],[Date]]),"",Table1[[#This Row],[Date]]-WEEKDAY(Table1[[#This Row],[Date]],2)+1)</f>
        <v>44060</v>
      </c>
      <c r="S725" s="131">
        <f>IF(ISBLANK(Table1[[#This Row],[Date]]),"",DATE(Table1[[#This Row],[Date_Year]],Table1[[#This Row],[Date_Month]],1))</f>
        <v>44044</v>
      </c>
    </row>
    <row r="726" spans="2:19" ht="15.75" x14ac:dyDescent="0.25">
      <c r="B726" s="133">
        <v>44061</v>
      </c>
      <c r="C726" s="128" t="s">
        <v>1192</v>
      </c>
      <c r="D726" s="128" t="s">
        <v>56</v>
      </c>
      <c r="E726" s="128" t="str" cm="1">
        <f t="array" ref="E726">IFERROR(INDEX(SubcategoriesTable[Subcategory name],MATCH(Table1[[#This Row],[Category]],SubcategoriesTable[Category name],0),0),"")</f>
        <v>Variable</v>
      </c>
      <c r="F726" s="134">
        <v>-210</v>
      </c>
      <c r="G726" s="167" t="str">
        <f>_xlfn.XLOOKUP(Table1[[#This Row],[Account_ID]], Accounts[ID], Accounts[Account nickname], "Unknown")</f>
        <v>EVERYDAY CHECKING</v>
      </c>
      <c r="H726" s="137" t="str">
        <f>_xlfn.XLOOKUP(Table1[[#This Row],[Account_ID]], Accounts[ID], Accounts[Account'#], "Unknown")</f>
        <v>4636</v>
      </c>
      <c r="I726" s="168" t="str">
        <f>_xlfn.XLOOKUP(Table1[[#This Row],[Institution_ID]], Institutions[ID], Institutions[Institution nickname], "Unknown")</f>
        <v>Wells Fargo</v>
      </c>
      <c r="J726" s="139" t="s">
        <v>1546</v>
      </c>
      <c r="K726" s="129" t="s">
        <v>1229</v>
      </c>
      <c r="L726" s="129" t="s">
        <v>1228</v>
      </c>
      <c r="M726" s="130" t="str" cm="1">
        <f t="array" ref="M726">IFERROR(INDEX(CategoriesTable[Category type],MATCH(Table1[[#This Row],[Category]],CategoriesTable[Category name],0),0),"")</f>
        <v>Expense</v>
      </c>
      <c r="N726" s="130" t="str" cm="1">
        <f t="array" ref="N726">IFERROR(INDEX(SubcategoriesTable[Subcategory name],MATCH(Table1[[#This Row],[Category]],SubcategoriesTable[Category name],0),0),"")</f>
        <v>Variable</v>
      </c>
      <c r="O726" s="130">
        <v>18</v>
      </c>
      <c r="P726" s="130">
        <f>MONTH(Table1[[#This Row],[Date]])</f>
        <v>8</v>
      </c>
      <c r="Q726" s="130">
        <v>2020</v>
      </c>
      <c r="R726" s="166">
        <f>IF(ISBLANK(Table1[[#This Row],[Date]]),"",Table1[[#This Row],[Date]]-WEEKDAY(Table1[[#This Row],[Date]],2)+1)</f>
        <v>44060</v>
      </c>
      <c r="S726" s="131">
        <f>IF(ISBLANK(Table1[[#This Row],[Date]]),"",DATE(Table1[[#This Row],[Date_Year]],Table1[[#This Row],[Date_Month]],1))</f>
        <v>44044</v>
      </c>
    </row>
    <row r="727" spans="2:19" ht="15.75" x14ac:dyDescent="0.25">
      <c r="B727" s="133">
        <v>44061</v>
      </c>
      <c r="C727" s="128" t="s">
        <v>1202</v>
      </c>
      <c r="D727" s="128" t="s">
        <v>50</v>
      </c>
      <c r="E727" s="128" t="str" cm="1">
        <f t="array" ref="E727">IFERROR(INDEX(SubcategoriesTable[Subcategory name],MATCH(Table1[[#This Row],[Category]],SubcategoriesTable[Category name],0),0),"")</f>
        <v>Variable</v>
      </c>
      <c r="F727" s="134">
        <v>800</v>
      </c>
      <c r="G727" s="167" t="str">
        <f>_xlfn.XLOOKUP(Table1[[#This Row],[Account_ID]], Accounts[ID], Accounts[Account nickname], "Unknown")</f>
        <v>EVERYDAY CHECKING</v>
      </c>
      <c r="H727" s="137" t="str">
        <f>_xlfn.XLOOKUP(Table1[[#This Row],[Account_ID]], Accounts[ID], Accounts[Account'#], "Unknown")</f>
        <v>4636</v>
      </c>
      <c r="I727" s="168" t="str">
        <f>_xlfn.XLOOKUP(Table1[[#This Row],[Institution_ID]], Institutions[ID], Institutions[Institution nickname], "Unknown")</f>
        <v>Wells Fargo</v>
      </c>
      <c r="J727" s="139" t="s">
        <v>1547</v>
      </c>
      <c r="K727" s="129" t="s">
        <v>1229</v>
      </c>
      <c r="L727" s="129" t="s">
        <v>1228</v>
      </c>
      <c r="M727" s="130" t="str" cm="1">
        <f t="array" ref="M727">IFERROR(INDEX(CategoriesTable[Category type],MATCH(Table1[[#This Row],[Category]],CategoriesTable[Category name],0),0),"")</f>
        <v>Transfer</v>
      </c>
      <c r="N727" s="130" t="str" cm="1">
        <f t="array" ref="N727">IFERROR(INDEX(SubcategoriesTable[Subcategory name],MATCH(Table1[[#This Row],[Category]],SubcategoriesTable[Category name],0),0),"")</f>
        <v>Variable</v>
      </c>
      <c r="O727" s="130">
        <v>18</v>
      </c>
      <c r="P727" s="130">
        <f>MONTH(Table1[[#This Row],[Date]])</f>
        <v>8</v>
      </c>
      <c r="Q727" s="130">
        <v>2020</v>
      </c>
      <c r="R727" s="166">
        <f>IF(ISBLANK(Table1[[#This Row],[Date]]),"",Table1[[#This Row],[Date]]-WEEKDAY(Table1[[#This Row],[Date]],2)+1)</f>
        <v>44060</v>
      </c>
      <c r="S727" s="131">
        <f>IF(ISBLANK(Table1[[#This Row],[Date]]),"",DATE(Table1[[#This Row],[Date_Year]],Table1[[#This Row],[Date_Month]],1))</f>
        <v>44044</v>
      </c>
    </row>
    <row r="728" spans="2:19" ht="15.75" x14ac:dyDescent="0.25">
      <c r="B728" s="133">
        <v>44061</v>
      </c>
      <c r="C728" s="128" t="s">
        <v>508</v>
      </c>
      <c r="D728" s="128" t="s">
        <v>50</v>
      </c>
      <c r="E728" s="128" t="str" cm="1">
        <f t="array" ref="E728">IFERROR(INDEX(SubcategoriesTable[Subcategory name],MATCH(Table1[[#This Row],[Category]],SubcategoriesTable[Category name],0),0),"")</f>
        <v>Variable</v>
      </c>
      <c r="F728" s="134">
        <v>-300</v>
      </c>
      <c r="G728" s="167" t="str">
        <f>_xlfn.XLOOKUP(Table1[[#This Row],[Account_ID]], Accounts[ID], Accounts[Account nickname], "Unknown")</f>
        <v>EVERYDAY CHECKING</v>
      </c>
      <c r="H728" s="137" t="str">
        <f>_xlfn.XLOOKUP(Table1[[#This Row],[Account_ID]], Accounts[ID], Accounts[Account'#], "Unknown")</f>
        <v>4636</v>
      </c>
      <c r="I728" s="168" t="str">
        <f>_xlfn.XLOOKUP(Table1[[#This Row],[Institution_ID]], Institutions[ID], Institutions[Institution nickname], "Unknown")</f>
        <v>Wells Fargo</v>
      </c>
      <c r="J728" s="139" t="s">
        <v>1548</v>
      </c>
      <c r="K728" s="129" t="s">
        <v>1229</v>
      </c>
      <c r="L728" s="129" t="s">
        <v>1228</v>
      </c>
      <c r="M728" s="130" t="str" cm="1">
        <f t="array" ref="M728">IFERROR(INDEX(CategoriesTable[Category type],MATCH(Table1[[#This Row],[Category]],CategoriesTable[Category name],0),0),"")</f>
        <v>Transfer</v>
      </c>
      <c r="N728" s="130" t="str" cm="1">
        <f t="array" ref="N728">IFERROR(INDEX(SubcategoriesTable[Subcategory name],MATCH(Table1[[#This Row],[Category]],SubcategoriesTable[Category name],0),0),"")</f>
        <v>Variable</v>
      </c>
      <c r="O728" s="130">
        <v>18</v>
      </c>
      <c r="P728" s="130">
        <f>MONTH(Table1[[#This Row],[Date]])</f>
        <v>8</v>
      </c>
      <c r="Q728" s="130">
        <v>2020</v>
      </c>
      <c r="R728" s="166">
        <f>IF(ISBLANK(Table1[[#This Row],[Date]]),"",Table1[[#This Row],[Date]]-WEEKDAY(Table1[[#This Row],[Date]],2)+1)</f>
        <v>44060</v>
      </c>
      <c r="S728" s="131">
        <f>IF(ISBLANK(Table1[[#This Row],[Date]]),"",DATE(Table1[[#This Row],[Date_Year]],Table1[[#This Row],[Date_Month]],1))</f>
        <v>44044</v>
      </c>
    </row>
    <row r="729" spans="2:19" ht="15.75" x14ac:dyDescent="0.25">
      <c r="B729" s="133">
        <v>44061</v>
      </c>
      <c r="C729" s="128" t="s">
        <v>50</v>
      </c>
      <c r="D729" s="128" t="s">
        <v>1204</v>
      </c>
      <c r="E729" s="128"/>
      <c r="F729" s="134">
        <v>500</v>
      </c>
      <c r="G729" s="167" t="str">
        <f>_xlfn.XLOOKUP(Table1[[#This Row],[Account_ID]], Accounts[ID], Accounts[Account nickname], "Unknown")</f>
        <v>Checking - 4480</v>
      </c>
      <c r="H729" s="137" t="str">
        <f>_xlfn.XLOOKUP(Table1[[#This Row],[Account_ID]], Accounts[ID], Accounts[Account'#], "Unknown")</f>
        <v>4480</v>
      </c>
      <c r="I729" s="168" t="str">
        <f>_xlfn.XLOOKUP(Table1[[#This Row],[Institution_ID]], Institutions[ID], Institutions[Institution nickname], "Unknown")</f>
        <v>Robinhood</v>
      </c>
      <c r="J729" s="139" t="s">
        <v>1245</v>
      </c>
      <c r="K729" s="129" t="s">
        <v>1208</v>
      </c>
      <c r="L729" s="173" t="s">
        <v>1207</v>
      </c>
      <c r="M729" s="130" t="str" cm="1">
        <f t="array" ref="M729">IFERROR(INDEX(CategoriesTable[Category type],MATCH(Table1[[#This Row],[Category]],CategoriesTable[Category name],0),0),"")</f>
        <v>Savings</v>
      </c>
      <c r="N729" s="130" t="str" cm="1">
        <f t="array" ref="N729">IFERROR(INDEX(SubcategoriesTable[Subcategory name],MATCH(Table1[[#This Row],[Category]],SubcategoriesTable[Category name],0),0),"")</f>
        <v>Variable</v>
      </c>
      <c r="O729" s="130">
        <v>18</v>
      </c>
      <c r="P729" s="130">
        <f>MONTH(Table1[[#This Row],[Date]])</f>
        <v>8</v>
      </c>
      <c r="Q729" s="130">
        <v>2020</v>
      </c>
      <c r="R729" s="166">
        <f>IF(ISBLANK(Table1[[#This Row],[Date]]),"",Table1[[#This Row],[Date]]-WEEKDAY(Table1[[#This Row],[Date]],2)+1)</f>
        <v>44060</v>
      </c>
      <c r="S729" s="131">
        <f>IF(ISBLANK(Table1[[#This Row],[Date]]),"",DATE(Table1[[#This Row],[Date_Year]],Table1[[#This Row],[Date_Month]],1))</f>
        <v>44044</v>
      </c>
    </row>
    <row r="730" spans="2:19" ht="15.75" x14ac:dyDescent="0.25">
      <c r="B730" s="133">
        <v>44061</v>
      </c>
      <c r="C730" s="128" t="s">
        <v>115</v>
      </c>
      <c r="D730" s="128" t="s">
        <v>48</v>
      </c>
      <c r="E730" s="128" t="str" cm="1">
        <f t="array" ref="E730">IFERROR(INDEX(SubcategoriesTable[Subcategory name],MATCH(Table1[[#This Row],[Category]],SubcategoriesTable[Category name],0),0),"")</f>
        <v>Variable</v>
      </c>
      <c r="F730" s="134">
        <v>-10.15</v>
      </c>
      <c r="G730" s="167" t="str">
        <f>_xlfn.XLOOKUP(Table1[[#This Row],[Account_ID]], Accounts[ID], Accounts[Account nickname], "Unknown")</f>
        <v>Discover it chrome Card</v>
      </c>
      <c r="H730" s="137" t="str">
        <f>_xlfn.XLOOKUP(Table1[[#This Row],[Account_ID]], Accounts[ID], Accounts[Account'#], "Unknown")</f>
        <v>7328</v>
      </c>
      <c r="I730" s="168" t="str">
        <f>_xlfn.XLOOKUP(Table1[[#This Row],[Institution_ID]], Institutions[ID], Institutions[Institution nickname], "Unknown")</f>
        <v>Discover</v>
      </c>
      <c r="J730" s="139" t="s">
        <v>787</v>
      </c>
      <c r="K730" s="129" t="s">
        <v>110</v>
      </c>
      <c r="L730" s="129" t="s">
        <v>108</v>
      </c>
      <c r="M730" s="130" t="str" cm="1">
        <f t="array" ref="M730">IFERROR(INDEX(CategoriesTable[Category type],MATCH(Table1[[#This Row],[Category]],CategoriesTable[Category name],0),0),"")</f>
        <v>Expense</v>
      </c>
      <c r="N730" s="130" t="str" cm="1">
        <f t="array" ref="N730">IFERROR(INDEX(SubcategoriesTable[Subcategory name],MATCH(Table1[[#This Row],[Category]],SubcategoriesTable[Category name],0),0),"")</f>
        <v>Variable</v>
      </c>
      <c r="O730" s="130">
        <v>18</v>
      </c>
      <c r="P730" s="130">
        <f>MONTH(Table1[[#This Row],[Date]])</f>
        <v>8</v>
      </c>
      <c r="Q730" s="130">
        <v>2020</v>
      </c>
      <c r="R730" s="166">
        <f>IF(ISBLANK(Table1[[#This Row],[Date]]),"",Table1[[#This Row],[Date]]-WEEKDAY(Table1[[#This Row],[Date]],2)+1)</f>
        <v>44060</v>
      </c>
      <c r="S730" s="131">
        <f>IF(ISBLANK(Table1[[#This Row],[Date]]),"",DATE(Table1[[#This Row],[Date_Year]],Table1[[#This Row],[Date_Month]],1))</f>
        <v>44044</v>
      </c>
    </row>
    <row r="731" spans="2:19" ht="15.75" x14ac:dyDescent="0.25">
      <c r="B731" s="133">
        <v>44061</v>
      </c>
      <c r="C731" s="128" t="s">
        <v>115</v>
      </c>
      <c r="D731" s="128" t="s">
        <v>48</v>
      </c>
      <c r="E731" s="128" t="str" cm="1">
        <f t="array" ref="E731">IFERROR(INDEX(SubcategoriesTable[Subcategory name],MATCH(Table1[[#This Row],[Category]],SubcategoriesTable[Category name],0),0),"")</f>
        <v>Variable</v>
      </c>
      <c r="F731" s="134">
        <v>-27.38</v>
      </c>
      <c r="G731" s="167" t="str">
        <f>_xlfn.XLOOKUP(Table1[[#This Row],[Account_ID]], Accounts[ID], Accounts[Account nickname], "Unknown")</f>
        <v>Discover it chrome Card</v>
      </c>
      <c r="H731" s="137" t="str">
        <f>_xlfn.XLOOKUP(Table1[[#This Row],[Account_ID]], Accounts[ID], Accounts[Account'#], "Unknown")</f>
        <v>7328</v>
      </c>
      <c r="I731" s="168" t="str">
        <f>_xlfn.XLOOKUP(Table1[[#This Row],[Institution_ID]], Institutions[ID], Institutions[Institution nickname], "Unknown")</f>
        <v>Discover</v>
      </c>
      <c r="J731" s="139" t="s">
        <v>788</v>
      </c>
      <c r="K731" s="129" t="s">
        <v>110</v>
      </c>
      <c r="L731" s="129" t="s">
        <v>108</v>
      </c>
      <c r="M731" s="130" t="str" cm="1">
        <f t="array" ref="M731">IFERROR(INDEX(CategoriesTable[Category type],MATCH(Table1[[#This Row],[Category]],CategoriesTable[Category name],0),0),"")</f>
        <v>Expense</v>
      </c>
      <c r="N731" s="130" t="str" cm="1">
        <f t="array" ref="N731">IFERROR(INDEX(SubcategoriesTable[Subcategory name],MATCH(Table1[[#This Row],[Category]],SubcategoriesTable[Category name],0),0),"")</f>
        <v>Variable</v>
      </c>
      <c r="O731" s="130">
        <v>18</v>
      </c>
      <c r="P731" s="130">
        <f>MONTH(Table1[[#This Row],[Date]])</f>
        <v>8</v>
      </c>
      <c r="Q731" s="130">
        <v>2020</v>
      </c>
      <c r="R731" s="166">
        <f>IF(ISBLANK(Table1[[#This Row],[Date]]),"",Table1[[#This Row],[Date]]-WEEKDAY(Table1[[#This Row],[Date]],2)+1)</f>
        <v>44060</v>
      </c>
      <c r="S731" s="131">
        <f>IF(ISBLANK(Table1[[#This Row],[Date]]),"",DATE(Table1[[#This Row],[Date_Year]],Table1[[#This Row],[Date_Month]],1))</f>
        <v>44044</v>
      </c>
    </row>
    <row r="732" spans="2:19" ht="15.75" x14ac:dyDescent="0.25">
      <c r="B732" s="133">
        <v>44060</v>
      </c>
      <c r="C732" s="128" t="s">
        <v>1200</v>
      </c>
      <c r="D732" s="128" t="s">
        <v>50</v>
      </c>
      <c r="E732" s="128" t="str" cm="1">
        <f t="array" ref="E732">IFERROR(INDEX(SubcategoriesTable[Subcategory name],MATCH(Table1[[#This Row],[Category]],SubcategoriesTable[Category name],0),0),"")</f>
        <v>Variable</v>
      </c>
      <c r="F732" s="134">
        <v>-300</v>
      </c>
      <c r="G732" s="167" t="str">
        <f>_xlfn.XLOOKUP(Table1[[#This Row],[Account_ID]], Accounts[ID], Accounts[Account nickname], "Unknown")</f>
        <v>EVERYDAY CHECKING</v>
      </c>
      <c r="H732" s="137" t="str">
        <f>_xlfn.XLOOKUP(Table1[[#This Row],[Account_ID]], Accounts[ID], Accounts[Account'#], "Unknown")</f>
        <v>4636</v>
      </c>
      <c r="I732" s="168" t="str">
        <f>_xlfn.XLOOKUP(Table1[[#This Row],[Institution_ID]], Institutions[ID], Institutions[Institution nickname], "Unknown")</f>
        <v>Wells Fargo</v>
      </c>
      <c r="J732" s="139" t="s">
        <v>1549</v>
      </c>
      <c r="K732" s="129" t="s">
        <v>1229</v>
      </c>
      <c r="L732" s="129" t="s">
        <v>1228</v>
      </c>
      <c r="M732" s="130" t="str" cm="1">
        <f t="array" ref="M732">IFERROR(INDEX(CategoriesTable[Category type],MATCH(Table1[[#This Row],[Category]],CategoriesTable[Category name],0),0),"")</f>
        <v>Transfer</v>
      </c>
      <c r="N732" s="130" t="str" cm="1">
        <f t="array" ref="N732">IFERROR(INDEX(SubcategoriesTable[Subcategory name],MATCH(Table1[[#This Row],[Category]],SubcategoriesTable[Category name],0),0),"")</f>
        <v>Variable</v>
      </c>
      <c r="O732" s="130">
        <v>17</v>
      </c>
      <c r="P732" s="130">
        <f>MONTH(Table1[[#This Row],[Date]])</f>
        <v>8</v>
      </c>
      <c r="Q732" s="130">
        <v>2020</v>
      </c>
      <c r="R732" s="166">
        <f>IF(ISBLANK(Table1[[#This Row],[Date]]),"",Table1[[#This Row],[Date]]-WEEKDAY(Table1[[#This Row],[Date]],2)+1)</f>
        <v>44060</v>
      </c>
      <c r="S732" s="131">
        <f>IF(ISBLANK(Table1[[#This Row],[Date]]),"",DATE(Table1[[#This Row],[Date_Year]],Table1[[#This Row],[Date_Month]],1))</f>
        <v>44044</v>
      </c>
    </row>
    <row r="733" spans="2:19" ht="15.75" x14ac:dyDescent="0.25">
      <c r="B733" s="133">
        <v>44060</v>
      </c>
      <c r="C733" s="128" t="s">
        <v>1550</v>
      </c>
      <c r="D733" s="128" t="s">
        <v>50</v>
      </c>
      <c r="E733" s="128" t="str" cm="1">
        <f t="array" ref="E733">IFERROR(INDEX(SubcategoriesTable[Subcategory name],MATCH(Table1[[#This Row],[Category]],SubcategoriesTable[Category name],0),0),"")</f>
        <v>Variable</v>
      </c>
      <c r="F733" s="134">
        <v>80</v>
      </c>
      <c r="G733" s="167" t="str">
        <f>_xlfn.XLOOKUP(Table1[[#This Row],[Account_ID]], Accounts[ID], Accounts[Account nickname], "Unknown")</f>
        <v>EVERYDAY CHECKING</v>
      </c>
      <c r="H733" s="137" t="str">
        <f>_xlfn.XLOOKUP(Table1[[#This Row],[Account_ID]], Accounts[ID], Accounts[Account'#], "Unknown")</f>
        <v>4636</v>
      </c>
      <c r="I733" s="168" t="str">
        <f>_xlfn.XLOOKUP(Table1[[#This Row],[Institution_ID]], Institutions[ID], Institutions[Institution nickname], "Unknown")</f>
        <v>Wells Fargo</v>
      </c>
      <c r="J733" s="139" t="s">
        <v>1551</v>
      </c>
      <c r="K733" s="129" t="s">
        <v>1229</v>
      </c>
      <c r="L733" s="129" t="s">
        <v>1228</v>
      </c>
      <c r="M733" s="130" t="str" cm="1">
        <f t="array" ref="M733">IFERROR(INDEX(CategoriesTable[Category type],MATCH(Table1[[#This Row],[Category]],CategoriesTable[Category name],0),0),"")</f>
        <v>Transfer</v>
      </c>
      <c r="N733" s="130" t="str" cm="1">
        <f t="array" ref="N733">IFERROR(INDEX(SubcategoriesTable[Subcategory name],MATCH(Table1[[#This Row],[Category]],SubcategoriesTable[Category name],0),0),"")</f>
        <v>Variable</v>
      </c>
      <c r="O733" s="130">
        <v>17</v>
      </c>
      <c r="P733" s="130">
        <f>MONTH(Table1[[#This Row],[Date]])</f>
        <v>8</v>
      </c>
      <c r="Q733" s="130">
        <v>2020</v>
      </c>
      <c r="R733" s="166">
        <f>IF(ISBLANK(Table1[[#This Row],[Date]]),"",Table1[[#This Row],[Date]]-WEEKDAY(Table1[[#This Row],[Date]],2)+1)</f>
        <v>44060</v>
      </c>
      <c r="S733" s="131">
        <f>IF(ISBLANK(Table1[[#This Row],[Date]]),"",DATE(Table1[[#This Row],[Date_Year]],Table1[[#This Row],[Date_Month]],1))</f>
        <v>44044</v>
      </c>
    </row>
    <row r="734" spans="2:19" ht="15.75" x14ac:dyDescent="0.25">
      <c r="B734" s="133">
        <v>44059</v>
      </c>
      <c r="C734" s="128" t="s">
        <v>789</v>
      </c>
      <c r="D734" s="128" t="s">
        <v>52</v>
      </c>
      <c r="E734" s="128" t="str" cm="1">
        <f t="array" ref="E734">IFERROR(INDEX(SubcategoriesTable[Subcategory name],MATCH(Table1[[#This Row],[Category]],SubcategoriesTable[Category name],0),0),"")</f>
        <v>Variable</v>
      </c>
      <c r="F734" s="134">
        <v>-20.2</v>
      </c>
      <c r="G734" s="167" t="str">
        <f>_xlfn.XLOOKUP(Table1[[#This Row],[Account_ID]], Accounts[ID], Accounts[Account nickname], "Unknown")</f>
        <v>Discover it chrome Card</v>
      </c>
      <c r="H734" s="137" t="str">
        <f>_xlfn.XLOOKUP(Table1[[#This Row],[Account_ID]], Accounts[ID], Accounts[Account'#], "Unknown")</f>
        <v>7328</v>
      </c>
      <c r="I734" s="168" t="str">
        <f>_xlfn.XLOOKUP(Table1[[#This Row],[Institution_ID]], Institutions[ID], Institutions[Institution nickname], "Unknown")</f>
        <v>Discover</v>
      </c>
      <c r="J734" s="139" t="s">
        <v>790</v>
      </c>
      <c r="K734" s="129" t="s">
        <v>110</v>
      </c>
      <c r="L734" s="129" t="s">
        <v>108</v>
      </c>
      <c r="M734" s="130" t="str" cm="1">
        <f t="array" ref="M734">IFERROR(INDEX(CategoriesTable[Category type],MATCH(Table1[[#This Row],[Category]],CategoriesTable[Category name],0),0),"")</f>
        <v>Expense</v>
      </c>
      <c r="N734" s="130" t="str" cm="1">
        <f t="array" ref="N734">IFERROR(INDEX(SubcategoriesTable[Subcategory name],MATCH(Table1[[#This Row],[Category]],SubcategoriesTable[Category name],0),0),"")</f>
        <v>Variable</v>
      </c>
      <c r="O734" s="130">
        <v>16</v>
      </c>
      <c r="P734" s="130">
        <f>MONTH(Table1[[#This Row],[Date]])</f>
        <v>8</v>
      </c>
      <c r="Q734" s="130">
        <v>2020</v>
      </c>
      <c r="R734" s="166">
        <f>IF(ISBLANK(Table1[[#This Row],[Date]]),"",Table1[[#This Row],[Date]]-WEEKDAY(Table1[[#This Row],[Date]],2)+1)</f>
        <v>44053</v>
      </c>
      <c r="S734" s="131">
        <f>IF(ISBLANK(Table1[[#This Row],[Date]]),"",DATE(Table1[[#This Row],[Date_Year]],Table1[[#This Row],[Date_Month]],1))</f>
        <v>44044</v>
      </c>
    </row>
    <row r="735" spans="2:19" ht="15.75" x14ac:dyDescent="0.25">
      <c r="B735" s="133">
        <v>44059</v>
      </c>
      <c r="C735" s="128" t="s">
        <v>115</v>
      </c>
      <c r="D735" s="128" t="s">
        <v>48</v>
      </c>
      <c r="E735" s="128" t="str" cm="1">
        <f t="array" ref="E735">IFERROR(INDEX(SubcategoriesTable[Subcategory name],MATCH(Table1[[#This Row],[Category]],SubcategoriesTable[Category name],0),0),"")</f>
        <v>Variable</v>
      </c>
      <c r="F735" s="134">
        <v>-50.98</v>
      </c>
      <c r="G735" s="167" t="str">
        <f>_xlfn.XLOOKUP(Table1[[#This Row],[Account_ID]], Accounts[ID], Accounts[Account nickname], "Unknown")</f>
        <v>Discover it chrome Card</v>
      </c>
      <c r="H735" s="137" t="str">
        <f>_xlfn.XLOOKUP(Table1[[#This Row],[Account_ID]], Accounts[ID], Accounts[Account'#], "Unknown")</f>
        <v>7328</v>
      </c>
      <c r="I735" s="168" t="str">
        <f>_xlfn.XLOOKUP(Table1[[#This Row],[Institution_ID]], Institutions[ID], Institutions[Institution nickname], "Unknown")</f>
        <v>Discover</v>
      </c>
      <c r="J735" s="139" t="s">
        <v>791</v>
      </c>
      <c r="K735" s="129" t="s">
        <v>110</v>
      </c>
      <c r="L735" s="129" t="s">
        <v>108</v>
      </c>
      <c r="M735" s="130" t="str" cm="1">
        <f t="array" ref="M735">IFERROR(INDEX(CategoriesTable[Category type],MATCH(Table1[[#This Row],[Category]],CategoriesTable[Category name],0),0),"")</f>
        <v>Expense</v>
      </c>
      <c r="N735" s="130" t="str" cm="1">
        <f t="array" ref="N735">IFERROR(INDEX(SubcategoriesTable[Subcategory name],MATCH(Table1[[#This Row],[Category]],SubcategoriesTable[Category name],0),0),"")</f>
        <v>Variable</v>
      </c>
      <c r="O735" s="130">
        <v>16</v>
      </c>
      <c r="P735" s="130">
        <f>MONTH(Table1[[#This Row],[Date]])</f>
        <v>8</v>
      </c>
      <c r="Q735" s="130">
        <v>2020</v>
      </c>
      <c r="R735" s="166">
        <f>IF(ISBLANK(Table1[[#This Row],[Date]]),"",Table1[[#This Row],[Date]]-WEEKDAY(Table1[[#This Row],[Date]],2)+1)</f>
        <v>44053</v>
      </c>
      <c r="S735" s="131">
        <f>IF(ISBLANK(Table1[[#This Row],[Date]]),"",DATE(Table1[[#This Row],[Date_Year]],Table1[[#This Row],[Date_Month]],1))</f>
        <v>44044</v>
      </c>
    </row>
    <row r="736" spans="2:19" ht="15.75" x14ac:dyDescent="0.25">
      <c r="B736" s="133">
        <v>44057</v>
      </c>
      <c r="C736" s="128" t="s">
        <v>1180</v>
      </c>
      <c r="D736" s="128" t="s">
        <v>50</v>
      </c>
      <c r="E736" s="128" t="str" cm="1">
        <f t="array" ref="E736">IFERROR(INDEX(SubcategoriesTable[Subcategory name],MATCH(Table1[[#This Row],[Category]],SubcategoriesTable[Category name],0),0),"")</f>
        <v>Variable</v>
      </c>
      <c r="F736" s="134">
        <v>-520.29</v>
      </c>
      <c r="G736" s="167" t="str">
        <f>_xlfn.XLOOKUP(Table1[[#This Row],[Account_ID]], Accounts[ID], Accounts[Account nickname], "Unknown")</f>
        <v>EVERYDAY CHECKING</v>
      </c>
      <c r="H736" s="137" t="str">
        <f>_xlfn.XLOOKUP(Table1[[#This Row],[Account_ID]], Accounts[ID], Accounts[Account'#], "Unknown")</f>
        <v>4636</v>
      </c>
      <c r="I736" s="168" t="str">
        <f>_xlfn.XLOOKUP(Table1[[#This Row],[Institution_ID]], Institutions[ID], Institutions[Institution nickname], "Unknown")</f>
        <v>Wells Fargo</v>
      </c>
      <c r="J736" s="139" t="s">
        <v>1552</v>
      </c>
      <c r="K736" s="129" t="s">
        <v>1229</v>
      </c>
      <c r="L736" s="129" t="s">
        <v>1228</v>
      </c>
      <c r="M736" s="130" t="str" cm="1">
        <f t="array" ref="M736">IFERROR(INDEX(CategoriesTable[Category type],MATCH(Table1[[#This Row],[Category]],CategoriesTable[Category name],0),0),"")</f>
        <v>Transfer</v>
      </c>
      <c r="N736" s="130" t="str" cm="1">
        <f t="array" ref="N736">IFERROR(INDEX(SubcategoriesTable[Subcategory name],MATCH(Table1[[#This Row],[Category]],SubcategoriesTable[Category name],0),0),"")</f>
        <v>Variable</v>
      </c>
      <c r="O736" s="130">
        <v>14</v>
      </c>
      <c r="P736" s="130">
        <f>MONTH(Table1[[#This Row],[Date]])</f>
        <v>8</v>
      </c>
      <c r="Q736" s="130">
        <v>2020</v>
      </c>
      <c r="R736" s="166">
        <f>IF(ISBLANK(Table1[[#This Row],[Date]]),"",Table1[[#This Row],[Date]]-WEEKDAY(Table1[[#This Row],[Date]],2)+1)</f>
        <v>44053</v>
      </c>
      <c r="S736" s="131">
        <f>IF(ISBLANK(Table1[[#This Row],[Date]]),"",DATE(Table1[[#This Row],[Date_Year]],Table1[[#This Row],[Date_Month]],1))</f>
        <v>44044</v>
      </c>
    </row>
    <row r="737" spans="2:19" ht="15.75" x14ac:dyDescent="0.25">
      <c r="B737" s="133">
        <v>44057</v>
      </c>
      <c r="C737" s="128" t="s">
        <v>1181</v>
      </c>
      <c r="D737" s="128" t="s">
        <v>59</v>
      </c>
      <c r="E737" s="128" t="str" cm="1">
        <f t="array" ref="E737">IFERROR(INDEX(SubcategoriesTable[Subcategory name],MATCH(Table1[[#This Row],[Category]],SubcategoriesTable[Category name],0),0),"")</f>
        <v>Fixed</v>
      </c>
      <c r="F737" s="134">
        <v>1454.6</v>
      </c>
      <c r="G737" s="167" t="str">
        <f>_xlfn.XLOOKUP(Table1[[#This Row],[Account_ID]], Accounts[ID], Accounts[Account nickname], "Unknown")</f>
        <v>EVERYDAY CHECKING</v>
      </c>
      <c r="H737" s="137" t="str">
        <f>_xlfn.XLOOKUP(Table1[[#This Row],[Account_ID]], Accounts[ID], Accounts[Account'#], "Unknown")</f>
        <v>4636</v>
      </c>
      <c r="I737" s="168" t="str">
        <f>_xlfn.XLOOKUP(Table1[[#This Row],[Institution_ID]], Institutions[ID], Institutions[Institution nickname], "Unknown")</f>
        <v>Wells Fargo</v>
      </c>
      <c r="J737" s="139" t="s">
        <v>1553</v>
      </c>
      <c r="K737" s="129" t="s">
        <v>1229</v>
      </c>
      <c r="L737" s="129" t="s">
        <v>1228</v>
      </c>
      <c r="M737" s="130" t="str" cm="1">
        <f t="array" ref="M737">IFERROR(INDEX(CategoriesTable[Category type],MATCH(Table1[[#This Row],[Category]],CategoriesTable[Category name],0),0),"")</f>
        <v>Income</v>
      </c>
      <c r="N737" s="130" t="str" cm="1">
        <f t="array" ref="N737">IFERROR(INDEX(SubcategoriesTable[Subcategory name],MATCH(Table1[[#This Row],[Category]],SubcategoriesTable[Category name],0),0),"")</f>
        <v>Fixed</v>
      </c>
      <c r="O737" s="130">
        <v>14</v>
      </c>
      <c r="P737" s="130">
        <f>MONTH(Table1[[#This Row],[Date]])</f>
        <v>8</v>
      </c>
      <c r="Q737" s="130">
        <v>2020</v>
      </c>
      <c r="R737" s="166">
        <f>IF(ISBLANK(Table1[[#This Row],[Date]]),"",Table1[[#This Row],[Date]]-WEEKDAY(Table1[[#This Row],[Date]],2)+1)</f>
        <v>44053</v>
      </c>
      <c r="S737" s="131">
        <f>IF(ISBLANK(Table1[[#This Row],[Date]]),"",DATE(Table1[[#This Row],[Date_Year]],Table1[[#This Row],[Date_Month]],1))</f>
        <v>44044</v>
      </c>
    </row>
    <row r="738" spans="2:19" ht="15.75" x14ac:dyDescent="0.25">
      <c r="B738" s="133">
        <v>44057</v>
      </c>
      <c r="C738" s="128" t="s">
        <v>1198</v>
      </c>
      <c r="D738" s="128" t="s">
        <v>58</v>
      </c>
      <c r="E738" s="128" t="str" cm="1">
        <f t="array" ref="E738">IFERROR(INDEX(SubcategoriesTable[Subcategory name],MATCH(Table1[[#This Row],[Category]],SubcategoriesTable[Category name],0),0),"")</f>
        <v>Fixed</v>
      </c>
      <c r="F738" s="134">
        <v>-80</v>
      </c>
      <c r="G738" s="167" t="str">
        <f>_xlfn.XLOOKUP(Table1[[#This Row],[Account_ID]], Accounts[ID], Accounts[Account nickname], "Unknown")</f>
        <v>EVERYDAY CHECKING</v>
      </c>
      <c r="H738" s="137" t="str">
        <f>_xlfn.XLOOKUP(Table1[[#This Row],[Account_ID]], Accounts[ID], Accounts[Account'#], "Unknown")</f>
        <v>4636</v>
      </c>
      <c r="I738" s="168" t="str">
        <f>_xlfn.XLOOKUP(Table1[[#This Row],[Institution_ID]], Institutions[ID], Institutions[Institution nickname], "Unknown")</f>
        <v>Wells Fargo</v>
      </c>
      <c r="J738" s="139" t="s">
        <v>1554</v>
      </c>
      <c r="K738" s="129" t="s">
        <v>1229</v>
      </c>
      <c r="L738" s="129" t="s">
        <v>1228</v>
      </c>
      <c r="M738" s="130" t="str" cm="1">
        <f t="array" ref="M738">IFERROR(INDEX(CategoriesTable[Category type],MATCH(Table1[[#This Row],[Category]],CategoriesTable[Category name],0),0),"")</f>
        <v>Expense</v>
      </c>
      <c r="N738" s="130" t="str" cm="1">
        <f t="array" ref="N738">IFERROR(INDEX(SubcategoriesTable[Subcategory name],MATCH(Table1[[#This Row],[Category]],SubcategoriesTable[Category name],0),0),"")</f>
        <v>Fixed</v>
      </c>
      <c r="O738" s="130">
        <v>14</v>
      </c>
      <c r="P738" s="130">
        <f>MONTH(Table1[[#This Row],[Date]])</f>
        <v>8</v>
      </c>
      <c r="Q738" s="130">
        <v>2020</v>
      </c>
      <c r="R738" s="166">
        <f>IF(ISBLANK(Table1[[#This Row],[Date]]),"",Table1[[#This Row],[Date]]-WEEKDAY(Table1[[#This Row],[Date]],2)+1)</f>
        <v>44053</v>
      </c>
      <c r="S738" s="131">
        <f>IF(ISBLANK(Table1[[#This Row],[Date]]),"",DATE(Table1[[#This Row],[Date_Year]],Table1[[#This Row],[Date_Month]],1))</f>
        <v>44044</v>
      </c>
    </row>
    <row r="739" spans="2:19" ht="15.75" x14ac:dyDescent="0.25">
      <c r="B739" s="133">
        <v>44057</v>
      </c>
      <c r="C739" s="128" t="s">
        <v>508</v>
      </c>
      <c r="D739" s="128" t="s">
        <v>50</v>
      </c>
      <c r="E739" s="128" t="str" cm="1">
        <f t="array" ref="E739">IFERROR(INDEX(SubcategoriesTable[Subcategory name],MATCH(Table1[[#This Row],[Category]],SubcategoriesTable[Category name],0),0),"")</f>
        <v>Variable</v>
      </c>
      <c r="F739" s="134">
        <v>-50</v>
      </c>
      <c r="G739" s="167" t="str">
        <f>_xlfn.XLOOKUP(Table1[[#This Row],[Account_ID]], Accounts[ID], Accounts[Account nickname], "Unknown")</f>
        <v>EVERYDAY CHECKING</v>
      </c>
      <c r="H739" s="137" t="str">
        <f>_xlfn.XLOOKUP(Table1[[#This Row],[Account_ID]], Accounts[ID], Accounts[Account'#], "Unknown")</f>
        <v>4636</v>
      </c>
      <c r="I739" s="168" t="str">
        <f>_xlfn.XLOOKUP(Table1[[#This Row],[Institution_ID]], Institutions[ID], Institutions[Institution nickname], "Unknown")</f>
        <v>Wells Fargo</v>
      </c>
      <c r="J739" s="139" t="s">
        <v>1555</v>
      </c>
      <c r="K739" s="129" t="s">
        <v>1229</v>
      </c>
      <c r="L739" s="129" t="s">
        <v>1228</v>
      </c>
      <c r="M739" s="130" t="str" cm="1">
        <f t="array" ref="M739">IFERROR(INDEX(CategoriesTable[Category type],MATCH(Table1[[#This Row],[Category]],CategoriesTable[Category name],0),0),"")</f>
        <v>Transfer</v>
      </c>
      <c r="N739" s="130" t="str" cm="1">
        <f t="array" ref="N739">IFERROR(INDEX(SubcategoriesTable[Subcategory name],MATCH(Table1[[#This Row],[Category]],SubcategoriesTable[Category name],0),0),"")</f>
        <v>Variable</v>
      </c>
      <c r="O739" s="130">
        <v>14</v>
      </c>
      <c r="P739" s="130">
        <f>MONTH(Table1[[#This Row],[Date]])</f>
        <v>8</v>
      </c>
      <c r="Q739" s="130">
        <v>2020</v>
      </c>
      <c r="R739" s="166">
        <f>IF(ISBLANK(Table1[[#This Row],[Date]]),"",Table1[[#This Row],[Date]]-WEEKDAY(Table1[[#This Row],[Date]],2)+1)</f>
        <v>44053</v>
      </c>
      <c r="S739" s="131">
        <f>IF(ISBLANK(Table1[[#This Row],[Date]]),"",DATE(Table1[[#This Row],[Date_Year]],Table1[[#This Row],[Date_Month]],1))</f>
        <v>44044</v>
      </c>
    </row>
    <row r="740" spans="2:19" ht="15.75" x14ac:dyDescent="0.25">
      <c r="B740" s="133">
        <v>44057</v>
      </c>
      <c r="C740" s="128" t="s">
        <v>115</v>
      </c>
      <c r="D740" s="128" t="s">
        <v>48</v>
      </c>
      <c r="E740" s="128" t="str" cm="1">
        <f t="array" ref="E740">IFERROR(INDEX(SubcategoriesTable[Subcategory name],MATCH(Table1[[#This Row],[Category]],SubcategoriesTable[Category name],0),0),"")</f>
        <v>Variable</v>
      </c>
      <c r="F740" s="134">
        <v>-7.1</v>
      </c>
      <c r="G740" s="167" t="str">
        <f>_xlfn.XLOOKUP(Table1[[#This Row],[Account_ID]], Accounts[ID], Accounts[Account nickname], "Unknown")</f>
        <v>EVERYDAY CHECKING</v>
      </c>
      <c r="H740" s="137" t="str">
        <f>_xlfn.XLOOKUP(Table1[[#This Row],[Account_ID]], Accounts[ID], Accounts[Account'#], "Unknown")</f>
        <v>4636</v>
      </c>
      <c r="I740" s="168" t="str">
        <f>_xlfn.XLOOKUP(Table1[[#This Row],[Institution_ID]], Institutions[ID], Institutions[Institution nickname], "Unknown")</f>
        <v>Wells Fargo</v>
      </c>
      <c r="J740" s="139" t="s">
        <v>1556</v>
      </c>
      <c r="K740" s="129" t="s">
        <v>1229</v>
      </c>
      <c r="L740" s="129" t="s">
        <v>1228</v>
      </c>
      <c r="M740" s="130" t="str" cm="1">
        <f t="array" ref="M740">IFERROR(INDEX(CategoriesTable[Category type],MATCH(Table1[[#This Row],[Category]],CategoriesTable[Category name],0),0),"")</f>
        <v>Expense</v>
      </c>
      <c r="N740" s="130" t="str" cm="1">
        <f t="array" ref="N740">IFERROR(INDEX(SubcategoriesTable[Subcategory name],MATCH(Table1[[#This Row],[Category]],SubcategoriesTable[Category name],0),0),"")</f>
        <v>Variable</v>
      </c>
      <c r="O740" s="130">
        <v>14</v>
      </c>
      <c r="P740" s="130">
        <f>MONTH(Table1[[#This Row],[Date]])</f>
        <v>8</v>
      </c>
      <c r="Q740" s="130">
        <v>2020</v>
      </c>
      <c r="R740" s="166">
        <f>IF(ISBLANK(Table1[[#This Row],[Date]]),"",Table1[[#This Row],[Date]]-WEEKDAY(Table1[[#This Row],[Date]],2)+1)</f>
        <v>44053</v>
      </c>
      <c r="S740" s="131">
        <f>IF(ISBLANK(Table1[[#This Row],[Date]]),"",DATE(Table1[[#This Row],[Date_Year]],Table1[[#This Row],[Date_Month]],1))</f>
        <v>44044</v>
      </c>
    </row>
    <row r="741" spans="2:19" ht="15.75" x14ac:dyDescent="0.25">
      <c r="B741" s="133">
        <v>44057</v>
      </c>
      <c r="C741" s="128" t="s">
        <v>113</v>
      </c>
      <c r="D741" s="128" t="s">
        <v>50</v>
      </c>
      <c r="E741" s="128" t="str" cm="1">
        <f t="array" ref="E741">IFERROR(INDEX(SubcategoriesTable[Subcategory name],MATCH(Table1[[#This Row],[Category]],SubcategoriesTable[Category name],0),0),"")</f>
        <v>Variable</v>
      </c>
      <c r="F741" s="134">
        <v>520.29</v>
      </c>
      <c r="G741" s="167" t="str">
        <f>_xlfn.XLOOKUP(Table1[[#This Row],[Account_ID]], Accounts[ID], Accounts[Account nickname], "Unknown")</f>
        <v>Discover it chrome Card</v>
      </c>
      <c r="H741" s="137" t="str">
        <f>_xlfn.XLOOKUP(Table1[[#This Row],[Account_ID]], Accounts[ID], Accounts[Account'#], "Unknown")</f>
        <v>7328</v>
      </c>
      <c r="I741" s="168" t="str">
        <f>_xlfn.XLOOKUP(Table1[[#This Row],[Institution_ID]], Institutions[ID], Institutions[Institution nickname], "Unknown")</f>
        <v>Discover</v>
      </c>
      <c r="J741" s="139" t="s">
        <v>792</v>
      </c>
      <c r="K741" s="129" t="s">
        <v>110</v>
      </c>
      <c r="L741" s="129" t="s">
        <v>108</v>
      </c>
      <c r="M741" s="130" t="str" cm="1">
        <f t="array" ref="M741">IFERROR(INDEX(CategoriesTable[Category type],MATCH(Table1[[#This Row],[Category]],CategoriesTable[Category name],0),0),"")</f>
        <v>Transfer</v>
      </c>
      <c r="N741" s="130" t="str" cm="1">
        <f t="array" ref="N741">IFERROR(INDEX(SubcategoriesTable[Subcategory name],MATCH(Table1[[#This Row],[Category]],SubcategoriesTable[Category name],0),0),"")</f>
        <v>Variable</v>
      </c>
      <c r="O741" s="130">
        <v>14</v>
      </c>
      <c r="P741" s="130">
        <f>MONTH(Table1[[#This Row],[Date]])</f>
        <v>8</v>
      </c>
      <c r="Q741" s="130">
        <v>2020</v>
      </c>
      <c r="R741" s="166">
        <f>IF(ISBLANK(Table1[[#This Row],[Date]]),"",Table1[[#This Row],[Date]]-WEEKDAY(Table1[[#This Row],[Date]],2)+1)</f>
        <v>44053</v>
      </c>
      <c r="S741" s="131">
        <f>IF(ISBLANK(Table1[[#This Row],[Date]]),"",DATE(Table1[[#This Row],[Date_Year]],Table1[[#This Row],[Date_Month]],1))</f>
        <v>44044</v>
      </c>
    </row>
    <row r="742" spans="2:19" ht="15.75" x14ac:dyDescent="0.25">
      <c r="B742" s="133">
        <v>44057</v>
      </c>
      <c r="C742" s="128" t="s">
        <v>793</v>
      </c>
      <c r="D742" s="128" t="s">
        <v>57</v>
      </c>
      <c r="E742" s="128" t="str" cm="1">
        <f t="array" ref="E742">IFERROR(INDEX(SubcategoriesTable[Subcategory name],MATCH(Table1[[#This Row],[Category]],SubcategoriesTable[Category name],0),0),"")</f>
        <v>Variable</v>
      </c>
      <c r="F742" s="134">
        <v>-200</v>
      </c>
      <c r="G742" s="167" t="str">
        <f>_xlfn.XLOOKUP(Table1[[#This Row],[Account_ID]], Accounts[ID], Accounts[Account nickname], "Unknown")</f>
        <v>Discover it chrome Card</v>
      </c>
      <c r="H742" s="137" t="str">
        <f>_xlfn.XLOOKUP(Table1[[#This Row],[Account_ID]], Accounts[ID], Accounts[Account'#], "Unknown")</f>
        <v>7328</v>
      </c>
      <c r="I742" s="168" t="str">
        <f>_xlfn.XLOOKUP(Table1[[#This Row],[Institution_ID]], Institutions[ID], Institutions[Institution nickname], "Unknown")</f>
        <v>Discover</v>
      </c>
      <c r="J742" s="139" t="s">
        <v>794</v>
      </c>
      <c r="K742" s="129" t="s">
        <v>110</v>
      </c>
      <c r="L742" s="129" t="s">
        <v>108</v>
      </c>
      <c r="M742" s="130" t="str" cm="1">
        <f t="array" ref="M742">IFERROR(INDEX(CategoriesTable[Category type],MATCH(Table1[[#This Row],[Category]],CategoriesTable[Category name],0),0),"")</f>
        <v>Transfer</v>
      </c>
      <c r="N742" s="130" t="str" cm="1">
        <f t="array" ref="N742">IFERROR(INDEX(SubcategoriesTable[Subcategory name],MATCH(Table1[[#This Row],[Category]],SubcategoriesTable[Category name],0),0),"")</f>
        <v>Variable</v>
      </c>
      <c r="O742" s="130">
        <v>14</v>
      </c>
      <c r="P742" s="130">
        <f>MONTH(Table1[[#This Row],[Date]])</f>
        <v>8</v>
      </c>
      <c r="Q742" s="130">
        <v>2020</v>
      </c>
      <c r="R742" s="166">
        <f>IF(ISBLANK(Table1[[#This Row],[Date]]),"",Table1[[#This Row],[Date]]-WEEKDAY(Table1[[#This Row],[Date]],2)+1)</f>
        <v>44053</v>
      </c>
      <c r="S742" s="131">
        <f>IF(ISBLANK(Table1[[#This Row],[Date]]),"",DATE(Table1[[#This Row],[Date_Year]],Table1[[#This Row],[Date_Month]],1))</f>
        <v>44044</v>
      </c>
    </row>
    <row r="743" spans="2:19" ht="15.75" x14ac:dyDescent="0.25">
      <c r="B743" s="133">
        <v>44057</v>
      </c>
      <c r="C743" s="128" t="s">
        <v>193</v>
      </c>
      <c r="D743" s="128" t="s">
        <v>54</v>
      </c>
      <c r="E743" s="128" t="str" cm="1">
        <f t="array" ref="E743">IFERROR(INDEX(SubcategoriesTable[Subcategory name],MATCH(Table1[[#This Row],[Category]],SubcategoriesTable[Category name],0),0),"")</f>
        <v>Fixed</v>
      </c>
      <c r="F743" s="134">
        <v>-86.25</v>
      </c>
      <c r="G743" s="167" t="str">
        <f>_xlfn.XLOOKUP(Table1[[#This Row],[Account_ID]], Accounts[ID], Accounts[Account nickname], "Unknown")</f>
        <v>Discover it chrome Card</v>
      </c>
      <c r="H743" s="137" t="str">
        <f>_xlfn.XLOOKUP(Table1[[#This Row],[Account_ID]], Accounts[ID], Accounts[Account'#], "Unknown")</f>
        <v>7328</v>
      </c>
      <c r="I743" s="168" t="str">
        <f>_xlfn.XLOOKUP(Table1[[#This Row],[Institution_ID]], Institutions[ID], Institutions[Institution nickname], "Unknown")</f>
        <v>Discover</v>
      </c>
      <c r="J743" s="139" t="s">
        <v>795</v>
      </c>
      <c r="K743" s="129" t="s">
        <v>110</v>
      </c>
      <c r="L743" s="129" t="s">
        <v>108</v>
      </c>
      <c r="M743" s="130" t="str" cm="1">
        <f t="array" ref="M743">IFERROR(INDEX(CategoriesTable[Category type],MATCH(Table1[[#This Row],[Category]],CategoriesTable[Category name],0),0),"")</f>
        <v>Expense</v>
      </c>
      <c r="N743" s="130" t="str" cm="1">
        <f t="array" ref="N743">IFERROR(INDEX(SubcategoriesTable[Subcategory name],MATCH(Table1[[#This Row],[Category]],SubcategoriesTable[Category name],0),0),"")</f>
        <v>Fixed</v>
      </c>
      <c r="O743" s="130">
        <v>14</v>
      </c>
      <c r="P743" s="130">
        <f>MONTH(Table1[[#This Row],[Date]])</f>
        <v>8</v>
      </c>
      <c r="Q743" s="130">
        <v>2020</v>
      </c>
      <c r="R743" s="166">
        <f>IF(ISBLANK(Table1[[#This Row],[Date]]),"",Table1[[#This Row],[Date]]-WEEKDAY(Table1[[#This Row],[Date]],2)+1)</f>
        <v>44053</v>
      </c>
      <c r="S743" s="131">
        <f>IF(ISBLANK(Table1[[#This Row],[Date]]),"",DATE(Table1[[#This Row],[Date_Year]],Table1[[#This Row],[Date_Month]],1))</f>
        <v>44044</v>
      </c>
    </row>
    <row r="744" spans="2:19" ht="15.75" x14ac:dyDescent="0.25">
      <c r="B744" s="133">
        <v>44057</v>
      </c>
      <c r="C744" s="128" t="s">
        <v>263</v>
      </c>
      <c r="D744" s="128" t="s">
        <v>46</v>
      </c>
      <c r="E744" s="128" t="str" cm="1">
        <f t="array" ref="E744">IFERROR(INDEX(SubcategoriesTable[Subcategory name],MATCH(Table1[[#This Row],[Category]],SubcategoriesTable[Category name],0),0),"")</f>
        <v>Variable</v>
      </c>
      <c r="F744" s="134">
        <v>-36.200000000000003</v>
      </c>
      <c r="G744" s="167" t="str">
        <f>_xlfn.XLOOKUP(Table1[[#This Row],[Account_ID]], Accounts[ID], Accounts[Account nickname], "Unknown")</f>
        <v>Discover it chrome Card</v>
      </c>
      <c r="H744" s="137" t="str">
        <f>_xlfn.XLOOKUP(Table1[[#This Row],[Account_ID]], Accounts[ID], Accounts[Account'#], "Unknown")</f>
        <v>7328</v>
      </c>
      <c r="I744" s="168" t="str">
        <f>_xlfn.XLOOKUP(Table1[[#This Row],[Institution_ID]], Institutions[ID], Institutions[Institution nickname], "Unknown")</f>
        <v>Discover</v>
      </c>
      <c r="J744" s="139" t="s">
        <v>796</v>
      </c>
      <c r="K744" s="129" t="s">
        <v>110</v>
      </c>
      <c r="L744" s="129" t="s">
        <v>108</v>
      </c>
      <c r="M744" s="130" t="str" cm="1">
        <f t="array" ref="M744">IFERROR(INDEX(CategoriesTable[Category type],MATCH(Table1[[#This Row],[Category]],CategoriesTable[Category name],0),0),"")</f>
        <v>Expense</v>
      </c>
      <c r="N744" s="130" t="str" cm="1">
        <f t="array" ref="N744">IFERROR(INDEX(SubcategoriesTable[Subcategory name],MATCH(Table1[[#This Row],[Category]],SubcategoriesTable[Category name],0),0),"")</f>
        <v>Variable</v>
      </c>
      <c r="O744" s="130">
        <v>14</v>
      </c>
      <c r="P744" s="130">
        <f>MONTH(Table1[[#This Row],[Date]])</f>
        <v>8</v>
      </c>
      <c r="Q744" s="130">
        <v>2020</v>
      </c>
      <c r="R744" s="166">
        <f>IF(ISBLANK(Table1[[#This Row],[Date]]),"",Table1[[#This Row],[Date]]-WEEKDAY(Table1[[#This Row],[Date]],2)+1)</f>
        <v>44053</v>
      </c>
      <c r="S744" s="131">
        <f>IF(ISBLANK(Table1[[#This Row],[Date]]),"",DATE(Table1[[#This Row],[Date_Year]],Table1[[#This Row],[Date_Month]],1))</f>
        <v>44044</v>
      </c>
    </row>
    <row r="745" spans="2:19" ht="15.75" x14ac:dyDescent="0.25">
      <c r="B745" s="133">
        <v>44055</v>
      </c>
      <c r="C745" s="128" t="s">
        <v>119</v>
      </c>
      <c r="D745" s="128" t="s">
        <v>52</v>
      </c>
      <c r="E745" s="128" t="str" cm="1">
        <f t="array" ref="E745">IFERROR(INDEX(SubcategoriesTable[Subcategory name],MATCH(Table1[[#This Row],[Category]],SubcategoriesTable[Category name],0),0),"")</f>
        <v>Variable</v>
      </c>
      <c r="F745" s="134">
        <v>-22.16</v>
      </c>
      <c r="G745" s="167" t="str">
        <f>_xlfn.XLOOKUP(Table1[[#This Row],[Account_ID]], Accounts[ID], Accounts[Account nickname], "Unknown")</f>
        <v>Discover it chrome Card</v>
      </c>
      <c r="H745" s="137" t="str">
        <f>_xlfn.XLOOKUP(Table1[[#This Row],[Account_ID]], Accounts[ID], Accounts[Account'#], "Unknown")</f>
        <v>7328</v>
      </c>
      <c r="I745" s="168" t="str">
        <f>_xlfn.XLOOKUP(Table1[[#This Row],[Institution_ID]], Institutions[ID], Institutions[Institution nickname], "Unknown")</f>
        <v>Discover</v>
      </c>
      <c r="J745" s="139" t="s">
        <v>797</v>
      </c>
      <c r="K745" s="129" t="s">
        <v>110</v>
      </c>
      <c r="L745" s="129" t="s">
        <v>108</v>
      </c>
      <c r="M745" s="130" t="str" cm="1">
        <f t="array" ref="M745">IFERROR(INDEX(CategoriesTable[Category type],MATCH(Table1[[#This Row],[Category]],CategoriesTable[Category name],0),0),"")</f>
        <v>Expense</v>
      </c>
      <c r="N745" s="130" t="str" cm="1">
        <f t="array" ref="N745">IFERROR(INDEX(SubcategoriesTable[Subcategory name],MATCH(Table1[[#This Row],[Category]],SubcategoriesTable[Category name],0),0),"")</f>
        <v>Variable</v>
      </c>
      <c r="O745" s="130">
        <v>12</v>
      </c>
      <c r="P745" s="130">
        <f>MONTH(Table1[[#This Row],[Date]])</f>
        <v>8</v>
      </c>
      <c r="Q745" s="130">
        <v>2020</v>
      </c>
      <c r="R745" s="166">
        <f>IF(ISBLANK(Table1[[#This Row],[Date]]),"",Table1[[#This Row],[Date]]-WEEKDAY(Table1[[#This Row],[Date]],2)+1)</f>
        <v>44053</v>
      </c>
      <c r="S745" s="131">
        <f>IF(ISBLANK(Table1[[#This Row],[Date]]),"",DATE(Table1[[#This Row],[Date_Year]],Table1[[#This Row],[Date_Month]],1))</f>
        <v>44044</v>
      </c>
    </row>
    <row r="746" spans="2:19" ht="15.75" x14ac:dyDescent="0.25">
      <c r="B746" s="133">
        <v>44055</v>
      </c>
      <c r="C746" s="128" t="s">
        <v>798</v>
      </c>
      <c r="D746" s="128" t="s">
        <v>50</v>
      </c>
      <c r="E746" s="128" t="str" cm="1">
        <f t="array" ref="E746">IFERROR(INDEX(SubcategoriesTable[Subcategory name],MATCH(Table1[[#This Row],[Category]],SubcategoriesTable[Category name],0),0),"")</f>
        <v>Variable</v>
      </c>
      <c r="F746" s="134">
        <v>200</v>
      </c>
      <c r="G746" s="167" t="str">
        <f>_xlfn.XLOOKUP(Table1[[#This Row],[Account_ID]], Accounts[ID], Accounts[Account nickname], "Unknown")</f>
        <v>Discover it chrome Card</v>
      </c>
      <c r="H746" s="137" t="str">
        <f>_xlfn.XLOOKUP(Table1[[#This Row],[Account_ID]], Accounts[ID], Accounts[Account'#], "Unknown")</f>
        <v>7328</v>
      </c>
      <c r="I746" s="168" t="str">
        <f>_xlfn.XLOOKUP(Table1[[#This Row],[Institution_ID]], Institutions[ID], Institutions[Institution nickname], "Unknown")</f>
        <v>Discover</v>
      </c>
      <c r="J746" s="139" t="s">
        <v>799</v>
      </c>
      <c r="K746" s="129" t="s">
        <v>110</v>
      </c>
      <c r="L746" s="129" t="s">
        <v>108</v>
      </c>
      <c r="M746" s="130" t="str" cm="1">
        <f t="array" ref="M746">IFERROR(INDEX(CategoriesTable[Category type],MATCH(Table1[[#This Row],[Category]],CategoriesTable[Category name],0),0),"")</f>
        <v>Transfer</v>
      </c>
      <c r="N746" s="130" t="str" cm="1">
        <f t="array" ref="N746">IFERROR(INDEX(SubcategoriesTable[Subcategory name],MATCH(Table1[[#This Row],[Category]],SubcategoriesTable[Category name],0),0),"")</f>
        <v>Variable</v>
      </c>
      <c r="O746" s="130">
        <v>12</v>
      </c>
      <c r="P746" s="130">
        <f>MONTH(Table1[[#This Row],[Date]])</f>
        <v>8</v>
      </c>
      <c r="Q746" s="130">
        <v>2020</v>
      </c>
      <c r="R746" s="166">
        <f>IF(ISBLANK(Table1[[#This Row],[Date]]),"",Table1[[#This Row],[Date]]-WEEKDAY(Table1[[#This Row],[Date]],2)+1)</f>
        <v>44053</v>
      </c>
      <c r="S746" s="131">
        <f>IF(ISBLANK(Table1[[#This Row],[Date]]),"",DATE(Table1[[#This Row],[Date_Year]],Table1[[#This Row],[Date_Month]],1))</f>
        <v>44044</v>
      </c>
    </row>
    <row r="747" spans="2:19" ht="15.75" x14ac:dyDescent="0.25">
      <c r="B747" s="133">
        <v>44055</v>
      </c>
      <c r="C747" s="128" t="s">
        <v>800</v>
      </c>
      <c r="D747" s="128" t="s">
        <v>61</v>
      </c>
      <c r="E747" s="128" t="str" cm="1">
        <f t="array" ref="E747">IFERROR(INDEX(SubcategoriesTable[Subcategory name],MATCH(Table1[[#This Row],[Category]],SubcategoriesTable[Category name],0),0),"")</f>
        <v>Variable</v>
      </c>
      <c r="F747" s="134">
        <v>-35</v>
      </c>
      <c r="G747" s="167" t="str">
        <f>_xlfn.XLOOKUP(Table1[[#This Row],[Account_ID]], Accounts[ID], Accounts[Account nickname], "Unknown")</f>
        <v>Discover it chrome Card</v>
      </c>
      <c r="H747" s="137" t="str">
        <f>_xlfn.XLOOKUP(Table1[[#This Row],[Account_ID]], Accounts[ID], Accounts[Account'#], "Unknown")</f>
        <v>7328</v>
      </c>
      <c r="I747" s="168" t="str">
        <f>_xlfn.XLOOKUP(Table1[[#This Row],[Institution_ID]], Institutions[ID], Institutions[Institution nickname], "Unknown")</f>
        <v>Discover</v>
      </c>
      <c r="J747" s="139" t="s">
        <v>801</v>
      </c>
      <c r="K747" s="129" t="s">
        <v>110</v>
      </c>
      <c r="L747" s="129" t="s">
        <v>108</v>
      </c>
      <c r="M747" s="130" t="str" cm="1">
        <f t="array" ref="M747">IFERROR(INDEX(CategoriesTable[Category type],MATCH(Table1[[#This Row],[Category]],CategoriesTable[Category name],0),0),"")</f>
        <v>Expense</v>
      </c>
      <c r="N747" s="130" t="str" cm="1">
        <f t="array" ref="N747">IFERROR(INDEX(SubcategoriesTable[Subcategory name],MATCH(Table1[[#This Row],[Category]],SubcategoriesTable[Category name],0),0),"")</f>
        <v>Variable</v>
      </c>
      <c r="O747" s="130">
        <v>12</v>
      </c>
      <c r="P747" s="130">
        <f>MONTH(Table1[[#This Row],[Date]])</f>
        <v>8</v>
      </c>
      <c r="Q747" s="130">
        <v>2020</v>
      </c>
      <c r="R747" s="166">
        <f>IF(ISBLANK(Table1[[#This Row],[Date]]),"",Table1[[#This Row],[Date]]-WEEKDAY(Table1[[#This Row],[Date]],2)+1)</f>
        <v>44053</v>
      </c>
      <c r="S747" s="131">
        <f>IF(ISBLANK(Table1[[#This Row],[Date]]),"",DATE(Table1[[#This Row],[Date_Year]],Table1[[#This Row],[Date_Month]],1))</f>
        <v>44044</v>
      </c>
    </row>
    <row r="748" spans="2:19" ht="15.75" x14ac:dyDescent="0.25">
      <c r="B748" s="133">
        <v>44055</v>
      </c>
      <c r="C748" s="128" t="s">
        <v>793</v>
      </c>
      <c r="D748" s="128" t="s">
        <v>57</v>
      </c>
      <c r="E748" s="128" t="str" cm="1">
        <f t="array" ref="E748">IFERROR(INDEX(SubcategoriesTable[Subcategory name],MATCH(Table1[[#This Row],[Category]],SubcategoriesTable[Category name],0),0),"")</f>
        <v>Variable</v>
      </c>
      <c r="F748" s="134">
        <v>-200</v>
      </c>
      <c r="G748" s="167" t="str">
        <f>_xlfn.XLOOKUP(Table1[[#This Row],[Account_ID]], Accounts[ID], Accounts[Account nickname], "Unknown")</f>
        <v>Discover it chrome Card</v>
      </c>
      <c r="H748" s="137" t="str">
        <f>_xlfn.XLOOKUP(Table1[[#This Row],[Account_ID]], Accounts[ID], Accounts[Account'#], "Unknown")</f>
        <v>7328</v>
      </c>
      <c r="I748" s="168" t="str">
        <f>_xlfn.XLOOKUP(Table1[[#This Row],[Institution_ID]], Institutions[ID], Institutions[Institution nickname], "Unknown")</f>
        <v>Discover</v>
      </c>
      <c r="J748" s="139" t="s">
        <v>802</v>
      </c>
      <c r="K748" s="129" t="s">
        <v>110</v>
      </c>
      <c r="L748" s="129" t="s">
        <v>108</v>
      </c>
      <c r="M748" s="130" t="str" cm="1">
        <f t="array" ref="M748">IFERROR(INDEX(CategoriesTable[Category type],MATCH(Table1[[#This Row],[Category]],CategoriesTable[Category name],0),0),"")</f>
        <v>Transfer</v>
      </c>
      <c r="N748" s="130" t="str" cm="1">
        <f t="array" ref="N748">IFERROR(INDEX(SubcategoriesTable[Subcategory name],MATCH(Table1[[#This Row],[Category]],SubcategoriesTable[Category name],0),0),"")</f>
        <v>Variable</v>
      </c>
      <c r="O748" s="130">
        <v>12</v>
      </c>
      <c r="P748" s="130">
        <f>MONTH(Table1[[#This Row],[Date]])</f>
        <v>8</v>
      </c>
      <c r="Q748" s="130">
        <v>2020</v>
      </c>
      <c r="R748" s="166">
        <f>IF(ISBLANK(Table1[[#This Row],[Date]]),"",Table1[[#This Row],[Date]]-WEEKDAY(Table1[[#This Row],[Date]],2)+1)</f>
        <v>44053</v>
      </c>
      <c r="S748" s="131">
        <f>IF(ISBLANK(Table1[[#This Row],[Date]]),"",DATE(Table1[[#This Row],[Date_Year]],Table1[[#This Row],[Date_Month]],1))</f>
        <v>44044</v>
      </c>
    </row>
    <row r="749" spans="2:19" ht="15.75" x14ac:dyDescent="0.25">
      <c r="B749" s="133">
        <v>44054</v>
      </c>
      <c r="C749" s="128" t="s">
        <v>803</v>
      </c>
      <c r="D749" s="128" t="s">
        <v>48</v>
      </c>
      <c r="E749" s="128" t="str" cm="1">
        <f t="array" ref="E749">IFERROR(INDEX(SubcategoriesTable[Subcategory name],MATCH(Table1[[#This Row],[Category]],SubcategoriesTable[Category name],0),0),"")</f>
        <v>Variable</v>
      </c>
      <c r="F749" s="134">
        <v>-0.62</v>
      </c>
      <c r="G749" s="167" t="str">
        <f>_xlfn.XLOOKUP(Table1[[#This Row],[Account_ID]], Accounts[ID], Accounts[Account nickname], "Unknown")</f>
        <v>Discover it chrome Card</v>
      </c>
      <c r="H749" s="137" t="str">
        <f>_xlfn.XLOOKUP(Table1[[#This Row],[Account_ID]], Accounts[ID], Accounts[Account'#], "Unknown")</f>
        <v>7328</v>
      </c>
      <c r="I749" s="168" t="str">
        <f>_xlfn.XLOOKUP(Table1[[#This Row],[Institution_ID]], Institutions[ID], Institutions[Institution nickname], "Unknown")</f>
        <v>Discover</v>
      </c>
      <c r="J749" s="139" t="s">
        <v>804</v>
      </c>
      <c r="K749" s="129" t="s">
        <v>110</v>
      </c>
      <c r="L749" s="129" t="s">
        <v>108</v>
      </c>
      <c r="M749" s="130" t="str" cm="1">
        <f t="array" ref="M749">IFERROR(INDEX(CategoriesTable[Category type],MATCH(Table1[[#This Row],[Category]],CategoriesTable[Category name],0),0),"")</f>
        <v>Expense</v>
      </c>
      <c r="N749" s="130" t="str" cm="1">
        <f t="array" ref="N749">IFERROR(INDEX(SubcategoriesTable[Subcategory name],MATCH(Table1[[#This Row],[Category]],SubcategoriesTable[Category name],0),0),"")</f>
        <v>Variable</v>
      </c>
      <c r="O749" s="130">
        <v>11</v>
      </c>
      <c r="P749" s="130">
        <f>MONTH(Table1[[#This Row],[Date]])</f>
        <v>8</v>
      </c>
      <c r="Q749" s="130">
        <v>2020</v>
      </c>
      <c r="R749" s="166">
        <f>IF(ISBLANK(Table1[[#This Row],[Date]]),"",Table1[[#This Row],[Date]]-WEEKDAY(Table1[[#This Row],[Date]],2)+1)</f>
        <v>44053</v>
      </c>
      <c r="S749" s="131">
        <f>IF(ISBLANK(Table1[[#This Row],[Date]]),"",DATE(Table1[[#This Row],[Date_Year]],Table1[[#This Row],[Date_Month]],1))</f>
        <v>44044</v>
      </c>
    </row>
    <row r="750" spans="2:19" ht="15.75" x14ac:dyDescent="0.25">
      <c r="B750" s="133">
        <v>44054</v>
      </c>
      <c r="C750" s="128" t="s">
        <v>805</v>
      </c>
      <c r="D750" s="128" t="s">
        <v>45</v>
      </c>
      <c r="E750" s="128" t="str" cm="1">
        <f t="array" ref="E750">IFERROR(INDEX(SubcategoriesTable[Subcategory name],MATCH(Table1[[#This Row],[Category]],SubcategoriesTable[Category name],0),0),"")</f>
        <v>Variable</v>
      </c>
      <c r="F750" s="134">
        <v>-18.649999999999999</v>
      </c>
      <c r="G750" s="167" t="str">
        <f>_xlfn.XLOOKUP(Table1[[#This Row],[Account_ID]], Accounts[ID], Accounts[Account nickname], "Unknown")</f>
        <v>Discover it chrome Card</v>
      </c>
      <c r="H750" s="137" t="str">
        <f>_xlfn.XLOOKUP(Table1[[#This Row],[Account_ID]], Accounts[ID], Accounts[Account'#], "Unknown")</f>
        <v>7328</v>
      </c>
      <c r="I750" s="168" t="str">
        <f>_xlfn.XLOOKUP(Table1[[#This Row],[Institution_ID]], Institutions[ID], Institutions[Institution nickname], "Unknown")</f>
        <v>Discover</v>
      </c>
      <c r="J750" s="139" t="s">
        <v>806</v>
      </c>
      <c r="K750" s="129" t="s">
        <v>110</v>
      </c>
      <c r="L750" s="129" t="s">
        <v>108</v>
      </c>
      <c r="M750" s="130" t="str" cm="1">
        <f t="array" ref="M750">IFERROR(INDEX(CategoriesTable[Category type],MATCH(Table1[[#This Row],[Category]],CategoriesTable[Category name],0),0),"")</f>
        <v>Expense</v>
      </c>
      <c r="N750" s="130" t="str" cm="1">
        <f t="array" ref="N750">IFERROR(INDEX(SubcategoriesTable[Subcategory name],MATCH(Table1[[#This Row],[Category]],SubcategoriesTable[Category name],0),0),"")</f>
        <v>Variable</v>
      </c>
      <c r="O750" s="130">
        <v>11</v>
      </c>
      <c r="P750" s="130">
        <f>MONTH(Table1[[#This Row],[Date]])</f>
        <v>8</v>
      </c>
      <c r="Q750" s="130">
        <v>2020</v>
      </c>
      <c r="R750" s="166">
        <f>IF(ISBLANK(Table1[[#This Row],[Date]]),"",Table1[[#This Row],[Date]]-WEEKDAY(Table1[[#This Row],[Date]],2)+1)</f>
        <v>44053</v>
      </c>
      <c r="S750" s="131">
        <f>IF(ISBLANK(Table1[[#This Row],[Date]]),"",DATE(Table1[[#This Row],[Date_Year]],Table1[[#This Row],[Date_Month]],1))</f>
        <v>44044</v>
      </c>
    </row>
    <row r="751" spans="2:19" ht="15.75" x14ac:dyDescent="0.25">
      <c r="B751" s="133">
        <v>44054</v>
      </c>
      <c r="C751" s="128" t="s">
        <v>665</v>
      </c>
      <c r="D751" s="128" t="s">
        <v>46</v>
      </c>
      <c r="E751" s="128" t="str" cm="1">
        <f t="array" ref="E751">IFERROR(INDEX(SubcategoriesTable[Subcategory name],MATCH(Table1[[#This Row],[Category]],SubcategoriesTable[Category name],0),0),"")</f>
        <v>Variable</v>
      </c>
      <c r="F751" s="134">
        <v>-15</v>
      </c>
      <c r="G751" s="167" t="str">
        <f>_xlfn.XLOOKUP(Table1[[#This Row],[Account_ID]], Accounts[ID], Accounts[Account nickname], "Unknown")</f>
        <v>Discover it chrome Card</v>
      </c>
      <c r="H751" s="137" t="str">
        <f>_xlfn.XLOOKUP(Table1[[#This Row],[Account_ID]], Accounts[ID], Accounts[Account'#], "Unknown")</f>
        <v>7328</v>
      </c>
      <c r="I751" s="168" t="str">
        <f>_xlfn.XLOOKUP(Table1[[#This Row],[Institution_ID]], Institutions[ID], Institutions[Institution nickname], "Unknown")</f>
        <v>Discover</v>
      </c>
      <c r="J751" s="139" t="s">
        <v>807</v>
      </c>
      <c r="K751" s="129" t="s">
        <v>110</v>
      </c>
      <c r="L751" s="129" t="s">
        <v>108</v>
      </c>
      <c r="M751" s="130" t="str" cm="1">
        <f t="array" ref="M751">IFERROR(INDEX(CategoriesTable[Category type],MATCH(Table1[[#This Row],[Category]],CategoriesTable[Category name],0),0),"")</f>
        <v>Expense</v>
      </c>
      <c r="N751" s="130" t="str" cm="1">
        <f t="array" ref="N751">IFERROR(INDEX(SubcategoriesTable[Subcategory name],MATCH(Table1[[#This Row],[Category]],SubcategoriesTable[Category name],0),0),"")</f>
        <v>Variable</v>
      </c>
      <c r="O751" s="130">
        <v>11</v>
      </c>
      <c r="P751" s="130">
        <f>MONTH(Table1[[#This Row],[Date]])</f>
        <v>8</v>
      </c>
      <c r="Q751" s="130">
        <v>2020</v>
      </c>
      <c r="R751" s="166">
        <f>IF(ISBLANK(Table1[[#This Row],[Date]]),"",Table1[[#This Row],[Date]]-WEEKDAY(Table1[[#This Row],[Date]],2)+1)</f>
        <v>44053</v>
      </c>
      <c r="S751" s="131">
        <f>IF(ISBLANK(Table1[[#This Row],[Date]]),"",DATE(Table1[[#This Row],[Date_Year]],Table1[[#This Row],[Date_Month]],1))</f>
        <v>44044</v>
      </c>
    </row>
    <row r="752" spans="2:19" ht="15.75" x14ac:dyDescent="0.25">
      <c r="B752" s="133">
        <v>44054</v>
      </c>
      <c r="C752" s="128" t="s">
        <v>808</v>
      </c>
      <c r="D752" s="128" t="s">
        <v>45</v>
      </c>
      <c r="E752" s="128" t="str" cm="1">
        <f t="array" ref="E752">IFERROR(INDEX(SubcategoriesTable[Subcategory name],MATCH(Table1[[#This Row],[Category]],SubcategoriesTable[Category name],0),0),"")</f>
        <v>Variable</v>
      </c>
      <c r="F752" s="134">
        <v>-3.78</v>
      </c>
      <c r="G752" s="167" t="str">
        <f>_xlfn.XLOOKUP(Table1[[#This Row],[Account_ID]], Accounts[ID], Accounts[Account nickname], "Unknown")</f>
        <v>Discover it chrome Card</v>
      </c>
      <c r="H752" s="137" t="str">
        <f>_xlfn.XLOOKUP(Table1[[#This Row],[Account_ID]], Accounts[ID], Accounts[Account'#], "Unknown")</f>
        <v>7328</v>
      </c>
      <c r="I752" s="168" t="str">
        <f>_xlfn.XLOOKUP(Table1[[#This Row],[Institution_ID]], Institutions[ID], Institutions[Institution nickname], "Unknown")</f>
        <v>Discover</v>
      </c>
      <c r="J752" s="171" t="s">
        <v>809</v>
      </c>
      <c r="K752" s="129" t="s">
        <v>110</v>
      </c>
      <c r="L752" s="129" t="s">
        <v>108</v>
      </c>
      <c r="M752" s="130" t="str" cm="1">
        <f t="array" ref="M752">IFERROR(INDEX(CategoriesTable[Category type],MATCH(Table1[[#This Row],[Category]],CategoriesTable[Category name],0),0),"")</f>
        <v>Expense</v>
      </c>
      <c r="N752" s="130" t="str" cm="1">
        <f t="array" ref="N752">IFERROR(INDEX(SubcategoriesTable[Subcategory name],MATCH(Table1[[#This Row],[Category]],SubcategoriesTable[Category name],0),0),"")</f>
        <v>Variable</v>
      </c>
      <c r="O752" s="130">
        <v>11</v>
      </c>
      <c r="P752" s="130">
        <f>MONTH(Table1[[#This Row],[Date]])</f>
        <v>8</v>
      </c>
      <c r="Q752" s="130">
        <v>2020</v>
      </c>
      <c r="R752" s="166">
        <f>IF(ISBLANK(Table1[[#This Row],[Date]]),"",Table1[[#This Row],[Date]]-WEEKDAY(Table1[[#This Row],[Date]],2)+1)</f>
        <v>44053</v>
      </c>
      <c r="S752" s="131">
        <f>IF(ISBLANK(Table1[[#This Row],[Date]]),"",DATE(Table1[[#This Row],[Date_Year]],Table1[[#This Row],[Date_Month]],1))</f>
        <v>44044</v>
      </c>
    </row>
    <row r="753" spans="2:19" ht="15.75" x14ac:dyDescent="0.25">
      <c r="B753" s="133">
        <v>44054</v>
      </c>
      <c r="C753" s="128" t="s">
        <v>146</v>
      </c>
      <c r="D753" s="128" t="s">
        <v>54</v>
      </c>
      <c r="E753" s="128" t="str" cm="1">
        <f t="array" ref="E753">IFERROR(INDEX(SubcategoriesTable[Subcategory name],MATCH(Table1[[#This Row],[Category]],SubcategoriesTable[Category name],0),0),"")</f>
        <v>Fixed</v>
      </c>
      <c r="F753" s="134">
        <v>-117.01</v>
      </c>
      <c r="G753" s="167" t="str">
        <f>_xlfn.XLOOKUP(Table1[[#This Row],[Account_ID]], Accounts[ID], Accounts[Account nickname], "Unknown")</f>
        <v>Discover it chrome Card</v>
      </c>
      <c r="H753" s="137" t="str">
        <f>_xlfn.XLOOKUP(Table1[[#This Row],[Account_ID]], Accounts[ID], Accounts[Account'#], "Unknown")</f>
        <v>7328</v>
      </c>
      <c r="I753" s="168" t="str">
        <f>_xlfn.XLOOKUP(Table1[[#This Row],[Institution_ID]], Institutions[ID], Institutions[Institution nickname], "Unknown")</f>
        <v>Discover</v>
      </c>
      <c r="J753" s="139" t="s">
        <v>810</v>
      </c>
      <c r="K753" s="129" t="s">
        <v>110</v>
      </c>
      <c r="L753" s="129" t="s">
        <v>108</v>
      </c>
      <c r="M753" s="130" t="str" cm="1">
        <f t="array" ref="M753">IFERROR(INDEX(CategoriesTable[Category type],MATCH(Table1[[#This Row],[Category]],CategoriesTable[Category name],0),0),"")</f>
        <v>Expense</v>
      </c>
      <c r="N753" s="130" t="str" cm="1">
        <f t="array" ref="N753">IFERROR(INDEX(SubcategoriesTable[Subcategory name],MATCH(Table1[[#This Row],[Category]],SubcategoriesTable[Category name],0),0),"")</f>
        <v>Fixed</v>
      </c>
      <c r="O753" s="130">
        <v>11</v>
      </c>
      <c r="P753" s="130">
        <f>MONTH(Table1[[#This Row],[Date]])</f>
        <v>8</v>
      </c>
      <c r="Q753" s="130">
        <v>2020</v>
      </c>
      <c r="R753" s="166">
        <f>IF(ISBLANK(Table1[[#This Row],[Date]]),"",Table1[[#This Row],[Date]]-WEEKDAY(Table1[[#This Row],[Date]],2)+1)</f>
        <v>44053</v>
      </c>
      <c r="S753" s="131">
        <f>IF(ISBLANK(Table1[[#This Row],[Date]]),"",DATE(Table1[[#This Row],[Date_Year]],Table1[[#This Row],[Date_Month]],1))</f>
        <v>44044</v>
      </c>
    </row>
    <row r="754" spans="2:19" ht="15.75" x14ac:dyDescent="0.25">
      <c r="B754" s="133">
        <v>44054</v>
      </c>
      <c r="C754" s="128" t="s">
        <v>678</v>
      </c>
      <c r="D754" s="128" t="s">
        <v>58</v>
      </c>
      <c r="E754" s="128" t="str" cm="1">
        <f t="array" ref="E754">IFERROR(INDEX(SubcategoriesTable[Subcategory name],MATCH(Table1[[#This Row],[Category]],SubcategoriesTable[Category name],0),0),"")</f>
        <v>Fixed</v>
      </c>
      <c r="F754" s="134">
        <v>-34.99</v>
      </c>
      <c r="G754" s="167" t="str">
        <f>_xlfn.XLOOKUP(Table1[[#This Row],[Account_ID]], Accounts[ID], Accounts[Account nickname], "Unknown")</f>
        <v>Discover it chrome Card</v>
      </c>
      <c r="H754" s="137" t="str">
        <f>_xlfn.XLOOKUP(Table1[[#This Row],[Account_ID]], Accounts[ID], Accounts[Account'#], "Unknown")</f>
        <v>7328</v>
      </c>
      <c r="I754" s="168" t="str">
        <f>_xlfn.XLOOKUP(Table1[[#This Row],[Institution_ID]], Institutions[ID], Institutions[Institution nickname], "Unknown")</f>
        <v>Discover</v>
      </c>
      <c r="J754" s="139" t="s">
        <v>811</v>
      </c>
      <c r="K754" s="129" t="s">
        <v>110</v>
      </c>
      <c r="L754" s="129" t="s">
        <v>108</v>
      </c>
      <c r="M754" s="130" t="str" cm="1">
        <f t="array" ref="M754">IFERROR(INDEX(CategoriesTable[Category type],MATCH(Table1[[#This Row],[Category]],CategoriesTable[Category name],0),0),"")</f>
        <v>Expense</v>
      </c>
      <c r="N754" s="130" t="str" cm="1">
        <f t="array" ref="N754">IFERROR(INDEX(SubcategoriesTable[Subcategory name],MATCH(Table1[[#This Row],[Category]],SubcategoriesTable[Category name],0),0),"")</f>
        <v>Fixed</v>
      </c>
      <c r="O754" s="130">
        <v>11</v>
      </c>
      <c r="P754" s="130">
        <f>MONTH(Table1[[#This Row],[Date]])</f>
        <v>8</v>
      </c>
      <c r="Q754" s="130">
        <v>2020</v>
      </c>
      <c r="R754" s="166">
        <f>IF(ISBLANK(Table1[[#This Row],[Date]]),"",Table1[[#This Row],[Date]]-WEEKDAY(Table1[[#This Row],[Date]],2)+1)</f>
        <v>44053</v>
      </c>
      <c r="S754" s="131">
        <f>IF(ISBLANK(Table1[[#This Row],[Date]]),"",DATE(Table1[[#This Row],[Date_Year]],Table1[[#This Row],[Date_Month]],1))</f>
        <v>44044</v>
      </c>
    </row>
    <row r="755" spans="2:19" ht="15.75" x14ac:dyDescent="0.25">
      <c r="B755" s="133">
        <v>44053</v>
      </c>
      <c r="C755" s="128" t="s">
        <v>1183</v>
      </c>
      <c r="D755" s="128" t="s">
        <v>1204</v>
      </c>
      <c r="E755" s="128" t="str" cm="1">
        <f t="array" ref="E755">IFERROR(INDEX(SubcategoriesTable[Subcategory name],MATCH(Table1[[#This Row],[Category]],SubcategoriesTable[Category name],0),0),"")</f>
        <v>Variable</v>
      </c>
      <c r="F755" s="134">
        <v>-400</v>
      </c>
      <c r="G755" s="167" t="str">
        <f>_xlfn.XLOOKUP(Table1[[#This Row],[Account_ID]], Accounts[ID], Accounts[Account nickname], "Unknown")</f>
        <v>EVERYDAY CHECKING</v>
      </c>
      <c r="H755" s="137" t="str">
        <f>_xlfn.XLOOKUP(Table1[[#This Row],[Account_ID]], Accounts[ID], Accounts[Account'#], "Unknown")</f>
        <v>4636</v>
      </c>
      <c r="I755" s="168" t="str">
        <f>_xlfn.XLOOKUP(Table1[[#This Row],[Institution_ID]], Institutions[ID], Institutions[Institution nickname], "Unknown")</f>
        <v>Wells Fargo</v>
      </c>
      <c r="J755" s="139" t="s">
        <v>1557</v>
      </c>
      <c r="K755" s="129" t="s">
        <v>1229</v>
      </c>
      <c r="L755" s="129" t="s">
        <v>1228</v>
      </c>
      <c r="M755" s="130" t="str" cm="1">
        <f t="array" ref="M755">IFERROR(INDEX(CategoriesTable[Category type],MATCH(Table1[[#This Row],[Category]],CategoriesTable[Category name],0),0),"")</f>
        <v>Savings</v>
      </c>
      <c r="N755" s="130" t="str" cm="1">
        <f t="array" ref="N755">IFERROR(INDEX(SubcategoriesTable[Subcategory name],MATCH(Table1[[#This Row],[Category]],SubcategoriesTable[Category name],0),0),"")</f>
        <v>Variable</v>
      </c>
      <c r="O755" s="130">
        <v>10</v>
      </c>
      <c r="P755" s="130">
        <f>MONTH(Table1[[#This Row],[Date]])</f>
        <v>8</v>
      </c>
      <c r="Q755" s="130">
        <v>2020</v>
      </c>
      <c r="R755" s="166">
        <f>IF(ISBLANK(Table1[[#This Row],[Date]]),"",Table1[[#This Row],[Date]]-WEEKDAY(Table1[[#This Row],[Date]],2)+1)</f>
        <v>44053</v>
      </c>
      <c r="S755" s="131">
        <f>IF(ISBLANK(Table1[[#This Row],[Date]]),"",DATE(Table1[[#This Row],[Date_Year]],Table1[[#This Row],[Date_Month]],1))</f>
        <v>44044</v>
      </c>
    </row>
    <row r="756" spans="2:19" ht="15.75" x14ac:dyDescent="0.25">
      <c r="B756" s="133">
        <v>44053</v>
      </c>
      <c r="C756" s="128" t="s">
        <v>812</v>
      </c>
      <c r="D756" s="128" t="s">
        <v>46</v>
      </c>
      <c r="E756" s="128" t="str" cm="1">
        <f t="array" ref="E756">IFERROR(INDEX(SubcategoriesTable[Subcategory name],MATCH(Table1[[#This Row],[Category]],SubcategoriesTable[Category name],0),0),"")</f>
        <v>Variable</v>
      </c>
      <c r="F756" s="134">
        <v>-6.25</v>
      </c>
      <c r="G756" s="167" t="str">
        <f>_xlfn.XLOOKUP(Table1[[#This Row],[Account_ID]], Accounts[ID], Accounts[Account nickname], "Unknown")</f>
        <v>Discover it chrome Card</v>
      </c>
      <c r="H756" s="137" t="str">
        <f>_xlfn.XLOOKUP(Table1[[#This Row],[Account_ID]], Accounts[ID], Accounts[Account'#], "Unknown")</f>
        <v>7328</v>
      </c>
      <c r="I756" s="168" t="str">
        <f>_xlfn.XLOOKUP(Table1[[#This Row],[Institution_ID]], Institutions[ID], Institutions[Institution nickname], "Unknown")</f>
        <v>Discover</v>
      </c>
      <c r="J756" s="139" t="s">
        <v>813</v>
      </c>
      <c r="K756" s="129" t="s">
        <v>110</v>
      </c>
      <c r="L756" s="129" t="s">
        <v>108</v>
      </c>
      <c r="M756" s="130" t="str" cm="1">
        <f t="array" ref="M756">IFERROR(INDEX(CategoriesTable[Category type],MATCH(Table1[[#This Row],[Category]],CategoriesTable[Category name],0),0),"")</f>
        <v>Expense</v>
      </c>
      <c r="N756" s="130" t="str" cm="1">
        <f t="array" ref="N756">IFERROR(INDEX(SubcategoriesTable[Subcategory name],MATCH(Table1[[#This Row],[Category]],SubcategoriesTable[Category name],0),0),"")</f>
        <v>Variable</v>
      </c>
      <c r="O756" s="130">
        <v>10</v>
      </c>
      <c r="P756" s="130">
        <f>MONTH(Table1[[#This Row],[Date]])</f>
        <v>8</v>
      </c>
      <c r="Q756" s="130">
        <v>2020</v>
      </c>
      <c r="R756" s="166">
        <f>IF(ISBLANK(Table1[[#This Row],[Date]]),"",Table1[[#This Row],[Date]]-WEEKDAY(Table1[[#This Row],[Date]],2)+1)</f>
        <v>44053</v>
      </c>
      <c r="S756" s="131">
        <f>IF(ISBLANK(Table1[[#This Row],[Date]]),"",DATE(Table1[[#This Row],[Date_Year]],Table1[[#This Row],[Date_Month]],1))</f>
        <v>44044</v>
      </c>
    </row>
    <row r="757" spans="2:19" ht="15.75" x14ac:dyDescent="0.25">
      <c r="B757" s="133">
        <v>44053</v>
      </c>
      <c r="C757" s="128" t="s">
        <v>163</v>
      </c>
      <c r="D757" s="128" t="s">
        <v>54</v>
      </c>
      <c r="E757" s="128" t="str" cm="1">
        <f t="array" ref="E757">IFERROR(INDEX(SubcategoriesTable[Subcategory name],MATCH(Table1[[#This Row],[Category]],SubcategoriesTable[Category name],0),0),"")</f>
        <v>Fixed</v>
      </c>
      <c r="F757" s="134">
        <v>-14.99</v>
      </c>
      <c r="G757" s="167" t="str">
        <f>_xlfn.XLOOKUP(Table1[[#This Row],[Account_ID]], Accounts[ID], Accounts[Account nickname], "Unknown")</f>
        <v>Discover it chrome Card</v>
      </c>
      <c r="H757" s="137" t="str">
        <f>_xlfn.XLOOKUP(Table1[[#This Row],[Account_ID]], Accounts[ID], Accounts[Account'#], "Unknown")</f>
        <v>7328</v>
      </c>
      <c r="I757" s="168" t="str">
        <f>_xlfn.XLOOKUP(Table1[[#This Row],[Institution_ID]], Institutions[ID], Institutions[Institution nickname], "Unknown")</f>
        <v>Discover</v>
      </c>
      <c r="J757" s="139" t="s">
        <v>814</v>
      </c>
      <c r="K757" s="129" t="s">
        <v>110</v>
      </c>
      <c r="L757" s="129" t="s">
        <v>108</v>
      </c>
      <c r="M757" s="130" t="str" cm="1">
        <f t="array" ref="M757">IFERROR(INDEX(CategoriesTable[Category type],MATCH(Table1[[#This Row],[Category]],CategoriesTable[Category name],0),0),"")</f>
        <v>Expense</v>
      </c>
      <c r="N757" s="130" t="str" cm="1">
        <f t="array" ref="N757">IFERROR(INDEX(SubcategoriesTable[Subcategory name],MATCH(Table1[[#This Row],[Category]],SubcategoriesTable[Category name],0),0),"")</f>
        <v>Fixed</v>
      </c>
      <c r="O757" s="130">
        <v>10</v>
      </c>
      <c r="P757" s="130">
        <f>MONTH(Table1[[#This Row],[Date]])</f>
        <v>8</v>
      </c>
      <c r="Q757" s="130">
        <v>2020</v>
      </c>
      <c r="R757" s="166">
        <f>IF(ISBLANK(Table1[[#This Row],[Date]]),"",Table1[[#This Row],[Date]]-WEEKDAY(Table1[[#This Row],[Date]],2)+1)</f>
        <v>44053</v>
      </c>
      <c r="S757" s="131">
        <f>IF(ISBLANK(Table1[[#This Row],[Date]]),"",DATE(Table1[[#This Row],[Date_Year]],Table1[[#This Row],[Date_Month]],1))</f>
        <v>44044</v>
      </c>
    </row>
    <row r="758" spans="2:19" ht="15.75" x14ac:dyDescent="0.25">
      <c r="B758" s="133">
        <v>44053</v>
      </c>
      <c r="C758" s="128" t="s">
        <v>113</v>
      </c>
      <c r="D758" s="128" t="s">
        <v>50</v>
      </c>
      <c r="E758" s="128" t="str" cm="1">
        <f t="array" ref="E758">IFERROR(INDEX(SubcategoriesTable[Subcategory name],MATCH(Table1[[#This Row],[Category]],SubcategoriesTable[Category name],0),0),"")</f>
        <v>Variable</v>
      </c>
      <c r="F758" s="134">
        <v>200</v>
      </c>
      <c r="G758" s="167" t="str">
        <f>_xlfn.XLOOKUP(Table1[[#This Row],[Account_ID]], Accounts[ID], Accounts[Account nickname], "Unknown")</f>
        <v>Discover it chrome Card</v>
      </c>
      <c r="H758" s="137" t="str">
        <f>_xlfn.XLOOKUP(Table1[[#This Row],[Account_ID]], Accounts[ID], Accounts[Account'#], "Unknown")</f>
        <v>7328</v>
      </c>
      <c r="I758" s="168" t="str">
        <f>_xlfn.XLOOKUP(Table1[[#This Row],[Institution_ID]], Institutions[ID], Institutions[Institution nickname], "Unknown")</f>
        <v>Discover</v>
      </c>
      <c r="J758" s="139" t="s">
        <v>815</v>
      </c>
      <c r="K758" s="129" t="s">
        <v>110</v>
      </c>
      <c r="L758" s="129" t="s">
        <v>108</v>
      </c>
      <c r="M758" s="130" t="str" cm="1">
        <f t="array" ref="M758">IFERROR(INDEX(CategoriesTable[Category type],MATCH(Table1[[#This Row],[Category]],CategoriesTable[Category name],0),0),"")</f>
        <v>Transfer</v>
      </c>
      <c r="N758" s="130" t="str" cm="1">
        <f t="array" ref="N758">IFERROR(INDEX(SubcategoriesTable[Subcategory name],MATCH(Table1[[#This Row],[Category]],SubcategoriesTable[Category name],0),0),"")</f>
        <v>Variable</v>
      </c>
      <c r="O758" s="130">
        <v>10</v>
      </c>
      <c r="P758" s="130">
        <f>MONTH(Table1[[#This Row],[Date]])</f>
        <v>8</v>
      </c>
      <c r="Q758" s="130">
        <v>2020</v>
      </c>
      <c r="R758" s="166">
        <f>IF(ISBLANK(Table1[[#This Row],[Date]]),"",Table1[[#This Row],[Date]]-WEEKDAY(Table1[[#This Row],[Date]],2)+1)</f>
        <v>44053</v>
      </c>
      <c r="S758" s="131">
        <f>IF(ISBLANK(Table1[[#This Row],[Date]]),"",DATE(Table1[[#This Row],[Date_Year]],Table1[[#This Row],[Date_Month]],1))</f>
        <v>44044</v>
      </c>
    </row>
    <row r="759" spans="2:19" ht="15.75" x14ac:dyDescent="0.25">
      <c r="B759" s="133">
        <v>44053</v>
      </c>
      <c r="C759" s="128" t="s">
        <v>816</v>
      </c>
      <c r="D759" s="128" t="s">
        <v>56</v>
      </c>
      <c r="E759" s="128" t="str" cm="1">
        <f t="array" ref="E759">IFERROR(INDEX(SubcategoriesTable[Subcategory name],MATCH(Table1[[#This Row],[Category]],SubcategoriesTable[Category name],0),0),"")</f>
        <v>Variable</v>
      </c>
      <c r="F759" s="134">
        <v>-1.05</v>
      </c>
      <c r="G759" s="167" t="str">
        <f>_xlfn.XLOOKUP(Table1[[#This Row],[Account_ID]], Accounts[ID], Accounts[Account nickname], "Unknown")</f>
        <v>Discover it chrome Card</v>
      </c>
      <c r="H759" s="137" t="str">
        <f>_xlfn.XLOOKUP(Table1[[#This Row],[Account_ID]], Accounts[ID], Accounts[Account'#], "Unknown")</f>
        <v>7328</v>
      </c>
      <c r="I759" s="168" t="str">
        <f>_xlfn.XLOOKUP(Table1[[#This Row],[Institution_ID]], Institutions[ID], Institutions[Institution nickname], "Unknown")</f>
        <v>Discover</v>
      </c>
      <c r="J759" s="139" t="s">
        <v>817</v>
      </c>
      <c r="K759" s="129" t="s">
        <v>110</v>
      </c>
      <c r="L759" s="129" t="s">
        <v>108</v>
      </c>
      <c r="M759" s="130" t="str" cm="1">
        <f t="array" ref="M759">IFERROR(INDEX(CategoriesTable[Category type],MATCH(Table1[[#This Row],[Category]],CategoriesTable[Category name],0),0),"")</f>
        <v>Expense</v>
      </c>
      <c r="N759" s="130" t="str" cm="1">
        <f t="array" ref="N759">IFERROR(INDEX(SubcategoriesTable[Subcategory name],MATCH(Table1[[#This Row],[Category]],SubcategoriesTable[Category name],0),0),"")</f>
        <v>Variable</v>
      </c>
      <c r="O759" s="130">
        <v>10</v>
      </c>
      <c r="P759" s="130">
        <f>MONTH(Table1[[#This Row],[Date]])</f>
        <v>8</v>
      </c>
      <c r="Q759" s="130">
        <v>2020</v>
      </c>
      <c r="R759" s="166">
        <f>IF(ISBLANK(Table1[[#This Row],[Date]]),"",Table1[[#This Row],[Date]]-WEEKDAY(Table1[[#This Row],[Date]],2)+1)</f>
        <v>44053</v>
      </c>
      <c r="S759" s="131">
        <f>IF(ISBLANK(Table1[[#This Row],[Date]]),"",DATE(Table1[[#This Row],[Date_Year]],Table1[[#This Row],[Date_Month]],1))</f>
        <v>44044</v>
      </c>
    </row>
    <row r="760" spans="2:19" ht="15.75" x14ac:dyDescent="0.25">
      <c r="B760" s="133">
        <v>44052</v>
      </c>
      <c r="C760" s="128" t="s">
        <v>818</v>
      </c>
      <c r="D760" s="128" t="s">
        <v>46</v>
      </c>
      <c r="E760" s="128" t="str" cm="1">
        <f t="array" ref="E760">IFERROR(INDEX(SubcategoriesTable[Subcategory name],MATCH(Table1[[#This Row],[Category]],SubcategoriesTable[Category name],0),0),"")</f>
        <v>Variable</v>
      </c>
      <c r="F760" s="134">
        <v>-5.01</v>
      </c>
      <c r="G760" s="167" t="str">
        <f>_xlfn.XLOOKUP(Table1[[#This Row],[Account_ID]], Accounts[ID], Accounts[Account nickname], "Unknown")</f>
        <v>Discover it chrome Card</v>
      </c>
      <c r="H760" s="137" t="str">
        <f>_xlfn.XLOOKUP(Table1[[#This Row],[Account_ID]], Accounts[ID], Accounts[Account'#], "Unknown")</f>
        <v>7328</v>
      </c>
      <c r="I760" s="168" t="str">
        <f>_xlfn.XLOOKUP(Table1[[#This Row],[Institution_ID]], Institutions[ID], Institutions[Institution nickname], "Unknown")</f>
        <v>Discover</v>
      </c>
      <c r="J760" s="139" t="s">
        <v>819</v>
      </c>
      <c r="K760" s="129" t="s">
        <v>110</v>
      </c>
      <c r="L760" s="129" t="s">
        <v>108</v>
      </c>
      <c r="M760" s="130" t="str" cm="1">
        <f t="array" ref="M760">IFERROR(INDEX(CategoriesTable[Category type],MATCH(Table1[[#This Row],[Category]],CategoriesTable[Category name],0),0),"")</f>
        <v>Expense</v>
      </c>
      <c r="N760" s="130" t="str" cm="1">
        <f t="array" ref="N760">IFERROR(INDEX(SubcategoriesTable[Subcategory name],MATCH(Table1[[#This Row],[Category]],SubcategoriesTable[Category name],0),0),"")</f>
        <v>Variable</v>
      </c>
      <c r="O760" s="130">
        <v>9</v>
      </c>
      <c r="P760" s="130">
        <f>MONTH(Table1[[#This Row],[Date]])</f>
        <v>8</v>
      </c>
      <c r="Q760" s="130">
        <v>2020</v>
      </c>
      <c r="R760" s="166">
        <f>IF(ISBLANK(Table1[[#This Row],[Date]]),"",Table1[[#This Row],[Date]]-WEEKDAY(Table1[[#This Row],[Date]],2)+1)</f>
        <v>44046</v>
      </c>
      <c r="S760" s="131">
        <f>IF(ISBLANK(Table1[[#This Row],[Date]]),"",DATE(Table1[[#This Row],[Date_Year]],Table1[[#This Row],[Date_Month]],1))</f>
        <v>44044</v>
      </c>
    </row>
    <row r="761" spans="2:19" ht="15.75" x14ac:dyDescent="0.25">
      <c r="B761" s="133">
        <v>44052</v>
      </c>
      <c r="C761" s="128" t="s">
        <v>684</v>
      </c>
      <c r="D761" s="128" t="s">
        <v>46</v>
      </c>
      <c r="E761" s="128" t="str" cm="1">
        <f t="array" ref="E761">IFERROR(INDEX(SubcategoriesTable[Subcategory name],MATCH(Table1[[#This Row],[Category]],SubcategoriesTable[Category name],0),0),"")</f>
        <v>Variable</v>
      </c>
      <c r="F761" s="134">
        <v>-7.99</v>
      </c>
      <c r="G761" s="167" t="str">
        <f>_xlfn.XLOOKUP(Table1[[#This Row],[Account_ID]], Accounts[ID], Accounts[Account nickname], "Unknown")</f>
        <v>Discover it chrome Card</v>
      </c>
      <c r="H761" s="137" t="str">
        <f>_xlfn.XLOOKUP(Table1[[#This Row],[Account_ID]], Accounts[ID], Accounts[Account'#], "Unknown")</f>
        <v>7328</v>
      </c>
      <c r="I761" s="168" t="str">
        <f>_xlfn.XLOOKUP(Table1[[#This Row],[Institution_ID]], Institutions[ID], Institutions[Institution nickname], "Unknown")</f>
        <v>Discover</v>
      </c>
      <c r="J761" s="139" t="s">
        <v>820</v>
      </c>
      <c r="K761" s="129" t="s">
        <v>110</v>
      </c>
      <c r="L761" s="129" t="s">
        <v>108</v>
      </c>
      <c r="M761" s="130" t="str" cm="1">
        <f t="array" ref="M761">IFERROR(INDEX(CategoriesTable[Category type],MATCH(Table1[[#This Row],[Category]],CategoriesTable[Category name],0),0),"")</f>
        <v>Expense</v>
      </c>
      <c r="N761" s="130" t="str" cm="1">
        <f t="array" ref="N761">IFERROR(INDEX(SubcategoriesTable[Subcategory name],MATCH(Table1[[#This Row],[Category]],SubcategoriesTable[Category name],0),0),"")</f>
        <v>Variable</v>
      </c>
      <c r="O761" s="130">
        <v>9</v>
      </c>
      <c r="P761" s="130">
        <f>MONTH(Table1[[#This Row],[Date]])</f>
        <v>8</v>
      </c>
      <c r="Q761" s="130">
        <v>2020</v>
      </c>
      <c r="R761" s="166">
        <f>IF(ISBLANK(Table1[[#This Row],[Date]]),"",Table1[[#This Row],[Date]]-WEEKDAY(Table1[[#This Row],[Date]],2)+1)</f>
        <v>44046</v>
      </c>
      <c r="S761" s="131">
        <f>IF(ISBLANK(Table1[[#This Row],[Date]]),"",DATE(Table1[[#This Row],[Date_Year]],Table1[[#This Row],[Date_Month]],1))</f>
        <v>44044</v>
      </c>
    </row>
    <row r="762" spans="2:19" ht="15.75" x14ac:dyDescent="0.25">
      <c r="B762" s="133">
        <v>44052</v>
      </c>
      <c r="C762" s="128" t="s">
        <v>191</v>
      </c>
      <c r="D762" s="128" t="s">
        <v>48</v>
      </c>
      <c r="E762" s="128" t="str" cm="1">
        <f t="array" ref="E762">IFERROR(INDEX(SubcategoriesTable[Subcategory name],MATCH(Table1[[#This Row],[Category]],SubcategoriesTable[Category name],0),0),"")</f>
        <v>Variable</v>
      </c>
      <c r="F762" s="134">
        <v>-35.43</v>
      </c>
      <c r="G762" s="167" t="str">
        <f>_xlfn.XLOOKUP(Table1[[#This Row],[Account_ID]], Accounts[ID], Accounts[Account nickname], "Unknown")</f>
        <v>Discover it chrome Card</v>
      </c>
      <c r="H762" s="137" t="str">
        <f>_xlfn.XLOOKUP(Table1[[#This Row],[Account_ID]], Accounts[ID], Accounts[Account'#], "Unknown")</f>
        <v>7328</v>
      </c>
      <c r="I762" s="168" t="str">
        <f>_xlfn.XLOOKUP(Table1[[#This Row],[Institution_ID]], Institutions[ID], Institutions[Institution nickname], "Unknown")</f>
        <v>Discover</v>
      </c>
      <c r="J762" s="139" t="s">
        <v>821</v>
      </c>
      <c r="K762" s="129" t="s">
        <v>110</v>
      </c>
      <c r="L762" s="129" t="s">
        <v>108</v>
      </c>
      <c r="M762" s="130" t="str" cm="1">
        <f t="array" ref="M762">IFERROR(INDEX(CategoriesTable[Category type],MATCH(Table1[[#This Row],[Category]],CategoriesTable[Category name],0),0),"")</f>
        <v>Expense</v>
      </c>
      <c r="N762" s="130" t="str" cm="1">
        <f t="array" ref="N762">IFERROR(INDEX(SubcategoriesTable[Subcategory name],MATCH(Table1[[#This Row],[Category]],SubcategoriesTable[Category name],0),0),"")</f>
        <v>Variable</v>
      </c>
      <c r="O762" s="130">
        <v>9</v>
      </c>
      <c r="P762" s="130">
        <f>MONTH(Table1[[#This Row],[Date]])</f>
        <v>8</v>
      </c>
      <c r="Q762" s="130">
        <v>2020</v>
      </c>
      <c r="R762" s="166">
        <f>IF(ISBLANK(Table1[[#This Row],[Date]]),"",Table1[[#This Row],[Date]]-WEEKDAY(Table1[[#This Row],[Date]],2)+1)</f>
        <v>44046</v>
      </c>
      <c r="S762" s="131">
        <f>IF(ISBLANK(Table1[[#This Row],[Date]]),"",DATE(Table1[[#This Row],[Date_Year]],Table1[[#This Row],[Date_Month]],1))</f>
        <v>44044</v>
      </c>
    </row>
    <row r="763" spans="2:19" ht="15.75" x14ac:dyDescent="0.25">
      <c r="B763" s="133">
        <v>44051</v>
      </c>
      <c r="C763" s="128" t="s">
        <v>822</v>
      </c>
      <c r="D763" s="128" t="s">
        <v>52</v>
      </c>
      <c r="E763" s="128" t="str" cm="1">
        <f t="array" ref="E763">IFERROR(INDEX(SubcategoriesTable[Subcategory name],MATCH(Table1[[#This Row],[Category]],SubcategoriesTable[Category name],0),0),"")</f>
        <v>Variable</v>
      </c>
      <c r="F763" s="134">
        <v>-16.91</v>
      </c>
      <c r="G763" s="167" t="str">
        <f>_xlfn.XLOOKUP(Table1[[#This Row],[Account_ID]], Accounts[ID], Accounts[Account nickname], "Unknown")</f>
        <v>Discover it chrome Card</v>
      </c>
      <c r="H763" s="137" t="str">
        <f>_xlfn.XLOOKUP(Table1[[#This Row],[Account_ID]], Accounts[ID], Accounts[Account'#], "Unknown")</f>
        <v>7328</v>
      </c>
      <c r="I763" s="168" t="str">
        <f>_xlfn.XLOOKUP(Table1[[#This Row],[Institution_ID]], Institutions[ID], Institutions[Institution nickname], "Unknown")</f>
        <v>Discover</v>
      </c>
      <c r="J763" s="139" t="s">
        <v>823</v>
      </c>
      <c r="K763" s="129" t="s">
        <v>110</v>
      </c>
      <c r="L763" s="129" t="s">
        <v>108</v>
      </c>
      <c r="M763" s="130" t="str" cm="1">
        <f t="array" ref="M763">IFERROR(INDEX(CategoriesTable[Category type],MATCH(Table1[[#This Row],[Category]],CategoriesTable[Category name],0),0),"")</f>
        <v>Expense</v>
      </c>
      <c r="N763" s="130" t="str" cm="1">
        <f t="array" ref="N763">IFERROR(INDEX(SubcategoriesTable[Subcategory name],MATCH(Table1[[#This Row],[Category]],SubcategoriesTable[Category name],0),0),"")</f>
        <v>Variable</v>
      </c>
      <c r="O763" s="130">
        <v>8</v>
      </c>
      <c r="P763" s="130">
        <f>MONTH(Table1[[#This Row],[Date]])</f>
        <v>8</v>
      </c>
      <c r="Q763" s="130">
        <v>2020</v>
      </c>
      <c r="R763" s="166">
        <f>IF(ISBLANK(Table1[[#This Row],[Date]]),"",Table1[[#This Row],[Date]]-WEEKDAY(Table1[[#This Row],[Date]],2)+1)</f>
        <v>44046</v>
      </c>
      <c r="S763" s="131">
        <f>IF(ISBLANK(Table1[[#This Row],[Date]]),"",DATE(Table1[[#This Row],[Date_Year]],Table1[[#This Row],[Date_Month]],1))</f>
        <v>44044</v>
      </c>
    </row>
    <row r="764" spans="2:19" ht="15.75" x14ac:dyDescent="0.25">
      <c r="B764" s="133">
        <v>44051</v>
      </c>
      <c r="C764" s="128" t="s">
        <v>125</v>
      </c>
      <c r="D764" s="128" t="s">
        <v>45</v>
      </c>
      <c r="E764" s="128" t="str" cm="1">
        <f t="array" ref="E764">IFERROR(INDEX(SubcategoriesTable[Subcategory name],MATCH(Table1[[#This Row],[Category]],SubcategoriesTable[Category name],0),0),"")</f>
        <v>Variable</v>
      </c>
      <c r="F764" s="134">
        <v>-8.3000000000000007</v>
      </c>
      <c r="G764" s="167" t="str">
        <f>_xlfn.XLOOKUP(Table1[[#This Row],[Account_ID]], Accounts[ID], Accounts[Account nickname], "Unknown")</f>
        <v>Discover it chrome Card</v>
      </c>
      <c r="H764" s="137" t="str">
        <f>_xlfn.XLOOKUP(Table1[[#This Row],[Account_ID]], Accounts[ID], Accounts[Account'#], "Unknown")</f>
        <v>7328</v>
      </c>
      <c r="I764" s="168" t="str">
        <f>_xlfn.XLOOKUP(Table1[[#This Row],[Institution_ID]], Institutions[ID], Institutions[Institution nickname], "Unknown")</f>
        <v>Discover</v>
      </c>
      <c r="J764" s="139" t="s">
        <v>824</v>
      </c>
      <c r="K764" s="129" t="s">
        <v>110</v>
      </c>
      <c r="L764" s="129" t="s">
        <v>108</v>
      </c>
      <c r="M764" s="130" t="str" cm="1">
        <f t="array" ref="M764">IFERROR(INDEX(CategoriesTable[Category type],MATCH(Table1[[#This Row],[Category]],CategoriesTable[Category name],0),0),"")</f>
        <v>Expense</v>
      </c>
      <c r="N764" s="130" t="str" cm="1">
        <f t="array" ref="N764">IFERROR(INDEX(SubcategoriesTable[Subcategory name],MATCH(Table1[[#This Row],[Category]],SubcategoriesTable[Category name],0),0),"")</f>
        <v>Variable</v>
      </c>
      <c r="O764" s="130">
        <v>8</v>
      </c>
      <c r="P764" s="130">
        <f>MONTH(Table1[[#This Row],[Date]])</f>
        <v>8</v>
      </c>
      <c r="Q764" s="130">
        <v>2020</v>
      </c>
      <c r="R764" s="166">
        <f>IF(ISBLANK(Table1[[#This Row],[Date]]),"",Table1[[#This Row],[Date]]-WEEKDAY(Table1[[#This Row],[Date]],2)+1)</f>
        <v>44046</v>
      </c>
      <c r="S764" s="131">
        <f>IF(ISBLANK(Table1[[#This Row],[Date]]),"",DATE(Table1[[#This Row],[Date_Year]],Table1[[#This Row],[Date_Month]],1))</f>
        <v>44044</v>
      </c>
    </row>
    <row r="765" spans="2:19" ht="15.75" x14ac:dyDescent="0.25">
      <c r="B765" s="133">
        <v>44050</v>
      </c>
      <c r="C765" s="128" t="s">
        <v>1185</v>
      </c>
      <c r="D765" s="128" t="s">
        <v>57</v>
      </c>
      <c r="E765" s="128" t="str" cm="1">
        <f t="array" ref="E765">IFERROR(INDEX(SubcategoriesTable[Subcategory name],MATCH(Table1[[#This Row],[Category]],SubcategoriesTable[Category name],0),0),"")</f>
        <v>Variable</v>
      </c>
      <c r="F765" s="134">
        <v>300</v>
      </c>
      <c r="G765" s="167" t="str">
        <f>_xlfn.XLOOKUP(Table1[[#This Row],[Account_ID]], Accounts[ID], Accounts[Account nickname], "Unknown")</f>
        <v>EVERYDAY CHECKING</v>
      </c>
      <c r="H765" s="137" t="str">
        <f>_xlfn.XLOOKUP(Table1[[#This Row],[Account_ID]], Accounts[ID], Accounts[Account'#], "Unknown")</f>
        <v>4636</v>
      </c>
      <c r="I765" s="168" t="str">
        <f>_xlfn.XLOOKUP(Table1[[#This Row],[Institution_ID]], Institutions[ID], Institutions[Institution nickname], "Unknown")</f>
        <v>Wells Fargo</v>
      </c>
      <c r="J765" s="139" t="s">
        <v>1558</v>
      </c>
      <c r="K765" s="129" t="s">
        <v>1229</v>
      </c>
      <c r="L765" s="129" t="s">
        <v>1228</v>
      </c>
      <c r="M765" s="130" t="str" cm="1">
        <f t="array" ref="M765">IFERROR(INDEX(CategoriesTable[Category type],MATCH(Table1[[#This Row],[Category]],CategoriesTable[Category name],0),0),"")</f>
        <v>Transfer</v>
      </c>
      <c r="N765" s="130" t="str" cm="1">
        <f t="array" ref="N765">IFERROR(INDEX(SubcategoriesTable[Subcategory name],MATCH(Table1[[#This Row],[Category]],SubcategoriesTable[Category name],0),0),"")</f>
        <v>Variable</v>
      </c>
      <c r="O765" s="130">
        <v>7</v>
      </c>
      <c r="P765" s="130">
        <f>MONTH(Table1[[#This Row],[Date]])</f>
        <v>8</v>
      </c>
      <c r="Q765" s="130">
        <v>2020</v>
      </c>
      <c r="R765" s="166">
        <f>IF(ISBLANK(Table1[[#This Row],[Date]]),"",Table1[[#This Row],[Date]]-WEEKDAY(Table1[[#This Row],[Date]],2)+1)</f>
        <v>44046</v>
      </c>
      <c r="S765" s="131">
        <f>IF(ISBLANK(Table1[[#This Row],[Date]]),"",DATE(Table1[[#This Row],[Date_Year]],Table1[[#This Row],[Date_Month]],1))</f>
        <v>44044</v>
      </c>
    </row>
    <row r="766" spans="2:19" ht="15.75" x14ac:dyDescent="0.25">
      <c r="B766" s="133">
        <v>44050</v>
      </c>
      <c r="C766" s="128" t="s">
        <v>50</v>
      </c>
      <c r="D766" s="128" t="s">
        <v>1204</v>
      </c>
      <c r="E766" s="128"/>
      <c r="F766" s="134">
        <v>400</v>
      </c>
      <c r="G766" s="167" t="str">
        <f>_xlfn.XLOOKUP(Table1[[#This Row],[Account_ID]], Accounts[ID], Accounts[Account nickname], "Unknown")</f>
        <v>Checking - 4480</v>
      </c>
      <c r="H766" s="137" t="str">
        <f>_xlfn.XLOOKUP(Table1[[#This Row],[Account_ID]], Accounts[ID], Accounts[Account'#], "Unknown")</f>
        <v>4480</v>
      </c>
      <c r="I766" s="168" t="str">
        <f>_xlfn.XLOOKUP(Table1[[#This Row],[Institution_ID]], Institutions[ID], Institutions[Institution nickname], "Unknown")</f>
        <v>Robinhood</v>
      </c>
      <c r="J766" s="139" t="s">
        <v>1246</v>
      </c>
      <c r="K766" s="129" t="s">
        <v>1208</v>
      </c>
      <c r="L766" s="173" t="s">
        <v>1207</v>
      </c>
      <c r="M766" s="130" t="str" cm="1">
        <f t="array" ref="M766">IFERROR(INDEX(CategoriesTable[Category type],MATCH(Table1[[#This Row],[Category]],CategoriesTable[Category name],0),0),"")</f>
        <v>Savings</v>
      </c>
      <c r="N766" s="130" t="str" cm="1">
        <f t="array" ref="N766">IFERROR(INDEX(SubcategoriesTable[Subcategory name],MATCH(Table1[[#This Row],[Category]],SubcategoriesTable[Category name],0),0),"")</f>
        <v>Variable</v>
      </c>
      <c r="O766" s="130">
        <v>7</v>
      </c>
      <c r="P766" s="130">
        <f>MONTH(Table1[[#This Row],[Date]])</f>
        <v>8</v>
      </c>
      <c r="Q766" s="130">
        <v>2020</v>
      </c>
      <c r="R766" s="166">
        <f>IF(ISBLANK(Table1[[#This Row],[Date]]),"",Table1[[#This Row],[Date]]-WEEKDAY(Table1[[#This Row],[Date]],2)+1)</f>
        <v>44046</v>
      </c>
      <c r="S766" s="131">
        <f>IF(ISBLANK(Table1[[#This Row],[Date]]),"",DATE(Table1[[#This Row],[Date_Year]],Table1[[#This Row],[Date_Month]],1))</f>
        <v>44044</v>
      </c>
    </row>
    <row r="767" spans="2:19" ht="15.75" x14ac:dyDescent="0.25">
      <c r="B767" s="133">
        <v>44049</v>
      </c>
      <c r="C767" s="128" t="s">
        <v>1559</v>
      </c>
      <c r="D767" s="128" t="s">
        <v>46</v>
      </c>
      <c r="E767" s="128" t="str" cm="1">
        <f t="array" ref="E767">IFERROR(INDEX(SubcategoriesTable[Subcategory name],MATCH(Table1[[#This Row],[Category]],SubcategoriesTable[Category name],0),0),"")</f>
        <v>Variable</v>
      </c>
      <c r="F767" s="134">
        <v>-4.99</v>
      </c>
      <c r="G767" s="167" t="str">
        <f>_xlfn.XLOOKUP(Table1[[#This Row],[Account_ID]], Accounts[ID], Accounts[Account nickname], "Unknown")</f>
        <v>EVERYDAY CHECKING</v>
      </c>
      <c r="H767" s="137" t="str">
        <f>_xlfn.XLOOKUP(Table1[[#This Row],[Account_ID]], Accounts[ID], Accounts[Account'#], "Unknown")</f>
        <v>4636</v>
      </c>
      <c r="I767" s="168" t="str">
        <f>_xlfn.XLOOKUP(Table1[[#This Row],[Institution_ID]], Institutions[ID], Institutions[Institution nickname], "Unknown")</f>
        <v>Wells Fargo</v>
      </c>
      <c r="J767" s="171" t="s">
        <v>1560</v>
      </c>
      <c r="K767" s="129" t="s">
        <v>1229</v>
      </c>
      <c r="L767" s="129" t="s">
        <v>1228</v>
      </c>
      <c r="M767" s="130" t="str" cm="1">
        <f t="array" ref="M767">IFERROR(INDEX(CategoriesTable[Category type],MATCH(Table1[[#This Row],[Category]],CategoriesTable[Category name],0),0),"")</f>
        <v>Expense</v>
      </c>
      <c r="N767" s="130" t="str" cm="1">
        <f t="array" ref="N767">IFERROR(INDEX(SubcategoriesTable[Subcategory name],MATCH(Table1[[#This Row],[Category]],SubcategoriesTable[Category name],0),0),"")</f>
        <v>Variable</v>
      </c>
      <c r="O767" s="130">
        <v>6</v>
      </c>
      <c r="P767" s="130">
        <f>MONTH(Table1[[#This Row],[Date]])</f>
        <v>8</v>
      </c>
      <c r="Q767" s="130">
        <v>2020</v>
      </c>
      <c r="R767" s="166">
        <f>IF(ISBLANK(Table1[[#This Row],[Date]]),"",Table1[[#This Row],[Date]]-WEEKDAY(Table1[[#This Row],[Date]],2)+1)</f>
        <v>44046</v>
      </c>
      <c r="S767" s="131">
        <f>IF(ISBLANK(Table1[[#This Row],[Date]]),"",DATE(Table1[[#This Row],[Date_Year]],Table1[[#This Row],[Date_Month]],1))</f>
        <v>44044</v>
      </c>
    </row>
    <row r="768" spans="2:19" ht="15.75" x14ac:dyDescent="0.25">
      <c r="B768" s="133">
        <v>44049</v>
      </c>
      <c r="C768" s="128" t="s">
        <v>496</v>
      </c>
      <c r="D768" s="128" t="s">
        <v>45</v>
      </c>
      <c r="E768" s="128" t="str" cm="1">
        <f t="array" ref="E768">IFERROR(INDEX(SubcategoriesTable[Subcategory name],MATCH(Table1[[#This Row],[Category]],SubcategoriesTable[Category name],0),0),"")</f>
        <v>Variable</v>
      </c>
      <c r="F768" s="134">
        <v>-14.98</v>
      </c>
      <c r="G768" s="167" t="str">
        <f>_xlfn.XLOOKUP(Table1[[#This Row],[Account_ID]], Accounts[ID], Accounts[Account nickname], "Unknown")</f>
        <v>Discover it chrome Card</v>
      </c>
      <c r="H768" s="137" t="str">
        <f>_xlfn.XLOOKUP(Table1[[#This Row],[Account_ID]], Accounts[ID], Accounts[Account'#], "Unknown")</f>
        <v>7328</v>
      </c>
      <c r="I768" s="168" t="str">
        <f>_xlfn.XLOOKUP(Table1[[#This Row],[Institution_ID]], Institutions[ID], Institutions[Institution nickname], "Unknown")</f>
        <v>Discover</v>
      </c>
      <c r="J768" s="139" t="s">
        <v>825</v>
      </c>
      <c r="K768" s="129" t="s">
        <v>110</v>
      </c>
      <c r="L768" s="129" t="s">
        <v>108</v>
      </c>
      <c r="M768" s="130" t="str" cm="1">
        <f t="array" ref="M768">IFERROR(INDEX(CategoriesTable[Category type],MATCH(Table1[[#This Row],[Category]],CategoriesTable[Category name],0),0),"")</f>
        <v>Expense</v>
      </c>
      <c r="N768" s="130" t="str" cm="1">
        <f t="array" ref="N768">IFERROR(INDEX(SubcategoriesTable[Subcategory name],MATCH(Table1[[#This Row],[Category]],SubcategoriesTable[Category name],0),0),"")</f>
        <v>Variable</v>
      </c>
      <c r="O768" s="130">
        <v>6</v>
      </c>
      <c r="P768" s="130">
        <f>MONTH(Table1[[#This Row],[Date]])</f>
        <v>8</v>
      </c>
      <c r="Q768" s="130">
        <v>2020</v>
      </c>
      <c r="R768" s="166">
        <f>IF(ISBLANK(Table1[[#This Row],[Date]]),"",Table1[[#This Row],[Date]]-WEEKDAY(Table1[[#This Row],[Date]],2)+1)</f>
        <v>44046</v>
      </c>
      <c r="S768" s="131">
        <f>IF(ISBLANK(Table1[[#This Row],[Date]]),"",DATE(Table1[[#This Row],[Date_Year]],Table1[[#This Row],[Date_Month]],1))</f>
        <v>44044</v>
      </c>
    </row>
    <row r="769" spans="2:19" ht="15.75" x14ac:dyDescent="0.25">
      <c r="B769" s="133">
        <v>44049</v>
      </c>
      <c r="C769" s="128" t="s">
        <v>115</v>
      </c>
      <c r="D769" s="128" t="s">
        <v>48</v>
      </c>
      <c r="E769" s="128" t="str" cm="1">
        <f t="array" ref="E769">IFERROR(INDEX(SubcategoriesTable[Subcategory name],MATCH(Table1[[#This Row],[Category]],SubcategoriesTable[Category name],0),0),"")</f>
        <v>Variable</v>
      </c>
      <c r="F769" s="134">
        <v>-57.36</v>
      </c>
      <c r="G769" s="167" t="str">
        <f>_xlfn.XLOOKUP(Table1[[#This Row],[Account_ID]], Accounts[ID], Accounts[Account nickname], "Unknown")</f>
        <v>Discover it chrome Card</v>
      </c>
      <c r="H769" s="137" t="str">
        <f>_xlfn.XLOOKUP(Table1[[#This Row],[Account_ID]], Accounts[ID], Accounts[Account'#], "Unknown")</f>
        <v>7328</v>
      </c>
      <c r="I769" s="168" t="str">
        <f>_xlfn.XLOOKUP(Table1[[#This Row],[Institution_ID]], Institutions[ID], Institutions[Institution nickname], "Unknown")</f>
        <v>Discover</v>
      </c>
      <c r="J769" s="139" t="s">
        <v>826</v>
      </c>
      <c r="K769" s="129" t="s">
        <v>110</v>
      </c>
      <c r="L769" s="129" t="s">
        <v>108</v>
      </c>
      <c r="M769" s="130" t="str" cm="1">
        <f t="array" ref="M769">IFERROR(INDEX(CategoriesTable[Category type],MATCH(Table1[[#This Row],[Category]],CategoriesTable[Category name],0),0),"")</f>
        <v>Expense</v>
      </c>
      <c r="N769" s="130" t="str" cm="1">
        <f t="array" ref="N769">IFERROR(INDEX(SubcategoriesTable[Subcategory name],MATCH(Table1[[#This Row],[Category]],SubcategoriesTable[Category name],0),0),"")</f>
        <v>Variable</v>
      </c>
      <c r="O769" s="130">
        <v>6</v>
      </c>
      <c r="P769" s="130">
        <f>MONTH(Table1[[#This Row],[Date]])</f>
        <v>8</v>
      </c>
      <c r="Q769" s="130">
        <v>2020</v>
      </c>
      <c r="R769" s="166">
        <f>IF(ISBLANK(Table1[[#This Row],[Date]]),"",Table1[[#This Row],[Date]]-WEEKDAY(Table1[[#This Row],[Date]],2)+1)</f>
        <v>44046</v>
      </c>
      <c r="S769" s="131">
        <f>IF(ISBLANK(Table1[[#This Row],[Date]]),"",DATE(Table1[[#This Row],[Date_Year]],Table1[[#This Row],[Date_Month]],1))</f>
        <v>44044</v>
      </c>
    </row>
    <row r="770" spans="2:19" ht="15.75" x14ac:dyDescent="0.25">
      <c r="B770" s="133">
        <v>44048</v>
      </c>
      <c r="C770" s="128" t="s">
        <v>1200</v>
      </c>
      <c r="D770" s="128" t="s">
        <v>50</v>
      </c>
      <c r="E770" s="128" t="str" cm="1">
        <f t="array" ref="E770">IFERROR(INDEX(SubcategoriesTable[Subcategory name],MATCH(Table1[[#This Row],[Category]],SubcategoriesTable[Category name],0),0),"")</f>
        <v>Variable</v>
      </c>
      <c r="F770" s="134">
        <v>-300</v>
      </c>
      <c r="G770" s="167" t="str">
        <f>_xlfn.XLOOKUP(Table1[[#This Row],[Account_ID]], Accounts[ID], Accounts[Account nickname], "Unknown")</f>
        <v>EVERYDAY CHECKING</v>
      </c>
      <c r="H770" s="137" t="str">
        <f>_xlfn.XLOOKUP(Table1[[#This Row],[Account_ID]], Accounts[ID], Accounts[Account'#], "Unknown")</f>
        <v>4636</v>
      </c>
      <c r="I770" s="168" t="str">
        <f>_xlfn.XLOOKUP(Table1[[#This Row],[Institution_ID]], Institutions[ID], Institutions[Institution nickname], "Unknown")</f>
        <v>Wells Fargo</v>
      </c>
      <c r="J770" s="139" t="s">
        <v>1561</v>
      </c>
      <c r="K770" s="129" t="s">
        <v>1229</v>
      </c>
      <c r="L770" s="129" t="s">
        <v>1228</v>
      </c>
      <c r="M770" s="130" t="str" cm="1">
        <f t="array" ref="M770">IFERROR(INDEX(CategoriesTable[Category type],MATCH(Table1[[#This Row],[Category]],CategoriesTable[Category name],0),0),"")</f>
        <v>Transfer</v>
      </c>
      <c r="N770" s="130" t="str" cm="1">
        <f t="array" ref="N770">IFERROR(INDEX(SubcategoriesTable[Subcategory name],MATCH(Table1[[#This Row],[Category]],SubcategoriesTable[Category name],0),0),"")</f>
        <v>Variable</v>
      </c>
      <c r="O770" s="130">
        <v>5</v>
      </c>
      <c r="P770" s="130">
        <f>MONTH(Table1[[#This Row],[Date]])</f>
        <v>8</v>
      </c>
      <c r="Q770" s="130">
        <v>2020</v>
      </c>
      <c r="R770" s="166">
        <f>IF(ISBLANK(Table1[[#This Row],[Date]]),"",Table1[[#This Row],[Date]]-WEEKDAY(Table1[[#This Row],[Date]],2)+1)</f>
        <v>44046</v>
      </c>
      <c r="S770" s="131">
        <f>IF(ISBLANK(Table1[[#This Row],[Date]]),"",DATE(Table1[[#This Row],[Date_Year]],Table1[[#This Row],[Date_Month]],1))</f>
        <v>44044</v>
      </c>
    </row>
    <row r="771" spans="2:19" ht="15.75" x14ac:dyDescent="0.25">
      <c r="B771" s="133">
        <v>44048</v>
      </c>
      <c r="C771" s="128" t="s">
        <v>295</v>
      </c>
      <c r="D771" s="128" t="s">
        <v>56</v>
      </c>
      <c r="E771" s="128" t="str" cm="1">
        <f t="array" ref="E771">IFERROR(INDEX(SubcategoriesTable[Subcategory name],MATCH(Table1[[#This Row],[Category]],SubcategoriesTable[Category name],0),0),"")</f>
        <v>Variable</v>
      </c>
      <c r="F771" s="134">
        <v>-39.950000000000003</v>
      </c>
      <c r="G771" s="167" t="str">
        <f>_xlfn.XLOOKUP(Table1[[#This Row],[Account_ID]], Accounts[ID], Accounts[Account nickname], "Unknown")</f>
        <v>Discover it chrome Card</v>
      </c>
      <c r="H771" s="137" t="str">
        <f>_xlfn.XLOOKUP(Table1[[#This Row],[Account_ID]], Accounts[ID], Accounts[Account'#], "Unknown")</f>
        <v>7328</v>
      </c>
      <c r="I771" s="168" t="str">
        <f>_xlfn.XLOOKUP(Table1[[#This Row],[Institution_ID]], Institutions[ID], Institutions[Institution nickname], "Unknown")</f>
        <v>Discover</v>
      </c>
      <c r="J771" s="171" t="s">
        <v>827</v>
      </c>
      <c r="K771" s="129" t="s">
        <v>110</v>
      </c>
      <c r="L771" s="129" t="s">
        <v>108</v>
      </c>
      <c r="M771" s="130" t="str" cm="1">
        <f t="array" ref="M771">IFERROR(INDEX(CategoriesTable[Category type],MATCH(Table1[[#This Row],[Category]],CategoriesTable[Category name],0),0),"")</f>
        <v>Expense</v>
      </c>
      <c r="N771" s="130" t="str" cm="1">
        <f t="array" ref="N771">IFERROR(INDEX(SubcategoriesTable[Subcategory name],MATCH(Table1[[#This Row],[Category]],SubcategoriesTable[Category name],0),0),"")</f>
        <v>Variable</v>
      </c>
      <c r="O771" s="130">
        <v>5</v>
      </c>
      <c r="P771" s="130">
        <f>MONTH(Table1[[#This Row],[Date]])</f>
        <v>8</v>
      </c>
      <c r="Q771" s="130">
        <v>2020</v>
      </c>
      <c r="R771" s="166">
        <f>IF(ISBLANK(Table1[[#This Row],[Date]]),"",Table1[[#This Row],[Date]]-WEEKDAY(Table1[[#This Row],[Date]],2)+1)</f>
        <v>44046</v>
      </c>
      <c r="S771" s="131">
        <f>IF(ISBLANK(Table1[[#This Row],[Date]]),"",DATE(Table1[[#This Row],[Date_Year]],Table1[[#This Row],[Date_Month]],1))</f>
        <v>44044</v>
      </c>
    </row>
    <row r="772" spans="2:19" ht="15.75" x14ac:dyDescent="0.25">
      <c r="B772" s="133">
        <v>44047</v>
      </c>
      <c r="C772" s="128" t="s">
        <v>1202</v>
      </c>
      <c r="D772" s="128" t="s">
        <v>50</v>
      </c>
      <c r="E772" s="128" t="str" cm="1">
        <f t="array" ref="E772">IFERROR(INDEX(SubcategoriesTable[Subcategory name],MATCH(Table1[[#This Row],[Category]],SubcategoriesTable[Category name],0),0),"")</f>
        <v>Variable</v>
      </c>
      <c r="F772" s="134">
        <v>210</v>
      </c>
      <c r="G772" s="167" t="str">
        <f>_xlfn.XLOOKUP(Table1[[#This Row],[Account_ID]], Accounts[ID], Accounts[Account nickname], "Unknown")</f>
        <v>EVERYDAY CHECKING</v>
      </c>
      <c r="H772" s="137" t="str">
        <f>_xlfn.XLOOKUP(Table1[[#This Row],[Account_ID]], Accounts[ID], Accounts[Account'#], "Unknown")</f>
        <v>4636</v>
      </c>
      <c r="I772" s="168" t="str">
        <f>_xlfn.XLOOKUP(Table1[[#This Row],[Institution_ID]], Institutions[ID], Institutions[Institution nickname], "Unknown")</f>
        <v>Wells Fargo</v>
      </c>
      <c r="J772" s="139" t="s">
        <v>1562</v>
      </c>
      <c r="K772" s="129" t="s">
        <v>1229</v>
      </c>
      <c r="L772" s="129" t="s">
        <v>1228</v>
      </c>
      <c r="M772" s="130" t="str" cm="1">
        <f t="array" ref="M772">IFERROR(INDEX(CategoriesTable[Category type],MATCH(Table1[[#This Row],[Category]],CategoriesTable[Category name],0),0),"")</f>
        <v>Transfer</v>
      </c>
      <c r="N772" s="130" t="str" cm="1">
        <f t="array" ref="N772">IFERROR(INDEX(SubcategoriesTable[Subcategory name],MATCH(Table1[[#This Row],[Category]],SubcategoriesTable[Category name],0),0),"")</f>
        <v>Variable</v>
      </c>
      <c r="O772" s="130">
        <v>4</v>
      </c>
      <c r="P772" s="130">
        <f>MONTH(Table1[[#This Row],[Date]])</f>
        <v>8</v>
      </c>
      <c r="Q772" s="130">
        <v>2020</v>
      </c>
      <c r="R772" s="166">
        <f>IF(ISBLANK(Table1[[#This Row],[Date]]),"",Table1[[#This Row],[Date]]-WEEKDAY(Table1[[#This Row],[Date]],2)+1)</f>
        <v>44046</v>
      </c>
      <c r="S772" s="131">
        <f>IF(ISBLANK(Table1[[#This Row],[Date]]),"",DATE(Table1[[#This Row],[Date_Year]],Table1[[#This Row],[Date_Month]],1))</f>
        <v>44044</v>
      </c>
    </row>
    <row r="773" spans="2:19" ht="15.75" x14ac:dyDescent="0.25">
      <c r="B773" s="133">
        <v>44046</v>
      </c>
      <c r="C773" s="128" t="s">
        <v>828</v>
      </c>
      <c r="D773" s="128" t="s">
        <v>46</v>
      </c>
      <c r="E773" s="128" t="str" cm="1">
        <f t="array" ref="E773">IFERROR(INDEX(SubcategoriesTable[Subcategory name],MATCH(Table1[[#This Row],[Category]],SubcategoriesTable[Category name],0),0),"")</f>
        <v>Variable</v>
      </c>
      <c r="F773" s="134">
        <v>-63.17</v>
      </c>
      <c r="G773" s="167" t="str">
        <f>_xlfn.XLOOKUP(Table1[[#This Row],[Account_ID]], Accounts[ID], Accounts[Account nickname], "Unknown")</f>
        <v>Discover it chrome Card</v>
      </c>
      <c r="H773" s="137" t="str">
        <f>_xlfn.XLOOKUP(Table1[[#This Row],[Account_ID]], Accounts[ID], Accounts[Account'#], "Unknown")</f>
        <v>7328</v>
      </c>
      <c r="I773" s="168" t="str">
        <f>_xlfn.XLOOKUP(Table1[[#This Row],[Institution_ID]], Institutions[ID], Institutions[Institution nickname], "Unknown")</f>
        <v>Discover</v>
      </c>
      <c r="J773" s="139" t="s">
        <v>829</v>
      </c>
      <c r="K773" s="129" t="s">
        <v>110</v>
      </c>
      <c r="L773" s="129" t="s">
        <v>108</v>
      </c>
      <c r="M773" s="130" t="str" cm="1">
        <f t="array" ref="M773">IFERROR(INDEX(CategoriesTable[Category type],MATCH(Table1[[#This Row],[Category]],CategoriesTable[Category name],0),0),"")</f>
        <v>Expense</v>
      </c>
      <c r="N773" s="130" t="str" cm="1">
        <f t="array" ref="N773">IFERROR(INDEX(SubcategoriesTable[Subcategory name],MATCH(Table1[[#This Row],[Category]],SubcategoriesTable[Category name],0),0),"")</f>
        <v>Variable</v>
      </c>
      <c r="O773" s="130">
        <v>3</v>
      </c>
      <c r="P773" s="130">
        <f>MONTH(Table1[[#This Row],[Date]])</f>
        <v>8</v>
      </c>
      <c r="Q773" s="130">
        <v>2020</v>
      </c>
      <c r="R773" s="166">
        <f>IF(ISBLANK(Table1[[#This Row],[Date]]),"",Table1[[#This Row],[Date]]-WEEKDAY(Table1[[#This Row],[Date]],2)+1)</f>
        <v>44046</v>
      </c>
      <c r="S773" s="131">
        <f>IF(ISBLANK(Table1[[#This Row],[Date]]),"",DATE(Table1[[#This Row],[Date_Year]],Table1[[#This Row],[Date_Month]],1))</f>
        <v>44044</v>
      </c>
    </row>
    <row r="774" spans="2:19" ht="15.75" x14ac:dyDescent="0.25">
      <c r="B774" s="133">
        <v>44045</v>
      </c>
      <c r="C774" s="128" t="s">
        <v>201</v>
      </c>
      <c r="D774" s="128" t="s">
        <v>48</v>
      </c>
      <c r="E774" s="128" t="str" cm="1">
        <f t="array" ref="E774">IFERROR(INDEX(SubcategoriesTable[Subcategory name],MATCH(Table1[[#This Row],[Category]],SubcategoriesTable[Category name],0),0),"")</f>
        <v>Variable</v>
      </c>
      <c r="F774" s="134">
        <v>-122.19</v>
      </c>
      <c r="G774" s="167" t="str">
        <f>_xlfn.XLOOKUP(Table1[[#This Row],[Account_ID]], Accounts[ID], Accounts[Account nickname], "Unknown")</f>
        <v>Discover it chrome Card</v>
      </c>
      <c r="H774" s="137" t="str">
        <f>_xlfn.XLOOKUP(Table1[[#This Row],[Account_ID]], Accounts[ID], Accounts[Account'#], "Unknown")</f>
        <v>7328</v>
      </c>
      <c r="I774" s="168" t="str">
        <f>_xlfn.XLOOKUP(Table1[[#This Row],[Institution_ID]], Institutions[ID], Institutions[Institution nickname], "Unknown")</f>
        <v>Discover</v>
      </c>
      <c r="J774" s="139" t="s">
        <v>830</v>
      </c>
      <c r="K774" s="129" t="s">
        <v>110</v>
      </c>
      <c r="L774" s="129" t="s">
        <v>108</v>
      </c>
      <c r="M774" s="130" t="str" cm="1">
        <f t="array" ref="M774">IFERROR(INDEX(CategoriesTable[Category type],MATCH(Table1[[#This Row],[Category]],CategoriesTable[Category name],0),0),"")</f>
        <v>Expense</v>
      </c>
      <c r="N774" s="130" t="str" cm="1">
        <f t="array" ref="N774">IFERROR(INDEX(SubcategoriesTable[Subcategory name],MATCH(Table1[[#This Row],[Category]],SubcategoriesTable[Category name],0),0),"")</f>
        <v>Variable</v>
      </c>
      <c r="O774" s="130">
        <v>2</v>
      </c>
      <c r="P774" s="130">
        <f>MONTH(Table1[[#This Row],[Date]])</f>
        <v>8</v>
      </c>
      <c r="Q774" s="130">
        <v>2020</v>
      </c>
      <c r="R774" s="166">
        <f>IF(ISBLANK(Table1[[#This Row],[Date]]),"",Table1[[#This Row],[Date]]-WEEKDAY(Table1[[#This Row],[Date]],2)+1)</f>
        <v>44039</v>
      </c>
      <c r="S774" s="131">
        <f>IF(ISBLANK(Table1[[#This Row],[Date]]),"",DATE(Table1[[#This Row],[Date_Year]],Table1[[#This Row],[Date_Month]],1))</f>
        <v>44044</v>
      </c>
    </row>
    <row r="775" spans="2:19" ht="15.75" x14ac:dyDescent="0.25">
      <c r="B775" s="133">
        <v>44044</v>
      </c>
      <c r="C775" s="128" t="s">
        <v>152</v>
      </c>
      <c r="D775" s="128" t="s">
        <v>54</v>
      </c>
      <c r="E775" s="128" t="str" cm="1">
        <f t="array" ref="E775">IFERROR(INDEX(SubcategoriesTable[Subcategory name],MATCH(Table1[[#This Row],[Category]],SubcategoriesTable[Category name],0),0),"")</f>
        <v>Fixed</v>
      </c>
      <c r="F775" s="134">
        <v>-12.99</v>
      </c>
      <c r="G775" s="167" t="str">
        <f>_xlfn.XLOOKUP(Table1[[#This Row],[Account_ID]], Accounts[ID], Accounts[Account nickname], "Unknown")</f>
        <v>Discover it chrome Card</v>
      </c>
      <c r="H775" s="137" t="str">
        <f>_xlfn.XLOOKUP(Table1[[#This Row],[Account_ID]], Accounts[ID], Accounts[Account'#], "Unknown")</f>
        <v>7328</v>
      </c>
      <c r="I775" s="168" t="str">
        <f>_xlfn.XLOOKUP(Table1[[#This Row],[Institution_ID]], Institutions[ID], Institutions[Institution nickname], "Unknown")</f>
        <v>Discover</v>
      </c>
      <c r="J775" s="139" t="s">
        <v>831</v>
      </c>
      <c r="K775" s="129" t="s">
        <v>110</v>
      </c>
      <c r="L775" s="129" t="s">
        <v>108</v>
      </c>
      <c r="M775" s="130" t="str" cm="1">
        <f t="array" ref="M775">IFERROR(INDEX(CategoriesTable[Category type],MATCH(Table1[[#This Row],[Category]],CategoriesTable[Category name],0),0),"")</f>
        <v>Expense</v>
      </c>
      <c r="N775" s="130" t="str" cm="1">
        <f t="array" ref="N775">IFERROR(INDEX(SubcategoriesTable[Subcategory name],MATCH(Table1[[#This Row],[Category]],SubcategoriesTable[Category name],0),0),"")</f>
        <v>Fixed</v>
      </c>
      <c r="O775" s="130">
        <v>1</v>
      </c>
      <c r="P775" s="130">
        <f>MONTH(Table1[[#This Row],[Date]])</f>
        <v>8</v>
      </c>
      <c r="Q775" s="130">
        <v>2020</v>
      </c>
      <c r="R775" s="166">
        <f>IF(ISBLANK(Table1[[#This Row],[Date]]),"",Table1[[#This Row],[Date]]-WEEKDAY(Table1[[#This Row],[Date]],2)+1)</f>
        <v>44039</v>
      </c>
      <c r="S775" s="131">
        <f>IF(ISBLANK(Table1[[#This Row],[Date]]),"",DATE(Table1[[#This Row],[Date_Year]],Table1[[#This Row],[Date_Month]],1))</f>
        <v>44044</v>
      </c>
    </row>
    <row r="776" spans="2:19" ht="15.75" x14ac:dyDescent="0.25">
      <c r="B776" s="133">
        <v>44043</v>
      </c>
      <c r="C776" s="128" t="s">
        <v>1180</v>
      </c>
      <c r="D776" s="128" t="s">
        <v>50</v>
      </c>
      <c r="E776" s="128" t="str" cm="1">
        <f t="array" ref="E776">IFERROR(INDEX(SubcategoriesTable[Subcategory name],MATCH(Table1[[#This Row],[Category]],SubcategoriesTable[Category name],0),0),"")</f>
        <v>Variable</v>
      </c>
      <c r="F776" s="134">
        <v>-620.02</v>
      </c>
      <c r="G776" s="167" t="str">
        <f>_xlfn.XLOOKUP(Table1[[#This Row],[Account_ID]], Accounts[ID], Accounts[Account nickname], "Unknown")</f>
        <v>EVERYDAY CHECKING</v>
      </c>
      <c r="H776" s="137" t="str">
        <f>_xlfn.XLOOKUP(Table1[[#This Row],[Account_ID]], Accounts[ID], Accounts[Account'#], "Unknown")</f>
        <v>4636</v>
      </c>
      <c r="I776" s="168" t="str">
        <f>_xlfn.XLOOKUP(Table1[[#This Row],[Institution_ID]], Institutions[ID], Institutions[Institution nickname], "Unknown")</f>
        <v>Wells Fargo</v>
      </c>
      <c r="J776" s="139" t="s">
        <v>1563</v>
      </c>
      <c r="K776" s="129" t="s">
        <v>1229</v>
      </c>
      <c r="L776" s="129" t="s">
        <v>1228</v>
      </c>
      <c r="M776" s="130" t="str" cm="1">
        <f t="array" ref="M776">IFERROR(INDEX(CategoriesTable[Category type],MATCH(Table1[[#This Row],[Category]],CategoriesTable[Category name],0),0),"")</f>
        <v>Transfer</v>
      </c>
      <c r="N776" s="130" t="str" cm="1">
        <f t="array" ref="N776">IFERROR(INDEX(SubcategoriesTable[Subcategory name],MATCH(Table1[[#This Row],[Category]],SubcategoriesTable[Category name],0),0),"")</f>
        <v>Variable</v>
      </c>
      <c r="O776" s="130">
        <v>31</v>
      </c>
      <c r="P776" s="130">
        <f>MONTH(Table1[[#This Row],[Date]])</f>
        <v>7</v>
      </c>
      <c r="Q776" s="130">
        <v>2020</v>
      </c>
      <c r="R776" s="166">
        <f>IF(ISBLANK(Table1[[#This Row],[Date]]),"",Table1[[#This Row],[Date]]-WEEKDAY(Table1[[#This Row],[Date]],2)+1)</f>
        <v>44039</v>
      </c>
      <c r="S776" s="131">
        <f>IF(ISBLANK(Table1[[#This Row],[Date]]),"",DATE(Table1[[#This Row],[Date_Year]],Table1[[#This Row],[Date_Month]],1))</f>
        <v>44013</v>
      </c>
    </row>
    <row r="777" spans="2:19" ht="15.75" x14ac:dyDescent="0.25">
      <c r="B777" s="133">
        <v>44043</v>
      </c>
      <c r="C777" s="128" t="s">
        <v>1181</v>
      </c>
      <c r="D777" s="128" t="s">
        <v>59</v>
      </c>
      <c r="E777" s="128" t="str" cm="1">
        <f t="array" ref="E777">IFERROR(INDEX(SubcategoriesTable[Subcategory name],MATCH(Table1[[#This Row],[Category]],SubcategoriesTable[Category name],0),0),"")</f>
        <v>Fixed</v>
      </c>
      <c r="F777" s="134">
        <v>1450.14</v>
      </c>
      <c r="G777" s="167" t="str">
        <f>_xlfn.XLOOKUP(Table1[[#This Row],[Account_ID]], Accounts[ID], Accounts[Account nickname], "Unknown")</f>
        <v>EVERYDAY CHECKING</v>
      </c>
      <c r="H777" s="137" t="str">
        <f>_xlfn.XLOOKUP(Table1[[#This Row],[Account_ID]], Accounts[ID], Accounts[Account'#], "Unknown")</f>
        <v>4636</v>
      </c>
      <c r="I777" s="168" t="str">
        <f>_xlfn.XLOOKUP(Table1[[#This Row],[Institution_ID]], Institutions[ID], Institutions[Institution nickname], "Unknown")</f>
        <v>Wells Fargo</v>
      </c>
      <c r="J777" s="139" t="s">
        <v>1564</v>
      </c>
      <c r="K777" s="129" t="s">
        <v>1229</v>
      </c>
      <c r="L777" s="129" t="s">
        <v>1228</v>
      </c>
      <c r="M777" s="130" t="str" cm="1">
        <f t="array" ref="M777">IFERROR(INDEX(CategoriesTable[Category type],MATCH(Table1[[#This Row],[Category]],CategoriesTable[Category name],0),0),"")</f>
        <v>Income</v>
      </c>
      <c r="N777" s="130" t="str" cm="1">
        <f t="array" ref="N777">IFERROR(INDEX(SubcategoriesTable[Subcategory name],MATCH(Table1[[#This Row],[Category]],SubcategoriesTable[Category name],0),0),"")</f>
        <v>Fixed</v>
      </c>
      <c r="O777" s="130">
        <v>31</v>
      </c>
      <c r="P777" s="130">
        <f>MONTH(Table1[[#This Row],[Date]])</f>
        <v>7</v>
      </c>
      <c r="Q777" s="130">
        <v>2020</v>
      </c>
      <c r="R777" s="166">
        <f>IF(ISBLANK(Table1[[#This Row],[Date]]),"",Table1[[#This Row],[Date]]-WEEKDAY(Table1[[#This Row],[Date]],2)+1)</f>
        <v>44039</v>
      </c>
      <c r="S777" s="131">
        <f>IF(ISBLANK(Table1[[#This Row],[Date]]),"",DATE(Table1[[#This Row],[Date_Year]],Table1[[#This Row],[Date_Month]],1))</f>
        <v>44013</v>
      </c>
    </row>
    <row r="778" spans="2:19" ht="15.75" x14ac:dyDescent="0.25">
      <c r="B778" s="133">
        <v>44043</v>
      </c>
      <c r="C778" s="128" t="s">
        <v>508</v>
      </c>
      <c r="D778" s="128" t="s">
        <v>78</v>
      </c>
      <c r="E778" s="128" t="str" cm="1">
        <f t="array" ref="E778">IFERROR(INDEX(SubcategoriesTable[Subcategory name],MATCH(Table1[[#This Row],[Category]],SubcategoriesTable[Category name],0),0),"")</f>
        <v>Fixed</v>
      </c>
      <c r="F778" s="134">
        <v>-700</v>
      </c>
      <c r="G778" s="167" t="str">
        <f>_xlfn.XLOOKUP(Table1[[#This Row],[Account_ID]], Accounts[ID], Accounts[Account nickname], "Unknown")</f>
        <v>EVERYDAY CHECKING</v>
      </c>
      <c r="H778" s="137" t="str">
        <f>_xlfn.XLOOKUP(Table1[[#This Row],[Account_ID]], Accounts[ID], Accounts[Account'#], "Unknown")</f>
        <v>4636</v>
      </c>
      <c r="I778" s="168" t="str">
        <f>_xlfn.XLOOKUP(Table1[[#This Row],[Institution_ID]], Institutions[ID], Institutions[Institution nickname], "Unknown")</f>
        <v>Wells Fargo</v>
      </c>
      <c r="J778" s="139" t="s">
        <v>1565</v>
      </c>
      <c r="K778" s="129" t="s">
        <v>1229</v>
      </c>
      <c r="L778" s="129" t="s">
        <v>1228</v>
      </c>
      <c r="M778" s="130" t="str" cm="1">
        <f t="array" ref="M778">IFERROR(INDEX(CategoriesTable[Category type],MATCH(Table1[[#This Row],[Category]],CategoriesTable[Category name],0),0),"")</f>
        <v>Expense</v>
      </c>
      <c r="N778" s="130" t="str" cm="1">
        <f t="array" ref="N778">IFERROR(INDEX(SubcategoriesTable[Subcategory name],MATCH(Table1[[#This Row],[Category]],SubcategoriesTable[Category name],0),0),"")</f>
        <v>Fixed</v>
      </c>
      <c r="O778" s="130">
        <v>31</v>
      </c>
      <c r="P778" s="130">
        <f>MONTH(Table1[[#This Row],[Date]])</f>
        <v>7</v>
      </c>
      <c r="Q778" s="130">
        <v>2020</v>
      </c>
      <c r="R778" s="166">
        <f>IF(ISBLANK(Table1[[#This Row],[Date]]),"",Table1[[#This Row],[Date]]-WEEKDAY(Table1[[#This Row],[Date]],2)+1)</f>
        <v>44039</v>
      </c>
      <c r="S778" s="131">
        <f>IF(ISBLANK(Table1[[#This Row],[Date]]),"",DATE(Table1[[#This Row],[Date_Year]],Table1[[#This Row],[Date_Month]],1))</f>
        <v>44013</v>
      </c>
    </row>
    <row r="779" spans="2:19" ht="15.75" x14ac:dyDescent="0.25">
      <c r="B779" s="133">
        <v>44043</v>
      </c>
      <c r="C779" s="128" t="s">
        <v>113</v>
      </c>
      <c r="D779" s="128" t="s">
        <v>50</v>
      </c>
      <c r="E779" s="128" t="str" cm="1">
        <f t="array" ref="E779">IFERROR(INDEX(SubcategoriesTable[Subcategory name],MATCH(Table1[[#This Row],[Category]],SubcategoriesTable[Category name],0),0),"")</f>
        <v>Variable</v>
      </c>
      <c r="F779" s="134">
        <v>620.02</v>
      </c>
      <c r="G779" s="167" t="str">
        <f>_xlfn.XLOOKUP(Table1[[#This Row],[Account_ID]], Accounts[ID], Accounts[Account nickname], "Unknown")</f>
        <v>Discover it chrome Card</v>
      </c>
      <c r="H779" s="137" t="str">
        <f>_xlfn.XLOOKUP(Table1[[#This Row],[Account_ID]], Accounts[ID], Accounts[Account'#], "Unknown")</f>
        <v>7328</v>
      </c>
      <c r="I779" s="168" t="str">
        <f>_xlfn.XLOOKUP(Table1[[#This Row],[Institution_ID]], Institutions[ID], Institutions[Institution nickname], "Unknown")</f>
        <v>Discover</v>
      </c>
      <c r="J779" s="139" t="s">
        <v>832</v>
      </c>
      <c r="K779" s="129" t="s">
        <v>110</v>
      </c>
      <c r="L779" s="129" t="s">
        <v>108</v>
      </c>
      <c r="M779" s="130" t="str" cm="1">
        <f t="array" ref="M779">IFERROR(INDEX(CategoriesTable[Category type],MATCH(Table1[[#This Row],[Category]],CategoriesTable[Category name],0),0),"")</f>
        <v>Transfer</v>
      </c>
      <c r="N779" s="130" t="str" cm="1">
        <f t="array" ref="N779">IFERROR(INDEX(SubcategoriesTable[Subcategory name],MATCH(Table1[[#This Row],[Category]],SubcategoriesTable[Category name],0),0),"")</f>
        <v>Variable</v>
      </c>
      <c r="O779" s="130">
        <v>31</v>
      </c>
      <c r="P779" s="130">
        <f>MONTH(Table1[[#This Row],[Date]])</f>
        <v>7</v>
      </c>
      <c r="Q779" s="130">
        <v>2020</v>
      </c>
      <c r="R779" s="166">
        <f>IF(ISBLANK(Table1[[#This Row],[Date]]),"",Table1[[#This Row],[Date]]-WEEKDAY(Table1[[#This Row],[Date]],2)+1)</f>
        <v>44039</v>
      </c>
      <c r="S779" s="131">
        <f>IF(ISBLANK(Table1[[#This Row],[Date]]),"",DATE(Table1[[#This Row],[Date_Year]],Table1[[#This Row],[Date_Month]],1))</f>
        <v>44013</v>
      </c>
    </row>
    <row r="780" spans="2:19" ht="15.75" x14ac:dyDescent="0.25">
      <c r="B780" s="133">
        <v>44042</v>
      </c>
      <c r="C780" s="128" t="s">
        <v>1192</v>
      </c>
      <c r="D780" s="128" t="s">
        <v>56</v>
      </c>
      <c r="E780" s="128" t="str" cm="1">
        <f t="array" ref="E780">IFERROR(INDEX(SubcategoriesTable[Subcategory name],MATCH(Table1[[#This Row],[Category]],SubcategoriesTable[Category name],0),0),"")</f>
        <v>Variable</v>
      </c>
      <c r="F780" s="134">
        <v>-50</v>
      </c>
      <c r="G780" s="167" t="str">
        <f>_xlfn.XLOOKUP(Table1[[#This Row],[Account_ID]], Accounts[ID], Accounts[Account nickname], "Unknown")</f>
        <v>EVERYDAY CHECKING</v>
      </c>
      <c r="H780" s="137" t="str">
        <f>_xlfn.XLOOKUP(Table1[[#This Row],[Account_ID]], Accounts[ID], Accounts[Account'#], "Unknown")</f>
        <v>4636</v>
      </c>
      <c r="I780" s="168" t="str">
        <f>_xlfn.XLOOKUP(Table1[[#This Row],[Institution_ID]], Institutions[ID], Institutions[Institution nickname], "Unknown")</f>
        <v>Wells Fargo</v>
      </c>
      <c r="J780" s="139" t="s">
        <v>1566</v>
      </c>
      <c r="K780" s="129" t="s">
        <v>1229</v>
      </c>
      <c r="L780" s="129" t="s">
        <v>1228</v>
      </c>
      <c r="M780" s="130" t="str" cm="1">
        <f t="array" ref="M780">IFERROR(INDEX(CategoriesTable[Category type],MATCH(Table1[[#This Row],[Category]],CategoriesTable[Category name],0),0),"")</f>
        <v>Expense</v>
      </c>
      <c r="N780" s="130" t="str" cm="1">
        <f t="array" ref="N780">IFERROR(INDEX(SubcategoriesTable[Subcategory name],MATCH(Table1[[#This Row],[Category]],SubcategoriesTable[Category name],0),0),"")</f>
        <v>Variable</v>
      </c>
      <c r="O780" s="130">
        <v>30</v>
      </c>
      <c r="P780" s="130">
        <f>MONTH(Table1[[#This Row],[Date]])</f>
        <v>7</v>
      </c>
      <c r="Q780" s="130">
        <v>2020</v>
      </c>
      <c r="R780" s="166">
        <f>IF(ISBLANK(Table1[[#This Row],[Date]]),"",Table1[[#This Row],[Date]]-WEEKDAY(Table1[[#This Row],[Date]],2)+1)</f>
        <v>44039</v>
      </c>
      <c r="S780" s="131">
        <f>IF(ISBLANK(Table1[[#This Row],[Date]]),"",DATE(Table1[[#This Row],[Date_Year]],Table1[[#This Row],[Date_Month]],1))</f>
        <v>44013</v>
      </c>
    </row>
    <row r="781" spans="2:19" ht="15.75" x14ac:dyDescent="0.25">
      <c r="B781" s="133">
        <v>44042</v>
      </c>
      <c r="C781" s="128" t="s">
        <v>833</v>
      </c>
      <c r="D781" s="128" t="s">
        <v>45</v>
      </c>
      <c r="E781" s="128" t="str" cm="1">
        <f t="array" ref="E781">IFERROR(INDEX(SubcategoriesTable[Subcategory name],MATCH(Table1[[#This Row],[Category]],SubcategoriesTable[Category name],0),0),"")</f>
        <v>Variable</v>
      </c>
      <c r="F781" s="134">
        <v>-25.28</v>
      </c>
      <c r="G781" s="167" t="str">
        <f>_xlfn.XLOOKUP(Table1[[#This Row],[Account_ID]], Accounts[ID], Accounts[Account nickname], "Unknown")</f>
        <v>Discover it chrome Card</v>
      </c>
      <c r="H781" s="137" t="str">
        <f>_xlfn.XLOOKUP(Table1[[#This Row],[Account_ID]], Accounts[ID], Accounts[Account'#], "Unknown")</f>
        <v>7328</v>
      </c>
      <c r="I781" s="168" t="str">
        <f>_xlfn.XLOOKUP(Table1[[#This Row],[Institution_ID]], Institutions[ID], Institutions[Institution nickname], "Unknown")</f>
        <v>Discover</v>
      </c>
      <c r="J781" s="139" t="s">
        <v>834</v>
      </c>
      <c r="K781" s="129" t="s">
        <v>110</v>
      </c>
      <c r="L781" s="129" t="s">
        <v>108</v>
      </c>
      <c r="M781" s="130" t="str" cm="1">
        <f t="array" ref="M781">IFERROR(INDEX(CategoriesTable[Category type],MATCH(Table1[[#This Row],[Category]],CategoriesTable[Category name],0),0),"")</f>
        <v>Expense</v>
      </c>
      <c r="N781" s="130" t="str" cm="1">
        <f t="array" ref="N781">IFERROR(INDEX(SubcategoriesTable[Subcategory name],MATCH(Table1[[#This Row],[Category]],SubcategoriesTable[Category name],0),0),"")</f>
        <v>Variable</v>
      </c>
      <c r="O781" s="130">
        <v>30</v>
      </c>
      <c r="P781" s="130">
        <f>MONTH(Table1[[#This Row],[Date]])</f>
        <v>7</v>
      </c>
      <c r="Q781" s="130">
        <v>2020</v>
      </c>
      <c r="R781" s="166">
        <f>IF(ISBLANK(Table1[[#This Row],[Date]]),"",Table1[[#This Row],[Date]]-WEEKDAY(Table1[[#This Row],[Date]],2)+1)</f>
        <v>44039</v>
      </c>
      <c r="S781" s="131">
        <f>IF(ISBLANK(Table1[[#This Row],[Date]]),"",DATE(Table1[[#This Row],[Date_Year]],Table1[[#This Row],[Date_Month]],1))</f>
        <v>44013</v>
      </c>
    </row>
    <row r="782" spans="2:19" ht="15.75" x14ac:dyDescent="0.25">
      <c r="B782" s="133">
        <v>44041</v>
      </c>
      <c r="C782" s="128" t="s">
        <v>115</v>
      </c>
      <c r="D782" s="128" t="s">
        <v>48</v>
      </c>
      <c r="E782" s="128" t="str" cm="1">
        <f t="array" ref="E782">IFERROR(INDEX(SubcategoriesTable[Subcategory name],MATCH(Table1[[#This Row],[Category]],SubcategoriesTable[Category name],0),0),"")</f>
        <v>Variable</v>
      </c>
      <c r="F782" s="134">
        <v>-11.51</v>
      </c>
      <c r="G782" s="167" t="str">
        <f>_xlfn.XLOOKUP(Table1[[#This Row],[Account_ID]], Accounts[ID], Accounts[Account nickname], "Unknown")</f>
        <v>Discover it chrome Card</v>
      </c>
      <c r="H782" s="137" t="str">
        <f>_xlfn.XLOOKUP(Table1[[#This Row],[Account_ID]], Accounts[ID], Accounts[Account'#], "Unknown")</f>
        <v>7328</v>
      </c>
      <c r="I782" s="168" t="str">
        <f>_xlfn.XLOOKUP(Table1[[#This Row],[Institution_ID]], Institutions[ID], Institutions[Institution nickname], "Unknown")</f>
        <v>Discover</v>
      </c>
      <c r="J782" s="139" t="s">
        <v>835</v>
      </c>
      <c r="K782" s="129" t="s">
        <v>110</v>
      </c>
      <c r="L782" s="129" t="s">
        <v>108</v>
      </c>
      <c r="M782" s="130" t="str" cm="1">
        <f t="array" ref="M782">IFERROR(INDEX(CategoriesTable[Category type],MATCH(Table1[[#This Row],[Category]],CategoriesTable[Category name],0),0),"")</f>
        <v>Expense</v>
      </c>
      <c r="N782" s="130" t="str" cm="1">
        <f t="array" ref="N782">IFERROR(INDEX(SubcategoriesTable[Subcategory name],MATCH(Table1[[#This Row],[Category]],SubcategoriesTable[Category name],0),0),"")</f>
        <v>Variable</v>
      </c>
      <c r="O782" s="130">
        <v>29</v>
      </c>
      <c r="P782" s="130">
        <f>MONTH(Table1[[#This Row],[Date]])</f>
        <v>7</v>
      </c>
      <c r="Q782" s="130">
        <v>2020</v>
      </c>
      <c r="R782" s="166">
        <f>IF(ISBLANK(Table1[[#This Row],[Date]]),"",Table1[[#This Row],[Date]]-WEEKDAY(Table1[[#This Row],[Date]],2)+1)</f>
        <v>44039</v>
      </c>
      <c r="S782" s="131">
        <f>IF(ISBLANK(Table1[[#This Row],[Date]]),"",DATE(Table1[[#This Row],[Date_Year]],Table1[[#This Row],[Date_Month]],1))</f>
        <v>44013</v>
      </c>
    </row>
    <row r="783" spans="2:19" ht="15.75" x14ac:dyDescent="0.25">
      <c r="B783" s="133">
        <v>44040</v>
      </c>
      <c r="C783" s="128" t="s">
        <v>1192</v>
      </c>
      <c r="D783" s="128" t="s">
        <v>56</v>
      </c>
      <c r="E783" s="128" t="str" cm="1">
        <f t="array" ref="E783">IFERROR(INDEX(SubcategoriesTable[Subcategory name],MATCH(Table1[[#This Row],[Category]],SubcategoriesTable[Category name],0),0),"")</f>
        <v>Variable</v>
      </c>
      <c r="F783" s="134">
        <v>-210</v>
      </c>
      <c r="G783" s="167" t="str">
        <f>_xlfn.XLOOKUP(Table1[[#This Row],[Account_ID]], Accounts[ID], Accounts[Account nickname], "Unknown")</f>
        <v>EVERYDAY CHECKING</v>
      </c>
      <c r="H783" s="137" t="str">
        <f>_xlfn.XLOOKUP(Table1[[#This Row],[Account_ID]], Accounts[ID], Accounts[Account'#], "Unknown")</f>
        <v>4636</v>
      </c>
      <c r="I783" s="168" t="str">
        <f>_xlfn.XLOOKUP(Table1[[#This Row],[Institution_ID]], Institutions[ID], Institutions[Institution nickname], "Unknown")</f>
        <v>Wells Fargo</v>
      </c>
      <c r="J783" s="139" t="s">
        <v>1567</v>
      </c>
      <c r="K783" s="129" t="s">
        <v>1229</v>
      </c>
      <c r="L783" s="129" t="s">
        <v>1228</v>
      </c>
      <c r="M783" s="130" t="str" cm="1">
        <f t="array" ref="M783">IFERROR(INDEX(CategoriesTable[Category type],MATCH(Table1[[#This Row],[Category]],CategoriesTable[Category name],0),0),"")</f>
        <v>Expense</v>
      </c>
      <c r="N783" s="130" t="str" cm="1">
        <f t="array" ref="N783">IFERROR(INDEX(SubcategoriesTable[Subcategory name],MATCH(Table1[[#This Row],[Category]],SubcategoriesTable[Category name],0),0),"")</f>
        <v>Variable</v>
      </c>
      <c r="O783" s="130">
        <v>28</v>
      </c>
      <c r="P783" s="130">
        <f>MONTH(Table1[[#This Row],[Date]])</f>
        <v>7</v>
      </c>
      <c r="Q783" s="130">
        <v>2020</v>
      </c>
      <c r="R783" s="166">
        <f>IF(ISBLANK(Table1[[#This Row],[Date]]),"",Table1[[#This Row],[Date]]-WEEKDAY(Table1[[#This Row],[Date]],2)+1)</f>
        <v>44039</v>
      </c>
      <c r="S783" s="131">
        <f>IF(ISBLANK(Table1[[#This Row],[Date]]),"",DATE(Table1[[#This Row],[Date_Year]],Table1[[#This Row],[Date_Month]],1))</f>
        <v>44013</v>
      </c>
    </row>
    <row r="784" spans="2:19" ht="15.75" x14ac:dyDescent="0.25">
      <c r="B784" s="133">
        <v>44040</v>
      </c>
      <c r="C784" s="128" t="s">
        <v>1503</v>
      </c>
      <c r="D784" s="128" t="s">
        <v>51</v>
      </c>
      <c r="E784" s="128" t="str" cm="1">
        <f t="array" ref="E784">IFERROR(INDEX(SubcategoriesTable[Subcategory name],MATCH(Table1[[#This Row],[Category]],SubcategoriesTable[Category name],0),0),"")</f>
        <v>Variable</v>
      </c>
      <c r="F784" s="134">
        <v>-9.9499999999999993</v>
      </c>
      <c r="G784" s="167" t="str">
        <f>_xlfn.XLOOKUP(Table1[[#This Row],[Account_ID]], Accounts[ID], Accounts[Account nickname], "Unknown")</f>
        <v>EVERYDAY CHECKING</v>
      </c>
      <c r="H784" s="137" t="str">
        <f>_xlfn.XLOOKUP(Table1[[#This Row],[Account_ID]], Accounts[ID], Accounts[Account'#], "Unknown")</f>
        <v>4636</v>
      </c>
      <c r="I784" s="168" t="str">
        <f>_xlfn.XLOOKUP(Table1[[#This Row],[Institution_ID]], Institutions[ID], Institutions[Institution nickname], "Unknown")</f>
        <v>Wells Fargo</v>
      </c>
      <c r="J784" s="139" t="s">
        <v>1568</v>
      </c>
      <c r="K784" s="129" t="s">
        <v>1229</v>
      </c>
      <c r="L784" s="129" t="s">
        <v>1228</v>
      </c>
      <c r="M784" s="130" t="str" cm="1">
        <f t="array" ref="M784">IFERROR(INDEX(CategoriesTable[Category type],MATCH(Table1[[#This Row],[Category]],CategoriesTable[Category name],0),0),"")</f>
        <v>Expense</v>
      </c>
      <c r="N784" s="130" t="str" cm="1">
        <f t="array" ref="N784">IFERROR(INDEX(SubcategoriesTable[Subcategory name],MATCH(Table1[[#This Row],[Category]],SubcategoriesTable[Category name],0),0),"")</f>
        <v>Variable</v>
      </c>
      <c r="O784" s="130">
        <v>28</v>
      </c>
      <c r="P784" s="130">
        <f>MONTH(Table1[[#This Row],[Date]])</f>
        <v>7</v>
      </c>
      <c r="Q784" s="130">
        <v>2020</v>
      </c>
      <c r="R784" s="166">
        <f>IF(ISBLANK(Table1[[#This Row],[Date]]),"",Table1[[#This Row],[Date]]-WEEKDAY(Table1[[#This Row],[Date]],2)+1)</f>
        <v>44039</v>
      </c>
      <c r="S784" s="131">
        <f>IF(ISBLANK(Table1[[#This Row],[Date]]),"",DATE(Table1[[#This Row],[Date_Year]],Table1[[#This Row],[Date_Month]],1))</f>
        <v>44013</v>
      </c>
    </row>
    <row r="785" spans="2:19" ht="15.75" x14ac:dyDescent="0.25">
      <c r="B785" s="133">
        <v>44038</v>
      </c>
      <c r="C785" s="128" t="s">
        <v>191</v>
      </c>
      <c r="D785" s="128" t="s">
        <v>48</v>
      </c>
      <c r="E785" s="128" t="str" cm="1">
        <f t="array" ref="E785">IFERROR(INDEX(SubcategoriesTable[Subcategory name],MATCH(Table1[[#This Row],[Category]],SubcategoriesTable[Category name],0),0),"")</f>
        <v>Variable</v>
      </c>
      <c r="F785" s="134">
        <v>-112.1</v>
      </c>
      <c r="G785" s="167" t="str">
        <f>_xlfn.XLOOKUP(Table1[[#This Row],[Account_ID]], Accounts[ID], Accounts[Account nickname], "Unknown")</f>
        <v>EVERYDAY CHECKING</v>
      </c>
      <c r="H785" s="137" t="str">
        <f>_xlfn.XLOOKUP(Table1[[#This Row],[Account_ID]], Accounts[ID], Accounts[Account'#], "Unknown")</f>
        <v>4636</v>
      </c>
      <c r="I785" s="168" t="str">
        <f>_xlfn.XLOOKUP(Table1[[#This Row],[Institution_ID]], Institutions[ID], Institutions[Institution nickname], "Unknown")</f>
        <v>Wells Fargo</v>
      </c>
      <c r="J785" s="139" t="s">
        <v>1569</v>
      </c>
      <c r="K785" s="129" t="s">
        <v>1229</v>
      </c>
      <c r="L785" s="129" t="s">
        <v>1228</v>
      </c>
      <c r="M785" s="130" t="str" cm="1">
        <f t="array" ref="M785">IFERROR(INDEX(CategoriesTable[Category type],MATCH(Table1[[#This Row],[Category]],CategoriesTable[Category name],0),0),"")</f>
        <v>Expense</v>
      </c>
      <c r="N785" s="130" t="str" cm="1">
        <f t="array" ref="N785">IFERROR(INDEX(SubcategoriesTable[Subcategory name],MATCH(Table1[[#This Row],[Category]],SubcategoriesTable[Category name],0),0),"")</f>
        <v>Variable</v>
      </c>
      <c r="O785" s="130">
        <v>26</v>
      </c>
      <c r="P785" s="130">
        <f>MONTH(Table1[[#This Row],[Date]])</f>
        <v>7</v>
      </c>
      <c r="Q785" s="130">
        <v>2020</v>
      </c>
      <c r="R785" s="166">
        <f>IF(ISBLANK(Table1[[#This Row],[Date]]),"",Table1[[#This Row],[Date]]-WEEKDAY(Table1[[#This Row],[Date]],2)+1)</f>
        <v>44032</v>
      </c>
      <c r="S785" s="131">
        <f>IF(ISBLANK(Table1[[#This Row],[Date]]),"",DATE(Table1[[#This Row],[Date_Year]],Table1[[#This Row],[Date_Month]],1))</f>
        <v>44013</v>
      </c>
    </row>
    <row r="786" spans="2:19" ht="15.75" x14ac:dyDescent="0.25">
      <c r="B786" s="133">
        <v>44038</v>
      </c>
      <c r="C786" s="128" t="s">
        <v>115</v>
      </c>
      <c r="D786" s="128" t="s">
        <v>48</v>
      </c>
      <c r="E786" s="128" t="str" cm="1">
        <f t="array" ref="E786">IFERROR(INDEX(SubcategoriesTable[Subcategory name],MATCH(Table1[[#This Row],[Category]],SubcategoriesTable[Category name],0),0),"")</f>
        <v>Variable</v>
      </c>
      <c r="F786" s="134">
        <v>-62.75</v>
      </c>
      <c r="G786" s="167" t="str">
        <f>_xlfn.XLOOKUP(Table1[[#This Row],[Account_ID]], Accounts[ID], Accounts[Account nickname], "Unknown")</f>
        <v>Discover it chrome Card</v>
      </c>
      <c r="H786" s="137" t="str">
        <f>_xlfn.XLOOKUP(Table1[[#This Row],[Account_ID]], Accounts[ID], Accounts[Account'#], "Unknown")</f>
        <v>7328</v>
      </c>
      <c r="I786" s="168" t="str">
        <f>_xlfn.XLOOKUP(Table1[[#This Row],[Institution_ID]], Institutions[ID], Institutions[Institution nickname], "Unknown")</f>
        <v>Discover</v>
      </c>
      <c r="J786" s="139" t="s">
        <v>836</v>
      </c>
      <c r="K786" s="129" t="s">
        <v>110</v>
      </c>
      <c r="L786" s="129" t="s">
        <v>108</v>
      </c>
      <c r="M786" s="130" t="str" cm="1">
        <f t="array" ref="M786">IFERROR(INDEX(CategoriesTable[Category type],MATCH(Table1[[#This Row],[Category]],CategoriesTable[Category name],0),0),"")</f>
        <v>Expense</v>
      </c>
      <c r="N786" s="130" t="str" cm="1">
        <f t="array" ref="N786">IFERROR(INDEX(SubcategoriesTable[Subcategory name],MATCH(Table1[[#This Row],[Category]],SubcategoriesTable[Category name],0),0),"")</f>
        <v>Variable</v>
      </c>
      <c r="O786" s="130">
        <v>26</v>
      </c>
      <c r="P786" s="130">
        <f>MONTH(Table1[[#This Row],[Date]])</f>
        <v>7</v>
      </c>
      <c r="Q786" s="130">
        <v>2020</v>
      </c>
      <c r="R786" s="166">
        <f>IF(ISBLANK(Table1[[#This Row],[Date]]),"",Table1[[#This Row],[Date]]-WEEKDAY(Table1[[#This Row],[Date]],2)+1)</f>
        <v>44032</v>
      </c>
      <c r="S786" s="131">
        <f>IF(ISBLANK(Table1[[#This Row],[Date]]),"",DATE(Table1[[#This Row],[Date_Year]],Table1[[#This Row],[Date_Month]],1))</f>
        <v>44013</v>
      </c>
    </row>
    <row r="787" spans="2:19" ht="15.75" x14ac:dyDescent="0.25">
      <c r="B787" s="133">
        <v>44037</v>
      </c>
      <c r="C787" s="128" t="s">
        <v>1570</v>
      </c>
      <c r="D787" s="128" t="s">
        <v>45</v>
      </c>
      <c r="E787" s="128" t="str" cm="1">
        <f t="array" ref="E787">IFERROR(INDEX(SubcategoriesTable[Subcategory name],MATCH(Table1[[#This Row],[Category]],SubcategoriesTable[Category name],0),0),"")</f>
        <v>Variable</v>
      </c>
      <c r="F787" s="134">
        <v>-11.31</v>
      </c>
      <c r="G787" s="167" t="str">
        <f>_xlfn.XLOOKUP(Table1[[#This Row],[Account_ID]], Accounts[ID], Accounts[Account nickname], "Unknown")</f>
        <v>EVERYDAY CHECKING</v>
      </c>
      <c r="H787" s="137" t="str">
        <f>_xlfn.XLOOKUP(Table1[[#This Row],[Account_ID]], Accounts[ID], Accounts[Account'#], "Unknown")</f>
        <v>4636</v>
      </c>
      <c r="I787" s="168" t="str">
        <f>_xlfn.XLOOKUP(Table1[[#This Row],[Institution_ID]], Institutions[ID], Institutions[Institution nickname], "Unknown")</f>
        <v>Wells Fargo</v>
      </c>
      <c r="J787" s="139" t="s">
        <v>1571</v>
      </c>
      <c r="K787" s="129" t="s">
        <v>1229</v>
      </c>
      <c r="L787" s="129" t="s">
        <v>1228</v>
      </c>
      <c r="M787" s="130" t="str" cm="1">
        <f t="array" ref="M787">IFERROR(INDEX(CategoriesTable[Category type],MATCH(Table1[[#This Row],[Category]],CategoriesTable[Category name],0),0),"")</f>
        <v>Expense</v>
      </c>
      <c r="N787" s="130" t="str" cm="1">
        <f t="array" ref="N787">IFERROR(INDEX(SubcategoriesTable[Subcategory name],MATCH(Table1[[#This Row],[Category]],SubcategoriesTable[Category name],0),0),"")</f>
        <v>Variable</v>
      </c>
      <c r="O787" s="130">
        <v>25</v>
      </c>
      <c r="P787" s="130">
        <f>MONTH(Table1[[#This Row],[Date]])</f>
        <v>7</v>
      </c>
      <c r="Q787" s="130">
        <v>2020</v>
      </c>
      <c r="R787" s="166">
        <f>IF(ISBLANK(Table1[[#This Row],[Date]]),"",Table1[[#This Row],[Date]]-WEEKDAY(Table1[[#This Row],[Date]],2)+1)</f>
        <v>44032</v>
      </c>
      <c r="S787" s="131">
        <f>IF(ISBLANK(Table1[[#This Row],[Date]]),"",DATE(Table1[[#This Row],[Date_Year]],Table1[[#This Row],[Date_Month]],1))</f>
        <v>44013</v>
      </c>
    </row>
    <row r="788" spans="2:19" ht="15.75" x14ac:dyDescent="0.25">
      <c r="B788" s="133">
        <v>44037</v>
      </c>
      <c r="C788" s="128" t="s">
        <v>1570</v>
      </c>
      <c r="D788" s="128" t="s">
        <v>45</v>
      </c>
      <c r="E788" s="128" t="str" cm="1">
        <f t="array" ref="E788">IFERROR(INDEX(SubcategoriesTable[Subcategory name],MATCH(Table1[[#This Row],[Category]],SubcategoriesTable[Category name],0),0),"")</f>
        <v>Variable</v>
      </c>
      <c r="F788" s="134">
        <v>-25.77</v>
      </c>
      <c r="G788" s="167" t="str">
        <f>_xlfn.XLOOKUP(Table1[[#This Row],[Account_ID]], Accounts[ID], Accounts[Account nickname], "Unknown")</f>
        <v>EVERYDAY CHECKING</v>
      </c>
      <c r="H788" s="137" t="str">
        <f>_xlfn.XLOOKUP(Table1[[#This Row],[Account_ID]], Accounts[ID], Accounts[Account'#], "Unknown")</f>
        <v>4636</v>
      </c>
      <c r="I788" s="168" t="str">
        <f>_xlfn.XLOOKUP(Table1[[#This Row],[Institution_ID]], Institutions[ID], Institutions[Institution nickname], "Unknown")</f>
        <v>Wells Fargo</v>
      </c>
      <c r="J788" s="139" t="s">
        <v>1572</v>
      </c>
      <c r="K788" s="129" t="s">
        <v>1229</v>
      </c>
      <c r="L788" s="129" t="s">
        <v>1228</v>
      </c>
      <c r="M788" s="130" t="str" cm="1">
        <f t="array" ref="M788">IFERROR(INDEX(CategoriesTable[Category type],MATCH(Table1[[#This Row],[Category]],CategoriesTable[Category name],0),0),"")</f>
        <v>Expense</v>
      </c>
      <c r="N788" s="130" t="str" cm="1">
        <f t="array" ref="N788">IFERROR(INDEX(SubcategoriesTable[Subcategory name],MATCH(Table1[[#This Row],[Category]],SubcategoriesTable[Category name],0),0),"")</f>
        <v>Variable</v>
      </c>
      <c r="O788" s="130">
        <v>25</v>
      </c>
      <c r="P788" s="130">
        <f>MONTH(Table1[[#This Row],[Date]])</f>
        <v>7</v>
      </c>
      <c r="Q788" s="130">
        <v>2020</v>
      </c>
      <c r="R788" s="166">
        <f>IF(ISBLANK(Table1[[#This Row],[Date]]),"",Table1[[#This Row],[Date]]-WEEKDAY(Table1[[#This Row],[Date]],2)+1)</f>
        <v>44032</v>
      </c>
      <c r="S788" s="131">
        <f>IF(ISBLANK(Table1[[#This Row],[Date]]),"",DATE(Table1[[#This Row],[Date_Year]],Table1[[#This Row],[Date_Month]],1))</f>
        <v>44013</v>
      </c>
    </row>
    <row r="789" spans="2:19" ht="15.75" x14ac:dyDescent="0.25">
      <c r="B789" s="133">
        <v>44037</v>
      </c>
      <c r="C789" s="128" t="s">
        <v>239</v>
      </c>
      <c r="D789" s="128" t="s">
        <v>52</v>
      </c>
      <c r="E789" s="128" t="str" cm="1">
        <f t="array" ref="E789">IFERROR(INDEX(SubcategoriesTable[Subcategory name],MATCH(Table1[[#This Row],[Category]],SubcategoriesTable[Category name],0),0),"")</f>
        <v>Variable</v>
      </c>
      <c r="F789" s="134">
        <v>-20.05</v>
      </c>
      <c r="G789" s="167" t="str">
        <f>_xlfn.XLOOKUP(Table1[[#This Row],[Account_ID]], Accounts[ID], Accounts[Account nickname], "Unknown")</f>
        <v>Discover it chrome Card</v>
      </c>
      <c r="H789" s="137" t="str">
        <f>_xlfn.XLOOKUP(Table1[[#This Row],[Account_ID]], Accounts[ID], Accounts[Account'#], "Unknown")</f>
        <v>7328</v>
      </c>
      <c r="I789" s="168" t="str">
        <f>_xlfn.XLOOKUP(Table1[[#This Row],[Institution_ID]], Institutions[ID], Institutions[Institution nickname], "Unknown")</f>
        <v>Discover</v>
      </c>
      <c r="J789" s="139" t="s">
        <v>837</v>
      </c>
      <c r="K789" s="129" t="s">
        <v>110</v>
      </c>
      <c r="L789" s="129" t="s">
        <v>108</v>
      </c>
      <c r="M789" s="130" t="str" cm="1">
        <f t="array" ref="M789">IFERROR(INDEX(CategoriesTable[Category type],MATCH(Table1[[#This Row],[Category]],CategoriesTable[Category name],0),0),"")</f>
        <v>Expense</v>
      </c>
      <c r="N789" s="130" t="str" cm="1">
        <f t="array" ref="N789">IFERROR(INDEX(SubcategoriesTable[Subcategory name],MATCH(Table1[[#This Row],[Category]],SubcategoriesTable[Category name],0),0),"")</f>
        <v>Variable</v>
      </c>
      <c r="O789" s="130">
        <v>25</v>
      </c>
      <c r="P789" s="130">
        <f>MONTH(Table1[[#This Row],[Date]])</f>
        <v>7</v>
      </c>
      <c r="Q789" s="130">
        <v>2020</v>
      </c>
      <c r="R789" s="166">
        <f>IF(ISBLANK(Table1[[#This Row],[Date]]),"",Table1[[#This Row],[Date]]-WEEKDAY(Table1[[#This Row],[Date]],2)+1)</f>
        <v>44032</v>
      </c>
      <c r="S789" s="131">
        <f>IF(ISBLANK(Table1[[#This Row],[Date]]),"",DATE(Table1[[#This Row],[Date_Year]],Table1[[#This Row],[Date_Month]],1))</f>
        <v>44013</v>
      </c>
    </row>
    <row r="790" spans="2:19" ht="15.75" x14ac:dyDescent="0.25">
      <c r="B790" s="133">
        <v>44037</v>
      </c>
      <c r="C790" s="128" t="s">
        <v>838</v>
      </c>
      <c r="D790" s="128" t="s">
        <v>50</v>
      </c>
      <c r="E790" s="128" t="str" cm="1">
        <f t="array" ref="E790">IFERROR(INDEX(SubcategoriesTable[Subcategory name],MATCH(Table1[[#This Row],[Category]],SubcategoriesTable[Category name],0),0),"")</f>
        <v>Variable</v>
      </c>
      <c r="F790" s="134">
        <v>-43.2</v>
      </c>
      <c r="G790" s="167" t="str">
        <f>_xlfn.XLOOKUP(Table1[[#This Row],[Account_ID]], Accounts[ID], Accounts[Account nickname], "Unknown")</f>
        <v>Discover it chrome Card</v>
      </c>
      <c r="H790" s="137" t="str">
        <f>_xlfn.XLOOKUP(Table1[[#This Row],[Account_ID]], Accounts[ID], Accounts[Account'#], "Unknown")</f>
        <v>7328</v>
      </c>
      <c r="I790" s="168" t="str">
        <f>_xlfn.XLOOKUP(Table1[[#This Row],[Institution_ID]], Institutions[ID], Institutions[Institution nickname], "Unknown")</f>
        <v>Discover</v>
      </c>
      <c r="J790" s="139" t="s">
        <v>839</v>
      </c>
      <c r="K790" s="129" t="s">
        <v>110</v>
      </c>
      <c r="L790" s="129" t="s">
        <v>108</v>
      </c>
      <c r="M790" s="130" t="str" cm="1">
        <f t="array" ref="M790">IFERROR(INDEX(CategoriesTable[Category type],MATCH(Table1[[#This Row],[Category]],CategoriesTable[Category name],0),0),"")</f>
        <v>Transfer</v>
      </c>
      <c r="N790" s="130" t="str" cm="1">
        <f t="array" ref="N790">IFERROR(INDEX(SubcategoriesTable[Subcategory name],MATCH(Table1[[#This Row],[Category]],SubcategoriesTable[Category name],0),0),"")</f>
        <v>Variable</v>
      </c>
      <c r="O790" s="130">
        <v>25</v>
      </c>
      <c r="P790" s="130">
        <f>MONTH(Table1[[#This Row],[Date]])</f>
        <v>7</v>
      </c>
      <c r="Q790" s="130">
        <v>2020</v>
      </c>
      <c r="R790" s="166">
        <f>IF(ISBLANK(Table1[[#This Row],[Date]]),"",Table1[[#This Row],[Date]]-WEEKDAY(Table1[[#This Row],[Date]],2)+1)</f>
        <v>44032</v>
      </c>
      <c r="S790" s="131">
        <f>IF(ISBLANK(Table1[[#This Row],[Date]]),"",DATE(Table1[[#This Row],[Date_Year]],Table1[[#This Row],[Date_Month]],1))</f>
        <v>44013</v>
      </c>
    </row>
    <row r="791" spans="2:19" ht="15.75" x14ac:dyDescent="0.25">
      <c r="B791" s="133">
        <v>44036</v>
      </c>
      <c r="C791" s="128" t="s">
        <v>1185</v>
      </c>
      <c r="D791" s="128" t="s">
        <v>57</v>
      </c>
      <c r="E791" s="128" t="str" cm="1">
        <f t="array" ref="E791">IFERROR(INDEX(SubcategoriesTable[Subcategory name],MATCH(Table1[[#This Row],[Category]],SubcategoriesTable[Category name],0),0),"")</f>
        <v>Variable</v>
      </c>
      <c r="F791" s="134">
        <v>869</v>
      </c>
      <c r="G791" s="167" t="str">
        <f>_xlfn.XLOOKUP(Table1[[#This Row],[Account_ID]], Accounts[ID], Accounts[Account nickname], "Unknown")</f>
        <v>EVERYDAY CHECKING</v>
      </c>
      <c r="H791" s="137" t="str">
        <f>_xlfn.XLOOKUP(Table1[[#This Row],[Account_ID]], Accounts[ID], Accounts[Account'#], "Unknown")</f>
        <v>4636</v>
      </c>
      <c r="I791" s="168" t="str">
        <f>_xlfn.XLOOKUP(Table1[[#This Row],[Institution_ID]], Institutions[ID], Institutions[Institution nickname], "Unknown")</f>
        <v>Wells Fargo</v>
      </c>
      <c r="J791" s="139" t="s">
        <v>1573</v>
      </c>
      <c r="K791" s="129" t="s">
        <v>1229</v>
      </c>
      <c r="L791" s="129" t="s">
        <v>1228</v>
      </c>
      <c r="M791" s="130" t="str" cm="1">
        <f t="array" ref="M791">IFERROR(INDEX(CategoriesTable[Category type],MATCH(Table1[[#This Row],[Category]],CategoriesTable[Category name],0),0),"")</f>
        <v>Transfer</v>
      </c>
      <c r="N791" s="130" t="str" cm="1">
        <f t="array" ref="N791">IFERROR(INDEX(SubcategoriesTable[Subcategory name],MATCH(Table1[[#This Row],[Category]],SubcategoriesTable[Category name],0),0),"")</f>
        <v>Variable</v>
      </c>
      <c r="O791" s="130">
        <v>24</v>
      </c>
      <c r="P791" s="130">
        <f>MONTH(Table1[[#This Row],[Date]])</f>
        <v>7</v>
      </c>
      <c r="Q791" s="130">
        <v>2020</v>
      </c>
      <c r="R791" s="166">
        <f>IF(ISBLANK(Table1[[#This Row],[Date]]),"",Table1[[#This Row],[Date]]-WEEKDAY(Table1[[#This Row],[Date]],2)+1)</f>
        <v>44032</v>
      </c>
      <c r="S791" s="131">
        <f>IF(ISBLANK(Table1[[#This Row],[Date]]),"",DATE(Table1[[#This Row],[Date_Year]],Table1[[#This Row],[Date_Month]],1))</f>
        <v>44013</v>
      </c>
    </row>
    <row r="792" spans="2:19" ht="15.75" x14ac:dyDescent="0.25">
      <c r="B792" s="133">
        <v>44036</v>
      </c>
      <c r="C792" s="128" t="s">
        <v>1180</v>
      </c>
      <c r="D792" s="128" t="s">
        <v>50</v>
      </c>
      <c r="E792" s="128" t="str" cm="1">
        <f t="array" ref="E792">IFERROR(INDEX(SubcategoriesTable[Subcategory name],MATCH(Table1[[#This Row],[Category]],SubcategoriesTable[Category name],0),0),"")</f>
        <v>Variable</v>
      </c>
      <c r="F792" s="134">
        <v>-197.57</v>
      </c>
      <c r="G792" s="167" t="str">
        <f>_xlfn.XLOOKUP(Table1[[#This Row],[Account_ID]], Accounts[ID], Accounts[Account nickname], "Unknown")</f>
        <v>EVERYDAY CHECKING</v>
      </c>
      <c r="H792" s="137" t="str">
        <f>_xlfn.XLOOKUP(Table1[[#This Row],[Account_ID]], Accounts[ID], Accounts[Account'#], "Unknown")</f>
        <v>4636</v>
      </c>
      <c r="I792" s="168" t="str">
        <f>_xlfn.XLOOKUP(Table1[[#This Row],[Institution_ID]], Institutions[ID], Institutions[Institution nickname], "Unknown")</f>
        <v>Wells Fargo</v>
      </c>
      <c r="J792" s="139" t="s">
        <v>1574</v>
      </c>
      <c r="K792" s="129" t="s">
        <v>1229</v>
      </c>
      <c r="L792" s="129" t="s">
        <v>1228</v>
      </c>
      <c r="M792" s="130" t="str" cm="1">
        <f t="array" ref="M792">IFERROR(INDEX(CategoriesTable[Category type],MATCH(Table1[[#This Row],[Category]],CategoriesTable[Category name],0),0),"")</f>
        <v>Transfer</v>
      </c>
      <c r="N792" s="130" t="str" cm="1">
        <f t="array" ref="N792">IFERROR(INDEX(SubcategoriesTable[Subcategory name],MATCH(Table1[[#This Row],[Category]],SubcategoriesTable[Category name],0),0),"")</f>
        <v>Variable</v>
      </c>
      <c r="O792" s="130">
        <v>24</v>
      </c>
      <c r="P792" s="130">
        <f>MONTH(Table1[[#This Row],[Date]])</f>
        <v>7</v>
      </c>
      <c r="Q792" s="130">
        <v>2020</v>
      </c>
      <c r="R792" s="166">
        <f>IF(ISBLANK(Table1[[#This Row],[Date]]),"",Table1[[#This Row],[Date]]-WEEKDAY(Table1[[#This Row],[Date]],2)+1)</f>
        <v>44032</v>
      </c>
      <c r="S792" s="131">
        <f>IF(ISBLANK(Table1[[#This Row],[Date]]),"",DATE(Table1[[#This Row],[Date_Year]],Table1[[#This Row],[Date_Month]],1))</f>
        <v>44013</v>
      </c>
    </row>
    <row r="793" spans="2:19" ht="15.75" x14ac:dyDescent="0.25">
      <c r="B793" s="133">
        <v>44036</v>
      </c>
      <c r="C793" s="128" t="s">
        <v>508</v>
      </c>
      <c r="D793" s="128" t="s">
        <v>50</v>
      </c>
      <c r="E793" s="128" t="str" cm="1">
        <f t="array" ref="E793">IFERROR(INDEX(SubcategoriesTable[Subcategory name],MATCH(Table1[[#This Row],[Category]],SubcategoriesTable[Category name],0),0),"")</f>
        <v>Variable</v>
      </c>
      <c r="F793" s="134">
        <v>-150</v>
      </c>
      <c r="G793" s="167" t="str">
        <f>_xlfn.XLOOKUP(Table1[[#This Row],[Account_ID]], Accounts[ID], Accounts[Account nickname], "Unknown")</f>
        <v>EVERYDAY CHECKING</v>
      </c>
      <c r="H793" s="137" t="str">
        <f>_xlfn.XLOOKUP(Table1[[#This Row],[Account_ID]], Accounts[ID], Accounts[Account'#], "Unknown")</f>
        <v>4636</v>
      </c>
      <c r="I793" s="168" t="str">
        <f>_xlfn.XLOOKUP(Table1[[#This Row],[Institution_ID]], Institutions[ID], Institutions[Institution nickname], "Unknown")</f>
        <v>Wells Fargo</v>
      </c>
      <c r="J793" s="139" t="s">
        <v>1575</v>
      </c>
      <c r="K793" s="129" t="s">
        <v>1229</v>
      </c>
      <c r="L793" s="129" t="s">
        <v>1228</v>
      </c>
      <c r="M793" s="130" t="str" cm="1">
        <f t="array" ref="M793">IFERROR(INDEX(CategoriesTable[Category type],MATCH(Table1[[#This Row],[Category]],CategoriesTable[Category name],0),0),"")</f>
        <v>Transfer</v>
      </c>
      <c r="N793" s="130" t="str" cm="1">
        <f t="array" ref="N793">IFERROR(INDEX(SubcategoriesTable[Subcategory name],MATCH(Table1[[#This Row],[Category]],SubcategoriesTable[Category name],0),0),"")</f>
        <v>Variable</v>
      </c>
      <c r="O793" s="130">
        <v>24</v>
      </c>
      <c r="P793" s="130">
        <f>MONTH(Table1[[#This Row],[Date]])</f>
        <v>7</v>
      </c>
      <c r="Q793" s="130">
        <v>2020</v>
      </c>
      <c r="R793" s="166">
        <f>IF(ISBLANK(Table1[[#This Row],[Date]]),"",Table1[[#This Row],[Date]]-WEEKDAY(Table1[[#This Row],[Date]],2)+1)</f>
        <v>44032</v>
      </c>
      <c r="S793" s="131">
        <f>IF(ISBLANK(Table1[[#This Row],[Date]]),"",DATE(Table1[[#This Row],[Date_Year]],Table1[[#This Row],[Date_Month]],1))</f>
        <v>44013</v>
      </c>
    </row>
    <row r="794" spans="2:19" ht="15.75" x14ac:dyDescent="0.25">
      <c r="B794" s="133">
        <v>44036</v>
      </c>
      <c r="C794" s="128" t="s">
        <v>113</v>
      </c>
      <c r="D794" s="128" t="s">
        <v>50</v>
      </c>
      <c r="E794" s="128" t="str" cm="1">
        <f t="array" ref="E794">IFERROR(INDEX(SubcategoriesTable[Subcategory name],MATCH(Table1[[#This Row],[Category]],SubcategoriesTable[Category name],0),0),"")</f>
        <v>Variable</v>
      </c>
      <c r="F794" s="134">
        <v>197.57</v>
      </c>
      <c r="G794" s="167" t="str">
        <f>_xlfn.XLOOKUP(Table1[[#This Row],[Account_ID]], Accounts[ID], Accounts[Account nickname], "Unknown")</f>
        <v>Discover it chrome Card</v>
      </c>
      <c r="H794" s="137" t="str">
        <f>_xlfn.XLOOKUP(Table1[[#This Row],[Account_ID]], Accounts[ID], Accounts[Account'#], "Unknown")</f>
        <v>7328</v>
      </c>
      <c r="I794" s="168" t="str">
        <f>_xlfn.XLOOKUP(Table1[[#This Row],[Institution_ID]], Institutions[ID], Institutions[Institution nickname], "Unknown")</f>
        <v>Discover</v>
      </c>
      <c r="J794" s="139" t="s">
        <v>840</v>
      </c>
      <c r="K794" s="129" t="s">
        <v>110</v>
      </c>
      <c r="L794" s="129" t="s">
        <v>108</v>
      </c>
      <c r="M794" s="130" t="str" cm="1">
        <f t="array" ref="M794">IFERROR(INDEX(CategoriesTable[Category type],MATCH(Table1[[#This Row],[Category]],CategoriesTable[Category name],0),0),"")</f>
        <v>Transfer</v>
      </c>
      <c r="N794" s="130" t="str" cm="1">
        <f t="array" ref="N794">IFERROR(INDEX(SubcategoriesTable[Subcategory name],MATCH(Table1[[#This Row],[Category]],SubcategoriesTable[Category name],0),0),"")</f>
        <v>Variable</v>
      </c>
      <c r="O794" s="130">
        <v>24</v>
      </c>
      <c r="P794" s="130">
        <f>MONTH(Table1[[#This Row],[Date]])</f>
        <v>7</v>
      </c>
      <c r="Q794" s="130">
        <v>2020</v>
      </c>
      <c r="R794" s="166">
        <f>IF(ISBLANK(Table1[[#This Row],[Date]]),"",Table1[[#This Row],[Date]]-WEEKDAY(Table1[[#This Row],[Date]],2)+1)</f>
        <v>44032</v>
      </c>
      <c r="S794" s="131">
        <f>IF(ISBLANK(Table1[[#This Row],[Date]]),"",DATE(Table1[[#This Row],[Date_Year]],Table1[[#This Row],[Date_Month]],1))</f>
        <v>44013</v>
      </c>
    </row>
    <row r="795" spans="2:19" ht="15.75" x14ac:dyDescent="0.25">
      <c r="B795" s="133">
        <v>44035</v>
      </c>
      <c r="C795" s="128" t="s">
        <v>803</v>
      </c>
      <c r="D795" s="128" t="s">
        <v>48</v>
      </c>
      <c r="E795" s="128" t="str" cm="1">
        <f t="array" ref="E795">IFERROR(INDEX(SubcategoriesTable[Subcategory name],MATCH(Table1[[#This Row],[Category]],SubcategoriesTable[Category name],0),0),"")</f>
        <v>Variable</v>
      </c>
      <c r="F795" s="134">
        <v>-20.87</v>
      </c>
      <c r="G795" s="167" t="str">
        <f>_xlfn.XLOOKUP(Table1[[#This Row],[Account_ID]], Accounts[ID], Accounts[Account nickname], "Unknown")</f>
        <v>Discover it chrome Card</v>
      </c>
      <c r="H795" s="137" t="str">
        <f>_xlfn.XLOOKUP(Table1[[#This Row],[Account_ID]], Accounts[ID], Accounts[Account'#], "Unknown")</f>
        <v>7328</v>
      </c>
      <c r="I795" s="168" t="str">
        <f>_xlfn.XLOOKUP(Table1[[#This Row],[Institution_ID]], Institutions[ID], Institutions[Institution nickname], "Unknown")</f>
        <v>Discover</v>
      </c>
      <c r="J795" s="139" t="s">
        <v>841</v>
      </c>
      <c r="K795" s="129" t="s">
        <v>110</v>
      </c>
      <c r="L795" s="129" t="s">
        <v>108</v>
      </c>
      <c r="M795" s="130" t="str" cm="1">
        <f t="array" ref="M795">IFERROR(INDEX(CategoriesTable[Category type],MATCH(Table1[[#This Row],[Category]],CategoriesTable[Category name],0),0),"")</f>
        <v>Expense</v>
      </c>
      <c r="N795" s="130" t="str" cm="1">
        <f t="array" ref="N795">IFERROR(INDEX(SubcategoriesTable[Subcategory name],MATCH(Table1[[#This Row],[Category]],SubcategoriesTable[Category name],0),0),"")</f>
        <v>Variable</v>
      </c>
      <c r="O795" s="130">
        <v>23</v>
      </c>
      <c r="P795" s="130">
        <f>MONTH(Table1[[#This Row],[Date]])</f>
        <v>7</v>
      </c>
      <c r="Q795" s="130">
        <v>2020</v>
      </c>
      <c r="R795" s="166">
        <f>IF(ISBLANK(Table1[[#This Row],[Date]]),"",Table1[[#This Row],[Date]]-WEEKDAY(Table1[[#This Row],[Date]],2)+1)</f>
        <v>44032</v>
      </c>
      <c r="S795" s="131">
        <f>IF(ISBLANK(Table1[[#This Row],[Date]]),"",DATE(Table1[[#This Row],[Date_Year]],Table1[[#This Row],[Date_Month]],1))</f>
        <v>44013</v>
      </c>
    </row>
    <row r="796" spans="2:19" ht="15.75" x14ac:dyDescent="0.25">
      <c r="B796" s="133">
        <v>44035</v>
      </c>
      <c r="C796" s="128" t="s">
        <v>842</v>
      </c>
      <c r="D796" s="128" t="s">
        <v>53</v>
      </c>
      <c r="E796" s="128" t="str" cm="1">
        <f t="array" ref="E796">IFERROR(INDEX(SubcategoriesTable[Subcategory name],MATCH(Table1[[#This Row],[Category]],SubcategoriesTable[Category name],0),0),"")</f>
        <v>Variable</v>
      </c>
      <c r="F796" s="134">
        <v>-280</v>
      </c>
      <c r="G796" s="167" t="str">
        <f>_xlfn.XLOOKUP(Table1[[#This Row],[Account_ID]], Accounts[ID], Accounts[Account nickname], "Unknown")</f>
        <v>Discover it chrome Card</v>
      </c>
      <c r="H796" s="137" t="str">
        <f>_xlfn.XLOOKUP(Table1[[#This Row],[Account_ID]], Accounts[ID], Accounts[Account'#], "Unknown")</f>
        <v>7328</v>
      </c>
      <c r="I796" s="168" t="str">
        <f>_xlfn.XLOOKUP(Table1[[#This Row],[Institution_ID]], Institutions[ID], Institutions[Institution nickname], "Unknown")</f>
        <v>Discover</v>
      </c>
      <c r="J796" s="139" t="s">
        <v>843</v>
      </c>
      <c r="K796" s="129" t="s">
        <v>110</v>
      </c>
      <c r="L796" s="129" t="s">
        <v>108</v>
      </c>
      <c r="M796" s="130" t="str" cm="1">
        <f t="array" ref="M796">IFERROR(INDEX(CategoriesTable[Category type],MATCH(Table1[[#This Row],[Category]],CategoriesTable[Category name],0),0),"")</f>
        <v>Expense</v>
      </c>
      <c r="N796" s="130" t="str" cm="1">
        <f t="array" ref="N796">IFERROR(INDEX(SubcategoriesTable[Subcategory name],MATCH(Table1[[#This Row],[Category]],SubcategoriesTable[Category name],0),0),"")</f>
        <v>Variable</v>
      </c>
      <c r="O796" s="130">
        <v>23</v>
      </c>
      <c r="P796" s="130">
        <f>MONTH(Table1[[#This Row],[Date]])</f>
        <v>7</v>
      </c>
      <c r="Q796" s="130">
        <v>2020</v>
      </c>
      <c r="R796" s="166">
        <f>IF(ISBLANK(Table1[[#This Row],[Date]]),"",Table1[[#This Row],[Date]]-WEEKDAY(Table1[[#This Row],[Date]],2)+1)</f>
        <v>44032</v>
      </c>
      <c r="S796" s="131">
        <f>IF(ISBLANK(Table1[[#This Row],[Date]]),"",DATE(Table1[[#This Row],[Date_Year]],Table1[[#This Row],[Date_Month]],1))</f>
        <v>44013</v>
      </c>
    </row>
    <row r="797" spans="2:19" ht="15.75" x14ac:dyDescent="0.25">
      <c r="B797" s="133">
        <v>44035</v>
      </c>
      <c r="C797" s="128" t="s">
        <v>201</v>
      </c>
      <c r="D797" s="128" t="s">
        <v>48</v>
      </c>
      <c r="E797" s="128" t="str" cm="1">
        <f t="array" ref="E797">IFERROR(INDEX(SubcategoriesTable[Subcategory name],MATCH(Table1[[#This Row],[Category]],SubcategoriesTable[Category name],0),0),"")</f>
        <v>Variable</v>
      </c>
      <c r="F797" s="134">
        <v>-193.15</v>
      </c>
      <c r="G797" s="167" t="str">
        <f>_xlfn.XLOOKUP(Table1[[#This Row],[Account_ID]], Accounts[ID], Accounts[Account nickname], "Unknown")</f>
        <v>Discover it chrome Card</v>
      </c>
      <c r="H797" s="137" t="str">
        <f>_xlfn.XLOOKUP(Table1[[#This Row],[Account_ID]], Accounts[ID], Accounts[Account'#], "Unknown")</f>
        <v>7328</v>
      </c>
      <c r="I797" s="168" t="str">
        <f>_xlfn.XLOOKUP(Table1[[#This Row],[Institution_ID]], Institutions[ID], Institutions[Institution nickname], "Unknown")</f>
        <v>Discover</v>
      </c>
      <c r="J797" s="139" t="s">
        <v>844</v>
      </c>
      <c r="K797" s="129" t="s">
        <v>110</v>
      </c>
      <c r="L797" s="129" t="s">
        <v>108</v>
      </c>
      <c r="M797" s="130" t="str" cm="1">
        <f t="array" ref="M797">IFERROR(INDEX(CategoriesTable[Category type],MATCH(Table1[[#This Row],[Category]],CategoriesTable[Category name],0),0),"")</f>
        <v>Expense</v>
      </c>
      <c r="N797" s="130" t="str" cm="1">
        <f t="array" ref="N797">IFERROR(INDEX(SubcategoriesTable[Subcategory name],MATCH(Table1[[#This Row],[Category]],SubcategoriesTable[Category name],0),0),"")</f>
        <v>Variable</v>
      </c>
      <c r="O797" s="130">
        <v>23</v>
      </c>
      <c r="P797" s="130">
        <f>MONTH(Table1[[#This Row],[Date]])</f>
        <v>7</v>
      </c>
      <c r="Q797" s="130">
        <v>2020</v>
      </c>
      <c r="R797" s="166">
        <f>IF(ISBLANK(Table1[[#This Row],[Date]]),"",Table1[[#This Row],[Date]]-WEEKDAY(Table1[[#This Row],[Date]],2)+1)</f>
        <v>44032</v>
      </c>
      <c r="S797" s="131">
        <f>IF(ISBLANK(Table1[[#This Row],[Date]]),"",DATE(Table1[[#This Row],[Date_Year]],Table1[[#This Row],[Date_Month]],1))</f>
        <v>44013</v>
      </c>
    </row>
    <row r="798" spans="2:19" ht="15.75" x14ac:dyDescent="0.25">
      <c r="B798" s="133">
        <v>44034</v>
      </c>
      <c r="C798" s="128" t="s">
        <v>148</v>
      </c>
      <c r="D798" s="128" t="s">
        <v>54</v>
      </c>
      <c r="E798" s="128" t="str" cm="1">
        <f t="array" ref="E798">IFERROR(INDEX(SubcategoriesTable[Subcategory name],MATCH(Table1[[#This Row],[Category]],SubcategoriesTable[Category name],0),0),"")</f>
        <v>Fixed</v>
      </c>
      <c r="F798" s="134">
        <v>-9.99</v>
      </c>
      <c r="G798" s="167" t="str">
        <f>_xlfn.XLOOKUP(Table1[[#This Row],[Account_ID]], Accounts[ID], Accounts[Account nickname], "Unknown")</f>
        <v>Discover it chrome Card</v>
      </c>
      <c r="H798" s="137" t="str">
        <f>_xlfn.XLOOKUP(Table1[[#This Row],[Account_ID]], Accounts[ID], Accounts[Account'#], "Unknown")</f>
        <v>7328</v>
      </c>
      <c r="I798" s="168" t="str">
        <f>_xlfn.XLOOKUP(Table1[[#This Row],[Institution_ID]], Institutions[ID], Institutions[Institution nickname], "Unknown")</f>
        <v>Discover</v>
      </c>
      <c r="J798" s="139" t="s">
        <v>845</v>
      </c>
      <c r="K798" s="129" t="s">
        <v>110</v>
      </c>
      <c r="L798" s="129" t="s">
        <v>108</v>
      </c>
      <c r="M798" s="130" t="str" cm="1">
        <f t="array" ref="M798">IFERROR(INDEX(CategoriesTable[Category type],MATCH(Table1[[#This Row],[Category]],CategoriesTable[Category name],0),0),"")</f>
        <v>Expense</v>
      </c>
      <c r="N798" s="130" t="str" cm="1">
        <f t="array" ref="N798">IFERROR(INDEX(SubcategoriesTable[Subcategory name],MATCH(Table1[[#This Row],[Category]],SubcategoriesTable[Category name],0),0),"")</f>
        <v>Fixed</v>
      </c>
      <c r="O798" s="130">
        <v>22</v>
      </c>
      <c r="P798" s="130">
        <f>MONTH(Table1[[#This Row],[Date]])</f>
        <v>7</v>
      </c>
      <c r="Q798" s="130">
        <v>2020</v>
      </c>
      <c r="R798" s="166">
        <f>IF(ISBLANK(Table1[[#This Row],[Date]]),"",Table1[[#This Row],[Date]]-WEEKDAY(Table1[[#This Row],[Date]],2)+1)</f>
        <v>44032</v>
      </c>
      <c r="S798" s="131">
        <f>IF(ISBLANK(Table1[[#This Row],[Date]]),"",DATE(Table1[[#This Row],[Date_Year]],Table1[[#This Row],[Date_Month]],1))</f>
        <v>44013</v>
      </c>
    </row>
    <row r="799" spans="2:19" ht="15.75" x14ac:dyDescent="0.25">
      <c r="B799" s="133">
        <v>44034</v>
      </c>
      <c r="C799" s="128" t="s">
        <v>115</v>
      </c>
      <c r="D799" s="128" t="s">
        <v>48</v>
      </c>
      <c r="E799" s="128" t="str" cm="1">
        <f t="array" ref="E799">IFERROR(INDEX(SubcategoriesTable[Subcategory name],MATCH(Table1[[#This Row],[Category]],SubcategoriesTable[Category name],0),0),"")</f>
        <v>Variable</v>
      </c>
      <c r="F799" s="134">
        <v>-65.540000000000006</v>
      </c>
      <c r="G799" s="167" t="str">
        <f>_xlfn.XLOOKUP(Table1[[#This Row],[Account_ID]], Accounts[ID], Accounts[Account nickname], "Unknown")</f>
        <v>Discover it chrome Card</v>
      </c>
      <c r="H799" s="137" t="str">
        <f>_xlfn.XLOOKUP(Table1[[#This Row],[Account_ID]], Accounts[ID], Accounts[Account'#], "Unknown")</f>
        <v>7328</v>
      </c>
      <c r="I799" s="168" t="str">
        <f>_xlfn.XLOOKUP(Table1[[#This Row],[Institution_ID]], Institutions[ID], Institutions[Institution nickname], "Unknown")</f>
        <v>Discover</v>
      </c>
      <c r="J799" s="139" t="s">
        <v>846</v>
      </c>
      <c r="K799" s="129" t="s">
        <v>110</v>
      </c>
      <c r="L799" s="129" t="s">
        <v>108</v>
      </c>
      <c r="M799" s="130" t="str" cm="1">
        <f t="array" ref="M799">IFERROR(INDEX(CategoriesTable[Category type],MATCH(Table1[[#This Row],[Category]],CategoriesTable[Category name],0),0),"")</f>
        <v>Expense</v>
      </c>
      <c r="N799" s="130" t="str" cm="1">
        <f t="array" ref="N799">IFERROR(INDEX(SubcategoriesTable[Subcategory name],MATCH(Table1[[#This Row],[Category]],SubcategoriesTable[Category name],0),0),"")</f>
        <v>Variable</v>
      </c>
      <c r="O799" s="130">
        <v>22</v>
      </c>
      <c r="P799" s="130">
        <f>MONTH(Table1[[#This Row],[Date]])</f>
        <v>7</v>
      </c>
      <c r="Q799" s="130">
        <v>2020</v>
      </c>
      <c r="R799" s="166">
        <f>IF(ISBLANK(Table1[[#This Row],[Date]]),"",Table1[[#This Row],[Date]]-WEEKDAY(Table1[[#This Row],[Date]],2)+1)</f>
        <v>44032</v>
      </c>
      <c r="S799" s="131">
        <f>IF(ISBLANK(Table1[[#This Row],[Date]]),"",DATE(Table1[[#This Row],[Date_Year]],Table1[[#This Row],[Date_Month]],1))</f>
        <v>44013</v>
      </c>
    </row>
    <row r="800" spans="2:19" ht="15.75" x14ac:dyDescent="0.25">
      <c r="B800" s="133">
        <v>44032</v>
      </c>
      <c r="C800" s="128" t="s">
        <v>1576</v>
      </c>
      <c r="D800" s="128" t="s">
        <v>58</v>
      </c>
      <c r="E800" s="128" t="str" cm="1">
        <f t="array" ref="E800">IFERROR(INDEX(SubcategoriesTable[Subcategory name],MATCH(Table1[[#This Row],[Category]],SubcategoriesTable[Category name],0),0),"")</f>
        <v>Fixed</v>
      </c>
      <c r="F800" s="134">
        <v>-103.93</v>
      </c>
      <c r="G800" s="167" t="str">
        <f>_xlfn.XLOOKUP(Table1[[#This Row],[Account_ID]], Accounts[ID], Accounts[Account nickname], "Unknown")</f>
        <v>EVERYDAY CHECKING</v>
      </c>
      <c r="H800" s="137" t="str">
        <f>_xlfn.XLOOKUP(Table1[[#This Row],[Account_ID]], Accounts[ID], Accounts[Account'#], "Unknown")</f>
        <v>4636</v>
      </c>
      <c r="I800" s="168" t="str">
        <f>_xlfn.XLOOKUP(Table1[[#This Row],[Institution_ID]], Institutions[ID], Institutions[Institution nickname], "Unknown")</f>
        <v>Wells Fargo</v>
      </c>
      <c r="J800" s="139" t="s">
        <v>1577</v>
      </c>
      <c r="K800" s="129" t="s">
        <v>1229</v>
      </c>
      <c r="L800" s="129" t="s">
        <v>1228</v>
      </c>
      <c r="M800" s="130" t="str" cm="1">
        <f t="array" ref="M800">IFERROR(INDEX(CategoriesTable[Category type],MATCH(Table1[[#This Row],[Category]],CategoriesTable[Category name],0),0),"")</f>
        <v>Expense</v>
      </c>
      <c r="N800" s="130" t="str" cm="1">
        <f t="array" ref="N800">IFERROR(INDEX(SubcategoriesTable[Subcategory name],MATCH(Table1[[#This Row],[Category]],SubcategoriesTable[Category name],0),0),"")</f>
        <v>Fixed</v>
      </c>
      <c r="O800" s="130">
        <v>20</v>
      </c>
      <c r="P800" s="130">
        <f>MONTH(Table1[[#This Row],[Date]])</f>
        <v>7</v>
      </c>
      <c r="Q800" s="130">
        <v>2020</v>
      </c>
      <c r="R800" s="166">
        <f>IF(ISBLANK(Table1[[#This Row],[Date]]),"",Table1[[#This Row],[Date]]-WEEKDAY(Table1[[#This Row],[Date]],2)+1)</f>
        <v>44032</v>
      </c>
      <c r="S800" s="131">
        <f>IF(ISBLANK(Table1[[#This Row],[Date]]),"",DATE(Table1[[#This Row],[Date_Year]],Table1[[#This Row],[Date_Month]],1))</f>
        <v>44013</v>
      </c>
    </row>
    <row r="801" spans="2:19" ht="15.75" x14ac:dyDescent="0.25">
      <c r="B801" s="133">
        <v>44031</v>
      </c>
      <c r="C801" s="128" t="s">
        <v>1578</v>
      </c>
      <c r="D801" s="128" t="s">
        <v>45</v>
      </c>
      <c r="E801" s="128" t="str" cm="1">
        <f t="array" ref="E801">IFERROR(INDEX(SubcategoriesTable[Subcategory name],MATCH(Table1[[#This Row],[Category]],SubcategoriesTable[Category name],0),0),"")</f>
        <v>Variable</v>
      </c>
      <c r="F801" s="134">
        <v>-5.64</v>
      </c>
      <c r="G801" s="167" t="str">
        <f>_xlfn.XLOOKUP(Table1[[#This Row],[Account_ID]], Accounts[ID], Accounts[Account nickname], "Unknown")</f>
        <v>EVERYDAY CHECKING</v>
      </c>
      <c r="H801" s="137" t="str">
        <f>_xlfn.XLOOKUP(Table1[[#This Row],[Account_ID]], Accounts[ID], Accounts[Account'#], "Unknown")</f>
        <v>4636</v>
      </c>
      <c r="I801" s="168" t="str">
        <f>_xlfn.XLOOKUP(Table1[[#This Row],[Institution_ID]], Institutions[ID], Institutions[Institution nickname], "Unknown")</f>
        <v>Wells Fargo</v>
      </c>
      <c r="J801" s="139" t="s">
        <v>1579</v>
      </c>
      <c r="K801" s="129" t="s">
        <v>1229</v>
      </c>
      <c r="L801" s="129" t="s">
        <v>1228</v>
      </c>
      <c r="M801" s="130" t="str" cm="1">
        <f t="array" ref="M801">IFERROR(INDEX(CategoriesTable[Category type],MATCH(Table1[[#This Row],[Category]],CategoriesTable[Category name],0),0),"")</f>
        <v>Expense</v>
      </c>
      <c r="N801" s="130" t="str" cm="1">
        <f t="array" ref="N801">IFERROR(INDEX(SubcategoriesTable[Subcategory name],MATCH(Table1[[#This Row],[Category]],SubcategoriesTable[Category name],0),0),"")</f>
        <v>Variable</v>
      </c>
      <c r="O801" s="130">
        <v>19</v>
      </c>
      <c r="P801" s="130">
        <f>MONTH(Table1[[#This Row],[Date]])</f>
        <v>7</v>
      </c>
      <c r="Q801" s="130">
        <v>2020</v>
      </c>
      <c r="R801" s="166">
        <f>IF(ISBLANK(Table1[[#This Row],[Date]]),"",Table1[[#This Row],[Date]]-WEEKDAY(Table1[[#This Row],[Date]],2)+1)</f>
        <v>44025</v>
      </c>
      <c r="S801" s="131">
        <f>IF(ISBLANK(Table1[[#This Row],[Date]]),"",DATE(Table1[[#This Row],[Date_Year]],Table1[[#This Row],[Date_Month]],1))</f>
        <v>44013</v>
      </c>
    </row>
    <row r="802" spans="2:19" ht="15.75" x14ac:dyDescent="0.25">
      <c r="B802" s="133">
        <v>44030</v>
      </c>
      <c r="C802" s="128" t="s">
        <v>1518</v>
      </c>
      <c r="D802" s="128" t="s">
        <v>58</v>
      </c>
      <c r="E802" s="128" t="str" cm="1">
        <f t="array" ref="E802">IFERROR(INDEX(SubcategoriesTable[Subcategory name],MATCH(Table1[[#This Row],[Category]],SubcategoriesTable[Category name],0),0),"")</f>
        <v>Fixed</v>
      </c>
      <c r="F802" s="134">
        <v>-100</v>
      </c>
      <c r="G802" s="167" t="str">
        <f>_xlfn.XLOOKUP(Table1[[#This Row],[Account_ID]], Accounts[ID], Accounts[Account nickname], "Unknown")</f>
        <v>EVERYDAY CHECKING</v>
      </c>
      <c r="H802" s="137" t="str">
        <f>_xlfn.XLOOKUP(Table1[[#This Row],[Account_ID]], Accounts[ID], Accounts[Account'#], "Unknown")</f>
        <v>4636</v>
      </c>
      <c r="I802" s="168" t="str">
        <f>_xlfn.XLOOKUP(Table1[[#This Row],[Institution_ID]], Institutions[ID], Institutions[Institution nickname], "Unknown")</f>
        <v>Wells Fargo</v>
      </c>
      <c r="J802" s="139" t="s">
        <v>1580</v>
      </c>
      <c r="K802" s="129" t="s">
        <v>1229</v>
      </c>
      <c r="L802" s="129" t="s">
        <v>1228</v>
      </c>
      <c r="M802" s="130" t="str" cm="1">
        <f t="array" ref="M802">IFERROR(INDEX(CategoriesTable[Category type],MATCH(Table1[[#This Row],[Category]],CategoriesTable[Category name],0),0),"")</f>
        <v>Expense</v>
      </c>
      <c r="N802" s="130" t="str" cm="1">
        <f t="array" ref="N802">IFERROR(INDEX(SubcategoriesTable[Subcategory name],MATCH(Table1[[#This Row],[Category]],SubcategoriesTable[Category name],0),0),"")</f>
        <v>Fixed</v>
      </c>
      <c r="O802" s="130">
        <v>18</v>
      </c>
      <c r="P802" s="130">
        <f>MONTH(Table1[[#This Row],[Date]])</f>
        <v>7</v>
      </c>
      <c r="Q802" s="130">
        <v>2020</v>
      </c>
      <c r="R802" s="166">
        <f>IF(ISBLANK(Table1[[#This Row],[Date]]),"",Table1[[#This Row],[Date]]-WEEKDAY(Table1[[#This Row],[Date]],2)+1)</f>
        <v>44025</v>
      </c>
      <c r="S802" s="131">
        <f>IF(ISBLANK(Table1[[#This Row],[Date]]),"",DATE(Table1[[#This Row],[Date_Year]],Table1[[#This Row],[Date_Month]],1))</f>
        <v>44013</v>
      </c>
    </row>
    <row r="803" spans="2:19" ht="15.75" x14ac:dyDescent="0.25">
      <c r="B803" s="133">
        <v>44030</v>
      </c>
      <c r="C803" s="128" t="s">
        <v>237</v>
      </c>
      <c r="D803" s="128" t="s">
        <v>48</v>
      </c>
      <c r="E803" s="128" t="str" cm="1">
        <f t="array" ref="E803">IFERROR(INDEX(SubcategoriesTable[Subcategory name],MATCH(Table1[[#This Row],[Category]],SubcategoriesTable[Category name],0),0),"")</f>
        <v>Variable</v>
      </c>
      <c r="F803" s="134">
        <v>-122.04</v>
      </c>
      <c r="G803" s="167" t="str">
        <f>_xlfn.XLOOKUP(Table1[[#This Row],[Account_ID]], Accounts[ID], Accounts[Account nickname], "Unknown")</f>
        <v>Discover it chrome Card</v>
      </c>
      <c r="H803" s="137" t="str">
        <f>_xlfn.XLOOKUP(Table1[[#This Row],[Account_ID]], Accounts[ID], Accounts[Account'#], "Unknown")</f>
        <v>7328</v>
      </c>
      <c r="I803" s="168" t="str">
        <f>_xlfn.XLOOKUP(Table1[[#This Row],[Institution_ID]], Institutions[ID], Institutions[Institution nickname], "Unknown")</f>
        <v>Discover</v>
      </c>
      <c r="J803" s="171" t="s">
        <v>847</v>
      </c>
      <c r="K803" s="129" t="s">
        <v>110</v>
      </c>
      <c r="L803" s="129" t="s">
        <v>108</v>
      </c>
      <c r="M803" s="130" t="str" cm="1">
        <f t="array" ref="M803">IFERROR(INDEX(CategoriesTable[Category type],MATCH(Table1[[#This Row],[Category]],CategoriesTable[Category name],0),0),"")</f>
        <v>Expense</v>
      </c>
      <c r="N803" s="130" t="str" cm="1">
        <f t="array" ref="N803">IFERROR(INDEX(SubcategoriesTable[Subcategory name],MATCH(Table1[[#This Row],[Category]],SubcategoriesTable[Category name],0),0),"")</f>
        <v>Variable</v>
      </c>
      <c r="O803" s="130">
        <v>18</v>
      </c>
      <c r="P803" s="130">
        <f>MONTH(Table1[[#This Row],[Date]])</f>
        <v>7</v>
      </c>
      <c r="Q803" s="130">
        <v>2020</v>
      </c>
      <c r="R803" s="166">
        <f>IF(ISBLANK(Table1[[#This Row],[Date]]),"",Table1[[#This Row],[Date]]-WEEKDAY(Table1[[#This Row],[Date]],2)+1)</f>
        <v>44025</v>
      </c>
      <c r="S803" s="131">
        <f>IF(ISBLANK(Table1[[#This Row],[Date]]),"",DATE(Table1[[#This Row],[Date_Year]],Table1[[#This Row],[Date_Month]],1))</f>
        <v>44013</v>
      </c>
    </row>
    <row r="804" spans="2:19" ht="15.75" x14ac:dyDescent="0.25">
      <c r="B804" s="133">
        <v>44029</v>
      </c>
      <c r="C804" s="128" t="s">
        <v>1482</v>
      </c>
      <c r="D804" s="128" t="s">
        <v>56</v>
      </c>
      <c r="E804" s="128" t="str" cm="1">
        <f t="array" ref="E804">IFERROR(INDEX(SubcategoriesTable[Subcategory name],MATCH(Table1[[#This Row],[Category]],SubcategoriesTable[Category name],0),0),"")</f>
        <v>Variable</v>
      </c>
      <c r="F804" s="134">
        <v>-150</v>
      </c>
      <c r="G804" s="167" t="str">
        <f>_xlfn.XLOOKUP(Table1[[#This Row],[Account_ID]], Accounts[ID], Accounts[Account nickname], "Unknown")</f>
        <v>EVERYDAY CHECKING</v>
      </c>
      <c r="H804" s="137" t="str">
        <f>_xlfn.XLOOKUP(Table1[[#This Row],[Account_ID]], Accounts[ID], Accounts[Account'#], "Unknown")</f>
        <v>4636</v>
      </c>
      <c r="I804" s="168" t="str">
        <f>_xlfn.XLOOKUP(Table1[[#This Row],[Institution_ID]], Institutions[ID], Institutions[Institution nickname], "Unknown")</f>
        <v>Wells Fargo</v>
      </c>
      <c r="J804" s="139" t="s">
        <v>1581</v>
      </c>
      <c r="K804" s="129" t="s">
        <v>1229</v>
      </c>
      <c r="L804" s="129" t="s">
        <v>1228</v>
      </c>
      <c r="M804" s="130" t="str" cm="1">
        <f t="array" ref="M804">IFERROR(INDEX(CategoriesTable[Category type],MATCH(Table1[[#This Row],[Category]],CategoriesTable[Category name],0),0),"")</f>
        <v>Expense</v>
      </c>
      <c r="N804" s="130" t="str" cm="1">
        <f t="array" ref="N804">IFERROR(INDEX(SubcategoriesTable[Subcategory name],MATCH(Table1[[#This Row],[Category]],SubcategoriesTable[Category name],0),0),"")</f>
        <v>Variable</v>
      </c>
      <c r="O804" s="130">
        <v>17</v>
      </c>
      <c r="P804" s="130">
        <f>MONTH(Table1[[#This Row],[Date]])</f>
        <v>7</v>
      </c>
      <c r="Q804" s="130">
        <v>2020</v>
      </c>
      <c r="R804" s="166">
        <f>IF(ISBLANK(Table1[[#This Row],[Date]]),"",Table1[[#This Row],[Date]]-WEEKDAY(Table1[[#This Row],[Date]],2)+1)</f>
        <v>44025</v>
      </c>
      <c r="S804" s="131">
        <f>IF(ISBLANK(Table1[[#This Row],[Date]]),"",DATE(Table1[[#This Row],[Date_Year]],Table1[[#This Row],[Date_Month]],1))</f>
        <v>44013</v>
      </c>
    </row>
    <row r="805" spans="2:19" ht="15.75" x14ac:dyDescent="0.25">
      <c r="B805" s="133">
        <v>44029</v>
      </c>
      <c r="C805" s="128" t="s">
        <v>1180</v>
      </c>
      <c r="D805" s="128" t="s">
        <v>50</v>
      </c>
      <c r="E805" s="128" t="str" cm="1">
        <f t="array" ref="E805">IFERROR(INDEX(SubcategoriesTable[Subcategory name],MATCH(Table1[[#This Row],[Category]],SubcategoriesTable[Category name],0),0),"")</f>
        <v>Variable</v>
      </c>
      <c r="F805" s="134">
        <v>-234</v>
      </c>
      <c r="G805" s="167" t="str">
        <f>_xlfn.XLOOKUP(Table1[[#This Row],[Account_ID]], Accounts[ID], Accounts[Account nickname], "Unknown")</f>
        <v>EVERYDAY CHECKING</v>
      </c>
      <c r="H805" s="137" t="str">
        <f>_xlfn.XLOOKUP(Table1[[#This Row],[Account_ID]], Accounts[ID], Accounts[Account'#], "Unknown")</f>
        <v>4636</v>
      </c>
      <c r="I805" s="168" t="str">
        <f>_xlfn.XLOOKUP(Table1[[#This Row],[Institution_ID]], Institutions[ID], Institutions[Institution nickname], "Unknown")</f>
        <v>Wells Fargo</v>
      </c>
      <c r="J805" s="139" t="s">
        <v>1582</v>
      </c>
      <c r="K805" s="129" t="s">
        <v>1229</v>
      </c>
      <c r="L805" s="129" t="s">
        <v>1228</v>
      </c>
      <c r="M805" s="130" t="str" cm="1">
        <f t="array" ref="M805">IFERROR(INDEX(CategoriesTable[Category type],MATCH(Table1[[#This Row],[Category]],CategoriesTable[Category name],0),0),"")</f>
        <v>Transfer</v>
      </c>
      <c r="N805" s="130" t="str" cm="1">
        <f t="array" ref="N805">IFERROR(INDEX(SubcategoriesTable[Subcategory name],MATCH(Table1[[#This Row],[Category]],SubcategoriesTable[Category name],0),0),"")</f>
        <v>Variable</v>
      </c>
      <c r="O805" s="130">
        <v>17</v>
      </c>
      <c r="P805" s="130">
        <f>MONTH(Table1[[#This Row],[Date]])</f>
        <v>7</v>
      </c>
      <c r="Q805" s="130">
        <v>2020</v>
      </c>
      <c r="R805" s="166">
        <f>IF(ISBLANK(Table1[[#This Row],[Date]]),"",Table1[[#This Row],[Date]]-WEEKDAY(Table1[[#This Row],[Date]],2)+1)</f>
        <v>44025</v>
      </c>
      <c r="S805" s="131">
        <f>IF(ISBLANK(Table1[[#This Row],[Date]]),"",DATE(Table1[[#This Row],[Date_Year]],Table1[[#This Row],[Date_Month]],1))</f>
        <v>44013</v>
      </c>
    </row>
    <row r="806" spans="2:19" ht="15.75" x14ac:dyDescent="0.25">
      <c r="B806" s="133">
        <v>44029</v>
      </c>
      <c r="C806" s="128" t="s">
        <v>1181</v>
      </c>
      <c r="D806" s="128" t="s">
        <v>59</v>
      </c>
      <c r="E806" s="128" t="str" cm="1">
        <f t="array" ref="E806">IFERROR(INDEX(SubcategoriesTable[Subcategory name],MATCH(Table1[[#This Row],[Category]],SubcategoriesTable[Category name],0),0),"")</f>
        <v>Fixed</v>
      </c>
      <c r="F806" s="134">
        <v>974.28</v>
      </c>
      <c r="G806" s="167" t="str">
        <f>_xlfn.XLOOKUP(Table1[[#This Row],[Account_ID]], Accounts[ID], Accounts[Account nickname], "Unknown")</f>
        <v>EVERYDAY CHECKING</v>
      </c>
      <c r="H806" s="137" t="str">
        <f>_xlfn.XLOOKUP(Table1[[#This Row],[Account_ID]], Accounts[ID], Accounts[Account'#], "Unknown")</f>
        <v>4636</v>
      </c>
      <c r="I806" s="168" t="str">
        <f>_xlfn.XLOOKUP(Table1[[#This Row],[Institution_ID]], Institutions[ID], Institutions[Institution nickname], "Unknown")</f>
        <v>Wells Fargo</v>
      </c>
      <c r="J806" s="139" t="s">
        <v>1583</v>
      </c>
      <c r="K806" s="129" t="s">
        <v>1229</v>
      </c>
      <c r="L806" s="129" t="s">
        <v>1228</v>
      </c>
      <c r="M806" s="130" t="str" cm="1">
        <f t="array" ref="M806">IFERROR(INDEX(CategoriesTable[Category type],MATCH(Table1[[#This Row],[Category]],CategoriesTable[Category name],0),0),"")</f>
        <v>Income</v>
      </c>
      <c r="N806" s="130" t="str" cm="1">
        <f t="array" ref="N806">IFERROR(INDEX(SubcategoriesTable[Subcategory name],MATCH(Table1[[#This Row],[Category]],SubcategoriesTable[Category name],0),0),"")</f>
        <v>Fixed</v>
      </c>
      <c r="O806" s="130">
        <v>17</v>
      </c>
      <c r="P806" s="130">
        <f>MONTH(Table1[[#This Row],[Date]])</f>
        <v>7</v>
      </c>
      <c r="Q806" s="130">
        <v>2020</v>
      </c>
      <c r="R806" s="166">
        <f>IF(ISBLANK(Table1[[#This Row],[Date]]),"",Table1[[#This Row],[Date]]-WEEKDAY(Table1[[#This Row],[Date]],2)+1)</f>
        <v>44025</v>
      </c>
      <c r="S806" s="131">
        <f>IF(ISBLANK(Table1[[#This Row],[Date]]),"",DATE(Table1[[#This Row],[Date_Year]],Table1[[#This Row],[Date_Month]],1))</f>
        <v>44013</v>
      </c>
    </row>
    <row r="807" spans="2:19" ht="15.75" x14ac:dyDescent="0.25">
      <c r="B807" s="133">
        <v>44029</v>
      </c>
      <c r="C807" s="128" t="s">
        <v>113</v>
      </c>
      <c r="D807" s="128" t="s">
        <v>50</v>
      </c>
      <c r="E807" s="128" t="str" cm="1">
        <f t="array" ref="E807">IFERROR(INDEX(SubcategoriesTable[Subcategory name],MATCH(Table1[[#This Row],[Category]],SubcategoriesTable[Category name],0),0),"")</f>
        <v>Variable</v>
      </c>
      <c r="F807" s="134">
        <v>234</v>
      </c>
      <c r="G807" s="167" t="str">
        <f>_xlfn.XLOOKUP(Table1[[#This Row],[Account_ID]], Accounts[ID], Accounts[Account nickname], "Unknown")</f>
        <v>Discover it chrome Card</v>
      </c>
      <c r="H807" s="137" t="str">
        <f>_xlfn.XLOOKUP(Table1[[#This Row],[Account_ID]], Accounts[ID], Accounts[Account'#], "Unknown")</f>
        <v>7328</v>
      </c>
      <c r="I807" s="168" t="str">
        <f>_xlfn.XLOOKUP(Table1[[#This Row],[Institution_ID]], Institutions[ID], Institutions[Institution nickname], "Unknown")</f>
        <v>Discover</v>
      </c>
      <c r="J807" s="139" t="s">
        <v>848</v>
      </c>
      <c r="K807" s="129" t="s">
        <v>110</v>
      </c>
      <c r="L807" s="129" t="s">
        <v>108</v>
      </c>
      <c r="M807" s="130" t="str" cm="1">
        <f t="array" ref="M807">IFERROR(INDEX(CategoriesTable[Category type],MATCH(Table1[[#This Row],[Category]],CategoriesTable[Category name],0),0),"")</f>
        <v>Transfer</v>
      </c>
      <c r="N807" s="130" t="str" cm="1">
        <f t="array" ref="N807">IFERROR(INDEX(SubcategoriesTable[Subcategory name],MATCH(Table1[[#This Row],[Category]],SubcategoriesTable[Category name],0),0),"")</f>
        <v>Variable</v>
      </c>
      <c r="O807" s="130">
        <v>17</v>
      </c>
      <c r="P807" s="130">
        <f>MONTH(Table1[[#This Row],[Date]])</f>
        <v>7</v>
      </c>
      <c r="Q807" s="130">
        <v>2020</v>
      </c>
      <c r="R807" s="166">
        <f>IF(ISBLANK(Table1[[#This Row],[Date]]),"",Table1[[#This Row],[Date]]-WEEKDAY(Table1[[#This Row],[Date]],2)+1)</f>
        <v>44025</v>
      </c>
      <c r="S807" s="131">
        <f>IF(ISBLANK(Table1[[#This Row],[Date]]),"",DATE(Table1[[#This Row],[Date_Year]],Table1[[#This Row],[Date_Month]],1))</f>
        <v>44013</v>
      </c>
    </row>
    <row r="808" spans="2:19" ht="15.75" x14ac:dyDescent="0.25">
      <c r="B808" s="133">
        <v>44027</v>
      </c>
      <c r="C808" s="128" t="s">
        <v>445</v>
      </c>
      <c r="D808" s="128" t="s">
        <v>46</v>
      </c>
      <c r="E808" s="128" t="str" cm="1">
        <f t="array" ref="E808">IFERROR(INDEX(SubcategoriesTable[Subcategory name],MATCH(Table1[[#This Row],[Category]],SubcategoriesTable[Category name],0),0),"")</f>
        <v>Variable</v>
      </c>
      <c r="F808" s="134">
        <v>407.24</v>
      </c>
      <c r="G808" s="167" t="str">
        <f>_xlfn.XLOOKUP(Table1[[#This Row],[Account_ID]], Accounts[ID], Accounts[Account nickname], "Unknown")</f>
        <v>Discover it chrome Card</v>
      </c>
      <c r="H808" s="137" t="str">
        <f>_xlfn.XLOOKUP(Table1[[#This Row],[Account_ID]], Accounts[ID], Accounts[Account'#], "Unknown")</f>
        <v>7328</v>
      </c>
      <c r="I808" s="168" t="str">
        <f>_xlfn.XLOOKUP(Table1[[#This Row],[Institution_ID]], Institutions[ID], Institutions[Institution nickname], "Unknown")</f>
        <v>Discover</v>
      </c>
      <c r="J808" s="139" t="s">
        <v>849</v>
      </c>
      <c r="K808" s="129" t="s">
        <v>110</v>
      </c>
      <c r="L808" s="129" t="s">
        <v>108</v>
      </c>
      <c r="M808" s="130" t="str" cm="1">
        <f t="array" ref="M808">IFERROR(INDEX(CategoriesTable[Category type],MATCH(Table1[[#This Row],[Category]],CategoriesTable[Category name],0),0),"")</f>
        <v>Expense</v>
      </c>
      <c r="N808" s="130" t="str" cm="1">
        <f t="array" ref="N808">IFERROR(INDEX(SubcategoriesTable[Subcategory name],MATCH(Table1[[#This Row],[Category]],SubcategoriesTable[Category name],0),0),"")</f>
        <v>Variable</v>
      </c>
      <c r="O808" s="130">
        <v>15</v>
      </c>
      <c r="P808" s="130">
        <f>MONTH(Table1[[#This Row],[Date]])</f>
        <v>7</v>
      </c>
      <c r="Q808" s="130">
        <v>2020</v>
      </c>
      <c r="R808" s="166">
        <f>IF(ISBLANK(Table1[[#This Row],[Date]]),"",Table1[[#This Row],[Date]]-WEEKDAY(Table1[[#This Row],[Date]],2)+1)</f>
        <v>44025</v>
      </c>
      <c r="S808" s="131">
        <f>IF(ISBLANK(Table1[[#This Row],[Date]]),"",DATE(Table1[[#This Row],[Date_Year]],Table1[[#This Row],[Date_Month]],1))</f>
        <v>44013</v>
      </c>
    </row>
    <row r="809" spans="2:19" ht="15.75" x14ac:dyDescent="0.25">
      <c r="B809" s="133">
        <v>44025</v>
      </c>
      <c r="C809" s="128" t="s">
        <v>195</v>
      </c>
      <c r="D809" s="128" t="s">
        <v>48</v>
      </c>
      <c r="E809" s="128" t="str" cm="1">
        <f t="array" ref="E809">IFERROR(INDEX(SubcategoriesTable[Subcategory name],MATCH(Table1[[#This Row],[Category]],SubcategoriesTable[Category name],0),0),"")</f>
        <v>Variable</v>
      </c>
      <c r="F809" s="134">
        <v>-59.33</v>
      </c>
      <c r="G809" s="167" t="str">
        <f>_xlfn.XLOOKUP(Table1[[#This Row],[Account_ID]], Accounts[ID], Accounts[Account nickname], "Unknown")</f>
        <v>Discover it chrome Card</v>
      </c>
      <c r="H809" s="137" t="str">
        <f>_xlfn.XLOOKUP(Table1[[#This Row],[Account_ID]], Accounts[ID], Accounts[Account'#], "Unknown")</f>
        <v>7328</v>
      </c>
      <c r="I809" s="168" t="str">
        <f>_xlfn.XLOOKUP(Table1[[#This Row],[Institution_ID]], Institutions[ID], Institutions[Institution nickname], "Unknown")</f>
        <v>Discover</v>
      </c>
      <c r="J809" s="139" t="s">
        <v>850</v>
      </c>
      <c r="K809" s="129" t="s">
        <v>110</v>
      </c>
      <c r="L809" s="129" t="s">
        <v>108</v>
      </c>
      <c r="M809" s="130" t="str" cm="1">
        <f t="array" ref="M809">IFERROR(INDEX(CategoriesTable[Category type],MATCH(Table1[[#This Row],[Category]],CategoriesTable[Category name],0),0),"")</f>
        <v>Expense</v>
      </c>
      <c r="N809" s="130" t="str" cm="1">
        <f t="array" ref="N809">IFERROR(INDEX(SubcategoriesTable[Subcategory name],MATCH(Table1[[#This Row],[Category]],SubcategoriesTable[Category name],0),0),"")</f>
        <v>Variable</v>
      </c>
      <c r="O809" s="130">
        <v>13</v>
      </c>
      <c r="P809" s="130">
        <f>MONTH(Table1[[#This Row],[Date]])</f>
        <v>7</v>
      </c>
      <c r="Q809" s="130">
        <v>2020</v>
      </c>
      <c r="R809" s="166">
        <f>IF(ISBLANK(Table1[[#This Row],[Date]]),"",Table1[[#This Row],[Date]]-WEEKDAY(Table1[[#This Row],[Date]],2)+1)</f>
        <v>44025</v>
      </c>
      <c r="S809" s="131">
        <f>IF(ISBLANK(Table1[[#This Row],[Date]]),"",DATE(Table1[[#This Row],[Date_Year]],Table1[[#This Row],[Date_Month]],1))</f>
        <v>44013</v>
      </c>
    </row>
    <row r="810" spans="2:19" ht="15.75" x14ac:dyDescent="0.25">
      <c r="B810" s="133">
        <v>44023</v>
      </c>
      <c r="C810" s="128" t="s">
        <v>1482</v>
      </c>
      <c r="D810" s="128" t="s">
        <v>56</v>
      </c>
      <c r="E810" s="128" t="str" cm="1">
        <f t="array" ref="E810">IFERROR(INDEX(SubcategoriesTable[Subcategory name],MATCH(Table1[[#This Row],[Category]],SubcategoriesTable[Category name],0),0),"")</f>
        <v>Variable</v>
      </c>
      <c r="F810" s="134">
        <v>-180</v>
      </c>
      <c r="G810" s="167" t="str">
        <f>_xlfn.XLOOKUP(Table1[[#This Row],[Account_ID]], Accounts[ID], Accounts[Account nickname], "Unknown")</f>
        <v>EVERYDAY CHECKING</v>
      </c>
      <c r="H810" s="137" t="str">
        <f>_xlfn.XLOOKUP(Table1[[#This Row],[Account_ID]], Accounts[ID], Accounts[Account'#], "Unknown")</f>
        <v>4636</v>
      </c>
      <c r="I810" s="168" t="str">
        <f>_xlfn.XLOOKUP(Table1[[#This Row],[Institution_ID]], Institutions[ID], Institutions[Institution nickname], "Unknown")</f>
        <v>Wells Fargo</v>
      </c>
      <c r="J810" s="139" t="s">
        <v>1584</v>
      </c>
      <c r="K810" s="129" t="s">
        <v>1229</v>
      </c>
      <c r="L810" s="129" t="s">
        <v>1228</v>
      </c>
      <c r="M810" s="130" t="str" cm="1">
        <f t="array" ref="M810">IFERROR(INDEX(CategoriesTable[Category type],MATCH(Table1[[#This Row],[Category]],CategoriesTable[Category name],0),0),"")</f>
        <v>Expense</v>
      </c>
      <c r="N810" s="130" t="str" cm="1">
        <f t="array" ref="N810">IFERROR(INDEX(SubcategoriesTable[Subcategory name],MATCH(Table1[[#This Row],[Category]],SubcategoriesTable[Category name],0),0),"")</f>
        <v>Variable</v>
      </c>
      <c r="O810" s="130">
        <v>11</v>
      </c>
      <c r="P810" s="130">
        <f>MONTH(Table1[[#This Row],[Date]])</f>
        <v>7</v>
      </c>
      <c r="Q810" s="130">
        <v>2020</v>
      </c>
      <c r="R810" s="166">
        <f>IF(ISBLANK(Table1[[#This Row],[Date]]),"",Table1[[#This Row],[Date]]-WEEKDAY(Table1[[#This Row],[Date]],2)+1)</f>
        <v>44018</v>
      </c>
      <c r="S810" s="131">
        <f>IF(ISBLANK(Table1[[#This Row],[Date]]),"",DATE(Table1[[#This Row],[Date_Year]],Table1[[#This Row],[Date_Month]],1))</f>
        <v>44013</v>
      </c>
    </row>
    <row r="811" spans="2:19" ht="15.75" x14ac:dyDescent="0.25">
      <c r="B811" s="133">
        <v>44023</v>
      </c>
      <c r="C811" s="128" t="s">
        <v>146</v>
      </c>
      <c r="D811" s="128" t="s">
        <v>54</v>
      </c>
      <c r="E811" s="128" t="str" cm="1">
        <f t="array" ref="E811">IFERROR(INDEX(SubcategoriesTable[Subcategory name],MATCH(Table1[[#This Row],[Category]],SubcategoriesTable[Category name],0),0),"")</f>
        <v>Fixed</v>
      </c>
      <c r="F811" s="134">
        <v>-29.37</v>
      </c>
      <c r="G811" s="167" t="str">
        <f>_xlfn.XLOOKUP(Table1[[#This Row],[Account_ID]], Accounts[ID], Accounts[Account nickname], "Unknown")</f>
        <v>Discover it chrome Card</v>
      </c>
      <c r="H811" s="137" t="str">
        <f>_xlfn.XLOOKUP(Table1[[#This Row],[Account_ID]], Accounts[ID], Accounts[Account'#], "Unknown")</f>
        <v>7328</v>
      </c>
      <c r="I811" s="168" t="str">
        <f>_xlfn.XLOOKUP(Table1[[#This Row],[Institution_ID]], Institutions[ID], Institutions[Institution nickname], "Unknown")</f>
        <v>Discover</v>
      </c>
      <c r="J811" s="139" t="s">
        <v>851</v>
      </c>
      <c r="K811" s="129" t="s">
        <v>110</v>
      </c>
      <c r="L811" s="129" t="s">
        <v>108</v>
      </c>
      <c r="M811" s="130" t="str" cm="1">
        <f t="array" ref="M811">IFERROR(INDEX(CategoriesTable[Category type],MATCH(Table1[[#This Row],[Category]],CategoriesTable[Category name],0),0),"")</f>
        <v>Expense</v>
      </c>
      <c r="N811" s="130" t="str" cm="1">
        <f t="array" ref="N811">IFERROR(INDEX(SubcategoriesTable[Subcategory name],MATCH(Table1[[#This Row],[Category]],SubcategoriesTable[Category name],0),0),"")</f>
        <v>Fixed</v>
      </c>
      <c r="O811" s="130">
        <v>11</v>
      </c>
      <c r="P811" s="130">
        <f>MONTH(Table1[[#This Row],[Date]])</f>
        <v>7</v>
      </c>
      <c r="Q811" s="130">
        <v>2020</v>
      </c>
      <c r="R811" s="166">
        <f>IF(ISBLANK(Table1[[#This Row],[Date]]),"",Table1[[#This Row],[Date]]-WEEKDAY(Table1[[#This Row],[Date]],2)+1)</f>
        <v>44018</v>
      </c>
      <c r="S811" s="131">
        <f>IF(ISBLANK(Table1[[#This Row],[Date]]),"",DATE(Table1[[#This Row],[Date_Year]],Table1[[#This Row],[Date_Month]],1))</f>
        <v>44013</v>
      </c>
    </row>
    <row r="812" spans="2:19" ht="15.75" x14ac:dyDescent="0.25">
      <c r="B812" s="133">
        <v>44022</v>
      </c>
      <c r="C812" s="128" t="s">
        <v>163</v>
      </c>
      <c r="D812" s="128" t="s">
        <v>54</v>
      </c>
      <c r="E812" s="128" t="str" cm="1">
        <f t="array" ref="E812">IFERROR(INDEX(SubcategoriesTable[Subcategory name],MATCH(Table1[[#This Row],[Category]],SubcategoriesTable[Category name],0),0),"")</f>
        <v>Fixed</v>
      </c>
      <c r="F812" s="134">
        <v>-14.99</v>
      </c>
      <c r="G812" s="167" t="str">
        <f>_xlfn.XLOOKUP(Table1[[#This Row],[Account_ID]], Accounts[ID], Accounts[Account nickname], "Unknown")</f>
        <v>Discover it chrome Card</v>
      </c>
      <c r="H812" s="137" t="str">
        <f>_xlfn.XLOOKUP(Table1[[#This Row],[Account_ID]], Accounts[ID], Accounts[Account'#], "Unknown")</f>
        <v>7328</v>
      </c>
      <c r="I812" s="168" t="str">
        <f>_xlfn.XLOOKUP(Table1[[#This Row],[Institution_ID]], Institutions[ID], Institutions[Institution nickname], "Unknown")</f>
        <v>Discover</v>
      </c>
      <c r="J812" s="139" t="s">
        <v>852</v>
      </c>
      <c r="K812" s="129" t="s">
        <v>110</v>
      </c>
      <c r="L812" s="129" t="s">
        <v>108</v>
      </c>
      <c r="M812" s="130" t="str" cm="1">
        <f t="array" ref="M812">IFERROR(INDEX(CategoriesTable[Category type],MATCH(Table1[[#This Row],[Category]],CategoriesTable[Category name],0),0),"")</f>
        <v>Expense</v>
      </c>
      <c r="N812" s="130" t="str" cm="1">
        <f t="array" ref="N812">IFERROR(INDEX(SubcategoriesTable[Subcategory name],MATCH(Table1[[#This Row],[Category]],SubcategoriesTable[Category name],0),0),"")</f>
        <v>Fixed</v>
      </c>
      <c r="O812" s="130">
        <v>10</v>
      </c>
      <c r="P812" s="130">
        <f>MONTH(Table1[[#This Row],[Date]])</f>
        <v>7</v>
      </c>
      <c r="Q812" s="130">
        <v>2020</v>
      </c>
      <c r="R812" s="166">
        <f>IF(ISBLANK(Table1[[#This Row],[Date]]),"",Table1[[#This Row],[Date]]-WEEKDAY(Table1[[#This Row],[Date]],2)+1)</f>
        <v>44018</v>
      </c>
      <c r="S812" s="131">
        <f>IF(ISBLANK(Table1[[#This Row],[Date]]),"",DATE(Table1[[#This Row],[Date_Year]],Table1[[#This Row],[Date_Month]],1))</f>
        <v>44013</v>
      </c>
    </row>
    <row r="813" spans="2:19" ht="15.75" x14ac:dyDescent="0.25">
      <c r="B813" s="133">
        <v>44022</v>
      </c>
      <c r="C813" s="128" t="s">
        <v>684</v>
      </c>
      <c r="D813" s="128" t="s">
        <v>46</v>
      </c>
      <c r="E813" s="128" t="str" cm="1">
        <f t="array" ref="E813">IFERROR(INDEX(SubcategoriesTable[Subcategory name],MATCH(Table1[[#This Row],[Category]],SubcategoriesTable[Category name],0),0),"")</f>
        <v>Variable</v>
      </c>
      <c r="F813" s="134">
        <v>-7.99</v>
      </c>
      <c r="G813" s="167" t="str">
        <f>_xlfn.XLOOKUP(Table1[[#This Row],[Account_ID]], Accounts[ID], Accounts[Account nickname], "Unknown")</f>
        <v>Discover it chrome Card</v>
      </c>
      <c r="H813" s="137" t="str">
        <f>_xlfn.XLOOKUP(Table1[[#This Row],[Account_ID]], Accounts[ID], Accounts[Account'#], "Unknown")</f>
        <v>7328</v>
      </c>
      <c r="I813" s="168" t="str">
        <f>_xlfn.XLOOKUP(Table1[[#This Row],[Institution_ID]], Institutions[ID], Institutions[Institution nickname], "Unknown")</f>
        <v>Discover</v>
      </c>
      <c r="J813" s="139" t="s">
        <v>853</v>
      </c>
      <c r="K813" s="129" t="s">
        <v>110</v>
      </c>
      <c r="L813" s="129" t="s">
        <v>108</v>
      </c>
      <c r="M813" s="130" t="str" cm="1">
        <f t="array" ref="M813">IFERROR(INDEX(CategoriesTable[Category type],MATCH(Table1[[#This Row],[Category]],CategoriesTable[Category name],0),0),"")</f>
        <v>Expense</v>
      </c>
      <c r="N813" s="130" t="str" cm="1">
        <f t="array" ref="N813">IFERROR(INDEX(SubcategoriesTable[Subcategory name],MATCH(Table1[[#This Row],[Category]],SubcategoriesTable[Category name],0),0),"")</f>
        <v>Variable</v>
      </c>
      <c r="O813" s="130">
        <v>10</v>
      </c>
      <c r="P813" s="130">
        <f>MONTH(Table1[[#This Row],[Date]])</f>
        <v>7</v>
      </c>
      <c r="Q813" s="130">
        <v>2020</v>
      </c>
      <c r="R813" s="166">
        <f>IF(ISBLANK(Table1[[#This Row],[Date]]),"",Table1[[#This Row],[Date]]-WEEKDAY(Table1[[#This Row],[Date]],2)+1)</f>
        <v>44018</v>
      </c>
      <c r="S813" s="131">
        <f>IF(ISBLANK(Table1[[#This Row],[Date]]),"",DATE(Table1[[#This Row],[Date_Year]],Table1[[#This Row],[Date_Month]],1))</f>
        <v>44013</v>
      </c>
    </row>
    <row r="814" spans="2:19" ht="15.75" x14ac:dyDescent="0.25">
      <c r="B814" s="133">
        <v>44021</v>
      </c>
      <c r="C814" s="128" t="s">
        <v>50</v>
      </c>
      <c r="D814" s="128" t="s">
        <v>50</v>
      </c>
      <c r="E814" s="128"/>
      <c r="F814" s="134">
        <v>-80</v>
      </c>
      <c r="G814" s="167" t="str">
        <f>_xlfn.XLOOKUP(Table1[[#This Row],[Account_ID]], Accounts[ID], Accounts[Account nickname], "Unknown")</f>
        <v>Checking - 4480</v>
      </c>
      <c r="H814" s="137" t="str">
        <f>_xlfn.XLOOKUP(Table1[[#This Row],[Account_ID]], Accounts[ID], Accounts[Account'#], "Unknown")</f>
        <v>4480</v>
      </c>
      <c r="I814" s="168" t="str">
        <f>_xlfn.XLOOKUP(Table1[[#This Row],[Institution_ID]], Institutions[ID], Institutions[Institution nickname], "Unknown")</f>
        <v>Robinhood</v>
      </c>
      <c r="J814" s="139" t="s">
        <v>1247</v>
      </c>
      <c r="K814" s="129" t="s">
        <v>1208</v>
      </c>
      <c r="L814" s="173" t="s">
        <v>1207</v>
      </c>
      <c r="M814" s="130" t="str" cm="1">
        <f t="array" ref="M814">IFERROR(INDEX(CategoriesTable[Category type],MATCH(Table1[[#This Row],[Category]],CategoriesTable[Category name],0),0),"")</f>
        <v>Transfer</v>
      </c>
      <c r="N814" s="130" t="str" cm="1">
        <f t="array" ref="N814">IFERROR(INDEX(SubcategoriesTable[Subcategory name],MATCH(Table1[[#This Row],[Category]],SubcategoriesTable[Category name],0),0),"")</f>
        <v>Variable</v>
      </c>
      <c r="O814" s="130">
        <v>9</v>
      </c>
      <c r="P814" s="130">
        <f>MONTH(Table1[[#This Row],[Date]])</f>
        <v>7</v>
      </c>
      <c r="Q814" s="130">
        <v>2020</v>
      </c>
      <c r="R814" s="166">
        <f>IF(ISBLANK(Table1[[#This Row],[Date]]),"",Table1[[#This Row],[Date]]-WEEKDAY(Table1[[#This Row],[Date]],2)+1)</f>
        <v>44018</v>
      </c>
      <c r="S814" s="131">
        <f>IF(ISBLANK(Table1[[#This Row],[Date]]),"",DATE(Table1[[#This Row],[Date_Year]],Table1[[#This Row],[Date_Month]],1))</f>
        <v>44013</v>
      </c>
    </row>
    <row r="815" spans="2:19" ht="15.75" x14ac:dyDescent="0.25">
      <c r="B815" s="133">
        <v>44021</v>
      </c>
      <c r="C815" s="128" t="s">
        <v>256</v>
      </c>
      <c r="D815" s="128" t="s">
        <v>46</v>
      </c>
      <c r="E815" s="128" t="str" cm="1">
        <f t="array" ref="E815">IFERROR(INDEX(SubcategoriesTable[Subcategory name],MATCH(Table1[[#This Row],[Category]],SubcategoriesTable[Category name],0),0),"")</f>
        <v>Variable</v>
      </c>
      <c r="F815" s="134">
        <v>-25.5</v>
      </c>
      <c r="G815" s="167" t="str">
        <f>_xlfn.XLOOKUP(Table1[[#This Row],[Account_ID]], Accounts[ID], Accounts[Account nickname], "Unknown")</f>
        <v>Discover it chrome Card</v>
      </c>
      <c r="H815" s="137" t="str">
        <f>_xlfn.XLOOKUP(Table1[[#This Row],[Account_ID]], Accounts[ID], Accounts[Account'#], "Unknown")</f>
        <v>7328</v>
      </c>
      <c r="I815" s="168" t="str">
        <f>_xlfn.XLOOKUP(Table1[[#This Row],[Institution_ID]], Institutions[ID], Institutions[Institution nickname], "Unknown")</f>
        <v>Discover</v>
      </c>
      <c r="J815" s="139" t="s">
        <v>854</v>
      </c>
      <c r="K815" s="129" t="s">
        <v>110</v>
      </c>
      <c r="L815" s="129" t="s">
        <v>108</v>
      </c>
      <c r="M815" s="130" t="str" cm="1">
        <f t="array" ref="M815">IFERROR(INDEX(CategoriesTable[Category type],MATCH(Table1[[#This Row],[Category]],CategoriesTable[Category name],0),0),"")</f>
        <v>Expense</v>
      </c>
      <c r="N815" s="130" t="str" cm="1">
        <f t="array" ref="N815">IFERROR(INDEX(SubcategoriesTable[Subcategory name],MATCH(Table1[[#This Row],[Category]],SubcategoriesTable[Category name],0),0),"")</f>
        <v>Variable</v>
      </c>
      <c r="O815" s="130">
        <v>9</v>
      </c>
      <c r="P815" s="130">
        <f>MONTH(Table1[[#This Row],[Date]])</f>
        <v>7</v>
      </c>
      <c r="Q815" s="130">
        <v>2020</v>
      </c>
      <c r="R815" s="166">
        <f>IF(ISBLANK(Table1[[#This Row],[Date]]),"",Table1[[#This Row],[Date]]-WEEKDAY(Table1[[#This Row],[Date]],2)+1)</f>
        <v>44018</v>
      </c>
      <c r="S815" s="131">
        <f>IF(ISBLANK(Table1[[#This Row],[Date]]),"",DATE(Table1[[#This Row],[Date_Year]],Table1[[#This Row],[Date_Month]],1))</f>
        <v>44013</v>
      </c>
    </row>
    <row r="816" spans="2:19" ht="15.75" x14ac:dyDescent="0.25">
      <c r="B816" s="133">
        <v>44020</v>
      </c>
      <c r="C816" s="128" t="s">
        <v>457</v>
      </c>
      <c r="D816" s="128" t="s">
        <v>46</v>
      </c>
      <c r="E816" s="128" t="str" cm="1">
        <f t="array" ref="E816">IFERROR(INDEX(SubcategoriesTable[Subcategory name],MATCH(Table1[[#This Row],[Category]],SubcategoriesTable[Category name],0),0),"")</f>
        <v>Variable</v>
      </c>
      <c r="F816" s="134">
        <v>-115.82</v>
      </c>
      <c r="G816" s="167" t="str">
        <f>_xlfn.XLOOKUP(Table1[[#This Row],[Account_ID]], Accounts[ID], Accounts[Account nickname], "Unknown")</f>
        <v>EVERYDAY CHECKING</v>
      </c>
      <c r="H816" s="137" t="str">
        <f>_xlfn.XLOOKUP(Table1[[#This Row],[Account_ID]], Accounts[ID], Accounts[Account'#], "Unknown")</f>
        <v>4636</v>
      </c>
      <c r="I816" s="168" t="str">
        <f>_xlfn.XLOOKUP(Table1[[#This Row],[Institution_ID]], Institutions[ID], Institutions[Institution nickname], "Unknown")</f>
        <v>Wells Fargo</v>
      </c>
      <c r="J816" s="139" t="s">
        <v>1585</v>
      </c>
      <c r="K816" s="129" t="s">
        <v>1229</v>
      </c>
      <c r="L816" s="129" t="s">
        <v>1228</v>
      </c>
      <c r="M816" s="130" t="str" cm="1">
        <f t="array" ref="M816">IFERROR(INDEX(CategoriesTable[Category type],MATCH(Table1[[#This Row],[Category]],CategoriesTable[Category name],0),0),"")</f>
        <v>Expense</v>
      </c>
      <c r="N816" s="130" t="str" cm="1">
        <f t="array" ref="N816">IFERROR(INDEX(SubcategoriesTable[Subcategory name],MATCH(Table1[[#This Row],[Category]],SubcategoriesTable[Category name],0),0),"")</f>
        <v>Variable</v>
      </c>
      <c r="O816" s="130">
        <v>8</v>
      </c>
      <c r="P816" s="130">
        <f>MONTH(Table1[[#This Row],[Date]])</f>
        <v>7</v>
      </c>
      <c r="Q816" s="130">
        <v>2020</v>
      </c>
      <c r="R816" s="166">
        <f>IF(ISBLANK(Table1[[#This Row],[Date]]),"",Table1[[#This Row],[Date]]-WEEKDAY(Table1[[#This Row],[Date]],2)+1)</f>
        <v>44018</v>
      </c>
      <c r="S816" s="131">
        <f>IF(ISBLANK(Table1[[#This Row],[Date]]),"",DATE(Table1[[#This Row],[Date_Year]],Table1[[#This Row],[Date_Month]],1))</f>
        <v>44013</v>
      </c>
    </row>
    <row r="817" spans="2:19" ht="15.75" x14ac:dyDescent="0.25">
      <c r="B817" s="133">
        <v>44020</v>
      </c>
      <c r="C817" s="128" t="s">
        <v>1586</v>
      </c>
      <c r="D817" s="128" t="s">
        <v>57</v>
      </c>
      <c r="E817" s="128" t="str" cm="1">
        <f t="array" ref="E817">IFERROR(INDEX(SubcategoriesTable[Subcategory name],MATCH(Table1[[#This Row],[Category]],SubcategoriesTable[Category name],0),0),"")</f>
        <v>Variable</v>
      </c>
      <c r="F817" s="134">
        <v>42.31</v>
      </c>
      <c r="G817" s="167" t="str">
        <f>_xlfn.XLOOKUP(Table1[[#This Row],[Account_ID]], Accounts[ID], Accounts[Account nickname], "Unknown")</f>
        <v>EVERYDAY CHECKING</v>
      </c>
      <c r="H817" s="137" t="str">
        <f>_xlfn.XLOOKUP(Table1[[#This Row],[Account_ID]], Accounts[ID], Accounts[Account'#], "Unknown")</f>
        <v>4636</v>
      </c>
      <c r="I817" s="168" t="str">
        <f>_xlfn.XLOOKUP(Table1[[#This Row],[Institution_ID]], Institutions[ID], Institutions[Institution nickname], "Unknown")</f>
        <v>Wells Fargo</v>
      </c>
      <c r="J817" s="139" t="s">
        <v>1587</v>
      </c>
      <c r="K817" s="129" t="s">
        <v>1229</v>
      </c>
      <c r="L817" s="129" t="s">
        <v>1228</v>
      </c>
      <c r="M817" s="130" t="str" cm="1">
        <f t="array" ref="M817">IFERROR(INDEX(CategoriesTable[Category type],MATCH(Table1[[#This Row],[Category]],CategoriesTable[Category name],0),0),"")</f>
        <v>Transfer</v>
      </c>
      <c r="N817" s="130" t="str" cm="1">
        <f t="array" ref="N817">IFERROR(INDEX(SubcategoriesTable[Subcategory name],MATCH(Table1[[#This Row],[Category]],SubcategoriesTable[Category name],0),0),"")</f>
        <v>Variable</v>
      </c>
      <c r="O817" s="130">
        <v>8</v>
      </c>
      <c r="P817" s="130">
        <f>MONTH(Table1[[#This Row],[Date]])</f>
        <v>7</v>
      </c>
      <c r="Q817" s="130">
        <v>2020</v>
      </c>
      <c r="R817" s="166">
        <f>IF(ISBLANK(Table1[[#This Row],[Date]]),"",Table1[[#This Row],[Date]]-WEEKDAY(Table1[[#This Row],[Date]],2)+1)</f>
        <v>44018</v>
      </c>
      <c r="S817" s="131">
        <f>IF(ISBLANK(Table1[[#This Row],[Date]]),"",DATE(Table1[[#This Row],[Date_Year]],Table1[[#This Row],[Date_Month]],1))</f>
        <v>44013</v>
      </c>
    </row>
    <row r="818" spans="2:19" ht="15.75" x14ac:dyDescent="0.25">
      <c r="B818" s="133">
        <v>44020</v>
      </c>
      <c r="C818" s="128" t="s">
        <v>113</v>
      </c>
      <c r="D818" s="128" t="s">
        <v>50</v>
      </c>
      <c r="E818" s="128" t="str" cm="1">
        <f t="array" ref="E818">IFERROR(INDEX(SubcategoriesTable[Subcategory name],MATCH(Table1[[#This Row],[Category]],SubcategoriesTable[Category name],0),0),"")</f>
        <v>Variable</v>
      </c>
      <c r="F818" s="134">
        <v>80</v>
      </c>
      <c r="G818" s="167" t="str">
        <f>_xlfn.XLOOKUP(Table1[[#This Row],[Account_ID]], Accounts[ID], Accounts[Account nickname], "Unknown")</f>
        <v>Discover it chrome Card</v>
      </c>
      <c r="H818" s="137" t="str">
        <f>_xlfn.XLOOKUP(Table1[[#This Row],[Account_ID]], Accounts[ID], Accounts[Account'#], "Unknown")</f>
        <v>7328</v>
      </c>
      <c r="I818" s="168" t="str">
        <f>_xlfn.XLOOKUP(Table1[[#This Row],[Institution_ID]], Institutions[ID], Institutions[Institution nickname], "Unknown")</f>
        <v>Discover</v>
      </c>
      <c r="J818" s="139" t="s">
        <v>855</v>
      </c>
      <c r="K818" s="129" t="s">
        <v>110</v>
      </c>
      <c r="L818" s="129" t="s">
        <v>108</v>
      </c>
      <c r="M818" s="130" t="str" cm="1">
        <f t="array" ref="M818">IFERROR(INDEX(CategoriesTable[Category type],MATCH(Table1[[#This Row],[Category]],CategoriesTable[Category name],0),0),"")</f>
        <v>Transfer</v>
      </c>
      <c r="N818" s="130" t="str" cm="1">
        <f t="array" ref="N818">IFERROR(INDEX(SubcategoriesTable[Subcategory name],MATCH(Table1[[#This Row],[Category]],SubcategoriesTable[Category name],0),0),"")</f>
        <v>Variable</v>
      </c>
      <c r="O818" s="130">
        <v>8</v>
      </c>
      <c r="P818" s="130">
        <f>MONTH(Table1[[#This Row],[Date]])</f>
        <v>7</v>
      </c>
      <c r="Q818" s="130">
        <v>2020</v>
      </c>
      <c r="R818" s="166">
        <f>IF(ISBLANK(Table1[[#This Row],[Date]]),"",Table1[[#This Row],[Date]]-WEEKDAY(Table1[[#This Row],[Date]],2)+1)</f>
        <v>44018</v>
      </c>
      <c r="S818" s="131">
        <f>IF(ISBLANK(Table1[[#This Row],[Date]]),"",DATE(Table1[[#This Row],[Date_Year]],Table1[[#This Row],[Date_Month]],1))</f>
        <v>44013</v>
      </c>
    </row>
    <row r="819" spans="2:19" ht="15.75" x14ac:dyDescent="0.25">
      <c r="B819" s="133">
        <v>44020</v>
      </c>
      <c r="C819" s="128" t="s">
        <v>798</v>
      </c>
      <c r="D819" s="128" t="s">
        <v>50</v>
      </c>
      <c r="E819" s="128" t="str" cm="1">
        <f t="array" ref="E819">IFERROR(INDEX(SubcategoriesTable[Subcategory name],MATCH(Table1[[#This Row],[Category]],SubcategoriesTable[Category name],0),0),"")</f>
        <v>Variable</v>
      </c>
      <c r="F819" s="134">
        <v>108</v>
      </c>
      <c r="G819" s="167" t="str">
        <f>_xlfn.XLOOKUP(Table1[[#This Row],[Account_ID]], Accounts[ID], Accounts[Account nickname], "Unknown")</f>
        <v>Discover it chrome Card</v>
      </c>
      <c r="H819" s="137" t="str">
        <f>_xlfn.XLOOKUP(Table1[[#This Row],[Account_ID]], Accounts[ID], Accounts[Account'#], "Unknown")</f>
        <v>7328</v>
      </c>
      <c r="I819" s="168" t="str">
        <f>_xlfn.XLOOKUP(Table1[[#This Row],[Institution_ID]], Institutions[ID], Institutions[Institution nickname], "Unknown")</f>
        <v>Discover</v>
      </c>
      <c r="J819" s="139" t="s">
        <v>856</v>
      </c>
      <c r="K819" s="129" t="s">
        <v>110</v>
      </c>
      <c r="L819" s="129" t="s">
        <v>108</v>
      </c>
      <c r="M819" s="130" t="str" cm="1">
        <f t="array" ref="M819">IFERROR(INDEX(CategoriesTable[Category type],MATCH(Table1[[#This Row],[Category]],CategoriesTable[Category name],0),0),"")</f>
        <v>Transfer</v>
      </c>
      <c r="N819" s="130" t="str" cm="1">
        <f t="array" ref="N819">IFERROR(INDEX(SubcategoriesTable[Subcategory name],MATCH(Table1[[#This Row],[Category]],SubcategoriesTable[Category name],0),0),"")</f>
        <v>Variable</v>
      </c>
      <c r="O819" s="130">
        <v>8</v>
      </c>
      <c r="P819" s="130">
        <f>MONTH(Table1[[#This Row],[Date]])</f>
        <v>7</v>
      </c>
      <c r="Q819" s="130">
        <v>2020</v>
      </c>
      <c r="R819" s="166">
        <f>IF(ISBLANK(Table1[[#This Row],[Date]]),"",Table1[[#This Row],[Date]]-WEEKDAY(Table1[[#This Row],[Date]],2)+1)</f>
        <v>44018</v>
      </c>
      <c r="S819" s="131">
        <f>IF(ISBLANK(Table1[[#This Row],[Date]]),"",DATE(Table1[[#This Row],[Date_Year]],Table1[[#This Row],[Date_Month]],1))</f>
        <v>44013</v>
      </c>
    </row>
    <row r="820" spans="2:19" ht="15.75" x14ac:dyDescent="0.25">
      <c r="B820" s="133">
        <v>44020</v>
      </c>
      <c r="C820" s="128" t="s">
        <v>800</v>
      </c>
      <c r="D820" s="128" t="s">
        <v>61</v>
      </c>
      <c r="E820" s="128" t="str" cm="1">
        <f t="array" ref="E820">IFERROR(INDEX(SubcategoriesTable[Subcategory name],MATCH(Table1[[#This Row],[Category]],SubcategoriesTable[Category name],0),0),"")</f>
        <v>Variable</v>
      </c>
      <c r="F820" s="134">
        <v>-29</v>
      </c>
      <c r="G820" s="167" t="str">
        <f>_xlfn.XLOOKUP(Table1[[#This Row],[Account_ID]], Accounts[ID], Accounts[Account nickname], "Unknown")</f>
        <v>Discover it chrome Card</v>
      </c>
      <c r="H820" s="137" t="str">
        <f>_xlfn.XLOOKUP(Table1[[#This Row],[Account_ID]], Accounts[ID], Accounts[Account'#], "Unknown")</f>
        <v>7328</v>
      </c>
      <c r="I820" s="168" t="str">
        <f>_xlfn.XLOOKUP(Table1[[#This Row],[Institution_ID]], Institutions[ID], Institutions[Institution nickname], "Unknown")</f>
        <v>Discover</v>
      </c>
      <c r="J820" s="139" t="s">
        <v>857</v>
      </c>
      <c r="K820" s="129" t="s">
        <v>110</v>
      </c>
      <c r="L820" s="129" t="s">
        <v>108</v>
      </c>
      <c r="M820" s="130" t="str" cm="1">
        <f t="array" ref="M820">IFERROR(INDEX(CategoriesTable[Category type],MATCH(Table1[[#This Row],[Category]],CategoriesTable[Category name],0),0),"")</f>
        <v>Expense</v>
      </c>
      <c r="N820" s="130" t="str" cm="1">
        <f t="array" ref="N820">IFERROR(INDEX(SubcategoriesTable[Subcategory name],MATCH(Table1[[#This Row],[Category]],SubcategoriesTable[Category name],0),0),"")</f>
        <v>Variable</v>
      </c>
      <c r="O820" s="130">
        <v>8</v>
      </c>
      <c r="P820" s="130">
        <f>MONTH(Table1[[#This Row],[Date]])</f>
        <v>7</v>
      </c>
      <c r="Q820" s="130">
        <v>2020</v>
      </c>
      <c r="R820" s="166">
        <f>IF(ISBLANK(Table1[[#This Row],[Date]]),"",Table1[[#This Row],[Date]]-WEEKDAY(Table1[[#This Row],[Date]],2)+1)</f>
        <v>44018</v>
      </c>
      <c r="S820" s="131">
        <f>IF(ISBLANK(Table1[[#This Row],[Date]]),"",DATE(Table1[[#This Row],[Date_Year]],Table1[[#This Row],[Date_Month]],1))</f>
        <v>44013</v>
      </c>
    </row>
    <row r="821" spans="2:19" ht="15.75" x14ac:dyDescent="0.25">
      <c r="B821" s="133">
        <v>44020</v>
      </c>
      <c r="C821" s="128" t="s">
        <v>793</v>
      </c>
      <c r="D821" s="128" t="s">
        <v>57</v>
      </c>
      <c r="E821" s="128" t="str" cm="1">
        <f t="array" ref="E821">IFERROR(INDEX(SubcategoriesTable[Subcategory name],MATCH(Table1[[#This Row],[Category]],SubcategoriesTable[Category name],0),0),"")</f>
        <v>Variable</v>
      </c>
      <c r="F821" s="134">
        <v>-108</v>
      </c>
      <c r="G821" s="167" t="str">
        <f>_xlfn.XLOOKUP(Table1[[#This Row],[Account_ID]], Accounts[ID], Accounts[Account nickname], "Unknown")</f>
        <v>Discover it chrome Card</v>
      </c>
      <c r="H821" s="137" t="str">
        <f>_xlfn.XLOOKUP(Table1[[#This Row],[Account_ID]], Accounts[ID], Accounts[Account'#], "Unknown")</f>
        <v>7328</v>
      </c>
      <c r="I821" s="168" t="str">
        <f>_xlfn.XLOOKUP(Table1[[#This Row],[Institution_ID]], Institutions[ID], Institutions[Institution nickname], "Unknown")</f>
        <v>Discover</v>
      </c>
      <c r="J821" s="139" t="s">
        <v>858</v>
      </c>
      <c r="K821" s="129" t="s">
        <v>110</v>
      </c>
      <c r="L821" s="129" t="s">
        <v>108</v>
      </c>
      <c r="M821" s="130" t="str" cm="1">
        <f t="array" ref="M821">IFERROR(INDEX(CategoriesTable[Category type],MATCH(Table1[[#This Row],[Category]],CategoriesTable[Category name],0),0),"")</f>
        <v>Transfer</v>
      </c>
      <c r="N821" s="130" t="str" cm="1">
        <f t="array" ref="N821">IFERROR(INDEX(SubcategoriesTable[Subcategory name],MATCH(Table1[[#This Row],[Category]],SubcategoriesTable[Category name],0),0),"")</f>
        <v>Variable</v>
      </c>
      <c r="O821" s="130">
        <v>8</v>
      </c>
      <c r="P821" s="130">
        <f>MONTH(Table1[[#This Row],[Date]])</f>
        <v>7</v>
      </c>
      <c r="Q821" s="130">
        <v>2020</v>
      </c>
      <c r="R821" s="166">
        <f>IF(ISBLANK(Table1[[#This Row],[Date]]),"",Table1[[#This Row],[Date]]-WEEKDAY(Table1[[#This Row],[Date]],2)+1)</f>
        <v>44018</v>
      </c>
      <c r="S821" s="131">
        <f>IF(ISBLANK(Table1[[#This Row],[Date]]),"",DATE(Table1[[#This Row],[Date_Year]],Table1[[#This Row],[Date_Month]],1))</f>
        <v>44013</v>
      </c>
    </row>
    <row r="822" spans="2:19" ht="15.75" x14ac:dyDescent="0.25">
      <c r="B822" s="133">
        <v>44019</v>
      </c>
      <c r="C822" s="128" t="s">
        <v>1586</v>
      </c>
      <c r="D822" s="128" t="s">
        <v>57</v>
      </c>
      <c r="E822" s="128" t="str" cm="1">
        <f t="array" ref="E822">IFERROR(INDEX(SubcategoriesTable[Subcategory name],MATCH(Table1[[#This Row],[Category]],SubcategoriesTable[Category name],0),0),"")</f>
        <v>Variable</v>
      </c>
      <c r="F822" s="134">
        <v>61.63</v>
      </c>
      <c r="G822" s="167" t="str">
        <f>_xlfn.XLOOKUP(Table1[[#This Row],[Account_ID]], Accounts[ID], Accounts[Account nickname], "Unknown")</f>
        <v>EVERYDAY CHECKING</v>
      </c>
      <c r="H822" s="137" t="str">
        <f>_xlfn.XLOOKUP(Table1[[#This Row],[Account_ID]], Accounts[ID], Accounts[Account'#], "Unknown")</f>
        <v>4636</v>
      </c>
      <c r="I822" s="168" t="str">
        <f>_xlfn.XLOOKUP(Table1[[#This Row],[Institution_ID]], Institutions[ID], Institutions[Institution nickname], "Unknown")</f>
        <v>Wells Fargo</v>
      </c>
      <c r="J822" s="171" t="s">
        <v>1588</v>
      </c>
      <c r="K822" s="129" t="s">
        <v>1229</v>
      </c>
      <c r="L822" s="129" t="s">
        <v>1228</v>
      </c>
      <c r="M822" s="130" t="str" cm="1">
        <f t="array" ref="M822">IFERROR(INDEX(CategoriesTable[Category type],MATCH(Table1[[#This Row],[Category]],CategoriesTable[Category name],0),0),"")</f>
        <v>Transfer</v>
      </c>
      <c r="N822" s="130" t="str" cm="1">
        <f t="array" ref="N822">IFERROR(INDEX(SubcategoriesTable[Subcategory name],MATCH(Table1[[#This Row],[Category]],SubcategoriesTable[Category name],0),0),"")</f>
        <v>Variable</v>
      </c>
      <c r="O822" s="130">
        <v>7</v>
      </c>
      <c r="P822" s="130">
        <f>MONTH(Table1[[#This Row],[Date]])</f>
        <v>7</v>
      </c>
      <c r="Q822" s="130">
        <v>2020</v>
      </c>
      <c r="R822" s="166">
        <f>IF(ISBLANK(Table1[[#This Row],[Date]]),"",Table1[[#This Row],[Date]]-WEEKDAY(Table1[[#This Row],[Date]],2)+1)</f>
        <v>44018</v>
      </c>
      <c r="S822" s="131">
        <f>IF(ISBLANK(Table1[[#This Row],[Date]]),"",DATE(Table1[[#This Row],[Date_Year]],Table1[[#This Row],[Date_Month]],1))</f>
        <v>44013</v>
      </c>
    </row>
    <row r="823" spans="2:19" ht="15.75" x14ac:dyDescent="0.25">
      <c r="B823" s="133">
        <v>44019</v>
      </c>
      <c r="C823" s="128" t="s">
        <v>1248</v>
      </c>
      <c r="D823" s="128" t="s">
        <v>2369</v>
      </c>
      <c r="E823" s="128"/>
      <c r="F823" s="134">
        <v>-250</v>
      </c>
      <c r="G823" s="167" t="str">
        <f>_xlfn.XLOOKUP(Table1[[#This Row],[Account_ID]], Accounts[ID], Accounts[Account nickname], "Unknown")</f>
        <v>Checking - 4480</v>
      </c>
      <c r="H823" s="137" t="str">
        <f>_xlfn.XLOOKUP(Table1[[#This Row],[Account_ID]], Accounts[ID], Accounts[Account'#], "Unknown")</f>
        <v>4480</v>
      </c>
      <c r="I823" s="168" t="str">
        <f>_xlfn.XLOOKUP(Table1[[#This Row],[Institution_ID]], Institutions[ID], Institutions[Institution nickname], "Unknown")</f>
        <v>Robinhood</v>
      </c>
      <c r="J823" s="139" t="s">
        <v>1249</v>
      </c>
      <c r="K823" s="129" t="s">
        <v>1208</v>
      </c>
      <c r="L823" s="173" t="s">
        <v>1207</v>
      </c>
      <c r="M823" s="130" t="str" cm="1">
        <f t="array" ref="M823">IFERROR(INDEX(CategoriesTable[Category type],MATCH(Table1[[#This Row],[Category]],CategoriesTable[Category name],0),0),"")</f>
        <v>Expense</v>
      </c>
      <c r="N823" s="130" t="str" cm="1">
        <f t="array" ref="N823">IFERROR(INDEX(SubcategoriesTable[Subcategory name],MATCH(Table1[[#This Row],[Category]],SubcategoriesTable[Category name],0),0),"")</f>
        <v>Variable</v>
      </c>
      <c r="O823" s="130">
        <v>7</v>
      </c>
      <c r="P823" s="130">
        <f>MONTH(Table1[[#This Row],[Date]])</f>
        <v>7</v>
      </c>
      <c r="Q823" s="130">
        <v>2020</v>
      </c>
      <c r="R823" s="166">
        <f>IF(ISBLANK(Table1[[#This Row],[Date]]),"",Table1[[#This Row],[Date]]-WEEKDAY(Table1[[#This Row],[Date]],2)+1)</f>
        <v>44018</v>
      </c>
      <c r="S823" s="131">
        <f>IF(ISBLANK(Table1[[#This Row],[Date]]),"",DATE(Table1[[#This Row],[Date_Year]],Table1[[#This Row],[Date_Month]],1))</f>
        <v>44013</v>
      </c>
    </row>
    <row r="824" spans="2:19" ht="15.75" x14ac:dyDescent="0.25">
      <c r="B824" s="133">
        <v>44018</v>
      </c>
      <c r="C824" s="128" t="s">
        <v>1559</v>
      </c>
      <c r="D824" s="128" t="s">
        <v>46</v>
      </c>
      <c r="E824" s="128" t="str" cm="1">
        <f t="array" ref="E824">IFERROR(INDEX(SubcategoriesTable[Subcategory name],MATCH(Table1[[#This Row],[Category]],SubcategoriesTable[Category name],0),0),"")</f>
        <v>Variable</v>
      </c>
      <c r="F824" s="134">
        <v>-4.99</v>
      </c>
      <c r="G824" s="167" t="str">
        <f>_xlfn.XLOOKUP(Table1[[#This Row],[Account_ID]], Accounts[ID], Accounts[Account nickname], "Unknown")</f>
        <v>EVERYDAY CHECKING</v>
      </c>
      <c r="H824" s="137" t="str">
        <f>_xlfn.XLOOKUP(Table1[[#This Row],[Account_ID]], Accounts[ID], Accounts[Account'#], "Unknown")</f>
        <v>4636</v>
      </c>
      <c r="I824" s="168" t="str">
        <f>_xlfn.XLOOKUP(Table1[[#This Row],[Institution_ID]], Institutions[ID], Institutions[Institution nickname], "Unknown")</f>
        <v>Wells Fargo</v>
      </c>
      <c r="J824" s="139" t="s">
        <v>1589</v>
      </c>
      <c r="K824" s="129" t="s">
        <v>1229</v>
      </c>
      <c r="L824" s="129" t="s">
        <v>1228</v>
      </c>
      <c r="M824" s="130" t="str" cm="1">
        <f t="array" ref="M824">IFERROR(INDEX(CategoriesTable[Category type],MATCH(Table1[[#This Row],[Category]],CategoriesTable[Category name],0),0),"")</f>
        <v>Expense</v>
      </c>
      <c r="N824" s="130" t="str" cm="1">
        <f t="array" ref="N824">IFERROR(INDEX(SubcategoriesTable[Subcategory name],MATCH(Table1[[#This Row],[Category]],SubcategoriesTable[Category name],0),0),"")</f>
        <v>Variable</v>
      </c>
      <c r="O824" s="130">
        <v>6</v>
      </c>
      <c r="P824" s="130">
        <f>MONTH(Table1[[#This Row],[Date]])</f>
        <v>7</v>
      </c>
      <c r="Q824" s="130">
        <v>2020</v>
      </c>
      <c r="R824" s="166">
        <f>IF(ISBLANK(Table1[[#This Row],[Date]]),"",Table1[[#This Row],[Date]]-WEEKDAY(Table1[[#This Row],[Date]],2)+1)</f>
        <v>44018</v>
      </c>
      <c r="S824" s="131">
        <f>IF(ISBLANK(Table1[[#This Row],[Date]]),"",DATE(Table1[[#This Row],[Date_Year]],Table1[[#This Row],[Date_Month]],1))</f>
        <v>44013</v>
      </c>
    </row>
    <row r="825" spans="2:19" ht="15.75" x14ac:dyDescent="0.25">
      <c r="B825" s="133">
        <v>44018</v>
      </c>
      <c r="C825" s="128" t="s">
        <v>50</v>
      </c>
      <c r="D825" s="128" t="s">
        <v>50</v>
      </c>
      <c r="E825" s="128"/>
      <c r="F825" s="134">
        <v>-89.95</v>
      </c>
      <c r="G825" s="167" t="str">
        <f>_xlfn.XLOOKUP(Table1[[#This Row],[Account_ID]], Accounts[ID], Accounts[Account nickname], "Unknown")</f>
        <v>Checking - 4480</v>
      </c>
      <c r="H825" s="137" t="str">
        <f>_xlfn.XLOOKUP(Table1[[#This Row],[Account_ID]], Accounts[ID], Accounts[Account'#], "Unknown")</f>
        <v>4480</v>
      </c>
      <c r="I825" s="168" t="str">
        <f>_xlfn.XLOOKUP(Table1[[#This Row],[Institution_ID]], Institutions[ID], Institutions[Institution nickname], "Unknown")</f>
        <v>Robinhood</v>
      </c>
      <c r="J825" s="139" t="s">
        <v>1250</v>
      </c>
      <c r="K825" s="129" t="s">
        <v>1208</v>
      </c>
      <c r="L825" s="173" t="s">
        <v>1207</v>
      </c>
      <c r="M825" s="130" t="str" cm="1">
        <f t="array" ref="M825">IFERROR(INDEX(CategoriesTable[Category type],MATCH(Table1[[#This Row],[Category]],CategoriesTable[Category name],0),0),"")</f>
        <v>Transfer</v>
      </c>
      <c r="N825" s="130" t="str" cm="1">
        <f t="array" ref="N825">IFERROR(INDEX(SubcategoriesTable[Subcategory name],MATCH(Table1[[#This Row],[Category]],SubcategoriesTable[Category name],0),0),"")</f>
        <v>Variable</v>
      </c>
      <c r="O825" s="130">
        <v>6</v>
      </c>
      <c r="P825" s="130">
        <f>MONTH(Table1[[#This Row],[Date]])</f>
        <v>7</v>
      </c>
      <c r="Q825" s="130">
        <v>2020</v>
      </c>
      <c r="R825" s="166">
        <f>IF(ISBLANK(Table1[[#This Row],[Date]]),"",Table1[[#This Row],[Date]]-WEEKDAY(Table1[[#This Row],[Date]],2)+1)</f>
        <v>44018</v>
      </c>
      <c r="S825" s="131">
        <f>IF(ISBLANK(Table1[[#This Row],[Date]]),"",DATE(Table1[[#This Row],[Date_Year]],Table1[[#This Row],[Date_Month]],1))</f>
        <v>44013</v>
      </c>
    </row>
    <row r="826" spans="2:19" ht="15.75" x14ac:dyDescent="0.25">
      <c r="B826" s="133">
        <v>44017</v>
      </c>
      <c r="C826" s="128" t="s">
        <v>295</v>
      </c>
      <c r="D826" s="128" t="s">
        <v>56</v>
      </c>
      <c r="E826" s="128" t="str" cm="1">
        <f t="array" ref="E826">IFERROR(INDEX(SubcategoriesTable[Subcategory name],MATCH(Table1[[#This Row],[Category]],SubcategoriesTable[Category name],0),0),"")</f>
        <v>Variable</v>
      </c>
      <c r="F826" s="134">
        <v>-39.950000000000003</v>
      </c>
      <c r="G826" s="167" t="str">
        <f>_xlfn.XLOOKUP(Table1[[#This Row],[Account_ID]], Accounts[ID], Accounts[Account nickname], "Unknown")</f>
        <v>Discover it chrome Card</v>
      </c>
      <c r="H826" s="137" t="str">
        <f>_xlfn.XLOOKUP(Table1[[#This Row],[Account_ID]], Accounts[ID], Accounts[Account'#], "Unknown")</f>
        <v>7328</v>
      </c>
      <c r="I826" s="168" t="str">
        <f>_xlfn.XLOOKUP(Table1[[#This Row],[Institution_ID]], Institutions[ID], Institutions[Institution nickname], "Unknown")</f>
        <v>Discover</v>
      </c>
      <c r="J826" s="139" t="s">
        <v>859</v>
      </c>
      <c r="K826" s="129" t="s">
        <v>110</v>
      </c>
      <c r="L826" s="129" t="s">
        <v>108</v>
      </c>
      <c r="M826" s="130" t="str" cm="1">
        <f t="array" ref="M826">IFERROR(INDEX(CategoriesTable[Category type],MATCH(Table1[[#This Row],[Category]],CategoriesTable[Category name],0),0),"")</f>
        <v>Expense</v>
      </c>
      <c r="N826" s="130" t="str" cm="1">
        <f t="array" ref="N826">IFERROR(INDEX(SubcategoriesTable[Subcategory name],MATCH(Table1[[#This Row],[Category]],SubcategoriesTable[Category name],0),0),"")</f>
        <v>Variable</v>
      </c>
      <c r="O826" s="130">
        <v>5</v>
      </c>
      <c r="P826" s="130">
        <f>MONTH(Table1[[#This Row],[Date]])</f>
        <v>7</v>
      </c>
      <c r="Q826" s="130">
        <v>2020</v>
      </c>
      <c r="R826" s="166">
        <f>IF(ISBLANK(Table1[[#This Row],[Date]]),"",Table1[[#This Row],[Date]]-WEEKDAY(Table1[[#This Row],[Date]],2)+1)</f>
        <v>44011</v>
      </c>
      <c r="S826" s="131">
        <f>IF(ISBLANK(Table1[[#This Row],[Date]]),"",DATE(Table1[[#This Row],[Date_Year]],Table1[[#This Row],[Date_Month]],1))</f>
        <v>44013</v>
      </c>
    </row>
    <row r="827" spans="2:19" ht="15.75" x14ac:dyDescent="0.25">
      <c r="B827" s="133">
        <v>44016</v>
      </c>
      <c r="C827" s="128" t="s">
        <v>860</v>
      </c>
      <c r="D827" s="128" t="s">
        <v>46</v>
      </c>
      <c r="E827" s="128" t="str" cm="1">
        <f t="array" ref="E827">IFERROR(INDEX(SubcategoriesTable[Subcategory name],MATCH(Table1[[#This Row],[Category]],SubcategoriesTable[Category name],0),0),"")</f>
        <v>Variable</v>
      </c>
      <c r="F827" s="134">
        <v>-7.49</v>
      </c>
      <c r="G827" s="167" t="str">
        <f>_xlfn.XLOOKUP(Table1[[#This Row],[Account_ID]], Accounts[ID], Accounts[Account nickname], "Unknown")</f>
        <v>Discover it chrome Card</v>
      </c>
      <c r="H827" s="137" t="str">
        <f>_xlfn.XLOOKUP(Table1[[#This Row],[Account_ID]], Accounts[ID], Accounts[Account'#], "Unknown")</f>
        <v>7328</v>
      </c>
      <c r="I827" s="168" t="str">
        <f>_xlfn.XLOOKUP(Table1[[#This Row],[Institution_ID]], Institutions[ID], Institutions[Institution nickname], "Unknown")</f>
        <v>Discover</v>
      </c>
      <c r="J827" s="139" t="s">
        <v>861</v>
      </c>
      <c r="K827" s="129" t="s">
        <v>110</v>
      </c>
      <c r="L827" s="129" t="s">
        <v>108</v>
      </c>
      <c r="M827" s="130" t="str" cm="1">
        <f t="array" ref="M827">IFERROR(INDEX(CategoriesTable[Category type],MATCH(Table1[[#This Row],[Category]],CategoriesTable[Category name],0),0),"")</f>
        <v>Expense</v>
      </c>
      <c r="N827" s="130" t="str" cm="1">
        <f t="array" ref="N827">IFERROR(INDEX(SubcategoriesTable[Subcategory name],MATCH(Table1[[#This Row],[Category]],SubcategoriesTable[Category name],0),0),"")</f>
        <v>Variable</v>
      </c>
      <c r="O827" s="130">
        <v>4</v>
      </c>
      <c r="P827" s="130">
        <f>MONTH(Table1[[#This Row],[Date]])</f>
        <v>7</v>
      </c>
      <c r="Q827" s="130">
        <v>2020</v>
      </c>
      <c r="R827" s="166">
        <f>IF(ISBLANK(Table1[[#This Row],[Date]]),"",Table1[[#This Row],[Date]]-WEEKDAY(Table1[[#This Row],[Date]],2)+1)</f>
        <v>44011</v>
      </c>
      <c r="S827" s="131">
        <f>IF(ISBLANK(Table1[[#This Row],[Date]]),"",DATE(Table1[[#This Row],[Date_Year]],Table1[[#This Row],[Date_Month]],1))</f>
        <v>44013</v>
      </c>
    </row>
    <row r="828" spans="2:19" ht="15.75" x14ac:dyDescent="0.25">
      <c r="B828" s="133">
        <v>44016</v>
      </c>
      <c r="C828" s="128" t="s">
        <v>862</v>
      </c>
      <c r="D828" s="128" t="s">
        <v>56</v>
      </c>
      <c r="E828" s="128" t="str" cm="1">
        <f t="array" ref="E828">IFERROR(INDEX(SubcategoriesTable[Subcategory name],MATCH(Table1[[#This Row],[Category]],SubcategoriesTable[Category name],0),0),"")</f>
        <v>Variable</v>
      </c>
      <c r="F828" s="134">
        <v>-7.5</v>
      </c>
      <c r="G828" s="167" t="str">
        <f>_xlfn.XLOOKUP(Table1[[#This Row],[Account_ID]], Accounts[ID], Accounts[Account nickname], "Unknown")</f>
        <v>Discover it chrome Card</v>
      </c>
      <c r="H828" s="137" t="str">
        <f>_xlfn.XLOOKUP(Table1[[#This Row],[Account_ID]], Accounts[ID], Accounts[Account'#], "Unknown")</f>
        <v>7328</v>
      </c>
      <c r="I828" s="168" t="str">
        <f>_xlfn.XLOOKUP(Table1[[#This Row],[Institution_ID]], Institutions[ID], Institutions[Institution nickname], "Unknown")</f>
        <v>Discover</v>
      </c>
      <c r="J828" s="139" t="s">
        <v>863</v>
      </c>
      <c r="K828" s="129" t="s">
        <v>110</v>
      </c>
      <c r="L828" s="129" t="s">
        <v>108</v>
      </c>
      <c r="M828" s="130" t="str" cm="1">
        <f t="array" ref="M828">IFERROR(INDEX(CategoriesTable[Category type],MATCH(Table1[[#This Row],[Category]],CategoriesTable[Category name],0),0),"")</f>
        <v>Expense</v>
      </c>
      <c r="N828" s="130" t="str" cm="1">
        <f t="array" ref="N828">IFERROR(INDEX(SubcategoriesTable[Subcategory name],MATCH(Table1[[#This Row],[Category]],SubcategoriesTable[Category name],0),0),"")</f>
        <v>Variable</v>
      </c>
      <c r="O828" s="130">
        <v>4</v>
      </c>
      <c r="P828" s="130">
        <f>MONTH(Table1[[#This Row],[Date]])</f>
        <v>7</v>
      </c>
      <c r="Q828" s="130">
        <v>2020</v>
      </c>
      <c r="R828" s="166">
        <f>IF(ISBLANK(Table1[[#This Row],[Date]]),"",Table1[[#This Row],[Date]]-WEEKDAY(Table1[[#This Row],[Date]],2)+1)</f>
        <v>44011</v>
      </c>
      <c r="S828" s="131">
        <f>IF(ISBLANK(Table1[[#This Row],[Date]]),"",DATE(Table1[[#This Row],[Date_Year]],Table1[[#This Row],[Date_Month]],1))</f>
        <v>44013</v>
      </c>
    </row>
    <row r="829" spans="2:19" ht="15.75" x14ac:dyDescent="0.25">
      <c r="B829" s="133">
        <v>44016</v>
      </c>
      <c r="C829" s="128" t="s">
        <v>186</v>
      </c>
      <c r="D829" s="128" t="s">
        <v>52</v>
      </c>
      <c r="E829" s="128" t="str" cm="1">
        <f t="array" ref="E829">IFERROR(INDEX(SubcategoriesTable[Subcategory name],MATCH(Table1[[#This Row],[Category]],SubcategoriesTable[Category name],0),0),"")</f>
        <v>Variable</v>
      </c>
      <c r="F829" s="134">
        <v>-0.94</v>
      </c>
      <c r="G829" s="167" t="str">
        <f>_xlfn.XLOOKUP(Table1[[#This Row],[Account_ID]], Accounts[ID], Accounts[Account nickname], "Unknown")</f>
        <v>Discover it chrome Card</v>
      </c>
      <c r="H829" s="137" t="str">
        <f>_xlfn.XLOOKUP(Table1[[#This Row],[Account_ID]], Accounts[ID], Accounts[Account'#], "Unknown")</f>
        <v>7328</v>
      </c>
      <c r="I829" s="168" t="str">
        <f>_xlfn.XLOOKUP(Table1[[#This Row],[Institution_ID]], Institutions[ID], Institutions[Institution nickname], "Unknown")</f>
        <v>Discover</v>
      </c>
      <c r="J829" s="139" t="s">
        <v>864</v>
      </c>
      <c r="K829" s="129" t="s">
        <v>110</v>
      </c>
      <c r="L829" s="129" t="s">
        <v>108</v>
      </c>
      <c r="M829" s="130" t="str" cm="1">
        <f t="array" ref="M829">IFERROR(INDEX(CategoriesTable[Category type],MATCH(Table1[[#This Row],[Category]],CategoriesTable[Category name],0),0),"")</f>
        <v>Expense</v>
      </c>
      <c r="N829" s="130" t="str" cm="1">
        <f t="array" ref="N829">IFERROR(INDEX(SubcategoriesTable[Subcategory name],MATCH(Table1[[#This Row],[Category]],SubcategoriesTable[Category name],0),0),"")</f>
        <v>Variable</v>
      </c>
      <c r="O829" s="130">
        <v>4</v>
      </c>
      <c r="P829" s="130">
        <f>MONTH(Table1[[#This Row],[Date]])</f>
        <v>7</v>
      </c>
      <c r="Q829" s="130">
        <v>2020</v>
      </c>
      <c r="R829" s="166">
        <f>IF(ISBLANK(Table1[[#This Row],[Date]]),"",Table1[[#This Row],[Date]]-WEEKDAY(Table1[[#This Row],[Date]],2)+1)</f>
        <v>44011</v>
      </c>
      <c r="S829" s="131">
        <f>IF(ISBLANK(Table1[[#This Row],[Date]]),"",DATE(Table1[[#This Row],[Date_Year]],Table1[[#This Row],[Date_Month]],1))</f>
        <v>44013</v>
      </c>
    </row>
    <row r="830" spans="2:19" ht="15.75" x14ac:dyDescent="0.25">
      <c r="B830" s="133">
        <v>44016</v>
      </c>
      <c r="C830" s="128" t="s">
        <v>186</v>
      </c>
      <c r="D830" s="128" t="s">
        <v>52</v>
      </c>
      <c r="E830" s="128" t="str" cm="1">
        <f t="array" ref="E830">IFERROR(INDEX(SubcategoriesTable[Subcategory name],MATCH(Table1[[#This Row],[Category]],SubcategoriesTable[Category name],0),0),"")</f>
        <v>Variable</v>
      </c>
      <c r="F830" s="134">
        <v>-25.5</v>
      </c>
      <c r="G830" s="167" t="str">
        <f>_xlfn.XLOOKUP(Table1[[#This Row],[Account_ID]], Accounts[ID], Accounts[Account nickname], "Unknown")</f>
        <v>Discover it chrome Card</v>
      </c>
      <c r="H830" s="137" t="str">
        <f>_xlfn.XLOOKUP(Table1[[#This Row],[Account_ID]], Accounts[ID], Accounts[Account'#], "Unknown")</f>
        <v>7328</v>
      </c>
      <c r="I830" s="168" t="str">
        <f>_xlfn.XLOOKUP(Table1[[#This Row],[Institution_ID]], Institutions[ID], Institutions[Institution nickname], "Unknown")</f>
        <v>Discover</v>
      </c>
      <c r="J830" s="139" t="s">
        <v>865</v>
      </c>
      <c r="K830" s="129" t="s">
        <v>110</v>
      </c>
      <c r="L830" s="129" t="s">
        <v>108</v>
      </c>
      <c r="M830" s="130" t="str" cm="1">
        <f t="array" ref="M830">IFERROR(INDEX(CategoriesTable[Category type],MATCH(Table1[[#This Row],[Category]],CategoriesTable[Category name],0),0),"")</f>
        <v>Expense</v>
      </c>
      <c r="N830" s="130" t="str" cm="1">
        <f t="array" ref="N830">IFERROR(INDEX(SubcategoriesTable[Subcategory name],MATCH(Table1[[#This Row],[Category]],SubcategoriesTable[Category name],0),0),"")</f>
        <v>Variable</v>
      </c>
      <c r="O830" s="130">
        <v>4</v>
      </c>
      <c r="P830" s="130">
        <f>MONTH(Table1[[#This Row],[Date]])</f>
        <v>7</v>
      </c>
      <c r="Q830" s="130">
        <v>2020</v>
      </c>
      <c r="R830" s="166">
        <f>IF(ISBLANK(Table1[[#This Row],[Date]]),"",Table1[[#This Row],[Date]]-WEEKDAY(Table1[[#This Row],[Date]],2)+1)</f>
        <v>44011</v>
      </c>
      <c r="S830" s="131">
        <f>IF(ISBLANK(Table1[[#This Row],[Date]]),"",DATE(Table1[[#This Row],[Date_Year]],Table1[[#This Row],[Date_Month]],1))</f>
        <v>44013</v>
      </c>
    </row>
    <row r="831" spans="2:19" ht="15.75" x14ac:dyDescent="0.25">
      <c r="B831" s="133">
        <v>44015</v>
      </c>
      <c r="C831" s="128" t="s">
        <v>1590</v>
      </c>
      <c r="D831" s="128" t="s">
        <v>50</v>
      </c>
      <c r="E831" s="128" t="str" cm="1">
        <f t="array" ref="E831">IFERROR(INDEX(SubcategoriesTable[Subcategory name],MATCH(Table1[[#This Row],[Category]],SubcategoriesTable[Category name],0),0),"")</f>
        <v>Variable</v>
      </c>
      <c r="F831" s="134">
        <v>-50</v>
      </c>
      <c r="G831" s="167" t="str">
        <f>_xlfn.XLOOKUP(Table1[[#This Row],[Account_ID]], Accounts[ID], Accounts[Account nickname], "Unknown")</f>
        <v>EVERYDAY CHECKING</v>
      </c>
      <c r="H831" s="137" t="str">
        <f>_xlfn.XLOOKUP(Table1[[#This Row],[Account_ID]], Accounts[ID], Accounts[Account'#], "Unknown")</f>
        <v>4636</v>
      </c>
      <c r="I831" s="168" t="str">
        <f>_xlfn.XLOOKUP(Table1[[#This Row],[Institution_ID]], Institutions[ID], Institutions[Institution nickname], "Unknown")</f>
        <v>Wells Fargo</v>
      </c>
      <c r="J831" s="139" t="s">
        <v>1591</v>
      </c>
      <c r="K831" s="129" t="s">
        <v>1229</v>
      </c>
      <c r="L831" s="129" t="s">
        <v>1228</v>
      </c>
      <c r="M831" s="130" t="str" cm="1">
        <f t="array" ref="M831">IFERROR(INDEX(CategoriesTable[Category type],MATCH(Table1[[#This Row],[Category]],CategoriesTable[Category name],0),0),"")</f>
        <v>Transfer</v>
      </c>
      <c r="N831" s="130" t="str" cm="1">
        <f t="array" ref="N831">IFERROR(INDEX(SubcategoriesTable[Subcategory name],MATCH(Table1[[#This Row],[Category]],SubcategoriesTable[Category name],0),0),"")</f>
        <v>Variable</v>
      </c>
      <c r="O831" s="130">
        <v>3</v>
      </c>
      <c r="P831" s="130">
        <f>MONTH(Table1[[#This Row],[Date]])</f>
        <v>7</v>
      </c>
      <c r="Q831" s="130">
        <v>2020</v>
      </c>
      <c r="R831" s="166">
        <f>IF(ISBLANK(Table1[[#This Row],[Date]]),"",Table1[[#This Row],[Date]]-WEEKDAY(Table1[[#This Row],[Date]],2)+1)</f>
        <v>44011</v>
      </c>
      <c r="S831" s="131">
        <f>IF(ISBLANK(Table1[[#This Row],[Date]]),"",DATE(Table1[[#This Row],[Date_Year]],Table1[[#This Row],[Date_Month]],1))</f>
        <v>44013</v>
      </c>
    </row>
    <row r="832" spans="2:19" ht="15.75" x14ac:dyDescent="0.25">
      <c r="B832" s="133">
        <v>44015</v>
      </c>
      <c r="C832" s="128" t="s">
        <v>842</v>
      </c>
      <c r="D832" s="128" t="s">
        <v>53</v>
      </c>
      <c r="E832" s="128" t="str" cm="1">
        <f t="array" ref="E832">IFERROR(INDEX(SubcategoriesTable[Subcategory name],MATCH(Table1[[#This Row],[Category]],SubcategoriesTable[Category name],0),0),"")</f>
        <v>Variable</v>
      </c>
      <c r="F832" s="134">
        <v>-588</v>
      </c>
      <c r="G832" s="167" t="str">
        <f>_xlfn.XLOOKUP(Table1[[#This Row],[Account_ID]], Accounts[ID], Accounts[Account nickname], "Unknown")</f>
        <v>EVERYDAY CHECKING</v>
      </c>
      <c r="H832" s="137" t="str">
        <f>_xlfn.XLOOKUP(Table1[[#This Row],[Account_ID]], Accounts[ID], Accounts[Account'#], "Unknown")</f>
        <v>4636</v>
      </c>
      <c r="I832" s="168" t="str">
        <f>_xlfn.XLOOKUP(Table1[[#This Row],[Institution_ID]], Institutions[ID], Institutions[Institution nickname], "Unknown")</f>
        <v>Wells Fargo</v>
      </c>
      <c r="J832" s="139" t="s">
        <v>1592</v>
      </c>
      <c r="K832" s="129" t="s">
        <v>1229</v>
      </c>
      <c r="L832" s="129" t="s">
        <v>1228</v>
      </c>
      <c r="M832" s="130" t="str" cm="1">
        <f t="array" ref="M832">IFERROR(INDEX(CategoriesTable[Category type],MATCH(Table1[[#This Row],[Category]],CategoriesTable[Category name],0),0),"")</f>
        <v>Expense</v>
      </c>
      <c r="N832" s="130" t="str" cm="1">
        <f t="array" ref="N832">IFERROR(INDEX(SubcategoriesTable[Subcategory name],MATCH(Table1[[#This Row],[Category]],SubcategoriesTable[Category name],0),0),"")</f>
        <v>Variable</v>
      </c>
      <c r="O832" s="130">
        <v>3</v>
      </c>
      <c r="P832" s="130">
        <f>MONTH(Table1[[#This Row],[Date]])</f>
        <v>7</v>
      </c>
      <c r="Q832" s="130">
        <v>2020</v>
      </c>
      <c r="R832" s="166">
        <f>IF(ISBLANK(Table1[[#This Row],[Date]]),"",Table1[[#This Row],[Date]]-WEEKDAY(Table1[[#This Row],[Date]],2)+1)</f>
        <v>44011</v>
      </c>
      <c r="S832" s="131">
        <f>IF(ISBLANK(Table1[[#This Row],[Date]]),"",DATE(Table1[[#This Row],[Date_Year]],Table1[[#This Row],[Date_Month]],1))</f>
        <v>44013</v>
      </c>
    </row>
    <row r="833" spans="2:19" ht="15.75" x14ac:dyDescent="0.25">
      <c r="B833" s="133">
        <v>44015</v>
      </c>
      <c r="C833" s="128" t="s">
        <v>1181</v>
      </c>
      <c r="D833" s="128" t="s">
        <v>59</v>
      </c>
      <c r="E833" s="128" t="str" cm="1">
        <f t="array" ref="E833">IFERROR(INDEX(SubcategoriesTable[Subcategory name],MATCH(Table1[[#This Row],[Category]],SubcategoriesTable[Category name],0),0),"")</f>
        <v>Fixed</v>
      </c>
      <c r="F833" s="134">
        <v>1565.04</v>
      </c>
      <c r="G833" s="167" t="str">
        <f>_xlfn.XLOOKUP(Table1[[#This Row],[Account_ID]], Accounts[ID], Accounts[Account nickname], "Unknown")</f>
        <v>EVERYDAY CHECKING</v>
      </c>
      <c r="H833" s="137" t="str">
        <f>_xlfn.XLOOKUP(Table1[[#This Row],[Account_ID]], Accounts[ID], Accounts[Account'#], "Unknown")</f>
        <v>4636</v>
      </c>
      <c r="I833" s="168" t="str">
        <f>_xlfn.XLOOKUP(Table1[[#This Row],[Institution_ID]], Institutions[ID], Institutions[Institution nickname], "Unknown")</f>
        <v>Wells Fargo</v>
      </c>
      <c r="J833" s="139" t="s">
        <v>1593</v>
      </c>
      <c r="K833" s="129" t="s">
        <v>1229</v>
      </c>
      <c r="L833" s="129" t="s">
        <v>1228</v>
      </c>
      <c r="M833" s="130" t="str" cm="1">
        <f t="array" ref="M833">IFERROR(INDEX(CategoriesTable[Category type],MATCH(Table1[[#This Row],[Category]],CategoriesTable[Category name],0),0),"")</f>
        <v>Income</v>
      </c>
      <c r="N833" s="130" t="str" cm="1">
        <f t="array" ref="N833">IFERROR(INDEX(SubcategoriesTable[Subcategory name],MATCH(Table1[[#This Row],[Category]],SubcategoriesTable[Category name],0),0),"")</f>
        <v>Fixed</v>
      </c>
      <c r="O833" s="130">
        <v>3</v>
      </c>
      <c r="P833" s="130">
        <f>MONTH(Table1[[#This Row],[Date]])</f>
        <v>7</v>
      </c>
      <c r="Q833" s="130">
        <v>2020</v>
      </c>
      <c r="R833" s="166">
        <f>IF(ISBLANK(Table1[[#This Row],[Date]]),"",Table1[[#This Row],[Date]]-WEEKDAY(Table1[[#This Row],[Date]],2)+1)</f>
        <v>44011</v>
      </c>
      <c r="S833" s="131">
        <f>IF(ISBLANK(Table1[[#This Row],[Date]]),"",DATE(Table1[[#This Row],[Date_Year]],Table1[[#This Row],[Date_Month]],1))</f>
        <v>44013</v>
      </c>
    </row>
    <row r="834" spans="2:19" ht="15.75" x14ac:dyDescent="0.25">
      <c r="B834" s="133">
        <v>44015</v>
      </c>
      <c r="C834" s="128" t="s">
        <v>508</v>
      </c>
      <c r="D834" s="128" t="s">
        <v>78</v>
      </c>
      <c r="E834" s="128" t="str" cm="1">
        <f t="array" ref="E834">IFERROR(INDEX(SubcategoriesTable[Subcategory name],MATCH(Table1[[#This Row],[Category]],SubcategoriesTable[Category name],0),0),"")</f>
        <v>Fixed</v>
      </c>
      <c r="F834" s="134">
        <v>-750</v>
      </c>
      <c r="G834" s="167" t="str">
        <f>_xlfn.XLOOKUP(Table1[[#This Row],[Account_ID]], Accounts[ID], Accounts[Account nickname], "Unknown")</f>
        <v>EVERYDAY CHECKING</v>
      </c>
      <c r="H834" s="137" t="str">
        <f>_xlfn.XLOOKUP(Table1[[#This Row],[Account_ID]], Accounts[ID], Accounts[Account'#], "Unknown")</f>
        <v>4636</v>
      </c>
      <c r="I834" s="168" t="str">
        <f>_xlfn.XLOOKUP(Table1[[#This Row],[Institution_ID]], Institutions[ID], Institutions[Institution nickname], "Unknown")</f>
        <v>Wells Fargo</v>
      </c>
      <c r="J834" s="139" t="s">
        <v>1594</v>
      </c>
      <c r="K834" s="129" t="s">
        <v>1229</v>
      </c>
      <c r="L834" s="129" t="s">
        <v>1228</v>
      </c>
      <c r="M834" s="130" t="str" cm="1">
        <f t="array" ref="M834">IFERROR(INDEX(CategoriesTable[Category type],MATCH(Table1[[#This Row],[Category]],CategoriesTable[Category name],0),0),"")</f>
        <v>Expense</v>
      </c>
      <c r="N834" s="130" t="str" cm="1">
        <f t="array" ref="N834">IFERROR(INDEX(SubcategoriesTable[Subcategory name],MATCH(Table1[[#This Row],[Category]],SubcategoriesTable[Category name],0),0),"")</f>
        <v>Fixed</v>
      </c>
      <c r="O834" s="130">
        <v>3</v>
      </c>
      <c r="P834" s="130">
        <f>MONTH(Table1[[#This Row],[Date]])</f>
        <v>7</v>
      </c>
      <c r="Q834" s="130">
        <v>2020</v>
      </c>
      <c r="R834" s="166">
        <f>IF(ISBLANK(Table1[[#This Row],[Date]]),"",Table1[[#This Row],[Date]]-WEEKDAY(Table1[[#This Row],[Date]],2)+1)</f>
        <v>44011</v>
      </c>
      <c r="S834" s="131">
        <f>IF(ISBLANK(Table1[[#This Row],[Date]]),"",DATE(Table1[[#This Row],[Date_Year]],Table1[[#This Row],[Date_Month]],1))</f>
        <v>44013</v>
      </c>
    </row>
    <row r="835" spans="2:19" ht="15.75" x14ac:dyDescent="0.25">
      <c r="B835" s="133">
        <v>44015</v>
      </c>
      <c r="C835" s="128" t="s">
        <v>206</v>
      </c>
      <c r="D835" s="128" t="s">
        <v>57</v>
      </c>
      <c r="E835" s="128" t="str" cm="1">
        <f t="array" ref="E835">IFERROR(INDEX(SubcategoriesTable[Subcategory name],MATCH(Table1[[#This Row],[Category]],SubcategoriesTable[Category name],0),0),"")</f>
        <v>Variable</v>
      </c>
      <c r="F835" s="134">
        <v>25.96</v>
      </c>
      <c r="G835" s="167" t="str">
        <f>_xlfn.XLOOKUP(Table1[[#This Row],[Account_ID]], Accounts[ID], Accounts[Account nickname], "Unknown")</f>
        <v>Discover it chrome Card</v>
      </c>
      <c r="H835" s="137" t="str">
        <f>_xlfn.XLOOKUP(Table1[[#This Row],[Account_ID]], Accounts[ID], Accounts[Account'#], "Unknown")</f>
        <v>7328</v>
      </c>
      <c r="I835" s="168" t="str">
        <f>_xlfn.XLOOKUP(Table1[[#This Row],[Institution_ID]], Institutions[ID], Institutions[Institution nickname], "Unknown")</f>
        <v>Discover</v>
      </c>
      <c r="J835" s="139" t="s">
        <v>866</v>
      </c>
      <c r="K835" s="129" t="s">
        <v>110</v>
      </c>
      <c r="L835" s="129" t="s">
        <v>108</v>
      </c>
      <c r="M835" s="130" t="str" cm="1">
        <f t="array" ref="M835">IFERROR(INDEX(CategoriesTable[Category type],MATCH(Table1[[#This Row],[Category]],CategoriesTable[Category name],0),0),"")</f>
        <v>Transfer</v>
      </c>
      <c r="N835" s="130" t="str" cm="1">
        <f t="array" ref="N835">IFERROR(INDEX(SubcategoriesTable[Subcategory name],MATCH(Table1[[#This Row],[Category]],SubcategoriesTable[Category name],0),0),"")</f>
        <v>Variable</v>
      </c>
      <c r="O835" s="130">
        <v>3</v>
      </c>
      <c r="P835" s="130">
        <f>MONTH(Table1[[#This Row],[Date]])</f>
        <v>7</v>
      </c>
      <c r="Q835" s="130">
        <v>2020</v>
      </c>
      <c r="R835" s="166">
        <f>IF(ISBLANK(Table1[[#This Row],[Date]]),"",Table1[[#This Row],[Date]]-WEEKDAY(Table1[[#This Row],[Date]],2)+1)</f>
        <v>44011</v>
      </c>
      <c r="S835" s="131">
        <f>IF(ISBLANK(Table1[[#This Row],[Date]]),"",DATE(Table1[[#This Row],[Date_Year]],Table1[[#This Row],[Date_Month]],1))</f>
        <v>44013</v>
      </c>
    </row>
    <row r="836" spans="2:19" ht="15.75" x14ac:dyDescent="0.25">
      <c r="B836" s="133">
        <v>44015</v>
      </c>
      <c r="C836" s="128" t="s">
        <v>171</v>
      </c>
      <c r="D836" s="128" t="s">
        <v>46</v>
      </c>
      <c r="E836" s="128" t="str" cm="1">
        <f t="array" ref="E836">IFERROR(INDEX(SubcategoriesTable[Subcategory name],MATCH(Table1[[#This Row],[Category]],SubcategoriesTable[Category name],0),0),"")</f>
        <v>Variable</v>
      </c>
      <c r="F836" s="134">
        <v>-7.6</v>
      </c>
      <c r="G836" s="167" t="str">
        <f>_xlfn.XLOOKUP(Table1[[#This Row],[Account_ID]], Accounts[ID], Accounts[Account nickname], "Unknown")</f>
        <v>Discover it chrome Card</v>
      </c>
      <c r="H836" s="137" t="str">
        <f>_xlfn.XLOOKUP(Table1[[#This Row],[Account_ID]], Accounts[ID], Accounts[Account'#], "Unknown")</f>
        <v>7328</v>
      </c>
      <c r="I836" s="168" t="str">
        <f>_xlfn.XLOOKUP(Table1[[#This Row],[Institution_ID]], Institutions[ID], Institutions[Institution nickname], "Unknown")</f>
        <v>Discover</v>
      </c>
      <c r="J836" s="139" t="s">
        <v>867</v>
      </c>
      <c r="K836" s="129" t="s">
        <v>110</v>
      </c>
      <c r="L836" s="129" t="s">
        <v>108</v>
      </c>
      <c r="M836" s="130" t="str" cm="1">
        <f t="array" ref="M836">IFERROR(INDEX(CategoriesTable[Category type],MATCH(Table1[[#This Row],[Category]],CategoriesTable[Category name],0),0),"")</f>
        <v>Expense</v>
      </c>
      <c r="N836" s="130" t="str" cm="1">
        <f t="array" ref="N836">IFERROR(INDEX(SubcategoriesTable[Subcategory name],MATCH(Table1[[#This Row],[Category]],SubcategoriesTable[Category name],0),0),"")</f>
        <v>Variable</v>
      </c>
      <c r="O836" s="130">
        <v>3</v>
      </c>
      <c r="P836" s="130">
        <f>MONTH(Table1[[#This Row],[Date]])</f>
        <v>7</v>
      </c>
      <c r="Q836" s="130">
        <v>2020</v>
      </c>
      <c r="R836" s="166">
        <f>IF(ISBLANK(Table1[[#This Row],[Date]]),"",Table1[[#This Row],[Date]]-WEEKDAY(Table1[[#This Row],[Date]],2)+1)</f>
        <v>44011</v>
      </c>
      <c r="S836" s="131">
        <f>IF(ISBLANK(Table1[[#This Row],[Date]]),"",DATE(Table1[[#This Row],[Date_Year]],Table1[[#This Row],[Date_Month]],1))</f>
        <v>44013</v>
      </c>
    </row>
    <row r="837" spans="2:19" ht="15.75" x14ac:dyDescent="0.25">
      <c r="B837" s="133">
        <v>44015</v>
      </c>
      <c r="C837" s="128" t="s">
        <v>113</v>
      </c>
      <c r="D837" s="128" t="s">
        <v>50</v>
      </c>
      <c r="E837" s="128" t="str" cm="1">
        <f t="array" ref="E837">IFERROR(INDEX(SubcategoriesTable[Subcategory name],MATCH(Table1[[#This Row],[Category]],SubcategoriesTable[Category name],0),0),"")</f>
        <v>Variable</v>
      </c>
      <c r="F837" s="134">
        <v>108</v>
      </c>
      <c r="G837" s="167" t="str">
        <f>_xlfn.XLOOKUP(Table1[[#This Row],[Account_ID]], Accounts[ID], Accounts[Account nickname], "Unknown")</f>
        <v>Discover it chrome Card</v>
      </c>
      <c r="H837" s="137" t="str">
        <f>_xlfn.XLOOKUP(Table1[[#This Row],[Account_ID]], Accounts[ID], Accounts[Account'#], "Unknown")</f>
        <v>7328</v>
      </c>
      <c r="I837" s="168" t="str">
        <f>_xlfn.XLOOKUP(Table1[[#This Row],[Institution_ID]], Institutions[ID], Institutions[Institution nickname], "Unknown")</f>
        <v>Discover</v>
      </c>
      <c r="J837" s="139" t="s">
        <v>868</v>
      </c>
      <c r="K837" s="129" t="s">
        <v>110</v>
      </c>
      <c r="L837" s="129" t="s">
        <v>108</v>
      </c>
      <c r="M837" s="130" t="str" cm="1">
        <f t="array" ref="M837">IFERROR(INDEX(CategoriesTable[Category type],MATCH(Table1[[#This Row],[Category]],CategoriesTable[Category name],0),0),"")</f>
        <v>Transfer</v>
      </c>
      <c r="N837" s="130" t="str" cm="1">
        <f t="array" ref="N837">IFERROR(INDEX(SubcategoriesTable[Subcategory name],MATCH(Table1[[#This Row],[Category]],SubcategoriesTable[Category name],0),0),"")</f>
        <v>Variable</v>
      </c>
      <c r="O837" s="130">
        <v>3</v>
      </c>
      <c r="P837" s="130">
        <f>MONTH(Table1[[#This Row],[Date]])</f>
        <v>7</v>
      </c>
      <c r="Q837" s="130">
        <v>2020</v>
      </c>
      <c r="R837" s="166">
        <f>IF(ISBLANK(Table1[[#This Row],[Date]]),"",Table1[[#This Row],[Date]]-WEEKDAY(Table1[[#This Row],[Date]],2)+1)</f>
        <v>44011</v>
      </c>
      <c r="S837" s="131">
        <f>IF(ISBLANK(Table1[[#This Row],[Date]]),"",DATE(Table1[[#This Row],[Date_Year]],Table1[[#This Row],[Date_Month]],1))</f>
        <v>44013</v>
      </c>
    </row>
    <row r="838" spans="2:19" ht="15.75" x14ac:dyDescent="0.25">
      <c r="B838" s="133">
        <v>44015</v>
      </c>
      <c r="C838" s="128" t="s">
        <v>113</v>
      </c>
      <c r="D838" s="128" t="s">
        <v>50</v>
      </c>
      <c r="E838" s="128" t="str" cm="1">
        <f t="array" ref="E838">IFERROR(INDEX(SubcategoriesTable[Subcategory name],MATCH(Table1[[#This Row],[Category]],SubcategoriesTable[Category name],0),0),"")</f>
        <v>Variable</v>
      </c>
      <c r="F838" s="134">
        <v>89.95</v>
      </c>
      <c r="G838" s="167" t="str">
        <f>_xlfn.XLOOKUP(Table1[[#This Row],[Account_ID]], Accounts[ID], Accounts[Account nickname], "Unknown")</f>
        <v>Discover it chrome Card</v>
      </c>
      <c r="H838" s="137" t="str">
        <f>_xlfn.XLOOKUP(Table1[[#This Row],[Account_ID]], Accounts[ID], Accounts[Account'#], "Unknown")</f>
        <v>7328</v>
      </c>
      <c r="I838" s="168" t="str">
        <f>_xlfn.XLOOKUP(Table1[[#This Row],[Institution_ID]], Institutions[ID], Institutions[Institution nickname], "Unknown")</f>
        <v>Discover</v>
      </c>
      <c r="J838" s="139" t="s">
        <v>869</v>
      </c>
      <c r="K838" s="129" t="s">
        <v>110</v>
      </c>
      <c r="L838" s="129" t="s">
        <v>108</v>
      </c>
      <c r="M838" s="130" t="str" cm="1">
        <f t="array" ref="M838">IFERROR(INDEX(CategoriesTable[Category type],MATCH(Table1[[#This Row],[Category]],CategoriesTable[Category name],0),0),"")</f>
        <v>Transfer</v>
      </c>
      <c r="N838" s="130" t="str" cm="1">
        <f t="array" ref="N838">IFERROR(INDEX(SubcategoriesTable[Subcategory name],MATCH(Table1[[#This Row],[Category]],SubcategoriesTable[Category name],0),0),"")</f>
        <v>Variable</v>
      </c>
      <c r="O838" s="130">
        <v>3</v>
      </c>
      <c r="P838" s="130">
        <f>MONTH(Table1[[#This Row],[Date]])</f>
        <v>7</v>
      </c>
      <c r="Q838" s="130">
        <v>2020</v>
      </c>
      <c r="R838" s="166">
        <f>IF(ISBLANK(Table1[[#This Row],[Date]]),"",Table1[[#This Row],[Date]]-WEEKDAY(Table1[[#This Row],[Date]],2)+1)</f>
        <v>44011</v>
      </c>
      <c r="S838" s="131">
        <f>IF(ISBLANK(Table1[[#This Row],[Date]]),"",DATE(Table1[[#This Row],[Date_Year]],Table1[[#This Row],[Date_Month]],1))</f>
        <v>44013</v>
      </c>
    </row>
    <row r="839" spans="2:19" ht="15.75" x14ac:dyDescent="0.25">
      <c r="B839" s="133">
        <v>44015</v>
      </c>
      <c r="C839" s="128" t="s">
        <v>862</v>
      </c>
      <c r="D839" s="128" t="s">
        <v>56</v>
      </c>
      <c r="E839" s="128" t="str" cm="1">
        <f t="array" ref="E839">IFERROR(INDEX(SubcategoriesTable[Subcategory name],MATCH(Table1[[#This Row],[Category]],SubcategoriesTable[Category name],0),0),"")</f>
        <v>Variable</v>
      </c>
      <c r="F839" s="134">
        <v>-7.84</v>
      </c>
      <c r="G839" s="167" t="str">
        <f>_xlfn.XLOOKUP(Table1[[#This Row],[Account_ID]], Accounts[ID], Accounts[Account nickname], "Unknown")</f>
        <v>Discover it chrome Card</v>
      </c>
      <c r="H839" s="137" t="str">
        <f>_xlfn.XLOOKUP(Table1[[#This Row],[Account_ID]], Accounts[ID], Accounts[Account'#], "Unknown")</f>
        <v>7328</v>
      </c>
      <c r="I839" s="168" t="str">
        <f>_xlfn.XLOOKUP(Table1[[#This Row],[Institution_ID]], Institutions[ID], Institutions[Institution nickname], "Unknown")</f>
        <v>Discover</v>
      </c>
      <c r="J839" s="139" t="s">
        <v>870</v>
      </c>
      <c r="K839" s="129" t="s">
        <v>110</v>
      </c>
      <c r="L839" s="129" t="s">
        <v>108</v>
      </c>
      <c r="M839" s="130" t="str" cm="1">
        <f t="array" ref="M839">IFERROR(INDEX(CategoriesTable[Category type],MATCH(Table1[[#This Row],[Category]],CategoriesTable[Category name],0),0),"")</f>
        <v>Expense</v>
      </c>
      <c r="N839" s="130" t="str" cm="1">
        <f t="array" ref="N839">IFERROR(INDEX(SubcategoriesTable[Subcategory name],MATCH(Table1[[#This Row],[Category]],SubcategoriesTable[Category name],0),0),"")</f>
        <v>Variable</v>
      </c>
      <c r="O839" s="130">
        <v>3</v>
      </c>
      <c r="P839" s="130">
        <f>MONTH(Table1[[#This Row],[Date]])</f>
        <v>7</v>
      </c>
      <c r="Q839" s="130">
        <v>2020</v>
      </c>
      <c r="R839" s="166">
        <f>IF(ISBLANK(Table1[[#This Row],[Date]]),"",Table1[[#This Row],[Date]]-WEEKDAY(Table1[[#This Row],[Date]],2)+1)</f>
        <v>44011</v>
      </c>
      <c r="S839" s="131">
        <f>IF(ISBLANK(Table1[[#This Row],[Date]]),"",DATE(Table1[[#This Row],[Date_Year]],Table1[[#This Row],[Date_Month]],1))</f>
        <v>44013</v>
      </c>
    </row>
    <row r="840" spans="2:19" ht="15.75" x14ac:dyDescent="0.25">
      <c r="B840" s="133">
        <v>44014</v>
      </c>
      <c r="C840" s="128" t="s">
        <v>1183</v>
      </c>
      <c r="D840" s="128" t="s">
        <v>1204</v>
      </c>
      <c r="E840" s="128" t="str" cm="1">
        <f t="array" ref="E840">IFERROR(INDEX(SubcategoriesTable[Subcategory name],MATCH(Table1[[#This Row],[Category]],SubcategoriesTable[Category name],0),0),"")</f>
        <v>Variable</v>
      </c>
      <c r="F840" s="134">
        <v>-50</v>
      </c>
      <c r="G840" s="167" t="str">
        <f>_xlfn.XLOOKUP(Table1[[#This Row],[Account_ID]], Accounts[ID], Accounts[Account nickname], "Unknown")</f>
        <v>EVERYDAY CHECKING</v>
      </c>
      <c r="H840" s="137" t="str">
        <f>_xlfn.XLOOKUP(Table1[[#This Row],[Account_ID]], Accounts[ID], Accounts[Account'#], "Unknown")</f>
        <v>4636</v>
      </c>
      <c r="I840" s="168" t="str">
        <f>_xlfn.XLOOKUP(Table1[[#This Row],[Institution_ID]], Institutions[ID], Institutions[Institution nickname], "Unknown")</f>
        <v>Wells Fargo</v>
      </c>
      <c r="J840" s="139" t="s">
        <v>1595</v>
      </c>
      <c r="K840" s="129" t="s">
        <v>1229</v>
      </c>
      <c r="L840" s="129" t="s">
        <v>1228</v>
      </c>
      <c r="M840" s="130" t="str" cm="1">
        <f t="array" ref="M840">IFERROR(INDEX(CategoriesTable[Category type],MATCH(Table1[[#This Row],[Category]],CategoriesTable[Category name],0),0),"")</f>
        <v>Savings</v>
      </c>
      <c r="N840" s="130" t="str" cm="1">
        <f t="array" ref="N840">IFERROR(INDEX(SubcategoriesTable[Subcategory name],MATCH(Table1[[#This Row],[Category]],SubcategoriesTable[Category name],0),0),"")</f>
        <v>Variable</v>
      </c>
      <c r="O840" s="130">
        <v>2</v>
      </c>
      <c r="P840" s="130">
        <f>MONTH(Table1[[#This Row],[Date]])</f>
        <v>7</v>
      </c>
      <c r="Q840" s="130">
        <v>2020</v>
      </c>
      <c r="R840" s="166">
        <f>IF(ISBLANK(Table1[[#This Row],[Date]]),"",Table1[[#This Row],[Date]]-WEEKDAY(Table1[[#This Row],[Date]],2)+1)</f>
        <v>44011</v>
      </c>
      <c r="S840" s="131">
        <f>IF(ISBLANK(Table1[[#This Row],[Date]]),"",DATE(Table1[[#This Row],[Date_Year]],Table1[[#This Row],[Date_Month]],1))</f>
        <v>44013</v>
      </c>
    </row>
    <row r="841" spans="2:19" ht="15.75" x14ac:dyDescent="0.25">
      <c r="B841" s="133">
        <v>44013</v>
      </c>
      <c r="C841" s="128" t="s">
        <v>50</v>
      </c>
      <c r="D841" s="128" t="s">
        <v>1204</v>
      </c>
      <c r="E841" s="128"/>
      <c r="F841" s="134">
        <v>50</v>
      </c>
      <c r="G841" s="167" t="str">
        <f>_xlfn.XLOOKUP(Table1[[#This Row],[Account_ID]], Accounts[ID], Accounts[Account nickname], "Unknown")</f>
        <v>Checking - 4480</v>
      </c>
      <c r="H841" s="137" t="str">
        <f>_xlfn.XLOOKUP(Table1[[#This Row],[Account_ID]], Accounts[ID], Accounts[Account'#], "Unknown")</f>
        <v>4480</v>
      </c>
      <c r="I841" s="168" t="str">
        <f>_xlfn.XLOOKUP(Table1[[#This Row],[Institution_ID]], Institutions[ID], Institutions[Institution nickname], "Unknown")</f>
        <v>Robinhood</v>
      </c>
      <c r="J841" s="139" t="s">
        <v>1251</v>
      </c>
      <c r="K841" s="129" t="s">
        <v>1208</v>
      </c>
      <c r="L841" s="173" t="s">
        <v>1207</v>
      </c>
      <c r="M841" s="130" t="str" cm="1">
        <f t="array" ref="M841">IFERROR(INDEX(CategoriesTable[Category type],MATCH(Table1[[#This Row],[Category]],CategoriesTable[Category name],0),0),"")</f>
        <v>Savings</v>
      </c>
      <c r="N841" s="130" t="str" cm="1">
        <f t="array" ref="N841">IFERROR(INDEX(SubcategoriesTable[Subcategory name],MATCH(Table1[[#This Row],[Category]],SubcategoriesTable[Category name],0),0),"")</f>
        <v>Variable</v>
      </c>
      <c r="O841" s="130">
        <v>1</v>
      </c>
      <c r="P841" s="130">
        <f>MONTH(Table1[[#This Row],[Date]])</f>
        <v>7</v>
      </c>
      <c r="Q841" s="130">
        <v>2020</v>
      </c>
      <c r="R841" s="166">
        <f>IF(ISBLANK(Table1[[#This Row],[Date]]),"",Table1[[#This Row],[Date]]-WEEKDAY(Table1[[#This Row],[Date]],2)+1)</f>
        <v>44011</v>
      </c>
      <c r="S841" s="131">
        <f>IF(ISBLANK(Table1[[#This Row],[Date]]),"",DATE(Table1[[#This Row],[Date_Year]],Table1[[#This Row],[Date_Month]],1))</f>
        <v>44013</v>
      </c>
    </row>
    <row r="842" spans="2:19" ht="15.75" x14ac:dyDescent="0.25">
      <c r="B842" s="133">
        <v>44013</v>
      </c>
      <c r="C842" s="128" t="s">
        <v>152</v>
      </c>
      <c r="D842" s="128" t="s">
        <v>54</v>
      </c>
      <c r="E842" s="128" t="str" cm="1">
        <f t="array" ref="E842">IFERROR(INDEX(SubcategoriesTable[Subcategory name],MATCH(Table1[[#This Row],[Category]],SubcategoriesTable[Category name],0),0),"")</f>
        <v>Fixed</v>
      </c>
      <c r="F842" s="134">
        <v>-12.99</v>
      </c>
      <c r="G842" s="167" t="str">
        <f>_xlfn.XLOOKUP(Table1[[#This Row],[Account_ID]], Accounts[ID], Accounts[Account nickname], "Unknown")</f>
        <v>Discover it chrome Card</v>
      </c>
      <c r="H842" s="137" t="str">
        <f>_xlfn.XLOOKUP(Table1[[#This Row],[Account_ID]], Accounts[ID], Accounts[Account'#], "Unknown")</f>
        <v>7328</v>
      </c>
      <c r="I842" s="168" t="str">
        <f>_xlfn.XLOOKUP(Table1[[#This Row],[Institution_ID]], Institutions[ID], Institutions[Institution nickname], "Unknown")</f>
        <v>Discover</v>
      </c>
      <c r="J842" s="139" t="s">
        <v>871</v>
      </c>
      <c r="K842" s="129" t="s">
        <v>110</v>
      </c>
      <c r="L842" s="129" t="s">
        <v>108</v>
      </c>
      <c r="M842" s="130" t="str" cm="1">
        <f t="array" ref="M842">IFERROR(INDEX(CategoriesTable[Category type],MATCH(Table1[[#This Row],[Category]],CategoriesTable[Category name],0),0),"")</f>
        <v>Expense</v>
      </c>
      <c r="N842" s="130" t="str" cm="1">
        <f t="array" ref="N842">IFERROR(INDEX(SubcategoriesTable[Subcategory name],MATCH(Table1[[#This Row],[Category]],SubcategoriesTable[Category name],0),0),"")</f>
        <v>Fixed</v>
      </c>
      <c r="O842" s="130">
        <v>1</v>
      </c>
      <c r="P842" s="130">
        <f>MONTH(Table1[[#This Row],[Date]])</f>
        <v>7</v>
      </c>
      <c r="Q842" s="130">
        <v>2020</v>
      </c>
      <c r="R842" s="166">
        <f>IF(ISBLANK(Table1[[#This Row],[Date]]),"",Table1[[#This Row],[Date]]-WEEKDAY(Table1[[#This Row],[Date]],2)+1)</f>
        <v>44011</v>
      </c>
      <c r="S842" s="131">
        <f>IF(ISBLANK(Table1[[#This Row],[Date]]),"",DATE(Table1[[#This Row],[Date_Year]],Table1[[#This Row],[Date_Month]],1))</f>
        <v>44013</v>
      </c>
    </row>
    <row r="843" spans="2:19" ht="15.75" x14ac:dyDescent="0.25">
      <c r="B843" s="133">
        <v>44011</v>
      </c>
      <c r="C843" s="128" t="s">
        <v>1596</v>
      </c>
      <c r="D843" s="128" t="s">
        <v>56</v>
      </c>
      <c r="E843" s="128" t="str" cm="1">
        <f t="array" ref="E843">IFERROR(INDEX(SubcategoriesTable[Subcategory name],MATCH(Table1[[#This Row],[Category]],SubcategoriesTable[Category name],0),0),"")</f>
        <v>Variable</v>
      </c>
      <c r="F843" s="134">
        <v>-20</v>
      </c>
      <c r="G843" s="167" t="str">
        <f>_xlfn.XLOOKUP(Table1[[#This Row],[Account_ID]], Accounts[ID], Accounts[Account nickname], "Unknown")</f>
        <v>EVERYDAY CHECKING</v>
      </c>
      <c r="H843" s="137" t="str">
        <f>_xlfn.XLOOKUP(Table1[[#This Row],[Account_ID]], Accounts[ID], Accounts[Account'#], "Unknown")</f>
        <v>4636</v>
      </c>
      <c r="I843" s="168" t="str">
        <f>_xlfn.XLOOKUP(Table1[[#This Row],[Institution_ID]], Institutions[ID], Institutions[Institution nickname], "Unknown")</f>
        <v>Wells Fargo</v>
      </c>
      <c r="J843" s="139" t="s">
        <v>1597</v>
      </c>
      <c r="K843" s="129" t="s">
        <v>1229</v>
      </c>
      <c r="L843" s="129" t="s">
        <v>1228</v>
      </c>
      <c r="M843" s="130" t="str" cm="1">
        <f t="array" ref="M843">IFERROR(INDEX(CategoriesTable[Category type],MATCH(Table1[[#This Row],[Category]],CategoriesTable[Category name],0),0),"")</f>
        <v>Expense</v>
      </c>
      <c r="N843" s="130" t="str" cm="1">
        <f t="array" ref="N843">IFERROR(INDEX(SubcategoriesTable[Subcategory name],MATCH(Table1[[#This Row],[Category]],SubcategoriesTable[Category name],0),0),"")</f>
        <v>Variable</v>
      </c>
      <c r="O843" s="130">
        <v>29</v>
      </c>
      <c r="P843" s="130">
        <f>MONTH(Table1[[#This Row],[Date]])</f>
        <v>6</v>
      </c>
      <c r="Q843" s="130">
        <v>2020</v>
      </c>
      <c r="R843" s="166">
        <f>IF(ISBLANK(Table1[[#This Row],[Date]]),"",Table1[[#This Row],[Date]]-WEEKDAY(Table1[[#This Row],[Date]],2)+1)</f>
        <v>44011</v>
      </c>
      <c r="S843" s="131">
        <f>IF(ISBLANK(Table1[[#This Row],[Date]]),"",DATE(Table1[[#This Row],[Date_Year]],Table1[[#This Row],[Date_Month]],1))</f>
        <v>43983</v>
      </c>
    </row>
    <row r="844" spans="2:19" ht="15.75" x14ac:dyDescent="0.25">
      <c r="B844" s="133">
        <v>44011</v>
      </c>
      <c r="C844" s="128" t="s">
        <v>508</v>
      </c>
      <c r="D844" s="128" t="s">
        <v>50</v>
      </c>
      <c r="E844" s="128" t="str" cm="1">
        <f t="array" ref="E844">IFERROR(INDEX(SubcategoriesTable[Subcategory name],MATCH(Table1[[#This Row],[Category]],SubcategoriesTable[Category name],0),0),"")</f>
        <v>Variable</v>
      </c>
      <c r="F844" s="134">
        <v>-3</v>
      </c>
      <c r="G844" s="167" t="str">
        <f>_xlfn.XLOOKUP(Table1[[#This Row],[Account_ID]], Accounts[ID], Accounts[Account nickname], "Unknown")</f>
        <v>EVERYDAY CHECKING</v>
      </c>
      <c r="H844" s="137" t="str">
        <f>_xlfn.XLOOKUP(Table1[[#This Row],[Account_ID]], Accounts[ID], Accounts[Account'#], "Unknown")</f>
        <v>4636</v>
      </c>
      <c r="I844" s="168" t="str">
        <f>_xlfn.XLOOKUP(Table1[[#This Row],[Institution_ID]], Institutions[ID], Institutions[Institution nickname], "Unknown")</f>
        <v>Wells Fargo</v>
      </c>
      <c r="J844" s="139" t="s">
        <v>1598</v>
      </c>
      <c r="K844" s="129" t="s">
        <v>1229</v>
      </c>
      <c r="L844" s="129" t="s">
        <v>1228</v>
      </c>
      <c r="M844" s="130" t="str" cm="1">
        <f t="array" ref="M844">IFERROR(INDEX(CategoriesTable[Category type],MATCH(Table1[[#This Row],[Category]],CategoriesTable[Category name],0),0),"")</f>
        <v>Transfer</v>
      </c>
      <c r="N844" s="130" t="str" cm="1">
        <f t="array" ref="N844">IFERROR(INDEX(SubcategoriesTable[Subcategory name],MATCH(Table1[[#This Row],[Category]],SubcategoriesTable[Category name],0),0),"")</f>
        <v>Variable</v>
      </c>
      <c r="O844" s="130">
        <v>29</v>
      </c>
      <c r="P844" s="130">
        <f>MONTH(Table1[[#This Row],[Date]])</f>
        <v>6</v>
      </c>
      <c r="Q844" s="130">
        <v>2020</v>
      </c>
      <c r="R844" s="166">
        <f>IF(ISBLANK(Table1[[#This Row],[Date]]),"",Table1[[#This Row],[Date]]-WEEKDAY(Table1[[#This Row],[Date]],2)+1)</f>
        <v>44011</v>
      </c>
      <c r="S844" s="131">
        <f>IF(ISBLANK(Table1[[#This Row],[Date]]),"",DATE(Table1[[#This Row],[Date_Year]],Table1[[#This Row],[Date_Month]],1))</f>
        <v>43983</v>
      </c>
    </row>
    <row r="845" spans="2:19" ht="15.75" x14ac:dyDescent="0.25">
      <c r="B845" s="133">
        <v>44011</v>
      </c>
      <c r="C845" s="128" t="s">
        <v>508</v>
      </c>
      <c r="D845" s="128" t="s">
        <v>78</v>
      </c>
      <c r="E845" s="128" t="str" cm="1">
        <f t="array" ref="E845">IFERROR(INDEX(SubcategoriesTable[Subcategory name],MATCH(Table1[[#This Row],[Category]],SubcategoriesTable[Category name],0),0),"")</f>
        <v>Fixed</v>
      </c>
      <c r="F845" s="134">
        <v>-420</v>
      </c>
      <c r="G845" s="167" t="str">
        <f>_xlfn.XLOOKUP(Table1[[#This Row],[Account_ID]], Accounts[ID], Accounts[Account nickname], "Unknown")</f>
        <v>EVERYDAY CHECKING</v>
      </c>
      <c r="H845" s="137" t="str">
        <f>_xlfn.XLOOKUP(Table1[[#This Row],[Account_ID]], Accounts[ID], Accounts[Account'#], "Unknown")</f>
        <v>4636</v>
      </c>
      <c r="I845" s="168" t="str">
        <f>_xlfn.XLOOKUP(Table1[[#This Row],[Institution_ID]], Institutions[ID], Institutions[Institution nickname], "Unknown")</f>
        <v>Wells Fargo</v>
      </c>
      <c r="J845" s="139" t="s">
        <v>1599</v>
      </c>
      <c r="K845" s="129" t="s">
        <v>1229</v>
      </c>
      <c r="L845" s="129" t="s">
        <v>1228</v>
      </c>
      <c r="M845" s="130" t="str" cm="1">
        <f t="array" ref="M845">IFERROR(INDEX(CategoriesTable[Category type],MATCH(Table1[[#This Row],[Category]],CategoriesTable[Category name],0),0),"")</f>
        <v>Expense</v>
      </c>
      <c r="N845" s="130" t="str" cm="1">
        <f t="array" ref="N845">IFERROR(INDEX(SubcategoriesTable[Subcategory name],MATCH(Table1[[#This Row],[Category]],SubcategoriesTable[Category name],0),0),"")</f>
        <v>Fixed</v>
      </c>
      <c r="O845" s="130">
        <v>29</v>
      </c>
      <c r="P845" s="130">
        <f>MONTH(Table1[[#This Row],[Date]])</f>
        <v>6</v>
      </c>
      <c r="Q845" s="130">
        <v>2020</v>
      </c>
      <c r="R845" s="166">
        <f>IF(ISBLANK(Table1[[#This Row],[Date]]),"",Table1[[#This Row],[Date]]-WEEKDAY(Table1[[#This Row],[Date]],2)+1)</f>
        <v>44011</v>
      </c>
      <c r="S845" s="131">
        <f>IF(ISBLANK(Table1[[#This Row],[Date]]),"",DATE(Table1[[#This Row],[Date_Year]],Table1[[#This Row],[Date_Month]],1))</f>
        <v>43983</v>
      </c>
    </row>
    <row r="846" spans="2:19" ht="15.75" x14ac:dyDescent="0.25">
      <c r="B846" s="133">
        <v>44011</v>
      </c>
      <c r="C846" s="128" t="s">
        <v>242</v>
      </c>
      <c r="D846" s="128" t="s">
        <v>46</v>
      </c>
      <c r="E846" s="128" t="str" cm="1">
        <f t="array" ref="E846">IFERROR(INDEX(SubcategoriesTable[Subcategory name],MATCH(Table1[[#This Row],[Category]],SubcategoriesTable[Category name],0),0),"")</f>
        <v>Variable</v>
      </c>
      <c r="F846" s="134">
        <v>-21.05</v>
      </c>
      <c r="G846" s="167" t="str">
        <f>_xlfn.XLOOKUP(Table1[[#This Row],[Account_ID]], Accounts[ID], Accounts[Account nickname], "Unknown")</f>
        <v>Discover it chrome Card</v>
      </c>
      <c r="H846" s="137" t="str">
        <f>_xlfn.XLOOKUP(Table1[[#This Row],[Account_ID]], Accounts[ID], Accounts[Account'#], "Unknown")</f>
        <v>7328</v>
      </c>
      <c r="I846" s="168" t="str">
        <f>_xlfn.XLOOKUP(Table1[[#This Row],[Institution_ID]], Institutions[ID], Institutions[Institution nickname], "Unknown")</f>
        <v>Discover</v>
      </c>
      <c r="J846" s="139" t="s">
        <v>872</v>
      </c>
      <c r="K846" s="129" t="s">
        <v>110</v>
      </c>
      <c r="L846" s="129" t="s">
        <v>108</v>
      </c>
      <c r="M846" s="130" t="str" cm="1">
        <f t="array" ref="M846">IFERROR(INDEX(CategoriesTable[Category type],MATCH(Table1[[#This Row],[Category]],CategoriesTable[Category name],0),0),"")</f>
        <v>Expense</v>
      </c>
      <c r="N846" s="130" t="str" cm="1">
        <f t="array" ref="N846">IFERROR(INDEX(SubcategoriesTable[Subcategory name],MATCH(Table1[[#This Row],[Category]],SubcategoriesTable[Category name],0),0),"")</f>
        <v>Variable</v>
      </c>
      <c r="O846" s="130">
        <v>29</v>
      </c>
      <c r="P846" s="130">
        <f>MONTH(Table1[[#This Row],[Date]])</f>
        <v>6</v>
      </c>
      <c r="Q846" s="130">
        <v>2020</v>
      </c>
      <c r="R846" s="166">
        <f>IF(ISBLANK(Table1[[#This Row],[Date]]),"",Table1[[#This Row],[Date]]-WEEKDAY(Table1[[#This Row],[Date]],2)+1)</f>
        <v>44011</v>
      </c>
      <c r="S846" s="131">
        <f>IF(ISBLANK(Table1[[#This Row],[Date]]),"",DATE(Table1[[#This Row],[Date_Year]],Table1[[#This Row],[Date_Month]],1))</f>
        <v>43983</v>
      </c>
    </row>
    <row r="847" spans="2:19" ht="15.75" x14ac:dyDescent="0.25">
      <c r="B847" s="133">
        <v>44011</v>
      </c>
      <c r="C847" s="128" t="s">
        <v>873</v>
      </c>
      <c r="D847" s="128" t="s">
        <v>52</v>
      </c>
      <c r="E847" s="128" t="str" cm="1">
        <f t="array" ref="E847">IFERROR(INDEX(SubcategoriesTable[Subcategory name],MATCH(Table1[[#This Row],[Category]],SubcategoriesTable[Category name],0),0),"")</f>
        <v>Variable</v>
      </c>
      <c r="F847" s="134">
        <v>-18.78</v>
      </c>
      <c r="G847" s="167" t="str">
        <f>_xlfn.XLOOKUP(Table1[[#This Row],[Account_ID]], Accounts[ID], Accounts[Account nickname], "Unknown")</f>
        <v>Discover it chrome Card</v>
      </c>
      <c r="H847" s="137" t="str">
        <f>_xlfn.XLOOKUP(Table1[[#This Row],[Account_ID]], Accounts[ID], Accounts[Account'#], "Unknown")</f>
        <v>7328</v>
      </c>
      <c r="I847" s="168" t="str">
        <f>_xlfn.XLOOKUP(Table1[[#This Row],[Institution_ID]], Institutions[ID], Institutions[Institution nickname], "Unknown")</f>
        <v>Discover</v>
      </c>
      <c r="J847" s="139" t="s">
        <v>874</v>
      </c>
      <c r="K847" s="129" t="s">
        <v>110</v>
      </c>
      <c r="L847" s="129" t="s">
        <v>108</v>
      </c>
      <c r="M847" s="130" t="str" cm="1">
        <f t="array" ref="M847">IFERROR(INDEX(CategoriesTable[Category type],MATCH(Table1[[#This Row],[Category]],CategoriesTable[Category name],0),0),"")</f>
        <v>Expense</v>
      </c>
      <c r="N847" s="130" t="str" cm="1">
        <f t="array" ref="N847">IFERROR(INDEX(SubcategoriesTable[Subcategory name],MATCH(Table1[[#This Row],[Category]],SubcategoriesTable[Category name],0),0),"")</f>
        <v>Variable</v>
      </c>
      <c r="O847" s="130">
        <v>29</v>
      </c>
      <c r="P847" s="130">
        <f>MONTH(Table1[[#This Row],[Date]])</f>
        <v>6</v>
      </c>
      <c r="Q847" s="130">
        <v>2020</v>
      </c>
      <c r="R847" s="166">
        <f>IF(ISBLANK(Table1[[#This Row],[Date]]),"",Table1[[#This Row],[Date]]-WEEKDAY(Table1[[#This Row],[Date]],2)+1)</f>
        <v>44011</v>
      </c>
      <c r="S847" s="131">
        <f>IF(ISBLANK(Table1[[#This Row],[Date]]),"",DATE(Table1[[#This Row],[Date_Year]],Table1[[#This Row],[Date_Month]],1))</f>
        <v>43983</v>
      </c>
    </row>
    <row r="848" spans="2:19" ht="15.75" x14ac:dyDescent="0.25">
      <c r="B848" s="133">
        <v>44011</v>
      </c>
      <c r="C848" s="128" t="s">
        <v>875</v>
      </c>
      <c r="D848" s="128" t="s">
        <v>48</v>
      </c>
      <c r="E848" s="128" t="str" cm="1">
        <f t="array" ref="E848">IFERROR(INDEX(SubcategoriesTable[Subcategory name],MATCH(Table1[[#This Row],[Category]],SubcategoriesTable[Category name],0),0),"")</f>
        <v>Variable</v>
      </c>
      <c r="F848" s="134">
        <v>-5.99</v>
      </c>
      <c r="G848" s="167" t="str">
        <f>_xlfn.XLOOKUP(Table1[[#This Row],[Account_ID]], Accounts[ID], Accounts[Account nickname], "Unknown")</f>
        <v>Discover it chrome Card</v>
      </c>
      <c r="H848" s="137" t="str">
        <f>_xlfn.XLOOKUP(Table1[[#This Row],[Account_ID]], Accounts[ID], Accounts[Account'#], "Unknown")</f>
        <v>7328</v>
      </c>
      <c r="I848" s="168" t="str">
        <f>_xlfn.XLOOKUP(Table1[[#This Row],[Institution_ID]], Institutions[ID], Institutions[Institution nickname], "Unknown")</f>
        <v>Discover</v>
      </c>
      <c r="J848" s="139" t="s">
        <v>876</v>
      </c>
      <c r="K848" s="129" t="s">
        <v>110</v>
      </c>
      <c r="L848" s="129" t="s">
        <v>108</v>
      </c>
      <c r="M848" s="130" t="str" cm="1">
        <f t="array" ref="M848">IFERROR(INDEX(CategoriesTable[Category type],MATCH(Table1[[#This Row],[Category]],CategoriesTable[Category name],0),0),"")</f>
        <v>Expense</v>
      </c>
      <c r="N848" s="130" t="str" cm="1">
        <f t="array" ref="N848">IFERROR(INDEX(SubcategoriesTable[Subcategory name],MATCH(Table1[[#This Row],[Category]],SubcategoriesTable[Category name],0),0),"")</f>
        <v>Variable</v>
      </c>
      <c r="O848" s="130">
        <v>29</v>
      </c>
      <c r="P848" s="130">
        <f>MONTH(Table1[[#This Row],[Date]])</f>
        <v>6</v>
      </c>
      <c r="Q848" s="130">
        <v>2020</v>
      </c>
      <c r="R848" s="166">
        <f>IF(ISBLANK(Table1[[#This Row],[Date]]),"",Table1[[#This Row],[Date]]-WEEKDAY(Table1[[#This Row],[Date]],2)+1)</f>
        <v>44011</v>
      </c>
      <c r="S848" s="131">
        <f>IF(ISBLANK(Table1[[#This Row],[Date]]),"",DATE(Table1[[#This Row],[Date_Year]],Table1[[#This Row],[Date_Month]],1))</f>
        <v>43983</v>
      </c>
    </row>
    <row r="849" spans="2:19" ht="15.75" x14ac:dyDescent="0.25">
      <c r="B849" s="133">
        <v>44011</v>
      </c>
      <c r="C849" s="128" t="s">
        <v>237</v>
      </c>
      <c r="D849" s="128" t="s">
        <v>48</v>
      </c>
      <c r="E849" s="128" t="str" cm="1">
        <f t="array" ref="E849">IFERROR(INDEX(SubcategoriesTable[Subcategory name],MATCH(Table1[[#This Row],[Category]],SubcategoriesTable[Category name],0),0),"")</f>
        <v>Variable</v>
      </c>
      <c r="F849" s="134">
        <v>-50.55</v>
      </c>
      <c r="G849" s="167" t="str">
        <f>_xlfn.XLOOKUP(Table1[[#This Row],[Account_ID]], Accounts[ID], Accounts[Account nickname], "Unknown")</f>
        <v>Discover it chrome Card</v>
      </c>
      <c r="H849" s="137" t="str">
        <f>_xlfn.XLOOKUP(Table1[[#This Row],[Account_ID]], Accounts[ID], Accounts[Account'#], "Unknown")</f>
        <v>7328</v>
      </c>
      <c r="I849" s="168" t="str">
        <f>_xlfn.XLOOKUP(Table1[[#This Row],[Institution_ID]], Institutions[ID], Institutions[Institution nickname], "Unknown")</f>
        <v>Discover</v>
      </c>
      <c r="J849" s="139" t="s">
        <v>877</v>
      </c>
      <c r="K849" s="129" t="s">
        <v>110</v>
      </c>
      <c r="L849" s="129" t="s">
        <v>108</v>
      </c>
      <c r="M849" s="130" t="str" cm="1">
        <f t="array" ref="M849">IFERROR(INDEX(CategoriesTable[Category type],MATCH(Table1[[#This Row],[Category]],CategoriesTable[Category name],0),0),"")</f>
        <v>Expense</v>
      </c>
      <c r="N849" s="130" t="str" cm="1">
        <f t="array" ref="N849">IFERROR(INDEX(SubcategoriesTable[Subcategory name],MATCH(Table1[[#This Row],[Category]],SubcategoriesTable[Category name],0),0),"")</f>
        <v>Variable</v>
      </c>
      <c r="O849" s="130">
        <v>29</v>
      </c>
      <c r="P849" s="130">
        <f>MONTH(Table1[[#This Row],[Date]])</f>
        <v>6</v>
      </c>
      <c r="Q849" s="130">
        <v>2020</v>
      </c>
      <c r="R849" s="166">
        <f>IF(ISBLANK(Table1[[#This Row],[Date]]),"",Table1[[#This Row],[Date]]-WEEKDAY(Table1[[#This Row],[Date]],2)+1)</f>
        <v>44011</v>
      </c>
      <c r="S849" s="131">
        <f>IF(ISBLANK(Table1[[#This Row],[Date]]),"",DATE(Table1[[#This Row],[Date_Year]],Table1[[#This Row],[Date_Month]],1))</f>
        <v>43983</v>
      </c>
    </row>
    <row r="850" spans="2:19" ht="15.75" x14ac:dyDescent="0.25">
      <c r="B850" s="133">
        <v>44010</v>
      </c>
      <c r="C850" s="128" t="s">
        <v>1503</v>
      </c>
      <c r="D850" s="128" t="s">
        <v>51</v>
      </c>
      <c r="E850" s="128" t="str" cm="1">
        <f t="array" ref="E850">IFERROR(INDEX(SubcategoriesTable[Subcategory name],MATCH(Table1[[#This Row],[Category]],SubcategoriesTable[Category name],0),0),"")</f>
        <v>Variable</v>
      </c>
      <c r="F850" s="134">
        <v>-9.9499999999999993</v>
      </c>
      <c r="G850" s="167" t="str">
        <f>_xlfn.XLOOKUP(Table1[[#This Row],[Account_ID]], Accounts[ID], Accounts[Account nickname], "Unknown")</f>
        <v>EVERYDAY CHECKING</v>
      </c>
      <c r="H850" s="137" t="str">
        <f>_xlfn.XLOOKUP(Table1[[#This Row],[Account_ID]], Accounts[ID], Accounts[Account'#], "Unknown")</f>
        <v>4636</v>
      </c>
      <c r="I850" s="168" t="str">
        <f>_xlfn.XLOOKUP(Table1[[#This Row],[Institution_ID]], Institutions[ID], Institutions[Institution nickname], "Unknown")</f>
        <v>Wells Fargo</v>
      </c>
      <c r="J850" s="139" t="s">
        <v>1600</v>
      </c>
      <c r="K850" s="129" t="s">
        <v>1229</v>
      </c>
      <c r="L850" s="129" t="s">
        <v>1228</v>
      </c>
      <c r="M850" s="130" t="str" cm="1">
        <f t="array" ref="M850">IFERROR(INDEX(CategoriesTable[Category type],MATCH(Table1[[#This Row],[Category]],CategoriesTable[Category name],0),0),"")</f>
        <v>Expense</v>
      </c>
      <c r="N850" s="130" t="str" cm="1">
        <f t="array" ref="N850">IFERROR(INDEX(SubcategoriesTable[Subcategory name],MATCH(Table1[[#This Row],[Category]],SubcategoriesTable[Category name],0),0),"")</f>
        <v>Variable</v>
      </c>
      <c r="O850" s="130">
        <v>28</v>
      </c>
      <c r="P850" s="130">
        <f>MONTH(Table1[[#This Row],[Date]])</f>
        <v>6</v>
      </c>
      <c r="Q850" s="130">
        <v>2020</v>
      </c>
      <c r="R850" s="166">
        <f>IF(ISBLANK(Table1[[#This Row],[Date]]),"",Table1[[#This Row],[Date]]-WEEKDAY(Table1[[#This Row],[Date]],2)+1)</f>
        <v>44004</v>
      </c>
      <c r="S850" s="131">
        <f>IF(ISBLANK(Table1[[#This Row],[Date]]),"",DATE(Table1[[#This Row],[Date_Year]],Table1[[#This Row],[Date_Month]],1))</f>
        <v>43983</v>
      </c>
    </row>
    <row r="851" spans="2:19" ht="15.75" x14ac:dyDescent="0.25">
      <c r="B851" s="133">
        <v>44009</v>
      </c>
      <c r="C851" s="128" t="s">
        <v>690</v>
      </c>
      <c r="D851" s="128" t="s">
        <v>48</v>
      </c>
      <c r="E851" s="128" t="str" cm="1">
        <f t="array" ref="E851">IFERROR(INDEX(SubcategoriesTable[Subcategory name],MATCH(Table1[[#This Row],[Category]],SubcategoriesTable[Category name],0),0),"")</f>
        <v>Variable</v>
      </c>
      <c r="F851" s="134">
        <v>-15.76</v>
      </c>
      <c r="G851" s="167" t="str">
        <f>_xlfn.XLOOKUP(Table1[[#This Row],[Account_ID]], Accounts[ID], Accounts[Account nickname], "Unknown")</f>
        <v>Discover it chrome Card</v>
      </c>
      <c r="H851" s="137" t="str">
        <f>_xlfn.XLOOKUP(Table1[[#This Row],[Account_ID]], Accounts[ID], Accounts[Account'#], "Unknown")</f>
        <v>7328</v>
      </c>
      <c r="I851" s="168" t="str">
        <f>_xlfn.XLOOKUP(Table1[[#This Row],[Institution_ID]], Institutions[ID], Institutions[Institution nickname], "Unknown")</f>
        <v>Discover</v>
      </c>
      <c r="J851" s="139" t="s">
        <v>878</v>
      </c>
      <c r="K851" s="129" t="s">
        <v>110</v>
      </c>
      <c r="L851" s="129" t="s">
        <v>108</v>
      </c>
      <c r="M851" s="130" t="str" cm="1">
        <f t="array" ref="M851">IFERROR(INDEX(CategoriesTable[Category type],MATCH(Table1[[#This Row],[Category]],CategoriesTable[Category name],0),0),"")</f>
        <v>Expense</v>
      </c>
      <c r="N851" s="130" t="str" cm="1">
        <f t="array" ref="N851">IFERROR(INDEX(SubcategoriesTable[Subcategory name],MATCH(Table1[[#This Row],[Category]],SubcategoriesTable[Category name],0),0),"")</f>
        <v>Variable</v>
      </c>
      <c r="O851" s="130">
        <v>27</v>
      </c>
      <c r="P851" s="130">
        <f>MONTH(Table1[[#This Row],[Date]])</f>
        <v>6</v>
      </c>
      <c r="Q851" s="130">
        <v>2020</v>
      </c>
      <c r="R851" s="166">
        <f>IF(ISBLANK(Table1[[#This Row],[Date]]),"",Table1[[#This Row],[Date]]-WEEKDAY(Table1[[#This Row],[Date]],2)+1)</f>
        <v>44004</v>
      </c>
      <c r="S851" s="131">
        <f>IF(ISBLANK(Table1[[#This Row],[Date]]),"",DATE(Table1[[#This Row],[Date_Year]],Table1[[#This Row],[Date_Month]],1))</f>
        <v>43983</v>
      </c>
    </row>
    <row r="852" spans="2:19" ht="15.75" x14ac:dyDescent="0.25">
      <c r="B852" s="133">
        <v>44009</v>
      </c>
      <c r="C852" s="128" t="s">
        <v>661</v>
      </c>
      <c r="D852" s="128" t="s">
        <v>45</v>
      </c>
      <c r="E852" s="128" t="str" cm="1">
        <f t="array" ref="E852">IFERROR(INDEX(SubcategoriesTable[Subcategory name],MATCH(Table1[[#This Row],[Category]],SubcategoriesTable[Category name],0),0),"")</f>
        <v>Variable</v>
      </c>
      <c r="F852" s="134">
        <v>-23.89</v>
      </c>
      <c r="G852" s="167" t="str">
        <f>_xlfn.XLOOKUP(Table1[[#This Row],[Account_ID]], Accounts[ID], Accounts[Account nickname], "Unknown")</f>
        <v>Discover it chrome Card</v>
      </c>
      <c r="H852" s="137" t="str">
        <f>_xlfn.XLOOKUP(Table1[[#This Row],[Account_ID]], Accounts[ID], Accounts[Account'#], "Unknown")</f>
        <v>7328</v>
      </c>
      <c r="I852" s="168" t="str">
        <f>_xlfn.XLOOKUP(Table1[[#This Row],[Institution_ID]], Institutions[ID], Institutions[Institution nickname], "Unknown")</f>
        <v>Discover</v>
      </c>
      <c r="J852" s="139" t="s">
        <v>879</v>
      </c>
      <c r="K852" s="129" t="s">
        <v>110</v>
      </c>
      <c r="L852" s="129" t="s">
        <v>108</v>
      </c>
      <c r="M852" s="130" t="str" cm="1">
        <f t="array" ref="M852">IFERROR(INDEX(CategoriesTable[Category type],MATCH(Table1[[#This Row],[Category]],CategoriesTable[Category name],0),0),"")</f>
        <v>Expense</v>
      </c>
      <c r="N852" s="130" t="str" cm="1">
        <f t="array" ref="N852">IFERROR(INDEX(SubcategoriesTable[Subcategory name],MATCH(Table1[[#This Row],[Category]],SubcategoriesTable[Category name],0),0),"")</f>
        <v>Variable</v>
      </c>
      <c r="O852" s="130">
        <v>27</v>
      </c>
      <c r="P852" s="130">
        <f>MONTH(Table1[[#This Row],[Date]])</f>
        <v>6</v>
      </c>
      <c r="Q852" s="130">
        <v>2020</v>
      </c>
      <c r="R852" s="166">
        <f>IF(ISBLANK(Table1[[#This Row],[Date]]),"",Table1[[#This Row],[Date]]-WEEKDAY(Table1[[#This Row],[Date]],2)+1)</f>
        <v>44004</v>
      </c>
      <c r="S852" s="131">
        <f>IF(ISBLANK(Table1[[#This Row],[Date]]),"",DATE(Table1[[#This Row],[Date_Year]],Table1[[#This Row],[Date_Month]],1))</f>
        <v>43983</v>
      </c>
    </row>
    <row r="853" spans="2:19" ht="15.75" x14ac:dyDescent="0.25">
      <c r="B853" s="133">
        <v>44009</v>
      </c>
      <c r="C853" s="128" t="s">
        <v>186</v>
      </c>
      <c r="D853" s="128" t="s">
        <v>52</v>
      </c>
      <c r="E853" s="128" t="str" cm="1">
        <f t="array" ref="E853">IFERROR(INDEX(SubcategoriesTable[Subcategory name],MATCH(Table1[[#This Row],[Category]],SubcategoriesTable[Category name],0),0),"")</f>
        <v>Variable</v>
      </c>
      <c r="F853" s="134">
        <v>-5.13</v>
      </c>
      <c r="G853" s="167" t="str">
        <f>_xlfn.XLOOKUP(Table1[[#This Row],[Account_ID]], Accounts[ID], Accounts[Account nickname], "Unknown")</f>
        <v>Discover it chrome Card</v>
      </c>
      <c r="H853" s="137" t="str">
        <f>_xlfn.XLOOKUP(Table1[[#This Row],[Account_ID]], Accounts[ID], Accounts[Account'#], "Unknown")</f>
        <v>7328</v>
      </c>
      <c r="I853" s="168" t="str">
        <f>_xlfn.XLOOKUP(Table1[[#This Row],[Institution_ID]], Institutions[ID], Institutions[Institution nickname], "Unknown")</f>
        <v>Discover</v>
      </c>
      <c r="J853" s="139" t="s">
        <v>880</v>
      </c>
      <c r="K853" s="129" t="s">
        <v>110</v>
      </c>
      <c r="L853" s="129" t="s">
        <v>108</v>
      </c>
      <c r="M853" s="130" t="str" cm="1">
        <f t="array" ref="M853">IFERROR(INDEX(CategoriesTable[Category type],MATCH(Table1[[#This Row],[Category]],CategoriesTable[Category name],0),0),"")</f>
        <v>Expense</v>
      </c>
      <c r="N853" s="130" t="str" cm="1">
        <f t="array" ref="N853">IFERROR(INDEX(SubcategoriesTable[Subcategory name],MATCH(Table1[[#This Row],[Category]],SubcategoriesTable[Category name],0),0),"")</f>
        <v>Variable</v>
      </c>
      <c r="O853" s="130">
        <v>27</v>
      </c>
      <c r="P853" s="130">
        <f>MONTH(Table1[[#This Row],[Date]])</f>
        <v>6</v>
      </c>
      <c r="Q853" s="130">
        <v>2020</v>
      </c>
      <c r="R853" s="166">
        <f>IF(ISBLANK(Table1[[#This Row],[Date]]),"",Table1[[#This Row],[Date]]-WEEKDAY(Table1[[#This Row],[Date]],2)+1)</f>
        <v>44004</v>
      </c>
      <c r="S853" s="131">
        <f>IF(ISBLANK(Table1[[#This Row],[Date]]),"",DATE(Table1[[#This Row],[Date_Year]],Table1[[#This Row],[Date_Month]],1))</f>
        <v>43983</v>
      </c>
    </row>
    <row r="854" spans="2:19" ht="15.75" x14ac:dyDescent="0.25">
      <c r="B854" s="133">
        <v>44008</v>
      </c>
      <c r="C854" s="128" t="s">
        <v>881</v>
      </c>
      <c r="D854" s="128" t="s">
        <v>46</v>
      </c>
      <c r="E854" s="128" t="str" cm="1">
        <f t="array" ref="E854">IFERROR(INDEX(SubcategoriesTable[Subcategory name],MATCH(Table1[[#This Row],[Category]],SubcategoriesTable[Category name],0),0),"")</f>
        <v>Variable</v>
      </c>
      <c r="F854" s="134">
        <v>1</v>
      </c>
      <c r="G854" s="167" t="str">
        <f>_xlfn.XLOOKUP(Table1[[#This Row],[Account_ID]], Accounts[ID], Accounts[Account nickname], "Unknown")</f>
        <v>Discover it chrome Card</v>
      </c>
      <c r="H854" s="137" t="str">
        <f>_xlfn.XLOOKUP(Table1[[#This Row],[Account_ID]], Accounts[ID], Accounts[Account'#], "Unknown")</f>
        <v>7328</v>
      </c>
      <c r="I854" s="168" t="str">
        <f>_xlfn.XLOOKUP(Table1[[#This Row],[Institution_ID]], Institutions[ID], Institutions[Institution nickname], "Unknown")</f>
        <v>Discover</v>
      </c>
      <c r="J854" s="139" t="s">
        <v>882</v>
      </c>
      <c r="K854" s="129" t="s">
        <v>110</v>
      </c>
      <c r="L854" s="129" t="s">
        <v>108</v>
      </c>
      <c r="M854" s="130" t="str" cm="1">
        <f t="array" ref="M854">IFERROR(INDEX(CategoriesTable[Category type],MATCH(Table1[[#This Row],[Category]],CategoriesTable[Category name],0),0),"")</f>
        <v>Expense</v>
      </c>
      <c r="N854" s="130" t="str" cm="1">
        <f t="array" ref="N854">IFERROR(INDEX(SubcategoriesTable[Subcategory name],MATCH(Table1[[#This Row],[Category]],SubcategoriesTable[Category name],0),0),"")</f>
        <v>Variable</v>
      </c>
      <c r="O854" s="130">
        <v>26</v>
      </c>
      <c r="P854" s="130">
        <f>MONTH(Table1[[#This Row],[Date]])</f>
        <v>6</v>
      </c>
      <c r="Q854" s="130">
        <v>2020</v>
      </c>
      <c r="R854" s="166">
        <f>IF(ISBLANK(Table1[[#This Row],[Date]]),"",Table1[[#This Row],[Date]]-WEEKDAY(Table1[[#This Row],[Date]],2)+1)</f>
        <v>44004</v>
      </c>
      <c r="S854" s="131">
        <f>IF(ISBLANK(Table1[[#This Row],[Date]]),"",DATE(Table1[[#This Row],[Date_Year]],Table1[[#This Row],[Date_Month]],1))</f>
        <v>43983</v>
      </c>
    </row>
    <row r="855" spans="2:19" ht="15.75" x14ac:dyDescent="0.25">
      <c r="B855" s="133">
        <v>44008</v>
      </c>
      <c r="C855" s="128" t="s">
        <v>881</v>
      </c>
      <c r="D855" s="128" t="s">
        <v>46</v>
      </c>
      <c r="E855" s="128" t="str" cm="1">
        <f t="array" ref="E855">IFERROR(INDEX(SubcategoriesTable[Subcategory name],MATCH(Table1[[#This Row],[Category]],SubcategoriesTable[Category name],0),0),"")</f>
        <v>Variable</v>
      </c>
      <c r="F855" s="134">
        <v>1</v>
      </c>
      <c r="G855" s="167" t="str">
        <f>_xlfn.XLOOKUP(Table1[[#This Row],[Account_ID]], Accounts[ID], Accounts[Account nickname], "Unknown")</f>
        <v>Discover it chrome Card</v>
      </c>
      <c r="H855" s="137" t="str">
        <f>_xlfn.XLOOKUP(Table1[[#This Row],[Account_ID]], Accounts[ID], Accounts[Account'#], "Unknown")</f>
        <v>7328</v>
      </c>
      <c r="I855" s="168" t="str">
        <f>_xlfn.XLOOKUP(Table1[[#This Row],[Institution_ID]], Institutions[ID], Institutions[Institution nickname], "Unknown")</f>
        <v>Discover</v>
      </c>
      <c r="J855" s="139" t="s">
        <v>883</v>
      </c>
      <c r="K855" s="129" t="s">
        <v>110</v>
      </c>
      <c r="L855" s="129" t="s">
        <v>108</v>
      </c>
      <c r="M855" s="130" t="str" cm="1">
        <f t="array" ref="M855">IFERROR(INDEX(CategoriesTable[Category type],MATCH(Table1[[#This Row],[Category]],CategoriesTable[Category name],0),0),"")</f>
        <v>Expense</v>
      </c>
      <c r="N855" s="130" t="str" cm="1">
        <f t="array" ref="N855">IFERROR(INDEX(SubcategoriesTable[Subcategory name],MATCH(Table1[[#This Row],[Category]],SubcategoriesTable[Category name],0),0),"")</f>
        <v>Variable</v>
      </c>
      <c r="O855" s="130">
        <v>26</v>
      </c>
      <c r="P855" s="130">
        <f>MONTH(Table1[[#This Row],[Date]])</f>
        <v>6</v>
      </c>
      <c r="Q855" s="130">
        <v>2020</v>
      </c>
      <c r="R855" s="166">
        <f>IF(ISBLANK(Table1[[#This Row],[Date]]),"",Table1[[#This Row],[Date]]-WEEKDAY(Table1[[#This Row],[Date]],2)+1)</f>
        <v>44004</v>
      </c>
      <c r="S855" s="131">
        <f>IF(ISBLANK(Table1[[#This Row],[Date]]),"",DATE(Table1[[#This Row],[Date_Year]],Table1[[#This Row],[Date_Month]],1))</f>
        <v>43983</v>
      </c>
    </row>
    <row r="856" spans="2:19" ht="15.75" x14ac:dyDescent="0.25">
      <c r="B856" s="133">
        <v>44008</v>
      </c>
      <c r="C856" s="128" t="s">
        <v>884</v>
      </c>
      <c r="D856" s="128" t="s">
        <v>46</v>
      </c>
      <c r="E856" s="128" t="str" cm="1">
        <f t="array" ref="E856">IFERROR(INDEX(SubcategoriesTable[Subcategory name],MATCH(Table1[[#This Row],[Category]],SubcategoriesTable[Category name],0),0),"")</f>
        <v>Variable</v>
      </c>
      <c r="F856" s="134">
        <v>1</v>
      </c>
      <c r="G856" s="167" t="str">
        <f>_xlfn.XLOOKUP(Table1[[#This Row],[Account_ID]], Accounts[ID], Accounts[Account nickname], "Unknown")</f>
        <v>Discover it chrome Card</v>
      </c>
      <c r="H856" s="137" t="str">
        <f>_xlfn.XLOOKUP(Table1[[#This Row],[Account_ID]], Accounts[ID], Accounts[Account'#], "Unknown")</f>
        <v>7328</v>
      </c>
      <c r="I856" s="168" t="str">
        <f>_xlfn.XLOOKUP(Table1[[#This Row],[Institution_ID]], Institutions[ID], Institutions[Institution nickname], "Unknown")</f>
        <v>Discover</v>
      </c>
      <c r="J856" s="139" t="s">
        <v>885</v>
      </c>
      <c r="K856" s="129" t="s">
        <v>110</v>
      </c>
      <c r="L856" s="129" t="s">
        <v>108</v>
      </c>
      <c r="M856" s="130" t="str" cm="1">
        <f t="array" ref="M856">IFERROR(INDEX(CategoriesTable[Category type],MATCH(Table1[[#This Row],[Category]],CategoriesTable[Category name],0),0),"")</f>
        <v>Expense</v>
      </c>
      <c r="N856" s="130" t="str" cm="1">
        <f t="array" ref="N856">IFERROR(INDEX(SubcategoriesTable[Subcategory name],MATCH(Table1[[#This Row],[Category]],SubcategoriesTable[Category name],0),0),"")</f>
        <v>Variable</v>
      </c>
      <c r="O856" s="130">
        <v>26</v>
      </c>
      <c r="P856" s="130">
        <f>MONTH(Table1[[#This Row],[Date]])</f>
        <v>6</v>
      </c>
      <c r="Q856" s="130">
        <v>2020</v>
      </c>
      <c r="R856" s="166">
        <f>IF(ISBLANK(Table1[[#This Row],[Date]]),"",Table1[[#This Row],[Date]]-WEEKDAY(Table1[[#This Row],[Date]],2)+1)</f>
        <v>44004</v>
      </c>
      <c r="S856" s="131">
        <f>IF(ISBLANK(Table1[[#This Row],[Date]]),"",DATE(Table1[[#This Row],[Date_Year]],Table1[[#This Row],[Date_Month]],1))</f>
        <v>43983</v>
      </c>
    </row>
    <row r="857" spans="2:19" ht="15.75" x14ac:dyDescent="0.25">
      <c r="B857" s="133">
        <v>44008</v>
      </c>
      <c r="C857" s="128" t="s">
        <v>237</v>
      </c>
      <c r="D857" s="128" t="s">
        <v>48</v>
      </c>
      <c r="E857" s="128" t="str" cm="1">
        <f t="array" ref="E857">IFERROR(INDEX(SubcategoriesTable[Subcategory name],MATCH(Table1[[#This Row],[Category]],SubcategoriesTable[Category name],0),0),"")</f>
        <v>Variable</v>
      </c>
      <c r="F857" s="134">
        <v>-39.47</v>
      </c>
      <c r="G857" s="167" t="str">
        <f>_xlfn.XLOOKUP(Table1[[#This Row],[Account_ID]], Accounts[ID], Accounts[Account nickname], "Unknown")</f>
        <v>Discover it chrome Card</v>
      </c>
      <c r="H857" s="137" t="str">
        <f>_xlfn.XLOOKUP(Table1[[#This Row],[Account_ID]], Accounts[ID], Accounts[Account'#], "Unknown")</f>
        <v>7328</v>
      </c>
      <c r="I857" s="168" t="str">
        <f>_xlfn.XLOOKUP(Table1[[#This Row],[Institution_ID]], Institutions[ID], Institutions[Institution nickname], "Unknown")</f>
        <v>Discover</v>
      </c>
      <c r="J857" s="139" t="s">
        <v>886</v>
      </c>
      <c r="K857" s="129" t="s">
        <v>110</v>
      </c>
      <c r="L857" s="129" t="s">
        <v>108</v>
      </c>
      <c r="M857" s="130" t="str" cm="1">
        <f t="array" ref="M857">IFERROR(INDEX(CategoriesTable[Category type],MATCH(Table1[[#This Row],[Category]],CategoriesTable[Category name],0),0),"")</f>
        <v>Expense</v>
      </c>
      <c r="N857" s="130" t="str" cm="1">
        <f t="array" ref="N857">IFERROR(INDEX(SubcategoriesTable[Subcategory name],MATCH(Table1[[#This Row],[Category]],SubcategoriesTable[Category name],0),0),"")</f>
        <v>Variable</v>
      </c>
      <c r="O857" s="130">
        <v>26</v>
      </c>
      <c r="P857" s="130">
        <f>MONTH(Table1[[#This Row],[Date]])</f>
        <v>6</v>
      </c>
      <c r="Q857" s="130">
        <v>2020</v>
      </c>
      <c r="R857" s="166">
        <f>IF(ISBLANK(Table1[[#This Row],[Date]]),"",Table1[[#This Row],[Date]]-WEEKDAY(Table1[[#This Row],[Date]],2)+1)</f>
        <v>44004</v>
      </c>
      <c r="S857" s="131">
        <f>IF(ISBLANK(Table1[[#This Row],[Date]]),"",DATE(Table1[[#This Row],[Date_Year]],Table1[[#This Row],[Date_Month]],1))</f>
        <v>43983</v>
      </c>
    </row>
    <row r="858" spans="2:19" ht="15.75" x14ac:dyDescent="0.25">
      <c r="B858" s="133">
        <v>44007</v>
      </c>
      <c r="C858" s="128" t="s">
        <v>115</v>
      </c>
      <c r="D858" s="128" t="s">
        <v>48</v>
      </c>
      <c r="E858" s="128" t="str" cm="1">
        <f t="array" ref="E858">IFERROR(INDEX(SubcategoriesTable[Subcategory name],MATCH(Table1[[#This Row],[Category]],SubcategoriesTable[Category name],0),0),"")</f>
        <v>Variable</v>
      </c>
      <c r="F858" s="134">
        <v>-8.52</v>
      </c>
      <c r="G858" s="167" t="str">
        <f>_xlfn.XLOOKUP(Table1[[#This Row],[Account_ID]], Accounts[ID], Accounts[Account nickname], "Unknown")</f>
        <v>Discover it chrome Card</v>
      </c>
      <c r="H858" s="137" t="str">
        <f>_xlfn.XLOOKUP(Table1[[#This Row],[Account_ID]], Accounts[ID], Accounts[Account'#], "Unknown")</f>
        <v>7328</v>
      </c>
      <c r="I858" s="168" t="str">
        <f>_xlfn.XLOOKUP(Table1[[#This Row],[Institution_ID]], Institutions[ID], Institutions[Institution nickname], "Unknown")</f>
        <v>Discover</v>
      </c>
      <c r="J858" s="139" t="s">
        <v>887</v>
      </c>
      <c r="K858" s="129" t="s">
        <v>110</v>
      </c>
      <c r="L858" s="129" t="s">
        <v>108</v>
      </c>
      <c r="M858" s="130" t="str" cm="1">
        <f t="array" ref="M858">IFERROR(INDEX(CategoriesTable[Category type],MATCH(Table1[[#This Row],[Category]],CategoriesTable[Category name],0),0),"")</f>
        <v>Expense</v>
      </c>
      <c r="N858" s="130" t="str" cm="1">
        <f t="array" ref="N858">IFERROR(INDEX(SubcategoriesTable[Subcategory name],MATCH(Table1[[#This Row],[Category]],SubcategoriesTable[Category name],0),0),"")</f>
        <v>Variable</v>
      </c>
      <c r="O858" s="130">
        <v>25</v>
      </c>
      <c r="P858" s="130">
        <f>MONTH(Table1[[#This Row],[Date]])</f>
        <v>6</v>
      </c>
      <c r="Q858" s="130">
        <v>2020</v>
      </c>
      <c r="R858" s="166">
        <f>IF(ISBLANK(Table1[[#This Row],[Date]]),"",Table1[[#This Row],[Date]]-WEEKDAY(Table1[[#This Row],[Date]],2)+1)</f>
        <v>44004</v>
      </c>
      <c r="S858" s="131">
        <f>IF(ISBLANK(Table1[[#This Row],[Date]]),"",DATE(Table1[[#This Row],[Date_Year]],Table1[[#This Row],[Date_Month]],1))</f>
        <v>43983</v>
      </c>
    </row>
    <row r="859" spans="2:19" ht="15.75" x14ac:dyDescent="0.25">
      <c r="B859" s="133">
        <v>44007</v>
      </c>
      <c r="C859" s="128" t="s">
        <v>115</v>
      </c>
      <c r="D859" s="128" t="s">
        <v>48</v>
      </c>
      <c r="E859" s="128" t="str" cm="1">
        <f t="array" ref="E859">IFERROR(INDEX(SubcategoriesTable[Subcategory name],MATCH(Table1[[#This Row],[Category]],SubcategoriesTable[Category name],0),0),"")</f>
        <v>Variable</v>
      </c>
      <c r="F859" s="134">
        <v>-35.39</v>
      </c>
      <c r="G859" s="167" t="str">
        <f>_xlfn.XLOOKUP(Table1[[#This Row],[Account_ID]], Accounts[ID], Accounts[Account nickname], "Unknown")</f>
        <v>Discover it chrome Card</v>
      </c>
      <c r="H859" s="137" t="str">
        <f>_xlfn.XLOOKUP(Table1[[#This Row],[Account_ID]], Accounts[ID], Accounts[Account'#], "Unknown")</f>
        <v>7328</v>
      </c>
      <c r="I859" s="168" t="str">
        <f>_xlfn.XLOOKUP(Table1[[#This Row],[Institution_ID]], Institutions[ID], Institutions[Institution nickname], "Unknown")</f>
        <v>Discover</v>
      </c>
      <c r="J859" s="139" t="s">
        <v>888</v>
      </c>
      <c r="K859" s="129" t="s">
        <v>110</v>
      </c>
      <c r="L859" s="129" t="s">
        <v>108</v>
      </c>
      <c r="M859" s="130" t="str" cm="1">
        <f t="array" ref="M859">IFERROR(INDEX(CategoriesTable[Category type],MATCH(Table1[[#This Row],[Category]],CategoriesTable[Category name],0),0),"")</f>
        <v>Expense</v>
      </c>
      <c r="N859" s="130" t="str" cm="1">
        <f t="array" ref="N859">IFERROR(INDEX(SubcategoriesTable[Subcategory name],MATCH(Table1[[#This Row],[Category]],SubcategoriesTable[Category name],0),0),"")</f>
        <v>Variable</v>
      </c>
      <c r="O859" s="130">
        <v>25</v>
      </c>
      <c r="P859" s="130">
        <f>MONTH(Table1[[#This Row],[Date]])</f>
        <v>6</v>
      </c>
      <c r="Q859" s="130">
        <v>2020</v>
      </c>
      <c r="R859" s="166">
        <f>IF(ISBLANK(Table1[[#This Row],[Date]]),"",Table1[[#This Row],[Date]]-WEEKDAY(Table1[[#This Row],[Date]],2)+1)</f>
        <v>44004</v>
      </c>
      <c r="S859" s="131">
        <f>IF(ISBLANK(Table1[[#This Row],[Date]]),"",DATE(Table1[[#This Row],[Date_Year]],Table1[[#This Row],[Date_Month]],1))</f>
        <v>43983</v>
      </c>
    </row>
    <row r="860" spans="2:19" ht="15.75" x14ac:dyDescent="0.25">
      <c r="B860" s="133">
        <v>44006</v>
      </c>
      <c r="C860" s="128" t="s">
        <v>1601</v>
      </c>
      <c r="D860" s="128" t="s">
        <v>56</v>
      </c>
      <c r="E860" s="128" t="str" cm="1">
        <f t="array" ref="E860">IFERROR(INDEX(SubcategoriesTable[Subcategory name],MATCH(Table1[[#This Row],[Category]],SubcategoriesTable[Category name],0),0),"")</f>
        <v>Variable</v>
      </c>
      <c r="F860" s="134">
        <v>-100</v>
      </c>
      <c r="G860" s="167" t="str">
        <f>_xlfn.XLOOKUP(Table1[[#This Row],[Account_ID]], Accounts[ID], Accounts[Account nickname], "Unknown")</f>
        <v>EVERYDAY CHECKING</v>
      </c>
      <c r="H860" s="137" t="str">
        <f>_xlfn.XLOOKUP(Table1[[#This Row],[Account_ID]], Accounts[ID], Accounts[Account'#], "Unknown")</f>
        <v>4636</v>
      </c>
      <c r="I860" s="168" t="str">
        <f>_xlfn.XLOOKUP(Table1[[#This Row],[Institution_ID]], Institutions[ID], Institutions[Institution nickname], "Unknown")</f>
        <v>Wells Fargo</v>
      </c>
      <c r="J860" s="139" t="s">
        <v>1602</v>
      </c>
      <c r="K860" s="129" t="s">
        <v>1229</v>
      </c>
      <c r="L860" s="129" t="s">
        <v>1228</v>
      </c>
      <c r="M860" s="130" t="str" cm="1">
        <f t="array" ref="M860">IFERROR(INDEX(CategoriesTable[Category type],MATCH(Table1[[#This Row],[Category]],CategoriesTable[Category name],0),0),"")</f>
        <v>Expense</v>
      </c>
      <c r="N860" s="130" t="str" cm="1">
        <f t="array" ref="N860">IFERROR(INDEX(SubcategoriesTable[Subcategory name],MATCH(Table1[[#This Row],[Category]],SubcategoriesTable[Category name],0),0),"")</f>
        <v>Variable</v>
      </c>
      <c r="O860" s="130">
        <v>24</v>
      </c>
      <c r="P860" s="130">
        <f>MONTH(Table1[[#This Row],[Date]])</f>
        <v>6</v>
      </c>
      <c r="Q860" s="130">
        <v>2020</v>
      </c>
      <c r="R860" s="166">
        <f>IF(ISBLANK(Table1[[#This Row],[Date]]),"",Table1[[#This Row],[Date]]-WEEKDAY(Table1[[#This Row],[Date]],2)+1)</f>
        <v>44004</v>
      </c>
      <c r="S860" s="131">
        <f>IF(ISBLANK(Table1[[#This Row],[Date]]),"",DATE(Table1[[#This Row],[Date_Year]],Table1[[#This Row],[Date_Month]],1))</f>
        <v>43983</v>
      </c>
    </row>
    <row r="861" spans="2:19" ht="15.75" x14ac:dyDescent="0.25">
      <c r="B861" s="133">
        <v>44004</v>
      </c>
      <c r="C861" s="128" t="s">
        <v>441</v>
      </c>
      <c r="D861" s="128" t="s">
        <v>56</v>
      </c>
      <c r="E861" s="128" t="str" cm="1">
        <f t="array" ref="E861">IFERROR(INDEX(SubcategoriesTable[Subcategory name],MATCH(Table1[[#This Row],[Category]],SubcategoriesTable[Category name],0),0),"")</f>
        <v>Variable</v>
      </c>
      <c r="F861" s="134">
        <v>-250</v>
      </c>
      <c r="G861" s="167" t="str">
        <f>_xlfn.XLOOKUP(Table1[[#This Row],[Account_ID]], Accounts[ID], Accounts[Account nickname], "Unknown")</f>
        <v>EVERYDAY CHECKING</v>
      </c>
      <c r="H861" s="137" t="str">
        <f>_xlfn.XLOOKUP(Table1[[#This Row],[Account_ID]], Accounts[ID], Accounts[Account'#], "Unknown")</f>
        <v>4636</v>
      </c>
      <c r="I861" s="168" t="str">
        <f>_xlfn.XLOOKUP(Table1[[#This Row],[Institution_ID]], Institutions[ID], Institutions[Institution nickname], "Unknown")</f>
        <v>Wells Fargo</v>
      </c>
      <c r="J861" s="139" t="s">
        <v>1603</v>
      </c>
      <c r="K861" s="129" t="s">
        <v>1229</v>
      </c>
      <c r="L861" s="129" t="s">
        <v>1228</v>
      </c>
      <c r="M861" s="130" t="str" cm="1">
        <f t="array" ref="M861">IFERROR(INDEX(CategoriesTable[Category type],MATCH(Table1[[#This Row],[Category]],CategoriesTable[Category name],0),0),"")</f>
        <v>Expense</v>
      </c>
      <c r="N861" s="130" t="str" cm="1">
        <f t="array" ref="N861">IFERROR(INDEX(SubcategoriesTable[Subcategory name],MATCH(Table1[[#This Row],[Category]],SubcategoriesTable[Category name],0),0),"")</f>
        <v>Variable</v>
      </c>
      <c r="O861" s="130">
        <v>22</v>
      </c>
      <c r="P861" s="130">
        <f>MONTH(Table1[[#This Row],[Date]])</f>
        <v>6</v>
      </c>
      <c r="Q861" s="130">
        <v>2020</v>
      </c>
      <c r="R861" s="166">
        <f>IF(ISBLANK(Table1[[#This Row],[Date]]),"",Table1[[#This Row],[Date]]-WEEKDAY(Table1[[#This Row],[Date]],2)+1)</f>
        <v>44004</v>
      </c>
      <c r="S861" s="131">
        <f>IF(ISBLANK(Table1[[#This Row],[Date]]),"",DATE(Table1[[#This Row],[Date_Year]],Table1[[#This Row],[Date_Month]],1))</f>
        <v>43983</v>
      </c>
    </row>
    <row r="862" spans="2:19" ht="15.75" x14ac:dyDescent="0.25">
      <c r="B862" s="133">
        <v>44004</v>
      </c>
      <c r="C862" s="128" t="s">
        <v>508</v>
      </c>
      <c r="D862" s="128" t="s">
        <v>50</v>
      </c>
      <c r="E862" s="128" t="str" cm="1">
        <f t="array" ref="E862">IFERROR(INDEX(SubcategoriesTable[Subcategory name],MATCH(Table1[[#This Row],[Category]],SubcategoriesTable[Category name],0),0),"")</f>
        <v>Variable</v>
      </c>
      <c r="F862" s="134">
        <v>-20</v>
      </c>
      <c r="G862" s="167" t="str">
        <f>_xlfn.XLOOKUP(Table1[[#This Row],[Account_ID]], Accounts[ID], Accounts[Account nickname], "Unknown")</f>
        <v>EVERYDAY CHECKING</v>
      </c>
      <c r="H862" s="137" t="str">
        <f>_xlfn.XLOOKUP(Table1[[#This Row],[Account_ID]], Accounts[ID], Accounts[Account'#], "Unknown")</f>
        <v>4636</v>
      </c>
      <c r="I862" s="168" t="str">
        <f>_xlfn.XLOOKUP(Table1[[#This Row],[Institution_ID]], Institutions[ID], Institutions[Institution nickname], "Unknown")</f>
        <v>Wells Fargo</v>
      </c>
      <c r="J862" s="139" t="s">
        <v>1604</v>
      </c>
      <c r="K862" s="129" t="s">
        <v>1229</v>
      </c>
      <c r="L862" s="129" t="s">
        <v>1228</v>
      </c>
      <c r="M862" s="130" t="str" cm="1">
        <f t="array" ref="M862">IFERROR(INDEX(CategoriesTable[Category type],MATCH(Table1[[#This Row],[Category]],CategoriesTable[Category name],0),0),"")</f>
        <v>Transfer</v>
      </c>
      <c r="N862" s="130" t="str" cm="1">
        <f t="array" ref="N862">IFERROR(INDEX(SubcategoriesTable[Subcategory name],MATCH(Table1[[#This Row],[Category]],SubcategoriesTable[Category name],0),0),"")</f>
        <v>Variable</v>
      </c>
      <c r="O862" s="130">
        <v>22</v>
      </c>
      <c r="P862" s="130">
        <f>MONTH(Table1[[#This Row],[Date]])</f>
        <v>6</v>
      </c>
      <c r="Q862" s="130">
        <v>2020</v>
      </c>
      <c r="R862" s="166">
        <f>IF(ISBLANK(Table1[[#This Row],[Date]]),"",Table1[[#This Row],[Date]]-WEEKDAY(Table1[[#This Row],[Date]],2)+1)</f>
        <v>44004</v>
      </c>
      <c r="S862" s="131">
        <f>IF(ISBLANK(Table1[[#This Row],[Date]]),"",DATE(Table1[[#This Row],[Date_Year]],Table1[[#This Row],[Date_Month]],1))</f>
        <v>43983</v>
      </c>
    </row>
    <row r="863" spans="2:19" ht="15.75" x14ac:dyDescent="0.25">
      <c r="B863" s="133">
        <v>44004</v>
      </c>
      <c r="C863" s="128" t="s">
        <v>508</v>
      </c>
      <c r="D863" s="128" t="s">
        <v>50</v>
      </c>
      <c r="E863" s="128" t="str" cm="1">
        <f t="array" ref="E863">IFERROR(INDEX(SubcategoriesTable[Subcategory name],MATCH(Table1[[#This Row],[Category]],SubcategoriesTable[Category name],0),0),"")</f>
        <v>Variable</v>
      </c>
      <c r="F863" s="134">
        <v>-20</v>
      </c>
      <c r="G863" s="167" t="str">
        <f>_xlfn.XLOOKUP(Table1[[#This Row],[Account_ID]], Accounts[ID], Accounts[Account nickname], "Unknown")</f>
        <v>EVERYDAY CHECKING</v>
      </c>
      <c r="H863" s="137" t="str">
        <f>_xlfn.XLOOKUP(Table1[[#This Row],[Account_ID]], Accounts[ID], Accounts[Account'#], "Unknown")</f>
        <v>4636</v>
      </c>
      <c r="I863" s="168" t="str">
        <f>_xlfn.XLOOKUP(Table1[[#This Row],[Institution_ID]], Institutions[ID], Institutions[Institution nickname], "Unknown")</f>
        <v>Wells Fargo</v>
      </c>
      <c r="J863" s="139" t="s">
        <v>1605</v>
      </c>
      <c r="K863" s="129" t="s">
        <v>1229</v>
      </c>
      <c r="L863" s="129" t="s">
        <v>1228</v>
      </c>
      <c r="M863" s="130" t="str" cm="1">
        <f t="array" ref="M863">IFERROR(INDEX(CategoriesTable[Category type],MATCH(Table1[[#This Row],[Category]],CategoriesTable[Category name],0),0),"")</f>
        <v>Transfer</v>
      </c>
      <c r="N863" s="130" t="str" cm="1">
        <f t="array" ref="N863">IFERROR(INDEX(SubcategoriesTable[Subcategory name],MATCH(Table1[[#This Row],[Category]],SubcategoriesTable[Category name],0),0),"")</f>
        <v>Variable</v>
      </c>
      <c r="O863" s="130">
        <v>22</v>
      </c>
      <c r="P863" s="130">
        <f>MONTH(Table1[[#This Row],[Date]])</f>
        <v>6</v>
      </c>
      <c r="Q863" s="130">
        <v>2020</v>
      </c>
      <c r="R863" s="166">
        <f>IF(ISBLANK(Table1[[#This Row],[Date]]),"",Table1[[#This Row],[Date]]-WEEKDAY(Table1[[#This Row],[Date]],2)+1)</f>
        <v>44004</v>
      </c>
      <c r="S863" s="131">
        <f>IF(ISBLANK(Table1[[#This Row],[Date]]),"",DATE(Table1[[#This Row],[Date_Year]],Table1[[#This Row],[Date_Month]],1))</f>
        <v>43983</v>
      </c>
    </row>
    <row r="864" spans="2:19" ht="15.75" x14ac:dyDescent="0.25">
      <c r="B864" s="133">
        <v>44004</v>
      </c>
      <c r="C864" s="128" t="s">
        <v>148</v>
      </c>
      <c r="D864" s="128" t="s">
        <v>54</v>
      </c>
      <c r="E864" s="128" t="str" cm="1">
        <f t="array" ref="E864">IFERROR(INDEX(SubcategoriesTable[Subcategory name],MATCH(Table1[[#This Row],[Category]],SubcategoriesTable[Category name],0),0),"")</f>
        <v>Fixed</v>
      </c>
      <c r="F864" s="134">
        <v>-9.99</v>
      </c>
      <c r="G864" s="167" t="str">
        <f>_xlfn.XLOOKUP(Table1[[#This Row],[Account_ID]], Accounts[ID], Accounts[Account nickname], "Unknown")</f>
        <v>Discover it chrome Card</v>
      </c>
      <c r="H864" s="137" t="str">
        <f>_xlfn.XLOOKUP(Table1[[#This Row],[Account_ID]], Accounts[ID], Accounts[Account'#], "Unknown")</f>
        <v>7328</v>
      </c>
      <c r="I864" s="168" t="str">
        <f>_xlfn.XLOOKUP(Table1[[#This Row],[Institution_ID]], Institutions[ID], Institutions[Institution nickname], "Unknown")</f>
        <v>Discover</v>
      </c>
      <c r="J864" s="139" t="s">
        <v>889</v>
      </c>
      <c r="K864" s="129" t="s">
        <v>110</v>
      </c>
      <c r="L864" s="129" t="s">
        <v>108</v>
      </c>
      <c r="M864" s="130" t="str" cm="1">
        <f t="array" ref="M864">IFERROR(INDEX(CategoriesTable[Category type],MATCH(Table1[[#This Row],[Category]],CategoriesTable[Category name],0),0),"")</f>
        <v>Expense</v>
      </c>
      <c r="N864" s="130" t="str" cm="1">
        <f t="array" ref="N864">IFERROR(INDEX(SubcategoriesTable[Subcategory name],MATCH(Table1[[#This Row],[Category]],SubcategoriesTable[Category name],0),0),"")</f>
        <v>Fixed</v>
      </c>
      <c r="O864" s="130">
        <v>22</v>
      </c>
      <c r="P864" s="130">
        <f>MONTH(Table1[[#This Row],[Date]])</f>
        <v>6</v>
      </c>
      <c r="Q864" s="130">
        <v>2020</v>
      </c>
      <c r="R864" s="166">
        <f>IF(ISBLANK(Table1[[#This Row],[Date]]),"",Table1[[#This Row],[Date]]-WEEKDAY(Table1[[#This Row],[Date]],2)+1)</f>
        <v>44004</v>
      </c>
      <c r="S864" s="131">
        <f>IF(ISBLANK(Table1[[#This Row],[Date]]),"",DATE(Table1[[#This Row],[Date_Year]],Table1[[#This Row],[Date_Month]],1))</f>
        <v>43983</v>
      </c>
    </row>
    <row r="865" spans="2:19" ht="15.75" x14ac:dyDescent="0.25">
      <c r="B865" s="133">
        <v>44003</v>
      </c>
      <c r="C865" s="128" t="s">
        <v>441</v>
      </c>
      <c r="D865" s="128" t="s">
        <v>56</v>
      </c>
      <c r="E865" s="128" t="str" cm="1">
        <f t="array" ref="E865">IFERROR(INDEX(SubcategoriesTable[Subcategory name],MATCH(Table1[[#This Row],[Category]],SubcategoriesTable[Category name],0),0),"")</f>
        <v>Variable</v>
      </c>
      <c r="F865" s="134">
        <v>-25</v>
      </c>
      <c r="G865" s="167" t="str">
        <f>_xlfn.XLOOKUP(Table1[[#This Row],[Account_ID]], Accounts[ID], Accounts[Account nickname], "Unknown")</f>
        <v>EVERYDAY CHECKING</v>
      </c>
      <c r="H865" s="137" t="str">
        <f>_xlfn.XLOOKUP(Table1[[#This Row],[Account_ID]], Accounts[ID], Accounts[Account'#], "Unknown")</f>
        <v>4636</v>
      </c>
      <c r="I865" s="168" t="str">
        <f>_xlfn.XLOOKUP(Table1[[#This Row],[Institution_ID]], Institutions[ID], Institutions[Institution nickname], "Unknown")</f>
        <v>Wells Fargo</v>
      </c>
      <c r="J865" s="171" t="s">
        <v>1606</v>
      </c>
      <c r="K865" s="129" t="s">
        <v>1229</v>
      </c>
      <c r="L865" s="129" t="s">
        <v>1228</v>
      </c>
      <c r="M865" s="130" t="str" cm="1">
        <f t="array" ref="M865">IFERROR(INDEX(CategoriesTable[Category type],MATCH(Table1[[#This Row],[Category]],CategoriesTable[Category name],0),0),"")</f>
        <v>Expense</v>
      </c>
      <c r="N865" s="130" t="str" cm="1">
        <f t="array" ref="N865">IFERROR(INDEX(SubcategoriesTable[Subcategory name],MATCH(Table1[[#This Row],[Category]],SubcategoriesTable[Category name],0),0),"")</f>
        <v>Variable</v>
      </c>
      <c r="O865" s="130">
        <v>21</v>
      </c>
      <c r="P865" s="130">
        <f>MONTH(Table1[[#This Row],[Date]])</f>
        <v>6</v>
      </c>
      <c r="Q865" s="130">
        <v>2020</v>
      </c>
      <c r="R865" s="166">
        <f>IF(ISBLANK(Table1[[#This Row],[Date]]),"",Table1[[#This Row],[Date]]-WEEKDAY(Table1[[#This Row],[Date]],2)+1)</f>
        <v>43997</v>
      </c>
      <c r="S865" s="131">
        <f>IF(ISBLANK(Table1[[#This Row],[Date]]),"",DATE(Table1[[#This Row],[Date_Year]],Table1[[#This Row],[Date_Month]],1))</f>
        <v>43983</v>
      </c>
    </row>
    <row r="866" spans="2:19" ht="15.75" x14ac:dyDescent="0.25">
      <c r="B866" s="133">
        <v>44003</v>
      </c>
      <c r="C866" s="128" t="s">
        <v>890</v>
      </c>
      <c r="D866" s="128" t="s">
        <v>46</v>
      </c>
      <c r="E866" s="128" t="str" cm="1">
        <f t="array" ref="E866">IFERROR(INDEX(SubcategoriesTable[Subcategory name],MATCH(Table1[[#This Row],[Category]],SubcategoriesTable[Category name],0),0),"")</f>
        <v>Variable</v>
      </c>
      <c r="F866" s="134">
        <v>-46.32</v>
      </c>
      <c r="G866" s="167" t="str">
        <f>_xlfn.XLOOKUP(Table1[[#This Row],[Account_ID]], Accounts[ID], Accounts[Account nickname], "Unknown")</f>
        <v>Discover it chrome Card</v>
      </c>
      <c r="H866" s="137" t="str">
        <f>_xlfn.XLOOKUP(Table1[[#This Row],[Account_ID]], Accounts[ID], Accounts[Account'#], "Unknown")</f>
        <v>7328</v>
      </c>
      <c r="I866" s="168" t="str">
        <f>_xlfn.XLOOKUP(Table1[[#This Row],[Institution_ID]], Institutions[ID], Institutions[Institution nickname], "Unknown")</f>
        <v>Discover</v>
      </c>
      <c r="J866" s="139" t="s">
        <v>891</v>
      </c>
      <c r="K866" s="129" t="s">
        <v>110</v>
      </c>
      <c r="L866" s="129" t="s">
        <v>108</v>
      </c>
      <c r="M866" s="130" t="str" cm="1">
        <f t="array" ref="M866">IFERROR(INDEX(CategoriesTable[Category type],MATCH(Table1[[#This Row],[Category]],CategoriesTable[Category name],0),0),"")</f>
        <v>Expense</v>
      </c>
      <c r="N866" s="130" t="str" cm="1">
        <f t="array" ref="N866">IFERROR(INDEX(SubcategoriesTable[Subcategory name],MATCH(Table1[[#This Row],[Category]],SubcategoriesTable[Category name],0),0),"")</f>
        <v>Variable</v>
      </c>
      <c r="O866" s="130">
        <v>21</v>
      </c>
      <c r="P866" s="130">
        <f>MONTH(Table1[[#This Row],[Date]])</f>
        <v>6</v>
      </c>
      <c r="Q866" s="130">
        <v>2020</v>
      </c>
      <c r="R866" s="166">
        <f>IF(ISBLANK(Table1[[#This Row],[Date]]),"",Table1[[#This Row],[Date]]-WEEKDAY(Table1[[#This Row],[Date]],2)+1)</f>
        <v>43997</v>
      </c>
      <c r="S866" s="131">
        <f>IF(ISBLANK(Table1[[#This Row],[Date]]),"",DATE(Table1[[#This Row],[Date_Year]],Table1[[#This Row],[Date_Month]],1))</f>
        <v>43983</v>
      </c>
    </row>
    <row r="867" spans="2:19" ht="15.75" x14ac:dyDescent="0.25">
      <c r="B867" s="133">
        <v>44003</v>
      </c>
      <c r="C867" s="128" t="s">
        <v>892</v>
      </c>
      <c r="D867" s="128" t="s">
        <v>45</v>
      </c>
      <c r="E867" s="128" t="str" cm="1">
        <f t="array" ref="E867">IFERROR(INDEX(SubcategoriesTable[Subcategory name],MATCH(Table1[[#This Row],[Category]],SubcategoriesTable[Category name],0),0),"")</f>
        <v>Variable</v>
      </c>
      <c r="F867" s="134">
        <v>-43.95</v>
      </c>
      <c r="G867" s="167" t="str">
        <f>_xlfn.XLOOKUP(Table1[[#This Row],[Account_ID]], Accounts[ID], Accounts[Account nickname], "Unknown")</f>
        <v>Discover it chrome Card</v>
      </c>
      <c r="H867" s="137" t="str">
        <f>_xlfn.XLOOKUP(Table1[[#This Row],[Account_ID]], Accounts[ID], Accounts[Account'#], "Unknown")</f>
        <v>7328</v>
      </c>
      <c r="I867" s="168" t="str">
        <f>_xlfn.XLOOKUP(Table1[[#This Row],[Institution_ID]], Institutions[ID], Institutions[Institution nickname], "Unknown")</f>
        <v>Discover</v>
      </c>
      <c r="J867" s="139" t="s">
        <v>893</v>
      </c>
      <c r="K867" s="129" t="s">
        <v>110</v>
      </c>
      <c r="L867" s="129" t="s">
        <v>108</v>
      </c>
      <c r="M867" s="130" t="str" cm="1">
        <f t="array" ref="M867">IFERROR(INDEX(CategoriesTable[Category type],MATCH(Table1[[#This Row],[Category]],CategoriesTable[Category name],0),0),"")</f>
        <v>Expense</v>
      </c>
      <c r="N867" s="130" t="str" cm="1">
        <f t="array" ref="N867">IFERROR(INDEX(SubcategoriesTable[Subcategory name],MATCH(Table1[[#This Row],[Category]],SubcategoriesTable[Category name],0),0),"")</f>
        <v>Variable</v>
      </c>
      <c r="O867" s="130">
        <v>21</v>
      </c>
      <c r="P867" s="130">
        <f>MONTH(Table1[[#This Row],[Date]])</f>
        <v>6</v>
      </c>
      <c r="Q867" s="130">
        <v>2020</v>
      </c>
      <c r="R867" s="166">
        <f>IF(ISBLANK(Table1[[#This Row],[Date]]),"",Table1[[#This Row],[Date]]-WEEKDAY(Table1[[#This Row],[Date]],2)+1)</f>
        <v>43997</v>
      </c>
      <c r="S867" s="131">
        <f>IF(ISBLANK(Table1[[#This Row],[Date]]),"",DATE(Table1[[#This Row],[Date_Year]],Table1[[#This Row],[Date_Month]],1))</f>
        <v>43983</v>
      </c>
    </row>
    <row r="868" spans="2:19" ht="15.75" x14ac:dyDescent="0.25">
      <c r="B868" s="133">
        <v>44003</v>
      </c>
      <c r="C868" s="128" t="s">
        <v>894</v>
      </c>
      <c r="D868" s="128" t="s">
        <v>45</v>
      </c>
      <c r="E868" s="128" t="str" cm="1">
        <f t="array" ref="E868">IFERROR(INDEX(SubcategoriesTable[Subcategory name],MATCH(Table1[[#This Row],[Category]],SubcategoriesTable[Category name],0),0),"")</f>
        <v>Variable</v>
      </c>
      <c r="F868" s="134">
        <v>-18.02</v>
      </c>
      <c r="G868" s="167" t="str">
        <f>_xlfn.XLOOKUP(Table1[[#This Row],[Account_ID]], Accounts[ID], Accounts[Account nickname], "Unknown")</f>
        <v>Discover it chrome Card</v>
      </c>
      <c r="H868" s="137" t="str">
        <f>_xlfn.XLOOKUP(Table1[[#This Row],[Account_ID]], Accounts[ID], Accounts[Account'#], "Unknown")</f>
        <v>7328</v>
      </c>
      <c r="I868" s="168" t="str">
        <f>_xlfn.XLOOKUP(Table1[[#This Row],[Institution_ID]], Institutions[ID], Institutions[Institution nickname], "Unknown")</f>
        <v>Discover</v>
      </c>
      <c r="J868" s="139" t="s">
        <v>895</v>
      </c>
      <c r="K868" s="129" t="s">
        <v>110</v>
      </c>
      <c r="L868" s="129" t="s">
        <v>108</v>
      </c>
      <c r="M868" s="130" t="str" cm="1">
        <f t="array" ref="M868">IFERROR(INDEX(CategoriesTable[Category type],MATCH(Table1[[#This Row],[Category]],CategoriesTable[Category name],0),0),"")</f>
        <v>Expense</v>
      </c>
      <c r="N868" s="130" t="str" cm="1">
        <f t="array" ref="N868">IFERROR(INDEX(SubcategoriesTable[Subcategory name],MATCH(Table1[[#This Row],[Category]],SubcategoriesTable[Category name],0),0),"")</f>
        <v>Variable</v>
      </c>
      <c r="O868" s="130">
        <v>21</v>
      </c>
      <c r="P868" s="130">
        <f>MONTH(Table1[[#This Row],[Date]])</f>
        <v>6</v>
      </c>
      <c r="Q868" s="130">
        <v>2020</v>
      </c>
      <c r="R868" s="166">
        <f>IF(ISBLANK(Table1[[#This Row],[Date]]),"",Table1[[#This Row],[Date]]-WEEKDAY(Table1[[#This Row],[Date]],2)+1)</f>
        <v>43997</v>
      </c>
      <c r="S868" s="131">
        <f>IF(ISBLANK(Table1[[#This Row],[Date]]),"",DATE(Table1[[#This Row],[Date_Year]],Table1[[#This Row],[Date_Month]],1))</f>
        <v>43983</v>
      </c>
    </row>
    <row r="869" spans="2:19" ht="15.75" x14ac:dyDescent="0.25">
      <c r="B869" s="133">
        <v>44002</v>
      </c>
      <c r="C869" s="128" t="s">
        <v>818</v>
      </c>
      <c r="D869" s="128" t="s">
        <v>46</v>
      </c>
      <c r="E869" s="128" t="str" cm="1">
        <f t="array" ref="E869">IFERROR(INDEX(SubcategoriesTable[Subcategory name],MATCH(Table1[[#This Row],[Category]],SubcategoriesTable[Category name],0),0),"")</f>
        <v>Variable</v>
      </c>
      <c r="F869" s="134">
        <v>-42.88</v>
      </c>
      <c r="G869" s="167" t="str">
        <f>_xlfn.XLOOKUP(Table1[[#This Row],[Account_ID]], Accounts[ID], Accounts[Account nickname], "Unknown")</f>
        <v>Discover it chrome Card</v>
      </c>
      <c r="H869" s="137" t="str">
        <f>_xlfn.XLOOKUP(Table1[[#This Row],[Account_ID]], Accounts[ID], Accounts[Account'#], "Unknown")</f>
        <v>7328</v>
      </c>
      <c r="I869" s="168" t="str">
        <f>_xlfn.XLOOKUP(Table1[[#This Row],[Institution_ID]], Institutions[ID], Institutions[Institution nickname], "Unknown")</f>
        <v>Discover</v>
      </c>
      <c r="J869" s="139" t="s">
        <v>896</v>
      </c>
      <c r="K869" s="129" t="s">
        <v>110</v>
      </c>
      <c r="L869" s="129" t="s">
        <v>108</v>
      </c>
      <c r="M869" s="130" t="str" cm="1">
        <f t="array" ref="M869">IFERROR(INDEX(CategoriesTable[Category type],MATCH(Table1[[#This Row],[Category]],CategoriesTable[Category name],0),0),"")</f>
        <v>Expense</v>
      </c>
      <c r="N869" s="130" t="str" cm="1">
        <f t="array" ref="N869">IFERROR(INDEX(SubcategoriesTable[Subcategory name],MATCH(Table1[[#This Row],[Category]],SubcategoriesTable[Category name],0),0),"")</f>
        <v>Variable</v>
      </c>
      <c r="O869" s="130">
        <v>20</v>
      </c>
      <c r="P869" s="130">
        <f>MONTH(Table1[[#This Row],[Date]])</f>
        <v>6</v>
      </c>
      <c r="Q869" s="130">
        <v>2020</v>
      </c>
      <c r="R869" s="166">
        <f>IF(ISBLANK(Table1[[#This Row],[Date]]),"",Table1[[#This Row],[Date]]-WEEKDAY(Table1[[#This Row],[Date]],2)+1)</f>
        <v>43997</v>
      </c>
      <c r="S869" s="131">
        <f>IF(ISBLANK(Table1[[#This Row],[Date]]),"",DATE(Table1[[#This Row],[Date_Year]],Table1[[#This Row],[Date_Month]],1))</f>
        <v>43983</v>
      </c>
    </row>
    <row r="870" spans="2:19" ht="15.75" x14ac:dyDescent="0.25">
      <c r="B870" s="133">
        <v>44002</v>
      </c>
      <c r="C870" s="128" t="s">
        <v>897</v>
      </c>
      <c r="D870" s="128" t="s">
        <v>52</v>
      </c>
      <c r="E870" s="128" t="str" cm="1">
        <f t="array" ref="E870">IFERROR(INDEX(SubcategoriesTable[Subcategory name],MATCH(Table1[[#This Row],[Category]],SubcategoriesTable[Category name],0),0),"")</f>
        <v>Variable</v>
      </c>
      <c r="F870" s="134">
        <v>-22.69</v>
      </c>
      <c r="G870" s="167" t="str">
        <f>_xlfn.XLOOKUP(Table1[[#This Row],[Account_ID]], Accounts[ID], Accounts[Account nickname], "Unknown")</f>
        <v>Discover it chrome Card</v>
      </c>
      <c r="H870" s="137" t="str">
        <f>_xlfn.XLOOKUP(Table1[[#This Row],[Account_ID]], Accounts[ID], Accounts[Account'#], "Unknown")</f>
        <v>7328</v>
      </c>
      <c r="I870" s="168" t="str">
        <f>_xlfn.XLOOKUP(Table1[[#This Row],[Institution_ID]], Institutions[ID], Institutions[Institution nickname], "Unknown")</f>
        <v>Discover</v>
      </c>
      <c r="J870" s="139" t="s">
        <v>898</v>
      </c>
      <c r="K870" s="129" t="s">
        <v>110</v>
      </c>
      <c r="L870" s="129" t="s">
        <v>108</v>
      </c>
      <c r="M870" s="130" t="str" cm="1">
        <f t="array" ref="M870">IFERROR(INDEX(CategoriesTable[Category type],MATCH(Table1[[#This Row],[Category]],CategoriesTable[Category name],0),0),"")</f>
        <v>Expense</v>
      </c>
      <c r="N870" s="130" t="str" cm="1">
        <f t="array" ref="N870">IFERROR(INDEX(SubcategoriesTable[Subcategory name],MATCH(Table1[[#This Row],[Category]],SubcategoriesTable[Category name],0),0),"")</f>
        <v>Variable</v>
      </c>
      <c r="O870" s="130">
        <v>20</v>
      </c>
      <c r="P870" s="130">
        <f>MONTH(Table1[[#This Row],[Date]])</f>
        <v>6</v>
      </c>
      <c r="Q870" s="130">
        <v>2020</v>
      </c>
      <c r="R870" s="166">
        <f>IF(ISBLANK(Table1[[#This Row],[Date]]),"",Table1[[#This Row],[Date]]-WEEKDAY(Table1[[#This Row],[Date]],2)+1)</f>
        <v>43997</v>
      </c>
      <c r="S870" s="131">
        <f>IF(ISBLANK(Table1[[#This Row],[Date]]),"",DATE(Table1[[#This Row],[Date_Year]],Table1[[#This Row],[Date_Month]],1))</f>
        <v>43983</v>
      </c>
    </row>
    <row r="871" spans="2:19" ht="15.75" x14ac:dyDescent="0.25">
      <c r="B871" s="133">
        <v>44002</v>
      </c>
      <c r="C871" s="128" t="s">
        <v>899</v>
      </c>
      <c r="D871" s="128" t="s">
        <v>49</v>
      </c>
      <c r="E871" s="128" t="str" cm="1">
        <f t="array" ref="E871">IFERROR(INDEX(SubcategoriesTable[Subcategory name],MATCH(Table1[[#This Row],[Category]],SubcategoriesTable[Category name],0),0),"")</f>
        <v>Variable</v>
      </c>
      <c r="F871" s="134">
        <v>-10</v>
      </c>
      <c r="G871" s="167" t="str">
        <f>_xlfn.XLOOKUP(Table1[[#This Row],[Account_ID]], Accounts[ID], Accounts[Account nickname], "Unknown")</f>
        <v>Discover it chrome Card</v>
      </c>
      <c r="H871" s="137" t="str">
        <f>_xlfn.XLOOKUP(Table1[[#This Row],[Account_ID]], Accounts[ID], Accounts[Account'#], "Unknown")</f>
        <v>7328</v>
      </c>
      <c r="I871" s="168" t="str">
        <f>_xlfn.XLOOKUP(Table1[[#This Row],[Institution_ID]], Institutions[ID], Institutions[Institution nickname], "Unknown")</f>
        <v>Discover</v>
      </c>
      <c r="J871" s="139" t="s">
        <v>900</v>
      </c>
      <c r="K871" s="129" t="s">
        <v>110</v>
      </c>
      <c r="L871" s="129" t="s">
        <v>108</v>
      </c>
      <c r="M871" s="130" t="str" cm="1">
        <f t="array" ref="M871">IFERROR(INDEX(CategoriesTable[Category type],MATCH(Table1[[#This Row],[Category]],CategoriesTable[Category name],0),0),"")</f>
        <v>Expense</v>
      </c>
      <c r="N871" s="130" t="str" cm="1">
        <f t="array" ref="N871">IFERROR(INDEX(SubcategoriesTable[Subcategory name],MATCH(Table1[[#This Row],[Category]],SubcategoriesTable[Category name],0),0),"")</f>
        <v>Variable</v>
      </c>
      <c r="O871" s="130">
        <v>20</v>
      </c>
      <c r="P871" s="130">
        <f>MONTH(Table1[[#This Row],[Date]])</f>
        <v>6</v>
      </c>
      <c r="Q871" s="130">
        <v>2020</v>
      </c>
      <c r="R871" s="166">
        <f>IF(ISBLANK(Table1[[#This Row],[Date]]),"",Table1[[#This Row],[Date]]-WEEKDAY(Table1[[#This Row],[Date]],2)+1)</f>
        <v>43997</v>
      </c>
      <c r="S871" s="131">
        <f>IF(ISBLANK(Table1[[#This Row],[Date]]),"",DATE(Table1[[#This Row],[Date_Year]],Table1[[#This Row],[Date_Month]],1))</f>
        <v>43983</v>
      </c>
    </row>
    <row r="872" spans="2:19" ht="15.75" x14ac:dyDescent="0.25">
      <c r="B872" s="133">
        <v>44002</v>
      </c>
      <c r="C872" s="128" t="s">
        <v>119</v>
      </c>
      <c r="D872" s="128" t="s">
        <v>52</v>
      </c>
      <c r="E872" s="128" t="str" cm="1">
        <f t="array" ref="E872">IFERROR(INDEX(SubcategoriesTable[Subcategory name],MATCH(Table1[[#This Row],[Category]],SubcategoriesTable[Category name],0),0),"")</f>
        <v>Variable</v>
      </c>
      <c r="F872" s="134">
        <v>-2.04</v>
      </c>
      <c r="G872" s="167" t="str">
        <f>_xlfn.XLOOKUP(Table1[[#This Row],[Account_ID]], Accounts[ID], Accounts[Account nickname], "Unknown")</f>
        <v>Discover it chrome Card</v>
      </c>
      <c r="H872" s="137" t="str">
        <f>_xlfn.XLOOKUP(Table1[[#This Row],[Account_ID]], Accounts[ID], Accounts[Account'#], "Unknown")</f>
        <v>7328</v>
      </c>
      <c r="I872" s="168" t="str">
        <f>_xlfn.XLOOKUP(Table1[[#This Row],[Institution_ID]], Institutions[ID], Institutions[Institution nickname], "Unknown")</f>
        <v>Discover</v>
      </c>
      <c r="J872" s="139" t="s">
        <v>901</v>
      </c>
      <c r="K872" s="129" t="s">
        <v>110</v>
      </c>
      <c r="L872" s="129" t="s">
        <v>108</v>
      </c>
      <c r="M872" s="130" t="str" cm="1">
        <f t="array" ref="M872">IFERROR(INDEX(CategoriesTable[Category type],MATCH(Table1[[#This Row],[Category]],CategoriesTable[Category name],0),0),"")</f>
        <v>Expense</v>
      </c>
      <c r="N872" s="130" t="str" cm="1">
        <f t="array" ref="N872">IFERROR(INDEX(SubcategoriesTable[Subcategory name],MATCH(Table1[[#This Row],[Category]],SubcategoriesTable[Category name],0),0),"")</f>
        <v>Variable</v>
      </c>
      <c r="O872" s="130">
        <v>20</v>
      </c>
      <c r="P872" s="130">
        <f>MONTH(Table1[[#This Row],[Date]])</f>
        <v>6</v>
      </c>
      <c r="Q872" s="130">
        <v>2020</v>
      </c>
      <c r="R872" s="166">
        <f>IF(ISBLANK(Table1[[#This Row],[Date]]),"",Table1[[#This Row],[Date]]-WEEKDAY(Table1[[#This Row],[Date]],2)+1)</f>
        <v>43997</v>
      </c>
      <c r="S872" s="131">
        <f>IF(ISBLANK(Table1[[#This Row],[Date]]),"",DATE(Table1[[#This Row],[Date_Year]],Table1[[#This Row],[Date_Month]],1))</f>
        <v>43983</v>
      </c>
    </row>
    <row r="873" spans="2:19" ht="15.75" x14ac:dyDescent="0.25">
      <c r="B873" s="133">
        <v>44002</v>
      </c>
      <c r="C873" s="128" t="s">
        <v>119</v>
      </c>
      <c r="D873" s="128" t="s">
        <v>52</v>
      </c>
      <c r="E873" s="128" t="str" cm="1">
        <f t="array" ref="E873">IFERROR(INDEX(SubcategoriesTable[Subcategory name],MATCH(Table1[[#This Row],[Category]],SubcategoriesTable[Category name],0),0),"")</f>
        <v>Variable</v>
      </c>
      <c r="F873" s="134">
        <v>-19.600000000000001</v>
      </c>
      <c r="G873" s="167" t="str">
        <f>_xlfn.XLOOKUP(Table1[[#This Row],[Account_ID]], Accounts[ID], Accounts[Account nickname], "Unknown")</f>
        <v>Discover it chrome Card</v>
      </c>
      <c r="H873" s="137" t="str">
        <f>_xlfn.XLOOKUP(Table1[[#This Row],[Account_ID]], Accounts[ID], Accounts[Account'#], "Unknown")</f>
        <v>7328</v>
      </c>
      <c r="I873" s="168" t="str">
        <f>_xlfn.XLOOKUP(Table1[[#This Row],[Institution_ID]], Institutions[ID], Institutions[Institution nickname], "Unknown")</f>
        <v>Discover</v>
      </c>
      <c r="J873" s="139" t="s">
        <v>902</v>
      </c>
      <c r="K873" s="129" t="s">
        <v>110</v>
      </c>
      <c r="L873" s="129" t="s">
        <v>108</v>
      </c>
      <c r="M873" s="130" t="str" cm="1">
        <f t="array" ref="M873">IFERROR(INDEX(CategoriesTable[Category type],MATCH(Table1[[#This Row],[Category]],CategoriesTable[Category name],0),0),"")</f>
        <v>Expense</v>
      </c>
      <c r="N873" s="130" t="str" cm="1">
        <f t="array" ref="N873">IFERROR(INDEX(SubcategoriesTable[Subcategory name],MATCH(Table1[[#This Row],[Category]],SubcategoriesTable[Category name],0),0),"")</f>
        <v>Variable</v>
      </c>
      <c r="O873" s="130">
        <v>20</v>
      </c>
      <c r="P873" s="130">
        <f>MONTH(Table1[[#This Row],[Date]])</f>
        <v>6</v>
      </c>
      <c r="Q873" s="130">
        <v>2020</v>
      </c>
      <c r="R873" s="166">
        <f>IF(ISBLANK(Table1[[#This Row],[Date]]),"",Table1[[#This Row],[Date]]-WEEKDAY(Table1[[#This Row],[Date]],2)+1)</f>
        <v>43997</v>
      </c>
      <c r="S873" s="131">
        <f>IF(ISBLANK(Table1[[#This Row],[Date]]),"",DATE(Table1[[#This Row],[Date_Year]],Table1[[#This Row],[Date_Month]],1))</f>
        <v>43983</v>
      </c>
    </row>
    <row r="874" spans="2:19" ht="15.75" x14ac:dyDescent="0.25">
      <c r="B874" s="133">
        <v>44001</v>
      </c>
      <c r="C874" s="128" t="s">
        <v>1180</v>
      </c>
      <c r="D874" s="128" t="s">
        <v>50</v>
      </c>
      <c r="E874" s="128" t="str" cm="1">
        <f t="array" ref="E874">IFERROR(INDEX(SubcategoriesTable[Subcategory name],MATCH(Table1[[#This Row],[Category]],SubcategoriesTable[Category name],0),0),"")</f>
        <v>Variable</v>
      </c>
      <c r="F874" s="134">
        <v>-608.48</v>
      </c>
      <c r="G874" s="167" t="str">
        <f>_xlfn.XLOOKUP(Table1[[#This Row],[Account_ID]], Accounts[ID], Accounts[Account nickname], "Unknown")</f>
        <v>EVERYDAY CHECKING</v>
      </c>
      <c r="H874" s="137" t="str">
        <f>_xlfn.XLOOKUP(Table1[[#This Row],[Account_ID]], Accounts[ID], Accounts[Account'#], "Unknown")</f>
        <v>4636</v>
      </c>
      <c r="I874" s="168" t="str">
        <f>_xlfn.XLOOKUP(Table1[[#This Row],[Institution_ID]], Institutions[ID], Institutions[Institution nickname], "Unknown")</f>
        <v>Wells Fargo</v>
      </c>
      <c r="J874" s="139" t="s">
        <v>1607</v>
      </c>
      <c r="K874" s="129" t="s">
        <v>1229</v>
      </c>
      <c r="L874" s="129" t="s">
        <v>1228</v>
      </c>
      <c r="M874" s="130" t="str" cm="1">
        <f t="array" ref="M874">IFERROR(INDEX(CategoriesTable[Category type],MATCH(Table1[[#This Row],[Category]],CategoriesTable[Category name],0),0),"")</f>
        <v>Transfer</v>
      </c>
      <c r="N874" s="130" t="str" cm="1">
        <f t="array" ref="N874">IFERROR(INDEX(SubcategoriesTable[Subcategory name],MATCH(Table1[[#This Row],[Category]],SubcategoriesTable[Category name],0),0),"")</f>
        <v>Variable</v>
      </c>
      <c r="O874" s="130">
        <v>19</v>
      </c>
      <c r="P874" s="130">
        <f>MONTH(Table1[[#This Row],[Date]])</f>
        <v>6</v>
      </c>
      <c r="Q874" s="130">
        <v>2020</v>
      </c>
      <c r="R874" s="166">
        <f>IF(ISBLANK(Table1[[#This Row],[Date]]),"",Table1[[#This Row],[Date]]-WEEKDAY(Table1[[#This Row],[Date]],2)+1)</f>
        <v>43997</v>
      </c>
      <c r="S874" s="131">
        <f>IF(ISBLANK(Table1[[#This Row],[Date]]),"",DATE(Table1[[#This Row],[Date_Year]],Table1[[#This Row],[Date_Month]],1))</f>
        <v>43983</v>
      </c>
    </row>
    <row r="875" spans="2:19" ht="15.75" x14ac:dyDescent="0.25">
      <c r="B875" s="133">
        <v>44001</v>
      </c>
      <c r="C875" s="128" t="s">
        <v>1181</v>
      </c>
      <c r="D875" s="128" t="s">
        <v>59</v>
      </c>
      <c r="E875" s="128" t="str" cm="1">
        <f t="array" ref="E875">IFERROR(INDEX(SubcategoriesTable[Subcategory name],MATCH(Table1[[#This Row],[Category]],SubcategoriesTable[Category name],0),0),"")</f>
        <v>Fixed</v>
      </c>
      <c r="F875" s="134">
        <v>1565.04</v>
      </c>
      <c r="G875" s="167" t="str">
        <f>_xlfn.XLOOKUP(Table1[[#This Row],[Account_ID]], Accounts[ID], Accounts[Account nickname], "Unknown")</f>
        <v>EVERYDAY CHECKING</v>
      </c>
      <c r="H875" s="137" t="str">
        <f>_xlfn.XLOOKUP(Table1[[#This Row],[Account_ID]], Accounts[ID], Accounts[Account'#], "Unknown")</f>
        <v>4636</v>
      </c>
      <c r="I875" s="168" t="str">
        <f>_xlfn.XLOOKUP(Table1[[#This Row],[Institution_ID]], Institutions[ID], Institutions[Institution nickname], "Unknown")</f>
        <v>Wells Fargo</v>
      </c>
      <c r="J875" s="139" t="s">
        <v>1608</v>
      </c>
      <c r="K875" s="129" t="s">
        <v>1229</v>
      </c>
      <c r="L875" s="129" t="s">
        <v>1228</v>
      </c>
      <c r="M875" s="130" t="str" cm="1">
        <f t="array" ref="M875">IFERROR(INDEX(CategoriesTable[Category type],MATCH(Table1[[#This Row],[Category]],CategoriesTable[Category name],0),0),"")</f>
        <v>Income</v>
      </c>
      <c r="N875" s="130" t="str" cm="1">
        <f t="array" ref="N875">IFERROR(INDEX(SubcategoriesTable[Subcategory name],MATCH(Table1[[#This Row],[Category]],SubcategoriesTable[Category name],0),0),"")</f>
        <v>Fixed</v>
      </c>
      <c r="O875" s="130">
        <v>19</v>
      </c>
      <c r="P875" s="130">
        <f>MONTH(Table1[[#This Row],[Date]])</f>
        <v>6</v>
      </c>
      <c r="Q875" s="130">
        <v>2020</v>
      </c>
      <c r="R875" s="166">
        <f>IF(ISBLANK(Table1[[#This Row],[Date]]),"",Table1[[#This Row],[Date]]-WEEKDAY(Table1[[#This Row],[Date]],2)+1)</f>
        <v>43997</v>
      </c>
      <c r="S875" s="131">
        <f>IF(ISBLANK(Table1[[#This Row],[Date]]),"",DATE(Table1[[#This Row],[Date_Year]],Table1[[#This Row],[Date_Month]],1))</f>
        <v>43983</v>
      </c>
    </row>
    <row r="876" spans="2:19" ht="15.75" x14ac:dyDescent="0.25">
      <c r="B876" s="133">
        <v>44001</v>
      </c>
      <c r="C876" s="128" t="s">
        <v>424</v>
      </c>
      <c r="D876" s="128" t="s">
        <v>52</v>
      </c>
      <c r="E876" s="128" t="str" cm="1">
        <f t="array" ref="E876">IFERROR(INDEX(SubcategoriesTable[Subcategory name],MATCH(Table1[[#This Row],[Category]],SubcategoriesTable[Category name],0),0),"")</f>
        <v>Variable</v>
      </c>
      <c r="F876" s="134">
        <v>-15.49</v>
      </c>
      <c r="G876" s="167" t="str">
        <f>_xlfn.XLOOKUP(Table1[[#This Row],[Account_ID]], Accounts[ID], Accounts[Account nickname], "Unknown")</f>
        <v>Discover it chrome Card</v>
      </c>
      <c r="H876" s="137" t="str">
        <f>_xlfn.XLOOKUP(Table1[[#This Row],[Account_ID]], Accounts[ID], Accounts[Account'#], "Unknown")</f>
        <v>7328</v>
      </c>
      <c r="I876" s="168" t="str">
        <f>_xlfn.XLOOKUP(Table1[[#This Row],[Institution_ID]], Institutions[ID], Institutions[Institution nickname], "Unknown")</f>
        <v>Discover</v>
      </c>
      <c r="J876" s="139" t="s">
        <v>903</v>
      </c>
      <c r="K876" s="129" t="s">
        <v>110</v>
      </c>
      <c r="L876" s="129" t="s">
        <v>108</v>
      </c>
      <c r="M876" s="130" t="str" cm="1">
        <f t="array" ref="M876">IFERROR(INDEX(CategoriesTable[Category type],MATCH(Table1[[#This Row],[Category]],CategoriesTable[Category name],0),0),"")</f>
        <v>Expense</v>
      </c>
      <c r="N876" s="130" t="str" cm="1">
        <f t="array" ref="N876">IFERROR(INDEX(SubcategoriesTable[Subcategory name],MATCH(Table1[[#This Row],[Category]],SubcategoriesTable[Category name],0),0),"")</f>
        <v>Variable</v>
      </c>
      <c r="O876" s="130">
        <v>19</v>
      </c>
      <c r="P876" s="130">
        <f>MONTH(Table1[[#This Row],[Date]])</f>
        <v>6</v>
      </c>
      <c r="Q876" s="130">
        <v>2020</v>
      </c>
      <c r="R876" s="166">
        <f>IF(ISBLANK(Table1[[#This Row],[Date]]),"",Table1[[#This Row],[Date]]-WEEKDAY(Table1[[#This Row],[Date]],2)+1)</f>
        <v>43997</v>
      </c>
      <c r="S876" s="131">
        <f>IF(ISBLANK(Table1[[#This Row],[Date]]),"",DATE(Table1[[#This Row],[Date_Year]],Table1[[#This Row],[Date_Month]],1))</f>
        <v>43983</v>
      </c>
    </row>
    <row r="877" spans="2:19" ht="15.75" x14ac:dyDescent="0.25">
      <c r="B877" s="133">
        <v>44001</v>
      </c>
      <c r="C877" s="128" t="s">
        <v>206</v>
      </c>
      <c r="D877" s="128" t="s">
        <v>57</v>
      </c>
      <c r="E877" s="128" t="str" cm="1">
        <f t="array" ref="E877">IFERROR(INDEX(SubcategoriesTable[Subcategory name],MATCH(Table1[[#This Row],[Category]],SubcategoriesTable[Category name],0),0),"")</f>
        <v>Variable</v>
      </c>
      <c r="F877" s="134">
        <v>4.1100000000000003</v>
      </c>
      <c r="G877" s="167" t="str">
        <f>_xlfn.XLOOKUP(Table1[[#This Row],[Account_ID]], Accounts[ID], Accounts[Account nickname], "Unknown")</f>
        <v>Discover it chrome Card</v>
      </c>
      <c r="H877" s="137" t="str">
        <f>_xlfn.XLOOKUP(Table1[[#This Row],[Account_ID]], Accounts[ID], Accounts[Account'#], "Unknown")</f>
        <v>7328</v>
      </c>
      <c r="I877" s="168" t="str">
        <f>_xlfn.XLOOKUP(Table1[[#This Row],[Institution_ID]], Institutions[ID], Institutions[Institution nickname], "Unknown")</f>
        <v>Discover</v>
      </c>
      <c r="J877" s="139" t="s">
        <v>904</v>
      </c>
      <c r="K877" s="129" t="s">
        <v>110</v>
      </c>
      <c r="L877" s="129" t="s">
        <v>108</v>
      </c>
      <c r="M877" s="130" t="str" cm="1">
        <f t="array" ref="M877">IFERROR(INDEX(CategoriesTable[Category type],MATCH(Table1[[#This Row],[Category]],CategoriesTable[Category name],0),0),"")</f>
        <v>Transfer</v>
      </c>
      <c r="N877" s="130" t="str" cm="1">
        <f t="array" ref="N877">IFERROR(INDEX(SubcategoriesTable[Subcategory name],MATCH(Table1[[#This Row],[Category]],SubcategoriesTable[Category name],0),0),"")</f>
        <v>Variable</v>
      </c>
      <c r="O877" s="130">
        <v>19</v>
      </c>
      <c r="P877" s="130">
        <f>MONTH(Table1[[#This Row],[Date]])</f>
        <v>6</v>
      </c>
      <c r="Q877" s="130">
        <v>2020</v>
      </c>
      <c r="R877" s="166">
        <f>IF(ISBLANK(Table1[[#This Row],[Date]]),"",Table1[[#This Row],[Date]]-WEEKDAY(Table1[[#This Row],[Date]],2)+1)</f>
        <v>43997</v>
      </c>
      <c r="S877" s="131">
        <f>IF(ISBLANK(Table1[[#This Row],[Date]]),"",DATE(Table1[[#This Row],[Date_Year]],Table1[[#This Row],[Date_Month]],1))</f>
        <v>43983</v>
      </c>
    </row>
    <row r="878" spans="2:19" ht="15.75" x14ac:dyDescent="0.25">
      <c r="B878" s="133">
        <v>44001</v>
      </c>
      <c r="C878" s="128" t="s">
        <v>113</v>
      </c>
      <c r="D878" s="128" t="s">
        <v>50</v>
      </c>
      <c r="E878" s="128" t="str" cm="1">
        <f t="array" ref="E878">IFERROR(INDEX(SubcategoriesTable[Subcategory name],MATCH(Table1[[#This Row],[Category]],SubcategoriesTable[Category name],0),0),"")</f>
        <v>Variable</v>
      </c>
      <c r="F878" s="134">
        <v>608.48</v>
      </c>
      <c r="G878" s="167" t="str">
        <f>_xlfn.XLOOKUP(Table1[[#This Row],[Account_ID]], Accounts[ID], Accounts[Account nickname], "Unknown")</f>
        <v>Discover it chrome Card</v>
      </c>
      <c r="H878" s="137" t="str">
        <f>_xlfn.XLOOKUP(Table1[[#This Row],[Account_ID]], Accounts[ID], Accounts[Account'#], "Unknown")</f>
        <v>7328</v>
      </c>
      <c r="I878" s="168" t="str">
        <f>_xlfn.XLOOKUP(Table1[[#This Row],[Institution_ID]], Institutions[ID], Institutions[Institution nickname], "Unknown")</f>
        <v>Discover</v>
      </c>
      <c r="J878" s="139" t="s">
        <v>905</v>
      </c>
      <c r="K878" s="129" t="s">
        <v>110</v>
      </c>
      <c r="L878" s="129" t="s">
        <v>108</v>
      </c>
      <c r="M878" s="130" t="str" cm="1">
        <f t="array" ref="M878">IFERROR(INDEX(CategoriesTable[Category type],MATCH(Table1[[#This Row],[Category]],CategoriesTable[Category name],0),0),"")</f>
        <v>Transfer</v>
      </c>
      <c r="N878" s="130" t="str" cm="1">
        <f t="array" ref="N878">IFERROR(INDEX(SubcategoriesTable[Subcategory name],MATCH(Table1[[#This Row],[Category]],SubcategoriesTable[Category name],0),0),"")</f>
        <v>Variable</v>
      </c>
      <c r="O878" s="130">
        <v>19</v>
      </c>
      <c r="P878" s="130">
        <f>MONTH(Table1[[#This Row],[Date]])</f>
        <v>6</v>
      </c>
      <c r="Q878" s="130">
        <v>2020</v>
      </c>
      <c r="R878" s="166">
        <f>IF(ISBLANK(Table1[[#This Row],[Date]]),"",Table1[[#This Row],[Date]]-WEEKDAY(Table1[[#This Row],[Date]],2)+1)</f>
        <v>43997</v>
      </c>
      <c r="S878" s="131">
        <f>IF(ISBLANK(Table1[[#This Row],[Date]]),"",DATE(Table1[[#This Row],[Date_Year]],Table1[[#This Row],[Date_Month]],1))</f>
        <v>43983</v>
      </c>
    </row>
    <row r="879" spans="2:19" ht="15.75" x14ac:dyDescent="0.25">
      <c r="B879" s="133">
        <v>44001</v>
      </c>
      <c r="C879" s="128" t="s">
        <v>119</v>
      </c>
      <c r="D879" s="128" t="s">
        <v>52</v>
      </c>
      <c r="E879" s="128" t="str" cm="1">
        <f t="array" ref="E879">IFERROR(INDEX(SubcategoriesTable[Subcategory name],MATCH(Table1[[#This Row],[Category]],SubcategoriesTable[Category name],0),0),"")</f>
        <v>Variable</v>
      </c>
      <c r="F879" s="134">
        <v>-22.25</v>
      </c>
      <c r="G879" s="167" t="str">
        <f>_xlfn.XLOOKUP(Table1[[#This Row],[Account_ID]], Accounts[ID], Accounts[Account nickname], "Unknown")</f>
        <v>Discover it chrome Card</v>
      </c>
      <c r="H879" s="137" t="str">
        <f>_xlfn.XLOOKUP(Table1[[#This Row],[Account_ID]], Accounts[ID], Accounts[Account'#], "Unknown")</f>
        <v>7328</v>
      </c>
      <c r="I879" s="168" t="str">
        <f>_xlfn.XLOOKUP(Table1[[#This Row],[Institution_ID]], Institutions[ID], Institutions[Institution nickname], "Unknown")</f>
        <v>Discover</v>
      </c>
      <c r="J879" s="139" t="s">
        <v>906</v>
      </c>
      <c r="K879" s="129" t="s">
        <v>110</v>
      </c>
      <c r="L879" s="129" t="s">
        <v>108</v>
      </c>
      <c r="M879" s="130" t="str" cm="1">
        <f t="array" ref="M879">IFERROR(INDEX(CategoriesTable[Category type],MATCH(Table1[[#This Row],[Category]],CategoriesTable[Category name],0),0),"")</f>
        <v>Expense</v>
      </c>
      <c r="N879" s="130" t="str" cm="1">
        <f t="array" ref="N879">IFERROR(INDEX(SubcategoriesTable[Subcategory name],MATCH(Table1[[#This Row],[Category]],SubcategoriesTable[Category name],0),0),"")</f>
        <v>Variable</v>
      </c>
      <c r="O879" s="130">
        <v>19</v>
      </c>
      <c r="P879" s="130">
        <f>MONTH(Table1[[#This Row],[Date]])</f>
        <v>6</v>
      </c>
      <c r="Q879" s="130">
        <v>2020</v>
      </c>
      <c r="R879" s="166">
        <f>IF(ISBLANK(Table1[[#This Row],[Date]]),"",Table1[[#This Row],[Date]]-WEEKDAY(Table1[[#This Row],[Date]],2)+1)</f>
        <v>43997</v>
      </c>
      <c r="S879" s="131">
        <f>IF(ISBLANK(Table1[[#This Row],[Date]]),"",DATE(Table1[[#This Row],[Date_Year]],Table1[[#This Row],[Date_Month]],1))</f>
        <v>43983</v>
      </c>
    </row>
    <row r="880" spans="2:19" ht="15.75" x14ac:dyDescent="0.25">
      <c r="B880" s="133">
        <v>44001</v>
      </c>
      <c r="C880" s="128" t="s">
        <v>115</v>
      </c>
      <c r="D880" s="128" t="s">
        <v>48</v>
      </c>
      <c r="E880" s="128" t="str" cm="1">
        <f t="array" ref="E880">IFERROR(INDEX(SubcategoriesTable[Subcategory name],MATCH(Table1[[#This Row],[Category]],SubcategoriesTable[Category name],0),0),"")</f>
        <v>Variable</v>
      </c>
      <c r="F880" s="134">
        <v>-92.97</v>
      </c>
      <c r="G880" s="167" t="str">
        <f>_xlfn.XLOOKUP(Table1[[#This Row],[Account_ID]], Accounts[ID], Accounts[Account nickname], "Unknown")</f>
        <v>Discover it chrome Card</v>
      </c>
      <c r="H880" s="137" t="str">
        <f>_xlfn.XLOOKUP(Table1[[#This Row],[Account_ID]], Accounts[ID], Accounts[Account'#], "Unknown")</f>
        <v>7328</v>
      </c>
      <c r="I880" s="168" t="str">
        <f>_xlfn.XLOOKUP(Table1[[#This Row],[Institution_ID]], Institutions[ID], Institutions[Institution nickname], "Unknown")</f>
        <v>Discover</v>
      </c>
      <c r="J880" s="139" t="s">
        <v>907</v>
      </c>
      <c r="K880" s="129" t="s">
        <v>110</v>
      </c>
      <c r="L880" s="129" t="s">
        <v>108</v>
      </c>
      <c r="M880" s="130" t="str" cm="1">
        <f t="array" ref="M880">IFERROR(INDEX(CategoriesTable[Category type],MATCH(Table1[[#This Row],[Category]],CategoriesTable[Category name],0),0),"")</f>
        <v>Expense</v>
      </c>
      <c r="N880" s="130" t="str" cm="1">
        <f t="array" ref="N880">IFERROR(INDEX(SubcategoriesTable[Subcategory name],MATCH(Table1[[#This Row],[Category]],SubcategoriesTable[Category name],0),0),"")</f>
        <v>Variable</v>
      </c>
      <c r="O880" s="130">
        <v>19</v>
      </c>
      <c r="P880" s="130">
        <f>MONTH(Table1[[#This Row],[Date]])</f>
        <v>6</v>
      </c>
      <c r="Q880" s="130">
        <v>2020</v>
      </c>
      <c r="R880" s="166">
        <f>IF(ISBLANK(Table1[[#This Row],[Date]]),"",Table1[[#This Row],[Date]]-WEEKDAY(Table1[[#This Row],[Date]],2)+1)</f>
        <v>43997</v>
      </c>
      <c r="S880" s="131">
        <f>IF(ISBLANK(Table1[[#This Row],[Date]]),"",DATE(Table1[[#This Row],[Date_Year]],Table1[[#This Row],[Date_Month]],1))</f>
        <v>43983</v>
      </c>
    </row>
    <row r="881" spans="2:19" ht="15.75" x14ac:dyDescent="0.25">
      <c r="B881" s="133">
        <v>44000</v>
      </c>
      <c r="C881" s="128" t="s">
        <v>1609</v>
      </c>
      <c r="D881" s="128" t="s">
        <v>46</v>
      </c>
      <c r="E881" s="128" t="str" cm="1">
        <f t="array" ref="E881">IFERROR(INDEX(SubcategoriesTable[Subcategory name],MATCH(Table1[[#This Row],[Category]],SubcategoriesTable[Category name],0),0),"")</f>
        <v>Variable</v>
      </c>
      <c r="F881" s="134">
        <v>-19.95</v>
      </c>
      <c r="G881" s="167" t="str">
        <f>_xlfn.XLOOKUP(Table1[[#This Row],[Account_ID]], Accounts[ID], Accounts[Account nickname], "Unknown")</f>
        <v>EVERYDAY CHECKING</v>
      </c>
      <c r="H881" s="137" t="str">
        <f>_xlfn.XLOOKUP(Table1[[#This Row],[Account_ID]], Accounts[ID], Accounts[Account'#], "Unknown")</f>
        <v>4636</v>
      </c>
      <c r="I881" s="168" t="str">
        <f>_xlfn.XLOOKUP(Table1[[#This Row],[Institution_ID]], Institutions[ID], Institutions[Institution nickname], "Unknown")</f>
        <v>Wells Fargo</v>
      </c>
      <c r="J881" s="139" t="s">
        <v>1610</v>
      </c>
      <c r="K881" s="129" t="s">
        <v>1229</v>
      </c>
      <c r="L881" s="129" t="s">
        <v>1228</v>
      </c>
      <c r="M881" s="130" t="str" cm="1">
        <f t="array" ref="M881">IFERROR(INDEX(CategoriesTable[Category type],MATCH(Table1[[#This Row],[Category]],CategoriesTable[Category name],0),0),"")</f>
        <v>Expense</v>
      </c>
      <c r="N881" s="130" t="str" cm="1">
        <f t="array" ref="N881">IFERROR(INDEX(SubcategoriesTable[Subcategory name],MATCH(Table1[[#This Row],[Category]],SubcategoriesTable[Category name],0),0),"")</f>
        <v>Variable</v>
      </c>
      <c r="O881" s="130">
        <v>18</v>
      </c>
      <c r="P881" s="130">
        <f>MONTH(Table1[[#This Row],[Date]])</f>
        <v>6</v>
      </c>
      <c r="Q881" s="130">
        <v>2020</v>
      </c>
      <c r="R881" s="166">
        <f>IF(ISBLANK(Table1[[#This Row],[Date]]),"",Table1[[#This Row],[Date]]-WEEKDAY(Table1[[#This Row],[Date]],2)+1)</f>
        <v>43997</v>
      </c>
      <c r="S881" s="131">
        <f>IF(ISBLANK(Table1[[#This Row],[Date]]),"",DATE(Table1[[#This Row],[Date_Year]],Table1[[#This Row],[Date_Month]],1))</f>
        <v>43983</v>
      </c>
    </row>
    <row r="882" spans="2:19" ht="15.75" x14ac:dyDescent="0.25">
      <c r="B882" s="133">
        <v>44000</v>
      </c>
      <c r="C882" s="128" t="s">
        <v>193</v>
      </c>
      <c r="D882" s="128" t="s">
        <v>54</v>
      </c>
      <c r="E882" s="128" t="str" cm="1">
        <f t="array" ref="E882">IFERROR(INDEX(SubcategoriesTable[Subcategory name],MATCH(Table1[[#This Row],[Category]],SubcategoriesTable[Category name],0),0),"")</f>
        <v>Fixed</v>
      </c>
      <c r="F882" s="134">
        <v>-86.25</v>
      </c>
      <c r="G882" s="167" t="str">
        <f>_xlfn.XLOOKUP(Table1[[#This Row],[Account_ID]], Accounts[ID], Accounts[Account nickname], "Unknown")</f>
        <v>Discover it chrome Card</v>
      </c>
      <c r="H882" s="137" t="str">
        <f>_xlfn.XLOOKUP(Table1[[#This Row],[Account_ID]], Accounts[ID], Accounts[Account'#], "Unknown")</f>
        <v>7328</v>
      </c>
      <c r="I882" s="168" t="str">
        <f>_xlfn.XLOOKUP(Table1[[#This Row],[Institution_ID]], Institutions[ID], Institutions[Institution nickname], "Unknown")</f>
        <v>Discover</v>
      </c>
      <c r="J882" s="139" t="s">
        <v>908</v>
      </c>
      <c r="K882" s="129" t="s">
        <v>110</v>
      </c>
      <c r="L882" s="129" t="s">
        <v>108</v>
      </c>
      <c r="M882" s="130" t="str" cm="1">
        <f t="array" ref="M882">IFERROR(INDEX(CategoriesTable[Category type],MATCH(Table1[[#This Row],[Category]],CategoriesTable[Category name],0),0),"")</f>
        <v>Expense</v>
      </c>
      <c r="N882" s="130" t="str" cm="1">
        <f t="array" ref="N882">IFERROR(INDEX(SubcategoriesTable[Subcategory name],MATCH(Table1[[#This Row],[Category]],SubcategoriesTable[Category name],0),0),"")</f>
        <v>Fixed</v>
      </c>
      <c r="O882" s="130">
        <v>18</v>
      </c>
      <c r="P882" s="130">
        <f>MONTH(Table1[[#This Row],[Date]])</f>
        <v>6</v>
      </c>
      <c r="Q882" s="130">
        <v>2020</v>
      </c>
      <c r="R882" s="166">
        <f>IF(ISBLANK(Table1[[#This Row],[Date]]),"",Table1[[#This Row],[Date]]-WEEKDAY(Table1[[#This Row],[Date]],2)+1)</f>
        <v>43997</v>
      </c>
      <c r="S882" s="131">
        <f>IF(ISBLANK(Table1[[#This Row],[Date]]),"",DATE(Table1[[#This Row],[Date_Year]],Table1[[#This Row],[Date_Month]],1))</f>
        <v>43983</v>
      </c>
    </row>
    <row r="883" spans="2:19" ht="15.75" x14ac:dyDescent="0.25">
      <c r="B883" s="133">
        <v>44000</v>
      </c>
      <c r="C883" s="128" t="s">
        <v>909</v>
      </c>
      <c r="D883" s="128" t="s">
        <v>56</v>
      </c>
      <c r="E883" s="128" t="str" cm="1">
        <f t="array" ref="E883">IFERROR(INDEX(SubcategoriesTable[Subcategory name],MATCH(Table1[[#This Row],[Category]],SubcategoriesTable[Category name],0),0),"")</f>
        <v>Variable</v>
      </c>
      <c r="F883" s="134">
        <v>-3.59</v>
      </c>
      <c r="G883" s="167" t="str">
        <f>_xlfn.XLOOKUP(Table1[[#This Row],[Account_ID]], Accounts[ID], Accounts[Account nickname], "Unknown")</f>
        <v>Discover it chrome Card</v>
      </c>
      <c r="H883" s="137" t="str">
        <f>_xlfn.XLOOKUP(Table1[[#This Row],[Account_ID]], Accounts[ID], Accounts[Account'#], "Unknown")</f>
        <v>7328</v>
      </c>
      <c r="I883" s="168" t="str">
        <f>_xlfn.XLOOKUP(Table1[[#This Row],[Institution_ID]], Institutions[ID], Institutions[Institution nickname], "Unknown")</f>
        <v>Discover</v>
      </c>
      <c r="J883" s="139" t="s">
        <v>910</v>
      </c>
      <c r="K883" s="129" t="s">
        <v>110</v>
      </c>
      <c r="L883" s="129" t="s">
        <v>108</v>
      </c>
      <c r="M883" s="130" t="str" cm="1">
        <f t="array" ref="M883">IFERROR(INDEX(CategoriesTable[Category type],MATCH(Table1[[#This Row],[Category]],CategoriesTable[Category name],0),0),"")</f>
        <v>Expense</v>
      </c>
      <c r="N883" s="130" t="str" cm="1">
        <f t="array" ref="N883">IFERROR(INDEX(SubcategoriesTable[Subcategory name],MATCH(Table1[[#This Row],[Category]],SubcategoriesTable[Category name],0),0),"")</f>
        <v>Variable</v>
      </c>
      <c r="O883" s="130">
        <v>18</v>
      </c>
      <c r="P883" s="130">
        <f>MONTH(Table1[[#This Row],[Date]])</f>
        <v>6</v>
      </c>
      <c r="Q883" s="130">
        <v>2020</v>
      </c>
      <c r="R883" s="166">
        <f>IF(ISBLANK(Table1[[#This Row],[Date]]),"",Table1[[#This Row],[Date]]-WEEKDAY(Table1[[#This Row],[Date]],2)+1)</f>
        <v>43997</v>
      </c>
      <c r="S883" s="131">
        <f>IF(ISBLANK(Table1[[#This Row],[Date]]),"",DATE(Table1[[#This Row],[Date_Year]],Table1[[#This Row],[Date_Month]],1))</f>
        <v>43983</v>
      </c>
    </row>
    <row r="884" spans="2:19" ht="15.75" x14ac:dyDescent="0.25">
      <c r="B884" s="133">
        <v>44000</v>
      </c>
      <c r="C884" s="128" t="s">
        <v>909</v>
      </c>
      <c r="D884" s="128" t="s">
        <v>56</v>
      </c>
      <c r="E884" s="128" t="str" cm="1">
        <f t="array" ref="E884">IFERROR(INDEX(SubcategoriesTable[Subcategory name],MATCH(Table1[[#This Row],[Category]],SubcategoriesTable[Category name],0),0),"")</f>
        <v>Variable</v>
      </c>
      <c r="F884" s="134">
        <v>-22.97</v>
      </c>
      <c r="G884" s="167" t="str">
        <f>_xlfn.XLOOKUP(Table1[[#This Row],[Account_ID]], Accounts[ID], Accounts[Account nickname], "Unknown")</f>
        <v>Discover it chrome Card</v>
      </c>
      <c r="H884" s="137" t="str">
        <f>_xlfn.XLOOKUP(Table1[[#This Row],[Account_ID]], Accounts[ID], Accounts[Account'#], "Unknown")</f>
        <v>7328</v>
      </c>
      <c r="I884" s="168" t="str">
        <f>_xlfn.XLOOKUP(Table1[[#This Row],[Institution_ID]], Institutions[ID], Institutions[Institution nickname], "Unknown")</f>
        <v>Discover</v>
      </c>
      <c r="J884" s="139" t="s">
        <v>911</v>
      </c>
      <c r="K884" s="129" t="s">
        <v>110</v>
      </c>
      <c r="L884" s="129" t="s">
        <v>108</v>
      </c>
      <c r="M884" s="130" t="str" cm="1">
        <f t="array" ref="M884">IFERROR(INDEX(CategoriesTable[Category type],MATCH(Table1[[#This Row],[Category]],CategoriesTable[Category name],0),0),"")</f>
        <v>Expense</v>
      </c>
      <c r="N884" s="130" t="str" cm="1">
        <f t="array" ref="N884">IFERROR(INDEX(SubcategoriesTable[Subcategory name],MATCH(Table1[[#This Row],[Category]],SubcategoriesTable[Category name],0),0),"")</f>
        <v>Variable</v>
      </c>
      <c r="O884" s="130">
        <v>18</v>
      </c>
      <c r="P884" s="130">
        <f>MONTH(Table1[[#This Row],[Date]])</f>
        <v>6</v>
      </c>
      <c r="Q884" s="130">
        <v>2020</v>
      </c>
      <c r="R884" s="166">
        <f>IF(ISBLANK(Table1[[#This Row],[Date]]),"",Table1[[#This Row],[Date]]-WEEKDAY(Table1[[#This Row],[Date]],2)+1)</f>
        <v>43997</v>
      </c>
      <c r="S884" s="131">
        <f>IF(ISBLANK(Table1[[#This Row],[Date]]),"",DATE(Table1[[#This Row],[Date_Year]],Table1[[#This Row],[Date_Month]],1))</f>
        <v>43983</v>
      </c>
    </row>
    <row r="885" spans="2:19" ht="15.75" x14ac:dyDescent="0.25">
      <c r="B885" s="133">
        <v>43999</v>
      </c>
      <c r="C885" s="128" t="s">
        <v>508</v>
      </c>
      <c r="D885" s="128" t="s">
        <v>50</v>
      </c>
      <c r="E885" s="128" t="str" cm="1">
        <f t="array" ref="E885">IFERROR(INDEX(SubcategoriesTable[Subcategory name],MATCH(Table1[[#This Row],[Category]],SubcategoriesTable[Category name],0),0),"")</f>
        <v>Variable</v>
      </c>
      <c r="F885" s="134">
        <v>19.75</v>
      </c>
      <c r="G885" s="167" t="str">
        <f>_xlfn.XLOOKUP(Table1[[#This Row],[Account_ID]], Accounts[ID], Accounts[Account nickname], "Unknown")</f>
        <v>EVERYDAY CHECKING</v>
      </c>
      <c r="H885" s="137" t="str">
        <f>_xlfn.XLOOKUP(Table1[[#This Row],[Account_ID]], Accounts[ID], Accounts[Account'#], "Unknown")</f>
        <v>4636</v>
      </c>
      <c r="I885" s="168" t="str">
        <f>_xlfn.XLOOKUP(Table1[[#This Row],[Institution_ID]], Institutions[ID], Institutions[Institution nickname], "Unknown")</f>
        <v>Wells Fargo</v>
      </c>
      <c r="J885" s="139" t="s">
        <v>1611</v>
      </c>
      <c r="K885" s="129" t="s">
        <v>1229</v>
      </c>
      <c r="L885" s="129" t="s">
        <v>1228</v>
      </c>
      <c r="M885" s="130" t="str" cm="1">
        <f t="array" ref="M885">IFERROR(INDEX(CategoriesTable[Category type],MATCH(Table1[[#This Row],[Category]],CategoriesTable[Category name],0),0),"")</f>
        <v>Transfer</v>
      </c>
      <c r="N885" s="130" t="str" cm="1">
        <f t="array" ref="N885">IFERROR(INDEX(SubcategoriesTable[Subcategory name],MATCH(Table1[[#This Row],[Category]],SubcategoriesTable[Category name],0),0),"")</f>
        <v>Variable</v>
      </c>
      <c r="O885" s="130">
        <v>17</v>
      </c>
      <c r="P885" s="130">
        <f>MONTH(Table1[[#This Row],[Date]])</f>
        <v>6</v>
      </c>
      <c r="Q885" s="130">
        <v>2020</v>
      </c>
      <c r="R885" s="166">
        <f>IF(ISBLANK(Table1[[#This Row],[Date]]),"",Table1[[#This Row],[Date]]-WEEKDAY(Table1[[#This Row],[Date]],2)+1)</f>
        <v>43997</v>
      </c>
      <c r="S885" s="131">
        <f>IF(ISBLANK(Table1[[#This Row],[Date]]),"",DATE(Table1[[#This Row],[Date_Year]],Table1[[#This Row],[Date_Month]],1))</f>
        <v>43983</v>
      </c>
    </row>
    <row r="886" spans="2:19" ht="15.75" x14ac:dyDescent="0.25">
      <c r="B886" s="133">
        <v>43999</v>
      </c>
      <c r="C886" s="128" t="s">
        <v>912</v>
      </c>
      <c r="D886" s="128" t="s">
        <v>52</v>
      </c>
      <c r="E886" s="128" t="str" cm="1">
        <f t="array" ref="E886">IFERROR(INDEX(SubcategoriesTable[Subcategory name],MATCH(Table1[[#This Row],[Category]],SubcategoriesTable[Category name],0),0),"")</f>
        <v>Variable</v>
      </c>
      <c r="F886" s="134">
        <v>-17.62</v>
      </c>
      <c r="G886" s="167" t="str">
        <f>_xlfn.XLOOKUP(Table1[[#This Row],[Account_ID]], Accounts[ID], Accounts[Account nickname], "Unknown")</f>
        <v>Discover it chrome Card</v>
      </c>
      <c r="H886" s="137" t="str">
        <f>_xlfn.XLOOKUP(Table1[[#This Row],[Account_ID]], Accounts[ID], Accounts[Account'#], "Unknown")</f>
        <v>7328</v>
      </c>
      <c r="I886" s="168" t="str">
        <f>_xlfn.XLOOKUP(Table1[[#This Row],[Institution_ID]], Institutions[ID], Institutions[Institution nickname], "Unknown")</f>
        <v>Discover</v>
      </c>
      <c r="J886" s="139" t="s">
        <v>913</v>
      </c>
      <c r="K886" s="129" t="s">
        <v>110</v>
      </c>
      <c r="L886" s="129" t="s">
        <v>108</v>
      </c>
      <c r="M886" s="130" t="str" cm="1">
        <f t="array" ref="M886">IFERROR(INDEX(CategoriesTable[Category type],MATCH(Table1[[#This Row],[Category]],CategoriesTable[Category name],0),0),"")</f>
        <v>Expense</v>
      </c>
      <c r="N886" s="130" t="str" cm="1">
        <f t="array" ref="N886">IFERROR(INDEX(SubcategoriesTable[Subcategory name],MATCH(Table1[[#This Row],[Category]],SubcategoriesTable[Category name],0),0),"")</f>
        <v>Variable</v>
      </c>
      <c r="O886" s="130">
        <v>17</v>
      </c>
      <c r="P886" s="130">
        <f>MONTH(Table1[[#This Row],[Date]])</f>
        <v>6</v>
      </c>
      <c r="Q886" s="130">
        <v>2020</v>
      </c>
      <c r="R886" s="166">
        <f>IF(ISBLANK(Table1[[#This Row],[Date]]),"",Table1[[#This Row],[Date]]-WEEKDAY(Table1[[#This Row],[Date]],2)+1)</f>
        <v>43997</v>
      </c>
      <c r="S886" s="131">
        <f>IF(ISBLANK(Table1[[#This Row],[Date]]),"",DATE(Table1[[#This Row],[Date_Year]],Table1[[#This Row],[Date_Month]],1))</f>
        <v>43983</v>
      </c>
    </row>
    <row r="887" spans="2:19" ht="15.75" x14ac:dyDescent="0.25">
      <c r="B887" s="133">
        <v>43998</v>
      </c>
      <c r="C887" s="128" t="s">
        <v>1612</v>
      </c>
      <c r="D887" s="128" t="s">
        <v>56</v>
      </c>
      <c r="E887" s="128" t="str" cm="1">
        <f t="array" ref="E887">IFERROR(INDEX(SubcategoriesTable[Subcategory name],MATCH(Table1[[#This Row],[Category]],SubcategoriesTable[Category name],0),0),"")</f>
        <v>Variable</v>
      </c>
      <c r="F887" s="134">
        <v>-19.95</v>
      </c>
      <c r="G887" s="167" t="str">
        <f>_xlfn.XLOOKUP(Table1[[#This Row],[Account_ID]], Accounts[ID], Accounts[Account nickname], "Unknown")</f>
        <v>EVERYDAY CHECKING</v>
      </c>
      <c r="H887" s="137" t="str">
        <f>_xlfn.XLOOKUP(Table1[[#This Row],[Account_ID]], Accounts[ID], Accounts[Account'#], "Unknown")</f>
        <v>4636</v>
      </c>
      <c r="I887" s="168" t="str">
        <f>_xlfn.XLOOKUP(Table1[[#This Row],[Institution_ID]], Institutions[ID], Institutions[Institution nickname], "Unknown")</f>
        <v>Wells Fargo</v>
      </c>
      <c r="J887" s="139" t="s">
        <v>1613</v>
      </c>
      <c r="K887" s="129" t="s">
        <v>1229</v>
      </c>
      <c r="L887" s="129" t="s">
        <v>1228</v>
      </c>
      <c r="M887" s="130" t="str" cm="1">
        <f t="array" ref="M887">IFERROR(INDEX(CategoriesTable[Category type],MATCH(Table1[[#This Row],[Category]],CategoriesTable[Category name],0),0),"")</f>
        <v>Expense</v>
      </c>
      <c r="N887" s="130" t="str" cm="1">
        <f t="array" ref="N887">IFERROR(INDEX(SubcategoriesTable[Subcategory name],MATCH(Table1[[#This Row],[Category]],SubcategoriesTable[Category name],0),0),"")</f>
        <v>Variable</v>
      </c>
      <c r="O887" s="130">
        <v>16</v>
      </c>
      <c r="P887" s="130">
        <f>MONTH(Table1[[#This Row],[Date]])</f>
        <v>6</v>
      </c>
      <c r="Q887" s="130">
        <v>2020</v>
      </c>
      <c r="R887" s="166">
        <f>IF(ISBLANK(Table1[[#This Row],[Date]]),"",Table1[[#This Row],[Date]]-WEEKDAY(Table1[[#This Row],[Date]],2)+1)</f>
        <v>43997</v>
      </c>
      <c r="S887" s="131">
        <f>IF(ISBLANK(Table1[[#This Row],[Date]]),"",DATE(Table1[[#This Row],[Date_Year]],Table1[[#This Row],[Date_Month]],1))</f>
        <v>43983</v>
      </c>
    </row>
    <row r="888" spans="2:19" ht="15.75" x14ac:dyDescent="0.25">
      <c r="B888" s="133">
        <v>43997</v>
      </c>
      <c r="C888" s="128" t="s">
        <v>1503</v>
      </c>
      <c r="D888" s="128" t="s">
        <v>51</v>
      </c>
      <c r="E888" s="128" t="str" cm="1">
        <f t="array" ref="E888">IFERROR(INDEX(SubcategoriesTable[Subcategory name],MATCH(Table1[[#This Row],[Category]],SubcategoriesTable[Category name],0),0),"")</f>
        <v>Variable</v>
      </c>
      <c r="F888" s="134">
        <v>-2.0499999999999998</v>
      </c>
      <c r="G888" s="167" t="str">
        <f>_xlfn.XLOOKUP(Table1[[#This Row],[Account_ID]], Accounts[ID], Accounts[Account nickname], "Unknown")</f>
        <v>EVERYDAY CHECKING</v>
      </c>
      <c r="H888" s="137" t="str">
        <f>_xlfn.XLOOKUP(Table1[[#This Row],[Account_ID]], Accounts[ID], Accounts[Account'#], "Unknown")</f>
        <v>4636</v>
      </c>
      <c r="I888" s="168" t="str">
        <f>_xlfn.XLOOKUP(Table1[[#This Row],[Institution_ID]], Institutions[ID], Institutions[Institution nickname], "Unknown")</f>
        <v>Wells Fargo</v>
      </c>
      <c r="J888" s="139" t="s">
        <v>1614</v>
      </c>
      <c r="K888" s="129" t="s">
        <v>1229</v>
      </c>
      <c r="L888" s="129" t="s">
        <v>1228</v>
      </c>
      <c r="M888" s="130" t="str" cm="1">
        <f t="array" ref="M888">IFERROR(INDEX(CategoriesTable[Category type],MATCH(Table1[[#This Row],[Category]],CategoriesTable[Category name],0),0),"")</f>
        <v>Expense</v>
      </c>
      <c r="N888" s="130" t="str" cm="1">
        <f t="array" ref="N888">IFERROR(INDEX(SubcategoriesTable[Subcategory name],MATCH(Table1[[#This Row],[Category]],SubcategoriesTable[Category name],0),0),"")</f>
        <v>Variable</v>
      </c>
      <c r="O888" s="130">
        <v>15</v>
      </c>
      <c r="P888" s="130">
        <f>MONTH(Table1[[#This Row],[Date]])</f>
        <v>6</v>
      </c>
      <c r="Q888" s="130">
        <v>2020</v>
      </c>
      <c r="R888" s="166">
        <f>IF(ISBLANK(Table1[[#This Row],[Date]]),"",Table1[[#This Row],[Date]]-WEEKDAY(Table1[[#This Row],[Date]],2)+1)</f>
        <v>43997</v>
      </c>
      <c r="S888" s="131">
        <f>IF(ISBLANK(Table1[[#This Row],[Date]]),"",DATE(Table1[[#This Row],[Date_Year]],Table1[[#This Row],[Date_Month]],1))</f>
        <v>43983</v>
      </c>
    </row>
    <row r="889" spans="2:19" ht="15.75" x14ac:dyDescent="0.25">
      <c r="B889" s="133">
        <v>43997</v>
      </c>
      <c r="C889" s="128" t="s">
        <v>1183</v>
      </c>
      <c r="D889" s="128" t="s">
        <v>50</v>
      </c>
      <c r="E889" s="128" t="str" cm="1">
        <f t="array" ref="E889">IFERROR(INDEX(SubcategoriesTable[Subcategory name],MATCH(Table1[[#This Row],[Category]],SubcategoriesTable[Category name],0),0),"")</f>
        <v>Variable</v>
      </c>
      <c r="F889" s="134">
        <v>17.5</v>
      </c>
      <c r="G889" s="167" t="str">
        <f>_xlfn.XLOOKUP(Table1[[#This Row],[Account_ID]], Accounts[ID], Accounts[Account nickname], "Unknown")</f>
        <v>EVERYDAY CHECKING</v>
      </c>
      <c r="H889" s="137" t="str">
        <f>_xlfn.XLOOKUP(Table1[[#This Row],[Account_ID]], Accounts[ID], Accounts[Account'#], "Unknown")</f>
        <v>4636</v>
      </c>
      <c r="I889" s="168" t="str">
        <f>_xlfn.XLOOKUP(Table1[[#This Row],[Institution_ID]], Institutions[ID], Institutions[Institution nickname], "Unknown")</f>
        <v>Wells Fargo</v>
      </c>
      <c r="J889" s="139" t="s">
        <v>1615</v>
      </c>
      <c r="K889" s="129" t="s">
        <v>1229</v>
      </c>
      <c r="L889" s="129" t="s">
        <v>1228</v>
      </c>
      <c r="M889" s="130" t="str" cm="1">
        <f t="array" ref="M889">IFERROR(INDEX(CategoriesTable[Category type],MATCH(Table1[[#This Row],[Category]],CategoriesTable[Category name],0),0),"")</f>
        <v>Transfer</v>
      </c>
      <c r="N889" s="130" t="str" cm="1">
        <f t="array" ref="N889">IFERROR(INDEX(SubcategoriesTable[Subcategory name],MATCH(Table1[[#This Row],[Category]],SubcategoriesTable[Category name],0),0),"")</f>
        <v>Variable</v>
      </c>
      <c r="O889" s="130">
        <v>15</v>
      </c>
      <c r="P889" s="130">
        <f>MONTH(Table1[[#This Row],[Date]])</f>
        <v>6</v>
      </c>
      <c r="Q889" s="130">
        <v>2020</v>
      </c>
      <c r="R889" s="166">
        <f>IF(ISBLANK(Table1[[#This Row],[Date]]),"",Table1[[#This Row],[Date]]-WEEKDAY(Table1[[#This Row],[Date]],2)+1)</f>
        <v>43997</v>
      </c>
      <c r="S889" s="131">
        <f>IF(ISBLANK(Table1[[#This Row],[Date]]),"",DATE(Table1[[#This Row],[Date_Year]],Table1[[#This Row],[Date_Month]],1))</f>
        <v>43983</v>
      </c>
    </row>
    <row r="890" spans="2:19" ht="15.75" x14ac:dyDescent="0.25">
      <c r="B890" s="133">
        <v>43997</v>
      </c>
      <c r="C890" s="128" t="s">
        <v>1183</v>
      </c>
      <c r="D890" s="128" t="s">
        <v>1204</v>
      </c>
      <c r="E890" s="128" t="str" cm="1">
        <f t="array" ref="E890">IFERROR(INDEX(SubcategoriesTable[Subcategory name],MATCH(Table1[[#This Row],[Category]],SubcategoriesTable[Category name],0),0),"")</f>
        <v>Variable</v>
      </c>
      <c r="F890" s="134">
        <v>-35</v>
      </c>
      <c r="G890" s="167" t="str">
        <f>_xlfn.XLOOKUP(Table1[[#This Row],[Account_ID]], Accounts[ID], Accounts[Account nickname], "Unknown")</f>
        <v>EVERYDAY CHECKING</v>
      </c>
      <c r="H890" s="137" t="str">
        <f>_xlfn.XLOOKUP(Table1[[#This Row],[Account_ID]], Accounts[ID], Accounts[Account'#], "Unknown")</f>
        <v>4636</v>
      </c>
      <c r="I890" s="168" t="str">
        <f>_xlfn.XLOOKUP(Table1[[#This Row],[Institution_ID]], Institutions[ID], Institutions[Institution nickname], "Unknown")</f>
        <v>Wells Fargo</v>
      </c>
      <c r="J890" s="139" t="s">
        <v>1616</v>
      </c>
      <c r="K890" s="129" t="s">
        <v>1229</v>
      </c>
      <c r="L890" s="129" t="s">
        <v>1228</v>
      </c>
      <c r="M890" s="130" t="str" cm="1">
        <f t="array" ref="M890">IFERROR(INDEX(CategoriesTable[Category type],MATCH(Table1[[#This Row],[Category]],CategoriesTable[Category name],0),0),"")</f>
        <v>Savings</v>
      </c>
      <c r="N890" s="130" t="str" cm="1">
        <f t="array" ref="N890">IFERROR(INDEX(SubcategoriesTable[Subcategory name],MATCH(Table1[[#This Row],[Category]],SubcategoriesTable[Category name],0),0),"")</f>
        <v>Variable</v>
      </c>
      <c r="O890" s="130">
        <v>15</v>
      </c>
      <c r="P890" s="130">
        <f>MONTH(Table1[[#This Row],[Date]])</f>
        <v>6</v>
      </c>
      <c r="Q890" s="130">
        <v>2020</v>
      </c>
      <c r="R890" s="166">
        <f>IF(ISBLANK(Table1[[#This Row],[Date]]),"",Table1[[#This Row],[Date]]-WEEKDAY(Table1[[#This Row],[Date]],2)+1)</f>
        <v>43997</v>
      </c>
      <c r="S890" s="131">
        <f>IF(ISBLANK(Table1[[#This Row],[Date]]),"",DATE(Table1[[#This Row],[Date_Year]],Table1[[#This Row],[Date_Month]],1))</f>
        <v>43983</v>
      </c>
    </row>
    <row r="891" spans="2:19" ht="15.75" x14ac:dyDescent="0.25">
      <c r="B891" s="133">
        <v>43997</v>
      </c>
      <c r="C891" s="128" t="s">
        <v>508</v>
      </c>
      <c r="D891" s="128" t="s">
        <v>50</v>
      </c>
      <c r="E891" s="128" t="str" cm="1">
        <f t="array" ref="E891">IFERROR(INDEX(SubcategoriesTable[Subcategory name],MATCH(Table1[[#This Row],[Category]],SubcategoriesTable[Category name],0),0),"")</f>
        <v>Variable</v>
      </c>
      <c r="F891" s="134">
        <v>19.75</v>
      </c>
      <c r="G891" s="167" t="str">
        <f>_xlfn.XLOOKUP(Table1[[#This Row],[Account_ID]], Accounts[ID], Accounts[Account nickname], "Unknown")</f>
        <v>EVERYDAY CHECKING</v>
      </c>
      <c r="H891" s="137" t="str">
        <f>_xlfn.XLOOKUP(Table1[[#This Row],[Account_ID]], Accounts[ID], Accounts[Account'#], "Unknown")</f>
        <v>4636</v>
      </c>
      <c r="I891" s="168" t="str">
        <f>_xlfn.XLOOKUP(Table1[[#This Row],[Institution_ID]], Institutions[ID], Institutions[Institution nickname], "Unknown")</f>
        <v>Wells Fargo</v>
      </c>
      <c r="J891" s="139" t="s">
        <v>1617</v>
      </c>
      <c r="K891" s="129" t="s">
        <v>1229</v>
      </c>
      <c r="L891" s="129" t="s">
        <v>1228</v>
      </c>
      <c r="M891" s="130" t="str" cm="1">
        <f t="array" ref="M891">IFERROR(INDEX(CategoriesTable[Category type],MATCH(Table1[[#This Row],[Category]],CategoriesTable[Category name],0),0),"")</f>
        <v>Transfer</v>
      </c>
      <c r="N891" s="130" t="str" cm="1">
        <f t="array" ref="N891">IFERROR(INDEX(SubcategoriesTable[Subcategory name],MATCH(Table1[[#This Row],[Category]],SubcategoriesTable[Category name],0),0),"")</f>
        <v>Variable</v>
      </c>
      <c r="O891" s="130">
        <v>15</v>
      </c>
      <c r="P891" s="130">
        <f>MONTH(Table1[[#This Row],[Date]])</f>
        <v>6</v>
      </c>
      <c r="Q891" s="130">
        <v>2020</v>
      </c>
      <c r="R891" s="166">
        <f>IF(ISBLANK(Table1[[#This Row],[Date]]),"",Table1[[#This Row],[Date]]-WEEKDAY(Table1[[#This Row],[Date]],2)+1)</f>
        <v>43997</v>
      </c>
      <c r="S891" s="131">
        <f>IF(ISBLANK(Table1[[#This Row],[Date]]),"",DATE(Table1[[#This Row],[Date_Year]],Table1[[#This Row],[Date_Month]],1))</f>
        <v>43983</v>
      </c>
    </row>
    <row r="892" spans="2:19" ht="15.75" x14ac:dyDescent="0.25">
      <c r="B892" s="133">
        <v>43997</v>
      </c>
      <c r="C892" s="128" t="s">
        <v>508</v>
      </c>
      <c r="D892" s="128" t="s">
        <v>50</v>
      </c>
      <c r="E892" s="128" t="str" cm="1">
        <f t="array" ref="E892">IFERROR(INDEX(SubcategoriesTable[Subcategory name],MATCH(Table1[[#This Row],[Category]],SubcategoriesTable[Category name],0),0),"")</f>
        <v>Variable</v>
      </c>
      <c r="F892" s="134">
        <v>18.5</v>
      </c>
      <c r="G892" s="167" t="str">
        <f>_xlfn.XLOOKUP(Table1[[#This Row],[Account_ID]], Accounts[ID], Accounts[Account nickname], "Unknown")</f>
        <v>EVERYDAY CHECKING</v>
      </c>
      <c r="H892" s="137" t="str">
        <f>_xlfn.XLOOKUP(Table1[[#This Row],[Account_ID]], Accounts[ID], Accounts[Account'#], "Unknown")</f>
        <v>4636</v>
      </c>
      <c r="I892" s="168" t="str">
        <f>_xlfn.XLOOKUP(Table1[[#This Row],[Institution_ID]], Institutions[ID], Institutions[Institution nickname], "Unknown")</f>
        <v>Wells Fargo</v>
      </c>
      <c r="J892" s="139" t="s">
        <v>1618</v>
      </c>
      <c r="K892" s="129" t="s">
        <v>1229</v>
      </c>
      <c r="L892" s="129" t="s">
        <v>1228</v>
      </c>
      <c r="M892" s="130" t="str" cm="1">
        <f t="array" ref="M892">IFERROR(INDEX(CategoriesTable[Category type],MATCH(Table1[[#This Row],[Category]],CategoriesTable[Category name],0),0),"")</f>
        <v>Transfer</v>
      </c>
      <c r="N892" s="130" t="str" cm="1">
        <f t="array" ref="N892">IFERROR(INDEX(SubcategoriesTable[Subcategory name],MATCH(Table1[[#This Row],[Category]],SubcategoriesTable[Category name],0),0),"")</f>
        <v>Variable</v>
      </c>
      <c r="O892" s="130">
        <v>15</v>
      </c>
      <c r="P892" s="130">
        <f>MONTH(Table1[[#This Row],[Date]])</f>
        <v>6</v>
      </c>
      <c r="Q892" s="130">
        <v>2020</v>
      </c>
      <c r="R892" s="166">
        <f>IF(ISBLANK(Table1[[#This Row],[Date]]),"",Table1[[#This Row],[Date]]-WEEKDAY(Table1[[#This Row],[Date]],2)+1)</f>
        <v>43997</v>
      </c>
      <c r="S892" s="131">
        <f>IF(ISBLANK(Table1[[#This Row],[Date]]),"",DATE(Table1[[#This Row],[Date_Year]],Table1[[#This Row],[Date_Month]],1))</f>
        <v>43983</v>
      </c>
    </row>
    <row r="893" spans="2:19" ht="15.75" x14ac:dyDescent="0.25">
      <c r="B893" s="133">
        <v>43997</v>
      </c>
      <c r="C893" s="128" t="s">
        <v>242</v>
      </c>
      <c r="D893" s="128" t="s">
        <v>46</v>
      </c>
      <c r="E893" s="128" t="str" cm="1">
        <f t="array" ref="E893">IFERROR(INDEX(SubcategoriesTable[Subcategory name],MATCH(Table1[[#This Row],[Category]],SubcategoriesTable[Category name],0),0),"")</f>
        <v>Variable</v>
      </c>
      <c r="F893" s="134">
        <v>-55.79</v>
      </c>
      <c r="G893" s="167" t="str">
        <f>_xlfn.XLOOKUP(Table1[[#This Row],[Account_ID]], Accounts[ID], Accounts[Account nickname], "Unknown")</f>
        <v>Discover it chrome Card</v>
      </c>
      <c r="H893" s="137" t="str">
        <f>_xlfn.XLOOKUP(Table1[[#This Row],[Account_ID]], Accounts[ID], Accounts[Account'#], "Unknown")</f>
        <v>7328</v>
      </c>
      <c r="I893" s="168" t="str">
        <f>_xlfn.XLOOKUP(Table1[[#This Row],[Institution_ID]], Institutions[ID], Institutions[Institution nickname], "Unknown")</f>
        <v>Discover</v>
      </c>
      <c r="J893" s="139" t="s">
        <v>914</v>
      </c>
      <c r="K893" s="129" t="s">
        <v>110</v>
      </c>
      <c r="L893" s="129" t="s">
        <v>108</v>
      </c>
      <c r="M893" s="130" t="str" cm="1">
        <f t="array" ref="M893">IFERROR(INDEX(CategoriesTable[Category type],MATCH(Table1[[#This Row],[Category]],CategoriesTable[Category name],0),0),"")</f>
        <v>Expense</v>
      </c>
      <c r="N893" s="130" t="str" cm="1">
        <f t="array" ref="N893">IFERROR(INDEX(SubcategoriesTable[Subcategory name],MATCH(Table1[[#This Row],[Category]],SubcategoriesTable[Category name],0),0),"")</f>
        <v>Variable</v>
      </c>
      <c r="O893" s="130">
        <v>15</v>
      </c>
      <c r="P893" s="130">
        <f>MONTH(Table1[[#This Row],[Date]])</f>
        <v>6</v>
      </c>
      <c r="Q893" s="130">
        <v>2020</v>
      </c>
      <c r="R893" s="166">
        <f>IF(ISBLANK(Table1[[#This Row],[Date]]),"",Table1[[#This Row],[Date]]-WEEKDAY(Table1[[#This Row],[Date]],2)+1)</f>
        <v>43997</v>
      </c>
      <c r="S893" s="131">
        <f>IF(ISBLANK(Table1[[#This Row],[Date]]),"",DATE(Table1[[#This Row],[Date_Year]],Table1[[#This Row],[Date_Month]],1))</f>
        <v>43983</v>
      </c>
    </row>
    <row r="894" spans="2:19" ht="15.75" x14ac:dyDescent="0.25">
      <c r="B894" s="133">
        <v>43997</v>
      </c>
      <c r="C894" s="128" t="s">
        <v>201</v>
      </c>
      <c r="D894" s="128" t="s">
        <v>48</v>
      </c>
      <c r="E894" s="128" t="str" cm="1">
        <f t="array" ref="E894">IFERROR(INDEX(SubcategoriesTable[Subcategory name],MATCH(Table1[[#This Row],[Category]],SubcategoriesTable[Category name],0),0),"")</f>
        <v>Variable</v>
      </c>
      <c r="F894" s="134">
        <v>-55.72</v>
      </c>
      <c r="G894" s="167" t="str">
        <f>_xlfn.XLOOKUP(Table1[[#This Row],[Account_ID]], Accounts[ID], Accounts[Account nickname], "Unknown")</f>
        <v>Discover it chrome Card</v>
      </c>
      <c r="H894" s="137" t="str">
        <f>_xlfn.XLOOKUP(Table1[[#This Row],[Account_ID]], Accounts[ID], Accounts[Account'#], "Unknown")</f>
        <v>7328</v>
      </c>
      <c r="I894" s="168" t="str">
        <f>_xlfn.XLOOKUP(Table1[[#This Row],[Institution_ID]], Institutions[ID], Institutions[Institution nickname], "Unknown")</f>
        <v>Discover</v>
      </c>
      <c r="J894" s="139" t="s">
        <v>915</v>
      </c>
      <c r="K894" s="129" t="s">
        <v>110</v>
      </c>
      <c r="L894" s="129" t="s">
        <v>108</v>
      </c>
      <c r="M894" s="130" t="str" cm="1">
        <f t="array" ref="M894">IFERROR(INDEX(CategoriesTable[Category type],MATCH(Table1[[#This Row],[Category]],CategoriesTable[Category name],0),0),"")</f>
        <v>Expense</v>
      </c>
      <c r="N894" s="130" t="str" cm="1">
        <f t="array" ref="N894">IFERROR(INDEX(SubcategoriesTable[Subcategory name],MATCH(Table1[[#This Row],[Category]],SubcategoriesTable[Category name],0),0),"")</f>
        <v>Variable</v>
      </c>
      <c r="O894" s="130">
        <v>15</v>
      </c>
      <c r="P894" s="130">
        <f>MONTH(Table1[[#This Row],[Date]])</f>
        <v>6</v>
      </c>
      <c r="Q894" s="130">
        <v>2020</v>
      </c>
      <c r="R894" s="166">
        <f>IF(ISBLANK(Table1[[#This Row],[Date]]),"",Table1[[#This Row],[Date]]-WEEKDAY(Table1[[#This Row],[Date]],2)+1)</f>
        <v>43997</v>
      </c>
      <c r="S894" s="131">
        <f>IF(ISBLANK(Table1[[#This Row],[Date]]),"",DATE(Table1[[#This Row],[Date_Year]],Table1[[#This Row],[Date_Month]],1))</f>
        <v>43983</v>
      </c>
    </row>
    <row r="895" spans="2:19" ht="15.75" x14ac:dyDescent="0.25">
      <c r="B895" s="133">
        <v>43996</v>
      </c>
      <c r="C895" s="128" t="s">
        <v>201</v>
      </c>
      <c r="D895" s="128" t="s">
        <v>48</v>
      </c>
      <c r="E895" s="128" t="str" cm="1">
        <f t="array" ref="E895">IFERROR(INDEX(SubcategoriesTable[Subcategory name],MATCH(Table1[[#This Row],[Category]],SubcategoriesTable[Category name],0),0),"")</f>
        <v>Variable</v>
      </c>
      <c r="F895" s="134">
        <v>-72.5</v>
      </c>
      <c r="G895" s="167" t="str">
        <f>_xlfn.XLOOKUP(Table1[[#This Row],[Account_ID]], Accounts[ID], Accounts[Account nickname], "Unknown")</f>
        <v>Discover it chrome Card</v>
      </c>
      <c r="H895" s="137" t="str">
        <f>_xlfn.XLOOKUP(Table1[[#This Row],[Account_ID]], Accounts[ID], Accounts[Account'#], "Unknown")</f>
        <v>7328</v>
      </c>
      <c r="I895" s="168" t="str">
        <f>_xlfn.XLOOKUP(Table1[[#This Row],[Institution_ID]], Institutions[ID], Institutions[Institution nickname], "Unknown")</f>
        <v>Discover</v>
      </c>
      <c r="J895" s="139" t="s">
        <v>916</v>
      </c>
      <c r="K895" s="129" t="s">
        <v>110</v>
      </c>
      <c r="L895" s="129" t="s">
        <v>108</v>
      </c>
      <c r="M895" s="130" t="str" cm="1">
        <f t="array" ref="M895">IFERROR(INDEX(CategoriesTable[Category type],MATCH(Table1[[#This Row],[Category]],CategoriesTable[Category name],0),0),"")</f>
        <v>Expense</v>
      </c>
      <c r="N895" s="130" t="str" cm="1">
        <f t="array" ref="N895">IFERROR(INDEX(SubcategoriesTable[Subcategory name],MATCH(Table1[[#This Row],[Category]],SubcategoriesTable[Category name],0),0),"")</f>
        <v>Variable</v>
      </c>
      <c r="O895" s="130">
        <v>14</v>
      </c>
      <c r="P895" s="130">
        <f>MONTH(Table1[[#This Row],[Date]])</f>
        <v>6</v>
      </c>
      <c r="Q895" s="130">
        <v>2020</v>
      </c>
      <c r="R895" s="166">
        <f>IF(ISBLANK(Table1[[#This Row],[Date]]),"",Table1[[#This Row],[Date]]-WEEKDAY(Table1[[#This Row],[Date]],2)+1)</f>
        <v>43990</v>
      </c>
      <c r="S895" s="131">
        <f>IF(ISBLANK(Table1[[#This Row],[Date]]),"",DATE(Table1[[#This Row],[Date_Year]],Table1[[#This Row],[Date_Month]],1))</f>
        <v>43983</v>
      </c>
    </row>
    <row r="896" spans="2:19" ht="15.75" x14ac:dyDescent="0.25">
      <c r="B896" s="133">
        <v>43995</v>
      </c>
      <c r="C896" s="128" t="s">
        <v>565</v>
      </c>
      <c r="D896" s="128" t="s">
        <v>52</v>
      </c>
      <c r="E896" s="128" t="str" cm="1">
        <f t="array" ref="E896">IFERROR(INDEX(SubcategoriesTable[Subcategory name],MATCH(Table1[[#This Row],[Category]],SubcategoriesTable[Category name],0),0),"")</f>
        <v>Variable</v>
      </c>
      <c r="F896" s="134">
        <v>-86.42</v>
      </c>
      <c r="G896" s="167" t="str">
        <f>_xlfn.XLOOKUP(Table1[[#This Row],[Account_ID]], Accounts[ID], Accounts[Account nickname], "Unknown")</f>
        <v>Discover it chrome Card</v>
      </c>
      <c r="H896" s="137" t="str">
        <f>_xlfn.XLOOKUP(Table1[[#This Row],[Account_ID]], Accounts[ID], Accounts[Account'#], "Unknown")</f>
        <v>7328</v>
      </c>
      <c r="I896" s="168" t="str">
        <f>_xlfn.XLOOKUP(Table1[[#This Row],[Institution_ID]], Institutions[ID], Institutions[Institution nickname], "Unknown")</f>
        <v>Discover</v>
      </c>
      <c r="J896" s="139" t="s">
        <v>917</v>
      </c>
      <c r="K896" s="129" t="s">
        <v>110</v>
      </c>
      <c r="L896" s="129" t="s">
        <v>108</v>
      </c>
      <c r="M896" s="130" t="str" cm="1">
        <f t="array" ref="M896">IFERROR(INDEX(CategoriesTable[Category type],MATCH(Table1[[#This Row],[Category]],CategoriesTable[Category name],0),0),"")</f>
        <v>Expense</v>
      </c>
      <c r="N896" s="130" t="str" cm="1">
        <f t="array" ref="N896">IFERROR(INDEX(SubcategoriesTable[Subcategory name],MATCH(Table1[[#This Row],[Category]],SubcategoriesTable[Category name],0),0),"")</f>
        <v>Variable</v>
      </c>
      <c r="O896" s="130">
        <v>13</v>
      </c>
      <c r="P896" s="130">
        <f>MONTH(Table1[[#This Row],[Date]])</f>
        <v>6</v>
      </c>
      <c r="Q896" s="130">
        <v>2020</v>
      </c>
      <c r="R896" s="166">
        <f>IF(ISBLANK(Table1[[#This Row],[Date]]),"",Table1[[#This Row],[Date]]-WEEKDAY(Table1[[#This Row],[Date]],2)+1)</f>
        <v>43990</v>
      </c>
      <c r="S896" s="131">
        <f>IF(ISBLANK(Table1[[#This Row],[Date]]),"",DATE(Table1[[#This Row],[Date_Year]],Table1[[#This Row],[Date_Month]],1))</f>
        <v>43983</v>
      </c>
    </row>
    <row r="897" spans="2:19" ht="15.75" x14ac:dyDescent="0.25">
      <c r="B897" s="133">
        <v>43994</v>
      </c>
      <c r="C897" s="128" t="s">
        <v>1183</v>
      </c>
      <c r="D897" s="128" t="s">
        <v>1204</v>
      </c>
      <c r="E897" s="128" t="str" cm="1">
        <f t="array" ref="E897">IFERROR(INDEX(SubcategoriesTable[Subcategory name],MATCH(Table1[[#This Row],[Category]],SubcategoriesTable[Category name],0),0),"")</f>
        <v>Variable</v>
      </c>
      <c r="F897" s="134">
        <v>-50</v>
      </c>
      <c r="G897" s="167" t="str">
        <f>_xlfn.XLOOKUP(Table1[[#This Row],[Account_ID]], Accounts[ID], Accounts[Account nickname], "Unknown")</f>
        <v>EVERYDAY CHECKING</v>
      </c>
      <c r="H897" s="137" t="str">
        <f>_xlfn.XLOOKUP(Table1[[#This Row],[Account_ID]], Accounts[ID], Accounts[Account'#], "Unknown")</f>
        <v>4636</v>
      </c>
      <c r="I897" s="168" t="str">
        <f>_xlfn.XLOOKUP(Table1[[#This Row],[Institution_ID]], Institutions[ID], Institutions[Institution nickname], "Unknown")</f>
        <v>Wells Fargo</v>
      </c>
      <c r="J897" s="139" t="s">
        <v>1619</v>
      </c>
      <c r="K897" s="129" t="s">
        <v>1229</v>
      </c>
      <c r="L897" s="129" t="s">
        <v>1228</v>
      </c>
      <c r="M897" s="130" t="str" cm="1">
        <f t="array" ref="M897">IFERROR(INDEX(CategoriesTable[Category type],MATCH(Table1[[#This Row],[Category]],CategoriesTable[Category name],0),0),"")</f>
        <v>Savings</v>
      </c>
      <c r="N897" s="130" t="str" cm="1">
        <f t="array" ref="N897">IFERROR(INDEX(SubcategoriesTable[Subcategory name],MATCH(Table1[[#This Row],[Category]],SubcategoriesTable[Category name],0),0),"")</f>
        <v>Variable</v>
      </c>
      <c r="O897" s="130">
        <v>12</v>
      </c>
      <c r="P897" s="130">
        <f>MONTH(Table1[[#This Row],[Date]])</f>
        <v>6</v>
      </c>
      <c r="Q897" s="130">
        <v>2020</v>
      </c>
      <c r="R897" s="166">
        <f>IF(ISBLANK(Table1[[#This Row],[Date]]),"",Table1[[#This Row],[Date]]-WEEKDAY(Table1[[#This Row],[Date]],2)+1)</f>
        <v>43990</v>
      </c>
      <c r="S897" s="131">
        <f>IF(ISBLANK(Table1[[#This Row],[Date]]),"",DATE(Table1[[#This Row],[Date_Year]],Table1[[#This Row],[Date_Month]],1))</f>
        <v>43983</v>
      </c>
    </row>
    <row r="898" spans="2:19" ht="15.75" x14ac:dyDescent="0.25">
      <c r="B898" s="133">
        <v>43994</v>
      </c>
      <c r="C898" s="128" t="s">
        <v>163</v>
      </c>
      <c r="D898" s="128" t="s">
        <v>54</v>
      </c>
      <c r="E898" s="128" t="str" cm="1">
        <f t="array" ref="E898">IFERROR(INDEX(SubcategoriesTable[Subcategory name],MATCH(Table1[[#This Row],[Category]],SubcategoriesTable[Category name],0),0),"")</f>
        <v>Fixed</v>
      </c>
      <c r="F898" s="134">
        <v>-14.99</v>
      </c>
      <c r="G898" s="167" t="str">
        <f>_xlfn.XLOOKUP(Table1[[#This Row],[Account_ID]], Accounts[ID], Accounts[Account nickname], "Unknown")</f>
        <v>Discover it chrome Card</v>
      </c>
      <c r="H898" s="137" t="str">
        <f>_xlfn.XLOOKUP(Table1[[#This Row],[Account_ID]], Accounts[ID], Accounts[Account'#], "Unknown")</f>
        <v>7328</v>
      </c>
      <c r="I898" s="168" t="str">
        <f>_xlfn.XLOOKUP(Table1[[#This Row],[Institution_ID]], Institutions[ID], Institutions[Institution nickname], "Unknown")</f>
        <v>Discover</v>
      </c>
      <c r="J898" s="139" t="s">
        <v>918</v>
      </c>
      <c r="K898" s="129" t="s">
        <v>110</v>
      </c>
      <c r="L898" s="129" t="s">
        <v>108</v>
      </c>
      <c r="M898" s="130" t="str" cm="1">
        <f t="array" ref="M898">IFERROR(INDEX(CategoriesTable[Category type],MATCH(Table1[[#This Row],[Category]],CategoriesTable[Category name],0),0),"")</f>
        <v>Expense</v>
      </c>
      <c r="N898" s="130" t="str" cm="1">
        <f t="array" ref="N898">IFERROR(INDEX(SubcategoriesTable[Subcategory name],MATCH(Table1[[#This Row],[Category]],SubcategoriesTable[Category name],0),0),"")</f>
        <v>Fixed</v>
      </c>
      <c r="O898" s="130">
        <v>12</v>
      </c>
      <c r="P898" s="130">
        <f>MONTH(Table1[[#This Row],[Date]])</f>
        <v>6</v>
      </c>
      <c r="Q898" s="130">
        <v>2020</v>
      </c>
      <c r="R898" s="166">
        <f>IF(ISBLANK(Table1[[#This Row],[Date]]),"",Table1[[#This Row],[Date]]-WEEKDAY(Table1[[#This Row],[Date]],2)+1)</f>
        <v>43990</v>
      </c>
      <c r="S898" s="131">
        <f>IF(ISBLANK(Table1[[#This Row],[Date]]),"",DATE(Table1[[#This Row],[Date_Year]],Table1[[#This Row],[Date_Month]],1))</f>
        <v>43983</v>
      </c>
    </row>
    <row r="899" spans="2:19" ht="15.75" x14ac:dyDescent="0.25">
      <c r="B899" s="133">
        <v>43994</v>
      </c>
      <c r="C899" s="128" t="s">
        <v>919</v>
      </c>
      <c r="D899" s="128" t="s">
        <v>45</v>
      </c>
      <c r="E899" s="128" t="str" cm="1">
        <f t="array" ref="E899">IFERROR(INDEX(SubcategoriesTable[Subcategory name],MATCH(Table1[[#This Row],[Category]],SubcategoriesTable[Category name],0),0),"")</f>
        <v>Variable</v>
      </c>
      <c r="F899" s="134">
        <v>-35.950000000000003</v>
      </c>
      <c r="G899" s="167" t="str">
        <f>_xlfn.XLOOKUP(Table1[[#This Row],[Account_ID]], Accounts[ID], Accounts[Account nickname], "Unknown")</f>
        <v>Discover it chrome Card</v>
      </c>
      <c r="H899" s="137" t="str">
        <f>_xlfn.XLOOKUP(Table1[[#This Row],[Account_ID]], Accounts[ID], Accounts[Account'#], "Unknown")</f>
        <v>7328</v>
      </c>
      <c r="I899" s="168" t="str">
        <f>_xlfn.XLOOKUP(Table1[[#This Row],[Institution_ID]], Institutions[ID], Institutions[Institution nickname], "Unknown")</f>
        <v>Discover</v>
      </c>
      <c r="J899" s="139" t="s">
        <v>920</v>
      </c>
      <c r="K899" s="129" t="s">
        <v>110</v>
      </c>
      <c r="L899" s="129" t="s">
        <v>108</v>
      </c>
      <c r="M899" s="130" t="str" cm="1">
        <f t="array" ref="M899">IFERROR(INDEX(CategoriesTable[Category type],MATCH(Table1[[#This Row],[Category]],CategoriesTable[Category name],0),0),"")</f>
        <v>Expense</v>
      </c>
      <c r="N899" s="130" t="str" cm="1">
        <f t="array" ref="N899">IFERROR(INDEX(SubcategoriesTable[Subcategory name],MATCH(Table1[[#This Row],[Category]],SubcategoriesTable[Category name],0),0),"")</f>
        <v>Variable</v>
      </c>
      <c r="O899" s="130">
        <v>12</v>
      </c>
      <c r="P899" s="130">
        <f>MONTH(Table1[[#This Row],[Date]])</f>
        <v>6</v>
      </c>
      <c r="Q899" s="130">
        <v>2020</v>
      </c>
      <c r="R899" s="166">
        <f>IF(ISBLANK(Table1[[#This Row],[Date]]),"",Table1[[#This Row],[Date]]-WEEKDAY(Table1[[#This Row],[Date]],2)+1)</f>
        <v>43990</v>
      </c>
      <c r="S899" s="131">
        <f>IF(ISBLANK(Table1[[#This Row],[Date]]),"",DATE(Table1[[#This Row],[Date_Year]],Table1[[#This Row],[Date_Month]],1))</f>
        <v>43983</v>
      </c>
    </row>
    <row r="900" spans="2:19" ht="15.75" x14ac:dyDescent="0.25">
      <c r="B900" s="133">
        <v>43994</v>
      </c>
      <c r="C900" s="128" t="s">
        <v>459</v>
      </c>
      <c r="D900" s="128" t="s">
        <v>48</v>
      </c>
      <c r="E900" s="128" t="str" cm="1">
        <f t="array" ref="E900">IFERROR(INDEX(SubcategoriesTable[Subcategory name],MATCH(Table1[[#This Row],[Category]],SubcategoriesTable[Category name],0),0),"")</f>
        <v>Variable</v>
      </c>
      <c r="F900" s="134">
        <v>-17.61</v>
      </c>
      <c r="G900" s="167" t="str">
        <f>_xlfn.XLOOKUP(Table1[[#This Row],[Account_ID]], Accounts[ID], Accounts[Account nickname], "Unknown")</f>
        <v>Discover it chrome Card</v>
      </c>
      <c r="H900" s="137" t="str">
        <f>_xlfn.XLOOKUP(Table1[[#This Row],[Account_ID]], Accounts[ID], Accounts[Account'#], "Unknown")</f>
        <v>7328</v>
      </c>
      <c r="I900" s="168" t="str">
        <f>_xlfn.XLOOKUP(Table1[[#This Row],[Institution_ID]], Institutions[ID], Institutions[Institution nickname], "Unknown")</f>
        <v>Discover</v>
      </c>
      <c r="J900" s="139" t="s">
        <v>921</v>
      </c>
      <c r="K900" s="129" t="s">
        <v>110</v>
      </c>
      <c r="L900" s="129" t="s">
        <v>108</v>
      </c>
      <c r="M900" s="130" t="str" cm="1">
        <f t="array" ref="M900">IFERROR(INDEX(CategoriesTable[Category type],MATCH(Table1[[#This Row],[Category]],CategoriesTable[Category name],0),0),"")</f>
        <v>Expense</v>
      </c>
      <c r="N900" s="130" t="str" cm="1">
        <f t="array" ref="N900">IFERROR(INDEX(SubcategoriesTable[Subcategory name],MATCH(Table1[[#This Row],[Category]],SubcategoriesTable[Category name],0),0),"")</f>
        <v>Variable</v>
      </c>
      <c r="O900" s="130">
        <v>12</v>
      </c>
      <c r="P900" s="130">
        <f>MONTH(Table1[[#This Row],[Date]])</f>
        <v>6</v>
      </c>
      <c r="Q900" s="130">
        <v>2020</v>
      </c>
      <c r="R900" s="166">
        <f>IF(ISBLANK(Table1[[#This Row],[Date]]),"",Table1[[#This Row],[Date]]-WEEKDAY(Table1[[#This Row],[Date]],2)+1)</f>
        <v>43990</v>
      </c>
      <c r="S900" s="131">
        <f>IF(ISBLANK(Table1[[#This Row],[Date]]),"",DATE(Table1[[#This Row],[Date_Year]],Table1[[#This Row],[Date_Month]],1))</f>
        <v>43983</v>
      </c>
    </row>
    <row r="901" spans="2:19" ht="15.75" x14ac:dyDescent="0.25">
      <c r="B901" s="133">
        <v>43993</v>
      </c>
      <c r="C901" s="128" t="s">
        <v>1183</v>
      </c>
      <c r="D901" s="128" t="s">
        <v>1204</v>
      </c>
      <c r="E901" s="128" t="str" cm="1">
        <f t="array" ref="E901">IFERROR(INDEX(SubcategoriesTable[Subcategory name],MATCH(Table1[[#This Row],[Category]],SubcategoriesTable[Category name],0),0),"")</f>
        <v>Variable</v>
      </c>
      <c r="F901" s="134">
        <v>-50</v>
      </c>
      <c r="G901" s="167" t="str">
        <f>_xlfn.XLOOKUP(Table1[[#This Row],[Account_ID]], Accounts[ID], Accounts[Account nickname], "Unknown")</f>
        <v>EVERYDAY CHECKING</v>
      </c>
      <c r="H901" s="137" t="str">
        <f>_xlfn.XLOOKUP(Table1[[#This Row],[Account_ID]], Accounts[ID], Accounts[Account'#], "Unknown")</f>
        <v>4636</v>
      </c>
      <c r="I901" s="168" t="str">
        <f>_xlfn.XLOOKUP(Table1[[#This Row],[Institution_ID]], Institutions[ID], Institutions[Institution nickname], "Unknown")</f>
        <v>Wells Fargo</v>
      </c>
      <c r="J901" s="139" t="s">
        <v>1620</v>
      </c>
      <c r="K901" s="129" t="s">
        <v>1229</v>
      </c>
      <c r="L901" s="129" t="s">
        <v>1228</v>
      </c>
      <c r="M901" s="130" t="str" cm="1">
        <f t="array" ref="M901">IFERROR(INDEX(CategoriesTable[Category type],MATCH(Table1[[#This Row],[Category]],CategoriesTable[Category name],0),0),"")</f>
        <v>Savings</v>
      </c>
      <c r="N901" s="130" t="str" cm="1">
        <f t="array" ref="N901">IFERROR(INDEX(SubcategoriesTable[Subcategory name],MATCH(Table1[[#This Row],[Category]],SubcategoriesTable[Category name],0),0),"")</f>
        <v>Variable</v>
      </c>
      <c r="O901" s="130">
        <v>11</v>
      </c>
      <c r="P901" s="130">
        <f>MONTH(Table1[[#This Row],[Date]])</f>
        <v>6</v>
      </c>
      <c r="Q901" s="130">
        <v>2020</v>
      </c>
      <c r="R901" s="166">
        <f>IF(ISBLANK(Table1[[#This Row],[Date]]),"",Table1[[#This Row],[Date]]-WEEKDAY(Table1[[#This Row],[Date]],2)+1)</f>
        <v>43990</v>
      </c>
      <c r="S901" s="131">
        <f>IF(ISBLANK(Table1[[#This Row],[Date]]),"",DATE(Table1[[#This Row],[Date_Year]],Table1[[#This Row],[Date_Month]],1))</f>
        <v>43983</v>
      </c>
    </row>
    <row r="902" spans="2:19" ht="15.75" x14ac:dyDescent="0.25">
      <c r="B902" s="133">
        <v>43993</v>
      </c>
      <c r="C902" s="128" t="s">
        <v>1183</v>
      </c>
      <c r="D902" s="128" t="s">
        <v>1204</v>
      </c>
      <c r="E902" s="128" t="str" cm="1">
        <f t="array" ref="E902">IFERROR(INDEX(SubcategoriesTable[Subcategory name],MATCH(Table1[[#This Row],[Category]],SubcategoriesTable[Category name],0),0),"")</f>
        <v>Variable</v>
      </c>
      <c r="F902" s="134">
        <v>-50</v>
      </c>
      <c r="G902" s="167" t="str">
        <f>_xlfn.XLOOKUP(Table1[[#This Row],[Account_ID]], Accounts[ID], Accounts[Account nickname], "Unknown")</f>
        <v>EVERYDAY CHECKING</v>
      </c>
      <c r="H902" s="137" t="str">
        <f>_xlfn.XLOOKUP(Table1[[#This Row],[Account_ID]], Accounts[ID], Accounts[Account'#], "Unknown")</f>
        <v>4636</v>
      </c>
      <c r="I902" s="168" t="str">
        <f>_xlfn.XLOOKUP(Table1[[#This Row],[Institution_ID]], Institutions[ID], Institutions[Institution nickname], "Unknown")</f>
        <v>Wells Fargo</v>
      </c>
      <c r="J902" s="139" t="s">
        <v>1621</v>
      </c>
      <c r="K902" s="129" t="s">
        <v>1229</v>
      </c>
      <c r="L902" s="129" t="s">
        <v>1228</v>
      </c>
      <c r="M902" s="130" t="str" cm="1">
        <f t="array" ref="M902">IFERROR(INDEX(CategoriesTable[Category type],MATCH(Table1[[#This Row],[Category]],CategoriesTable[Category name],0),0),"")</f>
        <v>Savings</v>
      </c>
      <c r="N902" s="130" t="str" cm="1">
        <f t="array" ref="N902">IFERROR(INDEX(SubcategoriesTable[Subcategory name],MATCH(Table1[[#This Row],[Category]],SubcategoriesTable[Category name],0),0),"")</f>
        <v>Variable</v>
      </c>
      <c r="O902" s="130">
        <v>11</v>
      </c>
      <c r="P902" s="130">
        <f>MONTH(Table1[[#This Row],[Date]])</f>
        <v>6</v>
      </c>
      <c r="Q902" s="130">
        <v>2020</v>
      </c>
      <c r="R902" s="166">
        <f>IF(ISBLANK(Table1[[#This Row],[Date]]),"",Table1[[#This Row],[Date]]-WEEKDAY(Table1[[#This Row],[Date]],2)+1)</f>
        <v>43990</v>
      </c>
      <c r="S902" s="131">
        <f>IF(ISBLANK(Table1[[#This Row],[Date]]),"",DATE(Table1[[#This Row],[Date_Year]],Table1[[#This Row],[Date_Month]],1))</f>
        <v>43983</v>
      </c>
    </row>
    <row r="903" spans="2:19" ht="15.75" x14ac:dyDescent="0.25">
      <c r="B903" s="133">
        <v>43993</v>
      </c>
      <c r="C903" s="128" t="s">
        <v>508</v>
      </c>
      <c r="D903" s="128" t="s">
        <v>50</v>
      </c>
      <c r="E903" s="128" t="str" cm="1">
        <f t="array" ref="E903">IFERROR(INDEX(SubcategoriesTable[Subcategory name],MATCH(Table1[[#This Row],[Category]],SubcategoriesTable[Category name],0),0),"")</f>
        <v>Variable</v>
      </c>
      <c r="F903" s="134">
        <v>51.48</v>
      </c>
      <c r="G903" s="167" t="str">
        <f>_xlfn.XLOOKUP(Table1[[#This Row],[Account_ID]], Accounts[ID], Accounts[Account nickname], "Unknown")</f>
        <v>EVERYDAY CHECKING</v>
      </c>
      <c r="H903" s="137" t="str">
        <f>_xlfn.XLOOKUP(Table1[[#This Row],[Account_ID]], Accounts[ID], Accounts[Account'#], "Unknown")</f>
        <v>4636</v>
      </c>
      <c r="I903" s="168" t="str">
        <f>_xlfn.XLOOKUP(Table1[[#This Row],[Institution_ID]], Institutions[ID], Institutions[Institution nickname], "Unknown")</f>
        <v>Wells Fargo</v>
      </c>
      <c r="J903" s="139" t="s">
        <v>1622</v>
      </c>
      <c r="K903" s="129" t="s">
        <v>1229</v>
      </c>
      <c r="L903" s="129" t="s">
        <v>1228</v>
      </c>
      <c r="M903" s="130" t="str" cm="1">
        <f t="array" ref="M903">IFERROR(INDEX(CategoriesTable[Category type],MATCH(Table1[[#This Row],[Category]],CategoriesTable[Category name],0),0),"")</f>
        <v>Transfer</v>
      </c>
      <c r="N903" s="130" t="str" cm="1">
        <f t="array" ref="N903">IFERROR(INDEX(SubcategoriesTable[Subcategory name],MATCH(Table1[[#This Row],[Category]],SubcategoriesTable[Category name],0),0),"")</f>
        <v>Variable</v>
      </c>
      <c r="O903" s="130">
        <v>11</v>
      </c>
      <c r="P903" s="130">
        <f>MONTH(Table1[[#This Row],[Date]])</f>
        <v>6</v>
      </c>
      <c r="Q903" s="130">
        <v>2020</v>
      </c>
      <c r="R903" s="166">
        <f>IF(ISBLANK(Table1[[#This Row],[Date]]),"",Table1[[#This Row],[Date]]-WEEKDAY(Table1[[#This Row],[Date]],2)+1)</f>
        <v>43990</v>
      </c>
      <c r="S903" s="131">
        <f>IF(ISBLANK(Table1[[#This Row],[Date]]),"",DATE(Table1[[#This Row],[Date_Year]],Table1[[#This Row],[Date_Month]],1))</f>
        <v>43983</v>
      </c>
    </row>
    <row r="904" spans="2:19" ht="15.75" x14ac:dyDescent="0.25">
      <c r="B904" s="133">
        <v>43993</v>
      </c>
      <c r="C904" s="128" t="s">
        <v>50</v>
      </c>
      <c r="D904" s="128" t="s">
        <v>1204</v>
      </c>
      <c r="E904" s="128"/>
      <c r="F904" s="134">
        <v>50</v>
      </c>
      <c r="G904" s="167" t="str">
        <f>_xlfn.XLOOKUP(Table1[[#This Row],[Account_ID]], Accounts[ID], Accounts[Account nickname], "Unknown")</f>
        <v>Checking - 4480</v>
      </c>
      <c r="H904" s="137" t="str">
        <f>_xlfn.XLOOKUP(Table1[[#This Row],[Account_ID]], Accounts[ID], Accounts[Account'#], "Unknown")</f>
        <v>4480</v>
      </c>
      <c r="I904" s="168" t="str">
        <f>_xlfn.XLOOKUP(Table1[[#This Row],[Institution_ID]], Institutions[ID], Institutions[Institution nickname], "Unknown")</f>
        <v>Robinhood</v>
      </c>
      <c r="J904" s="139" t="s">
        <v>1252</v>
      </c>
      <c r="K904" s="129" t="s">
        <v>1208</v>
      </c>
      <c r="L904" s="173" t="s">
        <v>1207</v>
      </c>
      <c r="M904" s="130" t="str" cm="1">
        <f t="array" ref="M904">IFERROR(INDEX(CategoriesTable[Category type],MATCH(Table1[[#This Row],[Category]],CategoriesTable[Category name],0),0),"")</f>
        <v>Savings</v>
      </c>
      <c r="N904" s="130" t="str" cm="1">
        <f t="array" ref="N904">IFERROR(INDEX(SubcategoriesTable[Subcategory name],MATCH(Table1[[#This Row],[Category]],SubcategoriesTable[Category name],0),0),"")</f>
        <v>Variable</v>
      </c>
      <c r="O904" s="130">
        <v>11</v>
      </c>
      <c r="P904" s="130">
        <f>MONTH(Table1[[#This Row],[Date]])</f>
        <v>6</v>
      </c>
      <c r="Q904" s="130">
        <v>2020</v>
      </c>
      <c r="R904" s="166">
        <f>IF(ISBLANK(Table1[[#This Row],[Date]]),"",Table1[[#This Row],[Date]]-WEEKDAY(Table1[[#This Row],[Date]],2)+1)</f>
        <v>43990</v>
      </c>
      <c r="S904" s="131">
        <f>IF(ISBLANK(Table1[[#This Row],[Date]]),"",DATE(Table1[[#This Row],[Date_Year]],Table1[[#This Row],[Date_Month]],1))</f>
        <v>43983</v>
      </c>
    </row>
    <row r="905" spans="2:19" ht="15.75" x14ac:dyDescent="0.25">
      <c r="B905" s="133">
        <v>43992</v>
      </c>
      <c r="C905" s="128" t="s">
        <v>1623</v>
      </c>
      <c r="D905" s="128" t="s">
        <v>56</v>
      </c>
      <c r="E905" s="128" t="str" cm="1">
        <f t="array" ref="E905">IFERROR(INDEX(SubcategoriesTable[Subcategory name],MATCH(Table1[[#This Row],[Category]],SubcategoriesTable[Category name],0),0),"")</f>
        <v>Variable</v>
      </c>
      <c r="F905" s="134">
        <v>-30</v>
      </c>
      <c r="G905" s="167" t="str">
        <f>_xlfn.XLOOKUP(Table1[[#This Row],[Account_ID]], Accounts[ID], Accounts[Account nickname], "Unknown")</f>
        <v>EVERYDAY CHECKING</v>
      </c>
      <c r="H905" s="137" t="str">
        <f>_xlfn.XLOOKUP(Table1[[#This Row],[Account_ID]], Accounts[ID], Accounts[Account'#], "Unknown")</f>
        <v>4636</v>
      </c>
      <c r="I905" s="168" t="str">
        <f>_xlfn.XLOOKUP(Table1[[#This Row],[Institution_ID]], Institutions[ID], Institutions[Institution nickname], "Unknown")</f>
        <v>Wells Fargo</v>
      </c>
      <c r="J905" s="139" t="s">
        <v>1624</v>
      </c>
      <c r="K905" s="129" t="s">
        <v>1229</v>
      </c>
      <c r="L905" s="129" t="s">
        <v>1228</v>
      </c>
      <c r="M905" s="130" t="str" cm="1">
        <f t="array" ref="M905">IFERROR(INDEX(CategoriesTable[Category type],MATCH(Table1[[#This Row],[Category]],CategoriesTable[Category name],0),0),"")</f>
        <v>Expense</v>
      </c>
      <c r="N905" s="130" t="str" cm="1">
        <f t="array" ref="N905">IFERROR(INDEX(SubcategoriesTable[Subcategory name],MATCH(Table1[[#This Row],[Category]],SubcategoriesTable[Category name],0),0),"")</f>
        <v>Variable</v>
      </c>
      <c r="O905" s="130">
        <v>10</v>
      </c>
      <c r="P905" s="130">
        <f>MONTH(Table1[[#This Row],[Date]])</f>
        <v>6</v>
      </c>
      <c r="Q905" s="130">
        <v>2020</v>
      </c>
      <c r="R905" s="166">
        <f>IF(ISBLANK(Table1[[#This Row],[Date]]),"",Table1[[#This Row],[Date]]-WEEKDAY(Table1[[#This Row],[Date]],2)+1)</f>
        <v>43990</v>
      </c>
      <c r="S905" s="131">
        <f>IF(ISBLANK(Table1[[#This Row],[Date]]),"",DATE(Table1[[#This Row],[Date_Year]],Table1[[#This Row],[Date_Month]],1))</f>
        <v>43983</v>
      </c>
    </row>
    <row r="906" spans="2:19" ht="15.75" x14ac:dyDescent="0.25">
      <c r="B906" s="133">
        <v>43992</v>
      </c>
      <c r="C906" s="128" t="s">
        <v>1183</v>
      </c>
      <c r="D906" s="128" t="s">
        <v>1204</v>
      </c>
      <c r="E906" s="128" t="str" cm="1">
        <f t="array" ref="E906">IFERROR(INDEX(SubcategoriesTable[Subcategory name],MATCH(Table1[[#This Row],[Category]],SubcategoriesTable[Category name],0),0),"")</f>
        <v>Variable</v>
      </c>
      <c r="F906" s="134">
        <v>-100</v>
      </c>
      <c r="G906" s="167" t="str">
        <f>_xlfn.XLOOKUP(Table1[[#This Row],[Account_ID]], Accounts[ID], Accounts[Account nickname], "Unknown")</f>
        <v>EVERYDAY CHECKING</v>
      </c>
      <c r="H906" s="137" t="str">
        <f>_xlfn.XLOOKUP(Table1[[#This Row],[Account_ID]], Accounts[ID], Accounts[Account'#], "Unknown")</f>
        <v>4636</v>
      </c>
      <c r="I906" s="168" t="str">
        <f>_xlfn.XLOOKUP(Table1[[#This Row],[Institution_ID]], Institutions[ID], Institutions[Institution nickname], "Unknown")</f>
        <v>Wells Fargo</v>
      </c>
      <c r="J906" s="139" t="s">
        <v>1625</v>
      </c>
      <c r="K906" s="129" t="s">
        <v>1229</v>
      </c>
      <c r="L906" s="129" t="s">
        <v>1228</v>
      </c>
      <c r="M906" s="130" t="str" cm="1">
        <f t="array" ref="M906">IFERROR(INDEX(CategoriesTable[Category type],MATCH(Table1[[#This Row],[Category]],CategoriesTable[Category name],0),0),"")</f>
        <v>Savings</v>
      </c>
      <c r="N906" s="130" t="str" cm="1">
        <f t="array" ref="N906">IFERROR(INDEX(SubcategoriesTable[Subcategory name],MATCH(Table1[[#This Row],[Category]],SubcategoriesTable[Category name],0),0),"")</f>
        <v>Variable</v>
      </c>
      <c r="O906" s="130">
        <v>10</v>
      </c>
      <c r="P906" s="130">
        <f>MONTH(Table1[[#This Row],[Date]])</f>
        <v>6</v>
      </c>
      <c r="Q906" s="130">
        <v>2020</v>
      </c>
      <c r="R906" s="166">
        <f>IF(ISBLANK(Table1[[#This Row],[Date]]),"",Table1[[#This Row],[Date]]-WEEKDAY(Table1[[#This Row],[Date]],2)+1)</f>
        <v>43990</v>
      </c>
      <c r="S906" s="131">
        <f>IF(ISBLANK(Table1[[#This Row],[Date]]),"",DATE(Table1[[#This Row],[Date_Year]],Table1[[#This Row],[Date_Month]],1))</f>
        <v>43983</v>
      </c>
    </row>
    <row r="907" spans="2:19" ht="15.75" x14ac:dyDescent="0.25">
      <c r="B907" s="133">
        <v>43992</v>
      </c>
      <c r="C907" s="128" t="s">
        <v>50</v>
      </c>
      <c r="D907" s="128" t="s">
        <v>1204</v>
      </c>
      <c r="E907" s="128"/>
      <c r="F907" s="134">
        <v>50</v>
      </c>
      <c r="G907" s="167" t="str">
        <f>_xlfn.XLOOKUP(Table1[[#This Row],[Account_ID]], Accounts[ID], Accounts[Account nickname], "Unknown")</f>
        <v>Checking - 4480</v>
      </c>
      <c r="H907" s="137" t="str">
        <f>_xlfn.XLOOKUP(Table1[[#This Row],[Account_ID]], Accounts[ID], Accounts[Account'#], "Unknown")</f>
        <v>4480</v>
      </c>
      <c r="I907" s="168" t="str">
        <f>_xlfn.XLOOKUP(Table1[[#This Row],[Institution_ID]], Institutions[ID], Institutions[Institution nickname], "Unknown")</f>
        <v>Robinhood</v>
      </c>
      <c r="J907" s="139" t="s">
        <v>1253</v>
      </c>
      <c r="K907" s="129" t="s">
        <v>1208</v>
      </c>
      <c r="L907" s="173" t="s">
        <v>1207</v>
      </c>
      <c r="M907" s="130" t="str" cm="1">
        <f t="array" ref="M907">IFERROR(INDEX(CategoriesTable[Category type],MATCH(Table1[[#This Row],[Category]],CategoriesTable[Category name],0),0),"")</f>
        <v>Savings</v>
      </c>
      <c r="N907" s="130" t="str" cm="1">
        <f t="array" ref="N907">IFERROR(INDEX(SubcategoriesTable[Subcategory name],MATCH(Table1[[#This Row],[Category]],SubcategoriesTable[Category name],0),0),"")</f>
        <v>Variable</v>
      </c>
      <c r="O907" s="130">
        <v>10</v>
      </c>
      <c r="P907" s="130">
        <f>MONTH(Table1[[#This Row],[Date]])</f>
        <v>6</v>
      </c>
      <c r="Q907" s="130">
        <v>2020</v>
      </c>
      <c r="R907" s="166">
        <f>IF(ISBLANK(Table1[[#This Row],[Date]]),"",Table1[[#This Row],[Date]]-WEEKDAY(Table1[[#This Row],[Date]],2)+1)</f>
        <v>43990</v>
      </c>
      <c r="S907" s="131">
        <f>IF(ISBLANK(Table1[[#This Row],[Date]]),"",DATE(Table1[[#This Row],[Date_Year]],Table1[[#This Row],[Date_Month]],1))</f>
        <v>43983</v>
      </c>
    </row>
    <row r="908" spans="2:19" ht="15.75" x14ac:dyDescent="0.25">
      <c r="B908" s="133">
        <v>43992</v>
      </c>
      <c r="C908" s="128" t="s">
        <v>50</v>
      </c>
      <c r="D908" s="128" t="s">
        <v>1204</v>
      </c>
      <c r="E908" s="128"/>
      <c r="F908" s="134">
        <v>50</v>
      </c>
      <c r="G908" s="167" t="str">
        <f>_xlfn.XLOOKUP(Table1[[#This Row],[Account_ID]], Accounts[ID], Accounts[Account nickname], "Unknown")</f>
        <v>Checking - 4480</v>
      </c>
      <c r="H908" s="137" t="str">
        <f>_xlfn.XLOOKUP(Table1[[#This Row],[Account_ID]], Accounts[ID], Accounts[Account'#], "Unknown")</f>
        <v>4480</v>
      </c>
      <c r="I908" s="168" t="str">
        <f>_xlfn.XLOOKUP(Table1[[#This Row],[Institution_ID]], Institutions[ID], Institutions[Institution nickname], "Unknown")</f>
        <v>Robinhood</v>
      </c>
      <c r="J908" s="139" t="s">
        <v>1254</v>
      </c>
      <c r="K908" s="129" t="s">
        <v>1208</v>
      </c>
      <c r="L908" s="173" t="s">
        <v>1207</v>
      </c>
      <c r="M908" s="130" t="str" cm="1">
        <f t="array" ref="M908">IFERROR(INDEX(CategoriesTable[Category type],MATCH(Table1[[#This Row],[Category]],CategoriesTable[Category name],0),0),"")</f>
        <v>Savings</v>
      </c>
      <c r="N908" s="130" t="str" cm="1">
        <f t="array" ref="N908">IFERROR(INDEX(SubcategoriesTable[Subcategory name],MATCH(Table1[[#This Row],[Category]],SubcategoriesTable[Category name],0),0),"")</f>
        <v>Variable</v>
      </c>
      <c r="O908" s="130">
        <v>10</v>
      </c>
      <c r="P908" s="130">
        <f>MONTH(Table1[[#This Row],[Date]])</f>
        <v>6</v>
      </c>
      <c r="Q908" s="130">
        <v>2020</v>
      </c>
      <c r="R908" s="166">
        <f>IF(ISBLANK(Table1[[#This Row],[Date]]),"",Table1[[#This Row],[Date]]-WEEKDAY(Table1[[#This Row],[Date]],2)+1)</f>
        <v>43990</v>
      </c>
      <c r="S908" s="131">
        <f>IF(ISBLANK(Table1[[#This Row],[Date]]),"",DATE(Table1[[#This Row],[Date_Year]],Table1[[#This Row],[Date_Month]],1))</f>
        <v>43983</v>
      </c>
    </row>
    <row r="909" spans="2:19" ht="15.75" x14ac:dyDescent="0.25">
      <c r="B909" s="133">
        <v>43992</v>
      </c>
      <c r="C909" s="128" t="s">
        <v>922</v>
      </c>
      <c r="D909" s="128" t="s">
        <v>45</v>
      </c>
      <c r="E909" s="128" t="str" cm="1">
        <f t="array" ref="E909">IFERROR(INDEX(SubcategoriesTable[Subcategory name],MATCH(Table1[[#This Row],[Category]],SubcategoriesTable[Category name],0),0),"")</f>
        <v>Variable</v>
      </c>
      <c r="F909" s="134">
        <v>-42.54</v>
      </c>
      <c r="G909" s="167" t="str">
        <f>_xlfn.XLOOKUP(Table1[[#This Row],[Account_ID]], Accounts[ID], Accounts[Account nickname], "Unknown")</f>
        <v>Discover it chrome Card</v>
      </c>
      <c r="H909" s="137" t="str">
        <f>_xlfn.XLOOKUP(Table1[[#This Row],[Account_ID]], Accounts[ID], Accounts[Account'#], "Unknown")</f>
        <v>7328</v>
      </c>
      <c r="I909" s="168" t="str">
        <f>_xlfn.XLOOKUP(Table1[[#This Row],[Institution_ID]], Institutions[ID], Institutions[Institution nickname], "Unknown")</f>
        <v>Discover</v>
      </c>
      <c r="J909" s="171" t="s">
        <v>923</v>
      </c>
      <c r="K909" s="129" t="s">
        <v>110</v>
      </c>
      <c r="L909" s="129" t="s">
        <v>108</v>
      </c>
      <c r="M909" s="130" t="str" cm="1">
        <f t="array" ref="M909">IFERROR(INDEX(CategoriesTable[Category type],MATCH(Table1[[#This Row],[Category]],CategoriesTable[Category name],0),0),"")</f>
        <v>Expense</v>
      </c>
      <c r="N909" s="130" t="str" cm="1">
        <f t="array" ref="N909">IFERROR(INDEX(SubcategoriesTable[Subcategory name],MATCH(Table1[[#This Row],[Category]],SubcategoriesTable[Category name],0),0),"")</f>
        <v>Variable</v>
      </c>
      <c r="O909" s="130">
        <v>10</v>
      </c>
      <c r="P909" s="130">
        <f>MONTH(Table1[[#This Row],[Date]])</f>
        <v>6</v>
      </c>
      <c r="Q909" s="130">
        <v>2020</v>
      </c>
      <c r="R909" s="166">
        <f>IF(ISBLANK(Table1[[#This Row],[Date]]),"",Table1[[#This Row],[Date]]-WEEKDAY(Table1[[#This Row],[Date]],2)+1)</f>
        <v>43990</v>
      </c>
      <c r="S909" s="131">
        <f>IF(ISBLANK(Table1[[#This Row],[Date]]),"",DATE(Table1[[#This Row],[Date_Year]],Table1[[#This Row],[Date_Month]],1))</f>
        <v>43983</v>
      </c>
    </row>
    <row r="910" spans="2:19" ht="15.75" x14ac:dyDescent="0.25">
      <c r="B910" s="133">
        <v>43991</v>
      </c>
      <c r="C910" s="128" t="s">
        <v>50</v>
      </c>
      <c r="D910" s="128" t="s">
        <v>1204</v>
      </c>
      <c r="E910" s="128"/>
      <c r="F910" s="134">
        <v>100</v>
      </c>
      <c r="G910" s="167" t="str">
        <f>_xlfn.XLOOKUP(Table1[[#This Row],[Account_ID]], Accounts[ID], Accounts[Account nickname], "Unknown")</f>
        <v>Checking - 4480</v>
      </c>
      <c r="H910" s="137" t="str">
        <f>_xlfn.XLOOKUP(Table1[[#This Row],[Account_ID]], Accounts[ID], Accounts[Account'#], "Unknown")</f>
        <v>4480</v>
      </c>
      <c r="I910" s="168" t="str">
        <f>_xlfn.XLOOKUP(Table1[[#This Row],[Institution_ID]], Institutions[ID], Institutions[Institution nickname], "Unknown")</f>
        <v>Robinhood</v>
      </c>
      <c r="J910" s="139" t="s">
        <v>1255</v>
      </c>
      <c r="K910" s="129" t="s">
        <v>1208</v>
      </c>
      <c r="L910" s="173" t="s">
        <v>1207</v>
      </c>
      <c r="M910" s="130" t="str" cm="1">
        <f t="array" ref="M910">IFERROR(INDEX(CategoriesTable[Category type],MATCH(Table1[[#This Row],[Category]],CategoriesTable[Category name],0),0),"")</f>
        <v>Savings</v>
      </c>
      <c r="N910" s="130" t="str" cm="1">
        <f t="array" ref="N910">IFERROR(INDEX(SubcategoriesTable[Subcategory name],MATCH(Table1[[#This Row],[Category]],SubcategoriesTable[Category name],0),0),"")</f>
        <v>Variable</v>
      </c>
      <c r="O910" s="130">
        <v>9</v>
      </c>
      <c r="P910" s="130">
        <f>MONTH(Table1[[#This Row],[Date]])</f>
        <v>6</v>
      </c>
      <c r="Q910" s="130">
        <v>2020</v>
      </c>
      <c r="R910" s="166">
        <f>IF(ISBLANK(Table1[[#This Row],[Date]]),"",Table1[[#This Row],[Date]]-WEEKDAY(Table1[[#This Row],[Date]],2)+1)</f>
        <v>43990</v>
      </c>
      <c r="S910" s="131">
        <f>IF(ISBLANK(Table1[[#This Row],[Date]]),"",DATE(Table1[[#This Row],[Date_Year]],Table1[[#This Row],[Date_Month]],1))</f>
        <v>43983</v>
      </c>
    </row>
    <row r="911" spans="2:19" ht="15.75" x14ac:dyDescent="0.25">
      <c r="B911" s="133">
        <v>43991</v>
      </c>
      <c r="C911" s="128" t="s">
        <v>50</v>
      </c>
      <c r="D911" s="128" t="s">
        <v>1204</v>
      </c>
      <c r="E911" s="128"/>
      <c r="F911" s="134">
        <v>20</v>
      </c>
      <c r="G911" s="167" t="str">
        <f>_xlfn.XLOOKUP(Table1[[#This Row],[Account_ID]], Accounts[ID], Accounts[Account nickname], "Unknown")</f>
        <v>Checking - 4480</v>
      </c>
      <c r="H911" s="137" t="str">
        <f>_xlfn.XLOOKUP(Table1[[#This Row],[Account_ID]], Accounts[ID], Accounts[Account'#], "Unknown")</f>
        <v>4480</v>
      </c>
      <c r="I911" s="168" t="str">
        <f>_xlfn.XLOOKUP(Table1[[#This Row],[Institution_ID]], Institutions[ID], Institutions[Institution nickname], "Unknown")</f>
        <v>Robinhood</v>
      </c>
      <c r="J911" s="139" t="s">
        <v>1256</v>
      </c>
      <c r="K911" s="129" t="s">
        <v>1208</v>
      </c>
      <c r="L911" s="173" t="s">
        <v>1207</v>
      </c>
      <c r="M911" s="130" t="str" cm="1">
        <f t="array" ref="M911">IFERROR(INDEX(CategoriesTable[Category type],MATCH(Table1[[#This Row],[Category]],CategoriesTable[Category name],0),0),"")</f>
        <v>Savings</v>
      </c>
      <c r="N911" s="130" t="str" cm="1">
        <f t="array" ref="N911">IFERROR(INDEX(SubcategoriesTable[Subcategory name],MATCH(Table1[[#This Row],[Category]],SubcategoriesTable[Category name],0),0),"")</f>
        <v>Variable</v>
      </c>
      <c r="O911" s="130">
        <v>9</v>
      </c>
      <c r="P911" s="130">
        <f>MONTH(Table1[[#This Row],[Date]])</f>
        <v>6</v>
      </c>
      <c r="Q911" s="130">
        <v>2020</v>
      </c>
      <c r="R911" s="166">
        <f>IF(ISBLANK(Table1[[#This Row],[Date]]),"",Table1[[#This Row],[Date]]-WEEKDAY(Table1[[#This Row],[Date]],2)+1)</f>
        <v>43990</v>
      </c>
      <c r="S911" s="131">
        <f>IF(ISBLANK(Table1[[#This Row],[Date]]),"",DATE(Table1[[#This Row],[Date_Year]],Table1[[#This Row],[Date_Month]],1))</f>
        <v>43983</v>
      </c>
    </row>
    <row r="912" spans="2:19" ht="15.75" x14ac:dyDescent="0.25">
      <c r="B912" s="133">
        <v>43991</v>
      </c>
      <c r="C912" s="128" t="s">
        <v>439</v>
      </c>
      <c r="D912" s="128" t="s">
        <v>55</v>
      </c>
      <c r="E912" s="128" t="str" cm="1">
        <f t="array" ref="E912">IFERROR(INDEX(SubcategoriesTable[Subcategory name],MATCH(Table1[[#This Row],[Category]],SubcategoriesTable[Category name],0),0),"")</f>
        <v>Variable</v>
      </c>
      <c r="F912" s="134">
        <v>-47.36</v>
      </c>
      <c r="G912" s="167" t="str">
        <f>_xlfn.XLOOKUP(Table1[[#This Row],[Account_ID]], Accounts[ID], Accounts[Account nickname], "Unknown")</f>
        <v>Discover it chrome Card</v>
      </c>
      <c r="H912" s="137" t="str">
        <f>_xlfn.XLOOKUP(Table1[[#This Row],[Account_ID]], Accounts[ID], Accounts[Account'#], "Unknown")</f>
        <v>7328</v>
      </c>
      <c r="I912" s="168" t="str">
        <f>_xlfn.XLOOKUP(Table1[[#This Row],[Institution_ID]], Institutions[ID], Institutions[Institution nickname], "Unknown")</f>
        <v>Discover</v>
      </c>
      <c r="J912" s="139" t="s">
        <v>924</v>
      </c>
      <c r="K912" s="129" t="s">
        <v>110</v>
      </c>
      <c r="L912" s="129" t="s">
        <v>108</v>
      </c>
      <c r="M912" s="130" t="str" cm="1">
        <f t="array" ref="M912">IFERROR(INDEX(CategoriesTable[Category type],MATCH(Table1[[#This Row],[Category]],CategoriesTable[Category name],0),0),"")</f>
        <v>Expense</v>
      </c>
      <c r="N912" s="130" t="str" cm="1">
        <f t="array" ref="N912">IFERROR(INDEX(SubcategoriesTable[Subcategory name],MATCH(Table1[[#This Row],[Category]],SubcategoriesTable[Category name],0),0),"")</f>
        <v>Variable</v>
      </c>
      <c r="O912" s="130">
        <v>9</v>
      </c>
      <c r="P912" s="130">
        <f>MONTH(Table1[[#This Row],[Date]])</f>
        <v>6</v>
      </c>
      <c r="Q912" s="130">
        <v>2020</v>
      </c>
      <c r="R912" s="166">
        <f>IF(ISBLANK(Table1[[#This Row],[Date]]),"",Table1[[#This Row],[Date]]-WEEKDAY(Table1[[#This Row],[Date]],2)+1)</f>
        <v>43990</v>
      </c>
      <c r="S912" s="131">
        <f>IF(ISBLANK(Table1[[#This Row],[Date]]),"",DATE(Table1[[#This Row],[Date_Year]],Table1[[#This Row],[Date_Month]],1))</f>
        <v>43983</v>
      </c>
    </row>
    <row r="913" spans="2:19" ht="15.75" x14ac:dyDescent="0.25">
      <c r="B913" s="133">
        <v>43990</v>
      </c>
      <c r="C913" s="128" t="s">
        <v>1626</v>
      </c>
      <c r="D913" s="128" t="s">
        <v>57</v>
      </c>
      <c r="E913" s="128" t="str" cm="1">
        <f t="array" ref="E913">IFERROR(INDEX(SubcategoriesTable[Subcategory name],MATCH(Table1[[#This Row],[Category]],SubcategoriesTable[Category name],0),0),"")</f>
        <v>Variable</v>
      </c>
      <c r="F913" s="134">
        <v>6</v>
      </c>
      <c r="G913" s="167" t="str">
        <f>_xlfn.XLOOKUP(Table1[[#This Row],[Account_ID]], Accounts[ID], Accounts[Account nickname], "Unknown")</f>
        <v>EVERYDAY CHECKING</v>
      </c>
      <c r="H913" s="137" t="str">
        <f>_xlfn.XLOOKUP(Table1[[#This Row],[Account_ID]], Accounts[ID], Accounts[Account'#], "Unknown")</f>
        <v>4636</v>
      </c>
      <c r="I913" s="168" t="str">
        <f>_xlfn.XLOOKUP(Table1[[#This Row],[Institution_ID]], Institutions[ID], Institutions[Institution nickname], "Unknown")</f>
        <v>Wells Fargo</v>
      </c>
      <c r="J913" s="139" t="s">
        <v>1627</v>
      </c>
      <c r="K913" s="129" t="s">
        <v>1229</v>
      </c>
      <c r="L913" s="129" t="s">
        <v>1228</v>
      </c>
      <c r="M913" s="130" t="str" cm="1">
        <f t="array" ref="M913">IFERROR(INDEX(CategoriesTable[Category type],MATCH(Table1[[#This Row],[Category]],CategoriesTable[Category name],0),0),"")</f>
        <v>Transfer</v>
      </c>
      <c r="N913" s="130" t="str" cm="1">
        <f t="array" ref="N913">IFERROR(INDEX(SubcategoriesTable[Subcategory name],MATCH(Table1[[#This Row],[Category]],SubcategoriesTable[Category name],0),0),"")</f>
        <v>Variable</v>
      </c>
      <c r="O913" s="130">
        <v>8</v>
      </c>
      <c r="P913" s="130">
        <f>MONTH(Table1[[#This Row],[Date]])</f>
        <v>6</v>
      </c>
      <c r="Q913" s="130">
        <v>2020</v>
      </c>
      <c r="R913" s="166">
        <f>IF(ISBLANK(Table1[[#This Row],[Date]]),"",Table1[[#This Row],[Date]]-WEEKDAY(Table1[[#This Row],[Date]],2)+1)</f>
        <v>43990</v>
      </c>
      <c r="S913" s="131">
        <f>IF(ISBLANK(Table1[[#This Row],[Date]]),"",DATE(Table1[[#This Row],[Date_Year]],Table1[[#This Row],[Date_Month]],1))</f>
        <v>43983</v>
      </c>
    </row>
    <row r="914" spans="2:19" ht="15.75" x14ac:dyDescent="0.25">
      <c r="B914" s="133">
        <v>43990</v>
      </c>
      <c r="C914" s="128" t="s">
        <v>1628</v>
      </c>
      <c r="D914" s="128" t="s">
        <v>50</v>
      </c>
      <c r="E914" s="128" t="str" cm="1">
        <f t="array" ref="E914">IFERROR(INDEX(SubcategoriesTable[Subcategory name],MATCH(Table1[[#This Row],[Category]],SubcategoriesTable[Category name],0),0),"")</f>
        <v>Variable</v>
      </c>
      <c r="F914" s="134">
        <v>-381.64</v>
      </c>
      <c r="G914" s="167" t="str">
        <f>_xlfn.XLOOKUP(Table1[[#This Row],[Account_ID]], Accounts[ID], Accounts[Account nickname], "Unknown")</f>
        <v>EVERYDAY CHECKING</v>
      </c>
      <c r="H914" s="137" t="str">
        <f>_xlfn.XLOOKUP(Table1[[#This Row],[Account_ID]], Accounts[ID], Accounts[Account'#], "Unknown")</f>
        <v>4636</v>
      </c>
      <c r="I914" s="168" t="str">
        <f>_xlfn.XLOOKUP(Table1[[#This Row],[Institution_ID]], Institutions[ID], Institutions[Institution nickname], "Unknown")</f>
        <v>Wells Fargo</v>
      </c>
      <c r="J914" s="139" t="s">
        <v>1629</v>
      </c>
      <c r="K914" s="129" t="s">
        <v>1229</v>
      </c>
      <c r="L914" s="129" t="s">
        <v>1228</v>
      </c>
      <c r="M914" s="130" t="str" cm="1">
        <f t="array" ref="M914">IFERROR(INDEX(CategoriesTable[Category type],MATCH(Table1[[#This Row],[Category]],CategoriesTable[Category name],0),0),"")</f>
        <v>Transfer</v>
      </c>
      <c r="N914" s="130" t="str" cm="1">
        <f t="array" ref="N914">IFERROR(INDEX(SubcategoriesTable[Subcategory name],MATCH(Table1[[#This Row],[Category]],SubcategoriesTable[Category name],0),0),"")</f>
        <v>Variable</v>
      </c>
      <c r="O914" s="130">
        <v>8</v>
      </c>
      <c r="P914" s="130">
        <f>MONTH(Table1[[#This Row],[Date]])</f>
        <v>6</v>
      </c>
      <c r="Q914" s="130">
        <v>2020</v>
      </c>
      <c r="R914" s="166">
        <f>IF(ISBLANK(Table1[[#This Row],[Date]]),"",Table1[[#This Row],[Date]]-WEEKDAY(Table1[[#This Row],[Date]],2)+1)</f>
        <v>43990</v>
      </c>
      <c r="S914" s="131">
        <f>IF(ISBLANK(Table1[[#This Row],[Date]]),"",DATE(Table1[[#This Row],[Date_Year]],Table1[[#This Row],[Date_Month]],1))</f>
        <v>43983</v>
      </c>
    </row>
    <row r="915" spans="2:19" ht="15.75" x14ac:dyDescent="0.25">
      <c r="B915" s="133">
        <v>43990</v>
      </c>
      <c r="C915" s="128" t="s">
        <v>1630</v>
      </c>
      <c r="D915" s="128" t="s">
        <v>58</v>
      </c>
      <c r="E915" s="128" t="str" cm="1">
        <f t="array" ref="E915">IFERROR(INDEX(SubcategoriesTable[Subcategory name],MATCH(Table1[[#This Row],[Category]],SubcategoriesTable[Category name],0),0),"")</f>
        <v>Fixed</v>
      </c>
      <c r="F915" s="134">
        <v>-400</v>
      </c>
      <c r="G915" s="167" t="str">
        <f>_xlfn.XLOOKUP(Table1[[#This Row],[Account_ID]], Accounts[ID], Accounts[Account nickname], "Unknown")</f>
        <v>EVERYDAY CHECKING</v>
      </c>
      <c r="H915" s="137" t="str">
        <f>_xlfn.XLOOKUP(Table1[[#This Row],[Account_ID]], Accounts[ID], Accounts[Account'#], "Unknown")</f>
        <v>4636</v>
      </c>
      <c r="I915" s="168" t="str">
        <f>_xlfn.XLOOKUP(Table1[[#This Row],[Institution_ID]], Institutions[ID], Institutions[Institution nickname], "Unknown")</f>
        <v>Wells Fargo</v>
      </c>
      <c r="J915" s="139" t="s">
        <v>1631</v>
      </c>
      <c r="K915" s="129" t="s">
        <v>1229</v>
      </c>
      <c r="L915" s="129" t="s">
        <v>1228</v>
      </c>
      <c r="M915" s="130" t="str" cm="1">
        <f t="array" ref="M915">IFERROR(INDEX(CategoriesTable[Category type],MATCH(Table1[[#This Row],[Category]],CategoriesTable[Category name],0),0),"")</f>
        <v>Expense</v>
      </c>
      <c r="N915" s="130" t="str" cm="1">
        <f t="array" ref="N915">IFERROR(INDEX(SubcategoriesTable[Subcategory name],MATCH(Table1[[#This Row],[Category]],SubcategoriesTable[Category name],0),0),"")</f>
        <v>Fixed</v>
      </c>
      <c r="O915" s="130">
        <v>8</v>
      </c>
      <c r="P915" s="130">
        <f>MONTH(Table1[[#This Row],[Date]])</f>
        <v>6</v>
      </c>
      <c r="Q915" s="130">
        <v>2020</v>
      </c>
      <c r="R915" s="166">
        <f>IF(ISBLANK(Table1[[#This Row],[Date]]),"",Table1[[#This Row],[Date]]-WEEKDAY(Table1[[#This Row],[Date]],2)+1)</f>
        <v>43990</v>
      </c>
      <c r="S915" s="131">
        <f>IF(ISBLANK(Table1[[#This Row],[Date]]),"",DATE(Table1[[#This Row],[Date_Year]],Table1[[#This Row],[Date_Month]],1))</f>
        <v>43983</v>
      </c>
    </row>
    <row r="916" spans="2:19" ht="15.75" x14ac:dyDescent="0.25">
      <c r="B916" s="133">
        <v>43990</v>
      </c>
      <c r="C916" s="128" t="s">
        <v>201</v>
      </c>
      <c r="D916" s="128" t="s">
        <v>48</v>
      </c>
      <c r="E916" s="128" t="str" cm="1">
        <f t="array" ref="E916">IFERROR(INDEX(SubcategoriesTable[Subcategory name],MATCH(Table1[[#This Row],[Category]],SubcategoriesTable[Category name],0),0),"")</f>
        <v>Variable</v>
      </c>
      <c r="F916" s="134">
        <v>-120.01</v>
      </c>
      <c r="G916" s="167" t="str">
        <f>_xlfn.XLOOKUP(Table1[[#This Row],[Account_ID]], Accounts[ID], Accounts[Account nickname], "Unknown")</f>
        <v>EVERYDAY CHECKING</v>
      </c>
      <c r="H916" s="137" t="str">
        <f>_xlfn.XLOOKUP(Table1[[#This Row],[Account_ID]], Accounts[ID], Accounts[Account'#], "Unknown")</f>
        <v>4636</v>
      </c>
      <c r="I916" s="168" t="str">
        <f>_xlfn.XLOOKUP(Table1[[#This Row],[Institution_ID]], Institutions[ID], Institutions[Institution nickname], "Unknown")</f>
        <v>Wells Fargo</v>
      </c>
      <c r="J916" s="139" t="s">
        <v>1632</v>
      </c>
      <c r="K916" s="129" t="s">
        <v>1229</v>
      </c>
      <c r="L916" s="129" t="s">
        <v>1228</v>
      </c>
      <c r="M916" s="130" t="str" cm="1">
        <f t="array" ref="M916">IFERROR(INDEX(CategoriesTable[Category type],MATCH(Table1[[#This Row],[Category]],CategoriesTable[Category name],0),0),"")</f>
        <v>Expense</v>
      </c>
      <c r="N916" s="130" t="str" cm="1">
        <f t="array" ref="N916">IFERROR(INDEX(SubcategoriesTable[Subcategory name],MATCH(Table1[[#This Row],[Category]],SubcategoriesTable[Category name],0),0),"")</f>
        <v>Variable</v>
      </c>
      <c r="O916" s="130">
        <v>8</v>
      </c>
      <c r="P916" s="130">
        <f>MONTH(Table1[[#This Row],[Date]])</f>
        <v>6</v>
      </c>
      <c r="Q916" s="130">
        <v>2020</v>
      </c>
      <c r="R916" s="166">
        <f>IF(ISBLANK(Table1[[#This Row],[Date]]),"",Table1[[#This Row],[Date]]-WEEKDAY(Table1[[#This Row],[Date]],2)+1)</f>
        <v>43990</v>
      </c>
      <c r="S916" s="131">
        <f>IF(ISBLANK(Table1[[#This Row],[Date]]),"",DATE(Table1[[#This Row],[Date_Year]],Table1[[#This Row],[Date_Month]],1))</f>
        <v>43983</v>
      </c>
    </row>
    <row r="917" spans="2:19" ht="15.75" x14ac:dyDescent="0.25">
      <c r="B917" s="133">
        <v>43990</v>
      </c>
      <c r="C917" s="128" t="s">
        <v>912</v>
      </c>
      <c r="D917" s="128" t="s">
        <v>52</v>
      </c>
      <c r="E917" s="128" t="str" cm="1">
        <f t="array" ref="E917">IFERROR(INDEX(SubcategoriesTable[Subcategory name],MATCH(Table1[[#This Row],[Category]],SubcategoriesTable[Category name],0),0),"")</f>
        <v>Variable</v>
      </c>
      <c r="F917" s="134">
        <v>-16.68</v>
      </c>
      <c r="G917" s="167" t="str">
        <f>_xlfn.XLOOKUP(Table1[[#This Row],[Account_ID]], Accounts[ID], Accounts[Account nickname], "Unknown")</f>
        <v>Discover it chrome Card</v>
      </c>
      <c r="H917" s="137" t="str">
        <f>_xlfn.XLOOKUP(Table1[[#This Row],[Account_ID]], Accounts[ID], Accounts[Account'#], "Unknown")</f>
        <v>7328</v>
      </c>
      <c r="I917" s="168" t="str">
        <f>_xlfn.XLOOKUP(Table1[[#This Row],[Institution_ID]], Institutions[ID], Institutions[Institution nickname], "Unknown")</f>
        <v>Discover</v>
      </c>
      <c r="J917" s="139" t="s">
        <v>925</v>
      </c>
      <c r="K917" s="129" t="s">
        <v>110</v>
      </c>
      <c r="L917" s="129" t="s">
        <v>108</v>
      </c>
      <c r="M917" s="130" t="str" cm="1">
        <f t="array" ref="M917">IFERROR(INDEX(CategoriesTable[Category type],MATCH(Table1[[#This Row],[Category]],CategoriesTable[Category name],0),0),"")</f>
        <v>Expense</v>
      </c>
      <c r="N917" s="130" t="str" cm="1">
        <f t="array" ref="N917">IFERROR(INDEX(SubcategoriesTable[Subcategory name],MATCH(Table1[[#This Row],[Category]],SubcategoriesTable[Category name],0),0),"")</f>
        <v>Variable</v>
      </c>
      <c r="O917" s="130">
        <v>8</v>
      </c>
      <c r="P917" s="130">
        <f>MONTH(Table1[[#This Row],[Date]])</f>
        <v>6</v>
      </c>
      <c r="Q917" s="130">
        <v>2020</v>
      </c>
      <c r="R917" s="166">
        <f>IF(ISBLANK(Table1[[#This Row],[Date]]),"",Table1[[#This Row],[Date]]-WEEKDAY(Table1[[#This Row],[Date]],2)+1)</f>
        <v>43990</v>
      </c>
      <c r="S917" s="131">
        <f>IF(ISBLANK(Table1[[#This Row],[Date]]),"",DATE(Table1[[#This Row],[Date_Year]],Table1[[#This Row],[Date_Month]],1))</f>
        <v>43983</v>
      </c>
    </row>
    <row r="918" spans="2:19" ht="15.75" x14ac:dyDescent="0.25">
      <c r="B918" s="133">
        <v>43990</v>
      </c>
      <c r="C918" s="128" t="s">
        <v>926</v>
      </c>
      <c r="D918" s="128" t="s">
        <v>56</v>
      </c>
      <c r="E918" s="128" t="str" cm="1">
        <f t="array" ref="E918">IFERROR(INDEX(SubcategoriesTable[Subcategory name],MATCH(Table1[[#This Row],[Category]],SubcategoriesTable[Category name],0),0),"")</f>
        <v>Variable</v>
      </c>
      <c r="F918" s="134">
        <v>-24.95</v>
      </c>
      <c r="G918" s="167" t="str">
        <f>_xlfn.XLOOKUP(Table1[[#This Row],[Account_ID]], Accounts[ID], Accounts[Account nickname], "Unknown")</f>
        <v>Discover it chrome Card</v>
      </c>
      <c r="H918" s="137" t="str">
        <f>_xlfn.XLOOKUP(Table1[[#This Row],[Account_ID]], Accounts[ID], Accounts[Account'#], "Unknown")</f>
        <v>7328</v>
      </c>
      <c r="I918" s="168" t="str">
        <f>_xlfn.XLOOKUP(Table1[[#This Row],[Institution_ID]], Institutions[ID], Institutions[Institution nickname], "Unknown")</f>
        <v>Discover</v>
      </c>
      <c r="J918" s="139" t="s">
        <v>927</v>
      </c>
      <c r="K918" s="129" t="s">
        <v>110</v>
      </c>
      <c r="L918" s="129" t="s">
        <v>108</v>
      </c>
      <c r="M918" s="130" t="str" cm="1">
        <f t="array" ref="M918">IFERROR(INDEX(CategoriesTable[Category type],MATCH(Table1[[#This Row],[Category]],CategoriesTable[Category name],0),0),"")</f>
        <v>Expense</v>
      </c>
      <c r="N918" s="130" t="str" cm="1">
        <f t="array" ref="N918">IFERROR(INDEX(SubcategoriesTable[Subcategory name],MATCH(Table1[[#This Row],[Category]],SubcategoriesTable[Category name],0),0),"")</f>
        <v>Variable</v>
      </c>
      <c r="O918" s="130">
        <v>8</v>
      </c>
      <c r="P918" s="130">
        <f>MONTH(Table1[[#This Row],[Date]])</f>
        <v>6</v>
      </c>
      <c r="Q918" s="130">
        <v>2020</v>
      </c>
      <c r="R918" s="166">
        <f>IF(ISBLANK(Table1[[#This Row],[Date]]),"",Table1[[#This Row],[Date]]-WEEKDAY(Table1[[#This Row],[Date]],2)+1)</f>
        <v>43990</v>
      </c>
      <c r="S918" s="131">
        <f>IF(ISBLANK(Table1[[#This Row],[Date]]),"",DATE(Table1[[#This Row],[Date_Year]],Table1[[#This Row],[Date_Month]],1))</f>
        <v>43983</v>
      </c>
    </row>
    <row r="919" spans="2:19" ht="15.75" x14ac:dyDescent="0.25">
      <c r="B919" s="133">
        <v>43990</v>
      </c>
      <c r="C919" s="128" t="s">
        <v>926</v>
      </c>
      <c r="D919" s="128" t="s">
        <v>56</v>
      </c>
      <c r="E919" s="128" t="str" cm="1">
        <f t="array" ref="E919">IFERROR(INDEX(SubcategoriesTable[Subcategory name],MATCH(Table1[[#This Row],[Category]],SubcategoriesTable[Category name],0),0),"")</f>
        <v>Variable</v>
      </c>
      <c r="F919" s="134">
        <v>-29.95</v>
      </c>
      <c r="G919" s="167" t="str">
        <f>_xlfn.XLOOKUP(Table1[[#This Row],[Account_ID]], Accounts[ID], Accounts[Account nickname], "Unknown")</f>
        <v>Discover it chrome Card</v>
      </c>
      <c r="H919" s="137" t="str">
        <f>_xlfn.XLOOKUP(Table1[[#This Row],[Account_ID]], Accounts[ID], Accounts[Account'#], "Unknown")</f>
        <v>7328</v>
      </c>
      <c r="I919" s="168" t="str">
        <f>_xlfn.XLOOKUP(Table1[[#This Row],[Institution_ID]], Institutions[ID], Institutions[Institution nickname], "Unknown")</f>
        <v>Discover</v>
      </c>
      <c r="J919" s="139" t="s">
        <v>928</v>
      </c>
      <c r="K919" s="129" t="s">
        <v>110</v>
      </c>
      <c r="L919" s="129" t="s">
        <v>108</v>
      </c>
      <c r="M919" s="130" t="str" cm="1">
        <f t="array" ref="M919">IFERROR(INDEX(CategoriesTable[Category type],MATCH(Table1[[#This Row],[Category]],CategoriesTable[Category name],0),0),"")</f>
        <v>Expense</v>
      </c>
      <c r="N919" s="130" t="str" cm="1">
        <f t="array" ref="N919">IFERROR(INDEX(SubcategoriesTable[Subcategory name],MATCH(Table1[[#This Row],[Category]],SubcategoriesTable[Category name],0),0),"")</f>
        <v>Variable</v>
      </c>
      <c r="O919" s="130">
        <v>8</v>
      </c>
      <c r="P919" s="130">
        <f>MONTH(Table1[[#This Row],[Date]])</f>
        <v>6</v>
      </c>
      <c r="Q919" s="130">
        <v>2020</v>
      </c>
      <c r="R919" s="166">
        <f>IF(ISBLANK(Table1[[#This Row],[Date]]),"",Table1[[#This Row],[Date]]-WEEKDAY(Table1[[#This Row],[Date]],2)+1)</f>
        <v>43990</v>
      </c>
      <c r="S919" s="131">
        <f>IF(ISBLANK(Table1[[#This Row],[Date]]),"",DATE(Table1[[#This Row],[Date_Year]],Table1[[#This Row],[Date_Month]],1))</f>
        <v>43983</v>
      </c>
    </row>
    <row r="920" spans="2:19" ht="15.75" x14ac:dyDescent="0.25">
      <c r="B920" s="133">
        <v>43987</v>
      </c>
      <c r="C920" s="128" t="s">
        <v>1180</v>
      </c>
      <c r="D920" s="128" t="s">
        <v>50</v>
      </c>
      <c r="E920" s="128" t="str" cm="1">
        <f t="array" ref="E920">IFERROR(INDEX(SubcategoriesTable[Subcategory name],MATCH(Table1[[#This Row],[Category]],SubcategoriesTable[Category name],0),0),"")</f>
        <v>Variable</v>
      </c>
      <c r="F920" s="134">
        <v>-646.17999999999995</v>
      </c>
      <c r="G920" s="167" t="str">
        <f>_xlfn.XLOOKUP(Table1[[#This Row],[Account_ID]], Accounts[ID], Accounts[Account nickname], "Unknown")</f>
        <v>EVERYDAY CHECKING</v>
      </c>
      <c r="H920" s="137" t="str">
        <f>_xlfn.XLOOKUP(Table1[[#This Row],[Account_ID]], Accounts[ID], Accounts[Account'#], "Unknown")</f>
        <v>4636</v>
      </c>
      <c r="I920" s="168" t="str">
        <f>_xlfn.XLOOKUP(Table1[[#This Row],[Institution_ID]], Institutions[ID], Institutions[Institution nickname], "Unknown")</f>
        <v>Wells Fargo</v>
      </c>
      <c r="J920" s="139" t="s">
        <v>1633</v>
      </c>
      <c r="K920" s="129" t="s">
        <v>1229</v>
      </c>
      <c r="L920" s="129" t="s">
        <v>1228</v>
      </c>
      <c r="M920" s="130" t="str" cm="1">
        <f t="array" ref="M920">IFERROR(INDEX(CategoriesTable[Category type],MATCH(Table1[[#This Row],[Category]],CategoriesTable[Category name],0),0),"")</f>
        <v>Transfer</v>
      </c>
      <c r="N920" s="130" t="str" cm="1">
        <f t="array" ref="N920">IFERROR(INDEX(SubcategoriesTable[Subcategory name],MATCH(Table1[[#This Row],[Category]],SubcategoriesTable[Category name],0),0),"")</f>
        <v>Variable</v>
      </c>
      <c r="O920" s="130">
        <v>5</v>
      </c>
      <c r="P920" s="130">
        <f>MONTH(Table1[[#This Row],[Date]])</f>
        <v>6</v>
      </c>
      <c r="Q920" s="130">
        <v>2020</v>
      </c>
      <c r="R920" s="166">
        <f>IF(ISBLANK(Table1[[#This Row],[Date]]),"",Table1[[#This Row],[Date]]-WEEKDAY(Table1[[#This Row],[Date]],2)+1)</f>
        <v>43983</v>
      </c>
      <c r="S920" s="131">
        <f>IF(ISBLANK(Table1[[#This Row],[Date]]),"",DATE(Table1[[#This Row],[Date_Year]],Table1[[#This Row],[Date_Month]],1))</f>
        <v>43983</v>
      </c>
    </row>
    <row r="921" spans="2:19" ht="15.75" x14ac:dyDescent="0.25">
      <c r="B921" s="133">
        <v>43987</v>
      </c>
      <c r="C921" s="128" t="s">
        <v>1181</v>
      </c>
      <c r="D921" s="128" t="s">
        <v>59</v>
      </c>
      <c r="E921" s="128" t="str" cm="1">
        <f t="array" ref="E921">IFERROR(INDEX(SubcategoriesTable[Subcategory name],MATCH(Table1[[#This Row],[Category]],SubcategoriesTable[Category name],0),0),"")</f>
        <v>Fixed</v>
      </c>
      <c r="F921" s="134">
        <v>1565.04</v>
      </c>
      <c r="G921" s="167" t="str">
        <f>_xlfn.XLOOKUP(Table1[[#This Row],[Account_ID]], Accounts[ID], Accounts[Account nickname], "Unknown")</f>
        <v>EVERYDAY CHECKING</v>
      </c>
      <c r="H921" s="137" t="str">
        <f>_xlfn.XLOOKUP(Table1[[#This Row],[Account_ID]], Accounts[ID], Accounts[Account'#], "Unknown")</f>
        <v>4636</v>
      </c>
      <c r="I921" s="168" t="str">
        <f>_xlfn.XLOOKUP(Table1[[#This Row],[Institution_ID]], Institutions[ID], Institutions[Institution nickname], "Unknown")</f>
        <v>Wells Fargo</v>
      </c>
      <c r="J921" s="139" t="s">
        <v>1634</v>
      </c>
      <c r="K921" s="129" t="s">
        <v>1229</v>
      </c>
      <c r="L921" s="129" t="s">
        <v>1228</v>
      </c>
      <c r="M921" s="130" t="str" cm="1">
        <f t="array" ref="M921">IFERROR(INDEX(CategoriesTable[Category type],MATCH(Table1[[#This Row],[Category]],CategoriesTable[Category name],0),0),"")</f>
        <v>Income</v>
      </c>
      <c r="N921" s="130" t="str" cm="1">
        <f t="array" ref="N921">IFERROR(INDEX(SubcategoriesTable[Subcategory name],MATCH(Table1[[#This Row],[Category]],SubcategoriesTable[Category name],0),0),"")</f>
        <v>Fixed</v>
      </c>
      <c r="O921" s="130">
        <v>5</v>
      </c>
      <c r="P921" s="130">
        <f>MONTH(Table1[[#This Row],[Date]])</f>
        <v>6</v>
      </c>
      <c r="Q921" s="130">
        <v>2020</v>
      </c>
      <c r="R921" s="166">
        <f>IF(ISBLANK(Table1[[#This Row],[Date]]),"",Table1[[#This Row],[Date]]-WEEKDAY(Table1[[#This Row],[Date]],2)+1)</f>
        <v>43983</v>
      </c>
      <c r="S921" s="131">
        <f>IF(ISBLANK(Table1[[#This Row],[Date]]),"",DATE(Table1[[#This Row],[Date_Year]],Table1[[#This Row],[Date_Month]],1))</f>
        <v>43983</v>
      </c>
    </row>
    <row r="922" spans="2:19" ht="15.75" x14ac:dyDescent="0.25">
      <c r="B922" s="133">
        <v>43987</v>
      </c>
      <c r="C922" s="128" t="s">
        <v>195</v>
      </c>
      <c r="D922" s="128" t="s">
        <v>48</v>
      </c>
      <c r="E922" s="128" t="str" cm="1">
        <f t="array" ref="E922">IFERROR(INDEX(SubcategoriesTable[Subcategory name],MATCH(Table1[[#This Row],[Category]],SubcategoriesTable[Category name],0),0),"")</f>
        <v>Variable</v>
      </c>
      <c r="F922" s="134">
        <v>-53.7</v>
      </c>
      <c r="G922" s="167" t="str">
        <f>_xlfn.XLOOKUP(Table1[[#This Row],[Account_ID]], Accounts[ID], Accounts[Account nickname], "Unknown")</f>
        <v>EVERYDAY CHECKING</v>
      </c>
      <c r="H922" s="137" t="str">
        <f>_xlfn.XLOOKUP(Table1[[#This Row],[Account_ID]], Accounts[ID], Accounts[Account'#], "Unknown")</f>
        <v>4636</v>
      </c>
      <c r="I922" s="168" t="str">
        <f>_xlfn.XLOOKUP(Table1[[#This Row],[Institution_ID]], Institutions[ID], Institutions[Institution nickname], "Unknown")</f>
        <v>Wells Fargo</v>
      </c>
      <c r="J922" s="139" t="s">
        <v>1635</v>
      </c>
      <c r="K922" s="129" t="s">
        <v>1229</v>
      </c>
      <c r="L922" s="129" t="s">
        <v>1228</v>
      </c>
      <c r="M922" s="130" t="str" cm="1">
        <f t="array" ref="M922">IFERROR(INDEX(CategoriesTable[Category type],MATCH(Table1[[#This Row],[Category]],CategoriesTable[Category name],0),0),"")</f>
        <v>Expense</v>
      </c>
      <c r="N922" s="130" t="str" cm="1">
        <f t="array" ref="N922">IFERROR(INDEX(SubcategoriesTable[Subcategory name],MATCH(Table1[[#This Row],[Category]],SubcategoriesTable[Category name],0),0),"")</f>
        <v>Variable</v>
      </c>
      <c r="O922" s="130">
        <v>5</v>
      </c>
      <c r="P922" s="130">
        <f>MONTH(Table1[[#This Row],[Date]])</f>
        <v>6</v>
      </c>
      <c r="Q922" s="130">
        <v>2020</v>
      </c>
      <c r="R922" s="166">
        <f>IF(ISBLANK(Table1[[#This Row],[Date]]),"",Table1[[#This Row],[Date]]-WEEKDAY(Table1[[#This Row],[Date]],2)+1)</f>
        <v>43983</v>
      </c>
      <c r="S922" s="131">
        <f>IF(ISBLANK(Table1[[#This Row],[Date]]),"",DATE(Table1[[#This Row],[Date_Year]],Table1[[#This Row],[Date_Month]],1))</f>
        <v>43983</v>
      </c>
    </row>
    <row r="923" spans="2:19" ht="15.75" x14ac:dyDescent="0.25">
      <c r="B923" s="133">
        <v>43987</v>
      </c>
      <c r="C923" s="128" t="s">
        <v>113</v>
      </c>
      <c r="D923" s="128" t="s">
        <v>50</v>
      </c>
      <c r="E923" s="128" t="str" cm="1">
        <f t="array" ref="E923">IFERROR(INDEX(SubcategoriesTable[Subcategory name],MATCH(Table1[[#This Row],[Category]],SubcategoriesTable[Category name],0),0),"")</f>
        <v>Variable</v>
      </c>
      <c r="F923" s="134">
        <v>646.17999999999995</v>
      </c>
      <c r="G923" s="167" t="str">
        <f>_xlfn.XLOOKUP(Table1[[#This Row],[Account_ID]], Accounts[ID], Accounts[Account nickname], "Unknown")</f>
        <v>Discover it chrome Card</v>
      </c>
      <c r="H923" s="137" t="str">
        <f>_xlfn.XLOOKUP(Table1[[#This Row],[Account_ID]], Accounts[ID], Accounts[Account'#], "Unknown")</f>
        <v>7328</v>
      </c>
      <c r="I923" s="168" t="str">
        <f>_xlfn.XLOOKUP(Table1[[#This Row],[Institution_ID]], Institutions[ID], Institutions[Institution nickname], "Unknown")</f>
        <v>Discover</v>
      </c>
      <c r="J923" s="139" t="s">
        <v>929</v>
      </c>
      <c r="K923" s="129" t="s">
        <v>110</v>
      </c>
      <c r="L923" s="129" t="s">
        <v>108</v>
      </c>
      <c r="M923" s="130" t="str" cm="1">
        <f t="array" ref="M923">IFERROR(INDEX(CategoriesTable[Category type],MATCH(Table1[[#This Row],[Category]],CategoriesTable[Category name],0),0),"")</f>
        <v>Transfer</v>
      </c>
      <c r="N923" s="130" t="str" cm="1">
        <f t="array" ref="N923">IFERROR(INDEX(SubcategoriesTable[Subcategory name],MATCH(Table1[[#This Row],[Category]],SubcategoriesTable[Category name],0),0),"")</f>
        <v>Variable</v>
      </c>
      <c r="O923" s="130">
        <v>5</v>
      </c>
      <c r="P923" s="130">
        <f>MONTH(Table1[[#This Row],[Date]])</f>
        <v>6</v>
      </c>
      <c r="Q923" s="130">
        <v>2020</v>
      </c>
      <c r="R923" s="166">
        <f>IF(ISBLANK(Table1[[#This Row],[Date]]),"",Table1[[#This Row],[Date]]-WEEKDAY(Table1[[#This Row],[Date]],2)+1)</f>
        <v>43983</v>
      </c>
      <c r="S923" s="131">
        <f>IF(ISBLANK(Table1[[#This Row],[Date]]),"",DATE(Table1[[#This Row],[Date_Year]],Table1[[#This Row],[Date_Month]],1))</f>
        <v>43983</v>
      </c>
    </row>
    <row r="924" spans="2:19" ht="15.75" x14ac:dyDescent="0.25">
      <c r="B924" s="133">
        <v>43987</v>
      </c>
      <c r="C924" s="128" t="s">
        <v>152</v>
      </c>
      <c r="D924" s="128" t="s">
        <v>54</v>
      </c>
      <c r="E924" s="128" t="str" cm="1">
        <f t="array" ref="E924">IFERROR(INDEX(SubcategoriesTable[Subcategory name],MATCH(Table1[[#This Row],[Category]],SubcategoriesTable[Category name],0),0),"")</f>
        <v>Fixed</v>
      </c>
      <c r="F924" s="134">
        <v>-2.59</v>
      </c>
      <c r="G924" s="167" t="str">
        <f>_xlfn.XLOOKUP(Table1[[#This Row],[Account_ID]], Accounts[ID], Accounts[Account nickname], "Unknown")</f>
        <v>Discover it chrome Card</v>
      </c>
      <c r="H924" s="137" t="str">
        <f>_xlfn.XLOOKUP(Table1[[#This Row],[Account_ID]], Accounts[ID], Accounts[Account'#], "Unknown")</f>
        <v>7328</v>
      </c>
      <c r="I924" s="168" t="str">
        <f>_xlfn.XLOOKUP(Table1[[#This Row],[Institution_ID]], Institutions[ID], Institutions[Institution nickname], "Unknown")</f>
        <v>Discover</v>
      </c>
      <c r="J924" s="139" t="s">
        <v>930</v>
      </c>
      <c r="K924" s="129" t="s">
        <v>110</v>
      </c>
      <c r="L924" s="129" t="s">
        <v>108</v>
      </c>
      <c r="M924" s="130" t="str" cm="1">
        <f t="array" ref="M924">IFERROR(INDEX(CategoriesTable[Category type],MATCH(Table1[[#This Row],[Category]],CategoriesTable[Category name],0),0),"")</f>
        <v>Expense</v>
      </c>
      <c r="N924" s="130" t="str" cm="1">
        <f t="array" ref="N924">IFERROR(INDEX(SubcategoriesTable[Subcategory name],MATCH(Table1[[#This Row],[Category]],SubcategoriesTable[Category name],0),0),"")</f>
        <v>Fixed</v>
      </c>
      <c r="O924" s="130">
        <v>5</v>
      </c>
      <c r="P924" s="130">
        <f>MONTH(Table1[[#This Row],[Date]])</f>
        <v>6</v>
      </c>
      <c r="Q924" s="130">
        <v>2020</v>
      </c>
      <c r="R924" s="166">
        <f>IF(ISBLANK(Table1[[#This Row],[Date]]),"",Table1[[#This Row],[Date]]-WEEKDAY(Table1[[#This Row],[Date]],2)+1)</f>
        <v>43983</v>
      </c>
      <c r="S924" s="131">
        <f>IF(ISBLANK(Table1[[#This Row],[Date]]),"",DATE(Table1[[#This Row],[Date_Year]],Table1[[#This Row],[Date_Month]],1))</f>
        <v>43983</v>
      </c>
    </row>
    <row r="925" spans="2:19" ht="15.75" x14ac:dyDescent="0.25">
      <c r="B925" s="133">
        <v>43987</v>
      </c>
      <c r="C925" s="128" t="s">
        <v>146</v>
      </c>
      <c r="D925" s="128" t="s">
        <v>54</v>
      </c>
      <c r="E925" s="128" t="str" cm="1">
        <f t="array" ref="E925">IFERROR(INDEX(SubcategoriesTable[Subcategory name],MATCH(Table1[[#This Row],[Category]],SubcategoriesTable[Category name],0),0),"")</f>
        <v>Fixed</v>
      </c>
      <c r="F925" s="134">
        <v>-90.79</v>
      </c>
      <c r="G925" s="167" t="str">
        <f>_xlfn.XLOOKUP(Table1[[#This Row],[Account_ID]], Accounts[ID], Accounts[Account nickname], "Unknown")</f>
        <v>Discover it chrome Card</v>
      </c>
      <c r="H925" s="137" t="str">
        <f>_xlfn.XLOOKUP(Table1[[#This Row],[Account_ID]], Accounts[ID], Accounts[Account'#], "Unknown")</f>
        <v>7328</v>
      </c>
      <c r="I925" s="168" t="str">
        <f>_xlfn.XLOOKUP(Table1[[#This Row],[Institution_ID]], Institutions[ID], Institutions[Institution nickname], "Unknown")</f>
        <v>Discover</v>
      </c>
      <c r="J925" s="139" t="s">
        <v>931</v>
      </c>
      <c r="K925" s="129" t="s">
        <v>110</v>
      </c>
      <c r="L925" s="129" t="s">
        <v>108</v>
      </c>
      <c r="M925" s="130" t="str" cm="1">
        <f t="array" ref="M925">IFERROR(INDEX(CategoriesTable[Category type],MATCH(Table1[[#This Row],[Category]],CategoriesTable[Category name],0),0),"")</f>
        <v>Expense</v>
      </c>
      <c r="N925" s="130" t="str" cm="1">
        <f t="array" ref="N925">IFERROR(INDEX(SubcategoriesTable[Subcategory name],MATCH(Table1[[#This Row],[Category]],SubcategoriesTable[Category name],0),0),"")</f>
        <v>Fixed</v>
      </c>
      <c r="O925" s="130">
        <v>5</v>
      </c>
      <c r="P925" s="130">
        <f>MONTH(Table1[[#This Row],[Date]])</f>
        <v>6</v>
      </c>
      <c r="Q925" s="130">
        <v>2020</v>
      </c>
      <c r="R925" s="166">
        <f>IF(ISBLANK(Table1[[#This Row],[Date]]),"",Table1[[#This Row],[Date]]-WEEKDAY(Table1[[#This Row],[Date]],2)+1)</f>
        <v>43983</v>
      </c>
      <c r="S925" s="131">
        <f>IF(ISBLANK(Table1[[#This Row],[Date]]),"",DATE(Table1[[#This Row],[Date_Year]],Table1[[#This Row],[Date_Month]],1))</f>
        <v>43983</v>
      </c>
    </row>
    <row r="926" spans="2:19" ht="15.75" x14ac:dyDescent="0.25">
      <c r="B926" s="133">
        <v>43985</v>
      </c>
      <c r="C926" s="128" t="s">
        <v>201</v>
      </c>
      <c r="D926" s="128" t="s">
        <v>48</v>
      </c>
      <c r="E926" s="128" t="str" cm="1">
        <f t="array" ref="E926">IFERROR(INDEX(SubcategoriesTable[Subcategory name],MATCH(Table1[[#This Row],[Category]],SubcategoriesTable[Category name],0),0),"")</f>
        <v>Variable</v>
      </c>
      <c r="F926" s="134">
        <v>-73.7</v>
      </c>
      <c r="G926" s="167" t="str">
        <f>_xlfn.XLOOKUP(Table1[[#This Row],[Account_ID]], Accounts[ID], Accounts[Account nickname], "Unknown")</f>
        <v>Discover it chrome Card</v>
      </c>
      <c r="H926" s="137" t="str">
        <f>_xlfn.XLOOKUP(Table1[[#This Row],[Account_ID]], Accounts[ID], Accounts[Account'#], "Unknown")</f>
        <v>7328</v>
      </c>
      <c r="I926" s="168" t="str">
        <f>_xlfn.XLOOKUP(Table1[[#This Row],[Institution_ID]], Institutions[ID], Institutions[Institution nickname], "Unknown")</f>
        <v>Discover</v>
      </c>
      <c r="J926" s="139" t="s">
        <v>932</v>
      </c>
      <c r="K926" s="129" t="s">
        <v>110</v>
      </c>
      <c r="L926" s="129" t="s">
        <v>108</v>
      </c>
      <c r="M926" s="130" t="str" cm="1">
        <f t="array" ref="M926">IFERROR(INDEX(CategoriesTable[Category type],MATCH(Table1[[#This Row],[Category]],CategoriesTable[Category name],0),0),"")</f>
        <v>Expense</v>
      </c>
      <c r="N926" s="130" t="str" cm="1">
        <f t="array" ref="N926">IFERROR(INDEX(SubcategoriesTable[Subcategory name],MATCH(Table1[[#This Row],[Category]],SubcategoriesTable[Category name],0),0),"")</f>
        <v>Variable</v>
      </c>
      <c r="O926" s="130">
        <v>3</v>
      </c>
      <c r="P926" s="130">
        <f>MONTH(Table1[[#This Row],[Date]])</f>
        <v>6</v>
      </c>
      <c r="Q926" s="130">
        <v>2020</v>
      </c>
      <c r="R926" s="166">
        <f>IF(ISBLANK(Table1[[#This Row],[Date]]),"",Table1[[#This Row],[Date]]-WEEKDAY(Table1[[#This Row],[Date]],2)+1)</f>
        <v>43983</v>
      </c>
      <c r="S926" s="131">
        <f>IF(ISBLANK(Table1[[#This Row],[Date]]),"",DATE(Table1[[#This Row],[Date_Year]],Table1[[#This Row],[Date_Month]],1))</f>
        <v>43983</v>
      </c>
    </row>
    <row r="927" spans="2:19" ht="15.75" x14ac:dyDescent="0.25">
      <c r="B927" s="133">
        <v>43984</v>
      </c>
      <c r="C927" s="128" t="s">
        <v>404</v>
      </c>
      <c r="D927" s="128" t="s">
        <v>55</v>
      </c>
      <c r="E927" s="128" t="str" cm="1">
        <f t="array" ref="E927">IFERROR(INDEX(SubcategoriesTable[Subcategory name],MATCH(Table1[[#This Row],[Category]],SubcategoriesTable[Category name],0),0),"")</f>
        <v>Variable</v>
      </c>
      <c r="F927" s="134">
        <v>-156.9</v>
      </c>
      <c r="G927" s="167" t="str">
        <f>_xlfn.XLOOKUP(Table1[[#This Row],[Account_ID]], Accounts[ID], Accounts[Account nickname], "Unknown")</f>
        <v>EVERYDAY CHECKING</v>
      </c>
      <c r="H927" s="137" t="str">
        <f>_xlfn.XLOOKUP(Table1[[#This Row],[Account_ID]], Accounts[ID], Accounts[Account'#], "Unknown")</f>
        <v>4636</v>
      </c>
      <c r="I927" s="168" t="str">
        <f>_xlfn.XLOOKUP(Table1[[#This Row],[Institution_ID]], Institutions[ID], Institutions[Institution nickname], "Unknown")</f>
        <v>Wells Fargo</v>
      </c>
      <c r="J927" s="139" t="s">
        <v>1636</v>
      </c>
      <c r="K927" s="129" t="s">
        <v>1229</v>
      </c>
      <c r="L927" s="129" t="s">
        <v>1228</v>
      </c>
      <c r="M927" s="130" t="str" cm="1">
        <f t="array" ref="M927">IFERROR(INDEX(CategoriesTable[Category type],MATCH(Table1[[#This Row],[Category]],CategoriesTable[Category name],0),0),"")</f>
        <v>Expense</v>
      </c>
      <c r="N927" s="130" t="str" cm="1">
        <f t="array" ref="N927">IFERROR(INDEX(SubcategoriesTable[Subcategory name],MATCH(Table1[[#This Row],[Category]],SubcategoriesTable[Category name],0),0),"")</f>
        <v>Variable</v>
      </c>
      <c r="O927" s="130">
        <v>2</v>
      </c>
      <c r="P927" s="130">
        <f>MONTH(Table1[[#This Row],[Date]])</f>
        <v>6</v>
      </c>
      <c r="Q927" s="130">
        <v>2020</v>
      </c>
      <c r="R927" s="166">
        <f>IF(ISBLANK(Table1[[#This Row],[Date]]),"",Table1[[#This Row],[Date]]-WEEKDAY(Table1[[#This Row],[Date]],2)+1)</f>
        <v>43983</v>
      </c>
      <c r="S927" s="131">
        <f>IF(ISBLANK(Table1[[#This Row],[Date]]),"",DATE(Table1[[#This Row],[Date_Year]],Table1[[#This Row],[Date_Month]],1))</f>
        <v>43983</v>
      </c>
    </row>
    <row r="928" spans="2:19" ht="15.75" x14ac:dyDescent="0.25">
      <c r="B928" s="133">
        <v>43984</v>
      </c>
      <c r="C928" s="128" t="s">
        <v>730</v>
      </c>
      <c r="D928" s="128" t="s">
        <v>46</v>
      </c>
      <c r="E928" s="128" t="str" cm="1">
        <f t="array" ref="E928">IFERROR(INDEX(SubcategoriesTable[Subcategory name],MATCH(Table1[[#This Row],[Category]],SubcategoriesTable[Category name],0),0),"")</f>
        <v>Variable</v>
      </c>
      <c r="F928" s="134">
        <v>-14.99</v>
      </c>
      <c r="G928" s="167" t="str">
        <f>_xlfn.XLOOKUP(Table1[[#This Row],[Account_ID]], Accounts[ID], Accounts[Account nickname], "Unknown")</f>
        <v>EVERYDAY CHECKING</v>
      </c>
      <c r="H928" s="137" t="str">
        <f>_xlfn.XLOOKUP(Table1[[#This Row],[Account_ID]], Accounts[ID], Accounts[Account'#], "Unknown")</f>
        <v>4636</v>
      </c>
      <c r="I928" s="168" t="str">
        <f>_xlfn.XLOOKUP(Table1[[#This Row],[Institution_ID]], Institutions[ID], Institutions[Institution nickname], "Unknown")</f>
        <v>Wells Fargo</v>
      </c>
      <c r="J928" s="139" t="s">
        <v>1637</v>
      </c>
      <c r="K928" s="129" t="s">
        <v>1229</v>
      </c>
      <c r="L928" s="129" t="s">
        <v>1228</v>
      </c>
      <c r="M928" s="130" t="str" cm="1">
        <f t="array" ref="M928">IFERROR(INDEX(CategoriesTable[Category type],MATCH(Table1[[#This Row],[Category]],CategoriesTable[Category name],0),0),"")</f>
        <v>Expense</v>
      </c>
      <c r="N928" s="130" t="str" cm="1">
        <f t="array" ref="N928">IFERROR(INDEX(SubcategoriesTable[Subcategory name],MATCH(Table1[[#This Row],[Category]],SubcategoriesTable[Category name],0),0),"")</f>
        <v>Variable</v>
      </c>
      <c r="O928" s="130">
        <v>2</v>
      </c>
      <c r="P928" s="130">
        <f>MONTH(Table1[[#This Row],[Date]])</f>
        <v>6</v>
      </c>
      <c r="Q928" s="130">
        <v>2020</v>
      </c>
      <c r="R928" s="166">
        <f>IF(ISBLANK(Table1[[#This Row],[Date]]),"",Table1[[#This Row],[Date]]-WEEKDAY(Table1[[#This Row],[Date]],2)+1)</f>
        <v>43983</v>
      </c>
      <c r="S928" s="131">
        <f>IF(ISBLANK(Table1[[#This Row],[Date]]),"",DATE(Table1[[#This Row],[Date_Year]],Table1[[#This Row],[Date_Month]],1))</f>
        <v>43983</v>
      </c>
    </row>
    <row r="929" spans="2:19" ht="15.75" x14ac:dyDescent="0.25">
      <c r="B929" s="133">
        <v>43984</v>
      </c>
      <c r="C929" s="128" t="s">
        <v>816</v>
      </c>
      <c r="D929" s="128" t="s">
        <v>56</v>
      </c>
      <c r="E929" s="128" t="str" cm="1">
        <f t="array" ref="E929">IFERROR(INDEX(SubcategoriesTable[Subcategory name],MATCH(Table1[[#This Row],[Category]],SubcategoriesTable[Category name],0),0),"")</f>
        <v>Variable</v>
      </c>
      <c r="F929" s="134">
        <v>-1.05</v>
      </c>
      <c r="G929" s="167" t="str">
        <f>_xlfn.XLOOKUP(Table1[[#This Row],[Account_ID]], Accounts[ID], Accounts[Account nickname], "Unknown")</f>
        <v>Discover it chrome Card</v>
      </c>
      <c r="H929" s="137" t="str">
        <f>_xlfn.XLOOKUP(Table1[[#This Row],[Account_ID]], Accounts[ID], Accounts[Account'#], "Unknown")</f>
        <v>7328</v>
      </c>
      <c r="I929" s="168" t="str">
        <f>_xlfn.XLOOKUP(Table1[[#This Row],[Institution_ID]], Institutions[ID], Institutions[Institution nickname], "Unknown")</f>
        <v>Discover</v>
      </c>
      <c r="J929" s="139" t="s">
        <v>933</v>
      </c>
      <c r="K929" s="129" t="s">
        <v>110</v>
      </c>
      <c r="L929" s="129" t="s">
        <v>108</v>
      </c>
      <c r="M929" s="130" t="str" cm="1">
        <f t="array" ref="M929">IFERROR(INDEX(CategoriesTable[Category type],MATCH(Table1[[#This Row],[Category]],CategoriesTable[Category name],0),0),"")</f>
        <v>Expense</v>
      </c>
      <c r="N929" s="130" t="str" cm="1">
        <f t="array" ref="N929">IFERROR(INDEX(SubcategoriesTable[Subcategory name],MATCH(Table1[[#This Row],[Category]],SubcategoriesTable[Category name],0),0),"")</f>
        <v>Variable</v>
      </c>
      <c r="O929" s="130">
        <v>2</v>
      </c>
      <c r="P929" s="130">
        <f>MONTH(Table1[[#This Row],[Date]])</f>
        <v>6</v>
      </c>
      <c r="Q929" s="130">
        <v>2020</v>
      </c>
      <c r="R929" s="166">
        <f>IF(ISBLANK(Table1[[#This Row],[Date]]),"",Table1[[#This Row],[Date]]-WEEKDAY(Table1[[#This Row],[Date]],2)+1)</f>
        <v>43983</v>
      </c>
      <c r="S929" s="131">
        <f>IF(ISBLANK(Table1[[#This Row],[Date]]),"",DATE(Table1[[#This Row],[Date_Year]],Table1[[#This Row],[Date_Month]],1))</f>
        <v>43983</v>
      </c>
    </row>
    <row r="930" spans="2:19" ht="15.75" x14ac:dyDescent="0.25">
      <c r="B930" s="133">
        <v>43983</v>
      </c>
      <c r="C930" s="128" t="s">
        <v>1182</v>
      </c>
      <c r="D930" s="128" t="s">
        <v>50</v>
      </c>
      <c r="E930" s="128" t="str" cm="1">
        <f t="array" ref="E930">IFERROR(INDEX(SubcategoriesTable[Subcategory name],MATCH(Table1[[#This Row],[Category]],SubcategoriesTable[Category name],0),0),"")</f>
        <v>Variable</v>
      </c>
      <c r="F930" s="134">
        <v>374.32</v>
      </c>
      <c r="G930" s="167" t="str">
        <f>_xlfn.XLOOKUP(Table1[[#This Row],[Account_ID]], Accounts[ID], Accounts[Account nickname], "Unknown")</f>
        <v>EVERYDAY CHECKING</v>
      </c>
      <c r="H930" s="137" t="str">
        <f>_xlfn.XLOOKUP(Table1[[#This Row],[Account_ID]], Accounts[ID], Accounts[Account'#], "Unknown")</f>
        <v>4636</v>
      </c>
      <c r="I930" s="168" t="str">
        <f>_xlfn.XLOOKUP(Table1[[#This Row],[Institution_ID]], Institutions[ID], Institutions[Institution nickname], "Unknown")</f>
        <v>Wells Fargo</v>
      </c>
      <c r="J930" s="139" t="s">
        <v>1638</v>
      </c>
      <c r="K930" s="129" t="s">
        <v>1229</v>
      </c>
      <c r="L930" s="129" t="s">
        <v>1228</v>
      </c>
      <c r="M930" s="130" t="str" cm="1">
        <f t="array" ref="M930">IFERROR(INDEX(CategoriesTable[Category type],MATCH(Table1[[#This Row],[Category]],CategoriesTable[Category name],0),0),"")</f>
        <v>Transfer</v>
      </c>
      <c r="N930" s="130" t="str" cm="1">
        <f t="array" ref="N930">IFERROR(INDEX(SubcategoriesTable[Subcategory name],MATCH(Table1[[#This Row],[Category]],SubcategoriesTable[Category name],0),0),"")</f>
        <v>Variable</v>
      </c>
      <c r="O930" s="130">
        <v>1</v>
      </c>
      <c r="P930" s="130">
        <f>MONTH(Table1[[#This Row],[Date]])</f>
        <v>6</v>
      </c>
      <c r="Q930" s="130">
        <v>2020</v>
      </c>
      <c r="R930" s="166">
        <f>IF(ISBLANK(Table1[[#This Row],[Date]]),"",Table1[[#This Row],[Date]]-WEEKDAY(Table1[[#This Row],[Date]],2)+1)</f>
        <v>43983</v>
      </c>
      <c r="S930" s="131">
        <f>IF(ISBLANK(Table1[[#This Row],[Date]]),"",DATE(Table1[[#This Row],[Date_Year]],Table1[[#This Row],[Date_Month]],1))</f>
        <v>43983</v>
      </c>
    </row>
    <row r="931" spans="2:19" ht="15.75" x14ac:dyDescent="0.25">
      <c r="B931" s="133">
        <v>43983</v>
      </c>
      <c r="C931" s="128" t="s">
        <v>1639</v>
      </c>
      <c r="D931" s="128" t="s">
        <v>46</v>
      </c>
      <c r="E931" s="128" t="str" cm="1">
        <f t="array" ref="E931">IFERROR(INDEX(SubcategoriesTable[Subcategory name],MATCH(Table1[[#This Row],[Category]],SubcategoriesTable[Category name],0),0),"")</f>
        <v>Variable</v>
      </c>
      <c r="F931" s="134">
        <v>-92.64</v>
      </c>
      <c r="G931" s="167" t="str">
        <f>_xlfn.XLOOKUP(Table1[[#This Row],[Account_ID]], Accounts[ID], Accounts[Account nickname], "Unknown")</f>
        <v>EVERYDAY CHECKING</v>
      </c>
      <c r="H931" s="137" t="str">
        <f>_xlfn.XLOOKUP(Table1[[#This Row],[Account_ID]], Accounts[ID], Accounts[Account'#], "Unknown")</f>
        <v>4636</v>
      </c>
      <c r="I931" s="168" t="str">
        <f>_xlfn.XLOOKUP(Table1[[#This Row],[Institution_ID]], Institutions[ID], Institutions[Institution nickname], "Unknown")</f>
        <v>Wells Fargo</v>
      </c>
      <c r="J931" s="139" t="s">
        <v>1640</v>
      </c>
      <c r="K931" s="129" t="s">
        <v>1229</v>
      </c>
      <c r="L931" s="129" t="s">
        <v>1228</v>
      </c>
      <c r="M931" s="130" t="str" cm="1">
        <f t="array" ref="M931">IFERROR(INDEX(CategoriesTable[Category type],MATCH(Table1[[#This Row],[Category]],CategoriesTable[Category name],0),0),"")</f>
        <v>Expense</v>
      </c>
      <c r="N931" s="130" t="str" cm="1">
        <f t="array" ref="N931">IFERROR(INDEX(SubcategoriesTable[Subcategory name],MATCH(Table1[[#This Row],[Category]],SubcategoriesTable[Category name],0),0),"")</f>
        <v>Variable</v>
      </c>
      <c r="O931" s="130">
        <v>1</v>
      </c>
      <c r="P931" s="130">
        <f>MONTH(Table1[[#This Row],[Date]])</f>
        <v>6</v>
      </c>
      <c r="Q931" s="130">
        <v>2020</v>
      </c>
      <c r="R931" s="166">
        <f>IF(ISBLANK(Table1[[#This Row],[Date]]),"",Table1[[#This Row],[Date]]-WEEKDAY(Table1[[#This Row],[Date]],2)+1)</f>
        <v>43983</v>
      </c>
      <c r="S931" s="131">
        <f>IF(ISBLANK(Table1[[#This Row],[Date]]),"",DATE(Table1[[#This Row],[Date_Year]],Table1[[#This Row],[Date_Month]],1))</f>
        <v>43983</v>
      </c>
    </row>
    <row r="932" spans="2:19" ht="15.75" x14ac:dyDescent="0.25">
      <c r="B932" s="133">
        <v>43983</v>
      </c>
      <c r="C932" s="128" t="s">
        <v>201</v>
      </c>
      <c r="D932" s="128" t="s">
        <v>48</v>
      </c>
      <c r="E932" s="128" t="str" cm="1">
        <f t="array" ref="E932">IFERROR(INDEX(SubcategoriesTable[Subcategory name],MATCH(Table1[[#This Row],[Category]],SubcategoriesTable[Category name],0),0),"")</f>
        <v>Variable</v>
      </c>
      <c r="F932" s="134">
        <v>-9.9700000000000006</v>
      </c>
      <c r="G932" s="167" t="str">
        <f>_xlfn.XLOOKUP(Table1[[#This Row],[Account_ID]], Accounts[ID], Accounts[Account nickname], "Unknown")</f>
        <v>Discover it chrome Card</v>
      </c>
      <c r="H932" s="137" t="str">
        <f>_xlfn.XLOOKUP(Table1[[#This Row],[Account_ID]], Accounts[ID], Accounts[Account'#], "Unknown")</f>
        <v>7328</v>
      </c>
      <c r="I932" s="168" t="str">
        <f>_xlfn.XLOOKUP(Table1[[#This Row],[Institution_ID]], Institutions[ID], Institutions[Institution nickname], "Unknown")</f>
        <v>Discover</v>
      </c>
      <c r="J932" s="139" t="s">
        <v>934</v>
      </c>
      <c r="K932" s="129" t="s">
        <v>110</v>
      </c>
      <c r="L932" s="129" t="s">
        <v>108</v>
      </c>
      <c r="M932" s="130" t="str" cm="1">
        <f t="array" ref="M932">IFERROR(INDEX(CategoriesTable[Category type],MATCH(Table1[[#This Row],[Category]],CategoriesTable[Category name],0),0),"")</f>
        <v>Expense</v>
      </c>
      <c r="N932" s="130" t="str" cm="1">
        <f t="array" ref="N932">IFERROR(INDEX(SubcategoriesTable[Subcategory name],MATCH(Table1[[#This Row],[Category]],SubcategoriesTable[Category name],0),0),"")</f>
        <v>Variable</v>
      </c>
      <c r="O932" s="130">
        <v>1</v>
      </c>
      <c r="P932" s="130">
        <f>MONTH(Table1[[#This Row],[Date]])</f>
        <v>6</v>
      </c>
      <c r="Q932" s="130">
        <v>2020</v>
      </c>
      <c r="R932" s="166">
        <f>IF(ISBLANK(Table1[[#This Row],[Date]]),"",Table1[[#This Row],[Date]]-WEEKDAY(Table1[[#This Row],[Date]],2)+1)</f>
        <v>43983</v>
      </c>
      <c r="S932" s="131">
        <f>IF(ISBLANK(Table1[[#This Row],[Date]]),"",DATE(Table1[[#This Row],[Date_Year]],Table1[[#This Row],[Date_Month]],1))</f>
        <v>43983</v>
      </c>
    </row>
    <row r="933" spans="2:19" ht="15.75" x14ac:dyDescent="0.25">
      <c r="B933" s="133">
        <v>43982</v>
      </c>
      <c r="C933" s="128" t="s">
        <v>439</v>
      </c>
      <c r="D933" s="128" t="s">
        <v>55</v>
      </c>
      <c r="E933" s="128" t="str" cm="1">
        <f t="array" ref="E933">IFERROR(INDEX(SubcategoriesTable[Subcategory name],MATCH(Table1[[#This Row],[Category]],SubcategoriesTable[Category name],0),0),"")</f>
        <v>Variable</v>
      </c>
      <c r="F933" s="134">
        <v>-13.84</v>
      </c>
      <c r="G933" s="167" t="str">
        <f>_xlfn.XLOOKUP(Table1[[#This Row],[Account_ID]], Accounts[ID], Accounts[Account nickname], "Unknown")</f>
        <v>Discover it chrome Card</v>
      </c>
      <c r="H933" s="137" t="str">
        <f>_xlfn.XLOOKUP(Table1[[#This Row],[Account_ID]], Accounts[ID], Accounts[Account'#], "Unknown")</f>
        <v>7328</v>
      </c>
      <c r="I933" s="168" t="str">
        <f>_xlfn.XLOOKUP(Table1[[#This Row],[Institution_ID]], Institutions[ID], Institutions[Institution nickname], "Unknown")</f>
        <v>Discover</v>
      </c>
      <c r="J933" s="139" t="s">
        <v>935</v>
      </c>
      <c r="K933" s="129" t="s">
        <v>110</v>
      </c>
      <c r="L933" s="129" t="s">
        <v>108</v>
      </c>
      <c r="M933" s="130" t="str" cm="1">
        <f t="array" ref="M933">IFERROR(INDEX(CategoriesTable[Category type],MATCH(Table1[[#This Row],[Category]],CategoriesTable[Category name],0),0),"")</f>
        <v>Expense</v>
      </c>
      <c r="N933" s="130" t="str" cm="1">
        <f t="array" ref="N933">IFERROR(INDEX(SubcategoriesTable[Subcategory name],MATCH(Table1[[#This Row],[Category]],SubcategoriesTable[Category name],0),0),"")</f>
        <v>Variable</v>
      </c>
      <c r="O933" s="130">
        <v>31</v>
      </c>
      <c r="P933" s="130">
        <f>MONTH(Table1[[#This Row],[Date]])</f>
        <v>5</v>
      </c>
      <c r="Q933" s="130">
        <v>2020</v>
      </c>
      <c r="R933" s="166">
        <f>IF(ISBLANK(Table1[[#This Row],[Date]]),"",Table1[[#This Row],[Date]]-WEEKDAY(Table1[[#This Row],[Date]],2)+1)</f>
        <v>43976</v>
      </c>
      <c r="S933" s="131">
        <f>IF(ISBLANK(Table1[[#This Row],[Date]]),"",DATE(Table1[[#This Row],[Date_Year]],Table1[[#This Row],[Date_Month]],1))</f>
        <v>43952</v>
      </c>
    </row>
    <row r="934" spans="2:19" ht="15.75" x14ac:dyDescent="0.25">
      <c r="B934" s="133">
        <v>43982</v>
      </c>
      <c r="C934" s="128" t="s">
        <v>125</v>
      </c>
      <c r="D934" s="128" t="s">
        <v>45</v>
      </c>
      <c r="E934" s="128" t="str" cm="1">
        <f t="array" ref="E934">IFERROR(INDEX(SubcategoriesTable[Subcategory name],MATCH(Table1[[#This Row],[Category]],SubcategoriesTable[Category name],0),0),"")</f>
        <v>Variable</v>
      </c>
      <c r="F934" s="134">
        <v>-11.67</v>
      </c>
      <c r="G934" s="167" t="str">
        <f>_xlfn.XLOOKUP(Table1[[#This Row],[Account_ID]], Accounts[ID], Accounts[Account nickname], "Unknown")</f>
        <v>Discover it chrome Card</v>
      </c>
      <c r="H934" s="137" t="str">
        <f>_xlfn.XLOOKUP(Table1[[#This Row],[Account_ID]], Accounts[ID], Accounts[Account'#], "Unknown")</f>
        <v>7328</v>
      </c>
      <c r="I934" s="168" t="str">
        <f>_xlfn.XLOOKUP(Table1[[#This Row],[Institution_ID]], Institutions[ID], Institutions[Institution nickname], "Unknown")</f>
        <v>Discover</v>
      </c>
      <c r="J934" s="139" t="s">
        <v>936</v>
      </c>
      <c r="K934" s="129" t="s">
        <v>110</v>
      </c>
      <c r="L934" s="129" t="s">
        <v>108</v>
      </c>
      <c r="M934" s="130" t="str" cm="1">
        <f t="array" ref="M934">IFERROR(INDEX(CategoriesTable[Category type],MATCH(Table1[[#This Row],[Category]],CategoriesTable[Category name],0),0),"")</f>
        <v>Expense</v>
      </c>
      <c r="N934" s="130" t="str" cm="1">
        <f t="array" ref="N934">IFERROR(INDEX(SubcategoriesTable[Subcategory name],MATCH(Table1[[#This Row],[Category]],SubcategoriesTable[Category name],0),0),"")</f>
        <v>Variable</v>
      </c>
      <c r="O934" s="130">
        <v>31</v>
      </c>
      <c r="P934" s="130">
        <f>MONTH(Table1[[#This Row],[Date]])</f>
        <v>5</v>
      </c>
      <c r="Q934" s="130">
        <v>2020</v>
      </c>
      <c r="R934" s="166">
        <f>IF(ISBLANK(Table1[[#This Row],[Date]]),"",Table1[[#This Row],[Date]]-WEEKDAY(Table1[[#This Row],[Date]],2)+1)</f>
        <v>43976</v>
      </c>
      <c r="S934" s="131">
        <f>IF(ISBLANK(Table1[[#This Row],[Date]]),"",DATE(Table1[[#This Row],[Date_Year]],Table1[[#This Row],[Date_Month]],1))</f>
        <v>43952</v>
      </c>
    </row>
    <row r="935" spans="2:19" ht="15.75" x14ac:dyDescent="0.25">
      <c r="B935" s="133">
        <v>43982</v>
      </c>
      <c r="C935" s="128" t="s">
        <v>937</v>
      </c>
      <c r="D935" s="128" t="s">
        <v>46</v>
      </c>
      <c r="E935" s="128" t="str" cm="1">
        <f t="array" ref="E935">IFERROR(INDEX(SubcategoriesTable[Subcategory name],MATCH(Table1[[#This Row],[Category]],SubcategoriesTable[Category name],0),0),"")</f>
        <v>Variable</v>
      </c>
      <c r="F935" s="134">
        <v>-63.41</v>
      </c>
      <c r="G935" s="167" t="str">
        <f>_xlfn.XLOOKUP(Table1[[#This Row],[Account_ID]], Accounts[ID], Accounts[Account nickname], "Unknown")</f>
        <v>Discover it chrome Card</v>
      </c>
      <c r="H935" s="137" t="str">
        <f>_xlfn.XLOOKUP(Table1[[#This Row],[Account_ID]], Accounts[ID], Accounts[Account'#], "Unknown")</f>
        <v>7328</v>
      </c>
      <c r="I935" s="168" t="str">
        <f>_xlfn.XLOOKUP(Table1[[#This Row],[Institution_ID]], Institutions[ID], Institutions[Institution nickname], "Unknown")</f>
        <v>Discover</v>
      </c>
      <c r="J935" s="139" t="s">
        <v>938</v>
      </c>
      <c r="K935" s="129" t="s">
        <v>110</v>
      </c>
      <c r="L935" s="129" t="s">
        <v>108</v>
      </c>
      <c r="M935" s="130" t="str" cm="1">
        <f t="array" ref="M935">IFERROR(INDEX(CategoriesTable[Category type],MATCH(Table1[[#This Row],[Category]],CategoriesTable[Category name],0),0),"")</f>
        <v>Expense</v>
      </c>
      <c r="N935" s="130" t="str" cm="1">
        <f t="array" ref="N935">IFERROR(INDEX(SubcategoriesTable[Subcategory name],MATCH(Table1[[#This Row],[Category]],SubcategoriesTable[Category name],0),0),"")</f>
        <v>Variable</v>
      </c>
      <c r="O935" s="130">
        <v>31</v>
      </c>
      <c r="P935" s="130">
        <f>MONTH(Table1[[#This Row],[Date]])</f>
        <v>5</v>
      </c>
      <c r="Q935" s="130">
        <v>2020</v>
      </c>
      <c r="R935" s="166">
        <f>IF(ISBLANK(Table1[[#This Row],[Date]]),"",Table1[[#This Row],[Date]]-WEEKDAY(Table1[[#This Row],[Date]],2)+1)</f>
        <v>43976</v>
      </c>
      <c r="S935" s="131">
        <f>IF(ISBLANK(Table1[[#This Row],[Date]]),"",DATE(Table1[[#This Row],[Date_Year]],Table1[[#This Row],[Date_Month]],1))</f>
        <v>43952</v>
      </c>
    </row>
    <row r="936" spans="2:19" ht="15.75" x14ac:dyDescent="0.25">
      <c r="B936" s="133">
        <v>43982</v>
      </c>
      <c r="C936" s="128" t="s">
        <v>115</v>
      </c>
      <c r="D936" s="128" t="s">
        <v>48</v>
      </c>
      <c r="E936" s="128" t="str" cm="1">
        <f t="array" ref="E936">IFERROR(INDEX(SubcategoriesTable[Subcategory name],MATCH(Table1[[#This Row],[Category]],SubcategoriesTable[Category name],0),0),"")</f>
        <v>Variable</v>
      </c>
      <c r="F936" s="134">
        <v>-14.68</v>
      </c>
      <c r="G936" s="167" t="str">
        <f>_xlfn.XLOOKUP(Table1[[#This Row],[Account_ID]], Accounts[ID], Accounts[Account nickname], "Unknown")</f>
        <v>Discover it chrome Card</v>
      </c>
      <c r="H936" s="137" t="str">
        <f>_xlfn.XLOOKUP(Table1[[#This Row],[Account_ID]], Accounts[ID], Accounts[Account'#], "Unknown")</f>
        <v>7328</v>
      </c>
      <c r="I936" s="168" t="str">
        <f>_xlfn.XLOOKUP(Table1[[#This Row],[Institution_ID]], Institutions[ID], Institutions[Institution nickname], "Unknown")</f>
        <v>Discover</v>
      </c>
      <c r="J936" s="139" t="s">
        <v>939</v>
      </c>
      <c r="K936" s="129" t="s">
        <v>110</v>
      </c>
      <c r="L936" s="129" t="s">
        <v>108</v>
      </c>
      <c r="M936" s="130" t="str" cm="1">
        <f t="array" ref="M936">IFERROR(INDEX(CategoriesTable[Category type],MATCH(Table1[[#This Row],[Category]],CategoriesTable[Category name],0),0),"")</f>
        <v>Expense</v>
      </c>
      <c r="N936" s="130" t="str" cm="1">
        <f t="array" ref="N936">IFERROR(INDEX(SubcategoriesTable[Subcategory name],MATCH(Table1[[#This Row],[Category]],SubcategoriesTable[Category name],0),0),"")</f>
        <v>Variable</v>
      </c>
      <c r="O936" s="130">
        <v>31</v>
      </c>
      <c r="P936" s="130">
        <f>MONTH(Table1[[#This Row],[Date]])</f>
        <v>5</v>
      </c>
      <c r="Q936" s="130">
        <v>2020</v>
      </c>
      <c r="R936" s="166">
        <f>IF(ISBLANK(Table1[[#This Row],[Date]]),"",Table1[[#This Row],[Date]]-WEEKDAY(Table1[[#This Row],[Date]],2)+1)</f>
        <v>43976</v>
      </c>
      <c r="S936" s="131">
        <f>IF(ISBLANK(Table1[[#This Row],[Date]]),"",DATE(Table1[[#This Row],[Date_Year]],Table1[[#This Row],[Date_Month]],1))</f>
        <v>43952</v>
      </c>
    </row>
    <row r="937" spans="2:19" ht="15.75" x14ac:dyDescent="0.25">
      <c r="B937" s="133">
        <v>43981</v>
      </c>
      <c r="C937" s="128" t="s">
        <v>1641</v>
      </c>
      <c r="D937" s="128" t="s">
        <v>51</v>
      </c>
      <c r="E937" s="128" t="str" cm="1">
        <f t="array" ref="E937">IFERROR(INDEX(SubcategoriesTable[Subcategory name],MATCH(Table1[[#This Row],[Category]],SubcategoriesTable[Category name],0),0),"")</f>
        <v>Variable</v>
      </c>
      <c r="F937" s="134">
        <v>-60</v>
      </c>
      <c r="G937" s="167" t="str">
        <f>_xlfn.XLOOKUP(Table1[[#This Row],[Account_ID]], Accounts[ID], Accounts[Account nickname], "Unknown")</f>
        <v>EVERYDAY CHECKING</v>
      </c>
      <c r="H937" s="137" t="str">
        <f>_xlfn.XLOOKUP(Table1[[#This Row],[Account_ID]], Accounts[ID], Accounts[Account'#], "Unknown")</f>
        <v>4636</v>
      </c>
      <c r="I937" s="168" t="str">
        <f>_xlfn.XLOOKUP(Table1[[#This Row],[Institution_ID]], Institutions[ID], Institutions[Institution nickname], "Unknown")</f>
        <v>Wells Fargo</v>
      </c>
      <c r="J937" s="139" t="s">
        <v>1642</v>
      </c>
      <c r="K937" s="129" t="s">
        <v>1229</v>
      </c>
      <c r="L937" s="129" t="s">
        <v>1228</v>
      </c>
      <c r="M937" s="130" t="str" cm="1">
        <f t="array" ref="M937">IFERROR(INDEX(CategoriesTable[Category type],MATCH(Table1[[#This Row],[Category]],CategoriesTable[Category name],0),0),"")</f>
        <v>Expense</v>
      </c>
      <c r="N937" s="130" t="str" cm="1">
        <f t="array" ref="N937">IFERROR(INDEX(SubcategoriesTable[Subcategory name],MATCH(Table1[[#This Row],[Category]],SubcategoriesTable[Category name],0),0),"")</f>
        <v>Variable</v>
      </c>
      <c r="O937" s="130">
        <v>30</v>
      </c>
      <c r="P937" s="130">
        <f>MONTH(Table1[[#This Row],[Date]])</f>
        <v>5</v>
      </c>
      <c r="Q937" s="130">
        <v>2020</v>
      </c>
      <c r="R937" s="166">
        <f>IF(ISBLANK(Table1[[#This Row],[Date]]),"",Table1[[#This Row],[Date]]-WEEKDAY(Table1[[#This Row],[Date]],2)+1)</f>
        <v>43976</v>
      </c>
      <c r="S937" s="131">
        <f>IF(ISBLANK(Table1[[#This Row],[Date]]),"",DATE(Table1[[#This Row],[Date_Year]],Table1[[#This Row],[Date_Month]],1))</f>
        <v>43952</v>
      </c>
    </row>
    <row r="938" spans="2:19" ht="15.75" x14ac:dyDescent="0.25">
      <c r="B938" s="133">
        <v>43981</v>
      </c>
      <c r="C938" s="128" t="s">
        <v>940</v>
      </c>
      <c r="D938" s="128" t="s">
        <v>52</v>
      </c>
      <c r="E938" s="128" t="str" cm="1">
        <f t="array" ref="E938">IFERROR(INDEX(SubcategoriesTable[Subcategory name],MATCH(Table1[[#This Row],[Category]],SubcategoriesTable[Category name],0),0),"")</f>
        <v>Variable</v>
      </c>
      <c r="F938" s="134">
        <v>-2.5499999999999998</v>
      </c>
      <c r="G938" s="167" t="str">
        <f>_xlfn.XLOOKUP(Table1[[#This Row],[Account_ID]], Accounts[ID], Accounts[Account nickname], "Unknown")</f>
        <v>Discover it chrome Card</v>
      </c>
      <c r="H938" s="137" t="str">
        <f>_xlfn.XLOOKUP(Table1[[#This Row],[Account_ID]], Accounts[ID], Accounts[Account'#], "Unknown")</f>
        <v>7328</v>
      </c>
      <c r="I938" s="168" t="str">
        <f>_xlfn.XLOOKUP(Table1[[#This Row],[Institution_ID]], Institutions[ID], Institutions[Institution nickname], "Unknown")</f>
        <v>Discover</v>
      </c>
      <c r="J938" s="139" t="s">
        <v>941</v>
      </c>
      <c r="K938" s="129" t="s">
        <v>110</v>
      </c>
      <c r="L938" s="129" t="s">
        <v>108</v>
      </c>
      <c r="M938" s="130" t="str" cm="1">
        <f t="array" ref="M938">IFERROR(INDEX(CategoriesTable[Category type],MATCH(Table1[[#This Row],[Category]],CategoriesTable[Category name],0),0),"")</f>
        <v>Expense</v>
      </c>
      <c r="N938" s="130" t="str" cm="1">
        <f t="array" ref="N938">IFERROR(INDEX(SubcategoriesTable[Subcategory name],MATCH(Table1[[#This Row],[Category]],SubcategoriesTable[Category name],0),0),"")</f>
        <v>Variable</v>
      </c>
      <c r="O938" s="130">
        <v>30</v>
      </c>
      <c r="P938" s="130">
        <f>MONTH(Table1[[#This Row],[Date]])</f>
        <v>5</v>
      </c>
      <c r="Q938" s="130">
        <v>2020</v>
      </c>
      <c r="R938" s="166">
        <f>IF(ISBLANK(Table1[[#This Row],[Date]]),"",Table1[[#This Row],[Date]]-WEEKDAY(Table1[[#This Row],[Date]],2)+1)</f>
        <v>43976</v>
      </c>
      <c r="S938" s="131">
        <f>IF(ISBLANK(Table1[[#This Row],[Date]]),"",DATE(Table1[[#This Row],[Date_Year]],Table1[[#This Row],[Date_Month]],1))</f>
        <v>43952</v>
      </c>
    </row>
    <row r="939" spans="2:19" ht="15.75" x14ac:dyDescent="0.25">
      <c r="B939" s="133">
        <v>43981</v>
      </c>
      <c r="C939" s="128" t="s">
        <v>940</v>
      </c>
      <c r="D939" s="128" t="s">
        <v>52</v>
      </c>
      <c r="E939" s="128" t="str" cm="1">
        <f t="array" ref="E939">IFERROR(INDEX(SubcategoriesTable[Subcategory name],MATCH(Table1[[#This Row],[Category]],SubcategoriesTable[Category name],0),0),"")</f>
        <v>Variable</v>
      </c>
      <c r="F939" s="134">
        <v>-17.78</v>
      </c>
      <c r="G939" s="167" t="str">
        <f>_xlfn.XLOOKUP(Table1[[#This Row],[Account_ID]], Accounts[ID], Accounts[Account nickname], "Unknown")</f>
        <v>Discover it chrome Card</v>
      </c>
      <c r="H939" s="137" t="str">
        <f>_xlfn.XLOOKUP(Table1[[#This Row],[Account_ID]], Accounts[ID], Accounts[Account'#], "Unknown")</f>
        <v>7328</v>
      </c>
      <c r="I939" s="168" t="str">
        <f>_xlfn.XLOOKUP(Table1[[#This Row],[Institution_ID]], Institutions[ID], Institutions[Institution nickname], "Unknown")</f>
        <v>Discover</v>
      </c>
      <c r="J939" s="139" t="s">
        <v>942</v>
      </c>
      <c r="K939" s="129" t="s">
        <v>110</v>
      </c>
      <c r="L939" s="129" t="s">
        <v>108</v>
      </c>
      <c r="M939" s="130" t="str" cm="1">
        <f t="array" ref="M939">IFERROR(INDEX(CategoriesTable[Category type],MATCH(Table1[[#This Row],[Category]],CategoriesTable[Category name],0),0),"")</f>
        <v>Expense</v>
      </c>
      <c r="N939" s="130" t="str" cm="1">
        <f t="array" ref="N939">IFERROR(INDEX(SubcategoriesTable[Subcategory name],MATCH(Table1[[#This Row],[Category]],SubcategoriesTable[Category name],0),0),"")</f>
        <v>Variable</v>
      </c>
      <c r="O939" s="130">
        <v>30</v>
      </c>
      <c r="P939" s="130">
        <f>MONTH(Table1[[#This Row],[Date]])</f>
        <v>5</v>
      </c>
      <c r="Q939" s="130">
        <v>2020</v>
      </c>
      <c r="R939" s="166">
        <f>IF(ISBLANK(Table1[[#This Row],[Date]]),"",Table1[[#This Row],[Date]]-WEEKDAY(Table1[[#This Row],[Date]],2)+1)</f>
        <v>43976</v>
      </c>
      <c r="S939" s="131">
        <f>IF(ISBLANK(Table1[[#This Row],[Date]]),"",DATE(Table1[[#This Row],[Date_Year]],Table1[[#This Row],[Date_Month]],1))</f>
        <v>43952</v>
      </c>
    </row>
    <row r="940" spans="2:19" ht="15.75" x14ac:dyDescent="0.25">
      <c r="B940" s="133">
        <v>43981</v>
      </c>
      <c r="C940" s="128" t="s">
        <v>171</v>
      </c>
      <c r="D940" s="128" t="s">
        <v>46</v>
      </c>
      <c r="E940" s="128" t="str" cm="1">
        <f t="array" ref="E940">IFERROR(INDEX(SubcategoriesTable[Subcategory name],MATCH(Table1[[#This Row],[Category]],SubcategoriesTable[Category name],0),0),"")</f>
        <v>Variable</v>
      </c>
      <c r="F940" s="134">
        <v>-63.56</v>
      </c>
      <c r="G940" s="167" t="str">
        <f>_xlfn.XLOOKUP(Table1[[#This Row],[Account_ID]], Accounts[ID], Accounts[Account nickname], "Unknown")</f>
        <v>Discover it chrome Card</v>
      </c>
      <c r="H940" s="137" t="str">
        <f>_xlfn.XLOOKUP(Table1[[#This Row],[Account_ID]], Accounts[ID], Accounts[Account'#], "Unknown")</f>
        <v>7328</v>
      </c>
      <c r="I940" s="168" t="str">
        <f>_xlfn.XLOOKUP(Table1[[#This Row],[Institution_ID]], Institutions[ID], Institutions[Institution nickname], "Unknown")</f>
        <v>Discover</v>
      </c>
      <c r="J940" s="139" t="s">
        <v>943</v>
      </c>
      <c r="K940" s="129" t="s">
        <v>110</v>
      </c>
      <c r="L940" s="129" t="s">
        <v>108</v>
      </c>
      <c r="M940" s="130" t="str" cm="1">
        <f t="array" ref="M940">IFERROR(INDEX(CategoriesTable[Category type],MATCH(Table1[[#This Row],[Category]],CategoriesTable[Category name],0),0),"")</f>
        <v>Expense</v>
      </c>
      <c r="N940" s="130" t="str" cm="1">
        <f t="array" ref="N940">IFERROR(INDEX(SubcategoriesTable[Subcategory name],MATCH(Table1[[#This Row],[Category]],SubcategoriesTable[Category name],0),0),"")</f>
        <v>Variable</v>
      </c>
      <c r="O940" s="130">
        <v>30</v>
      </c>
      <c r="P940" s="130">
        <f>MONTH(Table1[[#This Row],[Date]])</f>
        <v>5</v>
      </c>
      <c r="Q940" s="130">
        <v>2020</v>
      </c>
      <c r="R940" s="166">
        <f>IF(ISBLANK(Table1[[#This Row],[Date]]),"",Table1[[#This Row],[Date]]-WEEKDAY(Table1[[#This Row],[Date]],2)+1)</f>
        <v>43976</v>
      </c>
      <c r="S940" s="131">
        <f>IF(ISBLANK(Table1[[#This Row],[Date]]),"",DATE(Table1[[#This Row],[Date_Year]],Table1[[#This Row],[Date_Month]],1))</f>
        <v>43952</v>
      </c>
    </row>
    <row r="941" spans="2:19" ht="15.75" x14ac:dyDescent="0.25">
      <c r="B941" s="133">
        <v>43981</v>
      </c>
      <c r="C941" s="128" t="s">
        <v>125</v>
      </c>
      <c r="D941" s="128" t="s">
        <v>45</v>
      </c>
      <c r="E941" s="128" t="str" cm="1">
        <f t="array" ref="E941">IFERROR(INDEX(SubcategoriesTable[Subcategory name],MATCH(Table1[[#This Row],[Category]],SubcategoriesTable[Category name],0),0),"")</f>
        <v>Variable</v>
      </c>
      <c r="F941" s="134">
        <v>-22.25</v>
      </c>
      <c r="G941" s="167" t="str">
        <f>_xlfn.XLOOKUP(Table1[[#This Row],[Account_ID]], Accounts[ID], Accounts[Account nickname], "Unknown")</f>
        <v>Discover it chrome Card</v>
      </c>
      <c r="H941" s="137" t="str">
        <f>_xlfn.XLOOKUP(Table1[[#This Row],[Account_ID]], Accounts[ID], Accounts[Account'#], "Unknown")</f>
        <v>7328</v>
      </c>
      <c r="I941" s="168" t="str">
        <f>_xlfn.XLOOKUP(Table1[[#This Row],[Institution_ID]], Institutions[ID], Institutions[Institution nickname], "Unknown")</f>
        <v>Discover</v>
      </c>
      <c r="J941" s="139" t="s">
        <v>944</v>
      </c>
      <c r="K941" s="129" t="s">
        <v>110</v>
      </c>
      <c r="L941" s="129" t="s">
        <v>108</v>
      </c>
      <c r="M941" s="130" t="str" cm="1">
        <f t="array" ref="M941">IFERROR(INDEX(CategoriesTable[Category type],MATCH(Table1[[#This Row],[Category]],CategoriesTable[Category name],0),0),"")</f>
        <v>Expense</v>
      </c>
      <c r="N941" s="130" t="str" cm="1">
        <f t="array" ref="N941">IFERROR(INDEX(SubcategoriesTable[Subcategory name],MATCH(Table1[[#This Row],[Category]],SubcategoriesTable[Category name],0),0),"")</f>
        <v>Variable</v>
      </c>
      <c r="O941" s="130">
        <v>30</v>
      </c>
      <c r="P941" s="130">
        <f>MONTH(Table1[[#This Row],[Date]])</f>
        <v>5</v>
      </c>
      <c r="Q941" s="130">
        <v>2020</v>
      </c>
      <c r="R941" s="166">
        <f>IF(ISBLANK(Table1[[#This Row],[Date]]),"",Table1[[#This Row],[Date]]-WEEKDAY(Table1[[#This Row],[Date]],2)+1)</f>
        <v>43976</v>
      </c>
      <c r="S941" s="131">
        <f>IF(ISBLANK(Table1[[#This Row],[Date]]),"",DATE(Table1[[#This Row],[Date_Year]],Table1[[#This Row],[Date_Month]],1))</f>
        <v>43952</v>
      </c>
    </row>
    <row r="942" spans="2:19" ht="15.75" x14ac:dyDescent="0.25">
      <c r="B942" s="133">
        <v>43981</v>
      </c>
      <c r="C942" s="128" t="s">
        <v>263</v>
      </c>
      <c r="D942" s="128" t="s">
        <v>46</v>
      </c>
      <c r="E942" s="128" t="str" cm="1">
        <f t="array" ref="E942">IFERROR(INDEX(SubcategoriesTable[Subcategory name],MATCH(Table1[[#This Row],[Category]],SubcategoriesTable[Category name],0),0),"")</f>
        <v>Variable</v>
      </c>
      <c r="F942" s="134">
        <v>-61.98</v>
      </c>
      <c r="G942" s="167" t="str">
        <f>_xlfn.XLOOKUP(Table1[[#This Row],[Account_ID]], Accounts[ID], Accounts[Account nickname], "Unknown")</f>
        <v>Discover it chrome Card</v>
      </c>
      <c r="H942" s="137" t="str">
        <f>_xlfn.XLOOKUP(Table1[[#This Row],[Account_ID]], Accounts[ID], Accounts[Account'#], "Unknown")</f>
        <v>7328</v>
      </c>
      <c r="I942" s="168" t="str">
        <f>_xlfn.XLOOKUP(Table1[[#This Row],[Institution_ID]], Institutions[ID], Institutions[Institution nickname], "Unknown")</f>
        <v>Discover</v>
      </c>
      <c r="J942" s="139" t="s">
        <v>945</v>
      </c>
      <c r="K942" s="129" t="s">
        <v>110</v>
      </c>
      <c r="L942" s="129" t="s">
        <v>108</v>
      </c>
      <c r="M942" s="130" t="str" cm="1">
        <f t="array" ref="M942">IFERROR(INDEX(CategoriesTable[Category type],MATCH(Table1[[#This Row],[Category]],CategoriesTable[Category name],0),0),"")</f>
        <v>Expense</v>
      </c>
      <c r="N942" s="130" t="str" cm="1">
        <f t="array" ref="N942">IFERROR(INDEX(SubcategoriesTable[Subcategory name],MATCH(Table1[[#This Row],[Category]],SubcategoriesTable[Category name],0),0),"")</f>
        <v>Variable</v>
      </c>
      <c r="O942" s="130">
        <v>30</v>
      </c>
      <c r="P942" s="130">
        <f>MONTH(Table1[[#This Row],[Date]])</f>
        <v>5</v>
      </c>
      <c r="Q942" s="130">
        <v>2020</v>
      </c>
      <c r="R942" s="166">
        <f>IF(ISBLANK(Table1[[#This Row],[Date]]),"",Table1[[#This Row],[Date]]-WEEKDAY(Table1[[#This Row],[Date]],2)+1)</f>
        <v>43976</v>
      </c>
      <c r="S942" s="131">
        <f>IF(ISBLANK(Table1[[#This Row],[Date]]),"",DATE(Table1[[#This Row],[Date_Year]],Table1[[#This Row],[Date_Month]],1))</f>
        <v>43952</v>
      </c>
    </row>
    <row r="943" spans="2:19" ht="15.75" x14ac:dyDescent="0.25">
      <c r="B943" s="133">
        <v>43980</v>
      </c>
      <c r="C943" s="128" t="s">
        <v>508</v>
      </c>
      <c r="D943" s="128" t="s">
        <v>50</v>
      </c>
      <c r="E943" s="128" t="str" cm="1">
        <f t="array" ref="E943">IFERROR(INDEX(SubcategoriesTable[Subcategory name],MATCH(Table1[[#This Row],[Category]],SubcategoriesTable[Category name],0),0),"")</f>
        <v>Variable</v>
      </c>
      <c r="F943" s="134">
        <v>-12</v>
      </c>
      <c r="G943" s="167" t="str">
        <f>_xlfn.XLOOKUP(Table1[[#This Row],[Account_ID]], Accounts[ID], Accounts[Account nickname], "Unknown")</f>
        <v>EVERYDAY CHECKING</v>
      </c>
      <c r="H943" s="137" t="str">
        <f>_xlfn.XLOOKUP(Table1[[#This Row],[Account_ID]], Accounts[ID], Accounts[Account'#], "Unknown")</f>
        <v>4636</v>
      </c>
      <c r="I943" s="168" t="str">
        <f>_xlfn.XLOOKUP(Table1[[#This Row],[Institution_ID]], Institutions[ID], Institutions[Institution nickname], "Unknown")</f>
        <v>Wells Fargo</v>
      </c>
      <c r="J943" s="139" t="s">
        <v>1643</v>
      </c>
      <c r="K943" s="129" t="s">
        <v>1229</v>
      </c>
      <c r="L943" s="129" t="s">
        <v>1228</v>
      </c>
      <c r="M943" s="130" t="str" cm="1">
        <f t="array" ref="M943">IFERROR(INDEX(CategoriesTable[Category type],MATCH(Table1[[#This Row],[Category]],CategoriesTable[Category name],0),0),"")</f>
        <v>Transfer</v>
      </c>
      <c r="N943" s="130" t="str" cm="1">
        <f t="array" ref="N943">IFERROR(INDEX(SubcategoriesTable[Subcategory name],MATCH(Table1[[#This Row],[Category]],SubcategoriesTable[Category name],0),0),"")</f>
        <v>Variable</v>
      </c>
      <c r="O943" s="130">
        <v>29</v>
      </c>
      <c r="P943" s="130">
        <f>MONTH(Table1[[#This Row],[Date]])</f>
        <v>5</v>
      </c>
      <c r="Q943" s="130">
        <v>2020</v>
      </c>
      <c r="R943" s="166">
        <f>IF(ISBLANK(Table1[[#This Row],[Date]]),"",Table1[[#This Row],[Date]]-WEEKDAY(Table1[[#This Row],[Date]],2)+1)</f>
        <v>43976</v>
      </c>
      <c r="S943" s="131">
        <f>IF(ISBLANK(Table1[[#This Row],[Date]]),"",DATE(Table1[[#This Row],[Date_Year]],Table1[[#This Row],[Date_Month]],1))</f>
        <v>43952</v>
      </c>
    </row>
    <row r="944" spans="2:19" ht="15.75" x14ac:dyDescent="0.25">
      <c r="B944" s="133">
        <v>43980</v>
      </c>
      <c r="C944" s="128" t="s">
        <v>439</v>
      </c>
      <c r="D944" s="128" t="s">
        <v>55</v>
      </c>
      <c r="E944" s="128" t="str" cm="1">
        <f t="array" ref="E944">IFERROR(INDEX(SubcategoriesTable[Subcategory name],MATCH(Table1[[#This Row],[Category]],SubcategoriesTable[Category name],0),0),"")</f>
        <v>Variable</v>
      </c>
      <c r="F944" s="134">
        <v>-13.2</v>
      </c>
      <c r="G944" s="167" t="str">
        <f>_xlfn.XLOOKUP(Table1[[#This Row],[Account_ID]], Accounts[ID], Accounts[Account nickname], "Unknown")</f>
        <v>Discover it chrome Card</v>
      </c>
      <c r="H944" s="137" t="str">
        <f>_xlfn.XLOOKUP(Table1[[#This Row],[Account_ID]], Accounts[ID], Accounts[Account'#], "Unknown")</f>
        <v>7328</v>
      </c>
      <c r="I944" s="168" t="str">
        <f>_xlfn.XLOOKUP(Table1[[#This Row],[Institution_ID]], Institutions[ID], Institutions[Institution nickname], "Unknown")</f>
        <v>Discover</v>
      </c>
      <c r="J944" s="139" t="s">
        <v>946</v>
      </c>
      <c r="K944" s="129" t="s">
        <v>110</v>
      </c>
      <c r="L944" s="129" t="s">
        <v>108</v>
      </c>
      <c r="M944" s="130" t="str" cm="1">
        <f t="array" ref="M944">IFERROR(INDEX(CategoriesTable[Category type],MATCH(Table1[[#This Row],[Category]],CategoriesTable[Category name],0),0),"")</f>
        <v>Expense</v>
      </c>
      <c r="N944" s="130" t="str" cm="1">
        <f t="array" ref="N944">IFERROR(INDEX(SubcategoriesTable[Subcategory name],MATCH(Table1[[#This Row],[Category]],SubcategoriesTable[Category name],0),0),"")</f>
        <v>Variable</v>
      </c>
      <c r="O944" s="130">
        <v>29</v>
      </c>
      <c r="P944" s="130">
        <f>MONTH(Table1[[#This Row],[Date]])</f>
        <v>5</v>
      </c>
      <c r="Q944" s="130">
        <v>2020</v>
      </c>
      <c r="R944" s="166">
        <f>IF(ISBLANK(Table1[[#This Row],[Date]]),"",Table1[[#This Row],[Date]]-WEEKDAY(Table1[[#This Row],[Date]],2)+1)</f>
        <v>43976</v>
      </c>
      <c r="S944" s="131">
        <f>IF(ISBLANK(Table1[[#This Row],[Date]]),"",DATE(Table1[[#This Row],[Date_Year]],Table1[[#This Row],[Date_Month]],1))</f>
        <v>43952</v>
      </c>
    </row>
    <row r="945" spans="2:19" ht="15.75" x14ac:dyDescent="0.25">
      <c r="B945" s="133">
        <v>43980</v>
      </c>
      <c r="C945" s="128" t="s">
        <v>937</v>
      </c>
      <c r="D945" s="128" t="s">
        <v>46</v>
      </c>
      <c r="E945" s="128" t="str" cm="1">
        <f t="array" ref="E945">IFERROR(INDEX(SubcategoriesTable[Subcategory name],MATCH(Table1[[#This Row],[Category]],SubcategoriesTable[Category name],0),0),"")</f>
        <v>Variable</v>
      </c>
      <c r="F945" s="134">
        <v>-83</v>
      </c>
      <c r="G945" s="167" t="str">
        <f>_xlfn.XLOOKUP(Table1[[#This Row],[Account_ID]], Accounts[ID], Accounts[Account nickname], "Unknown")</f>
        <v>Discover it chrome Card</v>
      </c>
      <c r="H945" s="137" t="str">
        <f>_xlfn.XLOOKUP(Table1[[#This Row],[Account_ID]], Accounts[ID], Accounts[Account'#], "Unknown")</f>
        <v>7328</v>
      </c>
      <c r="I945" s="168" t="str">
        <f>_xlfn.XLOOKUP(Table1[[#This Row],[Institution_ID]], Institutions[ID], Institutions[Institution nickname], "Unknown")</f>
        <v>Discover</v>
      </c>
      <c r="J945" s="139" t="s">
        <v>947</v>
      </c>
      <c r="K945" s="129" t="s">
        <v>110</v>
      </c>
      <c r="L945" s="129" t="s">
        <v>108</v>
      </c>
      <c r="M945" s="130" t="str" cm="1">
        <f t="array" ref="M945">IFERROR(INDEX(CategoriesTable[Category type],MATCH(Table1[[#This Row],[Category]],CategoriesTable[Category name],0),0),"")</f>
        <v>Expense</v>
      </c>
      <c r="N945" s="130" t="str" cm="1">
        <f t="array" ref="N945">IFERROR(INDEX(SubcategoriesTable[Subcategory name],MATCH(Table1[[#This Row],[Category]],SubcategoriesTable[Category name],0),0),"")</f>
        <v>Variable</v>
      </c>
      <c r="O945" s="130">
        <v>29</v>
      </c>
      <c r="P945" s="130">
        <f>MONTH(Table1[[#This Row],[Date]])</f>
        <v>5</v>
      </c>
      <c r="Q945" s="130">
        <v>2020</v>
      </c>
      <c r="R945" s="166">
        <f>IF(ISBLANK(Table1[[#This Row],[Date]]),"",Table1[[#This Row],[Date]]-WEEKDAY(Table1[[#This Row],[Date]],2)+1)</f>
        <v>43976</v>
      </c>
      <c r="S945" s="131">
        <f>IF(ISBLANK(Table1[[#This Row],[Date]]),"",DATE(Table1[[#This Row],[Date_Year]],Table1[[#This Row],[Date_Month]],1))</f>
        <v>43952</v>
      </c>
    </row>
    <row r="946" spans="2:19" ht="15.75" x14ac:dyDescent="0.25">
      <c r="B946" s="133">
        <v>43979</v>
      </c>
      <c r="C946" s="128" t="s">
        <v>1644</v>
      </c>
      <c r="D946" s="128" t="s">
        <v>58</v>
      </c>
      <c r="E946" s="128" t="str" cm="1">
        <f t="array" ref="E946">IFERROR(INDEX(SubcategoriesTable[Subcategory name],MATCH(Table1[[#This Row],[Category]],SubcategoriesTable[Category name],0),0),"")</f>
        <v>Fixed</v>
      </c>
      <c r="F946" s="134">
        <v>-6</v>
      </c>
      <c r="G946" s="167" t="str">
        <f>_xlfn.XLOOKUP(Table1[[#This Row],[Account_ID]], Accounts[ID], Accounts[Account nickname], "Unknown")</f>
        <v>EVERYDAY CHECKING</v>
      </c>
      <c r="H946" s="137" t="str">
        <f>_xlfn.XLOOKUP(Table1[[#This Row],[Account_ID]], Accounts[ID], Accounts[Account'#], "Unknown")</f>
        <v>4636</v>
      </c>
      <c r="I946" s="168" t="str">
        <f>_xlfn.XLOOKUP(Table1[[#This Row],[Institution_ID]], Institutions[ID], Institutions[Institution nickname], "Unknown")</f>
        <v>Wells Fargo</v>
      </c>
      <c r="J946" s="139" t="s">
        <v>1645</v>
      </c>
      <c r="K946" s="129" t="s">
        <v>1229</v>
      </c>
      <c r="L946" s="129" t="s">
        <v>1228</v>
      </c>
      <c r="M946" s="130" t="str" cm="1">
        <f t="array" ref="M946">IFERROR(INDEX(CategoriesTable[Category type],MATCH(Table1[[#This Row],[Category]],CategoriesTable[Category name],0),0),"")</f>
        <v>Expense</v>
      </c>
      <c r="N946" s="130" t="str" cm="1">
        <f t="array" ref="N946">IFERROR(INDEX(SubcategoriesTable[Subcategory name],MATCH(Table1[[#This Row],[Category]],SubcategoriesTable[Category name],0),0),"")</f>
        <v>Fixed</v>
      </c>
      <c r="O946" s="130">
        <v>28</v>
      </c>
      <c r="P946" s="130">
        <f>MONTH(Table1[[#This Row],[Date]])</f>
        <v>5</v>
      </c>
      <c r="Q946" s="130">
        <v>2020</v>
      </c>
      <c r="R946" s="166">
        <f>IF(ISBLANK(Table1[[#This Row],[Date]]),"",Table1[[#This Row],[Date]]-WEEKDAY(Table1[[#This Row],[Date]],2)+1)</f>
        <v>43976</v>
      </c>
      <c r="S946" s="131">
        <f>IF(ISBLANK(Table1[[#This Row],[Date]]),"",DATE(Table1[[#This Row],[Date_Year]],Table1[[#This Row],[Date_Month]],1))</f>
        <v>43952</v>
      </c>
    </row>
    <row r="947" spans="2:19" ht="15.75" x14ac:dyDescent="0.25">
      <c r="B947" s="133">
        <v>43979</v>
      </c>
      <c r="C947" s="128" t="s">
        <v>1182</v>
      </c>
      <c r="D947" s="128" t="s">
        <v>59</v>
      </c>
      <c r="E947" s="128" t="str" cm="1">
        <f t="array" ref="E947">IFERROR(INDEX(SubcategoriesTable[Subcategory name],MATCH(Table1[[#This Row],[Category]],SubcategoriesTable[Category name],0),0),"")</f>
        <v>Fixed</v>
      </c>
      <c r="F947" s="134">
        <v>0.2</v>
      </c>
      <c r="G947" s="167" t="str">
        <f>_xlfn.XLOOKUP(Table1[[#This Row],[Account_ID]], Accounts[ID], Accounts[Account nickname], "Unknown")</f>
        <v>EVERYDAY CHECKING</v>
      </c>
      <c r="H947" s="137" t="str">
        <f>_xlfn.XLOOKUP(Table1[[#This Row],[Account_ID]], Accounts[ID], Accounts[Account'#], "Unknown")</f>
        <v>4636</v>
      </c>
      <c r="I947" s="168" t="str">
        <f>_xlfn.XLOOKUP(Table1[[#This Row],[Institution_ID]], Institutions[ID], Institutions[Institution nickname], "Unknown")</f>
        <v>Wells Fargo</v>
      </c>
      <c r="J947" s="139" t="s">
        <v>1646</v>
      </c>
      <c r="K947" s="129" t="s">
        <v>1229</v>
      </c>
      <c r="L947" s="129" t="s">
        <v>1228</v>
      </c>
      <c r="M947" s="130" t="str" cm="1">
        <f t="array" ref="M947">IFERROR(INDEX(CategoriesTable[Category type],MATCH(Table1[[#This Row],[Category]],CategoriesTable[Category name],0),0),"")</f>
        <v>Income</v>
      </c>
      <c r="N947" s="130" t="str" cm="1">
        <f t="array" ref="N947">IFERROR(INDEX(SubcategoriesTable[Subcategory name],MATCH(Table1[[#This Row],[Category]],SubcategoriesTable[Category name],0),0),"")</f>
        <v>Fixed</v>
      </c>
      <c r="O947" s="130">
        <v>28</v>
      </c>
      <c r="P947" s="130">
        <f>MONTH(Table1[[#This Row],[Date]])</f>
        <v>5</v>
      </c>
      <c r="Q947" s="130">
        <v>2020</v>
      </c>
      <c r="R947" s="166">
        <f>IF(ISBLANK(Table1[[#This Row],[Date]]),"",Table1[[#This Row],[Date]]-WEEKDAY(Table1[[#This Row],[Date]],2)+1)</f>
        <v>43976</v>
      </c>
      <c r="S947" s="131">
        <f>IF(ISBLANK(Table1[[#This Row],[Date]]),"",DATE(Table1[[#This Row],[Date_Year]],Table1[[#This Row],[Date_Month]],1))</f>
        <v>43952</v>
      </c>
    </row>
    <row r="948" spans="2:19" ht="15.75" x14ac:dyDescent="0.25">
      <c r="B948" s="133">
        <v>43978</v>
      </c>
      <c r="C948" s="128" t="s">
        <v>1647</v>
      </c>
      <c r="D948" s="128" t="s">
        <v>50</v>
      </c>
      <c r="E948" s="128" t="str" cm="1">
        <f t="array" ref="E948">IFERROR(INDEX(SubcategoriesTable[Subcategory name],MATCH(Table1[[#This Row],[Category]],SubcategoriesTable[Category name],0),0),"")</f>
        <v>Variable</v>
      </c>
      <c r="F948" s="134">
        <v>-12.49</v>
      </c>
      <c r="G948" s="167" t="str">
        <f>_xlfn.XLOOKUP(Table1[[#This Row],[Account_ID]], Accounts[ID], Accounts[Account nickname], "Unknown")</f>
        <v>EVERYDAY CHECKING</v>
      </c>
      <c r="H948" s="137" t="str">
        <f>_xlfn.XLOOKUP(Table1[[#This Row],[Account_ID]], Accounts[ID], Accounts[Account'#], "Unknown")</f>
        <v>4636</v>
      </c>
      <c r="I948" s="168" t="str">
        <f>_xlfn.XLOOKUP(Table1[[#This Row],[Institution_ID]], Institutions[ID], Institutions[Institution nickname], "Unknown")</f>
        <v>Wells Fargo</v>
      </c>
      <c r="J948" s="139" t="s">
        <v>1648</v>
      </c>
      <c r="K948" s="129" t="s">
        <v>1229</v>
      </c>
      <c r="L948" s="129" t="s">
        <v>1228</v>
      </c>
      <c r="M948" s="130" t="str" cm="1">
        <f t="array" ref="M948">IFERROR(INDEX(CategoriesTable[Category type],MATCH(Table1[[#This Row],[Category]],CategoriesTable[Category name],0),0),"")</f>
        <v>Transfer</v>
      </c>
      <c r="N948" s="130" t="str" cm="1">
        <f t="array" ref="N948">IFERROR(INDEX(SubcategoriesTable[Subcategory name],MATCH(Table1[[#This Row],[Category]],SubcategoriesTable[Category name],0),0),"")</f>
        <v>Variable</v>
      </c>
      <c r="O948" s="130">
        <v>27</v>
      </c>
      <c r="P948" s="130">
        <f>MONTH(Table1[[#This Row],[Date]])</f>
        <v>5</v>
      </c>
      <c r="Q948" s="130">
        <v>2020</v>
      </c>
      <c r="R948" s="166">
        <f>IF(ISBLANK(Table1[[#This Row],[Date]]),"",Table1[[#This Row],[Date]]-WEEKDAY(Table1[[#This Row],[Date]],2)+1)</f>
        <v>43976</v>
      </c>
      <c r="S948" s="131">
        <f>IF(ISBLANK(Table1[[#This Row],[Date]]),"",DATE(Table1[[#This Row],[Date_Year]],Table1[[#This Row],[Date_Month]],1))</f>
        <v>43952</v>
      </c>
    </row>
    <row r="949" spans="2:19" ht="15.75" x14ac:dyDescent="0.25">
      <c r="B949" s="133">
        <v>43978</v>
      </c>
      <c r="C949" s="128" t="s">
        <v>1649</v>
      </c>
      <c r="D949" s="128" t="s">
        <v>50</v>
      </c>
      <c r="E949" s="128" t="str" cm="1">
        <f t="array" ref="E949">IFERROR(INDEX(SubcategoriesTable[Subcategory name],MATCH(Table1[[#This Row],[Category]],SubcategoriesTable[Category name],0),0),"")</f>
        <v>Variable</v>
      </c>
      <c r="F949" s="134">
        <v>-10.63</v>
      </c>
      <c r="G949" s="167" t="str">
        <f>_xlfn.XLOOKUP(Table1[[#This Row],[Account_ID]], Accounts[ID], Accounts[Account nickname], "Unknown")</f>
        <v>EVERYDAY CHECKING</v>
      </c>
      <c r="H949" s="137" t="str">
        <f>_xlfn.XLOOKUP(Table1[[#This Row],[Account_ID]], Accounts[ID], Accounts[Account'#], "Unknown")</f>
        <v>4636</v>
      </c>
      <c r="I949" s="168" t="str">
        <f>_xlfn.XLOOKUP(Table1[[#This Row],[Institution_ID]], Institutions[ID], Institutions[Institution nickname], "Unknown")</f>
        <v>Wells Fargo</v>
      </c>
      <c r="J949" s="139" t="s">
        <v>1650</v>
      </c>
      <c r="K949" s="129" t="s">
        <v>1229</v>
      </c>
      <c r="L949" s="129" t="s">
        <v>1228</v>
      </c>
      <c r="M949" s="130" t="str" cm="1">
        <f t="array" ref="M949">IFERROR(INDEX(CategoriesTable[Category type],MATCH(Table1[[#This Row],[Category]],CategoriesTable[Category name],0),0),"")</f>
        <v>Transfer</v>
      </c>
      <c r="N949" s="130" t="str" cm="1">
        <f t="array" ref="N949">IFERROR(INDEX(SubcategoriesTable[Subcategory name],MATCH(Table1[[#This Row],[Category]],SubcategoriesTable[Category name],0),0),"")</f>
        <v>Variable</v>
      </c>
      <c r="O949" s="130">
        <v>27</v>
      </c>
      <c r="P949" s="130">
        <f>MONTH(Table1[[#This Row],[Date]])</f>
        <v>5</v>
      </c>
      <c r="Q949" s="130">
        <v>2020</v>
      </c>
      <c r="R949" s="166">
        <f>IF(ISBLANK(Table1[[#This Row],[Date]]),"",Table1[[#This Row],[Date]]-WEEKDAY(Table1[[#This Row],[Date]],2)+1)</f>
        <v>43976</v>
      </c>
      <c r="S949" s="131">
        <f>IF(ISBLANK(Table1[[#This Row],[Date]]),"",DATE(Table1[[#This Row],[Date_Year]],Table1[[#This Row],[Date_Month]],1))</f>
        <v>43952</v>
      </c>
    </row>
    <row r="950" spans="2:19" ht="15.75" x14ac:dyDescent="0.25">
      <c r="B950" s="133">
        <v>43978</v>
      </c>
      <c r="C950" s="128" t="s">
        <v>1628</v>
      </c>
      <c r="D950" s="128" t="s">
        <v>50</v>
      </c>
      <c r="E950" s="128" t="str" cm="1">
        <f t="array" ref="E950">IFERROR(INDEX(SubcategoriesTable[Subcategory name],MATCH(Table1[[#This Row],[Category]],SubcategoriesTable[Category name],0),0),"")</f>
        <v>Variable</v>
      </c>
      <c r="F950" s="134">
        <v>-8.41</v>
      </c>
      <c r="G950" s="167" t="str">
        <f>_xlfn.XLOOKUP(Table1[[#This Row],[Account_ID]], Accounts[ID], Accounts[Account nickname], "Unknown")</f>
        <v>EVERYDAY CHECKING</v>
      </c>
      <c r="H950" s="137" t="str">
        <f>_xlfn.XLOOKUP(Table1[[#This Row],[Account_ID]], Accounts[ID], Accounts[Account'#], "Unknown")</f>
        <v>4636</v>
      </c>
      <c r="I950" s="168" t="str">
        <f>_xlfn.XLOOKUP(Table1[[#This Row],[Institution_ID]], Institutions[ID], Institutions[Institution nickname], "Unknown")</f>
        <v>Wells Fargo</v>
      </c>
      <c r="J950" s="139" t="s">
        <v>1651</v>
      </c>
      <c r="K950" s="129" t="s">
        <v>1229</v>
      </c>
      <c r="L950" s="129" t="s">
        <v>1228</v>
      </c>
      <c r="M950" s="130" t="str" cm="1">
        <f t="array" ref="M950">IFERROR(INDEX(CategoriesTable[Category type],MATCH(Table1[[#This Row],[Category]],CategoriesTable[Category name],0),0),"")</f>
        <v>Transfer</v>
      </c>
      <c r="N950" s="130" t="str" cm="1">
        <f t="array" ref="N950">IFERROR(INDEX(SubcategoriesTable[Subcategory name],MATCH(Table1[[#This Row],[Category]],SubcategoriesTable[Category name],0),0),"")</f>
        <v>Variable</v>
      </c>
      <c r="O950" s="130">
        <v>27</v>
      </c>
      <c r="P950" s="130">
        <f>MONTH(Table1[[#This Row],[Date]])</f>
        <v>5</v>
      </c>
      <c r="Q950" s="130">
        <v>2020</v>
      </c>
      <c r="R950" s="166">
        <f>IF(ISBLANK(Table1[[#This Row],[Date]]),"",Table1[[#This Row],[Date]]-WEEKDAY(Table1[[#This Row],[Date]],2)+1)</f>
        <v>43976</v>
      </c>
      <c r="S950" s="131">
        <f>IF(ISBLANK(Table1[[#This Row],[Date]]),"",DATE(Table1[[#This Row],[Date_Year]],Table1[[#This Row],[Date_Month]],1))</f>
        <v>43952</v>
      </c>
    </row>
    <row r="951" spans="2:19" ht="15.75" x14ac:dyDescent="0.25">
      <c r="B951" s="133">
        <v>43978</v>
      </c>
      <c r="C951" s="128" t="s">
        <v>1652</v>
      </c>
      <c r="D951" s="128" t="s">
        <v>2369</v>
      </c>
      <c r="E951" s="128" t="str" cm="1">
        <f t="array" ref="E951">IFERROR(INDEX(SubcategoriesTable[Subcategory name],MATCH(Table1[[#This Row],[Category]],SubcategoriesTable[Category name],0),0),"")</f>
        <v>Variable</v>
      </c>
      <c r="F951" s="134">
        <v>-36.090000000000003</v>
      </c>
      <c r="G951" s="167" t="str">
        <f>_xlfn.XLOOKUP(Table1[[#This Row],[Account_ID]], Accounts[ID], Accounts[Account nickname], "Unknown")</f>
        <v>EVERYDAY CHECKING</v>
      </c>
      <c r="H951" s="137" t="str">
        <f>_xlfn.XLOOKUP(Table1[[#This Row],[Account_ID]], Accounts[ID], Accounts[Account'#], "Unknown")</f>
        <v>4636</v>
      </c>
      <c r="I951" s="168" t="str">
        <f>_xlfn.XLOOKUP(Table1[[#This Row],[Institution_ID]], Institutions[ID], Institutions[Institution nickname], "Unknown")</f>
        <v>Wells Fargo</v>
      </c>
      <c r="J951" s="139" t="s">
        <v>1653</v>
      </c>
      <c r="K951" s="129" t="s">
        <v>1229</v>
      </c>
      <c r="L951" s="129" t="s">
        <v>1228</v>
      </c>
      <c r="M951" s="130" t="str" cm="1">
        <f t="array" ref="M951">IFERROR(INDEX(CategoriesTable[Category type],MATCH(Table1[[#This Row],[Category]],CategoriesTable[Category name],0),0),"")</f>
        <v>Expense</v>
      </c>
      <c r="N951" s="130" t="str" cm="1">
        <f t="array" ref="N951">IFERROR(INDEX(SubcategoriesTable[Subcategory name],MATCH(Table1[[#This Row],[Category]],SubcategoriesTable[Category name],0),0),"")</f>
        <v>Variable</v>
      </c>
      <c r="O951" s="130">
        <v>27</v>
      </c>
      <c r="P951" s="130">
        <f>MONTH(Table1[[#This Row],[Date]])</f>
        <v>5</v>
      </c>
      <c r="Q951" s="130">
        <v>2020</v>
      </c>
      <c r="R951" s="166">
        <f>IF(ISBLANK(Table1[[#This Row],[Date]]),"",Table1[[#This Row],[Date]]-WEEKDAY(Table1[[#This Row],[Date]],2)+1)</f>
        <v>43976</v>
      </c>
      <c r="S951" s="131">
        <f>IF(ISBLANK(Table1[[#This Row],[Date]]),"",DATE(Table1[[#This Row],[Date_Year]],Table1[[#This Row],[Date_Month]],1))</f>
        <v>43952</v>
      </c>
    </row>
    <row r="952" spans="2:19" ht="15.75" x14ac:dyDescent="0.25">
      <c r="B952" s="133">
        <v>43978</v>
      </c>
      <c r="C952" s="128" t="s">
        <v>1182</v>
      </c>
      <c r="D952" s="128" t="s">
        <v>50</v>
      </c>
      <c r="E952" s="128" t="str" cm="1">
        <f t="array" ref="E952">IFERROR(INDEX(SubcategoriesTable[Subcategory name],MATCH(Table1[[#This Row],[Category]],SubcategoriesTable[Category name],0),0),"")</f>
        <v>Variable</v>
      </c>
      <c r="F952" s="134">
        <v>10.43</v>
      </c>
      <c r="G952" s="167" t="str">
        <f>_xlfn.XLOOKUP(Table1[[#This Row],[Account_ID]], Accounts[ID], Accounts[Account nickname], "Unknown")</f>
        <v>EVERYDAY CHECKING</v>
      </c>
      <c r="H952" s="137" t="str">
        <f>_xlfn.XLOOKUP(Table1[[#This Row],[Account_ID]], Accounts[ID], Accounts[Account'#], "Unknown")</f>
        <v>4636</v>
      </c>
      <c r="I952" s="168" t="str">
        <f>_xlfn.XLOOKUP(Table1[[#This Row],[Institution_ID]], Institutions[ID], Institutions[Institution nickname], "Unknown")</f>
        <v>Wells Fargo</v>
      </c>
      <c r="J952" s="139" t="s">
        <v>1654</v>
      </c>
      <c r="K952" s="129" t="s">
        <v>1229</v>
      </c>
      <c r="L952" s="129" t="s">
        <v>1228</v>
      </c>
      <c r="M952" s="130" t="str" cm="1">
        <f t="array" ref="M952">IFERROR(INDEX(CategoriesTable[Category type],MATCH(Table1[[#This Row],[Category]],CategoriesTable[Category name],0),0),"")</f>
        <v>Transfer</v>
      </c>
      <c r="N952" s="130" t="str" cm="1">
        <f t="array" ref="N952">IFERROR(INDEX(SubcategoriesTable[Subcategory name],MATCH(Table1[[#This Row],[Category]],SubcategoriesTable[Category name],0),0),"")</f>
        <v>Variable</v>
      </c>
      <c r="O952" s="130">
        <v>27</v>
      </c>
      <c r="P952" s="130">
        <f>MONTH(Table1[[#This Row],[Date]])</f>
        <v>5</v>
      </c>
      <c r="Q952" s="130">
        <v>2020</v>
      </c>
      <c r="R952" s="166">
        <f>IF(ISBLANK(Table1[[#This Row],[Date]]),"",Table1[[#This Row],[Date]]-WEEKDAY(Table1[[#This Row],[Date]],2)+1)</f>
        <v>43976</v>
      </c>
      <c r="S952" s="131">
        <f>IF(ISBLANK(Table1[[#This Row],[Date]]),"",DATE(Table1[[#This Row],[Date_Year]],Table1[[#This Row],[Date_Month]],1))</f>
        <v>43952</v>
      </c>
    </row>
    <row r="953" spans="2:19" ht="15.75" x14ac:dyDescent="0.25">
      <c r="B953" s="133">
        <v>43978</v>
      </c>
      <c r="C953" s="128" t="s">
        <v>948</v>
      </c>
      <c r="D953" s="128" t="s">
        <v>51</v>
      </c>
      <c r="E953" s="128" t="str" cm="1">
        <f t="array" ref="E953">IFERROR(INDEX(SubcategoriesTable[Subcategory name],MATCH(Table1[[#This Row],[Category]],SubcategoriesTable[Category name],0),0),"")</f>
        <v>Variable</v>
      </c>
      <c r="F953" s="134">
        <v>-23.9</v>
      </c>
      <c r="G953" s="167" t="str">
        <f>_xlfn.XLOOKUP(Table1[[#This Row],[Account_ID]], Accounts[ID], Accounts[Account nickname], "Unknown")</f>
        <v>Discover it chrome Card</v>
      </c>
      <c r="H953" s="137" t="str">
        <f>_xlfn.XLOOKUP(Table1[[#This Row],[Account_ID]], Accounts[ID], Accounts[Account'#], "Unknown")</f>
        <v>7328</v>
      </c>
      <c r="I953" s="168" t="str">
        <f>_xlfn.XLOOKUP(Table1[[#This Row],[Institution_ID]], Institutions[ID], Institutions[Institution nickname], "Unknown")</f>
        <v>Discover</v>
      </c>
      <c r="J953" s="139" t="s">
        <v>949</v>
      </c>
      <c r="K953" s="129" t="s">
        <v>110</v>
      </c>
      <c r="L953" s="129" t="s">
        <v>108</v>
      </c>
      <c r="M953" s="130" t="str" cm="1">
        <f t="array" ref="M953">IFERROR(INDEX(CategoriesTable[Category type],MATCH(Table1[[#This Row],[Category]],CategoriesTable[Category name],0),0),"")</f>
        <v>Expense</v>
      </c>
      <c r="N953" s="130" t="str" cm="1">
        <f t="array" ref="N953">IFERROR(INDEX(SubcategoriesTable[Subcategory name],MATCH(Table1[[#This Row],[Category]],SubcategoriesTable[Category name],0),0),"")</f>
        <v>Variable</v>
      </c>
      <c r="O953" s="130">
        <v>27</v>
      </c>
      <c r="P953" s="130">
        <f>MONTH(Table1[[#This Row],[Date]])</f>
        <v>5</v>
      </c>
      <c r="Q953" s="130">
        <v>2020</v>
      </c>
      <c r="R953" s="166">
        <f>IF(ISBLANK(Table1[[#This Row],[Date]]),"",Table1[[#This Row],[Date]]-WEEKDAY(Table1[[#This Row],[Date]],2)+1)</f>
        <v>43976</v>
      </c>
      <c r="S953" s="131">
        <f>IF(ISBLANK(Table1[[#This Row],[Date]]),"",DATE(Table1[[#This Row],[Date_Year]],Table1[[#This Row],[Date_Month]],1))</f>
        <v>43952</v>
      </c>
    </row>
    <row r="954" spans="2:19" ht="15.75" x14ac:dyDescent="0.25">
      <c r="B954" s="133">
        <v>43977</v>
      </c>
      <c r="C954" s="128" t="s">
        <v>1194</v>
      </c>
      <c r="D954" s="128" t="s">
        <v>59</v>
      </c>
      <c r="E954" s="128" t="str" cm="1">
        <f t="array" ref="E954">IFERROR(INDEX(SubcategoriesTable[Subcategory name],MATCH(Table1[[#This Row],[Category]],SubcategoriesTable[Category name],0),0),"")</f>
        <v>Fixed</v>
      </c>
      <c r="F954" s="134">
        <v>157.59</v>
      </c>
      <c r="G954" s="167" t="str">
        <f>_xlfn.XLOOKUP(Table1[[#This Row],[Account_ID]], Accounts[ID], Accounts[Account nickname], "Unknown")</f>
        <v>EVERYDAY CHECKING</v>
      </c>
      <c r="H954" s="137" t="str">
        <f>_xlfn.XLOOKUP(Table1[[#This Row],[Account_ID]], Accounts[ID], Accounts[Account'#], "Unknown")</f>
        <v>4636</v>
      </c>
      <c r="I954" s="168" t="str">
        <f>_xlfn.XLOOKUP(Table1[[#This Row],[Institution_ID]], Institutions[ID], Institutions[Institution nickname], "Unknown")</f>
        <v>Wells Fargo</v>
      </c>
      <c r="J954" s="139" t="s">
        <v>1655</v>
      </c>
      <c r="K954" s="129" t="s">
        <v>1229</v>
      </c>
      <c r="L954" s="129" t="s">
        <v>1228</v>
      </c>
      <c r="M954" s="130" t="str" cm="1">
        <f t="array" ref="M954">IFERROR(INDEX(CategoriesTable[Category type],MATCH(Table1[[#This Row],[Category]],CategoriesTable[Category name],0),0),"")</f>
        <v>Income</v>
      </c>
      <c r="N954" s="130" t="str" cm="1">
        <f t="array" ref="N954">IFERROR(INDEX(SubcategoriesTable[Subcategory name],MATCH(Table1[[#This Row],[Category]],SubcategoriesTable[Category name],0),0),"")</f>
        <v>Fixed</v>
      </c>
      <c r="O954" s="130">
        <v>26</v>
      </c>
      <c r="P954" s="130">
        <f>MONTH(Table1[[#This Row],[Date]])</f>
        <v>5</v>
      </c>
      <c r="Q954" s="130">
        <v>2020</v>
      </c>
      <c r="R954" s="166">
        <f>IF(ISBLANK(Table1[[#This Row],[Date]]),"",Table1[[#This Row],[Date]]-WEEKDAY(Table1[[#This Row],[Date]],2)+1)</f>
        <v>43976</v>
      </c>
      <c r="S954" s="131">
        <f>IF(ISBLANK(Table1[[#This Row],[Date]]),"",DATE(Table1[[#This Row],[Date_Year]],Table1[[#This Row],[Date_Month]],1))</f>
        <v>43952</v>
      </c>
    </row>
    <row r="955" spans="2:19" ht="15.75" x14ac:dyDescent="0.25">
      <c r="B955" s="133">
        <v>43977</v>
      </c>
      <c r="C955" s="128" t="s">
        <v>1656</v>
      </c>
      <c r="D955" s="128" t="s">
        <v>58</v>
      </c>
      <c r="E955" s="128" t="str" cm="1">
        <f t="array" ref="E955">IFERROR(INDEX(SubcategoriesTable[Subcategory name],MATCH(Table1[[#This Row],[Category]],SubcategoriesTable[Category name],0),0),"")</f>
        <v>Fixed</v>
      </c>
      <c r="F955" s="134">
        <v>-500</v>
      </c>
      <c r="G955" s="167" t="str">
        <f>_xlfn.XLOOKUP(Table1[[#This Row],[Account_ID]], Accounts[ID], Accounts[Account nickname], "Unknown")</f>
        <v>EVERYDAY CHECKING</v>
      </c>
      <c r="H955" s="137" t="str">
        <f>_xlfn.XLOOKUP(Table1[[#This Row],[Account_ID]], Accounts[ID], Accounts[Account'#], "Unknown")</f>
        <v>4636</v>
      </c>
      <c r="I955" s="168" t="str">
        <f>_xlfn.XLOOKUP(Table1[[#This Row],[Institution_ID]], Institutions[ID], Institutions[Institution nickname], "Unknown")</f>
        <v>Wells Fargo</v>
      </c>
      <c r="J955" s="139" t="s">
        <v>1657</v>
      </c>
      <c r="K955" s="129" t="s">
        <v>1229</v>
      </c>
      <c r="L955" s="129" t="s">
        <v>1228</v>
      </c>
      <c r="M955" s="130" t="str" cm="1">
        <f t="array" ref="M955">IFERROR(INDEX(CategoriesTable[Category type],MATCH(Table1[[#This Row],[Category]],CategoriesTable[Category name],0),0),"")</f>
        <v>Expense</v>
      </c>
      <c r="N955" s="130" t="str" cm="1">
        <f t="array" ref="N955">IFERROR(INDEX(SubcategoriesTable[Subcategory name],MATCH(Table1[[#This Row],[Category]],SubcategoriesTable[Category name],0),0),"")</f>
        <v>Fixed</v>
      </c>
      <c r="O955" s="130">
        <v>26</v>
      </c>
      <c r="P955" s="130">
        <f>MONTH(Table1[[#This Row],[Date]])</f>
        <v>5</v>
      </c>
      <c r="Q955" s="130">
        <v>2020</v>
      </c>
      <c r="R955" s="166">
        <f>IF(ISBLANK(Table1[[#This Row],[Date]]),"",Table1[[#This Row],[Date]]-WEEKDAY(Table1[[#This Row],[Date]],2)+1)</f>
        <v>43976</v>
      </c>
      <c r="S955" s="131">
        <f>IF(ISBLANK(Table1[[#This Row],[Date]]),"",DATE(Table1[[#This Row],[Date_Year]],Table1[[#This Row],[Date_Month]],1))</f>
        <v>43952</v>
      </c>
    </row>
    <row r="956" spans="2:19" ht="15.75" x14ac:dyDescent="0.25">
      <c r="B956" s="133">
        <v>43976</v>
      </c>
      <c r="C956" s="128" t="s">
        <v>441</v>
      </c>
      <c r="D956" s="128" t="s">
        <v>56</v>
      </c>
      <c r="E956" s="128" t="str" cm="1">
        <f t="array" ref="E956">IFERROR(INDEX(SubcategoriesTable[Subcategory name],MATCH(Table1[[#This Row],[Category]],SubcategoriesTable[Category name],0),0),"")</f>
        <v>Variable</v>
      </c>
      <c r="F956" s="134">
        <v>-110</v>
      </c>
      <c r="G956" s="167" t="str">
        <f>_xlfn.XLOOKUP(Table1[[#This Row],[Account_ID]], Accounts[ID], Accounts[Account nickname], "Unknown")</f>
        <v>EVERYDAY CHECKING</v>
      </c>
      <c r="H956" s="137" t="str">
        <f>_xlfn.XLOOKUP(Table1[[#This Row],[Account_ID]], Accounts[ID], Accounts[Account'#], "Unknown")</f>
        <v>4636</v>
      </c>
      <c r="I956" s="168" t="str">
        <f>_xlfn.XLOOKUP(Table1[[#This Row],[Institution_ID]], Institutions[ID], Institutions[Institution nickname], "Unknown")</f>
        <v>Wells Fargo</v>
      </c>
      <c r="J956" s="139" t="s">
        <v>1658</v>
      </c>
      <c r="K956" s="129" t="s">
        <v>1229</v>
      </c>
      <c r="L956" s="129" t="s">
        <v>1228</v>
      </c>
      <c r="M956" s="130" t="str" cm="1">
        <f t="array" ref="M956">IFERROR(INDEX(CategoriesTable[Category type],MATCH(Table1[[#This Row],[Category]],CategoriesTable[Category name],0),0),"")</f>
        <v>Expense</v>
      </c>
      <c r="N956" s="130" t="str" cm="1">
        <f t="array" ref="N956">IFERROR(INDEX(SubcategoriesTable[Subcategory name],MATCH(Table1[[#This Row],[Category]],SubcategoriesTable[Category name],0),0),"")</f>
        <v>Variable</v>
      </c>
      <c r="O956" s="130">
        <v>25</v>
      </c>
      <c r="P956" s="130">
        <f>MONTH(Table1[[#This Row],[Date]])</f>
        <v>5</v>
      </c>
      <c r="Q956" s="130">
        <v>2020</v>
      </c>
      <c r="R956" s="166">
        <f>IF(ISBLANK(Table1[[#This Row],[Date]]),"",Table1[[#This Row],[Date]]-WEEKDAY(Table1[[#This Row],[Date]],2)+1)</f>
        <v>43976</v>
      </c>
      <c r="S956" s="131">
        <f>IF(ISBLANK(Table1[[#This Row],[Date]]),"",DATE(Table1[[#This Row],[Date_Year]],Table1[[#This Row],[Date_Month]],1))</f>
        <v>43952</v>
      </c>
    </row>
    <row r="957" spans="2:19" ht="15.75" x14ac:dyDescent="0.25">
      <c r="B957" s="133">
        <v>43976</v>
      </c>
      <c r="C957" s="128" t="s">
        <v>439</v>
      </c>
      <c r="D957" s="128" t="s">
        <v>55</v>
      </c>
      <c r="E957" s="128" t="str" cm="1">
        <f t="array" ref="E957">IFERROR(INDEX(SubcategoriesTable[Subcategory name],MATCH(Table1[[#This Row],[Category]],SubcategoriesTable[Category name],0),0),"")</f>
        <v>Variable</v>
      </c>
      <c r="F957" s="134">
        <v>-25.44</v>
      </c>
      <c r="G957" s="167" t="str">
        <f>_xlfn.XLOOKUP(Table1[[#This Row],[Account_ID]], Accounts[ID], Accounts[Account nickname], "Unknown")</f>
        <v>EVERYDAY CHECKING</v>
      </c>
      <c r="H957" s="137" t="str">
        <f>_xlfn.XLOOKUP(Table1[[#This Row],[Account_ID]], Accounts[ID], Accounts[Account'#], "Unknown")</f>
        <v>4636</v>
      </c>
      <c r="I957" s="168" t="str">
        <f>_xlfn.XLOOKUP(Table1[[#This Row],[Institution_ID]], Institutions[ID], Institutions[Institution nickname], "Unknown")</f>
        <v>Wells Fargo</v>
      </c>
      <c r="J957" s="139" t="s">
        <v>1659</v>
      </c>
      <c r="K957" s="129" t="s">
        <v>1229</v>
      </c>
      <c r="L957" s="129" t="s">
        <v>1228</v>
      </c>
      <c r="M957" s="130" t="str" cm="1">
        <f t="array" ref="M957">IFERROR(INDEX(CategoriesTable[Category type],MATCH(Table1[[#This Row],[Category]],CategoriesTable[Category name],0),0),"")</f>
        <v>Expense</v>
      </c>
      <c r="N957" s="130" t="str" cm="1">
        <f t="array" ref="N957">IFERROR(INDEX(SubcategoriesTable[Subcategory name],MATCH(Table1[[#This Row],[Category]],SubcategoriesTable[Category name],0),0),"")</f>
        <v>Variable</v>
      </c>
      <c r="O957" s="130">
        <v>25</v>
      </c>
      <c r="P957" s="130">
        <f>MONTH(Table1[[#This Row],[Date]])</f>
        <v>5</v>
      </c>
      <c r="Q957" s="130">
        <v>2020</v>
      </c>
      <c r="R957" s="166">
        <f>IF(ISBLANK(Table1[[#This Row],[Date]]),"",Table1[[#This Row],[Date]]-WEEKDAY(Table1[[#This Row],[Date]],2)+1)</f>
        <v>43976</v>
      </c>
      <c r="S957" s="131">
        <f>IF(ISBLANK(Table1[[#This Row],[Date]]),"",DATE(Table1[[#This Row],[Date_Year]],Table1[[#This Row],[Date_Month]],1))</f>
        <v>43952</v>
      </c>
    </row>
    <row r="958" spans="2:19" ht="15.75" x14ac:dyDescent="0.25">
      <c r="B958" s="133">
        <v>43976</v>
      </c>
      <c r="C958" s="128" t="s">
        <v>152</v>
      </c>
      <c r="D958" s="128" t="s">
        <v>54</v>
      </c>
      <c r="E958" s="128" t="str" cm="1">
        <f t="array" ref="E958">IFERROR(INDEX(SubcategoriesTable[Subcategory name],MATCH(Table1[[#This Row],[Category]],SubcategoriesTable[Category name],0),0),"")</f>
        <v>Fixed</v>
      </c>
      <c r="F958" s="134">
        <v>-15.99</v>
      </c>
      <c r="G958" s="167" t="str">
        <f>_xlfn.XLOOKUP(Table1[[#This Row],[Account_ID]], Accounts[ID], Accounts[Account nickname], "Unknown")</f>
        <v>EVERYDAY CHECKING</v>
      </c>
      <c r="H958" s="137" t="str">
        <f>_xlfn.XLOOKUP(Table1[[#This Row],[Account_ID]], Accounts[ID], Accounts[Account'#], "Unknown")</f>
        <v>4636</v>
      </c>
      <c r="I958" s="168" t="str">
        <f>_xlfn.XLOOKUP(Table1[[#This Row],[Institution_ID]], Institutions[ID], Institutions[Institution nickname], "Unknown")</f>
        <v>Wells Fargo</v>
      </c>
      <c r="J958" s="139" t="s">
        <v>1660</v>
      </c>
      <c r="K958" s="129" t="s">
        <v>1229</v>
      </c>
      <c r="L958" s="129" t="s">
        <v>1228</v>
      </c>
      <c r="M958" s="130" t="str" cm="1">
        <f t="array" ref="M958">IFERROR(INDEX(CategoriesTable[Category type],MATCH(Table1[[#This Row],[Category]],CategoriesTable[Category name],0),0),"")</f>
        <v>Expense</v>
      </c>
      <c r="N958" s="130" t="str" cm="1">
        <f t="array" ref="N958">IFERROR(INDEX(SubcategoriesTable[Subcategory name],MATCH(Table1[[#This Row],[Category]],SubcategoriesTable[Category name],0),0),"")</f>
        <v>Fixed</v>
      </c>
      <c r="O958" s="130">
        <v>25</v>
      </c>
      <c r="P958" s="130">
        <f>MONTH(Table1[[#This Row],[Date]])</f>
        <v>5</v>
      </c>
      <c r="Q958" s="130">
        <v>2020</v>
      </c>
      <c r="R958" s="166">
        <f>IF(ISBLANK(Table1[[#This Row],[Date]]),"",Table1[[#This Row],[Date]]-WEEKDAY(Table1[[#This Row],[Date]],2)+1)</f>
        <v>43976</v>
      </c>
      <c r="S958" s="131">
        <f>IF(ISBLANK(Table1[[#This Row],[Date]]),"",DATE(Table1[[#This Row],[Date_Year]],Table1[[#This Row],[Date_Month]],1))</f>
        <v>43952</v>
      </c>
    </row>
    <row r="959" spans="2:19" ht="15.75" x14ac:dyDescent="0.25">
      <c r="B959" s="133">
        <v>43975</v>
      </c>
      <c r="C959" s="128" t="s">
        <v>186</v>
      </c>
      <c r="D959" s="128" t="s">
        <v>52</v>
      </c>
      <c r="E959" s="128" t="str" cm="1">
        <f t="array" ref="E959">IFERROR(INDEX(SubcategoriesTable[Subcategory name],MATCH(Table1[[#This Row],[Category]],SubcategoriesTable[Category name],0),0),"")</f>
        <v>Variable</v>
      </c>
      <c r="F959" s="134">
        <v>-4.2300000000000004</v>
      </c>
      <c r="G959" s="167" t="str">
        <f>_xlfn.XLOOKUP(Table1[[#This Row],[Account_ID]], Accounts[ID], Accounts[Account nickname], "Unknown")</f>
        <v>Discover it chrome Card</v>
      </c>
      <c r="H959" s="137" t="str">
        <f>_xlfn.XLOOKUP(Table1[[#This Row],[Account_ID]], Accounts[ID], Accounts[Account'#], "Unknown")</f>
        <v>7328</v>
      </c>
      <c r="I959" s="168" t="str">
        <f>_xlfn.XLOOKUP(Table1[[#This Row],[Institution_ID]], Institutions[ID], Institutions[Institution nickname], "Unknown")</f>
        <v>Discover</v>
      </c>
      <c r="J959" s="139" t="s">
        <v>950</v>
      </c>
      <c r="K959" s="129" t="s">
        <v>110</v>
      </c>
      <c r="L959" s="129" t="s">
        <v>108</v>
      </c>
      <c r="M959" s="130" t="str" cm="1">
        <f t="array" ref="M959">IFERROR(INDEX(CategoriesTable[Category type],MATCH(Table1[[#This Row],[Category]],CategoriesTable[Category name],0),0),"")</f>
        <v>Expense</v>
      </c>
      <c r="N959" s="130" t="str" cm="1">
        <f t="array" ref="N959">IFERROR(INDEX(SubcategoriesTable[Subcategory name],MATCH(Table1[[#This Row],[Category]],SubcategoriesTable[Category name],0),0),"")</f>
        <v>Variable</v>
      </c>
      <c r="O959" s="130">
        <v>24</v>
      </c>
      <c r="P959" s="130">
        <f>MONTH(Table1[[#This Row],[Date]])</f>
        <v>5</v>
      </c>
      <c r="Q959" s="130">
        <v>2020</v>
      </c>
      <c r="R959" s="166">
        <f>IF(ISBLANK(Table1[[#This Row],[Date]]),"",Table1[[#This Row],[Date]]-WEEKDAY(Table1[[#This Row],[Date]],2)+1)</f>
        <v>43969</v>
      </c>
      <c r="S959" s="131">
        <f>IF(ISBLANK(Table1[[#This Row],[Date]]),"",DATE(Table1[[#This Row],[Date_Year]],Table1[[#This Row],[Date_Month]],1))</f>
        <v>43952</v>
      </c>
    </row>
    <row r="960" spans="2:19" ht="15.75" x14ac:dyDescent="0.25">
      <c r="B960" s="133">
        <v>43975</v>
      </c>
      <c r="C960" s="128" t="s">
        <v>909</v>
      </c>
      <c r="D960" s="128" t="s">
        <v>56</v>
      </c>
      <c r="E960" s="128" t="str" cm="1">
        <f t="array" ref="E960">IFERROR(INDEX(SubcategoriesTable[Subcategory name],MATCH(Table1[[#This Row],[Category]],SubcategoriesTable[Category name],0),0),"")</f>
        <v>Variable</v>
      </c>
      <c r="F960" s="134">
        <v>-61.09</v>
      </c>
      <c r="G960" s="167" t="str">
        <f>_xlfn.XLOOKUP(Table1[[#This Row],[Account_ID]], Accounts[ID], Accounts[Account nickname], "Unknown")</f>
        <v>Discover it chrome Card</v>
      </c>
      <c r="H960" s="137" t="str">
        <f>_xlfn.XLOOKUP(Table1[[#This Row],[Account_ID]], Accounts[ID], Accounts[Account'#], "Unknown")</f>
        <v>7328</v>
      </c>
      <c r="I960" s="168" t="str">
        <f>_xlfn.XLOOKUP(Table1[[#This Row],[Institution_ID]], Institutions[ID], Institutions[Institution nickname], "Unknown")</f>
        <v>Discover</v>
      </c>
      <c r="J960" s="139" t="s">
        <v>951</v>
      </c>
      <c r="K960" s="129" t="s">
        <v>110</v>
      </c>
      <c r="L960" s="129" t="s">
        <v>108</v>
      </c>
      <c r="M960" s="130" t="str" cm="1">
        <f t="array" ref="M960">IFERROR(INDEX(CategoriesTable[Category type],MATCH(Table1[[#This Row],[Category]],CategoriesTable[Category name],0),0),"")</f>
        <v>Expense</v>
      </c>
      <c r="N960" s="130" t="str" cm="1">
        <f t="array" ref="N960">IFERROR(INDEX(SubcategoriesTable[Subcategory name],MATCH(Table1[[#This Row],[Category]],SubcategoriesTable[Category name],0),0),"")</f>
        <v>Variable</v>
      </c>
      <c r="O960" s="130">
        <v>24</v>
      </c>
      <c r="P960" s="130">
        <f>MONTH(Table1[[#This Row],[Date]])</f>
        <v>5</v>
      </c>
      <c r="Q960" s="130">
        <v>2020</v>
      </c>
      <c r="R960" s="166">
        <f>IF(ISBLANK(Table1[[#This Row],[Date]]),"",Table1[[#This Row],[Date]]-WEEKDAY(Table1[[#This Row],[Date]],2)+1)</f>
        <v>43969</v>
      </c>
      <c r="S960" s="131">
        <f>IF(ISBLANK(Table1[[#This Row],[Date]]),"",DATE(Table1[[#This Row],[Date_Year]],Table1[[#This Row],[Date_Month]],1))</f>
        <v>43952</v>
      </c>
    </row>
    <row r="961" spans="2:19" ht="15.75" x14ac:dyDescent="0.25">
      <c r="B961" s="133">
        <v>43974</v>
      </c>
      <c r="C961" s="128" t="s">
        <v>1661</v>
      </c>
      <c r="D961" s="128" t="s">
        <v>58</v>
      </c>
      <c r="E961" s="128" t="str" cm="1">
        <f t="array" ref="E961">IFERROR(INDEX(SubcategoriesTable[Subcategory name],MATCH(Table1[[#This Row],[Category]],SubcategoriesTable[Category name],0),0),"")</f>
        <v>Fixed</v>
      </c>
      <c r="F961" s="134">
        <v>-200</v>
      </c>
      <c r="G961" s="167" t="str">
        <f>_xlfn.XLOOKUP(Table1[[#This Row],[Account_ID]], Accounts[ID], Accounts[Account nickname], "Unknown")</f>
        <v>EVERYDAY CHECKING</v>
      </c>
      <c r="H961" s="137" t="str">
        <f>_xlfn.XLOOKUP(Table1[[#This Row],[Account_ID]], Accounts[ID], Accounts[Account'#], "Unknown")</f>
        <v>4636</v>
      </c>
      <c r="I961" s="168" t="str">
        <f>_xlfn.XLOOKUP(Table1[[#This Row],[Institution_ID]], Institutions[ID], Institutions[Institution nickname], "Unknown")</f>
        <v>Wells Fargo</v>
      </c>
      <c r="J961" s="139" t="s">
        <v>1662</v>
      </c>
      <c r="K961" s="129" t="s">
        <v>1229</v>
      </c>
      <c r="L961" s="129" t="s">
        <v>1228</v>
      </c>
      <c r="M961" s="130" t="str" cm="1">
        <f t="array" ref="M961">IFERROR(INDEX(CategoriesTable[Category type],MATCH(Table1[[#This Row],[Category]],CategoriesTable[Category name],0),0),"")</f>
        <v>Expense</v>
      </c>
      <c r="N961" s="130" t="str" cm="1">
        <f t="array" ref="N961">IFERROR(INDEX(SubcategoriesTable[Subcategory name],MATCH(Table1[[#This Row],[Category]],SubcategoriesTable[Category name],0),0),"")</f>
        <v>Fixed</v>
      </c>
      <c r="O961" s="130">
        <v>23</v>
      </c>
      <c r="P961" s="130">
        <f>MONTH(Table1[[#This Row],[Date]])</f>
        <v>5</v>
      </c>
      <c r="Q961" s="130">
        <v>2020</v>
      </c>
      <c r="R961" s="166">
        <f>IF(ISBLANK(Table1[[#This Row],[Date]]),"",Table1[[#This Row],[Date]]-WEEKDAY(Table1[[#This Row],[Date]],2)+1)</f>
        <v>43969</v>
      </c>
      <c r="S961" s="131">
        <f>IF(ISBLANK(Table1[[#This Row],[Date]]),"",DATE(Table1[[#This Row],[Date_Year]],Table1[[#This Row],[Date_Month]],1))</f>
        <v>43952</v>
      </c>
    </row>
    <row r="962" spans="2:19" ht="15.75" x14ac:dyDescent="0.25">
      <c r="B962" s="133">
        <v>43974</v>
      </c>
      <c r="C962" s="128" t="s">
        <v>1612</v>
      </c>
      <c r="D962" s="128" t="s">
        <v>56</v>
      </c>
      <c r="E962" s="128" t="str" cm="1">
        <f t="array" ref="E962">IFERROR(INDEX(SubcategoriesTable[Subcategory name],MATCH(Table1[[#This Row],[Category]],SubcategoriesTable[Category name],0),0),"")</f>
        <v>Variable</v>
      </c>
      <c r="F962" s="134">
        <v>-29.95</v>
      </c>
      <c r="G962" s="167" t="str">
        <f>_xlfn.XLOOKUP(Table1[[#This Row],[Account_ID]], Accounts[ID], Accounts[Account nickname], "Unknown")</f>
        <v>EVERYDAY CHECKING</v>
      </c>
      <c r="H962" s="137" t="str">
        <f>_xlfn.XLOOKUP(Table1[[#This Row],[Account_ID]], Accounts[ID], Accounts[Account'#], "Unknown")</f>
        <v>4636</v>
      </c>
      <c r="I962" s="168" t="str">
        <f>_xlfn.XLOOKUP(Table1[[#This Row],[Institution_ID]], Institutions[ID], Institutions[Institution nickname], "Unknown")</f>
        <v>Wells Fargo</v>
      </c>
      <c r="J962" s="139" t="s">
        <v>1663</v>
      </c>
      <c r="K962" s="129" t="s">
        <v>1229</v>
      </c>
      <c r="L962" s="129" t="s">
        <v>1228</v>
      </c>
      <c r="M962" s="130" t="str" cm="1">
        <f t="array" ref="M962">IFERROR(INDEX(CategoriesTable[Category type],MATCH(Table1[[#This Row],[Category]],CategoriesTable[Category name],0),0),"")</f>
        <v>Expense</v>
      </c>
      <c r="N962" s="130" t="str" cm="1">
        <f t="array" ref="N962">IFERROR(INDEX(SubcategoriesTable[Subcategory name],MATCH(Table1[[#This Row],[Category]],SubcategoriesTable[Category name],0),0),"")</f>
        <v>Variable</v>
      </c>
      <c r="O962" s="130">
        <v>23</v>
      </c>
      <c r="P962" s="130">
        <f>MONTH(Table1[[#This Row],[Date]])</f>
        <v>5</v>
      </c>
      <c r="Q962" s="130">
        <v>2020</v>
      </c>
      <c r="R962" s="166">
        <f>IF(ISBLANK(Table1[[#This Row],[Date]]),"",Table1[[#This Row],[Date]]-WEEKDAY(Table1[[#This Row],[Date]],2)+1)</f>
        <v>43969</v>
      </c>
      <c r="S962" s="131">
        <f>IF(ISBLANK(Table1[[#This Row],[Date]]),"",DATE(Table1[[#This Row],[Date_Year]],Table1[[#This Row],[Date_Month]],1))</f>
        <v>43952</v>
      </c>
    </row>
    <row r="963" spans="2:19" ht="15.75" x14ac:dyDescent="0.25">
      <c r="B963" s="133">
        <v>43973</v>
      </c>
      <c r="C963" s="128" t="s">
        <v>1181</v>
      </c>
      <c r="D963" s="128" t="s">
        <v>59</v>
      </c>
      <c r="E963" s="128" t="str" cm="1">
        <f t="array" ref="E963">IFERROR(INDEX(SubcategoriesTable[Subcategory name],MATCH(Table1[[#This Row],[Category]],SubcategoriesTable[Category name],0),0),"")</f>
        <v>Fixed</v>
      </c>
      <c r="F963" s="134">
        <v>1640.49</v>
      </c>
      <c r="G963" s="167" t="str">
        <f>_xlfn.XLOOKUP(Table1[[#This Row],[Account_ID]], Accounts[ID], Accounts[Account nickname], "Unknown")</f>
        <v>EVERYDAY CHECKING</v>
      </c>
      <c r="H963" s="137" t="str">
        <f>_xlfn.XLOOKUP(Table1[[#This Row],[Account_ID]], Accounts[ID], Accounts[Account'#], "Unknown")</f>
        <v>4636</v>
      </c>
      <c r="I963" s="168" t="str">
        <f>_xlfn.XLOOKUP(Table1[[#This Row],[Institution_ID]], Institutions[ID], Institutions[Institution nickname], "Unknown")</f>
        <v>Wells Fargo</v>
      </c>
      <c r="J963" s="139" t="s">
        <v>1664</v>
      </c>
      <c r="K963" s="129" t="s">
        <v>1229</v>
      </c>
      <c r="L963" s="129" t="s">
        <v>1228</v>
      </c>
      <c r="M963" s="130" t="str" cm="1">
        <f t="array" ref="M963">IFERROR(INDEX(CategoriesTable[Category type],MATCH(Table1[[#This Row],[Category]],CategoriesTable[Category name],0),0),"")</f>
        <v>Income</v>
      </c>
      <c r="N963" s="130" t="str" cm="1">
        <f t="array" ref="N963">IFERROR(INDEX(SubcategoriesTable[Subcategory name],MATCH(Table1[[#This Row],[Category]],SubcategoriesTable[Category name],0),0),"")</f>
        <v>Fixed</v>
      </c>
      <c r="O963" s="130">
        <v>22</v>
      </c>
      <c r="P963" s="130">
        <f>MONTH(Table1[[#This Row],[Date]])</f>
        <v>5</v>
      </c>
      <c r="Q963" s="130">
        <v>2020</v>
      </c>
      <c r="R963" s="166">
        <f>IF(ISBLANK(Table1[[#This Row],[Date]]),"",Table1[[#This Row],[Date]]-WEEKDAY(Table1[[#This Row],[Date]],2)+1)</f>
        <v>43969</v>
      </c>
      <c r="S963" s="131">
        <f>IF(ISBLANK(Table1[[#This Row],[Date]]),"",DATE(Table1[[#This Row],[Date_Year]],Table1[[#This Row],[Date_Month]],1))</f>
        <v>43952</v>
      </c>
    </row>
    <row r="964" spans="2:19" ht="15.75" x14ac:dyDescent="0.25">
      <c r="B964" s="133">
        <v>43973</v>
      </c>
      <c r="C964" s="128" t="s">
        <v>1665</v>
      </c>
      <c r="D964" s="128" t="s">
        <v>58</v>
      </c>
      <c r="E964" s="128" t="str" cm="1">
        <f t="array" ref="E964">IFERROR(INDEX(SubcategoriesTable[Subcategory name],MATCH(Table1[[#This Row],[Category]],SubcategoriesTable[Category name],0),0),"")</f>
        <v>Fixed</v>
      </c>
      <c r="F964" s="134">
        <v>-27.4</v>
      </c>
      <c r="G964" s="167" t="str">
        <f>_xlfn.XLOOKUP(Table1[[#This Row],[Account_ID]], Accounts[ID], Accounts[Account nickname], "Unknown")</f>
        <v>EVERYDAY CHECKING</v>
      </c>
      <c r="H964" s="137" t="str">
        <f>_xlfn.XLOOKUP(Table1[[#This Row],[Account_ID]], Accounts[ID], Accounts[Account'#], "Unknown")</f>
        <v>4636</v>
      </c>
      <c r="I964" s="168" t="str">
        <f>_xlfn.XLOOKUP(Table1[[#This Row],[Institution_ID]], Institutions[ID], Institutions[Institution nickname], "Unknown")</f>
        <v>Wells Fargo</v>
      </c>
      <c r="J964" s="139" t="s">
        <v>1666</v>
      </c>
      <c r="K964" s="129" t="s">
        <v>1229</v>
      </c>
      <c r="L964" s="129" t="s">
        <v>1228</v>
      </c>
      <c r="M964" s="130" t="str" cm="1">
        <f t="array" ref="M964">IFERROR(INDEX(CategoriesTable[Category type],MATCH(Table1[[#This Row],[Category]],CategoriesTable[Category name],0),0),"")</f>
        <v>Expense</v>
      </c>
      <c r="N964" s="130" t="str" cm="1">
        <f t="array" ref="N964">IFERROR(INDEX(SubcategoriesTable[Subcategory name],MATCH(Table1[[#This Row],[Category]],SubcategoriesTable[Category name],0),0),"")</f>
        <v>Fixed</v>
      </c>
      <c r="O964" s="130">
        <v>22</v>
      </c>
      <c r="P964" s="130">
        <f>MONTH(Table1[[#This Row],[Date]])</f>
        <v>5</v>
      </c>
      <c r="Q964" s="130">
        <v>2020</v>
      </c>
      <c r="R964" s="166">
        <f>IF(ISBLANK(Table1[[#This Row],[Date]]),"",Table1[[#This Row],[Date]]-WEEKDAY(Table1[[#This Row],[Date]],2)+1)</f>
        <v>43969</v>
      </c>
      <c r="S964" s="131">
        <f>IF(ISBLANK(Table1[[#This Row],[Date]]),"",DATE(Table1[[#This Row],[Date_Year]],Table1[[#This Row],[Date_Month]],1))</f>
        <v>43952</v>
      </c>
    </row>
    <row r="965" spans="2:19" ht="15.75" x14ac:dyDescent="0.25">
      <c r="B965" s="133">
        <v>43973</v>
      </c>
      <c r="C965" s="128" t="s">
        <v>1667</v>
      </c>
      <c r="D965" s="128" t="s">
        <v>56</v>
      </c>
      <c r="E965" s="128" t="str" cm="1">
        <f t="array" ref="E965">IFERROR(INDEX(SubcategoriesTable[Subcategory name],MATCH(Table1[[#This Row],[Category]],SubcategoriesTable[Category name],0),0),"")</f>
        <v>Variable</v>
      </c>
      <c r="F965" s="134">
        <v>-120</v>
      </c>
      <c r="G965" s="167" t="str">
        <f>_xlfn.XLOOKUP(Table1[[#This Row],[Account_ID]], Accounts[ID], Accounts[Account nickname], "Unknown")</f>
        <v>EVERYDAY CHECKING</v>
      </c>
      <c r="H965" s="137" t="str">
        <f>_xlfn.XLOOKUP(Table1[[#This Row],[Account_ID]], Accounts[ID], Accounts[Account'#], "Unknown")</f>
        <v>4636</v>
      </c>
      <c r="I965" s="168" t="str">
        <f>_xlfn.XLOOKUP(Table1[[#This Row],[Institution_ID]], Institutions[ID], Institutions[Institution nickname], "Unknown")</f>
        <v>Wells Fargo</v>
      </c>
      <c r="J965" s="139" t="s">
        <v>1668</v>
      </c>
      <c r="K965" s="129" t="s">
        <v>1229</v>
      </c>
      <c r="L965" s="129" t="s">
        <v>1228</v>
      </c>
      <c r="M965" s="130" t="str" cm="1">
        <f t="array" ref="M965">IFERROR(INDEX(CategoriesTable[Category type],MATCH(Table1[[#This Row],[Category]],CategoriesTable[Category name],0),0),"")</f>
        <v>Expense</v>
      </c>
      <c r="N965" s="130" t="str" cm="1">
        <f t="array" ref="N965">IFERROR(INDEX(SubcategoriesTable[Subcategory name],MATCH(Table1[[#This Row],[Category]],SubcategoriesTable[Category name],0),0),"")</f>
        <v>Variable</v>
      </c>
      <c r="O965" s="130">
        <v>22</v>
      </c>
      <c r="P965" s="130">
        <f>MONTH(Table1[[#This Row],[Date]])</f>
        <v>5</v>
      </c>
      <c r="Q965" s="130">
        <v>2020</v>
      </c>
      <c r="R965" s="166">
        <f>IF(ISBLANK(Table1[[#This Row],[Date]]),"",Table1[[#This Row],[Date]]-WEEKDAY(Table1[[#This Row],[Date]],2)+1)</f>
        <v>43969</v>
      </c>
      <c r="S965" s="131">
        <f>IF(ISBLANK(Table1[[#This Row],[Date]]),"",DATE(Table1[[#This Row],[Date_Year]],Table1[[#This Row],[Date_Month]],1))</f>
        <v>43952</v>
      </c>
    </row>
    <row r="966" spans="2:19" ht="15.75" x14ac:dyDescent="0.25">
      <c r="B966" s="133">
        <v>43973</v>
      </c>
      <c r="C966" s="128" t="s">
        <v>148</v>
      </c>
      <c r="D966" s="128" t="s">
        <v>54</v>
      </c>
      <c r="E966" s="128" t="str" cm="1">
        <f t="array" ref="E966">IFERROR(INDEX(SubcategoriesTable[Subcategory name],MATCH(Table1[[#This Row],[Category]],SubcategoriesTable[Category name],0),0),"")</f>
        <v>Fixed</v>
      </c>
      <c r="F966" s="134">
        <v>-9.99</v>
      </c>
      <c r="G966" s="167" t="str">
        <f>_xlfn.XLOOKUP(Table1[[#This Row],[Account_ID]], Accounts[ID], Accounts[Account nickname], "Unknown")</f>
        <v>EVERYDAY CHECKING</v>
      </c>
      <c r="H966" s="137" t="str">
        <f>_xlfn.XLOOKUP(Table1[[#This Row],[Account_ID]], Accounts[ID], Accounts[Account'#], "Unknown")</f>
        <v>4636</v>
      </c>
      <c r="I966" s="168" t="str">
        <f>_xlfn.XLOOKUP(Table1[[#This Row],[Institution_ID]], Institutions[ID], Institutions[Institution nickname], "Unknown")</f>
        <v>Wells Fargo</v>
      </c>
      <c r="J966" s="139" t="s">
        <v>1669</v>
      </c>
      <c r="K966" s="129" t="s">
        <v>1229</v>
      </c>
      <c r="L966" s="129" t="s">
        <v>1228</v>
      </c>
      <c r="M966" s="130" t="str" cm="1">
        <f t="array" ref="M966">IFERROR(INDEX(CategoriesTable[Category type],MATCH(Table1[[#This Row],[Category]],CategoriesTable[Category name],0),0),"")</f>
        <v>Expense</v>
      </c>
      <c r="N966" s="130" t="str" cm="1">
        <f t="array" ref="N966">IFERROR(INDEX(SubcategoriesTable[Subcategory name],MATCH(Table1[[#This Row],[Category]],SubcategoriesTable[Category name],0),0),"")</f>
        <v>Fixed</v>
      </c>
      <c r="O966" s="130">
        <v>22</v>
      </c>
      <c r="P966" s="130">
        <f>MONTH(Table1[[#This Row],[Date]])</f>
        <v>5</v>
      </c>
      <c r="Q966" s="130">
        <v>2020</v>
      </c>
      <c r="R966" s="166">
        <f>IF(ISBLANK(Table1[[#This Row],[Date]]),"",Table1[[#This Row],[Date]]-WEEKDAY(Table1[[#This Row],[Date]],2)+1)</f>
        <v>43969</v>
      </c>
      <c r="S966" s="131">
        <f>IF(ISBLANK(Table1[[#This Row],[Date]]),"",DATE(Table1[[#This Row],[Date_Year]],Table1[[#This Row],[Date_Month]],1))</f>
        <v>43952</v>
      </c>
    </row>
    <row r="967" spans="2:19" ht="15.75" x14ac:dyDescent="0.25">
      <c r="B967" s="133">
        <v>43973</v>
      </c>
      <c r="C967" s="128" t="s">
        <v>146</v>
      </c>
      <c r="D967" s="128" t="s">
        <v>54</v>
      </c>
      <c r="E967" s="128" t="str" cm="1">
        <f t="array" ref="E967">IFERROR(INDEX(SubcategoriesTable[Subcategory name],MATCH(Table1[[#This Row],[Category]],SubcategoriesTable[Category name],0),0),"")</f>
        <v>Fixed</v>
      </c>
      <c r="F967" s="134">
        <v>-90.79</v>
      </c>
      <c r="G967" s="167" t="str">
        <f>_xlfn.XLOOKUP(Table1[[#This Row],[Account_ID]], Accounts[ID], Accounts[Account nickname], "Unknown")</f>
        <v>EVERYDAY CHECKING</v>
      </c>
      <c r="H967" s="137" t="str">
        <f>_xlfn.XLOOKUP(Table1[[#This Row],[Account_ID]], Accounts[ID], Accounts[Account'#], "Unknown")</f>
        <v>4636</v>
      </c>
      <c r="I967" s="168" t="str">
        <f>_xlfn.XLOOKUP(Table1[[#This Row],[Institution_ID]], Institutions[ID], Institutions[Institution nickname], "Unknown")</f>
        <v>Wells Fargo</v>
      </c>
      <c r="J967" s="139" t="s">
        <v>1670</v>
      </c>
      <c r="K967" s="129" t="s">
        <v>1229</v>
      </c>
      <c r="L967" s="129" t="s">
        <v>1228</v>
      </c>
      <c r="M967" s="130" t="str" cm="1">
        <f t="array" ref="M967">IFERROR(INDEX(CategoriesTable[Category type],MATCH(Table1[[#This Row],[Category]],CategoriesTable[Category name],0),0),"")</f>
        <v>Expense</v>
      </c>
      <c r="N967" s="130" t="str" cm="1">
        <f t="array" ref="N967">IFERROR(INDEX(SubcategoriesTable[Subcategory name],MATCH(Table1[[#This Row],[Category]],SubcategoriesTable[Category name],0),0),"")</f>
        <v>Fixed</v>
      </c>
      <c r="O967" s="130">
        <v>22</v>
      </c>
      <c r="P967" s="130">
        <f>MONTH(Table1[[#This Row],[Date]])</f>
        <v>5</v>
      </c>
      <c r="Q967" s="130">
        <v>2020</v>
      </c>
      <c r="R967" s="166">
        <f>IF(ISBLANK(Table1[[#This Row],[Date]]),"",Table1[[#This Row],[Date]]-WEEKDAY(Table1[[#This Row],[Date]],2)+1)</f>
        <v>43969</v>
      </c>
      <c r="S967" s="131">
        <f>IF(ISBLANK(Table1[[#This Row],[Date]]),"",DATE(Table1[[#This Row],[Date_Year]],Table1[[#This Row],[Date_Month]],1))</f>
        <v>43952</v>
      </c>
    </row>
    <row r="968" spans="2:19" ht="15.75" x14ac:dyDescent="0.25">
      <c r="B968" s="133">
        <v>43973</v>
      </c>
      <c r="C968" s="128" t="s">
        <v>1194</v>
      </c>
      <c r="D968" s="128" t="s">
        <v>59</v>
      </c>
      <c r="E968" s="128" t="str" cm="1">
        <f t="array" ref="E968">IFERROR(INDEX(SubcategoriesTable[Subcategory name],MATCH(Table1[[#This Row],[Category]],SubcategoriesTable[Category name],0),0),"")</f>
        <v>Fixed</v>
      </c>
      <c r="F968" s="134">
        <v>50</v>
      </c>
      <c r="G968" s="167" t="str">
        <f>_xlfn.XLOOKUP(Table1[[#This Row],[Account_ID]], Accounts[ID], Accounts[Account nickname], "Unknown")</f>
        <v>EVERYDAY CHECKING</v>
      </c>
      <c r="H968" s="137" t="str">
        <f>_xlfn.XLOOKUP(Table1[[#This Row],[Account_ID]], Accounts[ID], Accounts[Account'#], "Unknown")</f>
        <v>4636</v>
      </c>
      <c r="I968" s="168" t="str">
        <f>_xlfn.XLOOKUP(Table1[[#This Row],[Institution_ID]], Institutions[ID], Institutions[Institution nickname], "Unknown")</f>
        <v>Wells Fargo</v>
      </c>
      <c r="J968" s="139" t="s">
        <v>1671</v>
      </c>
      <c r="K968" s="129" t="s">
        <v>1229</v>
      </c>
      <c r="L968" s="129" t="s">
        <v>1228</v>
      </c>
      <c r="M968" s="130" t="str" cm="1">
        <f t="array" ref="M968">IFERROR(INDEX(CategoriesTable[Category type],MATCH(Table1[[#This Row],[Category]],CategoriesTable[Category name],0),0),"")</f>
        <v>Income</v>
      </c>
      <c r="N968" s="130" t="str" cm="1">
        <f t="array" ref="N968">IFERROR(INDEX(SubcategoriesTable[Subcategory name],MATCH(Table1[[#This Row],[Category]],SubcategoriesTable[Category name],0),0),"")</f>
        <v>Fixed</v>
      </c>
      <c r="O968" s="130">
        <v>22</v>
      </c>
      <c r="P968" s="130">
        <f>MONTH(Table1[[#This Row],[Date]])</f>
        <v>5</v>
      </c>
      <c r="Q968" s="130">
        <v>2020</v>
      </c>
      <c r="R968" s="166">
        <f>IF(ISBLANK(Table1[[#This Row],[Date]]),"",Table1[[#This Row],[Date]]-WEEKDAY(Table1[[#This Row],[Date]],2)+1)</f>
        <v>43969</v>
      </c>
      <c r="S968" s="131">
        <f>IF(ISBLANK(Table1[[#This Row],[Date]]),"",DATE(Table1[[#This Row],[Date_Year]],Table1[[#This Row],[Date_Month]],1))</f>
        <v>43952</v>
      </c>
    </row>
    <row r="969" spans="2:19" ht="15.75" x14ac:dyDescent="0.25">
      <c r="B969" s="133">
        <v>43973</v>
      </c>
      <c r="C969" s="128" t="s">
        <v>1180</v>
      </c>
      <c r="D969" s="128" t="s">
        <v>50</v>
      </c>
      <c r="E969" s="128" t="str" cm="1">
        <f t="array" ref="E969">IFERROR(INDEX(SubcategoriesTable[Subcategory name],MATCH(Table1[[#This Row],[Category]],SubcategoriesTable[Category name],0),0),"")</f>
        <v>Variable</v>
      </c>
      <c r="F969" s="134">
        <v>-447.94</v>
      </c>
      <c r="G969" s="167" t="str">
        <f>_xlfn.XLOOKUP(Table1[[#This Row],[Account_ID]], Accounts[ID], Accounts[Account nickname], "Unknown")</f>
        <v>EVERYDAY CHECKING</v>
      </c>
      <c r="H969" s="137" t="str">
        <f>_xlfn.XLOOKUP(Table1[[#This Row],[Account_ID]], Accounts[ID], Accounts[Account'#], "Unknown")</f>
        <v>4636</v>
      </c>
      <c r="I969" s="168" t="str">
        <f>_xlfn.XLOOKUP(Table1[[#This Row],[Institution_ID]], Institutions[ID], Institutions[Institution nickname], "Unknown")</f>
        <v>Wells Fargo</v>
      </c>
      <c r="J969" s="139" t="s">
        <v>1672</v>
      </c>
      <c r="K969" s="129" t="s">
        <v>1229</v>
      </c>
      <c r="L969" s="129" t="s">
        <v>1228</v>
      </c>
      <c r="M969" s="130" t="str" cm="1">
        <f t="array" ref="M969">IFERROR(INDEX(CategoriesTable[Category type],MATCH(Table1[[#This Row],[Category]],CategoriesTable[Category name],0),0),"")</f>
        <v>Transfer</v>
      </c>
      <c r="N969" s="130" t="str" cm="1">
        <f t="array" ref="N969">IFERROR(INDEX(SubcategoriesTable[Subcategory name],MATCH(Table1[[#This Row],[Category]],SubcategoriesTable[Category name],0),0),"")</f>
        <v>Variable</v>
      </c>
      <c r="O969" s="130">
        <v>22</v>
      </c>
      <c r="P969" s="130">
        <f>MONTH(Table1[[#This Row],[Date]])</f>
        <v>5</v>
      </c>
      <c r="Q969" s="130">
        <v>2020</v>
      </c>
      <c r="R969" s="166">
        <f>IF(ISBLANK(Table1[[#This Row],[Date]]),"",Table1[[#This Row],[Date]]-WEEKDAY(Table1[[#This Row],[Date]],2)+1)</f>
        <v>43969</v>
      </c>
      <c r="S969" s="131">
        <f>IF(ISBLANK(Table1[[#This Row],[Date]]),"",DATE(Table1[[#This Row],[Date_Year]],Table1[[#This Row],[Date_Month]],1))</f>
        <v>43952</v>
      </c>
    </row>
    <row r="970" spans="2:19" ht="15.75" x14ac:dyDescent="0.25">
      <c r="B970" s="133">
        <v>43973</v>
      </c>
      <c r="C970" s="128" t="s">
        <v>113</v>
      </c>
      <c r="D970" s="128" t="s">
        <v>50</v>
      </c>
      <c r="E970" s="128" t="str" cm="1">
        <f t="array" ref="E970">IFERROR(INDEX(SubcategoriesTable[Subcategory name],MATCH(Table1[[#This Row],[Category]],SubcategoriesTable[Category name],0),0),"")</f>
        <v>Variable</v>
      </c>
      <c r="F970" s="134">
        <v>447.94</v>
      </c>
      <c r="G970" s="167" t="str">
        <f>_xlfn.XLOOKUP(Table1[[#This Row],[Account_ID]], Accounts[ID], Accounts[Account nickname], "Unknown")</f>
        <v>Discover it chrome Card</v>
      </c>
      <c r="H970" s="137" t="str">
        <f>_xlfn.XLOOKUP(Table1[[#This Row],[Account_ID]], Accounts[ID], Accounts[Account'#], "Unknown")</f>
        <v>7328</v>
      </c>
      <c r="I970" s="168" t="str">
        <f>_xlfn.XLOOKUP(Table1[[#This Row],[Institution_ID]], Institutions[ID], Institutions[Institution nickname], "Unknown")</f>
        <v>Discover</v>
      </c>
      <c r="J970" s="139" t="s">
        <v>952</v>
      </c>
      <c r="K970" s="129" t="s">
        <v>110</v>
      </c>
      <c r="L970" s="129" t="s">
        <v>108</v>
      </c>
      <c r="M970" s="130" t="str" cm="1">
        <f t="array" ref="M970">IFERROR(INDEX(CategoriesTable[Category type],MATCH(Table1[[#This Row],[Category]],CategoriesTable[Category name],0),0),"")</f>
        <v>Transfer</v>
      </c>
      <c r="N970" s="130" t="str" cm="1">
        <f t="array" ref="N970">IFERROR(INDEX(SubcategoriesTable[Subcategory name],MATCH(Table1[[#This Row],[Category]],SubcategoriesTable[Category name],0),0),"")</f>
        <v>Variable</v>
      </c>
      <c r="O970" s="130">
        <v>22</v>
      </c>
      <c r="P970" s="130">
        <f>MONTH(Table1[[#This Row],[Date]])</f>
        <v>5</v>
      </c>
      <c r="Q970" s="130">
        <v>2020</v>
      </c>
      <c r="R970" s="166">
        <f>IF(ISBLANK(Table1[[#This Row],[Date]]),"",Table1[[#This Row],[Date]]-WEEKDAY(Table1[[#This Row],[Date]],2)+1)</f>
        <v>43969</v>
      </c>
      <c r="S970" s="131">
        <f>IF(ISBLANK(Table1[[#This Row],[Date]]),"",DATE(Table1[[#This Row],[Date_Year]],Table1[[#This Row],[Date_Month]],1))</f>
        <v>43952</v>
      </c>
    </row>
    <row r="971" spans="2:19" ht="15.75" x14ac:dyDescent="0.25">
      <c r="B971" s="133">
        <v>43973</v>
      </c>
      <c r="C971" s="128" t="s">
        <v>690</v>
      </c>
      <c r="D971" s="128" t="s">
        <v>48</v>
      </c>
      <c r="E971" s="128" t="str" cm="1">
        <f t="array" ref="E971">IFERROR(INDEX(SubcategoriesTable[Subcategory name],MATCH(Table1[[#This Row],[Category]],SubcategoriesTable[Category name],0),0),"")</f>
        <v>Variable</v>
      </c>
      <c r="F971" s="134">
        <v>-18</v>
      </c>
      <c r="G971" s="167" t="str">
        <f>_xlfn.XLOOKUP(Table1[[#This Row],[Account_ID]], Accounts[ID], Accounts[Account nickname], "Unknown")</f>
        <v>Discover it chrome Card</v>
      </c>
      <c r="H971" s="137" t="str">
        <f>_xlfn.XLOOKUP(Table1[[#This Row],[Account_ID]], Accounts[ID], Accounts[Account'#], "Unknown")</f>
        <v>7328</v>
      </c>
      <c r="I971" s="168" t="str">
        <f>_xlfn.XLOOKUP(Table1[[#This Row],[Institution_ID]], Institutions[ID], Institutions[Institution nickname], "Unknown")</f>
        <v>Discover</v>
      </c>
      <c r="J971" s="139" t="s">
        <v>953</v>
      </c>
      <c r="K971" s="129" t="s">
        <v>110</v>
      </c>
      <c r="L971" s="129" t="s">
        <v>108</v>
      </c>
      <c r="M971" s="130" t="str" cm="1">
        <f t="array" ref="M971">IFERROR(INDEX(CategoriesTable[Category type],MATCH(Table1[[#This Row],[Category]],CategoriesTable[Category name],0),0),"")</f>
        <v>Expense</v>
      </c>
      <c r="N971" s="130" t="str" cm="1">
        <f t="array" ref="N971">IFERROR(INDEX(SubcategoriesTable[Subcategory name],MATCH(Table1[[#This Row],[Category]],SubcategoriesTable[Category name],0),0),"")</f>
        <v>Variable</v>
      </c>
      <c r="O971" s="130">
        <v>22</v>
      </c>
      <c r="P971" s="130">
        <f>MONTH(Table1[[#This Row],[Date]])</f>
        <v>5</v>
      </c>
      <c r="Q971" s="130">
        <v>2020</v>
      </c>
      <c r="R971" s="166">
        <f>IF(ISBLANK(Table1[[#This Row],[Date]]),"",Table1[[#This Row],[Date]]-WEEKDAY(Table1[[#This Row],[Date]],2)+1)</f>
        <v>43969</v>
      </c>
      <c r="S971" s="131">
        <f>IF(ISBLANK(Table1[[#This Row],[Date]]),"",DATE(Table1[[#This Row],[Date_Year]],Table1[[#This Row],[Date_Month]],1))</f>
        <v>43952</v>
      </c>
    </row>
    <row r="972" spans="2:19" ht="15.75" x14ac:dyDescent="0.25">
      <c r="B972" s="133">
        <v>43973</v>
      </c>
      <c r="C972" s="128" t="s">
        <v>661</v>
      </c>
      <c r="D972" s="128" t="s">
        <v>45</v>
      </c>
      <c r="E972" s="128" t="str" cm="1">
        <f t="array" ref="E972">IFERROR(INDEX(SubcategoriesTable[Subcategory name],MATCH(Table1[[#This Row],[Category]],SubcategoriesTable[Category name],0),0),"")</f>
        <v>Variable</v>
      </c>
      <c r="F972" s="134">
        <v>-23.06</v>
      </c>
      <c r="G972" s="167" t="str">
        <f>_xlfn.XLOOKUP(Table1[[#This Row],[Account_ID]], Accounts[ID], Accounts[Account nickname], "Unknown")</f>
        <v>Discover it chrome Card</v>
      </c>
      <c r="H972" s="137" t="str">
        <f>_xlfn.XLOOKUP(Table1[[#This Row],[Account_ID]], Accounts[ID], Accounts[Account'#], "Unknown")</f>
        <v>7328</v>
      </c>
      <c r="I972" s="168" t="str">
        <f>_xlfn.XLOOKUP(Table1[[#This Row],[Institution_ID]], Institutions[ID], Institutions[Institution nickname], "Unknown")</f>
        <v>Discover</v>
      </c>
      <c r="J972" s="139" t="s">
        <v>954</v>
      </c>
      <c r="K972" s="129" t="s">
        <v>110</v>
      </c>
      <c r="L972" s="129" t="s">
        <v>108</v>
      </c>
      <c r="M972" s="130" t="str" cm="1">
        <f t="array" ref="M972">IFERROR(INDEX(CategoriesTable[Category type],MATCH(Table1[[#This Row],[Category]],CategoriesTable[Category name],0),0),"")</f>
        <v>Expense</v>
      </c>
      <c r="N972" s="130" t="str" cm="1">
        <f t="array" ref="N972">IFERROR(INDEX(SubcategoriesTable[Subcategory name],MATCH(Table1[[#This Row],[Category]],SubcategoriesTable[Category name],0),0),"")</f>
        <v>Variable</v>
      </c>
      <c r="O972" s="130">
        <v>22</v>
      </c>
      <c r="P972" s="130">
        <f>MONTH(Table1[[#This Row],[Date]])</f>
        <v>5</v>
      </c>
      <c r="Q972" s="130">
        <v>2020</v>
      </c>
      <c r="R972" s="166">
        <f>IF(ISBLANK(Table1[[#This Row],[Date]]),"",Table1[[#This Row],[Date]]-WEEKDAY(Table1[[#This Row],[Date]],2)+1)</f>
        <v>43969</v>
      </c>
      <c r="S972" s="131">
        <f>IF(ISBLANK(Table1[[#This Row],[Date]]),"",DATE(Table1[[#This Row],[Date_Year]],Table1[[#This Row],[Date_Month]],1))</f>
        <v>43952</v>
      </c>
    </row>
    <row r="973" spans="2:19" ht="15.75" x14ac:dyDescent="0.25">
      <c r="B973" s="133">
        <v>43971</v>
      </c>
      <c r="C973" s="128" t="s">
        <v>955</v>
      </c>
      <c r="D973" s="128" t="s">
        <v>45</v>
      </c>
      <c r="E973" s="128" t="str" cm="1">
        <f t="array" ref="E973">IFERROR(INDEX(SubcategoriesTable[Subcategory name],MATCH(Table1[[#This Row],[Category]],SubcategoriesTable[Category name],0),0),"")</f>
        <v>Variable</v>
      </c>
      <c r="F973" s="134">
        <v>-44.93</v>
      </c>
      <c r="G973" s="167" t="str">
        <f>_xlfn.XLOOKUP(Table1[[#This Row],[Account_ID]], Accounts[ID], Accounts[Account nickname], "Unknown")</f>
        <v>Discover it chrome Card</v>
      </c>
      <c r="H973" s="137" t="str">
        <f>_xlfn.XLOOKUP(Table1[[#This Row],[Account_ID]], Accounts[ID], Accounts[Account'#], "Unknown")</f>
        <v>7328</v>
      </c>
      <c r="I973" s="168" t="str">
        <f>_xlfn.XLOOKUP(Table1[[#This Row],[Institution_ID]], Institutions[ID], Institutions[Institution nickname], "Unknown")</f>
        <v>Discover</v>
      </c>
      <c r="J973" s="139" t="s">
        <v>956</v>
      </c>
      <c r="K973" s="129" t="s">
        <v>110</v>
      </c>
      <c r="L973" s="129" t="s">
        <v>108</v>
      </c>
      <c r="M973" s="130" t="str" cm="1">
        <f t="array" ref="M973">IFERROR(INDEX(CategoriesTable[Category type],MATCH(Table1[[#This Row],[Category]],CategoriesTable[Category name],0),0),"")</f>
        <v>Expense</v>
      </c>
      <c r="N973" s="130" t="str" cm="1">
        <f t="array" ref="N973">IFERROR(INDEX(SubcategoriesTable[Subcategory name],MATCH(Table1[[#This Row],[Category]],SubcategoriesTable[Category name],0),0),"")</f>
        <v>Variable</v>
      </c>
      <c r="O973" s="130">
        <v>20</v>
      </c>
      <c r="P973" s="130">
        <f>MONTH(Table1[[#This Row],[Date]])</f>
        <v>5</v>
      </c>
      <c r="Q973" s="130">
        <v>2020</v>
      </c>
      <c r="R973" s="166">
        <f>IF(ISBLANK(Table1[[#This Row],[Date]]),"",Table1[[#This Row],[Date]]-WEEKDAY(Table1[[#This Row],[Date]],2)+1)</f>
        <v>43969</v>
      </c>
      <c r="S973" s="131">
        <f>IF(ISBLANK(Table1[[#This Row],[Date]]),"",DATE(Table1[[#This Row],[Date_Year]],Table1[[#This Row],[Date_Month]],1))</f>
        <v>43952</v>
      </c>
    </row>
    <row r="974" spans="2:19" ht="15.75" x14ac:dyDescent="0.25">
      <c r="B974" s="133">
        <v>43971</v>
      </c>
      <c r="C974" s="128" t="s">
        <v>201</v>
      </c>
      <c r="D974" s="128" t="s">
        <v>48</v>
      </c>
      <c r="E974" s="128" t="str" cm="1">
        <f t="array" ref="E974">IFERROR(INDEX(SubcategoriesTable[Subcategory name],MATCH(Table1[[#This Row],[Category]],SubcategoriesTable[Category name],0),0),"")</f>
        <v>Variable</v>
      </c>
      <c r="F974" s="134">
        <v>-58.73</v>
      </c>
      <c r="G974" s="167" t="str">
        <f>_xlfn.XLOOKUP(Table1[[#This Row],[Account_ID]], Accounts[ID], Accounts[Account nickname], "Unknown")</f>
        <v>Discover it chrome Card</v>
      </c>
      <c r="H974" s="137" t="str">
        <f>_xlfn.XLOOKUP(Table1[[#This Row],[Account_ID]], Accounts[ID], Accounts[Account'#], "Unknown")</f>
        <v>7328</v>
      </c>
      <c r="I974" s="168" t="str">
        <f>_xlfn.XLOOKUP(Table1[[#This Row],[Institution_ID]], Institutions[ID], Institutions[Institution nickname], "Unknown")</f>
        <v>Discover</v>
      </c>
      <c r="J974" s="139" t="s">
        <v>957</v>
      </c>
      <c r="K974" s="129" t="s">
        <v>110</v>
      </c>
      <c r="L974" s="129" t="s">
        <v>108</v>
      </c>
      <c r="M974" s="130" t="str" cm="1">
        <f t="array" ref="M974">IFERROR(INDEX(CategoriesTable[Category type],MATCH(Table1[[#This Row],[Category]],CategoriesTable[Category name],0),0),"")</f>
        <v>Expense</v>
      </c>
      <c r="N974" s="130" t="str" cm="1">
        <f t="array" ref="N974">IFERROR(INDEX(SubcategoriesTable[Subcategory name],MATCH(Table1[[#This Row],[Category]],SubcategoriesTable[Category name],0),0),"")</f>
        <v>Variable</v>
      </c>
      <c r="O974" s="130">
        <v>20</v>
      </c>
      <c r="P974" s="130">
        <f>MONTH(Table1[[#This Row],[Date]])</f>
        <v>5</v>
      </c>
      <c r="Q974" s="130">
        <v>2020</v>
      </c>
      <c r="R974" s="166">
        <f>IF(ISBLANK(Table1[[#This Row],[Date]]),"",Table1[[#This Row],[Date]]-WEEKDAY(Table1[[#This Row],[Date]],2)+1)</f>
        <v>43969</v>
      </c>
      <c r="S974" s="131">
        <f>IF(ISBLANK(Table1[[#This Row],[Date]]),"",DATE(Table1[[#This Row],[Date_Year]],Table1[[#This Row],[Date_Month]],1))</f>
        <v>43952</v>
      </c>
    </row>
    <row r="975" spans="2:19" ht="15.75" x14ac:dyDescent="0.25">
      <c r="B975" s="133">
        <v>43971</v>
      </c>
      <c r="C975" s="128" t="s">
        <v>201</v>
      </c>
      <c r="D975" s="128" t="s">
        <v>48</v>
      </c>
      <c r="E975" s="128" t="str" cm="1">
        <f t="array" ref="E975">IFERROR(INDEX(SubcategoriesTable[Subcategory name],MATCH(Table1[[#This Row],[Category]],SubcategoriesTable[Category name],0),0),"")</f>
        <v>Variable</v>
      </c>
      <c r="F975" s="134">
        <v>-66.959999999999994</v>
      </c>
      <c r="G975" s="167" t="str">
        <f>_xlfn.XLOOKUP(Table1[[#This Row],[Account_ID]], Accounts[ID], Accounts[Account nickname], "Unknown")</f>
        <v>Discover it chrome Card</v>
      </c>
      <c r="H975" s="137" t="str">
        <f>_xlfn.XLOOKUP(Table1[[#This Row],[Account_ID]], Accounts[ID], Accounts[Account'#], "Unknown")</f>
        <v>7328</v>
      </c>
      <c r="I975" s="168" t="str">
        <f>_xlfn.XLOOKUP(Table1[[#This Row],[Institution_ID]], Institutions[ID], Institutions[Institution nickname], "Unknown")</f>
        <v>Discover</v>
      </c>
      <c r="J975" s="139" t="s">
        <v>958</v>
      </c>
      <c r="K975" s="129" t="s">
        <v>110</v>
      </c>
      <c r="L975" s="129" t="s">
        <v>108</v>
      </c>
      <c r="M975" s="130" t="str" cm="1">
        <f t="array" ref="M975">IFERROR(INDEX(CategoriesTable[Category type],MATCH(Table1[[#This Row],[Category]],CategoriesTable[Category name],0),0),"")</f>
        <v>Expense</v>
      </c>
      <c r="N975" s="130" t="str" cm="1">
        <f t="array" ref="N975">IFERROR(INDEX(SubcategoriesTable[Subcategory name],MATCH(Table1[[#This Row],[Category]],SubcategoriesTable[Category name],0),0),"")</f>
        <v>Variable</v>
      </c>
      <c r="O975" s="130">
        <v>20</v>
      </c>
      <c r="P975" s="130">
        <f>MONTH(Table1[[#This Row],[Date]])</f>
        <v>5</v>
      </c>
      <c r="Q975" s="130">
        <v>2020</v>
      </c>
      <c r="R975" s="166">
        <f>IF(ISBLANK(Table1[[#This Row],[Date]]),"",Table1[[#This Row],[Date]]-WEEKDAY(Table1[[#This Row],[Date]],2)+1)</f>
        <v>43969</v>
      </c>
      <c r="S975" s="131">
        <f>IF(ISBLANK(Table1[[#This Row],[Date]]),"",DATE(Table1[[#This Row],[Date_Year]],Table1[[#This Row],[Date_Month]],1))</f>
        <v>43952</v>
      </c>
    </row>
    <row r="976" spans="2:19" ht="15.75" x14ac:dyDescent="0.25">
      <c r="B976" s="133">
        <v>43970</v>
      </c>
      <c r="C976" s="128" t="s">
        <v>1630</v>
      </c>
      <c r="D976" s="128" t="s">
        <v>58</v>
      </c>
      <c r="E976" s="128" t="str" cm="1">
        <f t="array" ref="E976">IFERROR(INDEX(SubcategoriesTable[Subcategory name],MATCH(Table1[[#This Row],[Category]],SubcategoriesTable[Category name],0),0),"")</f>
        <v>Fixed</v>
      </c>
      <c r="F976" s="134">
        <v>-400</v>
      </c>
      <c r="G976" s="167" t="str">
        <f>_xlfn.XLOOKUP(Table1[[#This Row],[Account_ID]], Accounts[ID], Accounts[Account nickname], "Unknown")</f>
        <v>EVERYDAY CHECKING</v>
      </c>
      <c r="H976" s="137" t="str">
        <f>_xlfn.XLOOKUP(Table1[[#This Row],[Account_ID]], Accounts[ID], Accounts[Account'#], "Unknown")</f>
        <v>4636</v>
      </c>
      <c r="I976" s="168" t="str">
        <f>_xlfn.XLOOKUP(Table1[[#This Row],[Institution_ID]], Institutions[ID], Institutions[Institution nickname], "Unknown")</f>
        <v>Wells Fargo</v>
      </c>
      <c r="J976" s="139" t="s">
        <v>1673</v>
      </c>
      <c r="K976" s="129" t="s">
        <v>1229</v>
      </c>
      <c r="L976" s="129" t="s">
        <v>1228</v>
      </c>
      <c r="M976" s="130" t="str" cm="1">
        <f t="array" ref="M976">IFERROR(INDEX(CategoriesTable[Category type],MATCH(Table1[[#This Row],[Category]],CategoriesTable[Category name],0),0),"")</f>
        <v>Expense</v>
      </c>
      <c r="N976" s="130" t="str" cm="1">
        <f t="array" ref="N976">IFERROR(INDEX(SubcategoriesTable[Subcategory name],MATCH(Table1[[#This Row],[Category]],SubcategoriesTable[Category name],0),0),"")</f>
        <v>Fixed</v>
      </c>
      <c r="O976" s="130">
        <v>19</v>
      </c>
      <c r="P976" s="130">
        <f>MONTH(Table1[[#This Row],[Date]])</f>
        <v>5</v>
      </c>
      <c r="Q976" s="130">
        <v>2020</v>
      </c>
      <c r="R976" s="166">
        <f>IF(ISBLANK(Table1[[#This Row],[Date]]),"",Table1[[#This Row],[Date]]-WEEKDAY(Table1[[#This Row],[Date]],2)+1)</f>
        <v>43969</v>
      </c>
      <c r="S976" s="131">
        <f>IF(ISBLANK(Table1[[#This Row],[Date]]),"",DATE(Table1[[#This Row],[Date_Year]],Table1[[#This Row],[Date_Month]],1))</f>
        <v>43952</v>
      </c>
    </row>
    <row r="977" spans="2:19" ht="15.75" x14ac:dyDescent="0.25">
      <c r="B977" s="133">
        <v>43970</v>
      </c>
      <c r="C977" s="128" t="s">
        <v>508</v>
      </c>
      <c r="D977" s="128" t="s">
        <v>50</v>
      </c>
      <c r="E977" s="128" t="str" cm="1">
        <f t="array" ref="E977">IFERROR(INDEX(SubcategoriesTable[Subcategory name],MATCH(Table1[[#This Row],[Category]],SubcategoriesTable[Category name],0),0),"")</f>
        <v>Variable</v>
      </c>
      <c r="F977" s="134">
        <v>34.51</v>
      </c>
      <c r="G977" s="167" t="str">
        <f>_xlfn.XLOOKUP(Table1[[#This Row],[Account_ID]], Accounts[ID], Accounts[Account nickname], "Unknown")</f>
        <v>EVERYDAY CHECKING</v>
      </c>
      <c r="H977" s="137" t="str">
        <f>_xlfn.XLOOKUP(Table1[[#This Row],[Account_ID]], Accounts[ID], Accounts[Account'#], "Unknown")</f>
        <v>4636</v>
      </c>
      <c r="I977" s="168" t="str">
        <f>_xlfn.XLOOKUP(Table1[[#This Row],[Institution_ID]], Institutions[ID], Institutions[Institution nickname], "Unknown")</f>
        <v>Wells Fargo</v>
      </c>
      <c r="J977" s="139" t="s">
        <v>1674</v>
      </c>
      <c r="K977" s="129" t="s">
        <v>1229</v>
      </c>
      <c r="L977" s="129" t="s">
        <v>1228</v>
      </c>
      <c r="M977" s="130" t="str" cm="1">
        <f t="array" ref="M977">IFERROR(INDEX(CategoriesTable[Category type],MATCH(Table1[[#This Row],[Category]],CategoriesTable[Category name],0),0),"")</f>
        <v>Transfer</v>
      </c>
      <c r="N977" s="130" t="str" cm="1">
        <f t="array" ref="N977">IFERROR(INDEX(SubcategoriesTable[Subcategory name],MATCH(Table1[[#This Row],[Category]],SubcategoriesTable[Category name],0),0),"")</f>
        <v>Variable</v>
      </c>
      <c r="O977" s="130">
        <v>19</v>
      </c>
      <c r="P977" s="130">
        <f>MONTH(Table1[[#This Row],[Date]])</f>
        <v>5</v>
      </c>
      <c r="Q977" s="130">
        <v>2020</v>
      </c>
      <c r="R977" s="166">
        <f>IF(ISBLANK(Table1[[#This Row],[Date]]),"",Table1[[#This Row],[Date]]-WEEKDAY(Table1[[#This Row],[Date]],2)+1)</f>
        <v>43969</v>
      </c>
      <c r="S977" s="131">
        <f>IF(ISBLANK(Table1[[#This Row],[Date]]),"",DATE(Table1[[#This Row],[Date_Year]],Table1[[#This Row],[Date_Month]],1))</f>
        <v>43952</v>
      </c>
    </row>
    <row r="978" spans="2:19" ht="15.75" x14ac:dyDescent="0.25">
      <c r="B978" s="133">
        <v>43970</v>
      </c>
      <c r="C978" s="128" t="s">
        <v>169</v>
      </c>
      <c r="D978" s="128" t="s">
        <v>45</v>
      </c>
      <c r="E978" s="128" t="str" cm="1">
        <f t="array" ref="E978">IFERROR(INDEX(SubcategoriesTable[Subcategory name],MATCH(Table1[[#This Row],[Category]],SubcategoriesTable[Category name],0),0),"")</f>
        <v>Variable</v>
      </c>
      <c r="F978" s="134">
        <v>-7.09</v>
      </c>
      <c r="G978" s="167" t="str">
        <f>_xlfn.XLOOKUP(Table1[[#This Row],[Account_ID]], Accounts[ID], Accounts[Account nickname], "Unknown")</f>
        <v>Discover it chrome Card</v>
      </c>
      <c r="H978" s="137" t="str">
        <f>_xlfn.XLOOKUP(Table1[[#This Row],[Account_ID]], Accounts[ID], Accounts[Account'#], "Unknown")</f>
        <v>7328</v>
      </c>
      <c r="I978" s="168" t="str">
        <f>_xlfn.XLOOKUP(Table1[[#This Row],[Institution_ID]], Institutions[ID], Institutions[Institution nickname], "Unknown")</f>
        <v>Discover</v>
      </c>
      <c r="J978" s="139" t="s">
        <v>959</v>
      </c>
      <c r="K978" s="129" t="s">
        <v>110</v>
      </c>
      <c r="L978" s="129" t="s">
        <v>108</v>
      </c>
      <c r="M978" s="130" t="str" cm="1">
        <f t="array" ref="M978">IFERROR(INDEX(CategoriesTable[Category type],MATCH(Table1[[#This Row],[Category]],CategoriesTable[Category name],0),0),"")</f>
        <v>Expense</v>
      </c>
      <c r="N978" s="130" t="str" cm="1">
        <f t="array" ref="N978">IFERROR(INDEX(SubcategoriesTable[Subcategory name],MATCH(Table1[[#This Row],[Category]],SubcategoriesTable[Category name],0),0),"")</f>
        <v>Variable</v>
      </c>
      <c r="O978" s="130">
        <v>19</v>
      </c>
      <c r="P978" s="130">
        <f>MONTH(Table1[[#This Row],[Date]])</f>
        <v>5</v>
      </c>
      <c r="Q978" s="130">
        <v>2020</v>
      </c>
      <c r="R978" s="166">
        <f>IF(ISBLANK(Table1[[#This Row],[Date]]),"",Table1[[#This Row],[Date]]-WEEKDAY(Table1[[#This Row],[Date]],2)+1)</f>
        <v>43969</v>
      </c>
      <c r="S978" s="131">
        <f>IF(ISBLANK(Table1[[#This Row],[Date]]),"",DATE(Table1[[#This Row],[Date_Year]],Table1[[#This Row],[Date_Month]],1))</f>
        <v>43952</v>
      </c>
    </row>
    <row r="979" spans="2:19" ht="15.75" x14ac:dyDescent="0.25">
      <c r="B979" s="133">
        <v>43969</v>
      </c>
      <c r="C979" s="128" t="s">
        <v>1675</v>
      </c>
      <c r="D979" s="128" t="s">
        <v>46</v>
      </c>
      <c r="E979" s="128" t="str" cm="1">
        <f t="array" ref="E979">IFERROR(INDEX(SubcategoriesTable[Subcategory name],MATCH(Table1[[#This Row],[Category]],SubcategoriesTable[Category name],0),0),"")</f>
        <v>Variable</v>
      </c>
      <c r="F979" s="134">
        <v>-5</v>
      </c>
      <c r="G979" s="167" t="str">
        <f>_xlfn.XLOOKUP(Table1[[#This Row],[Account_ID]], Accounts[ID], Accounts[Account nickname], "Unknown")</f>
        <v>EVERYDAY CHECKING</v>
      </c>
      <c r="H979" s="137" t="str">
        <f>_xlfn.XLOOKUP(Table1[[#This Row],[Account_ID]], Accounts[ID], Accounts[Account'#], "Unknown")</f>
        <v>4636</v>
      </c>
      <c r="I979" s="168" t="str">
        <f>_xlfn.XLOOKUP(Table1[[#This Row],[Institution_ID]], Institutions[ID], Institutions[Institution nickname], "Unknown")</f>
        <v>Wells Fargo</v>
      </c>
      <c r="J979" s="139" t="s">
        <v>1676</v>
      </c>
      <c r="K979" s="129" t="s">
        <v>1229</v>
      </c>
      <c r="L979" s="129" t="s">
        <v>1228</v>
      </c>
      <c r="M979" s="130" t="str" cm="1">
        <f t="array" ref="M979">IFERROR(INDEX(CategoriesTable[Category type],MATCH(Table1[[#This Row],[Category]],CategoriesTable[Category name],0),0),"")</f>
        <v>Expense</v>
      </c>
      <c r="N979" s="130" t="str" cm="1">
        <f t="array" ref="N979">IFERROR(INDEX(SubcategoriesTable[Subcategory name],MATCH(Table1[[#This Row],[Category]],SubcategoriesTable[Category name],0),0),"")</f>
        <v>Variable</v>
      </c>
      <c r="O979" s="130">
        <v>18</v>
      </c>
      <c r="P979" s="130">
        <f>MONTH(Table1[[#This Row],[Date]])</f>
        <v>5</v>
      </c>
      <c r="Q979" s="130">
        <v>2020</v>
      </c>
      <c r="R979" s="166">
        <f>IF(ISBLANK(Table1[[#This Row],[Date]]),"",Table1[[#This Row],[Date]]-WEEKDAY(Table1[[#This Row],[Date]],2)+1)</f>
        <v>43969</v>
      </c>
      <c r="S979" s="131">
        <f>IF(ISBLANK(Table1[[#This Row],[Date]]),"",DATE(Table1[[#This Row],[Date_Year]],Table1[[#This Row],[Date_Month]],1))</f>
        <v>43952</v>
      </c>
    </row>
    <row r="980" spans="2:19" ht="15.75" x14ac:dyDescent="0.25">
      <c r="B980" s="133">
        <v>43969</v>
      </c>
      <c r="C980" s="128" t="s">
        <v>1609</v>
      </c>
      <c r="D980" s="128" t="s">
        <v>46</v>
      </c>
      <c r="E980" s="128" t="str" cm="1">
        <f t="array" ref="E980">IFERROR(INDEX(SubcategoriesTable[Subcategory name],MATCH(Table1[[#This Row],[Category]],SubcategoriesTable[Category name],0),0),"")</f>
        <v>Variable</v>
      </c>
      <c r="F980" s="134">
        <v>-19.95</v>
      </c>
      <c r="G980" s="167" t="str">
        <f>_xlfn.XLOOKUP(Table1[[#This Row],[Account_ID]], Accounts[ID], Accounts[Account nickname], "Unknown")</f>
        <v>EVERYDAY CHECKING</v>
      </c>
      <c r="H980" s="137" t="str">
        <f>_xlfn.XLOOKUP(Table1[[#This Row],[Account_ID]], Accounts[ID], Accounts[Account'#], "Unknown")</f>
        <v>4636</v>
      </c>
      <c r="I980" s="168" t="str">
        <f>_xlfn.XLOOKUP(Table1[[#This Row],[Institution_ID]], Institutions[ID], Institutions[Institution nickname], "Unknown")</f>
        <v>Wells Fargo</v>
      </c>
      <c r="J980" s="139" t="s">
        <v>1677</v>
      </c>
      <c r="K980" s="129" t="s">
        <v>1229</v>
      </c>
      <c r="L980" s="129" t="s">
        <v>1228</v>
      </c>
      <c r="M980" s="130" t="str" cm="1">
        <f t="array" ref="M980">IFERROR(INDEX(CategoriesTable[Category type],MATCH(Table1[[#This Row],[Category]],CategoriesTable[Category name],0),0),"")</f>
        <v>Expense</v>
      </c>
      <c r="N980" s="130" t="str" cm="1">
        <f t="array" ref="N980">IFERROR(INDEX(SubcategoriesTable[Subcategory name],MATCH(Table1[[#This Row],[Category]],SubcategoriesTable[Category name],0),0),"")</f>
        <v>Variable</v>
      </c>
      <c r="O980" s="130">
        <v>18</v>
      </c>
      <c r="P980" s="130">
        <f>MONTH(Table1[[#This Row],[Date]])</f>
        <v>5</v>
      </c>
      <c r="Q980" s="130">
        <v>2020</v>
      </c>
      <c r="R980" s="166">
        <f>IF(ISBLANK(Table1[[#This Row],[Date]]),"",Table1[[#This Row],[Date]]-WEEKDAY(Table1[[#This Row],[Date]],2)+1)</f>
        <v>43969</v>
      </c>
      <c r="S980" s="131">
        <f>IF(ISBLANK(Table1[[#This Row],[Date]]),"",DATE(Table1[[#This Row],[Date_Year]],Table1[[#This Row],[Date_Month]],1))</f>
        <v>43952</v>
      </c>
    </row>
    <row r="981" spans="2:19" ht="15.75" x14ac:dyDescent="0.25">
      <c r="B981" s="133">
        <v>43969</v>
      </c>
      <c r="C981" s="128" t="s">
        <v>201</v>
      </c>
      <c r="D981" s="128" t="s">
        <v>48</v>
      </c>
      <c r="E981" s="128" t="str" cm="1">
        <f t="array" ref="E981">IFERROR(INDEX(SubcategoriesTable[Subcategory name],MATCH(Table1[[#This Row],[Category]],SubcategoriesTable[Category name],0),0),"")</f>
        <v>Variable</v>
      </c>
      <c r="F981" s="134">
        <v>-30.58</v>
      </c>
      <c r="G981" s="167" t="str">
        <f>_xlfn.XLOOKUP(Table1[[#This Row],[Account_ID]], Accounts[ID], Accounts[Account nickname], "Unknown")</f>
        <v>Discover it chrome Card</v>
      </c>
      <c r="H981" s="137" t="str">
        <f>_xlfn.XLOOKUP(Table1[[#This Row],[Account_ID]], Accounts[ID], Accounts[Account'#], "Unknown")</f>
        <v>7328</v>
      </c>
      <c r="I981" s="168" t="str">
        <f>_xlfn.XLOOKUP(Table1[[#This Row],[Institution_ID]], Institutions[ID], Institutions[Institution nickname], "Unknown")</f>
        <v>Discover</v>
      </c>
      <c r="J981" s="139" t="s">
        <v>960</v>
      </c>
      <c r="K981" s="129" t="s">
        <v>110</v>
      </c>
      <c r="L981" s="129" t="s">
        <v>108</v>
      </c>
      <c r="M981" s="130" t="str" cm="1">
        <f t="array" ref="M981">IFERROR(INDEX(CategoriesTable[Category type],MATCH(Table1[[#This Row],[Category]],CategoriesTable[Category name],0),0),"")</f>
        <v>Expense</v>
      </c>
      <c r="N981" s="130" t="str" cm="1">
        <f t="array" ref="N981">IFERROR(INDEX(SubcategoriesTable[Subcategory name],MATCH(Table1[[#This Row],[Category]],SubcategoriesTable[Category name],0),0),"")</f>
        <v>Variable</v>
      </c>
      <c r="O981" s="130">
        <v>18</v>
      </c>
      <c r="P981" s="130">
        <f>MONTH(Table1[[#This Row],[Date]])</f>
        <v>5</v>
      </c>
      <c r="Q981" s="130">
        <v>2020</v>
      </c>
      <c r="R981" s="166">
        <f>IF(ISBLANK(Table1[[#This Row],[Date]]),"",Table1[[#This Row],[Date]]-WEEKDAY(Table1[[#This Row],[Date]],2)+1)</f>
        <v>43969</v>
      </c>
      <c r="S981" s="131">
        <f>IF(ISBLANK(Table1[[#This Row],[Date]]),"",DATE(Table1[[#This Row],[Date_Year]],Table1[[#This Row],[Date_Month]],1))</f>
        <v>43952</v>
      </c>
    </row>
    <row r="982" spans="2:19" ht="15.75" x14ac:dyDescent="0.25">
      <c r="B982" s="133">
        <v>43968</v>
      </c>
      <c r="C982" s="128" t="s">
        <v>961</v>
      </c>
      <c r="D982" s="128" t="s">
        <v>54</v>
      </c>
      <c r="E982" s="128" t="str" cm="1">
        <f t="array" ref="E982">IFERROR(INDEX(SubcategoriesTable[Subcategory name],MATCH(Table1[[#This Row],[Category]],SubcategoriesTable[Category name],0),0),"")</f>
        <v>Fixed</v>
      </c>
      <c r="F982" s="134">
        <v>-86.25</v>
      </c>
      <c r="G982" s="167" t="str">
        <f>_xlfn.XLOOKUP(Table1[[#This Row],[Account_ID]], Accounts[ID], Accounts[Account nickname], "Unknown")</f>
        <v>Discover it chrome Card</v>
      </c>
      <c r="H982" s="137" t="str">
        <f>_xlfn.XLOOKUP(Table1[[#This Row],[Account_ID]], Accounts[ID], Accounts[Account'#], "Unknown")</f>
        <v>7328</v>
      </c>
      <c r="I982" s="168" t="str">
        <f>_xlfn.XLOOKUP(Table1[[#This Row],[Institution_ID]], Institutions[ID], Institutions[Institution nickname], "Unknown")</f>
        <v>Discover</v>
      </c>
      <c r="J982" s="139" t="s">
        <v>962</v>
      </c>
      <c r="K982" s="129" t="s">
        <v>110</v>
      </c>
      <c r="L982" s="129" t="s">
        <v>108</v>
      </c>
      <c r="M982" s="130" t="str" cm="1">
        <f t="array" ref="M982">IFERROR(INDEX(CategoriesTable[Category type],MATCH(Table1[[#This Row],[Category]],CategoriesTable[Category name],0),0),"")</f>
        <v>Expense</v>
      </c>
      <c r="N982" s="130" t="str" cm="1">
        <f t="array" ref="N982">IFERROR(INDEX(SubcategoriesTable[Subcategory name],MATCH(Table1[[#This Row],[Category]],SubcategoriesTable[Category name],0),0),"")</f>
        <v>Fixed</v>
      </c>
      <c r="O982" s="130">
        <v>17</v>
      </c>
      <c r="P982" s="130">
        <f>MONTH(Table1[[#This Row],[Date]])</f>
        <v>5</v>
      </c>
      <c r="Q982" s="130">
        <v>2020</v>
      </c>
      <c r="R982" s="166">
        <f>IF(ISBLANK(Table1[[#This Row],[Date]]),"",Table1[[#This Row],[Date]]-WEEKDAY(Table1[[#This Row],[Date]],2)+1)</f>
        <v>43962</v>
      </c>
      <c r="S982" s="131">
        <f>IF(ISBLANK(Table1[[#This Row],[Date]]),"",DATE(Table1[[#This Row],[Date_Year]],Table1[[#This Row],[Date_Month]],1))</f>
        <v>43952</v>
      </c>
    </row>
    <row r="983" spans="2:19" ht="15.75" x14ac:dyDescent="0.25">
      <c r="B983" s="133">
        <v>43968</v>
      </c>
      <c r="C983" s="128" t="s">
        <v>590</v>
      </c>
      <c r="D983" s="128" t="s">
        <v>48</v>
      </c>
      <c r="E983" s="128" t="str" cm="1">
        <f t="array" ref="E983">IFERROR(INDEX(SubcategoriesTable[Subcategory name],MATCH(Table1[[#This Row],[Category]],SubcategoriesTable[Category name],0),0),"")</f>
        <v>Variable</v>
      </c>
      <c r="F983" s="134">
        <v>-110.87</v>
      </c>
      <c r="G983" s="167" t="str">
        <f>_xlfn.XLOOKUP(Table1[[#This Row],[Account_ID]], Accounts[ID], Accounts[Account nickname], "Unknown")</f>
        <v>Discover it chrome Card</v>
      </c>
      <c r="H983" s="137" t="str">
        <f>_xlfn.XLOOKUP(Table1[[#This Row],[Account_ID]], Accounts[ID], Accounts[Account'#], "Unknown")</f>
        <v>7328</v>
      </c>
      <c r="I983" s="168" t="str">
        <f>_xlfn.XLOOKUP(Table1[[#This Row],[Institution_ID]], Institutions[ID], Institutions[Institution nickname], "Unknown")</f>
        <v>Discover</v>
      </c>
      <c r="J983" s="139" t="s">
        <v>963</v>
      </c>
      <c r="K983" s="129" t="s">
        <v>110</v>
      </c>
      <c r="L983" s="129" t="s">
        <v>108</v>
      </c>
      <c r="M983" s="130" t="str" cm="1">
        <f t="array" ref="M983">IFERROR(INDEX(CategoriesTable[Category type],MATCH(Table1[[#This Row],[Category]],CategoriesTable[Category name],0),0),"")</f>
        <v>Expense</v>
      </c>
      <c r="N983" s="130" t="str" cm="1">
        <f t="array" ref="N983">IFERROR(INDEX(SubcategoriesTable[Subcategory name],MATCH(Table1[[#This Row],[Category]],SubcategoriesTable[Category name],0),0),"")</f>
        <v>Variable</v>
      </c>
      <c r="O983" s="130">
        <v>17</v>
      </c>
      <c r="P983" s="130">
        <f>MONTH(Table1[[#This Row],[Date]])</f>
        <v>5</v>
      </c>
      <c r="Q983" s="130">
        <v>2020</v>
      </c>
      <c r="R983" s="166">
        <f>IF(ISBLANK(Table1[[#This Row],[Date]]),"",Table1[[#This Row],[Date]]-WEEKDAY(Table1[[#This Row],[Date]],2)+1)</f>
        <v>43962</v>
      </c>
      <c r="S983" s="131">
        <f>IF(ISBLANK(Table1[[#This Row],[Date]]),"",DATE(Table1[[#This Row],[Date_Year]],Table1[[#This Row],[Date_Month]],1))</f>
        <v>43952</v>
      </c>
    </row>
    <row r="984" spans="2:19" ht="15.75" x14ac:dyDescent="0.25">
      <c r="B984" s="133">
        <v>43967</v>
      </c>
      <c r="C984" s="128" t="s">
        <v>1612</v>
      </c>
      <c r="D984" s="128" t="s">
        <v>56</v>
      </c>
      <c r="E984" s="128" t="str" cm="1">
        <f t="array" ref="E984">IFERROR(INDEX(SubcategoriesTable[Subcategory name],MATCH(Table1[[#This Row],[Category]],SubcategoriesTable[Category name],0),0),"")</f>
        <v>Variable</v>
      </c>
      <c r="F984" s="134">
        <v>-19.95</v>
      </c>
      <c r="G984" s="167" t="str">
        <f>_xlfn.XLOOKUP(Table1[[#This Row],[Account_ID]], Accounts[ID], Accounts[Account nickname], "Unknown")</f>
        <v>EVERYDAY CHECKING</v>
      </c>
      <c r="H984" s="137" t="str">
        <f>_xlfn.XLOOKUP(Table1[[#This Row],[Account_ID]], Accounts[ID], Accounts[Account'#], "Unknown")</f>
        <v>4636</v>
      </c>
      <c r="I984" s="168" t="str">
        <f>_xlfn.XLOOKUP(Table1[[#This Row],[Institution_ID]], Institutions[ID], Institutions[Institution nickname], "Unknown")</f>
        <v>Wells Fargo</v>
      </c>
      <c r="J984" s="139" t="s">
        <v>1678</v>
      </c>
      <c r="K984" s="129" t="s">
        <v>1229</v>
      </c>
      <c r="L984" s="129" t="s">
        <v>1228</v>
      </c>
      <c r="M984" s="130" t="str" cm="1">
        <f t="array" ref="M984">IFERROR(INDEX(CategoriesTable[Category type],MATCH(Table1[[#This Row],[Category]],CategoriesTable[Category name],0),0),"")</f>
        <v>Expense</v>
      </c>
      <c r="N984" s="130" t="str" cm="1">
        <f t="array" ref="N984">IFERROR(INDEX(SubcategoriesTable[Subcategory name],MATCH(Table1[[#This Row],[Category]],SubcategoriesTable[Category name],0),0),"")</f>
        <v>Variable</v>
      </c>
      <c r="O984" s="130">
        <v>16</v>
      </c>
      <c r="P984" s="130">
        <f>MONTH(Table1[[#This Row],[Date]])</f>
        <v>5</v>
      </c>
      <c r="Q984" s="130">
        <v>2020</v>
      </c>
      <c r="R984" s="166">
        <f>IF(ISBLANK(Table1[[#This Row],[Date]]),"",Table1[[#This Row],[Date]]-WEEKDAY(Table1[[#This Row],[Date]],2)+1)</f>
        <v>43962</v>
      </c>
      <c r="S984" s="131">
        <f>IF(ISBLANK(Table1[[#This Row],[Date]]),"",DATE(Table1[[#This Row],[Date_Year]],Table1[[#This Row],[Date_Month]],1))</f>
        <v>43952</v>
      </c>
    </row>
    <row r="985" spans="2:19" ht="15.75" x14ac:dyDescent="0.25">
      <c r="B985" s="133">
        <v>43967</v>
      </c>
      <c r="C985" s="128" t="s">
        <v>1679</v>
      </c>
      <c r="D985" s="128" t="s">
        <v>56</v>
      </c>
      <c r="E985" s="128" t="str" cm="1">
        <f t="array" ref="E985">IFERROR(INDEX(SubcategoriesTable[Subcategory name],MATCH(Table1[[#This Row],[Category]],SubcategoriesTable[Category name],0),0),"")</f>
        <v>Variable</v>
      </c>
      <c r="F985" s="134">
        <v>-18.55</v>
      </c>
      <c r="G985" s="167" t="str">
        <f>_xlfn.XLOOKUP(Table1[[#This Row],[Account_ID]], Accounts[ID], Accounts[Account nickname], "Unknown")</f>
        <v>EVERYDAY CHECKING</v>
      </c>
      <c r="H985" s="137" t="str">
        <f>_xlfn.XLOOKUP(Table1[[#This Row],[Account_ID]], Accounts[ID], Accounts[Account'#], "Unknown")</f>
        <v>4636</v>
      </c>
      <c r="I985" s="168" t="str">
        <f>_xlfn.XLOOKUP(Table1[[#This Row],[Institution_ID]], Institutions[ID], Institutions[Institution nickname], "Unknown")</f>
        <v>Wells Fargo</v>
      </c>
      <c r="J985" s="139" t="s">
        <v>1680</v>
      </c>
      <c r="K985" s="129" t="s">
        <v>1229</v>
      </c>
      <c r="L985" s="129" t="s">
        <v>1228</v>
      </c>
      <c r="M985" s="130" t="str" cm="1">
        <f t="array" ref="M985">IFERROR(INDEX(CategoriesTable[Category type],MATCH(Table1[[#This Row],[Category]],CategoriesTable[Category name],0),0),"")</f>
        <v>Expense</v>
      </c>
      <c r="N985" s="130" t="str" cm="1">
        <f t="array" ref="N985">IFERROR(INDEX(SubcategoriesTable[Subcategory name],MATCH(Table1[[#This Row],[Category]],SubcategoriesTable[Category name],0),0),"")</f>
        <v>Variable</v>
      </c>
      <c r="O985" s="130">
        <v>16</v>
      </c>
      <c r="P985" s="130">
        <f>MONTH(Table1[[#This Row],[Date]])</f>
        <v>5</v>
      </c>
      <c r="Q985" s="130">
        <v>2020</v>
      </c>
      <c r="R985" s="166">
        <f>IF(ISBLANK(Table1[[#This Row],[Date]]),"",Table1[[#This Row],[Date]]-WEEKDAY(Table1[[#This Row],[Date]],2)+1)</f>
        <v>43962</v>
      </c>
      <c r="S985" s="131">
        <f>IF(ISBLANK(Table1[[#This Row],[Date]]),"",DATE(Table1[[#This Row],[Date_Year]],Table1[[#This Row],[Date_Month]],1))</f>
        <v>43952</v>
      </c>
    </row>
    <row r="986" spans="2:19" ht="15.75" x14ac:dyDescent="0.25">
      <c r="B986" s="133">
        <v>43967</v>
      </c>
      <c r="C986" s="128" t="s">
        <v>1679</v>
      </c>
      <c r="D986" s="128" t="s">
        <v>56</v>
      </c>
      <c r="E986" s="128" t="str" cm="1">
        <f t="array" ref="E986">IFERROR(INDEX(SubcategoriesTable[Subcategory name],MATCH(Table1[[#This Row],[Category]],SubcategoriesTable[Category name],0),0),"")</f>
        <v>Variable</v>
      </c>
      <c r="F986" s="134">
        <v>-26.2</v>
      </c>
      <c r="G986" s="167" t="str">
        <f>_xlfn.XLOOKUP(Table1[[#This Row],[Account_ID]], Accounts[ID], Accounts[Account nickname], "Unknown")</f>
        <v>EVERYDAY CHECKING</v>
      </c>
      <c r="H986" s="137" t="str">
        <f>_xlfn.XLOOKUP(Table1[[#This Row],[Account_ID]], Accounts[ID], Accounts[Account'#], "Unknown")</f>
        <v>4636</v>
      </c>
      <c r="I986" s="168" t="str">
        <f>_xlfn.XLOOKUP(Table1[[#This Row],[Institution_ID]], Institutions[ID], Institutions[Institution nickname], "Unknown")</f>
        <v>Wells Fargo</v>
      </c>
      <c r="J986" s="139" t="s">
        <v>1681</v>
      </c>
      <c r="K986" s="129" t="s">
        <v>1229</v>
      </c>
      <c r="L986" s="129" t="s">
        <v>1228</v>
      </c>
      <c r="M986" s="130" t="str" cm="1">
        <f t="array" ref="M986">IFERROR(INDEX(CategoriesTable[Category type],MATCH(Table1[[#This Row],[Category]],CategoriesTable[Category name],0),0),"")</f>
        <v>Expense</v>
      </c>
      <c r="N986" s="130" t="str" cm="1">
        <f t="array" ref="N986">IFERROR(INDEX(SubcategoriesTable[Subcategory name],MATCH(Table1[[#This Row],[Category]],SubcategoriesTable[Category name],0),0),"")</f>
        <v>Variable</v>
      </c>
      <c r="O986" s="130">
        <v>16</v>
      </c>
      <c r="P986" s="130">
        <f>MONTH(Table1[[#This Row],[Date]])</f>
        <v>5</v>
      </c>
      <c r="Q986" s="130">
        <v>2020</v>
      </c>
      <c r="R986" s="166">
        <f>IF(ISBLANK(Table1[[#This Row],[Date]]),"",Table1[[#This Row],[Date]]-WEEKDAY(Table1[[#This Row],[Date]],2)+1)</f>
        <v>43962</v>
      </c>
      <c r="S986" s="131">
        <f>IF(ISBLANK(Table1[[#This Row],[Date]]),"",DATE(Table1[[#This Row],[Date_Year]],Table1[[#This Row],[Date_Month]],1))</f>
        <v>43952</v>
      </c>
    </row>
    <row r="987" spans="2:19" ht="15.75" x14ac:dyDescent="0.25">
      <c r="B987" s="133">
        <v>43966</v>
      </c>
      <c r="C987" s="128" t="s">
        <v>1682</v>
      </c>
      <c r="D987" s="128" t="s">
        <v>49</v>
      </c>
      <c r="E987" s="128" t="str" cm="1">
        <f t="array" ref="E987">IFERROR(INDEX(SubcategoriesTable[Subcategory name],MATCH(Table1[[#This Row],[Category]],SubcategoriesTable[Category name],0),0),"")</f>
        <v>Variable</v>
      </c>
      <c r="F987" s="134">
        <v>-30</v>
      </c>
      <c r="G987" s="167" t="str">
        <f>_xlfn.XLOOKUP(Table1[[#This Row],[Account_ID]], Accounts[ID], Accounts[Account nickname], "Unknown")</f>
        <v>EVERYDAY CHECKING</v>
      </c>
      <c r="H987" s="137" t="str">
        <f>_xlfn.XLOOKUP(Table1[[#This Row],[Account_ID]], Accounts[ID], Accounts[Account'#], "Unknown")</f>
        <v>4636</v>
      </c>
      <c r="I987" s="168" t="str">
        <f>_xlfn.XLOOKUP(Table1[[#This Row],[Institution_ID]], Institutions[ID], Institutions[Institution nickname], "Unknown")</f>
        <v>Wells Fargo</v>
      </c>
      <c r="J987" s="171" t="s">
        <v>1683</v>
      </c>
      <c r="K987" s="129" t="s">
        <v>1229</v>
      </c>
      <c r="L987" s="129" t="s">
        <v>1228</v>
      </c>
      <c r="M987" s="130" t="str" cm="1">
        <f t="array" ref="M987">IFERROR(INDEX(CategoriesTable[Category type],MATCH(Table1[[#This Row],[Category]],CategoriesTable[Category name],0),0),"")</f>
        <v>Expense</v>
      </c>
      <c r="N987" s="130" t="str" cm="1">
        <f t="array" ref="N987">IFERROR(INDEX(SubcategoriesTable[Subcategory name],MATCH(Table1[[#This Row],[Category]],SubcategoriesTable[Category name],0),0),"")</f>
        <v>Variable</v>
      </c>
      <c r="O987" s="130">
        <v>15</v>
      </c>
      <c r="P987" s="130">
        <f>MONTH(Table1[[#This Row],[Date]])</f>
        <v>5</v>
      </c>
      <c r="Q987" s="130">
        <v>2020</v>
      </c>
      <c r="R987" s="166">
        <f>IF(ISBLANK(Table1[[#This Row],[Date]]),"",Table1[[#This Row],[Date]]-WEEKDAY(Table1[[#This Row],[Date]],2)+1)</f>
        <v>43962</v>
      </c>
      <c r="S987" s="131">
        <f>IF(ISBLANK(Table1[[#This Row],[Date]]),"",DATE(Table1[[#This Row],[Date_Year]],Table1[[#This Row],[Date_Month]],1))</f>
        <v>43952</v>
      </c>
    </row>
    <row r="988" spans="2:19" ht="15.75" x14ac:dyDescent="0.25">
      <c r="B988" s="133">
        <v>43965</v>
      </c>
      <c r="C988" s="128" t="s">
        <v>1183</v>
      </c>
      <c r="D988" s="128" t="s">
        <v>1204</v>
      </c>
      <c r="E988" s="128" t="str" cm="1">
        <f t="array" ref="E988">IFERROR(INDEX(SubcategoriesTable[Subcategory name],MATCH(Table1[[#This Row],[Category]],SubcategoriesTable[Category name],0),0),"")</f>
        <v>Variable</v>
      </c>
      <c r="F988" s="134">
        <v>-100</v>
      </c>
      <c r="G988" s="167" t="str">
        <f>_xlfn.XLOOKUP(Table1[[#This Row],[Account_ID]], Accounts[ID], Accounts[Account nickname], "Unknown")</f>
        <v>EVERYDAY CHECKING</v>
      </c>
      <c r="H988" s="137" t="str">
        <f>_xlfn.XLOOKUP(Table1[[#This Row],[Account_ID]], Accounts[ID], Accounts[Account'#], "Unknown")</f>
        <v>4636</v>
      </c>
      <c r="I988" s="168" t="str">
        <f>_xlfn.XLOOKUP(Table1[[#This Row],[Institution_ID]], Institutions[ID], Institutions[Institution nickname], "Unknown")</f>
        <v>Wells Fargo</v>
      </c>
      <c r="J988" s="139" t="s">
        <v>1684</v>
      </c>
      <c r="K988" s="129" t="s">
        <v>1229</v>
      </c>
      <c r="L988" s="129" t="s">
        <v>1228</v>
      </c>
      <c r="M988" s="130" t="str" cm="1">
        <f t="array" ref="M988">IFERROR(INDEX(CategoriesTable[Category type],MATCH(Table1[[#This Row],[Category]],CategoriesTable[Category name],0),0),"")</f>
        <v>Savings</v>
      </c>
      <c r="N988" s="130" t="str" cm="1">
        <f t="array" ref="N988">IFERROR(INDEX(SubcategoriesTable[Subcategory name],MATCH(Table1[[#This Row],[Category]],SubcategoriesTable[Category name],0),0),"")</f>
        <v>Variable</v>
      </c>
      <c r="O988" s="130">
        <v>14</v>
      </c>
      <c r="P988" s="130">
        <f>MONTH(Table1[[#This Row],[Date]])</f>
        <v>5</v>
      </c>
      <c r="Q988" s="130">
        <v>2020</v>
      </c>
      <c r="R988" s="166">
        <f>IF(ISBLANK(Table1[[#This Row],[Date]]),"",Table1[[#This Row],[Date]]-WEEKDAY(Table1[[#This Row],[Date]],2)+1)</f>
        <v>43962</v>
      </c>
      <c r="S988" s="131">
        <f>IF(ISBLANK(Table1[[#This Row],[Date]]),"",DATE(Table1[[#This Row],[Date_Year]],Table1[[#This Row],[Date_Month]],1))</f>
        <v>43952</v>
      </c>
    </row>
    <row r="989" spans="2:19" ht="15.75" x14ac:dyDescent="0.25">
      <c r="B989" s="133">
        <v>43965</v>
      </c>
      <c r="C989" s="128" t="s">
        <v>336</v>
      </c>
      <c r="D989" s="128" t="s">
        <v>52</v>
      </c>
      <c r="E989" s="128" t="str" cm="1">
        <f t="array" ref="E989">IFERROR(INDEX(SubcategoriesTable[Subcategory name],MATCH(Table1[[#This Row],[Category]],SubcategoriesTable[Category name],0),0),"")</f>
        <v>Variable</v>
      </c>
      <c r="F989" s="134">
        <v>-14</v>
      </c>
      <c r="G989" s="167" t="str">
        <f>_xlfn.XLOOKUP(Table1[[#This Row],[Account_ID]], Accounts[ID], Accounts[Account nickname], "Unknown")</f>
        <v>EVERYDAY CHECKING</v>
      </c>
      <c r="H989" s="137" t="str">
        <f>_xlfn.XLOOKUP(Table1[[#This Row],[Account_ID]], Accounts[ID], Accounts[Account'#], "Unknown")</f>
        <v>4636</v>
      </c>
      <c r="I989" s="168" t="str">
        <f>_xlfn.XLOOKUP(Table1[[#This Row],[Institution_ID]], Institutions[ID], Institutions[Institution nickname], "Unknown")</f>
        <v>Wells Fargo</v>
      </c>
      <c r="J989" s="139" t="s">
        <v>1685</v>
      </c>
      <c r="K989" s="129" t="s">
        <v>1229</v>
      </c>
      <c r="L989" s="129" t="s">
        <v>1228</v>
      </c>
      <c r="M989" s="130" t="str" cm="1">
        <f t="array" ref="M989">IFERROR(INDEX(CategoriesTable[Category type],MATCH(Table1[[#This Row],[Category]],CategoriesTable[Category name],0),0),"")</f>
        <v>Expense</v>
      </c>
      <c r="N989" s="130" t="str" cm="1">
        <f t="array" ref="N989">IFERROR(INDEX(SubcategoriesTable[Subcategory name],MATCH(Table1[[#This Row],[Category]],SubcategoriesTable[Category name],0),0),"")</f>
        <v>Variable</v>
      </c>
      <c r="O989" s="130">
        <v>14</v>
      </c>
      <c r="P989" s="130">
        <f>MONTH(Table1[[#This Row],[Date]])</f>
        <v>5</v>
      </c>
      <c r="Q989" s="130">
        <v>2020</v>
      </c>
      <c r="R989" s="166">
        <f>IF(ISBLANK(Table1[[#This Row],[Date]]),"",Table1[[#This Row],[Date]]-WEEKDAY(Table1[[#This Row],[Date]],2)+1)</f>
        <v>43962</v>
      </c>
      <c r="S989" s="131">
        <f>IF(ISBLANK(Table1[[#This Row],[Date]]),"",DATE(Table1[[#This Row],[Date_Year]],Table1[[#This Row],[Date_Month]],1))</f>
        <v>43952</v>
      </c>
    </row>
    <row r="990" spans="2:19" ht="15.75" x14ac:dyDescent="0.25">
      <c r="B990" s="133">
        <v>43965</v>
      </c>
      <c r="C990" s="128" t="s">
        <v>1686</v>
      </c>
      <c r="D990" s="128" t="s">
        <v>45</v>
      </c>
      <c r="E990" s="128" t="str" cm="1">
        <f t="array" ref="E990">IFERROR(INDEX(SubcategoriesTable[Subcategory name],MATCH(Table1[[#This Row],[Category]],SubcategoriesTable[Category name],0),0),"")</f>
        <v>Variable</v>
      </c>
      <c r="F990" s="134">
        <v>-6.66</v>
      </c>
      <c r="G990" s="167" t="str">
        <f>_xlfn.XLOOKUP(Table1[[#This Row],[Account_ID]], Accounts[ID], Accounts[Account nickname], "Unknown")</f>
        <v>EVERYDAY CHECKING</v>
      </c>
      <c r="H990" s="137" t="str">
        <f>_xlfn.XLOOKUP(Table1[[#This Row],[Account_ID]], Accounts[ID], Accounts[Account'#], "Unknown")</f>
        <v>4636</v>
      </c>
      <c r="I990" s="168" t="str">
        <f>_xlfn.XLOOKUP(Table1[[#This Row],[Institution_ID]], Institutions[ID], Institutions[Institution nickname], "Unknown")</f>
        <v>Wells Fargo</v>
      </c>
      <c r="J990" s="139" t="s">
        <v>1687</v>
      </c>
      <c r="K990" s="129" t="s">
        <v>1229</v>
      </c>
      <c r="L990" s="129" t="s">
        <v>1228</v>
      </c>
      <c r="M990" s="130" t="str" cm="1">
        <f t="array" ref="M990">IFERROR(INDEX(CategoriesTable[Category type],MATCH(Table1[[#This Row],[Category]],CategoriesTable[Category name],0),0),"")</f>
        <v>Expense</v>
      </c>
      <c r="N990" s="130" t="str" cm="1">
        <f t="array" ref="N990">IFERROR(INDEX(SubcategoriesTable[Subcategory name],MATCH(Table1[[#This Row],[Category]],SubcategoriesTable[Category name],0),0),"")</f>
        <v>Variable</v>
      </c>
      <c r="O990" s="130">
        <v>14</v>
      </c>
      <c r="P990" s="130">
        <f>MONTH(Table1[[#This Row],[Date]])</f>
        <v>5</v>
      </c>
      <c r="Q990" s="130">
        <v>2020</v>
      </c>
      <c r="R990" s="166">
        <f>IF(ISBLANK(Table1[[#This Row],[Date]]),"",Table1[[#This Row],[Date]]-WEEKDAY(Table1[[#This Row],[Date]],2)+1)</f>
        <v>43962</v>
      </c>
      <c r="S990" s="131">
        <f>IF(ISBLANK(Table1[[#This Row],[Date]]),"",DATE(Table1[[#This Row],[Date_Year]],Table1[[#This Row],[Date_Month]],1))</f>
        <v>43952</v>
      </c>
    </row>
    <row r="991" spans="2:19" ht="15.75" x14ac:dyDescent="0.25">
      <c r="B991" s="133">
        <v>43965</v>
      </c>
      <c r="C991" s="128" t="s">
        <v>508</v>
      </c>
      <c r="D991" s="128" t="s">
        <v>50</v>
      </c>
      <c r="E991" s="128" t="str" cm="1">
        <f t="array" ref="E991">IFERROR(INDEX(SubcategoriesTable[Subcategory name],MATCH(Table1[[#This Row],[Category]],SubcategoriesTable[Category name],0),0),"")</f>
        <v>Variable</v>
      </c>
      <c r="F991" s="134">
        <v>-275</v>
      </c>
      <c r="G991" s="167" t="str">
        <f>_xlfn.XLOOKUP(Table1[[#This Row],[Account_ID]], Accounts[ID], Accounts[Account nickname], "Unknown")</f>
        <v>EVERYDAY CHECKING</v>
      </c>
      <c r="H991" s="137" t="str">
        <f>_xlfn.XLOOKUP(Table1[[#This Row],[Account_ID]], Accounts[ID], Accounts[Account'#], "Unknown")</f>
        <v>4636</v>
      </c>
      <c r="I991" s="168" t="str">
        <f>_xlfn.XLOOKUP(Table1[[#This Row],[Institution_ID]], Institutions[ID], Institutions[Institution nickname], "Unknown")</f>
        <v>Wells Fargo</v>
      </c>
      <c r="J991" s="139" t="s">
        <v>1688</v>
      </c>
      <c r="K991" s="129" t="s">
        <v>1229</v>
      </c>
      <c r="L991" s="129" t="s">
        <v>1228</v>
      </c>
      <c r="M991" s="130" t="str" cm="1">
        <f t="array" ref="M991">IFERROR(INDEX(CategoriesTable[Category type],MATCH(Table1[[#This Row],[Category]],CategoriesTable[Category name],0),0),"")</f>
        <v>Transfer</v>
      </c>
      <c r="N991" s="130" t="str" cm="1">
        <f t="array" ref="N991">IFERROR(INDEX(SubcategoriesTable[Subcategory name],MATCH(Table1[[#This Row],[Category]],SubcategoriesTable[Category name],0),0),"")</f>
        <v>Variable</v>
      </c>
      <c r="O991" s="130">
        <v>14</v>
      </c>
      <c r="P991" s="130">
        <f>MONTH(Table1[[#This Row],[Date]])</f>
        <v>5</v>
      </c>
      <c r="Q991" s="130">
        <v>2020</v>
      </c>
      <c r="R991" s="166">
        <f>IF(ISBLANK(Table1[[#This Row],[Date]]),"",Table1[[#This Row],[Date]]-WEEKDAY(Table1[[#This Row],[Date]],2)+1)</f>
        <v>43962</v>
      </c>
      <c r="S991" s="131">
        <f>IF(ISBLANK(Table1[[#This Row],[Date]]),"",DATE(Table1[[#This Row],[Date_Year]],Table1[[#This Row],[Date_Month]],1))</f>
        <v>43952</v>
      </c>
    </row>
    <row r="992" spans="2:19" ht="15.75" x14ac:dyDescent="0.25">
      <c r="B992" s="133">
        <v>43965</v>
      </c>
      <c r="C992" s="128" t="s">
        <v>353</v>
      </c>
      <c r="D992" s="128" t="s">
        <v>46</v>
      </c>
      <c r="E992" s="128" t="str" cm="1">
        <f t="array" ref="E992">IFERROR(INDEX(SubcategoriesTable[Subcategory name],MATCH(Table1[[#This Row],[Category]],SubcategoriesTable[Category name],0),0),"")</f>
        <v>Variable</v>
      </c>
      <c r="F992" s="134">
        <v>-77.94</v>
      </c>
      <c r="G992" s="167" t="str">
        <f>_xlfn.XLOOKUP(Table1[[#This Row],[Account_ID]], Accounts[ID], Accounts[Account nickname], "Unknown")</f>
        <v>Discover it chrome Card</v>
      </c>
      <c r="H992" s="137" t="str">
        <f>_xlfn.XLOOKUP(Table1[[#This Row],[Account_ID]], Accounts[ID], Accounts[Account'#], "Unknown")</f>
        <v>7328</v>
      </c>
      <c r="I992" s="168" t="str">
        <f>_xlfn.XLOOKUP(Table1[[#This Row],[Institution_ID]], Institutions[ID], Institutions[Institution nickname], "Unknown")</f>
        <v>Discover</v>
      </c>
      <c r="J992" s="139" t="s">
        <v>964</v>
      </c>
      <c r="K992" s="129" t="s">
        <v>110</v>
      </c>
      <c r="L992" s="129" t="s">
        <v>108</v>
      </c>
      <c r="M992" s="130" t="str" cm="1">
        <f t="array" ref="M992">IFERROR(INDEX(CategoriesTable[Category type],MATCH(Table1[[#This Row],[Category]],CategoriesTable[Category name],0),0),"")</f>
        <v>Expense</v>
      </c>
      <c r="N992" s="130" t="str" cm="1">
        <f t="array" ref="N992">IFERROR(INDEX(SubcategoriesTable[Subcategory name],MATCH(Table1[[#This Row],[Category]],SubcategoriesTable[Category name],0),0),"")</f>
        <v>Variable</v>
      </c>
      <c r="O992" s="130">
        <v>14</v>
      </c>
      <c r="P992" s="130">
        <f>MONTH(Table1[[#This Row],[Date]])</f>
        <v>5</v>
      </c>
      <c r="Q992" s="130">
        <v>2020</v>
      </c>
      <c r="R992" s="166">
        <f>IF(ISBLANK(Table1[[#This Row],[Date]]),"",Table1[[#This Row],[Date]]-WEEKDAY(Table1[[#This Row],[Date]],2)+1)</f>
        <v>43962</v>
      </c>
      <c r="S992" s="131">
        <f>IF(ISBLANK(Table1[[#This Row],[Date]]),"",DATE(Table1[[#This Row],[Date_Year]],Table1[[#This Row],[Date_Month]],1))</f>
        <v>43952</v>
      </c>
    </row>
    <row r="993" spans="2:19" ht="15.75" x14ac:dyDescent="0.25">
      <c r="B993" s="133">
        <v>43964</v>
      </c>
      <c r="C993" s="128" t="s">
        <v>1470</v>
      </c>
      <c r="D993" s="128" t="s">
        <v>53</v>
      </c>
      <c r="E993" s="128" t="str" cm="1">
        <f t="array" ref="E993">IFERROR(INDEX(SubcategoriesTable[Subcategory name],MATCH(Table1[[#This Row],[Category]],SubcategoriesTable[Category name],0),0),"")</f>
        <v>Variable</v>
      </c>
      <c r="F993" s="134">
        <v>119.4</v>
      </c>
      <c r="G993" s="167" t="str">
        <f>_xlfn.XLOOKUP(Table1[[#This Row],[Account_ID]], Accounts[ID], Accounts[Account nickname], "Unknown")</f>
        <v>EVERYDAY CHECKING</v>
      </c>
      <c r="H993" s="137" t="str">
        <f>_xlfn.XLOOKUP(Table1[[#This Row],[Account_ID]], Accounts[ID], Accounts[Account'#], "Unknown")</f>
        <v>4636</v>
      </c>
      <c r="I993" s="168" t="str">
        <f>_xlfn.XLOOKUP(Table1[[#This Row],[Institution_ID]], Institutions[ID], Institutions[Institution nickname], "Unknown")</f>
        <v>Wells Fargo</v>
      </c>
      <c r="J993" s="139" t="s">
        <v>1689</v>
      </c>
      <c r="K993" s="129" t="s">
        <v>1229</v>
      </c>
      <c r="L993" s="129" t="s">
        <v>1228</v>
      </c>
      <c r="M993" s="130" t="str" cm="1">
        <f t="array" ref="M993">IFERROR(INDEX(CategoriesTable[Category type],MATCH(Table1[[#This Row],[Category]],CategoriesTable[Category name],0),0),"")</f>
        <v>Expense</v>
      </c>
      <c r="N993" s="130" t="str" cm="1">
        <f t="array" ref="N993">IFERROR(INDEX(SubcategoriesTable[Subcategory name],MATCH(Table1[[#This Row],[Category]],SubcategoriesTable[Category name],0),0),"")</f>
        <v>Variable</v>
      </c>
      <c r="O993" s="130">
        <v>13</v>
      </c>
      <c r="P993" s="130">
        <f>MONTH(Table1[[#This Row],[Date]])</f>
        <v>5</v>
      </c>
      <c r="Q993" s="130">
        <v>2020</v>
      </c>
      <c r="R993" s="166">
        <f>IF(ISBLANK(Table1[[#This Row],[Date]]),"",Table1[[#This Row],[Date]]-WEEKDAY(Table1[[#This Row],[Date]],2)+1)</f>
        <v>43962</v>
      </c>
      <c r="S993" s="131">
        <f>IF(ISBLANK(Table1[[#This Row],[Date]]),"",DATE(Table1[[#This Row],[Date_Year]],Table1[[#This Row],[Date_Month]],1))</f>
        <v>43952</v>
      </c>
    </row>
    <row r="994" spans="2:19" ht="15.75" x14ac:dyDescent="0.25">
      <c r="B994" s="133">
        <v>43964</v>
      </c>
      <c r="C994" s="128" t="s">
        <v>508</v>
      </c>
      <c r="D994" s="128" t="s">
        <v>50</v>
      </c>
      <c r="E994" s="128" t="str" cm="1">
        <f t="array" ref="E994">IFERROR(INDEX(SubcategoriesTable[Subcategory name],MATCH(Table1[[#This Row],[Category]],SubcategoriesTable[Category name],0),0),"")</f>
        <v>Variable</v>
      </c>
      <c r="F994" s="134">
        <v>-208.44</v>
      </c>
      <c r="G994" s="167" t="str">
        <f>_xlfn.XLOOKUP(Table1[[#This Row],[Account_ID]], Accounts[ID], Accounts[Account nickname], "Unknown")</f>
        <v>EVERYDAY CHECKING</v>
      </c>
      <c r="H994" s="137" t="str">
        <f>_xlfn.XLOOKUP(Table1[[#This Row],[Account_ID]], Accounts[ID], Accounts[Account'#], "Unknown")</f>
        <v>4636</v>
      </c>
      <c r="I994" s="168" t="str">
        <f>_xlfn.XLOOKUP(Table1[[#This Row],[Institution_ID]], Institutions[ID], Institutions[Institution nickname], "Unknown")</f>
        <v>Wells Fargo</v>
      </c>
      <c r="J994" s="139" t="s">
        <v>1690</v>
      </c>
      <c r="K994" s="129" t="s">
        <v>1229</v>
      </c>
      <c r="L994" s="129" t="s">
        <v>1228</v>
      </c>
      <c r="M994" s="130" t="str" cm="1">
        <f t="array" ref="M994">IFERROR(INDEX(CategoriesTable[Category type],MATCH(Table1[[#This Row],[Category]],CategoriesTable[Category name],0),0),"")</f>
        <v>Transfer</v>
      </c>
      <c r="N994" s="130" t="str" cm="1">
        <f t="array" ref="N994">IFERROR(INDEX(SubcategoriesTable[Subcategory name],MATCH(Table1[[#This Row],[Category]],SubcategoriesTable[Category name],0),0),"")</f>
        <v>Variable</v>
      </c>
      <c r="O994" s="130">
        <v>13</v>
      </c>
      <c r="P994" s="130">
        <f>MONTH(Table1[[#This Row],[Date]])</f>
        <v>5</v>
      </c>
      <c r="Q994" s="130">
        <v>2020</v>
      </c>
      <c r="R994" s="166">
        <f>IF(ISBLANK(Table1[[#This Row],[Date]]),"",Table1[[#This Row],[Date]]-WEEKDAY(Table1[[#This Row],[Date]],2)+1)</f>
        <v>43962</v>
      </c>
      <c r="S994" s="131">
        <f>IF(ISBLANK(Table1[[#This Row],[Date]]),"",DATE(Table1[[#This Row],[Date_Year]],Table1[[#This Row],[Date_Month]],1))</f>
        <v>43952</v>
      </c>
    </row>
    <row r="995" spans="2:19" ht="15.75" x14ac:dyDescent="0.25">
      <c r="B995" s="133">
        <v>43963</v>
      </c>
      <c r="C995" s="128" t="s">
        <v>1630</v>
      </c>
      <c r="D995" s="128" t="s">
        <v>58</v>
      </c>
      <c r="E995" s="128" t="str" cm="1">
        <f t="array" ref="E995">IFERROR(INDEX(SubcategoriesTable[Subcategory name],MATCH(Table1[[#This Row],[Category]],SubcategoriesTable[Category name],0),0),"")</f>
        <v>Fixed</v>
      </c>
      <c r="F995" s="134">
        <v>-200</v>
      </c>
      <c r="G995" s="167" t="str">
        <f>_xlfn.XLOOKUP(Table1[[#This Row],[Account_ID]], Accounts[ID], Accounts[Account nickname], "Unknown")</f>
        <v>EVERYDAY CHECKING</v>
      </c>
      <c r="H995" s="137" t="str">
        <f>_xlfn.XLOOKUP(Table1[[#This Row],[Account_ID]], Accounts[ID], Accounts[Account'#], "Unknown")</f>
        <v>4636</v>
      </c>
      <c r="I995" s="168" t="str">
        <f>_xlfn.XLOOKUP(Table1[[#This Row],[Institution_ID]], Institutions[ID], Institutions[Institution nickname], "Unknown")</f>
        <v>Wells Fargo</v>
      </c>
      <c r="J995" s="139" t="s">
        <v>1691</v>
      </c>
      <c r="K995" s="129" t="s">
        <v>1229</v>
      </c>
      <c r="L995" s="129" t="s">
        <v>1228</v>
      </c>
      <c r="M995" s="130" t="str" cm="1">
        <f t="array" ref="M995">IFERROR(INDEX(CategoriesTable[Category type],MATCH(Table1[[#This Row],[Category]],CategoriesTable[Category name],0),0),"")</f>
        <v>Expense</v>
      </c>
      <c r="N995" s="130" t="str" cm="1">
        <f t="array" ref="N995">IFERROR(INDEX(SubcategoriesTable[Subcategory name],MATCH(Table1[[#This Row],[Category]],SubcategoriesTable[Category name],0),0),"")</f>
        <v>Fixed</v>
      </c>
      <c r="O995" s="130">
        <v>12</v>
      </c>
      <c r="P995" s="130">
        <f>MONTH(Table1[[#This Row],[Date]])</f>
        <v>5</v>
      </c>
      <c r="Q995" s="130">
        <v>2020</v>
      </c>
      <c r="R995" s="166">
        <f>IF(ISBLANK(Table1[[#This Row],[Date]]),"",Table1[[#This Row],[Date]]-WEEKDAY(Table1[[#This Row],[Date]],2)+1)</f>
        <v>43962</v>
      </c>
      <c r="S995" s="131">
        <f>IF(ISBLANK(Table1[[#This Row],[Date]]),"",DATE(Table1[[#This Row],[Date_Year]],Table1[[#This Row],[Date_Month]],1))</f>
        <v>43952</v>
      </c>
    </row>
    <row r="996" spans="2:19" ht="15.75" x14ac:dyDescent="0.25">
      <c r="B996" s="133">
        <v>43963</v>
      </c>
      <c r="C996" s="128" t="s">
        <v>50</v>
      </c>
      <c r="D996" s="128" t="s">
        <v>1204</v>
      </c>
      <c r="E996" s="128"/>
      <c r="F996" s="134">
        <v>100</v>
      </c>
      <c r="G996" s="167" t="str">
        <f>_xlfn.XLOOKUP(Table1[[#This Row],[Account_ID]], Accounts[ID], Accounts[Account nickname], "Unknown")</f>
        <v>Checking - 4480</v>
      </c>
      <c r="H996" s="137" t="str">
        <f>_xlfn.XLOOKUP(Table1[[#This Row],[Account_ID]], Accounts[ID], Accounts[Account'#], "Unknown")</f>
        <v>4480</v>
      </c>
      <c r="I996" s="168" t="str">
        <f>_xlfn.XLOOKUP(Table1[[#This Row],[Institution_ID]], Institutions[ID], Institutions[Institution nickname], "Unknown")</f>
        <v>Robinhood</v>
      </c>
      <c r="J996" s="139" t="s">
        <v>1257</v>
      </c>
      <c r="K996" s="129" t="s">
        <v>1208</v>
      </c>
      <c r="L996" s="173" t="s">
        <v>1207</v>
      </c>
      <c r="M996" s="130" t="str" cm="1">
        <f t="array" ref="M996">IFERROR(INDEX(CategoriesTable[Category type],MATCH(Table1[[#This Row],[Category]],CategoriesTable[Category name],0),0),"")</f>
        <v>Savings</v>
      </c>
      <c r="N996" s="130" t="str" cm="1">
        <f t="array" ref="N996">IFERROR(INDEX(SubcategoriesTable[Subcategory name],MATCH(Table1[[#This Row],[Category]],SubcategoriesTable[Category name],0),0),"")</f>
        <v>Variable</v>
      </c>
      <c r="O996" s="130">
        <v>12</v>
      </c>
      <c r="P996" s="130">
        <f>MONTH(Table1[[#This Row],[Date]])</f>
        <v>5</v>
      </c>
      <c r="Q996" s="130">
        <v>2020</v>
      </c>
      <c r="R996" s="166">
        <f>IF(ISBLANK(Table1[[#This Row],[Date]]),"",Table1[[#This Row],[Date]]-WEEKDAY(Table1[[#This Row],[Date]],2)+1)</f>
        <v>43962</v>
      </c>
      <c r="S996" s="131">
        <f>IF(ISBLANK(Table1[[#This Row],[Date]]),"",DATE(Table1[[#This Row],[Date_Year]],Table1[[#This Row],[Date_Month]],1))</f>
        <v>43952</v>
      </c>
    </row>
    <row r="997" spans="2:19" ht="15.75" x14ac:dyDescent="0.25">
      <c r="B997" s="133">
        <v>43961</v>
      </c>
      <c r="C997" s="128" t="s">
        <v>730</v>
      </c>
      <c r="D997" s="128" t="s">
        <v>46</v>
      </c>
      <c r="E997" s="128" t="str" cm="1">
        <f t="array" ref="E997">IFERROR(INDEX(SubcategoriesTable[Subcategory name],MATCH(Table1[[#This Row],[Category]],SubcategoriesTable[Category name],0),0),"")</f>
        <v>Variable</v>
      </c>
      <c r="F997" s="134">
        <v>-14.99</v>
      </c>
      <c r="G997" s="167" t="str">
        <f>_xlfn.XLOOKUP(Table1[[#This Row],[Account_ID]], Accounts[ID], Accounts[Account nickname], "Unknown")</f>
        <v>EVERYDAY CHECKING</v>
      </c>
      <c r="H997" s="137" t="str">
        <f>_xlfn.XLOOKUP(Table1[[#This Row],[Account_ID]], Accounts[ID], Accounts[Account'#], "Unknown")</f>
        <v>4636</v>
      </c>
      <c r="I997" s="168" t="str">
        <f>_xlfn.XLOOKUP(Table1[[#This Row],[Institution_ID]], Institutions[ID], Institutions[Institution nickname], "Unknown")</f>
        <v>Wells Fargo</v>
      </c>
      <c r="J997" s="139" t="s">
        <v>1692</v>
      </c>
      <c r="K997" s="129" t="s">
        <v>1229</v>
      </c>
      <c r="L997" s="129" t="s">
        <v>1228</v>
      </c>
      <c r="M997" s="130" t="str" cm="1">
        <f t="array" ref="M997">IFERROR(INDEX(CategoriesTable[Category type],MATCH(Table1[[#This Row],[Category]],CategoriesTable[Category name],0),0),"")</f>
        <v>Expense</v>
      </c>
      <c r="N997" s="130" t="str" cm="1">
        <f t="array" ref="N997">IFERROR(INDEX(SubcategoriesTable[Subcategory name],MATCH(Table1[[#This Row],[Category]],SubcategoriesTable[Category name],0),0),"")</f>
        <v>Variable</v>
      </c>
      <c r="O997" s="130">
        <v>10</v>
      </c>
      <c r="P997" s="130">
        <f>MONTH(Table1[[#This Row],[Date]])</f>
        <v>5</v>
      </c>
      <c r="Q997" s="130">
        <v>2020</v>
      </c>
      <c r="R997" s="166">
        <f>IF(ISBLANK(Table1[[#This Row],[Date]]),"",Table1[[#This Row],[Date]]-WEEKDAY(Table1[[#This Row],[Date]],2)+1)</f>
        <v>43955</v>
      </c>
      <c r="S997" s="131">
        <f>IF(ISBLANK(Table1[[#This Row],[Date]]),"",DATE(Table1[[#This Row],[Date_Year]],Table1[[#This Row],[Date_Month]],1))</f>
        <v>43952</v>
      </c>
    </row>
    <row r="998" spans="2:19" ht="15.75" x14ac:dyDescent="0.25">
      <c r="B998" s="133">
        <v>43959</v>
      </c>
      <c r="C998" s="128" t="s">
        <v>1181</v>
      </c>
      <c r="D998" s="128" t="s">
        <v>59</v>
      </c>
      <c r="E998" s="128" t="str" cm="1">
        <f t="array" ref="E998">IFERROR(INDEX(SubcategoriesTable[Subcategory name],MATCH(Table1[[#This Row],[Category]],SubcategoriesTable[Category name],0),0),"")</f>
        <v>Fixed</v>
      </c>
      <c r="F998" s="134">
        <v>1969.49</v>
      </c>
      <c r="G998" s="167" t="str">
        <f>_xlfn.XLOOKUP(Table1[[#This Row],[Account_ID]], Accounts[ID], Accounts[Account nickname], "Unknown")</f>
        <v>EVERYDAY CHECKING</v>
      </c>
      <c r="H998" s="137" t="str">
        <f>_xlfn.XLOOKUP(Table1[[#This Row],[Account_ID]], Accounts[ID], Accounts[Account'#], "Unknown")</f>
        <v>4636</v>
      </c>
      <c r="I998" s="168" t="str">
        <f>_xlfn.XLOOKUP(Table1[[#This Row],[Institution_ID]], Institutions[ID], Institutions[Institution nickname], "Unknown")</f>
        <v>Wells Fargo</v>
      </c>
      <c r="J998" s="139" t="s">
        <v>1693</v>
      </c>
      <c r="K998" s="129" t="s">
        <v>1229</v>
      </c>
      <c r="L998" s="129" t="s">
        <v>1228</v>
      </c>
      <c r="M998" s="130" t="str" cm="1">
        <f t="array" ref="M998">IFERROR(INDEX(CategoriesTable[Category type],MATCH(Table1[[#This Row],[Category]],CategoriesTable[Category name],0),0),"")</f>
        <v>Income</v>
      </c>
      <c r="N998" s="130" t="str" cm="1">
        <f t="array" ref="N998">IFERROR(INDEX(SubcategoriesTable[Subcategory name],MATCH(Table1[[#This Row],[Category]],SubcategoriesTable[Category name],0),0),"")</f>
        <v>Fixed</v>
      </c>
      <c r="O998" s="130">
        <v>8</v>
      </c>
      <c r="P998" s="130">
        <f>MONTH(Table1[[#This Row],[Date]])</f>
        <v>5</v>
      </c>
      <c r="Q998" s="130">
        <v>2020</v>
      </c>
      <c r="R998" s="166">
        <f>IF(ISBLANK(Table1[[#This Row],[Date]]),"",Table1[[#This Row],[Date]]-WEEKDAY(Table1[[#This Row],[Date]],2)+1)</f>
        <v>43955</v>
      </c>
      <c r="S998" s="131">
        <f>IF(ISBLANK(Table1[[#This Row],[Date]]),"",DATE(Table1[[#This Row],[Date_Year]],Table1[[#This Row],[Date_Month]],1))</f>
        <v>43952</v>
      </c>
    </row>
    <row r="999" spans="2:19" ht="15.75" x14ac:dyDescent="0.25">
      <c r="B999" s="133">
        <v>43959</v>
      </c>
      <c r="C999" s="128" t="s">
        <v>508</v>
      </c>
      <c r="D999" s="128" t="s">
        <v>50</v>
      </c>
      <c r="E999" s="128" t="str" cm="1">
        <f t="array" ref="E999">IFERROR(INDEX(SubcategoriesTable[Subcategory name],MATCH(Table1[[#This Row],[Category]],SubcategoriesTable[Category name],0),0),"")</f>
        <v>Variable</v>
      </c>
      <c r="F999" s="134">
        <v>-1450</v>
      </c>
      <c r="G999" s="167" t="str">
        <f>_xlfn.XLOOKUP(Table1[[#This Row],[Account_ID]], Accounts[ID], Accounts[Account nickname], "Unknown")</f>
        <v>EVERYDAY CHECKING</v>
      </c>
      <c r="H999" s="137" t="str">
        <f>_xlfn.XLOOKUP(Table1[[#This Row],[Account_ID]], Accounts[ID], Accounts[Account'#], "Unknown")</f>
        <v>4636</v>
      </c>
      <c r="I999" s="168" t="str">
        <f>_xlfn.XLOOKUP(Table1[[#This Row],[Institution_ID]], Institutions[ID], Institutions[Institution nickname], "Unknown")</f>
        <v>Wells Fargo</v>
      </c>
      <c r="J999" s="139" t="s">
        <v>1694</v>
      </c>
      <c r="K999" s="129" t="s">
        <v>1229</v>
      </c>
      <c r="L999" s="129" t="s">
        <v>1228</v>
      </c>
      <c r="M999" s="130" t="str" cm="1">
        <f t="array" ref="M999">IFERROR(INDEX(CategoriesTable[Category type],MATCH(Table1[[#This Row],[Category]],CategoriesTable[Category name],0),0),"")</f>
        <v>Transfer</v>
      </c>
      <c r="N999" s="130" t="str" cm="1">
        <f t="array" ref="N999">IFERROR(INDEX(SubcategoriesTable[Subcategory name],MATCH(Table1[[#This Row],[Category]],SubcategoriesTable[Category name],0),0),"")</f>
        <v>Variable</v>
      </c>
      <c r="O999" s="130">
        <v>8</v>
      </c>
      <c r="P999" s="130">
        <f>MONTH(Table1[[#This Row],[Date]])</f>
        <v>5</v>
      </c>
      <c r="Q999" s="130">
        <v>2020</v>
      </c>
      <c r="R999" s="166">
        <f>IF(ISBLANK(Table1[[#This Row],[Date]]),"",Table1[[#This Row],[Date]]-WEEKDAY(Table1[[#This Row],[Date]],2)+1)</f>
        <v>43955</v>
      </c>
      <c r="S999" s="131">
        <f>IF(ISBLANK(Table1[[#This Row],[Date]]),"",DATE(Table1[[#This Row],[Date_Year]],Table1[[#This Row],[Date_Month]],1))</f>
        <v>43952</v>
      </c>
    </row>
    <row r="1000" spans="2:19" ht="15.75" x14ac:dyDescent="0.25">
      <c r="B1000" s="133">
        <v>43956</v>
      </c>
      <c r="C1000" s="128" t="s">
        <v>1695</v>
      </c>
      <c r="D1000" s="128" t="s">
        <v>53</v>
      </c>
      <c r="E1000" s="128" t="str" cm="1">
        <f t="array" ref="E1000">IFERROR(INDEX(SubcategoriesTable[Subcategory name],MATCH(Table1[[#This Row],[Category]],SubcategoriesTable[Category name],0),0),"")</f>
        <v>Variable</v>
      </c>
      <c r="F1000" s="134">
        <v>-119.4</v>
      </c>
      <c r="G1000" s="167" t="str">
        <f>_xlfn.XLOOKUP(Table1[[#This Row],[Account_ID]], Accounts[ID], Accounts[Account nickname], "Unknown")</f>
        <v>EVERYDAY CHECKING</v>
      </c>
      <c r="H1000" s="137" t="str">
        <f>_xlfn.XLOOKUP(Table1[[#This Row],[Account_ID]], Accounts[ID], Accounts[Account'#], "Unknown")</f>
        <v>4636</v>
      </c>
      <c r="I1000" s="168" t="str">
        <f>_xlfn.XLOOKUP(Table1[[#This Row],[Institution_ID]], Institutions[ID], Institutions[Institution nickname], "Unknown")</f>
        <v>Wells Fargo</v>
      </c>
      <c r="J1000" s="139" t="s">
        <v>1696</v>
      </c>
      <c r="K1000" s="129" t="s">
        <v>1229</v>
      </c>
      <c r="L1000" s="129" t="s">
        <v>1228</v>
      </c>
      <c r="M1000" s="130" t="str" cm="1">
        <f t="array" ref="M1000">IFERROR(INDEX(CategoriesTable[Category type],MATCH(Table1[[#This Row],[Category]],CategoriesTable[Category name],0),0),"")</f>
        <v>Expense</v>
      </c>
      <c r="N1000" s="130" t="str" cm="1">
        <f t="array" ref="N1000">IFERROR(INDEX(SubcategoriesTable[Subcategory name],MATCH(Table1[[#This Row],[Category]],SubcategoriesTable[Category name],0),0),"")</f>
        <v>Variable</v>
      </c>
      <c r="O1000" s="130">
        <v>5</v>
      </c>
      <c r="P1000" s="130">
        <f>MONTH(Table1[[#This Row],[Date]])</f>
        <v>5</v>
      </c>
      <c r="Q1000" s="130">
        <v>2020</v>
      </c>
      <c r="R1000" s="166">
        <f>IF(ISBLANK(Table1[[#This Row],[Date]]),"",Table1[[#This Row],[Date]]-WEEKDAY(Table1[[#This Row],[Date]],2)+1)</f>
        <v>43955</v>
      </c>
      <c r="S1000" s="131">
        <f>IF(ISBLANK(Table1[[#This Row],[Date]]),"",DATE(Table1[[#This Row],[Date_Year]],Table1[[#This Row],[Date_Month]],1))</f>
        <v>43952</v>
      </c>
    </row>
    <row r="1001" spans="2:19" ht="15.75" x14ac:dyDescent="0.25">
      <c r="B1001" s="133">
        <v>43956</v>
      </c>
      <c r="C1001" s="128" t="s">
        <v>1628</v>
      </c>
      <c r="D1001" s="128" t="s">
        <v>50</v>
      </c>
      <c r="E1001" s="128" t="str" cm="1">
        <f t="array" ref="E1001">IFERROR(INDEX(SubcategoriesTable[Subcategory name],MATCH(Table1[[#This Row],[Category]],SubcategoriesTable[Category name],0),0),"")</f>
        <v>Variable</v>
      </c>
      <c r="F1001" s="134">
        <v>-12.39</v>
      </c>
      <c r="G1001" s="167" t="str">
        <f>_xlfn.XLOOKUP(Table1[[#This Row],[Account_ID]], Accounts[ID], Accounts[Account nickname], "Unknown")</f>
        <v>EVERYDAY CHECKING</v>
      </c>
      <c r="H1001" s="137" t="str">
        <f>_xlfn.XLOOKUP(Table1[[#This Row],[Account_ID]], Accounts[ID], Accounts[Account'#], "Unknown")</f>
        <v>4636</v>
      </c>
      <c r="I1001" s="168" t="str">
        <f>_xlfn.XLOOKUP(Table1[[#This Row],[Institution_ID]], Institutions[ID], Institutions[Institution nickname], "Unknown")</f>
        <v>Wells Fargo</v>
      </c>
      <c r="J1001" s="139" t="s">
        <v>1697</v>
      </c>
      <c r="K1001" s="129" t="s">
        <v>1229</v>
      </c>
      <c r="L1001" s="129" t="s">
        <v>1228</v>
      </c>
      <c r="M1001" s="130" t="str" cm="1">
        <f t="array" ref="M1001">IFERROR(INDEX(CategoriesTable[Category type],MATCH(Table1[[#This Row],[Category]],CategoriesTable[Category name],0),0),"")</f>
        <v>Transfer</v>
      </c>
      <c r="N1001" s="130" t="str" cm="1">
        <f t="array" ref="N1001">IFERROR(INDEX(SubcategoriesTable[Subcategory name],MATCH(Table1[[#This Row],[Category]],SubcategoriesTable[Category name],0),0),"")</f>
        <v>Variable</v>
      </c>
      <c r="O1001" s="130">
        <v>5</v>
      </c>
      <c r="P1001" s="130">
        <f>MONTH(Table1[[#This Row],[Date]])</f>
        <v>5</v>
      </c>
      <c r="Q1001" s="130">
        <v>2020</v>
      </c>
      <c r="R1001" s="166">
        <f>IF(ISBLANK(Table1[[#This Row],[Date]]),"",Table1[[#This Row],[Date]]-WEEKDAY(Table1[[#This Row],[Date]],2)+1)</f>
        <v>43955</v>
      </c>
      <c r="S1001" s="131">
        <f>IF(ISBLANK(Table1[[#This Row],[Date]]),"",DATE(Table1[[#This Row],[Date_Year]],Table1[[#This Row],[Date_Month]],1))</f>
        <v>43952</v>
      </c>
    </row>
    <row r="1002" spans="2:19" ht="15.75" x14ac:dyDescent="0.25">
      <c r="B1002" s="133">
        <v>43955</v>
      </c>
      <c r="C1002" s="128" t="s">
        <v>1698</v>
      </c>
      <c r="D1002" s="128" t="s">
        <v>46</v>
      </c>
      <c r="E1002" s="128" t="str" cm="1">
        <f t="array" ref="E1002">IFERROR(INDEX(SubcategoriesTable[Subcategory name],MATCH(Table1[[#This Row],[Category]],SubcategoriesTable[Category name],0),0),"")</f>
        <v>Variable</v>
      </c>
      <c r="F1002" s="134">
        <v>-11</v>
      </c>
      <c r="G1002" s="167" t="str">
        <f>_xlfn.XLOOKUP(Table1[[#This Row],[Account_ID]], Accounts[ID], Accounts[Account nickname], "Unknown")</f>
        <v>EVERYDAY CHECKING</v>
      </c>
      <c r="H1002" s="137" t="str">
        <f>_xlfn.XLOOKUP(Table1[[#This Row],[Account_ID]], Accounts[ID], Accounts[Account'#], "Unknown")</f>
        <v>4636</v>
      </c>
      <c r="I1002" s="168" t="str">
        <f>_xlfn.XLOOKUP(Table1[[#This Row],[Institution_ID]], Institutions[ID], Institutions[Institution nickname], "Unknown")</f>
        <v>Wells Fargo</v>
      </c>
      <c r="J1002" s="139" t="s">
        <v>1699</v>
      </c>
      <c r="K1002" s="129" t="s">
        <v>1229</v>
      </c>
      <c r="L1002" s="129" t="s">
        <v>1228</v>
      </c>
      <c r="M1002" s="130" t="str" cm="1">
        <f t="array" ref="M1002">IFERROR(INDEX(CategoriesTable[Category type],MATCH(Table1[[#This Row],[Category]],CategoriesTable[Category name],0),0),"")</f>
        <v>Expense</v>
      </c>
      <c r="N1002" s="130" t="str" cm="1">
        <f t="array" ref="N1002">IFERROR(INDEX(SubcategoriesTable[Subcategory name],MATCH(Table1[[#This Row],[Category]],SubcategoriesTable[Category name],0),0),"")</f>
        <v>Variable</v>
      </c>
      <c r="O1002" s="130">
        <v>4</v>
      </c>
      <c r="P1002" s="130">
        <f>MONTH(Table1[[#This Row],[Date]])</f>
        <v>5</v>
      </c>
      <c r="Q1002" s="130">
        <v>2020</v>
      </c>
      <c r="R1002" s="166">
        <f>IF(ISBLANK(Table1[[#This Row],[Date]]),"",Table1[[#This Row],[Date]]-WEEKDAY(Table1[[#This Row],[Date]],2)+1)</f>
        <v>43955</v>
      </c>
      <c r="S1002" s="131">
        <f>IF(ISBLANK(Table1[[#This Row],[Date]]),"",DATE(Table1[[#This Row],[Date_Year]],Table1[[#This Row],[Date_Month]],1))</f>
        <v>43952</v>
      </c>
    </row>
    <row r="1003" spans="2:19" ht="15.75" x14ac:dyDescent="0.25">
      <c r="B1003" s="133">
        <v>43955</v>
      </c>
      <c r="C1003" s="128" t="s">
        <v>1698</v>
      </c>
      <c r="D1003" s="128" t="s">
        <v>46</v>
      </c>
      <c r="E1003" s="128" t="str" cm="1">
        <f t="array" ref="E1003">IFERROR(INDEX(SubcategoriesTable[Subcategory name],MATCH(Table1[[#This Row],[Category]],SubcategoriesTable[Category name],0),0),"")</f>
        <v>Variable</v>
      </c>
      <c r="F1003" s="134">
        <v>-25</v>
      </c>
      <c r="G1003" s="167" t="str">
        <f>_xlfn.XLOOKUP(Table1[[#This Row],[Account_ID]], Accounts[ID], Accounts[Account nickname], "Unknown")</f>
        <v>EVERYDAY CHECKING</v>
      </c>
      <c r="H1003" s="137" t="str">
        <f>_xlfn.XLOOKUP(Table1[[#This Row],[Account_ID]], Accounts[ID], Accounts[Account'#], "Unknown")</f>
        <v>4636</v>
      </c>
      <c r="I1003" s="168" t="str">
        <f>_xlfn.XLOOKUP(Table1[[#This Row],[Institution_ID]], Institutions[ID], Institutions[Institution nickname], "Unknown")</f>
        <v>Wells Fargo</v>
      </c>
      <c r="J1003" s="139" t="s">
        <v>1700</v>
      </c>
      <c r="K1003" s="129" t="s">
        <v>1229</v>
      </c>
      <c r="L1003" s="129" t="s">
        <v>1228</v>
      </c>
      <c r="M1003" s="130" t="str" cm="1">
        <f t="array" ref="M1003">IFERROR(INDEX(CategoriesTable[Category type],MATCH(Table1[[#This Row],[Category]],CategoriesTable[Category name],0),0),"")</f>
        <v>Expense</v>
      </c>
      <c r="N1003" s="130" t="str" cm="1">
        <f t="array" ref="N1003">IFERROR(INDEX(SubcategoriesTable[Subcategory name],MATCH(Table1[[#This Row],[Category]],SubcategoriesTable[Category name],0),0),"")</f>
        <v>Variable</v>
      </c>
      <c r="O1003" s="130">
        <v>4</v>
      </c>
      <c r="P1003" s="130">
        <f>MONTH(Table1[[#This Row],[Date]])</f>
        <v>5</v>
      </c>
      <c r="Q1003" s="130">
        <v>2020</v>
      </c>
      <c r="R1003" s="166">
        <f>IF(ISBLANK(Table1[[#This Row],[Date]]),"",Table1[[#This Row],[Date]]-WEEKDAY(Table1[[#This Row],[Date]],2)+1)</f>
        <v>43955</v>
      </c>
      <c r="S1003" s="131">
        <f>IF(ISBLANK(Table1[[#This Row],[Date]]),"",DATE(Table1[[#This Row],[Date_Year]],Table1[[#This Row],[Date_Month]],1))</f>
        <v>43952</v>
      </c>
    </row>
    <row r="1004" spans="2:19" ht="15.75" x14ac:dyDescent="0.25">
      <c r="B1004" s="133">
        <v>43955</v>
      </c>
      <c r="C1004" s="128" t="s">
        <v>508</v>
      </c>
      <c r="D1004" s="128" t="s">
        <v>50</v>
      </c>
      <c r="E1004" s="128" t="str" cm="1">
        <f t="array" ref="E1004">IFERROR(INDEX(SubcategoriesTable[Subcategory name],MATCH(Table1[[#This Row],[Category]],SubcategoriesTable[Category name],0),0),"")</f>
        <v>Variable</v>
      </c>
      <c r="F1004" s="134">
        <v>-303.14999999999998</v>
      </c>
      <c r="G1004" s="167" t="str">
        <f>_xlfn.XLOOKUP(Table1[[#This Row],[Account_ID]], Accounts[ID], Accounts[Account nickname], "Unknown")</f>
        <v>EVERYDAY CHECKING</v>
      </c>
      <c r="H1004" s="137" t="str">
        <f>_xlfn.XLOOKUP(Table1[[#This Row],[Account_ID]], Accounts[ID], Accounts[Account'#], "Unknown")</f>
        <v>4636</v>
      </c>
      <c r="I1004" s="168" t="str">
        <f>_xlfn.XLOOKUP(Table1[[#This Row],[Institution_ID]], Institutions[ID], Institutions[Institution nickname], "Unknown")</f>
        <v>Wells Fargo</v>
      </c>
      <c r="J1004" s="139" t="s">
        <v>1701</v>
      </c>
      <c r="K1004" s="129" t="s">
        <v>1229</v>
      </c>
      <c r="L1004" s="129" t="s">
        <v>1228</v>
      </c>
      <c r="M1004" s="130" t="str" cm="1">
        <f t="array" ref="M1004">IFERROR(INDEX(CategoriesTable[Category type],MATCH(Table1[[#This Row],[Category]],CategoriesTable[Category name],0),0),"")</f>
        <v>Transfer</v>
      </c>
      <c r="N1004" s="130" t="str" cm="1">
        <f t="array" ref="N1004">IFERROR(INDEX(SubcategoriesTable[Subcategory name],MATCH(Table1[[#This Row],[Category]],SubcategoriesTable[Category name],0),0),"")</f>
        <v>Variable</v>
      </c>
      <c r="O1004" s="130">
        <v>4</v>
      </c>
      <c r="P1004" s="130">
        <f>MONTH(Table1[[#This Row],[Date]])</f>
        <v>5</v>
      </c>
      <c r="Q1004" s="130">
        <v>2020</v>
      </c>
      <c r="R1004" s="166">
        <f>IF(ISBLANK(Table1[[#This Row],[Date]]),"",Table1[[#This Row],[Date]]-WEEKDAY(Table1[[#This Row],[Date]],2)+1)</f>
        <v>43955</v>
      </c>
      <c r="S1004" s="131">
        <f>IF(ISBLANK(Table1[[#This Row],[Date]]),"",DATE(Table1[[#This Row],[Date_Year]],Table1[[#This Row],[Date_Month]],1))</f>
        <v>43952</v>
      </c>
    </row>
    <row r="1005" spans="2:19" ht="15.75" x14ac:dyDescent="0.25">
      <c r="B1005" s="133">
        <v>43954</v>
      </c>
      <c r="C1005" s="128" t="s">
        <v>965</v>
      </c>
      <c r="D1005" s="128" t="s">
        <v>50</v>
      </c>
      <c r="E1005" s="128" t="str" cm="1">
        <f t="array" ref="E1005">IFERROR(INDEX(SubcategoriesTable[Subcategory name],MATCH(Table1[[#This Row],[Category]],SubcategoriesTable[Category name],0),0),"")</f>
        <v>Variable</v>
      </c>
      <c r="F1005" s="134">
        <v>-157.59</v>
      </c>
      <c r="G1005" s="167" t="str">
        <f>_xlfn.XLOOKUP(Table1[[#This Row],[Account_ID]], Accounts[ID], Accounts[Account nickname], "Unknown")</f>
        <v>Discover it chrome Card</v>
      </c>
      <c r="H1005" s="137" t="str">
        <f>_xlfn.XLOOKUP(Table1[[#This Row],[Account_ID]], Accounts[ID], Accounts[Account'#], "Unknown")</f>
        <v>7328</v>
      </c>
      <c r="I1005" s="168" t="str">
        <f>_xlfn.XLOOKUP(Table1[[#This Row],[Institution_ID]], Institutions[ID], Institutions[Institution nickname], "Unknown")</f>
        <v>Discover</v>
      </c>
      <c r="J1005" s="139" t="s">
        <v>966</v>
      </c>
      <c r="K1005" s="129" t="s">
        <v>110</v>
      </c>
      <c r="L1005" s="129" t="s">
        <v>108</v>
      </c>
      <c r="M1005" s="130" t="str" cm="1">
        <f t="array" ref="M1005">IFERROR(INDEX(CategoriesTable[Category type],MATCH(Table1[[#This Row],[Category]],CategoriesTable[Category name],0),0),"")</f>
        <v>Transfer</v>
      </c>
      <c r="N1005" s="130" t="str" cm="1">
        <f t="array" ref="N1005">IFERROR(INDEX(SubcategoriesTable[Subcategory name],MATCH(Table1[[#This Row],[Category]],SubcategoriesTable[Category name],0),0),"")</f>
        <v>Variable</v>
      </c>
      <c r="O1005" s="130">
        <v>3</v>
      </c>
      <c r="P1005" s="130">
        <f>MONTH(Table1[[#This Row],[Date]])</f>
        <v>5</v>
      </c>
      <c r="Q1005" s="130">
        <v>2020</v>
      </c>
      <c r="R1005" s="166">
        <f>IF(ISBLANK(Table1[[#This Row],[Date]]),"",Table1[[#This Row],[Date]]-WEEKDAY(Table1[[#This Row],[Date]],2)+1)</f>
        <v>43948</v>
      </c>
      <c r="S1005" s="131">
        <f>IF(ISBLANK(Table1[[#This Row],[Date]]),"",DATE(Table1[[#This Row],[Date_Year]],Table1[[#This Row],[Date_Month]],1))</f>
        <v>43952</v>
      </c>
    </row>
    <row r="1006" spans="2:19" ht="15.75" x14ac:dyDescent="0.25">
      <c r="B1006" s="133">
        <v>43952</v>
      </c>
      <c r="C1006" s="128" t="s">
        <v>1550</v>
      </c>
      <c r="D1006" s="128" t="s">
        <v>50</v>
      </c>
      <c r="E1006" s="128" t="str" cm="1">
        <f t="array" ref="E1006">IFERROR(INDEX(SubcategoriesTable[Subcategory name],MATCH(Table1[[#This Row],[Category]],SubcategoriesTable[Category name],0),0),"")</f>
        <v>Variable</v>
      </c>
      <c r="F1006" s="134">
        <v>150</v>
      </c>
      <c r="G1006" s="167" t="str">
        <f>_xlfn.XLOOKUP(Table1[[#This Row],[Account_ID]], Accounts[ID], Accounts[Account nickname], "Unknown")</f>
        <v>EVERYDAY CHECKING</v>
      </c>
      <c r="H1006" s="137" t="str">
        <f>_xlfn.XLOOKUP(Table1[[#This Row],[Account_ID]], Accounts[ID], Accounts[Account'#], "Unknown")</f>
        <v>4636</v>
      </c>
      <c r="I1006" s="168" t="str">
        <f>_xlfn.XLOOKUP(Table1[[#This Row],[Institution_ID]], Institutions[ID], Institutions[Institution nickname], "Unknown")</f>
        <v>Wells Fargo</v>
      </c>
      <c r="J1006" s="139" t="s">
        <v>1702</v>
      </c>
      <c r="K1006" s="129" t="s">
        <v>1229</v>
      </c>
      <c r="L1006" s="129" t="s">
        <v>1228</v>
      </c>
      <c r="M1006" s="130" t="str" cm="1">
        <f t="array" ref="M1006">IFERROR(INDEX(CategoriesTable[Category type],MATCH(Table1[[#This Row],[Category]],CategoriesTable[Category name],0),0),"")</f>
        <v>Transfer</v>
      </c>
      <c r="N1006" s="130" t="str" cm="1">
        <f t="array" ref="N1006">IFERROR(INDEX(SubcategoriesTable[Subcategory name],MATCH(Table1[[#This Row],[Category]],SubcategoriesTable[Category name],0),0),"")</f>
        <v>Variable</v>
      </c>
      <c r="O1006" s="130">
        <v>1</v>
      </c>
      <c r="P1006" s="130">
        <f>MONTH(Table1[[#This Row],[Date]])</f>
        <v>5</v>
      </c>
      <c r="Q1006" s="130">
        <v>2020</v>
      </c>
      <c r="R1006" s="166">
        <f>IF(ISBLANK(Table1[[#This Row],[Date]]),"",Table1[[#This Row],[Date]]-WEEKDAY(Table1[[#This Row],[Date]],2)+1)</f>
        <v>43948</v>
      </c>
      <c r="S1006" s="131">
        <f>IF(ISBLANK(Table1[[#This Row],[Date]]),"",DATE(Table1[[#This Row],[Date_Year]],Table1[[#This Row],[Date_Month]],1))</f>
        <v>43952</v>
      </c>
    </row>
    <row r="1007" spans="2:19" ht="15.75" x14ac:dyDescent="0.25">
      <c r="B1007" s="133">
        <v>43951</v>
      </c>
      <c r="C1007" s="128" t="s">
        <v>171</v>
      </c>
      <c r="D1007" s="128" t="s">
        <v>46</v>
      </c>
      <c r="E1007" s="128" t="str" cm="1">
        <f t="array" ref="E1007">IFERROR(INDEX(SubcategoriesTable[Subcategory name],MATCH(Table1[[#This Row],[Category]],SubcategoriesTable[Category name],0),0),"")</f>
        <v>Variable</v>
      </c>
      <c r="F1007" s="134">
        <v>-29.61</v>
      </c>
      <c r="G1007" s="167" t="str">
        <f>_xlfn.XLOOKUP(Table1[[#This Row],[Account_ID]], Accounts[ID], Accounts[Account nickname], "Unknown")</f>
        <v>EVERYDAY CHECKING</v>
      </c>
      <c r="H1007" s="137" t="str">
        <f>_xlfn.XLOOKUP(Table1[[#This Row],[Account_ID]], Accounts[ID], Accounts[Account'#], "Unknown")</f>
        <v>4636</v>
      </c>
      <c r="I1007" s="168" t="str">
        <f>_xlfn.XLOOKUP(Table1[[#This Row],[Institution_ID]], Institutions[ID], Institutions[Institution nickname], "Unknown")</f>
        <v>Wells Fargo</v>
      </c>
      <c r="J1007" s="139" t="s">
        <v>1703</v>
      </c>
      <c r="K1007" s="129" t="s">
        <v>1229</v>
      </c>
      <c r="L1007" s="129" t="s">
        <v>1228</v>
      </c>
      <c r="M1007" s="130" t="str" cm="1">
        <f t="array" ref="M1007">IFERROR(INDEX(CategoriesTable[Category type],MATCH(Table1[[#This Row],[Category]],CategoriesTable[Category name],0),0),"")</f>
        <v>Expense</v>
      </c>
      <c r="N1007" s="130" t="str" cm="1">
        <f t="array" ref="N1007">IFERROR(INDEX(SubcategoriesTable[Subcategory name],MATCH(Table1[[#This Row],[Category]],SubcategoriesTable[Category name],0),0),"")</f>
        <v>Variable</v>
      </c>
      <c r="O1007" s="130">
        <v>30</v>
      </c>
      <c r="P1007" s="130">
        <f>MONTH(Table1[[#This Row],[Date]])</f>
        <v>4</v>
      </c>
      <c r="Q1007" s="130">
        <v>2020</v>
      </c>
      <c r="R1007" s="166">
        <f>IF(ISBLANK(Table1[[#This Row],[Date]]),"",Table1[[#This Row],[Date]]-WEEKDAY(Table1[[#This Row],[Date]],2)+1)</f>
        <v>43948</v>
      </c>
      <c r="S1007" s="131">
        <f>IF(ISBLANK(Table1[[#This Row],[Date]]),"",DATE(Table1[[#This Row],[Date_Year]],Table1[[#This Row],[Date_Month]],1))</f>
        <v>43922</v>
      </c>
    </row>
    <row r="1008" spans="2:19" ht="15.75" x14ac:dyDescent="0.25">
      <c r="B1008" s="133">
        <v>43950</v>
      </c>
      <c r="C1008" s="128" t="s">
        <v>1682</v>
      </c>
      <c r="D1008" s="128" t="s">
        <v>49</v>
      </c>
      <c r="E1008" s="128" t="str" cm="1">
        <f t="array" ref="E1008">IFERROR(INDEX(SubcategoriesTable[Subcategory name],MATCH(Table1[[#This Row],[Category]],SubcategoriesTable[Category name],0),0),"")</f>
        <v>Variable</v>
      </c>
      <c r="F1008" s="134">
        <v>-196.6</v>
      </c>
      <c r="G1008" s="167" t="str">
        <f>_xlfn.XLOOKUP(Table1[[#This Row],[Account_ID]], Accounts[ID], Accounts[Account nickname], "Unknown")</f>
        <v>EVERYDAY CHECKING</v>
      </c>
      <c r="H1008" s="137" t="str">
        <f>_xlfn.XLOOKUP(Table1[[#This Row],[Account_ID]], Accounts[ID], Accounts[Account'#], "Unknown")</f>
        <v>4636</v>
      </c>
      <c r="I1008" s="168" t="str">
        <f>_xlfn.XLOOKUP(Table1[[#This Row],[Institution_ID]], Institutions[ID], Institutions[Institution nickname], "Unknown")</f>
        <v>Wells Fargo</v>
      </c>
      <c r="J1008" s="139" t="s">
        <v>1704</v>
      </c>
      <c r="K1008" s="129" t="s">
        <v>1229</v>
      </c>
      <c r="L1008" s="129" t="s">
        <v>1228</v>
      </c>
      <c r="M1008" s="130" t="str" cm="1">
        <f t="array" ref="M1008">IFERROR(INDEX(CategoriesTable[Category type],MATCH(Table1[[#This Row],[Category]],CategoriesTable[Category name],0),0),"")</f>
        <v>Expense</v>
      </c>
      <c r="N1008" s="130" t="str" cm="1">
        <f t="array" ref="N1008">IFERROR(INDEX(SubcategoriesTable[Subcategory name],MATCH(Table1[[#This Row],[Category]],SubcategoriesTable[Category name],0),0),"")</f>
        <v>Variable</v>
      </c>
      <c r="O1008" s="130">
        <v>29</v>
      </c>
      <c r="P1008" s="130">
        <f>MONTH(Table1[[#This Row],[Date]])</f>
        <v>4</v>
      </c>
      <c r="Q1008" s="130">
        <v>2020</v>
      </c>
      <c r="R1008" s="166">
        <f>IF(ISBLANK(Table1[[#This Row],[Date]]),"",Table1[[#This Row],[Date]]-WEEKDAY(Table1[[#This Row],[Date]],2)+1)</f>
        <v>43948</v>
      </c>
      <c r="S1008" s="131">
        <f>IF(ISBLANK(Table1[[#This Row],[Date]]),"",DATE(Table1[[#This Row],[Date_Year]],Table1[[#This Row],[Date_Month]],1))</f>
        <v>43922</v>
      </c>
    </row>
    <row r="1009" spans="2:19" ht="15.75" x14ac:dyDescent="0.25">
      <c r="B1009" s="133">
        <v>43950</v>
      </c>
      <c r="C1009" s="128" t="s">
        <v>1705</v>
      </c>
      <c r="D1009" s="128" t="s">
        <v>54</v>
      </c>
      <c r="E1009" s="128" t="str" cm="1">
        <f t="array" ref="E1009">IFERROR(INDEX(SubcategoriesTable[Subcategory name],MATCH(Table1[[#This Row],[Category]],SubcategoriesTable[Category name],0),0),"")</f>
        <v>Fixed</v>
      </c>
      <c r="F1009" s="134">
        <v>-22.75</v>
      </c>
      <c r="G1009" s="167" t="str">
        <f>_xlfn.XLOOKUP(Table1[[#This Row],[Account_ID]], Accounts[ID], Accounts[Account nickname], "Unknown")</f>
        <v>EVERYDAY CHECKING</v>
      </c>
      <c r="H1009" s="137" t="str">
        <f>_xlfn.XLOOKUP(Table1[[#This Row],[Account_ID]], Accounts[ID], Accounts[Account'#], "Unknown")</f>
        <v>4636</v>
      </c>
      <c r="I1009" s="168" t="str">
        <f>_xlfn.XLOOKUP(Table1[[#This Row],[Institution_ID]], Institutions[ID], Institutions[Institution nickname], "Unknown")</f>
        <v>Wells Fargo</v>
      </c>
      <c r="J1009" s="139" t="s">
        <v>1706</v>
      </c>
      <c r="K1009" s="129" t="s">
        <v>1229</v>
      </c>
      <c r="L1009" s="129" t="s">
        <v>1228</v>
      </c>
      <c r="M1009" s="130" t="str" cm="1">
        <f t="array" ref="M1009">IFERROR(INDEX(CategoriesTable[Category type],MATCH(Table1[[#This Row],[Category]],CategoriesTable[Category name],0),0),"")</f>
        <v>Expense</v>
      </c>
      <c r="N1009" s="130" t="str" cm="1">
        <f t="array" ref="N1009">IFERROR(INDEX(SubcategoriesTable[Subcategory name],MATCH(Table1[[#This Row],[Category]],SubcategoriesTable[Category name],0),0),"")</f>
        <v>Fixed</v>
      </c>
      <c r="O1009" s="130">
        <v>29</v>
      </c>
      <c r="P1009" s="130">
        <f>MONTH(Table1[[#This Row],[Date]])</f>
        <v>4</v>
      </c>
      <c r="Q1009" s="130">
        <v>2020</v>
      </c>
      <c r="R1009" s="166">
        <f>IF(ISBLANK(Table1[[#This Row],[Date]]),"",Table1[[#This Row],[Date]]-WEEKDAY(Table1[[#This Row],[Date]],2)+1)</f>
        <v>43948</v>
      </c>
      <c r="S1009" s="131">
        <f>IF(ISBLANK(Table1[[#This Row],[Date]]),"",DATE(Table1[[#This Row],[Date_Year]],Table1[[#This Row],[Date_Month]],1))</f>
        <v>43922</v>
      </c>
    </row>
    <row r="1010" spans="2:19" ht="15.75" x14ac:dyDescent="0.25">
      <c r="B1010" s="133">
        <v>43950</v>
      </c>
      <c r="C1010" s="128" t="s">
        <v>909</v>
      </c>
      <c r="D1010" s="128" t="s">
        <v>56</v>
      </c>
      <c r="E1010" s="128" t="str" cm="1">
        <f t="array" ref="E1010">IFERROR(INDEX(SubcategoriesTable[Subcategory name],MATCH(Table1[[#This Row],[Category]],SubcategoriesTable[Category name],0),0),"")</f>
        <v>Variable</v>
      </c>
      <c r="F1010" s="134">
        <v>-2</v>
      </c>
      <c r="G1010" s="167" t="str">
        <f>_xlfn.XLOOKUP(Table1[[#This Row],[Account_ID]], Accounts[ID], Accounts[Account nickname], "Unknown")</f>
        <v>EVERYDAY CHECKING</v>
      </c>
      <c r="H1010" s="137" t="str">
        <f>_xlfn.XLOOKUP(Table1[[#This Row],[Account_ID]], Accounts[ID], Accounts[Account'#], "Unknown")</f>
        <v>4636</v>
      </c>
      <c r="I1010" s="168" t="str">
        <f>_xlfn.XLOOKUP(Table1[[#This Row],[Institution_ID]], Institutions[ID], Institutions[Institution nickname], "Unknown")</f>
        <v>Wells Fargo</v>
      </c>
      <c r="J1010" s="139" t="s">
        <v>1707</v>
      </c>
      <c r="K1010" s="129" t="s">
        <v>1229</v>
      </c>
      <c r="L1010" s="129" t="s">
        <v>1228</v>
      </c>
      <c r="M1010" s="130" t="str" cm="1">
        <f t="array" ref="M1010">IFERROR(INDEX(CategoriesTable[Category type],MATCH(Table1[[#This Row],[Category]],CategoriesTable[Category name],0),0),"")</f>
        <v>Expense</v>
      </c>
      <c r="N1010" s="130" t="str" cm="1">
        <f t="array" ref="N1010">IFERROR(INDEX(SubcategoriesTable[Subcategory name],MATCH(Table1[[#This Row],[Category]],SubcategoriesTable[Category name],0),0),"")</f>
        <v>Variable</v>
      </c>
      <c r="O1010" s="130">
        <v>29</v>
      </c>
      <c r="P1010" s="130">
        <f>MONTH(Table1[[#This Row],[Date]])</f>
        <v>4</v>
      </c>
      <c r="Q1010" s="130">
        <v>2020</v>
      </c>
      <c r="R1010" s="166">
        <f>IF(ISBLANK(Table1[[#This Row],[Date]]),"",Table1[[#This Row],[Date]]-WEEKDAY(Table1[[#This Row],[Date]],2)+1)</f>
        <v>43948</v>
      </c>
      <c r="S1010" s="131">
        <f>IF(ISBLANK(Table1[[#This Row],[Date]]),"",DATE(Table1[[#This Row],[Date_Year]],Table1[[#This Row],[Date_Month]],1))</f>
        <v>43922</v>
      </c>
    </row>
    <row r="1011" spans="2:19" ht="15.75" x14ac:dyDescent="0.25">
      <c r="B1011" s="133">
        <v>43949</v>
      </c>
      <c r="C1011" s="128" t="s">
        <v>1708</v>
      </c>
      <c r="D1011" s="128" t="s">
        <v>45</v>
      </c>
      <c r="E1011" s="128" t="str" cm="1">
        <f t="array" ref="E1011">IFERROR(INDEX(SubcategoriesTable[Subcategory name],MATCH(Table1[[#This Row],[Category]],SubcategoriesTable[Category name],0),0),"")</f>
        <v>Variable</v>
      </c>
      <c r="F1011" s="134">
        <v>-53.33</v>
      </c>
      <c r="G1011" s="167" t="str">
        <f>_xlfn.XLOOKUP(Table1[[#This Row],[Account_ID]], Accounts[ID], Accounts[Account nickname], "Unknown")</f>
        <v>EVERYDAY CHECKING</v>
      </c>
      <c r="H1011" s="137" t="str">
        <f>_xlfn.XLOOKUP(Table1[[#This Row],[Account_ID]], Accounts[ID], Accounts[Account'#], "Unknown")</f>
        <v>4636</v>
      </c>
      <c r="I1011" s="168" t="str">
        <f>_xlfn.XLOOKUP(Table1[[#This Row],[Institution_ID]], Institutions[ID], Institutions[Institution nickname], "Unknown")</f>
        <v>Wells Fargo</v>
      </c>
      <c r="J1011" s="139" t="s">
        <v>1709</v>
      </c>
      <c r="K1011" s="129" t="s">
        <v>1229</v>
      </c>
      <c r="L1011" s="129" t="s">
        <v>1228</v>
      </c>
      <c r="M1011" s="130" t="str" cm="1">
        <f t="array" ref="M1011">IFERROR(INDEX(CategoriesTable[Category type],MATCH(Table1[[#This Row],[Category]],CategoriesTable[Category name],0),0),"")</f>
        <v>Expense</v>
      </c>
      <c r="N1011" s="130" t="str" cm="1">
        <f t="array" ref="N1011">IFERROR(INDEX(SubcategoriesTable[Subcategory name],MATCH(Table1[[#This Row],[Category]],SubcategoriesTable[Category name],0),0),"")</f>
        <v>Variable</v>
      </c>
      <c r="O1011" s="130">
        <v>28</v>
      </c>
      <c r="P1011" s="130">
        <f>MONTH(Table1[[#This Row],[Date]])</f>
        <v>4</v>
      </c>
      <c r="Q1011" s="130">
        <v>2020</v>
      </c>
      <c r="R1011" s="166">
        <f>IF(ISBLANK(Table1[[#This Row],[Date]]),"",Table1[[#This Row],[Date]]-WEEKDAY(Table1[[#This Row],[Date]],2)+1)</f>
        <v>43948</v>
      </c>
      <c r="S1011" s="131">
        <f>IF(ISBLANK(Table1[[#This Row],[Date]]),"",DATE(Table1[[#This Row],[Date_Year]],Table1[[#This Row],[Date_Month]],1))</f>
        <v>43922</v>
      </c>
    </row>
    <row r="1012" spans="2:19" ht="15.75" x14ac:dyDescent="0.25">
      <c r="B1012" s="133">
        <v>43949</v>
      </c>
      <c r="C1012" s="128" t="s">
        <v>1710</v>
      </c>
      <c r="D1012" s="128" t="s">
        <v>56</v>
      </c>
      <c r="E1012" s="128" t="str" cm="1">
        <f t="array" ref="E1012">IFERROR(INDEX(SubcategoriesTable[Subcategory name],MATCH(Table1[[#This Row],[Category]],SubcategoriesTable[Category name],0),0),"")</f>
        <v>Variable</v>
      </c>
      <c r="F1012" s="134">
        <v>-50</v>
      </c>
      <c r="G1012" s="167" t="str">
        <f>_xlfn.XLOOKUP(Table1[[#This Row],[Account_ID]], Accounts[ID], Accounts[Account nickname], "Unknown")</f>
        <v>EVERYDAY CHECKING</v>
      </c>
      <c r="H1012" s="137" t="str">
        <f>_xlfn.XLOOKUP(Table1[[#This Row],[Account_ID]], Accounts[ID], Accounts[Account'#], "Unknown")</f>
        <v>4636</v>
      </c>
      <c r="I1012" s="168" t="str">
        <f>_xlfn.XLOOKUP(Table1[[#This Row],[Institution_ID]], Institutions[ID], Institutions[Institution nickname], "Unknown")</f>
        <v>Wells Fargo</v>
      </c>
      <c r="J1012" s="139" t="s">
        <v>1711</v>
      </c>
      <c r="K1012" s="129" t="s">
        <v>1229</v>
      </c>
      <c r="L1012" s="129" t="s">
        <v>1228</v>
      </c>
      <c r="M1012" s="130" t="str" cm="1">
        <f t="array" ref="M1012">IFERROR(INDEX(CategoriesTable[Category type],MATCH(Table1[[#This Row],[Category]],CategoriesTable[Category name],0),0),"")</f>
        <v>Expense</v>
      </c>
      <c r="N1012" s="130" t="str" cm="1">
        <f t="array" ref="N1012">IFERROR(INDEX(SubcategoriesTable[Subcategory name],MATCH(Table1[[#This Row],[Category]],SubcategoriesTable[Category name],0),0),"")</f>
        <v>Variable</v>
      </c>
      <c r="O1012" s="130">
        <v>28</v>
      </c>
      <c r="P1012" s="130">
        <f>MONTH(Table1[[#This Row],[Date]])</f>
        <v>4</v>
      </c>
      <c r="Q1012" s="130">
        <v>2020</v>
      </c>
      <c r="R1012" s="166">
        <f>IF(ISBLANK(Table1[[#This Row],[Date]]),"",Table1[[#This Row],[Date]]-WEEKDAY(Table1[[#This Row],[Date]],2)+1)</f>
        <v>43948</v>
      </c>
      <c r="S1012" s="131">
        <f>IF(ISBLANK(Table1[[#This Row],[Date]]),"",DATE(Table1[[#This Row],[Date_Year]],Table1[[#This Row],[Date_Month]],1))</f>
        <v>43922</v>
      </c>
    </row>
    <row r="1013" spans="2:19" ht="15.75" x14ac:dyDescent="0.25">
      <c r="B1013" s="133">
        <v>43948</v>
      </c>
      <c r="C1013" s="128" t="s">
        <v>1712</v>
      </c>
      <c r="D1013" s="128" t="s">
        <v>58</v>
      </c>
      <c r="E1013" s="128" t="str" cm="1">
        <f t="array" ref="E1013">IFERROR(INDEX(SubcategoriesTable[Subcategory name],MATCH(Table1[[#This Row],[Category]],SubcategoriesTable[Category name],0),0),"")</f>
        <v>Fixed</v>
      </c>
      <c r="F1013" s="134">
        <v>-4.99</v>
      </c>
      <c r="G1013" s="167" t="str">
        <f>_xlfn.XLOOKUP(Table1[[#This Row],[Account_ID]], Accounts[ID], Accounts[Account nickname], "Unknown")</f>
        <v>EVERYDAY CHECKING</v>
      </c>
      <c r="H1013" s="137" t="str">
        <f>_xlfn.XLOOKUP(Table1[[#This Row],[Account_ID]], Accounts[ID], Accounts[Account'#], "Unknown")</f>
        <v>4636</v>
      </c>
      <c r="I1013" s="168" t="str">
        <f>_xlfn.XLOOKUP(Table1[[#This Row],[Institution_ID]], Institutions[ID], Institutions[Institution nickname], "Unknown")</f>
        <v>Wells Fargo</v>
      </c>
      <c r="J1013" s="139" t="s">
        <v>1713</v>
      </c>
      <c r="K1013" s="129" t="s">
        <v>1229</v>
      </c>
      <c r="L1013" s="129" t="s">
        <v>1228</v>
      </c>
      <c r="M1013" s="130" t="str" cm="1">
        <f t="array" ref="M1013">IFERROR(INDEX(CategoriesTable[Category type],MATCH(Table1[[#This Row],[Category]],CategoriesTable[Category name],0),0),"")</f>
        <v>Expense</v>
      </c>
      <c r="N1013" s="130" t="str" cm="1">
        <f t="array" ref="N1013">IFERROR(INDEX(SubcategoriesTable[Subcategory name],MATCH(Table1[[#This Row],[Category]],SubcategoriesTable[Category name],0),0),"")</f>
        <v>Fixed</v>
      </c>
      <c r="O1013" s="130">
        <v>27</v>
      </c>
      <c r="P1013" s="130">
        <f>MONTH(Table1[[#This Row],[Date]])</f>
        <v>4</v>
      </c>
      <c r="Q1013" s="130">
        <v>2020</v>
      </c>
      <c r="R1013" s="166">
        <f>IF(ISBLANK(Table1[[#This Row],[Date]]),"",Table1[[#This Row],[Date]]-WEEKDAY(Table1[[#This Row],[Date]],2)+1)</f>
        <v>43948</v>
      </c>
      <c r="S1013" s="131">
        <f>IF(ISBLANK(Table1[[#This Row],[Date]]),"",DATE(Table1[[#This Row],[Date_Year]],Table1[[#This Row],[Date_Month]],1))</f>
        <v>43922</v>
      </c>
    </row>
    <row r="1014" spans="2:19" ht="15.75" x14ac:dyDescent="0.25">
      <c r="B1014" s="133">
        <v>43948</v>
      </c>
      <c r="C1014" s="128" t="s">
        <v>1714</v>
      </c>
      <c r="D1014" s="128" t="s">
        <v>56</v>
      </c>
      <c r="E1014" s="128" t="str" cm="1">
        <f t="array" ref="E1014">IFERROR(INDEX(SubcategoriesTable[Subcategory name],MATCH(Table1[[#This Row],[Category]],SubcategoriesTable[Category name],0),0),"")</f>
        <v>Variable</v>
      </c>
      <c r="F1014" s="134">
        <v>-15.95</v>
      </c>
      <c r="G1014" s="167" t="str">
        <f>_xlfn.XLOOKUP(Table1[[#This Row],[Account_ID]], Accounts[ID], Accounts[Account nickname], "Unknown")</f>
        <v>EVERYDAY CHECKING</v>
      </c>
      <c r="H1014" s="137" t="str">
        <f>_xlfn.XLOOKUP(Table1[[#This Row],[Account_ID]], Accounts[ID], Accounts[Account'#], "Unknown")</f>
        <v>4636</v>
      </c>
      <c r="I1014" s="168" t="str">
        <f>_xlfn.XLOOKUP(Table1[[#This Row],[Institution_ID]], Institutions[ID], Institutions[Institution nickname], "Unknown")</f>
        <v>Wells Fargo</v>
      </c>
      <c r="J1014" s="139" t="s">
        <v>1715</v>
      </c>
      <c r="K1014" s="129" t="s">
        <v>1229</v>
      </c>
      <c r="L1014" s="129" t="s">
        <v>1228</v>
      </c>
      <c r="M1014" s="130" t="str" cm="1">
        <f t="array" ref="M1014">IFERROR(INDEX(CategoriesTable[Category type],MATCH(Table1[[#This Row],[Category]],CategoriesTable[Category name],0),0),"")</f>
        <v>Expense</v>
      </c>
      <c r="N1014" s="130" t="str" cm="1">
        <f t="array" ref="N1014">IFERROR(INDEX(SubcategoriesTable[Subcategory name],MATCH(Table1[[#This Row],[Category]],SubcategoriesTable[Category name],0),0),"")</f>
        <v>Variable</v>
      </c>
      <c r="O1014" s="130">
        <v>27</v>
      </c>
      <c r="P1014" s="130">
        <f>MONTH(Table1[[#This Row],[Date]])</f>
        <v>4</v>
      </c>
      <c r="Q1014" s="130">
        <v>2020</v>
      </c>
      <c r="R1014" s="166">
        <f>IF(ISBLANK(Table1[[#This Row],[Date]]),"",Table1[[#This Row],[Date]]-WEEKDAY(Table1[[#This Row],[Date]],2)+1)</f>
        <v>43948</v>
      </c>
      <c r="S1014" s="131">
        <f>IF(ISBLANK(Table1[[#This Row],[Date]]),"",DATE(Table1[[#This Row],[Date_Year]],Table1[[#This Row],[Date_Month]],1))</f>
        <v>43922</v>
      </c>
    </row>
    <row r="1015" spans="2:19" ht="15.75" x14ac:dyDescent="0.25">
      <c r="B1015" s="133">
        <v>43948</v>
      </c>
      <c r="C1015" s="128" t="s">
        <v>1716</v>
      </c>
      <c r="D1015" s="128" t="s">
        <v>54</v>
      </c>
      <c r="E1015" s="128" t="str" cm="1">
        <f t="array" ref="E1015">IFERROR(INDEX(SubcategoriesTable[Subcategory name],MATCH(Table1[[#This Row],[Category]],SubcategoriesTable[Category name],0),0),"")</f>
        <v>Fixed</v>
      </c>
      <c r="F1015" s="134">
        <v>-109.53</v>
      </c>
      <c r="G1015" s="167" t="str">
        <f>_xlfn.XLOOKUP(Table1[[#This Row],[Account_ID]], Accounts[ID], Accounts[Account nickname], "Unknown")</f>
        <v>EVERYDAY CHECKING</v>
      </c>
      <c r="H1015" s="137" t="str">
        <f>_xlfn.XLOOKUP(Table1[[#This Row],[Account_ID]], Accounts[ID], Accounts[Account'#], "Unknown")</f>
        <v>4636</v>
      </c>
      <c r="I1015" s="168" t="str">
        <f>_xlfn.XLOOKUP(Table1[[#This Row],[Institution_ID]], Institutions[ID], Institutions[Institution nickname], "Unknown")</f>
        <v>Wells Fargo</v>
      </c>
      <c r="J1015" s="139" t="s">
        <v>1717</v>
      </c>
      <c r="K1015" s="129" t="s">
        <v>1229</v>
      </c>
      <c r="L1015" s="129" t="s">
        <v>1228</v>
      </c>
      <c r="M1015" s="130" t="str" cm="1">
        <f t="array" ref="M1015">IFERROR(INDEX(CategoriesTable[Category type],MATCH(Table1[[#This Row],[Category]],CategoriesTable[Category name],0),0),"")</f>
        <v>Expense</v>
      </c>
      <c r="N1015" s="130" t="str" cm="1">
        <f t="array" ref="N1015">IFERROR(INDEX(SubcategoriesTable[Subcategory name],MATCH(Table1[[#This Row],[Category]],SubcategoriesTable[Category name],0),0),"")</f>
        <v>Fixed</v>
      </c>
      <c r="O1015" s="130">
        <v>27</v>
      </c>
      <c r="P1015" s="130">
        <f>MONTH(Table1[[#This Row],[Date]])</f>
        <v>4</v>
      </c>
      <c r="Q1015" s="130">
        <v>2020</v>
      </c>
      <c r="R1015" s="166">
        <f>IF(ISBLANK(Table1[[#This Row],[Date]]),"",Table1[[#This Row],[Date]]-WEEKDAY(Table1[[#This Row],[Date]],2)+1)</f>
        <v>43948</v>
      </c>
      <c r="S1015" s="131">
        <f>IF(ISBLANK(Table1[[#This Row],[Date]]),"",DATE(Table1[[#This Row],[Date_Year]],Table1[[#This Row],[Date_Month]],1))</f>
        <v>43922</v>
      </c>
    </row>
    <row r="1016" spans="2:19" ht="15.75" x14ac:dyDescent="0.25">
      <c r="B1016" s="133">
        <v>43947</v>
      </c>
      <c r="C1016" s="128" t="s">
        <v>201</v>
      </c>
      <c r="D1016" s="128" t="s">
        <v>48</v>
      </c>
      <c r="E1016" s="128" t="str" cm="1">
        <f t="array" ref="E1016">IFERROR(INDEX(SubcategoriesTable[Subcategory name],MATCH(Table1[[#This Row],[Category]],SubcategoriesTable[Category name],0),0),"")</f>
        <v>Variable</v>
      </c>
      <c r="F1016" s="134">
        <v>-65.84</v>
      </c>
      <c r="G1016" s="167" t="str">
        <f>_xlfn.XLOOKUP(Table1[[#This Row],[Account_ID]], Accounts[ID], Accounts[Account nickname], "Unknown")</f>
        <v>EVERYDAY CHECKING</v>
      </c>
      <c r="H1016" s="137" t="str">
        <f>_xlfn.XLOOKUP(Table1[[#This Row],[Account_ID]], Accounts[ID], Accounts[Account'#], "Unknown")</f>
        <v>4636</v>
      </c>
      <c r="I1016" s="168" t="str">
        <f>_xlfn.XLOOKUP(Table1[[#This Row],[Institution_ID]], Institutions[ID], Institutions[Institution nickname], "Unknown")</f>
        <v>Wells Fargo</v>
      </c>
      <c r="J1016" s="139" t="s">
        <v>1718</v>
      </c>
      <c r="K1016" s="129" t="s">
        <v>1229</v>
      </c>
      <c r="L1016" s="129" t="s">
        <v>1228</v>
      </c>
      <c r="M1016" s="130" t="str" cm="1">
        <f t="array" ref="M1016">IFERROR(INDEX(CategoriesTable[Category type],MATCH(Table1[[#This Row],[Category]],CategoriesTable[Category name],0),0),"")</f>
        <v>Expense</v>
      </c>
      <c r="N1016" s="130" t="str" cm="1">
        <f t="array" ref="N1016">IFERROR(INDEX(SubcategoriesTable[Subcategory name],MATCH(Table1[[#This Row],[Category]],SubcategoriesTable[Category name],0),0),"")</f>
        <v>Variable</v>
      </c>
      <c r="O1016" s="130">
        <v>26</v>
      </c>
      <c r="P1016" s="130">
        <f>MONTH(Table1[[#This Row],[Date]])</f>
        <v>4</v>
      </c>
      <c r="Q1016" s="130">
        <v>2020</v>
      </c>
      <c r="R1016" s="166">
        <f>IF(ISBLANK(Table1[[#This Row],[Date]]),"",Table1[[#This Row],[Date]]-WEEKDAY(Table1[[#This Row],[Date]],2)+1)</f>
        <v>43941</v>
      </c>
      <c r="S1016" s="131">
        <f>IF(ISBLANK(Table1[[#This Row],[Date]]),"",DATE(Table1[[#This Row],[Date_Year]],Table1[[#This Row],[Date_Month]],1))</f>
        <v>43922</v>
      </c>
    </row>
    <row r="1017" spans="2:19" ht="15.75" x14ac:dyDescent="0.25">
      <c r="B1017" s="133">
        <v>43946</v>
      </c>
      <c r="C1017" s="128" t="s">
        <v>152</v>
      </c>
      <c r="D1017" s="128" t="s">
        <v>54</v>
      </c>
      <c r="E1017" s="128" t="str" cm="1">
        <f t="array" ref="E1017">IFERROR(INDEX(SubcategoriesTable[Subcategory name],MATCH(Table1[[#This Row],[Category]],SubcategoriesTable[Category name],0),0),"")</f>
        <v>Fixed</v>
      </c>
      <c r="F1017" s="134">
        <v>-15.99</v>
      </c>
      <c r="G1017" s="167" t="str">
        <f>_xlfn.XLOOKUP(Table1[[#This Row],[Account_ID]], Accounts[ID], Accounts[Account nickname], "Unknown")</f>
        <v>EVERYDAY CHECKING</v>
      </c>
      <c r="H1017" s="137" t="str">
        <f>_xlfn.XLOOKUP(Table1[[#This Row],[Account_ID]], Accounts[ID], Accounts[Account'#], "Unknown")</f>
        <v>4636</v>
      </c>
      <c r="I1017" s="168" t="str">
        <f>_xlfn.XLOOKUP(Table1[[#This Row],[Institution_ID]], Institutions[ID], Institutions[Institution nickname], "Unknown")</f>
        <v>Wells Fargo</v>
      </c>
      <c r="J1017" s="139" t="s">
        <v>1719</v>
      </c>
      <c r="K1017" s="129" t="s">
        <v>1229</v>
      </c>
      <c r="L1017" s="129" t="s">
        <v>1228</v>
      </c>
      <c r="M1017" s="130" t="str" cm="1">
        <f t="array" ref="M1017">IFERROR(INDEX(CategoriesTable[Category type],MATCH(Table1[[#This Row],[Category]],CategoriesTable[Category name],0),0),"")</f>
        <v>Expense</v>
      </c>
      <c r="N1017" s="130" t="str" cm="1">
        <f t="array" ref="N1017">IFERROR(INDEX(SubcategoriesTable[Subcategory name],MATCH(Table1[[#This Row],[Category]],SubcategoriesTable[Category name],0),0),"")</f>
        <v>Fixed</v>
      </c>
      <c r="O1017" s="130">
        <v>25</v>
      </c>
      <c r="P1017" s="130">
        <f>MONTH(Table1[[#This Row],[Date]])</f>
        <v>4</v>
      </c>
      <c r="Q1017" s="130">
        <v>2020</v>
      </c>
      <c r="R1017" s="166">
        <f>IF(ISBLANK(Table1[[#This Row],[Date]]),"",Table1[[#This Row],[Date]]-WEEKDAY(Table1[[#This Row],[Date]],2)+1)</f>
        <v>43941</v>
      </c>
      <c r="S1017" s="131">
        <f>IF(ISBLANK(Table1[[#This Row],[Date]]),"",DATE(Table1[[#This Row],[Date_Year]],Table1[[#This Row],[Date_Month]],1))</f>
        <v>43922</v>
      </c>
    </row>
    <row r="1018" spans="2:19" ht="15.75" x14ac:dyDescent="0.25">
      <c r="B1018" s="133">
        <v>43945</v>
      </c>
      <c r="C1018" s="128" t="s">
        <v>1720</v>
      </c>
      <c r="D1018" s="128" t="s">
        <v>56</v>
      </c>
      <c r="E1018" s="128" t="str" cm="1">
        <f t="array" ref="E1018">IFERROR(INDEX(SubcategoriesTable[Subcategory name],MATCH(Table1[[#This Row],[Category]],SubcategoriesTable[Category name],0),0),"")</f>
        <v>Variable</v>
      </c>
      <c r="F1018" s="134">
        <v>-456.25</v>
      </c>
      <c r="G1018" s="167" t="str">
        <f>_xlfn.XLOOKUP(Table1[[#This Row],[Account_ID]], Accounts[ID], Accounts[Account nickname], "Unknown")</f>
        <v>EVERYDAY CHECKING</v>
      </c>
      <c r="H1018" s="137" t="str">
        <f>_xlfn.XLOOKUP(Table1[[#This Row],[Account_ID]], Accounts[ID], Accounts[Account'#], "Unknown")</f>
        <v>4636</v>
      </c>
      <c r="I1018" s="168" t="str">
        <f>_xlfn.XLOOKUP(Table1[[#This Row],[Institution_ID]], Institutions[ID], Institutions[Institution nickname], "Unknown")</f>
        <v>Wells Fargo</v>
      </c>
      <c r="J1018" s="139" t="s">
        <v>1721</v>
      </c>
      <c r="K1018" s="129" t="s">
        <v>1229</v>
      </c>
      <c r="L1018" s="129" t="s">
        <v>1228</v>
      </c>
      <c r="M1018" s="130" t="str" cm="1">
        <f t="array" ref="M1018">IFERROR(INDEX(CategoriesTable[Category type],MATCH(Table1[[#This Row],[Category]],CategoriesTable[Category name],0),0),"")</f>
        <v>Expense</v>
      </c>
      <c r="N1018" s="130" t="str" cm="1">
        <f t="array" ref="N1018">IFERROR(INDEX(SubcategoriesTable[Subcategory name],MATCH(Table1[[#This Row],[Category]],SubcategoriesTable[Category name],0),0),"")</f>
        <v>Variable</v>
      </c>
      <c r="O1018" s="130">
        <v>24</v>
      </c>
      <c r="P1018" s="130">
        <f>MONTH(Table1[[#This Row],[Date]])</f>
        <v>4</v>
      </c>
      <c r="Q1018" s="130">
        <v>2020</v>
      </c>
      <c r="R1018" s="166">
        <f>IF(ISBLANK(Table1[[#This Row],[Date]]),"",Table1[[#This Row],[Date]]-WEEKDAY(Table1[[#This Row],[Date]],2)+1)</f>
        <v>43941</v>
      </c>
      <c r="S1018" s="131">
        <f>IF(ISBLANK(Table1[[#This Row],[Date]]),"",DATE(Table1[[#This Row],[Date_Year]],Table1[[#This Row],[Date_Month]],1))</f>
        <v>43922</v>
      </c>
    </row>
    <row r="1019" spans="2:19" ht="15.75" x14ac:dyDescent="0.25">
      <c r="B1019" s="133">
        <v>43945</v>
      </c>
      <c r="C1019" s="128" t="s">
        <v>1181</v>
      </c>
      <c r="D1019" s="128" t="s">
        <v>59</v>
      </c>
      <c r="E1019" s="128" t="str" cm="1">
        <f t="array" ref="E1019">IFERROR(INDEX(SubcategoriesTable[Subcategory name],MATCH(Table1[[#This Row],[Category]],SubcategoriesTable[Category name],0),0),"")</f>
        <v>Fixed</v>
      </c>
      <c r="F1019" s="134">
        <v>1565.05</v>
      </c>
      <c r="G1019" s="167" t="str">
        <f>_xlfn.XLOOKUP(Table1[[#This Row],[Account_ID]], Accounts[ID], Accounts[Account nickname], "Unknown")</f>
        <v>EVERYDAY CHECKING</v>
      </c>
      <c r="H1019" s="137" t="str">
        <f>_xlfn.XLOOKUP(Table1[[#This Row],[Account_ID]], Accounts[ID], Accounts[Account'#], "Unknown")</f>
        <v>4636</v>
      </c>
      <c r="I1019" s="168" t="str">
        <f>_xlfn.XLOOKUP(Table1[[#This Row],[Institution_ID]], Institutions[ID], Institutions[Institution nickname], "Unknown")</f>
        <v>Wells Fargo</v>
      </c>
      <c r="J1019" s="139" t="s">
        <v>1722</v>
      </c>
      <c r="K1019" s="129" t="s">
        <v>1229</v>
      </c>
      <c r="L1019" s="129" t="s">
        <v>1228</v>
      </c>
      <c r="M1019" s="130" t="str" cm="1">
        <f t="array" ref="M1019">IFERROR(INDEX(CategoriesTable[Category type],MATCH(Table1[[#This Row],[Category]],CategoriesTable[Category name],0),0),"")</f>
        <v>Income</v>
      </c>
      <c r="N1019" s="130" t="str" cm="1">
        <f t="array" ref="N1019">IFERROR(INDEX(SubcategoriesTable[Subcategory name],MATCH(Table1[[#This Row],[Category]],SubcategoriesTable[Category name],0),0),"")</f>
        <v>Fixed</v>
      </c>
      <c r="O1019" s="130">
        <v>24</v>
      </c>
      <c r="P1019" s="130">
        <f>MONTH(Table1[[#This Row],[Date]])</f>
        <v>4</v>
      </c>
      <c r="Q1019" s="130">
        <v>2020</v>
      </c>
      <c r="R1019" s="166">
        <f>IF(ISBLANK(Table1[[#This Row],[Date]]),"",Table1[[#This Row],[Date]]-WEEKDAY(Table1[[#This Row],[Date]],2)+1)</f>
        <v>43941</v>
      </c>
      <c r="S1019" s="131">
        <f>IF(ISBLANK(Table1[[#This Row],[Date]]),"",DATE(Table1[[#This Row],[Date_Year]],Table1[[#This Row],[Date_Month]],1))</f>
        <v>43922</v>
      </c>
    </row>
    <row r="1020" spans="2:19" ht="15.75" x14ac:dyDescent="0.25">
      <c r="B1020" s="133">
        <v>43945</v>
      </c>
      <c r="C1020" s="128" t="s">
        <v>1198</v>
      </c>
      <c r="D1020" s="128" t="s">
        <v>58</v>
      </c>
      <c r="E1020" s="128" t="str" cm="1">
        <f t="array" ref="E1020">IFERROR(INDEX(SubcategoriesTable[Subcategory name],MATCH(Table1[[#This Row],[Category]],SubcategoriesTable[Category name],0),0),"")</f>
        <v>Fixed</v>
      </c>
      <c r="F1020" s="134">
        <v>-150</v>
      </c>
      <c r="G1020" s="167" t="str">
        <f>_xlfn.XLOOKUP(Table1[[#This Row],[Account_ID]], Accounts[ID], Accounts[Account nickname], "Unknown")</f>
        <v>EVERYDAY CHECKING</v>
      </c>
      <c r="H1020" s="137" t="str">
        <f>_xlfn.XLOOKUP(Table1[[#This Row],[Account_ID]], Accounts[ID], Accounts[Account'#], "Unknown")</f>
        <v>4636</v>
      </c>
      <c r="I1020" s="168" t="str">
        <f>_xlfn.XLOOKUP(Table1[[#This Row],[Institution_ID]], Institutions[ID], Institutions[Institution nickname], "Unknown")</f>
        <v>Wells Fargo</v>
      </c>
      <c r="J1020" s="139" t="s">
        <v>1723</v>
      </c>
      <c r="K1020" s="129" t="s">
        <v>1229</v>
      </c>
      <c r="L1020" s="129" t="s">
        <v>1228</v>
      </c>
      <c r="M1020" s="130" t="str" cm="1">
        <f t="array" ref="M1020">IFERROR(INDEX(CategoriesTable[Category type],MATCH(Table1[[#This Row],[Category]],CategoriesTable[Category name],0),0),"")</f>
        <v>Expense</v>
      </c>
      <c r="N1020" s="130" t="str" cm="1">
        <f t="array" ref="N1020">IFERROR(INDEX(SubcategoriesTable[Subcategory name],MATCH(Table1[[#This Row],[Category]],SubcategoriesTable[Category name],0),0),"")</f>
        <v>Fixed</v>
      </c>
      <c r="O1020" s="130">
        <v>24</v>
      </c>
      <c r="P1020" s="130">
        <f>MONTH(Table1[[#This Row],[Date]])</f>
        <v>4</v>
      </c>
      <c r="Q1020" s="130">
        <v>2020</v>
      </c>
      <c r="R1020" s="166">
        <f>IF(ISBLANK(Table1[[#This Row],[Date]]),"",Table1[[#This Row],[Date]]-WEEKDAY(Table1[[#This Row],[Date]],2)+1)</f>
        <v>43941</v>
      </c>
      <c r="S1020" s="131">
        <f>IF(ISBLANK(Table1[[#This Row],[Date]]),"",DATE(Table1[[#This Row],[Date_Year]],Table1[[#This Row],[Date_Month]],1))</f>
        <v>43922</v>
      </c>
    </row>
    <row r="1021" spans="2:19" ht="15.75" x14ac:dyDescent="0.25">
      <c r="B1021" s="133">
        <v>43944</v>
      </c>
      <c r="C1021" s="128" t="s">
        <v>508</v>
      </c>
      <c r="D1021" s="128" t="s">
        <v>50</v>
      </c>
      <c r="E1021" s="128" t="str" cm="1">
        <f t="array" ref="E1021">IFERROR(INDEX(SubcategoriesTable[Subcategory name],MATCH(Table1[[#This Row],[Category]],SubcategoriesTable[Category name],0),0),"")</f>
        <v>Variable</v>
      </c>
      <c r="F1021" s="134">
        <v>-82</v>
      </c>
      <c r="G1021" s="167" t="str">
        <f>_xlfn.XLOOKUP(Table1[[#This Row],[Account_ID]], Accounts[ID], Accounts[Account nickname], "Unknown")</f>
        <v>EVERYDAY CHECKING</v>
      </c>
      <c r="H1021" s="137" t="str">
        <f>_xlfn.XLOOKUP(Table1[[#This Row],[Account_ID]], Accounts[ID], Accounts[Account'#], "Unknown")</f>
        <v>4636</v>
      </c>
      <c r="I1021" s="168" t="str">
        <f>_xlfn.XLOOKUP(Table1[[#This Row],[Institution_ID]], Institutions[ID], Institutions[Institution nickname], "Unknown")</f>
        <v>Wells Fargo</v>
      </c>
      <c r="J1021" s="139" t="s">
        <v>1724</v>
      </c>
      <c r="K1021" s="129" t="s">
        <v>1229</v>
      </c>
      <c r="L1021" s="129" t="s">
        <v>1228</v>
      </c>
      <c r="M1021" s="130" t="str" cm="1">
        <f t="array" ref="M1021">IFERROR(INDEX(CategoriesTable[Category type],MATCH(Table1[[#This Row],[Category]],CategoriesTable[Category name],0),0),"")</f>
        <v>Transfer</v>
      </c>
      <c r="N1021" s="130" t="str" cm="1">
        <f t="array" ref="N1021">IFERROR(INDEX(SubcategoriesTable[Subcategory name],MATCH(Table1[[#This Row],[Category]],SubcategoriesTable[Category name],0),0),"")</f>
        <v>Variable</v>
      </c>
      <c r="O1021" s="130">
        <v>23</v>
      </c>
      <c r="P1021" s="130">
        <f>MONTH(Table1[[#This Row],[Date]])</f>
        <v>4</v>
      </c>
      <c r="Q1021" s="130">
        <v>2020</v>
      </c>
      <c r="R1021" s="166">
        <f>IF(ISBLANK(Table1[[#This Row],[Date]]),"",Table1[[#This Row],[Date]]-WEEKDAY(Table1[[#This Row],[Date]],2)+1)</f>
        <v>43941</v>
      </c>
      <c r="S1021" s="131">
        <f>IF(ISBLANK(Table1[[#This Row],[Date]]),"",DATE(Table1[[#This Row],[Date_Year]],Table1[[#This Row],[Date_Month]],1))</f>
        <v>43922</v>
      </c>
    </row>
    <row r="1022" spans="2:19" ht="15.75" x14ac:dyDescent="0.25">
      <c r="B1022" s="133">
        <v>43943</v>
      </c>
      <c r="C1022" s="128" t="s">
        <v>148</v>
      </c>
      <c r="D1022" s="128" t="s">
        <v>54</v>
      </c>
      <c r="E1022" s="128" t="str" cm="1">
        <f t="array" ref="E1022">IFERROR(INDEX(SubcategoriesTable[Subcategory name],MATCH(Table1[[#This Row],[Category]],SubcategoriesTable[Category name],0),0),"")</f>
        <v>Fixed</v>
      </c>
      <c r="F1022" s="134">
        <v>-9.99</v>
      </c>
      <c r="G1022" s="167" t="str">
        <f>_xlfn.XLOOKUP(Table1[[#This Row],[Account_ID]], Accounts[ID], Accounts[Account nickname], "Unknown")</f>
        <v>EVERYDAY CHECKING</v>
      </c>
      <c r="H1022" s="137" t="str">
        <f>_xlfn.XLOOKUP(Table1[[#This Row],[Account_ID]], Accounts[ID], Accounts[Account'#], "Unknown")</f>
        <v>4636</v>
      </c>
      <c r="I1022" s="168" t="str">
        <f>_xlfn.XLOOKUP(Table1[[#This Row],[Institution_ID]], Institutions[ID], Institutions[Institution nickname], "Unknown")</f>
        <v>Wells Fargo</v>
      </c>
      <c r="J1022" s="139" t="s">
        <v>1725</v>
      </c>
      <c r="K1022" s="129" t="s">
        <v>1229</v>
      </c>
      <c r="L1022" s="129" t="s">
        <v>1228</v>
      </c>
      <c r="M1022" s="130" t="str" cm="1">
        <f t="array" ref="M1022">IFERROR(INDEX(CategoriesTable[Category type],MATCH(Table1[[#This Row],[Category]],CategoriesTable[Category name],0),0),"")</f>
        <v>Expense</v>
      </c>
      <c r="N1022" s="130" t="str" cm="1">
        <f t="array" ref="N1022">IFERROR(INDEX(SubcategoriesTable[Subcategory name],MATCH(Table1[[#This Row],[Category]],SubcategoriesTable[Category name],0),0),"")</f>
        <v>Fixed</v>
      </c>
      <c r="O1022" s="130">
        <v>22</v>
      </c>
      <c r="P1022" s="130">
        <f>MONTH(Table1[[#This Row],[Date]])</f>
        <v>4</v>
      </c>
      <c r="Q1022" s="130">
        <v>2020</v>
      </c>
      <c r="R1022" s="166">
        <f>IF(ISBLANK(Table1[[#This Row],[Date]]),"",Table1[[#This Row],[Date]]-WEEKDAY(Table1[[#This Row],[Date]],2)+1)</f>
        <v>43941</v>
      </c>
      <c r="S1022" s="131">
        <f>IF(ISBLANK(Table1[[#This Row],[Date]]),"",DATE(Table1[[#This Row],[Date_Year]],Table1[[#This Row],[Date_Month]],1))</f>
        <v>43922</v>
      </c>
    </row>
    <row r="1023" spans="2:19" ht="15.75" x14ac:dyDescent="0.25">
      <c r="B1023" s="133">
        <v>43942</v>
      </c>
      <c r="C1023" s="128" t="s">
        <v>237</v>
      </c>
      <c r="D1023" s="128" t="s">
        <v>48</v>
      </c>
      <c r="E1023" s="128" t="str" cm="1">
        <f t="array" ref="E1023">IFERROR(INDEX(SubcategoriesTable[Subcategory name],MATCH(Table1[[#This Row],[Category]],SubcategoriesTable[Category name],0),0),"")</f>
        <v>Variable</v>
      </c>
      <c r="F1023" s="134">
        <v>-26.26</v>
      </c>
      <c r="G1023" s="167" t="str">
        <f>_xlfn.XLOOKUP(Table1[[#This Row],[Account_ID]], Accounts[ID], Accounts[Account nickname], "Unknown")</f>
        <v>EVERYDAY CHECKING</v>
      </c>
      <c r="H1023" s="137" t="str">
        <f>_xlfn.XLOOKUP(Table1[[#This Row],[Account_ID]], Accounts[ID], Accounts[Account'#], "Unknown")</f>
        <v>4636</v>
      </c>
      <c r="I1023" s="168" t="str">
        <f>_xlfn.XLOOKUP(Table1[[#This Row],[Institution_ID]], Institutions[ID], Institutions[Institution nickname], "Unknown")</f>
        <v>Wells Fargo</v>
      </c>
      <c r="J1023" s="139" t="s">
        <v>1726</v>
      </c>
      <c r="K1023" s="129" t="s">
        <v>1229</v>
      </c>
      <c r="L1023" s="129" t="s">
        <v>1228</v>
      </c>
      <c r="M1023" s="130" t="str" cm="1">
        <f t="array" ref="M1023">IFERROR(INDEX(CategoriesTable[Category type],MATCH(Table1[[#This Row],[Category]],CategoriesTable[Category name],0),0),"")</f>
        <v>Expense</v>
      </c>
      <c r="N1023" s="130" t="str" cm="1">
        <f t="array" ref="N1023">IFERROR(INDEX(SubcategoriesTable[Subcategory name],MATCH(Table1[[#This Row],[Category]],SubcategoriesTable[Category name],0),0),"")</f>
        <v>Variable</v>
      </c>
      <c r="O1023" s="130">
        <v>21</v>
      </c>
      <c r="P1023" s="130">
        <f>MONTH(Table1[[#This Row],[Date]])</f>
        <v>4</v>
      </c>
      <c r="Q1023" s="130">
        <v>2020</v>
      </c>
      <c r="R1023" s="166">
        <f>IF(ISBLANK(Table1[[#This Row],[Date]]),"",Table1[[#This Row],[Date]]-WEEKDAY(Table1[[#This Row],[Date]],2)+1)</f>
        <v>43941</v>
      </c>
      <c r="S1023" s="131">
        <f>IF(ISBLANK(Table1[[#This Row],[Date]]),"",DATE(Table1[[#This Row],[Date_Year]],Table1[[#This Row],[Date_Month]],1))</f>
        <v>43922</v>
      </c>
    </row>
    <row r="1024" spans="2:19" ht="15.75" x14ac:dyDescent="0.25">
      <c r="B1024" s="133">
        <v>43941</v>
      </c>
      <c r="C1024" s="128" t="s">
        <v>508</v>
      </c>
      <c r="D1024" s="128" t="s">
        <v>50</v>
      </c>
      <c r="E1024" s="128" t="str" cm="1">
        <f t="array" ref="E1024">IFERROR(INDEX(SubcategoriesTable[Subcategory name],MATCH(Table1[[#This Row],[Category]],SubcategoriesTable[Category name],0),0),"")</f>
        <v>Variable</v>
      </c>
      <c r="F1024" s="134">
        <v>-62.34</v>
      </c>
      <c r="G1024" s="167" t="str">
        <f>_xlfn.XLOOKUP(Table1[[#This Row],[Account_ID]], Accounts[ID], Accounts[Account nickname], "Unknown")</f>
        <v>EVERYDAY CHECKING</v>
      </c>
      <c r="H1024" s="137" t="str">
        <f>_xlfn.XLOOKUP(Table1[[#This Row],[Account_ID]], Accounts[ID], Accounts[Account'#], "Unknown")</f>
        <v>4636</v>
      </c>
      <c r="I1024" s="168" t="str">
        <f>_xlfn.XLOOKUP(Table1[[#This Row],[Institution_ID]], Institutions[ID], Institutions[Institution nickname], "Unknown")</f>
        <v>Wells Fargo</v>
      </c>
      <c r="J1024" s="139" t="s">
        <v>1727</v>
      </c>
      <c r="K1024" s="129" t="s">
        <v>1229</v>
      </c>
      <c r="L1024" s="129" t="s">
        <v>1228</v>
      </c>
      <c r="M1024" s="130" t="str" cm="1">
        <f t="array" ref="M1024">IFERROR(INDEX(CategoriesTable[Category type],MATCH(Table1[[#This Row],[Category]],CategoriesTable[Category name],0),0),"")</f>
        <v>Transfer</v>
      </c>
      <c r="N1024" s="130" t="str" cm="1">
        <f t="array" ref="N1024">IFERROR(INDEX(SubcategoriesTable[Subcategory name],MATCH(Table1[[#This Row],[Category]],SubcategoriesTable[Category name],0),0),"")</f>
        <v>Variable</v>
      </c>
      <c r="O1024" s="130">
        <v>20</v>
      </c>
      <c r="P1024" s="130">
        <f>MONTH(Table1[[#This Row],[Date]])</f>
        <v>4</v>
      </c>
      <c r="Q1024" s="130">
        <v>2020</v>
      </c>
      <c r="R1024" s="166">
        <f>IF(ISBLANK(Table1[[#This Row],[Date]]),"",Table1[[#This Row],[Date]]-WEEKDAY(Table1[[#This Row],[Date]],2)+1)</f>
        <v>43941</v>
      </c>
      <c r="S1024" s="131">
        <f>IF(ISBLANK(Table1[[#This Row],[Date]]),"",DATE(Table1[[#This Row],[Date_Year]],Table1[[#This Row],[Date_Month]],1))</f>
        <v>43922</v>
      </c>
    </row>
    <row r="1025" spans="2:19" ht="15.75" x14ac:dyDescent="0.25">
      <c r="B1025" s="133">
        <v>43939</v>
      </c>
      <c r="C1025" s="128" t="s">
        <v>171</v>
      </c>
      <c r="D1025" s="128" t="s">
        <v>46</v>
      </c>
      <c r="E1025" s="128" t="str" cm="1">
        <f t="array" ref="E1025">IFERROR(INDEX(SubcategoriesTable[Subcategory name],MATCH(Table1[[#This Row],[Category]],SubcategoriesTable[Category name],0),0),"")</f>
        <v>Variable</v>
      </c>
      <c r="F1025" s="134">
        <v>-5</v>
      </c>
      <c r="G1025" s="167" t="str">
        <f>_xlfn.XLOOKUP(Table1[[#This Row],[Account_ID]], Accounts[ID], Accounts[Account nickname], "Unknown")</f>
        <v>EVERYDAY CHECKING</v>
      </c>
      <c r="H1025" s="137" t="str">
        <f>_xlfn.XLOOKUP(Table1[[#This Row],[Account_ID]], Accounts[ID], Accounts[Account'#], "Unknown")</f>
        <v>4636</v>
      </c>
      <c r="I1025" s="168" t="str">
        <f>_xlfn.XLOOKUP(Table1[[#This Row],[Institution_ID]], Institutions[ID], Institutions[Institution nickname], "Unknown")</f>
        <v>Wells Fargo</v>
      </c>
      <c r="J1025" s="139" t="s">
        <v>1728</v>
      </c>
      <c r="K1025" s="129" t="s">
        <v>1229</v>
      </c>
      <c r="L1025" s="129" t="s">
        <v>1228</v>
      </c>
      <c r="M1025" s="130" t="str" cm="1">
        <f t="array" ref="M1025">IFERROR(INDEX(CategoriesTable[Category type],MATCH(Table1[[#This Row],[Category]],CategoriesTable[Category name],0),0),"")</f>
        <v>Expense</v>
      </c>
      <c r="N1025" s="130" t="str" cm="1">
        <f t="array" ref="N1025">IFERROR(INDEX(SubcategoriesTable[Subcategory name],MATCH(Table1[[#This Row],[Category]],SubcategoriesTable[Category name],0),0),"")</f>
        <v>Variable</v>
      </c>
      <c r="O1025" s="130">
        <v>18</v>
      </c>
      <c r="P1025" s="130">
        <f>MONTH(Table1[[#This Row],[Date]])</f>
        <v>4</v>
      </c>
      <c r="Q1025" s="130">
        <v>2020</v>
      </c>
      <c r="R1025" s="166">
        <f>IF(ISBLANK(Table1[[#This Row],[Date]]),"",Table1[[#This Row],[Date]]-WEEKDAY(Table1[[#This Row],[Date]],2)+1)</f>
        <v>43934</v>
      </c>
      <c r="S1025" s="131">
        <f>IF(ISBLANK(Table1[[#This Row],[Date]]),"",DATE(Table1[[#This Row],[Date_Year]],Table1[[#This Row],[Date_Month]],1))</f>
        <v>43922</v>
      </c>
    </row>
    <row r="1026" spans="2:19" ht="15.75" x14ac:dyDescent="0.25">
      <c r="B1026" s="133">
        <v>43939</v>
      </c>
      <c r="C1026" s="128" t="s">
        <v>1609</v>
      </c>
      <c r="D1026" s="128" t="s">
        <v>46</v>
      </c>
      <c r="E1026" s="128" t="str" cm="1">
        <f t="array" ref="E1026">IFERROR(INDEX(SubcategoriesTable[Subcategory name],MATCH(Table1[[#This Row],[Category]],SubcategoriesTable[Category name],0),0),"")</f>
        <v>Variable</v>
      </c>
      <c r="F1026" s="134">
        <v>-19.95</v>
      </c>
      <c r="G1026" s="167" t="str">
        <f>_xlfn.XLOOKUP(Table1[[#This Row],[Account_ID]], Accounts[ID], Accounts[Account nickname], "Unknown")</f>
        <v>EVERYDAY CHECKING</v>
      </c>
      <c r="H1026" s="137" t="str">
        <f>_xlfn.XLOOKUP(Table1[[#This Row],[Account_ID]], Accounts[ID], Accounts[Account'#], "Unknown")</f>
        <v>4636</v>
      </c>
      <c r="I1026" s="168" t="str">
        <f>_xlfn.XLOOKUP(Table1[[#This Row],[Institution_ID]], Institutions[ID], Institutions[Institution nickname], "Unknown")</f>
        <v>Wells Fargo</v>
      </c>
      <c r="J1026" s="139" t="s">
        <v>1729</v>
      </c>
      <c r="K1026" s="129" t="s">
        <v>1229</v>
      </c>
      <c r="L1026" s="129" t="s">
        <v>1228</v>
      </c>
      <c r="M1026" s="130" t="str" cm="1">
        <f t="array" ref="M1026">IFERROR(INDEX(CategoriesTable[Category type],MATCH(Table1[[#This Row],[Category]],CategoriesTable[Category name],0),0),"")</f>
        <v>Expense</v>
      </c>
      <c r="N1026" s="130" t="str" cm="1">
        <f t="array" ref="N1026">IFERROR(INDEX(SubcategoriesTable[Subcategory name],MATCH(Table1[[#This Row],[Category]],SubcategoriesTable[Category name],0),0),"")</f>
        <v>Variable</v>
      </c>
      <c r="O1026" s="130">
        <v>18</v>
      </c>
      <c r="P1026" s="130">
        <f>MONTH(Table1[[#This Row],[Date]])</f>
        <v>4</v>
      </c>
      <c r="Q1026" s="130">
        <v>2020</v>
      </c>
      <c r="R1026" s="166">
        <f>IF(ISBLANK(Table1[[#This Row],[Date]]),"",Table1[[#This Row],[Date]]-WEEKDAY(Table1[[#This Row],[Date]],2)+1)</f>
        <v>43934</v>
      </c>
      <c r="S1026" s="131">
        <f>IF(ISBLANK(Table1[[#This Row],[Date]]),"",DATE(Table1[[#This Row],[Date_Year]],Table1[[#This Row],[Date_Month]],1))</f>
        <v>43922</v>
      </c>
    </row>
    <row r="1027" spans="2:19" ht="15.75" x14ac:dyDescent="0.25">
      <c r="B1027" s="133">
        <v>43938</v>
      </c>
      <c r="C1027" s="128" t="s">
        <v>909</v>
      </c>
      <c r="D1027" s="128" t="s">
        <v>56</v>
      </c>
      <c r="E1027" s="128" t="str" cm="1">
        <f t="array" ref="E1027">IFERROR(INDEX(SubcategoriesTable[Subcategory name],MATCH(Table1[[#This Row],[Category]],SubcategoriesTable[Category name],0),0),"")</f>
        <v>Variable</v>
      </c>
      <c r="F1027" s="134">
        <v>-58.26</v>
      </c>
      <c r="G1027" s="167" t="str">
        <f>_xlfn.XLOOKUP(Table1[[#This Row],[Account_ID]], Accounts[ID], Accounts[Account nickname], "Unknown")</f>
        <v>EVERYDAY CHECKING</v>
      </c>
      <c r="H1027" s="137" t="str">
        <f>_xlfn.XLOOKUP(Table1[[#This Row],[Account_ID]], Accounts[ID], Accounts[Account'#], "Unknown")</f>
        <v>4636</v>
      </c>
      <c r="I1027" s="168" t="str">
        <f>_xlfn.XLOOKUP(Table1[[#This Row],[Institution_ID]], Institutions[ID], Institutions[Institution nickname], "Unknown")</f>
        <v>Wells Fargo</v>
      </c>
      <c r="J1027" s="139" t="s">
        <v>1730</v>
      </c>
      <c r="K1027" s="129" t="s">
        <v>1229</v>
      </c>
      <c r="L1027" s="129" t="s">
        <v>1228</v>
      </c>
      <c r="M1027" s="130" t="str" cm="1">
        <f t="array" ref="M1027">IFERROR(INDEX(CategoriesTable[Category type],MATCH(Table1[[#This Row],[Category]],CategoriesTable[Category name],0),0),"")</f>
        <v>Expense</v>
      </c>
      <c r="N1027" s="130" t="str" cm="1">
        <f t="array" ref="N1027">IFERROR(INDEX(SubcategoriesTable[Subcategory name],MATCH(Table1[[#This Row],[Category]],SubcategoriesTable[Category name],0),0),"")</f>
        <v>Variable</v>
      </c>
      <c r="O1027" s="130">
        <v>17</v>
      </c>
      <c r="P1027" s="130">
        <f>MONTH(Table1[[#This Row],[Date]])</f>
        <v>4</v>
      </c>
      <c r="Q1027" s="130">
        <v>2020</v>
      </c>
      <c r="R1027" s="166">
        <f>IF(ISBLANK(Table1[[#This Row],[Date]]),"",Table1[[#This Row],[Date]]-WEEKDAY(Table1[[#This Row],[Date]],2)+1)</f>
        <v>43934</v>
      </c>
      <c r="S1027" s="131">
        <f>IF(ISBLANK(Table1[[#This Row],[Date]]),"",DATE(Table1[[#This Row],[Date_Year]],Table1[[#This Row],[Date_Month]],1))</f>
        <v>43922</v>
      </c>
    </row>
    <row r="1028" spans="2:19" ht="15.75" x14ac:dyDescent="0.25">
      <c r="B1028" s="133">
        <v>43937</v>
      </c>
      <c r="C1028" s="128" t="s">
        <v>508</v>
      </c>
      <c r="D1028" s="128" t="s">
        <v>50</v>
      </c>
      <c r="E1028" s="128" t="str" cm="1">
        <f t="array" ref="E1028">IFERROR(INDEX(SubcategoriesTable[Subcategory name],MATCH(Table1[[#This Row],[Category]],SubcategoriesTable[Category name],0),0),"")</f>
        <v>Variable</v>
      </c>
      <c r="F1028" s="134">
        <v>-53.66</v>
      </c>
      <c r="G1028" s="167" t="str">
        <f>_xlfn.XLOOKUP(Table1[[#This Row],[Account_ID]], Accounts[ID], Accounts[Account nickname], "Unknown")</f>
        <v>EVERYDAY CHECKING</v>
      </c>
      <c r="H1028" s="137" t="str">
        <f>_xlfn.XLOOKUP(Table1[[#This Row],[Account_ID]], Accounts[ID], Accounts[Account'#], "Unknown")</f>
        <v>4636</v>
      </c>
      <c r="I1028" s="168" t="str">
        <f>_xlfn.XLOOKUP(Table1[[#This Row],[Institution_ID]], Institutions[ID], Institutions[Institution nickname], "Unknown")</f>
        <v>Wells Fargo</v>
      </c>
      <c r="J1028" s="139" t="s">
        <v>1731</v>
      </c>
      <c r="K1028" s="129" t="s">
        <v>1229</v>
      </c>
      <c r="L1028" s="129" t="s">
        <v>1228</v>
      </c>
      <c r="M1028" s="130" t="str" cm="1">
        <f t="array" ref="M1028">IFERROR(INDEX(CategoriesTable[Category type],MATCH(Table1[[#This Row],[Category]],CategoriesTable[Category name],0),0),"")</f>
        <v>Transfer</v>
      </c>
      <c r="N1028" s="130" t="str" cm="1">
        <f t="array" ref="N1028">IFERROR(INDEX(SubcategoriesTable[Subcategory name],MATCH(Table1[[#This Row],[Category]],SubcategoriesTable[Category name],0),0),"")</f>
        <v>Variable</v>
      </c>
      <c r="O1028" s="130">
        <v>16</v>
      </c>
      <c r="P1028" s="130">
        <f>MONTH(Table1[[#This Row],[Date]])</f>
        <v>4</v>
      </c>
      <c r="Q1028" s="130">
        <v>2020</v>
      </c>
      <c r="R1028" s="166">
        <f>IF(ISBLANK(Table1[[#This Row],[Date]]),"",Table1[[#This Row],[Date]]-WEEKDAY(Table1[[#This Row],[Date]],2)+1)</f>
        <v>43934</v>
      </c>
      <c r="S1028" s="131">
        <f>IF(ISBLANK(Table1[[#This Row],[Date]]),"",DATE(Table1[[#This Row],[Date_Year]],Table1[[#This Row],[Date_Month]],1))</f>
        <v>43922</v>
      </c>
    </row>
    <row r="1029" spans="2:19" ht="15.75" x14ac:dyDescent="0.25">
      <c r="B1029" s="133">
        <v>43936</v>
      </c>
      <c r="C1029" s="128" t="s">
        <v>1612</v>
      </c>
      <c r="D1029" s="128" t="s">
        <v>56</v>
      </c>
      <c r="E1029" s="128" t="str" cm="1">
        <f t="array" ref="E1029">IFERROR(INDEX(SubcategoriesTable[Subcategory name],MATCH(Table1[[#This Row],[Category]],SubcategoriesTable[Category name],0),0),"")</f>
        <v>Variable</v>
      </c>
      <c r="F1029" s="134">
        <v>-4.95</v>
      </c>
      <c r="G1029" s="167" t="str">
        <f>_xlfn.XLOOKUP(Table1[[#This Row],[Account_ID]], Accounts[ID], Accounts[Account nickname], "Unknown")</f>
        <v>EVERYDAY CHECKING</v>
      </c>
      <c r="H1029" s="137" t="str">
        <f>_xlfn.XLOOKUP(Table1[[#This Row],[Account_ID]], Accounts[ID], Accounts[Account'#], "Unknown")</f>
        <v>4636</v>
      </c>
      <c r="I1029" s="168" t="str">
        <f>_xlfn.XLOOKUP(Table1[[#This Row],[Institution_ID]], Institutions[ID], Institutions[Institution nickname], "Unknown")</f>
        <v>Wells Fargo</v>
      </c>
      <c r="J1029" s="139" t="s">
        <v>1732</v>
      </c>
      <c r="K1029" s="129" t="s">
        <v>1229</v>
      </c>
      <c r="L1029" s="129" t="s">
        <v>1228</v>
      </c>
      <c r="M1029" s="130" t="str" cm="1">
        <f t="array" ref="M1029">IFERROR(INDEX(CategoriesTable[Category type],MATCH(Table1[[#This Row],[Category]],CategoriesTable[Category name],0),0),"")</f>
        <v>Expense</v>
      </c>
      <c r="N1029" s="130" t="str" cm="1">
        <f t="array" ref="N1029">IFERROR(INDEX(SubcategoriesTable[Subcategory name],MATCH(Table1[[#This Row],[Category]],SubcategoriesTable[Category name],0),0),"")</f>
        <v>Variable</v>
      </c>
      <c r="O1029" s="130">
        <v>15</v>
      </c>
      <c r="P1029" s="130">
        <f>MONTH(Table1[[#This Row],[Date]])</f>
        <v>4</v>
      </c>
      <c r="Q1029" s="130">
        <v>2020</v>
      </c>
      <c r="R1029" s="166">
        <f>IF(ISBLANK(Table1[[#This Row],[Date]]),"",Table1[[#This Row],[Date]]-WEEKDAY(Table1[[#This Row],[Date]],2)+1)</f>
        <v>43934</v>
      </c>
      <c r="S1029" s="131">
        <f>IF(ISBLANK(Table1[[#This Row],[Date]]),"",DATE(Table1[[#This Row],[Date_Year]],Table1[[#This Row],[Date_Month]],1))</f>
        <v>43922</v>
      </c>
    </row>
    <row r="1030" spans="2:19" ht="15.75" x14ac:dyDescent="0.25">
      <c r="B1030" s="133">
        <v>43936</v>
      </c>
      <c r="C1030" s="128" t="s">
        <v>1180</v>
      </c>
      <c r="D1030" s="128" t="s">
        <v>50</v>
      </c>
      <c r="E1030" s="128" t="str" cm="1">
        <f t="array" ref="E1030">IFERROR(INDEX(SubcategoriesTable[Subcategory name],MATCH(Table1[[#This Row],[Category]],SubcategoriesTable[Category name],0),0),"")</f>
        <v>Variable</v>
      </c>
      <c r="F1030" s="134">
        <v>-243.76</v>
      </c>
      <c r="G1030" s="167" t="str">
        <f>_xlfn.XLOOKUP(Table1[[#This Row],[Account_ID]], Accounts[ID], Accounts[Account nickname], "Unknown")</f>
        <v>EVERYDAY CHECKING</v>
      </c>
      <c r="H1030" s="137" t="str">
        <f>_xlfn.XLOOKUP(Table1[[#This Row],[Account_ID]], Accounts[ID], Accounts[Account'#], "Unknown")</f>
        <v>4636</v>
      </c>
      <c r="I1030" s="168" t="str">
        <f>_xlfn.XLOOKUP(Table1[[#This Row],[Institution_ID]], Institutions[ID], Institutions[Institution nickname], "Unknown")</f>
        <v>Wells Fargo</v>
      </c>
      <c r="J1030" s="139" t="s">
        <v>1733</v>
      </c>
      <c r="K1030" s="129" t="s">
        <v>1229</v>
      </c>
      <c r="L1030" s="129" t="s">
        <v>1228</v>
      </c>
      <c r="M1030" s="130" t="str" cm="1">
        <f t="array" ref="M1030">IFERROR(INDEX(CategoriesTable[Category type],MATCH(Table1[[#This Row],[Category]],CategoriesTable[Category name],0),0),"")</f>
        <v>Transfer</v>
      </c>
      <c r="N1030" s="130" t="str" cm="1">
        <f t="array" ref="N1030">IFERROR(INDEX(SubcategoriesTable[Subcategory name],MATCH(Table1[[#This Row],[Category]],SubcategoriesTable[Category name],0),0),"")</f>
        <v>Variable</v>
      </c>
      <c r="O1030" s="130">
        <v>15</v>
      </c>
      <c r="P1030" s="130">
        <f>MONTH(Table1[[#This Row],[Date]])</f>
        <v>4</v>
      </c>
      <c r="Q1030" s="130">
        <v>2020</v>
      </c>
      <c r="R1030" s="166">
        <f>IF(ISBLANK(Table1[[#This Row],[Date]]),"",Table1[[#This Row],[Date]]-WEEKDAY(Table1[[#This Row],[Date]],2)+1)</f>
        <v>43934</v>
      </c>
      <c r="S1030" s="131">
        <f>IF(ISBLANK(Table1[[#This Row],[Date]]),"",DATE(Table1[[#This Row],[Date_Year]],Table1[[#This Row],[Date_Month]],1))</f>
        <v>43922</v>
      </c>
    </row>
    <row r="1031" spans="2:19" ht="15.75" x14ac:dyDescent="0.25">
      <c r="B1031" s="133">
        <v>43936</v>
      </c>
      <c r="C1031" s="128" t="s">
        <v>1734</v>
      </c>
      <c r="D1031" s="128" t="s">
        <v>57</v>
      </c>
      <c r="E1031" s="128" t="str" cm="1">
        <f t="array" ref="E1031">IFERROR(INDEX(SubcategoriesTable[Subcategory name],MATCH(Table1[[#This Row],[Category]],SubcategoriesTable[Category name],0),0),"")</f>
        <v>Variable</v>
      </c>
      <c r="F1031" s="134">
        <v>1200</v>
      </c>
      <c r="G1031" s="167" t="str">
        <f>_xlfn.XLOOKUP(Table1[[#This Row],[Account_ID]], Accounts[ID], Accounts[Account nickname], "Unknown")</f>
        <v>EVERYDAY CHECKING</v>
      </c>
      <c r="H1031" s="137" t="str">
        <f>_xlfn.XLOOKUP(Table1[[#This Row],[Account_ID]], Accounts[ID], Accounts[Account'#], "Unknown")</f>
        <v>4636</v>
      </c>
      <c r="I1031" s="168" t="str">
        <f>_xlfn.XLOOKUP(Table1[[#This Row],[Institution_ID]], Institutions[ID], Institutions[Institution nickname], "Unknown")</f>
        <v>Wells Fargo</v>
      </c>
      <c r="J1031" s="139" t="s">
        <v>1735</v>
      </c>
      <c r="K1031" s="129" t="s">
        <v>1229</v>
      </c>
      <c r="L1031" s="129" t="s">
        <v>1228</v>
      </c>
      <c r="M1031" s="130" t="str" cm="1">
        <f t="array" ref="M1031">IFERROR(INDEX(CategoriesTable[Category type],MATCH(Table1[[#This Row],[Category]],CategoriesTable[Category name],0),0),"")</f>
        <v>Transfer</v>
      </c>
      <c r="N1031" s="130" t="str" cm="1">
        <f t="array" ref="N1031">IFERROR(INDEX(SubcategoriesTable[Subcategory name],MATCH(Table1[[#This Row],[Category]],SubcategoriesTable[Category name],0),0),"")</f>
        <v>Variable</v>
      </c>
      <c r="O1031" s="130">
        <v>15</v>
      </c>
      <c r="P1031" s="130">
        <f>MONTH(Table1[[#This Row],[Date]])</f>
        <v>4</v>
      </c>
      <c r="Q1031" s="130">
        <v>2020</v>
      </c>
      <c r="R1031" s="166">
        <f>IF(ISBLANK(Table1[[#This Row],[Date]]),"",Table1[[#This Row],[Date]]-WEEKDAY(Table1[[#This Row],[Date]],2)+1)</f>
        <v>43934</v>
      </c>
      <c r="S1031" s="131">
        <f>IF(ISBLANK(Table1[[#This Row],[Date]]),"",DATE(Table1[[#This Row],[Date_Year]],Table1[[#This Row],[Date_Month]],1))</f>
        <v>43922</v>
      </c>
    </row>
    <row r="1032" spans="2:19" ht="15.75" x14ac:dyDescent="0.25">
      <c r="B1032" s="133">
        <v>43936</v>
      </c>
      <c r="C1032" s="128" t="s">
        <v>1734</v>
      </c>
      <c r="D1032" s="128" t="s">
        <v>57</v>
      </c>
      <c r="E1032" s="128" t="str" cm="1">
        <f t="array" ref="E1032">IFERROR(INDEX(SubcategoriesTable[Subcategory name],MATCH(Table1[[#This Row],[Category]],SubcategoriesTable[Category name],0),0),"")</f>
        <v>Variable</v>
      </c>
      <c r="F1032" s="134">
        <v>16</v>
      </c>
      <c r="G1032" s="167" t="str">
        <f>_xlfn.XLOOKUP(Table1[[#This Row],[Account_ID]], Accounts[ID], Accounts[Account nickname], "Unknown")</f>
        <v>EVERYDAY CHECKING</v>
      </c>
      <c r="H1032" s="137" t="str">
        <f>_xlfn.XLOOKUP(Table1[[#This Row],[Account_ID]], Accounts[ID], Accounts[Account'#], "Unknown")</f>
        <v>4636</v>
      </c>
      <c r="I1032" s="168" t="str">
        <f>_xlfn.XLOOKUP(Table1[[#This Row],[Institution_ID]], Institutions[ID], Institutions[Institution nickname], "Unknown")</f>
        <v>Wells Fargo</v>
      </c>
      <c r="J1032" s="139" t="s">
        <v>1736</v>
      </c>
      <c r="K1032" s="129" t="s">
        <v>1229</v>
      </c>
      <c r="L1032" s="129" t="s">
        <v>1228</v>
      </c>
      <c r="M1032" s="130" t="str" cm="1">
        <f t="array" ref="M1032">IFERROR(INDEX(CategoriesTable[Category type],MATCH(Table1[[#This Row],[Category]],CategoriesTable[Category name],0),0),"")</f>
        <v>Transfer</v>
      </c>
      <c r="N1032" s="130" t="str" cm="1">
        <f t="array" ref="N1032">IFERROR(INDEX(SubcategoriesTable[Subcategory name],MATCH(Table1[[#This Row],[Category]],SubcategoriesTable[Category name],0),0),"")</f>
        <v>Variable</v>
      </c>
      <c r="O1032" s="130">
        <v>15</v>
      </c>
      <c r="P1032" s="130">
        <f>MONTH(Table1[[#This Row],[Date]])</f>
        <v>4</v>
      </c>
      <c r="Q1032" s="130">
        <v>2020</v>
      </c>
      <c r="R1032" s="166">
        <f>IF(ISBLANK(Table1[[#This Row],[Date]]),"",Table1[[#This Row],[Date]]-WEEKDAY(Table1[[#This Row],[Date]],2)+1)</f>
        <v>43934</v>
      </c>
      <c r="S1032" s="131">
        <f>IF(ISBLANK(Table1[[#This Row],[Date]]),"",DATE(Table1[[#This Row],[Date_Year]],Table1[[#This Row],[Date_Month]],1))</f>
        <v>43922</v>
      </c>
    </row>
    <row r="1033" spans="2:19" ht="15.75" x14ac:dyDescent="0.25">
      <c r="B1033" s="133">
        <v>43936</v>
      </c>
      <c r="C1033" s="128" t="s">
        <v>1630</v>
      </c>
      <c r="D1033" s="128" t="s">
        <v>58</v>
      </c>
      <c r="E1033" s="128" t="str" cm="1">
        <f t="array" ref="E1033">IFERROR(INDEX(SubcategoriesTable[Subcategory name],MATCH(Table1[[#This Row],[Category]],SubcategoriesTable[Category name],0),0),"")</f>
        <v>Fixed</v>
      </c>
      <c r="F1033" s="134">
        <v>-40</v>
      </c>
      <c r="G1033" s="167" t="str">
        <f>_xlfn.XLOOKUP(Table1[[#This Row],[Account_ID]], Accounts[ID], Accounts[Account nickname], "Unknown")</f>
        <v>EVERYDAY CHECKING</v>
      </c>
      <c r="H1033" s="137" t="str">
        <f>_xlfn.XLOOKUP(Table1[[#This Row],[Account_ID]], Accounts[ID], Accounts[Account'#], "Unknown")</f>
        <v>4636</v>
      </c>
      <c r="I1033" s="168" t="str">
        <f>_xlfn.XLOOKUP(Table1[[#This Row],[Institution_ID]], Institutions[ID], Institutions[Institution nickname], "Unknown")</f>
        <v>Wells Fargo</v>
      </c>
      <c r="J1033" s="139" t="s">
        <v>1737</v>
      </c>
      <c r="K1033" s="129" t="s">
        <v>1229</v>
      </c>
      <c r="L1033" s="129" t="s">
        <v>1228</v>
      </c>
      <c r="M1033" s="130" t="str" cm="1">
        <f t="array" ref="M1033">IFERROR(INDEX(CategoriesTable[Category type],MATCH(Table1[[#This Row],[Category]],CategoriesTable[Category name],0),0),"")</f>
        <v>Expense</v>
      </c>
      <c r="N1033" s="130" t="str" cm="1">
        <f t="array" ref="N1033">IFERROR(INDEX(SubcategoriesTable[Subcategory name],MATCH(Table1[[#This Row],[Category]],SubcategoriesTable[Category name],0),0),"")</f>
        <v>Fixed</v>
      </c>
      <c r="O1033" s="130">
        <v>15</v>
      </c>
      <c r="P1033" s="130">
        <f>MONTH(Table1[[#This Row],[Date]])</f>
        <v>4</v>
      </c>
      <c r="Q1033" s="130">
        <v>2020</v>
      </c>
      <c r="R1033" s="166">
        <f>IF(ISBLANK(Table1[[#This Row],[Date]]),"",Table1[[#This Row],[Date]]-WEEKDAY(Table1[[#This Row],[Date]],2)+1)</f>
        <v>43934</v>
      </c>
      <c r="S1033" s="131">
        <f>IF(ISBLANK(Table1[[#This Row],[Date]]),"",DATE(Table1[[#This Row],[Date_Year]],Table1[[#This Row],[Date_Month]],1))</f>
        <v>43922</v>
      </c>
    </row>
    <row r="1034" spans="2:19" ht="15.75" x14ac:dyDescent="0.25">
      <c r="B1034" s="133">
        <v>43936</v>
      </c>
      <c r="C1034" s="128" t="s">
        <v>508</v>
      </c>
      <c r="D1034" s="128" t="s">
        <v>50</v>
      </c>
      <c r="E1034" s="128" t="str" cm="1">
        <f t="array" ref="E1034">IFERROR(INDEX(SubcategoriesTable[Subcategory name],MATCH(Table1[[#This Row],[Category]],SubcategoriesTable[Category name],0),0),"")</f>
        <v>Variable</v>
      </c>
      <c r="F1034" s="134">
        <v>-46.19</v>
      </c>
      <c r="G1034" s="167" t="str">
        <f>_xlfn.XLOOKUP(Table1[[#This Row],[Account_ID]], Accounts[ID], Accounts[Account nickname], "Unknown")</f>
        <v>EVERYDAY CHECKING</v>
      </c>
      <c r="H1034" s="137" t="str">
        <f>_xlfn.XLOOKUP(Table1[[#This Row],[Account_ID]], Accounts[ID], Accounts[Account'#], "Unknown")</f>
        <v>4636</v>
      </c>
      <c r="I1034" s="168" t="str">
        <f>_xlfn.XLOOKUP(Table1[[#This Row],[Institution_ID]], Institutions[ID], Institutions[Institution nickname], "Unknown")</f>
        <v>Wells Fargo</v>
      </c>
      <c r="J1034" s="139" t="s">
        <v>1738</v>
      </c>
      <c r="K1034" s="129" t="s">
        <v>1229</v>
      </c>
      <c r="L1034" s="129" t="s">
        <v>1228</v>
      </c>
      <c r="M1034" s="130" t="str" cm="1">
        <f t="array" ref="M1034">IFERROR(INDEX(CategoriesTable[Category type],MATCH(Table1[[#This Row],[Category]],CategoriesTable[Category name],0),0),"")</f>
        <v>Transfer</v>
      </c>
      <c r="N1034" s="130" t="str" cm="1">
        <f t="array" ref="N1034">IFERROR(INDEX(SubcategoriesTable[Subcategory name],MATCH(Table1[[#This Row],[Category]],SubcategoriesTable[Category name],0),0),"")</f>
        <v>Variable</v>
      </c>
      <c r="O1034" s="130">
        <v>15</v>
      </c>
      <c r="P1034" s="130">
        <f>MONTH(Table1[[#This Row],[Date]])</f>
        <v>4</v>
      </c>
      <c r="Q1034" s="130">
        <v>2020</v>
      </c>
      <c r="R1034" s="166">
        <f>IF(ISBLANK(Table1[[#This Row],[Date]]),"",Table1[[#This Row],[Date]]-WEEKDAY(Table1[[#This Row],[Date]],2)+1)</f>
        <v>43934</v>
      </c>
      <c r="S1034" s="131">
        <f>IF(ISBLANK(Table1[[#This Row],[Date]]),"",DATE(Table1[[#This Row],[Date_Year]],Table1[[#This Row],[Date_Month]],1))</f>
        <v>43922</v>
      </c>
    </row>
    <row r="1035" spans="2:19" ht="15.75" x14ac:dyDescent="0.25">
      <c r="B1035" s="133">
        <v>43936</v>
      </c>
      <c r="C1035" s="128" t="s">
        <v>113</v>
      </c>
      <c r="D1035" s="128" t="s">
        <v>50</v>
      </c>
      <c r="E1035" s="128" t="str" cm="1">
        <f t="array" ref="E1035">IFERROR(INDEX(SubcategoriesTable[Subcategory name],MATCH(Table1[[#This Row],[Category]],SubcategoriesTable[Category name],0),0),"")</f>
        <v>Variable</v>
      </c>
      <c r="F1035" s="134">
        <v>243.76</v>
      </c>
      <c r="G1035" s="167" t="str">
        <f>_xlfn.XLOOKUP(Table1[[#This Row],[Account_ID]], Accounts[ID], Accounts[Account nickname], "Unknown")</f>
        <v>Discover it chrome Card</v>
      </c>
      <c r="H1035" s="137" t="str">
        <f>_xlfn.XLOOKUP(Table1[[#This Row],[Account_ID]], Accounts[ID], Accounts[Account'#], "Unknown")</f>
        <v>7328</v>
      </c>
      <c r="I1035" s="168" t="str">
        <f>_xlfn.XLOOKUP(Table1[[#This Row],[Institution_ID]], Institutions[ID], Institutions[Institution nickname], "Unknown")</f>
        <v>Discover</v>
      </c>
      <c r="J1035" s="139" t="s">
        <v>967</v>
      </c>
      <c r="K1035" s="129" t="s">
        <v>110</v>
      </c>
      <c r="L1035" s="129" t="s">
        <v>108</v>
      </c>
      <c r="M1035" s="130" t="str" cm="1">
        <f t="array" ref="M1035">IFERROR(INDEX(CategoriesTable[Category type],MATCH(Table1[[#This Row],[Category]],CategoriesTable[Category name],0),0),"")</f>
        <v>Transfer</v>
      </c>
      <c r="N1035" s="130" t="str" cm="1">
        <f t="array" ref="N1035">IFERROR(INDEX(SubcategoriesTable[Subcategory name],MATCH(Table1[[#This Row],[Category]],SubcategoriesTable[Category name],0),0),"")</f>
        <v>Variable</v>
      </c>
      <c r="O1035" s="130">
        <v>15</v>
      </c>
      <c r="P1035" s="130">
        <f>MONTH(Table1[[#This Row],[Date]])</f>
        <v>4</v>
      </c>
      <c r="Q1035" s="130">
        <v>2020</v>
      </c>
      <c r="R1035" s="166">
        <f>IF(ISBLANK(Table1[[#This Row],[Date]]),"",Table1[[#This Row],[Date]]-WEEKDAY(Table1[[#This Row],[Date]],2)+1)</f>
        <v>43934</v>
      </c>
      <c r="S1035" s="131">
        <f>IF(ISBLANK(Table1[[#This Row],[Date]]),"",DATE(Table1[[#This Row],[Date_Year]],Table1[[#This Row],[Date_Month]],1))</f>
        <v>43922</v>
      </c>
    </row>
    <row r="1036" spans="2:19" ht="15.75" x14ac:dyDescent="0.25">
      <c r="B1036" s="133">
        <v>43936</v>
      </c>
      <c r="C1036" s="128" t="s">
        <v>445</v>
      </c>
      <c r="D1036" s="128" t="s">
        <v>46</v>
      </c>
      <c r="E1036" s="128" t="str" cm="1">
        <f t="array" ref="E1036">IFERROR(INDEX(SubcategoriesTable[Subcategory name],MATCH(Table1[[#This Row],[Category]],SubcategoriesTable[Category name],0),0),"")</f>
        <v>Variable</v>
      </c>
      <c r="F1036" s="134">
        <v>157.59</v>
      </c>
      <c r="G1036" s="167" t="str">
        <f>_xlfn.XLOOKUP(Table1[[#This Row],[Account_ID]], Accounts[ID], Accounts[Account nickname], "Unknown")</f>
        <v>Discover it chrome Card</v>
      </c>
      <c r="H1036" s="137" t="str">
        <f>_xlfn.XLOOKUP(Table1[[#This Row],[Account_ID]], Accounts[ID], Accounts[Account'#], "Unknown")</f>
        <v>7328</v>
      </c>
      <c r="I1036" s="168" t="str">
        <f>_xlfn.XLOOKUP(Table1[[#This Row],[Institution_ID]], Institutions[ID], Institutions[Institution nickname], "Unknown")</f>
        <v>Discover</v>
      </c>
      <c r="J1036" s="139" t="s">
        <v>968</v>
      </c>
      <c r="K1036" s="129" t="s">
        <v>110</v>
      </c>
      <c r="L1036" s="129" t="s">
        <v>108</v>
      </c>
      <c r="M1036" s="130" t="str" cm="1">
        <f t="array" ref="M1036">IFERROR(INDEX(CategoriesTable[Category type],MATCH(Table1[[#This Row],[Category]],CategoriesTable[Category name],0),0),"")</f>
        <v>Expense</v>
      </c>
      <c r="N1036" s="130" t="str" cm="1">
        <f t="array" ref="N1036">IFERROR(INDEX(SubcategoriesTable[Subcategory name],MATCH(Table1[[#This Row],[Category]],SubcategoriesTable[Category name],0),0),"")</f>
        <v>Variable</v>
      </c>
      <c r="O1036" s="130">
        <v>15</v>
      </c>
      <c r="P1036" s="130">
        <f>MONTH(Table1[[#This Row],[Date]])</f>
        <v>4</v>
      </c>
      <c r="Q1036" s="130">
        <v>2020</v>
      </c>
      <c r="R1036" s="166">
        <f>IF(ISBLANK(Table1[[#This Row],[Date]]),"",Table1[[#This Row],[Date]]-WEEKDAY(Table1[[#This Row],[Date]],2)+1)</f>
        <v>43934</v>
      </c>
      <c r="S1036" s="131">
        <f>IF(ISBLANK(Table1[[#This Row],[Date]]),"",DATE(Table1[[#This Row],[Date_Year]],Table1[[#This Row],[Date_Month]],1))</f>
        <v>43922</v>
      </c>
    </row>
    <row r="1037" spans="2:19" ht="15.75" x14ac:dyDescent="0.25">
      <c r="B1037" s="133">
        <v>43935</v>
      </c>
      <c r="C1037" s="128" t="s">
        <v>730</v>
      </c>
      <c r="D1037" s="128" t="s">
        <v>46</v>
      </c>
      <c r="E1037" s="128" t="str" cm="1">
        <f t="array" ref="E1037">IFERROR(INDEX(SubcategoriesTable[Subcategory name],MATCH(Table1[[#This Row],[Category]],SubcategoriesTable[Category name],0),0),"")</f>
        <v>Variable</v>
      </c>
      <c r="F1037" s="134">
        <v>-24.98</v>
      </c>
      <c r="G1037" s="167" t="str">
        <f>_xlfn.XLOOKUP(Table1[[#This Row],[Account_ID]], Accounts[ID], Accounts[Account nickname], "Unknown")</f>
        <v>EVERYDAY CHECKING</v>
      </c>
      <c r="H1037" s="137" t="str">
        <f>_xlfn.XLOOKUP(Table1[[#This Row],[Account_ID]], Accounts[ID], Accounts[Account'#], "Unknown")</f>
        <v>4636</v>
      </c>
      <c r="I1037" s="168" t="str">
        <f>_xlfn.XLOOKUP(Table1[[#This Row],[Institution_ID]], Institutions[ID], Institutions[Institution nickname], "Unknown")</f>
        <v>Wells Fargo</v>
      </c>
      <c r="J1037" s="139" t="s">
        <v>1739</v>
      </c>
      <c r="K1037" s="129" t="s">
        <v>1229</v>
      </c>
      <c r="L1037" s="129" t="s">
        <v>1228</v>
      </c>
      <c r="M1037" s="130" t="str" cm="1">
        <f t="array" ref="M1037">IFERROR(INDEX(CategoriesTable[Category type],MATCH(Table1[[#This Row],[Category]],CategoriesTable[Category name],0),0),"")</f>
        <v>Expense</v>
      </c>
      <c r="N1037" s="130" t="str" cm="1">
        <f t="array" ref="N1037">IFERROR(INDEX(SubcategoriesTable[Subcategory name],MATCH(Table1[[#This Row],[Category]],SubcategoriesTable[Category name],0),0),"")</f>
        <v>Variable</v>
      </c>
      <c r="O1037" s="130">
        <v>14</v>
      </c>
      <c r="P1037" s="130">
        <f>MONTH(Table1[[#This Row],[Date]])</f>
        <v>4</v>
      </c>
      <c r="Q1037" s="130">
        <v>2020</v>
      </c>
      <c r="R1037" s="166">
        <f>IF(ISBLANK(Table1[[#This Row],[Date]]),"",Table1[[#This Row],[Date]]-WEEKDAY(Table1[[#This Row],[Date]],2)+1)</f>
        <v>43934</v>
      </c>
      <c r="S1037" s="131">
        <f>IF(ISBLANK(Table1[[#This Row],[Date]]),"",DATE(Table1[[#This Row],[Date_Year]],Table1[[#This Row],[Date_Month]],1))</f>
        <v>43922</v>
      </c>
    </row>
    <row r="1038" spans="2:19" ht="15.75" x14ac:dyDescent="0.25">
      <c r="B1038" s="133">
        <v>43935</v>
      </c>
      <c r="C1038" s="128" t="s">
        <v>1716</v>
      </c>
      <c r="D1038" s="128" t="s">
        <v>54</v>
      </c>
      <c r="E1038" s="128" t="str" cm="1">
        <f t="array" ref="E1038">IFERROR(INDEX(SubcategoriesTable[Subcategory name],MATCH(Table1[[#This Row],[Category]],SubcategoriesTable[Category name],0),0),"")</f>
        <v>Fixed</v>
      </c>
      <c r="F1038" s="134">
        <v>-227.51</v>
      </c>
      <c r="G1038" s="167" t="str">
        <f>_xlfn.XLOOKUP(Table1[[#This Row],[Account_ID]], Accounts[ID], Accounts[Account nickname], "Unknown")</f>
        <v>EVERYDAY CHECKING</v>
      </c>
      <c r="H1038" s="137" t="str">
        <f>_xlfn.XLOOKUP(Table1[[#This Row],[Account_ID]], Accounts[ID], Accounts[Account'#], "Unknown")</f>
        <v>4636</v>
      </c>
      <c r="I1038" s="168" t="str">
        <f>_xlfn.XLOOKUP(Table1[[#This Row],[Institution_ID]], Institutions[ID], Institutions[Institution nickname], "Unknown")</f>
        <v>Wells Fargo</v>
      </c>
      <c r="J1038" s="139" t="s">
        <v>1740</v>
      </c>
      <c r="K1038" s="129" t="s">
        <v>1229</v>
      </c>
      <c r="L1038" s="129" t="s">
        <v>1228</v>
      </c>
      <c r="M1038" s="130" t="str" cm="1">
        <f t="array" ref="M1038">IFERROR(INDEX(CategoriesTable[Category type],MATCH(Table1[[#This Row],[Category]],CategoriesTable[Category name],0),0),"")</f>
        <v>Expense</v>
      </c>
      <c r="N1038" s="130" t="str" cm="1">
        <f t="array" ref="N1038">IFERROR(INDEX(SubcategoriesTable[Subcategory name],MATCH(Table1[[#This Row],[Category]],SubcategoriesTable[Category name],0),0),"")</f>
        <v>Fixed</v>
      </c>
      <c r="O1038" s="130">
        <v>14</v>
      </c>
      <c r="P1038" s="130">
        <f>MONTH(Table1[[#This Row],[Date]])</f>
        <v>4</v>
      </c>
      <c r="Q1038" s="130">
        <v>2020</v>
      </c>
      <c r="R1038" s="166">
        <f>IF(ISBLANK(Table1[[#This Row],[Date]]),"",Table1[[#This Row],[Date]]-WEEKDAY(Table1[[#This Row],[Date]],2)+1)</f>
        <v>43934</v>
      </c>
      <c r="S1038" s="131">
        <f>IF(ISBLANK(Table1[[#This Row],[Date]]),"",DATE(Table1[[#This Row],[Date_Year]],Table1[[#This Row],[Date_Month]],1))</f>
        <v>43922</v>
      </c>
    </row>
    <row r="1039" spans="2:19" ht="15.75" x14ac:dyDescent="0.25">
      <c r="B1039" s="133">
        <v>43934</v>
      </c>
      <c r="C1039" s="128" t="s">
        <v>1698</v>
      </c>
      <c r="D1039" s="128" t="s">
        <v>46</v>
      </c>
      <c r="E1039" s="128" t="str" cm="1">
        <f t="array" ref="E1039">IFERROR(INDEX(SubcategoriesTable[Subcategory name],MATCH(Table1[[#This Row],[Category]],SubcategoriesTable[Category name],0),0),"")</f>
        <v>Variable</v>
      </c>
      <c r="F1039" s="134">
        <v>-35.99</v>
      </c>
      <c r="G1039" s="167" t="str">
        <f>_xlfn.XLOOKUP(Table1[[#This Row],[Account_ID]], Accounts[ID], Accounts[Account nickname], "Unknown")</f>
        <v>EVERYDAY CHECKING</v>
      </c>
      <c r="H1039" s="137" t="str">
        <f>_xlfn.XLOOKUP(Table1[[#This Row],[Account_ID]], Accounts[ID], Accounts[Account'#], "Unknown")</f>
        <v>4636</v>
      </c>
      <c r="I1039" s="168" t="str">
        <f>_xlfn.XLOOKUP(Table1[[#This Row],[Institution_ID]], Institutions[ID], Institutions[Institution nickname], "Unknown")</f>
        <v>Wells Fargo</v>
      </c>
      <c r="J1039" s="139" t="s">
        <v>1741</v>
      </c>
      <c r="K1039" s="129" t="s">
        <v>1229</v>
      </c>
      <c r="L1039" s="129" t="s">
        <v>1228</v>
      </c>
      <c r="M1039" s="130" t="str" cm="1">
        <f t="array" ref="M1039">IFERROR(INDEX(CategoriesTable[Category type],MATCH(Table1[[#This Row],[Category]],CategoriesTable[Category name],0),0),"")</f>
        <v>Expense</v>
      </c>
      <c r="N1039" s="130" t="str" cm="1">
        <f t="array" ref="N1039">IFERROR(INDEX(SubcategoriesTable[Subcategory name],MATCH(Table1[[#This Row],[Category]],SubcategoriesTable[Category name],0),0),"")</f>
        <v>Variable</v>
      </c>
      <c r="O1039" s="130">
        <v>13</v>
      </c>
      <c r="P1039" s="130">
        <f>MONTH(Table1[[#This Row],[Date]])</f>
        <v>4</v>
      </c>
      <c r="Q1039" s="130">
        <v>2020</v>
      </c>
      <c r="R1039" s="166">
        <f>IF(ISBLANK(Table1[[#This Row],[Date]]),"",Table1[[#This Row],[Date]]-WEEKDAY(Table1[[#This Row],[Date]],2)+1)</f>
        <v>43934</v>
      </c>
      <c r="S1039" s="131">
        <f>IF(ISBLANK(Table1[[#This Row],[Date]]),"",DATE(Table1[[#This Row],[Date_Year]],Table1[[#This Row],[Date_Month]],1))</f>
        <v>43922</v>
      </c>
    </row>
    <row r="1040" spans="2:19" ht="15.75" x14ac:dyDescent="0.25">
      <c r="B1040" s="133">
        <v>43934</v>
      </c>
      <c r="C1040" s="128" t="s">
        <v>1180</v>
      </c>
      <c r="D1040" s="128" t="s">
        <v>50</v>
      </c>
      <c r="E1040" s="128" t="str" cm="1">
        <f t="array" ref="E1040">IFERROR(INDEX(SubcategoriesTable[Subcategory name],MATCH(Table1[[#This Row],[Category]],SubcategoriesTable[Category name],0),0),"")</f>
        <v>Variable</v>
      </c>
      <c r="F1040" s="134">
        <v>-486.55</v>
      </c>
      <c r="G1040" s="167" t="str">
        <f>_xlfn.XLOOKUP(Table1[[#This Row],[Account_ID]], Accounts[ID], Accounts[Account nickname], "Unknown")</f>
        <v>EVERYDAY CHECKING</v>
      </c>
      <c r="H1040" s="137" t="str">
        <f>_xlfn.XLOOKUP(Table1[[#This Row],[Account_ID]], Accounts[ID], Accounts[Account'#], "Unknown")</f>
        <v>4636</v>
      </c>
      <c r="I1040" s="168" t="str">
        <f>_xlfn.XLOOKUP(Table1[[#This Row],[Institution_ID]], Institutions[ID], Institutions[Institution nickname], "Unknown")</f>
        <v>Wells Fargo</v>
      </c>
      <c r="J1040" s="139" t="s">
        <v>1742</v>
      </c>
      <c r="K1040" s="129" t="s">
        <v>1229</v>
      </c>
      <c r="L1040" s="129" t="s">
        <v>1228</v>
      </c>
      <c r="M1040" s="130" t="str" cm="1">
        <f t="array" ref="M1040">IFERROR(INDEX(CategoriesTable[Category type],MATCH(Table1[[#This Row],[Category]],CategoriesTable[Category name],0),0),"")</f>
        <v>Transfer</v>
      </c>
      <c r="N1040" s="130" t="str" cm="1">
        <f t="array" ref="N1040">IFERROR(INDEX(SubcategoriesTable[Subcategory name],MATCH(Table1[[#This Row],[Category]],SubcategoriesTable[Category name],0),0),"")</f>
        <v>Variable</v>
      </c>
      <c r="O1040" s="130">
        <v>13</v>
      </c>
      <c r="P1040" s="130">
        <f>MONTH(Table1[[#This Row],[Date]])</f>
        <v>4</v>
      </c>
      <c r="Q1040" s="130">
        <v>2020</v>
      </c>
      <c r="R1040" s="166">
        <f>IF(ISBLANK(Table1[[#This Row],[Date]]),"",Table1[[#This Row],[Date]]-WEEKDAY(Table1[[#This Row],[Date]],2)+1)</f>
        <v>43934</v>
      </c>
      <c r="S1040" s="131">
        <f>IF(ISBLANK(Table1[[#This Row],[Date]]),"",DATE(Table1[[#This Row],[Date_Year]],Table1[[#This Row],[Date_Month]],1))</f>
        <v>43922</v>
      </c>
    </row>
    <row r="1041" spans="2:19" ht="15.75" x14ac:dyDescent="0.25">
      <c r="B1041" s="133">
        <v>43934</v>
      </c>
      <c r="C1041" s="128" t="s">
        <v>1202</v>
      </c>
      <c r="D1041" s="128" t="s">
        <v>50</v>
      </c>
      <c r="E1041" s="128" t="str" cm="1">
        <f t="array" ref="E1041">IFERROR(INDEX(SubcategoriesTable[Subcategory name],MATCH(Table1[[#This Row],[Category]],SubcategoriesTable[Category name],0),0),"")</f>
        <v>Variable</v>
      </c>
      <c r="F1041" s="134">
        <v>126.3</v>
      </c>
      <c r="G1041" s="167" t="str">
        <f>_xlfn.XLOOKUP(Table1[[#This Row],[Account_ID]], Accounts[ID], Accounts[Account nickname], "Unknown")</f>
        <v>EVERYDAY CHECKING</v>
      </c>
      <c r="H1041" s="137" t="str">
        <f>_xlfn.XLOOKUP(Table1[[#This Row],[Account_ID]], Accounts[ID], Accounts[Account'#], "Unknown")</f>
        <v>4636</v>
      </c>
      <c r="I1041" s="168" t="str">
        <f>_xlfn.XLOOKUP(Table1[[#This Row],[Institution_ID]], Institutions[ID], Institutions[Institution nickname], "Unknown")</f>
        <v>Wells Fargo</v>
      </c>
      <c r="J1041" s="139" t="s">
        <v>1743</v>
      </c>
      <c r="K1041" s="129" t="s">
        <v>1229</v>
      </c>
      <c r="L1041" s="129" t="s">
        <v>1228</v>
      </c>
      <c r="M1041" s="130" t="str" cm="1">
        <f t="array" ref="M1041">IFERROR(INDEX(CategoriesTable[Category type],MATCH(Table1[[#This Row],[Category]],CategoriesTable[Category name],0),0),"")</f>
        <v>Transfer</v>
      </c>
      <c r="N1041" s="130" t="str" cm="1">
        <f t="array" ref="N1041">IFERROR(INDEX(SubcategoriesTable[Subcategory name],MATCH(Table1[[#This Row],[Category]],SubcategoriesTable[Category name],0),0),"")</f>
        <v>Variable</v>
      </c>
      <c r="O1041" s="130">
        <v>13</v>
      </c>
      <c r="P1041" s="130">
        <f>MONTH(Table1[[#This Row],[Date]])</f>
        <v>4</v>
      </c>
      <c r="Q1041" s="130">
        <v>2020</v>
      </c>
      <c r="R1041" s="166">
        <f>IF(ISBLANK(Table1[[#This Row],[Date]]),"",Table1[[#This Row],[Date]]-WEEKDAY(Table1[[#This Row],[Date]],2)+1)</f>
        <v>43934</v>
      </c>
      <c r="S1041" s="131">
        <f>IF(ISBLANK(Table1[[#This Row],[Date]]),"",DATE(Table1[[#This Row],[Date_Year]],Table1[[#This Row],[Date_Month]],1))</f>
        <v>43922</v>
      </c>
    </row>
    <row r="1042" spans="2:19" ht="15.75" x14ac:dyDescent="0.25">
      <c r="B1042" s="133">
        <v>43934</v>
      </c>
      <c r="C1042" s="128" t="s">
        <v>1744</v>
      </c>
      <c r="D1042" s="128" t="s">
        <v>58</v>
      </c>
      <c r="E1042" s="128" t="str" cm="1">
        <f t="array" ref="E1042">IFERROR(INDEX(SubcategoriesTable[Subcategory name],MATCH(Table1[[#This Row],[Category]],SubcategoriesTable[Category name],0),0),"")</f>
        <v>Fixed</v>
      </c>
      <c r="F1042" s="134">
        <v>-313</v>
      </c>
      <c r="G1042" s="167" t="str">
        <f>_xlfn.XLOOKUP(Table1[[#This Row],[Account_ID]], Accounts[ID], Accounts[Account nickname], "Unknown")</f>
        <v>EVERYDAY CHECKING</v>
      </c>
      <c r="H1042" s="137" t="str">
        <f>_xlfn.XLOOKUP(Table1[[#This Row],[Account_ID]], Accounts[ID], Accounts[Account'#], "Unknown")</f>
        <v>4636</v>
      </c>
      <c r="I1042" s="168" t="str">
        <f>_xlfn.XLOOKUP(Table1[[#This Row],[Institution_ID]], Institutions[ID], Institutions[Institution nickname], "Unknown")</f>
        <v>Wells Fargo</v>
      </c>
      <c r="J1042" s="139" t="s">
        <v>1745</v>
      </c>
      <c r="K1042" s="129" t="s">
        <v>1229</v>
      </c>
      <c r="L1042" s="129" t="s">
        <v>1228</v>
      </c>
      <c r="M1042" s="130" t="str" cm="1">
        <f t="array" ref="M1042">IFERROR(INDEX(CategoriesTable[Category type],MATCH(Table1[[#This Row],[Category]],CategoriesTable[Category name],0),0),"")</f>
        <v>Expense</v>
      </c>
      <c r="N1042" s="130" t="str" cm="1">
        <f t="array" ref="N1042">IFERROR(INDEX(SubcategoriesTable[Subcategory name],MATCH(Table1[[#This Row],[Category]],SubcategoriesTable[Category name],0),0),"")</f>
        <v>Fixed</v>
      </c>
      <c r="O1042" s="130">
        <v>13</v>
      </c>
      <c r="P1042" s="130">
        <f>MONTH(Table1[[#This Row],[Date]])</f>
        <v>4</v>
      </c>
      <c r="Q1042" s="130">
        <v>2020</v>
      </c>
      <c r="R1042" s="166">
        <f>IF(ISBLANK(Table1[[#This Row],[Date]]),"",Table1[[#This Row],[Date]]-WEEKDAY(Table1[[#This Row],[Date]],2)+1)</f>
        <v>43934</v>
      </c>
      <c r="S1042" s="131">
        <f>IF(ISBLANK(Table1[[#This Row],[Date]]),"",DATE(Table1[[#This Row],[Date_Year]],Table1[[#This Row],[Date_Month]],1))</f>
        <v>43922</v>
      </c>
    </row>
    <row r="1043" spans="2:19" ht="15.75" x14ac:dyDescent="0.25">
      <c r="B1043" s="133">
        <v>43934</v>
      </c>
      <c r="C1043" s="128" t="s">
        <v>206</v>
      </c>
      <c r="D1043" s="128" t="s">
        <v>57</v>
      </c>
      <c r="E1043" s="128" t="str" cm="1">
        <f t="array" ref="E1043">IFERROR(INDEX(SubcategoriesTable[Subcategory name],MATCH(Table1[[#This Row],[Category]],SubcategoriesTable[Category name],0),0),"")</f>
        <v>Variable</v>
      </c>
      <c r="F1043" s="134">
        <v>13.45</v>
      </c>
      <c r="G1043" s="167" t="str">
        <f>_xlfn.XLOOKUP(Table1[[#This Row],[Account_ID]], Accounts[ID], Accounts[Account nickname], "Unknown")</f>
        <v>Discover it chrome Card</v>
      </c>
      <c r="H1043" s="137" t="str">
        <f>_xlfn.XLOOKUP(Table1[[#This Row],[Account_ID]], Accounts[ID], Accounts[Account'#], "Unknown")</f>
        <v>7328</v>
      </c>
      <c r="I1043" s="168" t="str">
        <f>_xlfn.XLOOKUP(Table1[[#This Row],[Institution_ID]], Institutions[ID], Institutions[Institution nickname], "Unknown")</f>
        <v>Discover</v>
      </c>
      <c r="J1043" s="139" t="s">
        <v>969</v>
      </c>
      <c r="K1043" s="129" t="s">
        <v>110</v>
      </c>
      <c r="L1043" s="129" t="s">
        <v>108</v>
      </c>
      <c r="M1043" s="130" t="str" cm="1">
        <f t="array" ref="M1043">IFERROR(INDEX(CategoriesTable[Category type],MATCH(Table1[[#This Row],[Category]],CategoriesTable[Category name],0),0),"")</f>
        <v>Transfer</v>
      </c>
      <c r="N1043" s="130" t="str" cm="1">
        <f t="array" ref="N1043">IFERROR(INDEX(SubcategoriesTable[Subcategory name],MATCH(Table1[[#This Row],[Category]],SubcategoriesTable[Category name],0),0),"")</f>
        <v>Variable</v>
      </c>
      <c r="O1043" s="130">
        <v>13</v>
      </c>
      <c r="P1043" s="130">
        <f>MONTH(Table1[[#This Row],[Date]])</f>
        <v>4</v>
      </c>
      <c r="Q1043" s="130">
        <v>2020</v>
      </c>
      <c r="R1043" s="166">
        <f>IF(ISBLANK(Table1[[#This Row],[Date]]),"",Table1[[#This Row],[Date]]-WEEKDAY(Table1[[#This Row],[Date]],2)+1)</f>
        <v>43934</v>
      </c>
      <c r="S1043" s="131">
        <f>IF(ISBLANK(Table1[[#This Row],[Date]]),"",DATE(Table1[[#This Row],[Date_Year]],Table1[[#This Row],[Date_Month]],1))</f>
        <v>43922</v>
      </c>
    </row>
    <row r="1044" spans="2:19" ht="15.75" x14ac:dyDescent="0.25">
      <c r="B1044" s="133">
        <v>43934</v>
      </c>
      <c r="C1044" s="128" t="s">
        <v>113</v>
      </c>
      <c r="D1044" s="128" t="s">
        <v>50</v>
      </c>
      <c r="E1044" s="128" t="str" cm="1">
        <f t="array" ref="E1044">IFERROR(INDEX(SubcategoriesTable[Subcategory name],MATCH(Table1[[#This Row],[Category]],SubcategoriesTable[Category name],0),0),"")</f>
        <v>Variable</v>
      </c>
      <c r="F1044" s="134">
        <v>486.55</v>
      </c>
      <c r="G1044" s="167" t="str">
        <f>_xlfn.XLOOKUP(Table1[[#This Row],[Account_ID]], Accounts[ID], Accounts[Account nickname], "Unknown")</f>
        <v>Discover it chrome Card</v>
      </c>
      <c r="H1044" s="137" t="str">
        <f>_xlfn.XLOOKUP(Table1[[#This Row],[Account_ID]], Accounts[ID], Accounts[Account'#], "Unknown")</f>
        <v>7328</v>
      </c>
      <c r="I1044" s="168" t="str">
        <f>_xlfn.XLOOKUP(Table1[[#This Row],[Institution_ID]], Institutions[ID], Institutions[Institution nickname], "Unknown")</f>
        <v>Discover</v>
      </c>
      <c r="J1044" s="139" t="s">
        <v>970</v>
      </c>
      <c r="K1044" s="129" t="s">
        <v>110</v>
      </c>
      <c r="L1044" s="129" t="s">
        <v>108</v>
      </c>
      <c r="M1044" s="130" t="str" cm="1">
        <f t="array" ref="M1044">IFERROR(INDEX(CategoriesTable[Category type],MATCH(Table1[[#This Row],[Category]],CategoriesTable[Category name],0),0),"")</f>
        <v>Transfer</v>
      </c>
      <c r="N1044" s="130" t="str" cm="1">
        <f t="array" ref="N1044">IFERROR(INDEX(SubcategoriesTable[Subcategory name],MATCH(Table1[[#This Row],[Category]],SubcategoriesTable[Category name],0),0),"")</f>
        <v>Variable</v>
      </c>
      <c r="O1044" s="130">
        <v>13</v>
      </c>
      <c r="P1044" s="130">
        <f>MONTH(Table1[[#This Row],[Date]])</f>
        <v>4</v>
      </c>
      <c r="Q1044" s="130">
        <v>2020</v>
      </c>
      <c r="R1044" s="166">
        <f>IF(ISBLANK(Table1[[#This Row],[Date]]),"",Table1[[#This Row],[Date]]-WEEKDAY(Table1[[#This Row],[Date]],2)+1)</f>
        <v>43934</v>
      </c>
      <c r="S1044" s="131">
        <f>IF(ISBLANK(Table1[[#This Row],[Date]]),"",DATE(Table1[[#This Row],[Date_Year]],Table1[[#This Row],[Date_Month]],1))</f>
        <v>43922</v>
      </c>
    </row>
    <row r="1045" spans="2:19" ht="15.75" x14ac:dyDescent="0.25">
      <c r="B1045" s="133">
        <v>43933</v>
      </c>
      <c r="C1045" s="128" t="s">
        <v>971</v>
      </c>
      <c r="D1045" s="128" t="s">
        <v>48</v>
      </c>
      <c r="E1045" s="128" t="str" cm="1">
        <f t="array" ref="E1045">IFERROR(INDEX(SubcategoriesTable[Subcategory name],MATCH(Table1[[#This Row],[Category]],SubcategoriesTable[Category name],0),0),"")</f>
        <v>Variable</v>
      </c>
      <c r="F1045" s="134">
        <v>-12.46</v>
      </c>
      <c r="G1045" s="167" t="str">
        <f>_xlfn.XLOOKUP(Table1[[#This Row],[Account_ID]], Accounts[ID], Accounts[Account nickname], "Unknown")</f>
        <v>EVERYDAY CHECKING</v>
      </c>
      <c r="H1045" s="137" t="str">
        <f>_xlfn.XLOOKUP(Table1[[#This Row],[Account_ID]], Accounts[ID], Accounts[Account'#], "Unknown")</f>
        <v>4636</v>
      </c>
      <c r="I1045" s="168" t="str">
        <f>_xlfn.XLOOKUP(Table1[[#This Row],[Institution_ID]], Institutions[ID], Institutions[Institution nickname], "Unknown")</f>
        <v>Wells Fargo</v>
      </c>
      <c r="J1045" s="139" t="s">
        <v>1746</v>
      </c>
      <c r="K1045" s="129" t="s">
        <v>1229</v>
      </c>
      <c r="L1045" s="129" t="s">
        <v>1228</v>
      </c>
      <c r="M1045" s="130" t="str" cm="1">
        <f t="array" ref="M1045">IFERROR(INDEX(CategoriesTable[Category type],MATCH(Table1[[#This Row],[Category]],CategoriesTable[Category name],0),0),"")</f>
        <v>Expense</v>
      </c>
      <c r="N1045" s="130" t="str" cm="1">
        <f t="array" ref="N1045">IFERROR(INDEX(SubcategoriesTable[Subcategory name],MATCH(Table1[[#This Row],[Category]],SubcategoriesTable[Category name],0),0),"")</f>
        <v>Variable</v>
      </c>
      <c r="O1045" s="130">
        <v>12</v>
      </c>
      <c r="P1045" s="130">
        <f>MONTH(Table1[[#This Row],[Date]])</f>
        <v>4</v>
      </c>
      <c r="Q1045" s="130">
        <v>2020</v>
      </c>
      <c r="R1045" s="166">
        <f>IF(ISBLANK(Table1[[#This Row],[Date]]),"",Table1[[#This Row],[Date]]-WEEKDAY(Table1[[#This Row],[Date]],2)+1)</f>
        <v>43927</v>
      </c>
      <c r="S1045" s="131">
        <f>IF(ISBLANK(Table1[[#This Row],[Date]]),"",DATE(Table1[[#This Row],[Date_Year]],Table1[[#This Row],[Date_Month]],1))</f>
        <v>43922</v>
      </c>
    </row>
    <row r="1046" spans="2:19" ht="15.75" x14ac:dyDescent="0.25">
      <c r="B1046" s="133">
        <v>43932</v>
      </c>
      <c r="C1046" s="128" t="s">
        <v>1747</v>
      </c>
      <c r="D1046" s="128" t="s">
        <v>46</v>
      </c>
      <c r="E1046" s="128" t="str" cm="1">
        <f t="array" ref="E1046">IFERROR(INDEX(SubcategoriesTable[Subcategory name],MATCH(Table1[[#This Row],[Category]],SubcategoriesTable[Category name],0),0),"")</f>
        <v>Variable</v>
      </c>
      <c r="F1046" s="134">
        <v>-19.989999999999998</v>
      </c>
      <c r="G1046" s="167" t="str">
        <f>_xlfn.XLOOKUP(Table1[[#This Row],[Account_ID]], Accounts[ID], Accounts[Account nickname], "Unknown")</f>
        <v>EVERYDAY CHECKING</v>
      </c>
      <c r="H1046" s="137" t="str">
        <f>_xlfn.XLOOKUP(Table1[[#This Row],[Account_ID]], Accounts[ID], Accounts[Account'#], "Unknown")</f>
        <v>4636</v>
      </c>
      <c r="I1046" s="168" t="str">
        <f>_xlfn.XLOOKUP(Table1[[#This Row],[Institution_ID]], Institutions[ID], Institutions[Institution nickname], "Unknown")</f>
        <v>Wells Fargo</v>
      </c>
      <c r="J1046" s="139" t="s">
        <v>1748</v>
      </c>
      <c r="K1046" s="129" t="s">
        <v>1229</v>
      </c>
      <c r="L1046" s="129" t="s">
        <v>1228</v>
      </c>
      <c r="M1046" s="130" t="str" cm="1">
        <f t="array" ref="M1046">IFERROR(INDEX(CategoriesTable[Category type],MATCH(Table1[[#This Row],[Category]],CategoriesTable[Category name],0),0),"")</f>
        <v>Expense</v>
      </c>
      <c r="N1046" s="130" t="str" cm="1">
        <f t="array" ref="N1046">IFERROR(INDEX(SubcategoriesTable[Subcategory name],MATCH(Table1[[#This Row],[Category]],SubcategoriesTable[Category name],0),0),"")</f>
        <v>Variable</v>
      </c>
      <c r="O1046" s="130">
        <v>11</v>
      </c>
      <c r="P1046" s="130">
        <f>MONTH(Table1[[#This Row],[Date]])</f>
        <v>4</v>
      </c>
      <c r="Q1046" s="130">
        <v>2020</v>
      </c>
      <c r="R1046" s="166">
        <f>IF(ISBLANK(Table1[[#This Row],[Date]]),"",Table1[[#This Row],[Date]]-WEEKDAY(Table1[[#This Row],[Date]],2)+1)</f>
        <v>43927</v>
      </c>
      <c r="S1046" s="131">
        <f>IF(ISBLANK(Table1[[#This Row],[Date]]),"",DATE(Table1[[#This Row],[Date_Year]],Table1[[#This Row],[Date_Month]],1))</f>
        <v>43922</v>
      </c>
    </row>
    <row r="1047" spans="2:19" ht="15.75" x14ac:dyDescent="0.25">
      <c r="B1047" s="133">
        <v>43932</v>
      </c>
      <c r="C1047" s="128" t="s">
        <v>1749</v>
      </c>
      <c r="D1047" s="128" t="s">
        <v>46</v>
      </c>
      <c r="E1047" s="128" t="str" cm="1">
        <f t="array" ref="E1047">IFERROR(INDEX(SubcategoriesTable[Subcategory name],MATCH(Table1[[#This Row],[Category]],SubcategoriesTable[Category name],0),0),"")</f>
        <v>Variable</v>
      </c>
      <c r="F1047" s="134">
        <v>-29.99</v>
      </c>
      <c r="G1047" s="167" t="str">
        <f>_xlfn.XLOOKUP(Table1[[#This Row],[Account_ID]], Accounts[ID], Accounts[Account nickname], "Unknown")</f>
        <v>EVERYDAY CHECKING</v>
      </c>
      <c r="H1047" s="137" t="str">
        <f>_xlfn.XLOOKUP(Table1[[#This Row],[Account_ID]], Accounts[ID], Accounts[Account'#], "Unknown")</f>
        <v>4636</v>
      </c>
      <c r="I1047" s="168" t="str">
        <f>_xlfn.XLOOKUP(Table1[[#This Row],[Institution_ID]], Institutions[ID], Institutions[Institution nickname], "Unknown")</f>
        <v>Wells Fargo</v>
      </c>
      <c r="J1047" s="139" t="s">
        <v>1750</v>
      </c>
      <c r="K1047" s="129" t="s">
        <v>1229</v>
      </c>
      <c r="L1047" s="129" t="s">
        <v>1228</v>
      </c>
      <c r="M1047" s="130" t="str" cm="1">
        <f t="array" ref="M1047">IFERROR(INDEX(CategoriesTable[Category type],MATCH(Table1[[#This Row],[Category]],CategoriesTable[Category name],0),0),"")</f>
        <v>Expense</v>
      </c>
      <c r="N1047" s="130" t="str" cm="1">
        <f t="array" ref="N1047">IFERROR(INDEX(SubcategoriesTable[Subcategory name],MATCH(Table1[[#This Row],[Category]],SubcategoriesTable[Category name],0),0),"")</f>
        <v>Variable</v>
      </c>
      <c r="O1047" s="130">
        <v>11</v>
      </c>
      <c r="P1047" s="130">
        <f>MONTH(Table1[[#This Row],[Date]])</f>
        <v>4</v>
      </c>
      <c r="Q1047" s="130">
        <v>2020</v>
      </c>
      <c r="R1047" s="166">
        <f>IF(ISBLANK(Table1[[#This Row],[Date]]),"",Table1[[#This Row],[Date]]-WEEKDAY(Table1[[#This Row],[Date]],2)+1)</f>
        <v>43927</v>
      </c>
      <c r="S1047" s="131">
        <f>IF(ISBLANK(Table1[[#This Row],[Date]]),"",DATE(Table1[[#This Row],[Date_Year]],Table1[[#This Row],[Date_Month]],1))</f>
        <v>43922</v>
      </c>
    </row>
    <row r="1048" spans="2:19" ht="15.75" x14ac:dyDescent="0.25">
      <c r="B1048" s="133">
        <v>43931</v>
      </c>
      <c r="C1048" s="128" t="s">
        <v>146</v>
      </c>
      <c r="D1048" s="128" t="s">
        <v>54</v>
      </c>
      <c r="E1048" s="128" t="str" cm="1">
        <f t="array" ref="E1048">IFERROR(INDEX(SubcategoriesTable[Subcategory name],MATCH(Table1[[#This Row],[Category]],SubcategoriesTable[Category name],0),0),"")</f>
        <v>Fixed</v>
      </c>
      <c r="F1048" s="134">
        <v>-90.79</v>
      </c>
      <c r="G1048" s="167" t="str">
        <f>_xlfn.XLOOKUP(Table1[[#This Row],[Account_ID]], Accounts[ID], Accounts[Account nickname], "Unknown")</f>
        <v>EVERYDAY CHECKING</v>
      </c>
      <c r="H1048" s="137" t="str">
        <f>_xlfn.XLOOKUP(Table1[[#This Row],[Account_ID]], Accounts[ID], Accounts[Account'#], "Unknown")</f>
        <v>4636</v>
      </c>
      <c r="I1048" s="168" t="str">
        <f>_xlfn.XLOOKUP(Table1[[#This Row],[Institution_ID]], Institutions[ID], Institutions[Institution nickname], "Unknown")</f>
        <v>Wells Fargo</v>
      </c>
      <c r="J1048" s="139" t="s">
        <v>1751</v>
      </c>
      <c r="K1048" s="129" t="s">
        <v>1229</v>
      </c>
      <c r="L1048" s="129" t="s">
        <v>1228</v>
      </c>
      <c r="M1048" s="130" t="str" cm="1">
        <f t="array" ref="M1048">IFERROR(INDEX(CategoriesTable[Category type],MATCH(Table1[[#This Row],[Category]],CategoriesTable[Category name],0),0),"")</f>
        <v>Expense</v>
      </c>
      <c r="N1048" s="130" t="str" cm="1">
        <f t="array" ref="N1048">IFERROR(INDEX(SubcategoriesTable[Subcategory name],MATCH(Table1[[#This Row],[Category]],SubcategoriesTable[Category name],0),0),"")</f>
        <v>Fixed</v>
      </c>
      <c r="O1048" s="130">
        <v>10</v>
      </c>
      <c r="P1048" s="130">
        <f>MONTH(Table1[[#This Row],[Date]])</f>
        <v>4</v>
      </c>
      <c r="Q1048" s="130">
        <v>2020</v>
      </c>
      <c r="R1048" s="166">
        <f>IF(ISBLANK(Table1[[#This Row],[Date]]),"",Table1[[#This Row],[Date]]-WEEKDAY(Table1[[#This Row],[Date]],2)+1)</f>
        <v>43927</v>
      </c>
      <c r="S1048" s="131">
        <f>IF(ISBLANK(Table1[[#This Row],[Date]]),"",DATE(Table1[[#This Row],[Date_Year]],Table1[[#This Row],[Date_Month]],1))</f>
        <v>43922</v>
      </c>
    </row>
    <row r="1049" spans="2:19" ht="15.75" x14ac:dyDescent="0.25">
      <c r="B1049" s="133">
        <v>43931</v>
      </c>
      <c r="C1049" s="128" t="s">
        <v>193</v>
      </c>
      <c r="D1049" s="128" t="s">
        <v>54</v>
      </c>
      <c r="E1049" s="128" t="str" cm="1">
        <f t="array" ref="E1049">IFERROR(INDEX(SubcategoriesTable[Subcategory name],MATCH(Table1[[#This Row],[Category]],SubcategoriesTable[Category name],0),0),"")</f>
        <v>Fixed</v>
      </c>
      <c r="F1049" s="134">
        <v>-86.25</v>
      </c>
      <c r="G1049" s="167" t="str">
        <f>_xlfn.XLOOKUP(Table1[[#This Row],[Account_ID]], Accounts[ID], Accounts[Account nickname], "Unknown")</f>
        <v>EVERYDAY CHECKING</v>
      </c>
      <c r="H1049" s="137" t="str">
        <f>_xlfn.XLOOKUP(Table1[[#This Row],[Account_ID]], Accounts[ID], Accounts[Account'#], "Unknown")</f>
        <v>4636</v>
      </c>
      <c r="I1049" s="168" t="str">
        <f>_xlfn.XLOOKUP(Table1[[#This Row],[Institution_ID]], Institutions[ID], Institutions[Institution nickname], "Unknown")</f>
        <v>Wells Fargo</v>
      </c>
      <c r="J1049" s="139" t="s">
        <v>1752</v>
      </c>
      <c r="K1049" s="129" t="s">
        <v>1229</v>
      </c>
      <c r="L1049" s="129" t="s">
        <v>1228</v>
      </c>
      <c r="M1049" s="130" t="str" cm="1">
        <f t="array" ref="M1049">IFERROR(INDEX(CategoriesTable[Category type],MATCH(Table1[[#This Row],[Category]],CategoriesTable[Category name],0),0),"")</f>
        <v>Expense</v>
      </c>
      <c r="N1049" s="130" t="str" cm="1">
        <f t="array" ref="N1049">IFERROR(INDEX(SubcategoriesTable[Subcategory name],MATCH(Table1[[#This Row],[Category]],SubcategoriesTable[Category name],0),0),"")</f>
        <v>Fixed</v>
      </c>
      <c r="O1049" s="130">
        <v>10</v>
      </c>
      <c r="P1049" s="130">
        <f>MONTH(Table1[[#This Row],[Date]])</f>
        <v>4</v>
      </c>
      <c r="Q1049" s="130">
        <v>2020</v>
      </c>
      <c r="R1049" s="166">
        <f>IF(ISBLANK(Table1[[#This Row],[Date]]),"",Table1[[#This Row],[Date]]-WEEKDAY(Table1[[#This Row],[Date]],2)+1)</f>
        <v>43927</v>
      </c>
      <c r="S1049" s="131">
        <f>IF(ISBLANK(Table1[[#This Row],[Date]]),"",DATE(Table1[[#This Row],[Date_Year]],Table1[[#This Row],[Date_Month]],1))</f>
        <v>43922</v>
      </c>
    </row>
    <row r="1050" spans="2:19" ht="15.75" x14ac:dyDescent="0.25">
      <c r="B1050" s="133">
        <v>43931</v>
      </c>
      <c r="C1050" s="128" t="s">
        <v>1753</v>
      </c>
      <c r="D1050" s="128" t="s">
        <v>53</v>
      </c>
      <c r="E1050" s="128" t="str" cm="1">
        <f t="array" ref="E1050">IFERROR(INDEX(SubcategoriesTable[Subcategory name],MATCH(Table1[[#This Row],[Category]],SubcategoriesTable[Category name],0),0),"")</f>
        <v>Variable</v>
      </c>
      <c r="F1050" s="134">
        <v>-269</v>
      </c>
      <c r="G1050" s="167" t="str">
        <f>_xlfn.XLOOKUP(Table1[[#This Row],[Account_ID]], Accounts[ID], Accounts[Account nickname], "Unknown")</f>
        <v>EVERYDAY CHECKING</v>
      </c>
      <c r="H1050" s="137" t="str">
        <f>_xlfn.XLOOKUP(Table1[[#This Row],[Account_ID]], Accounts[ID], Accounts[Account'#], "Unknown")</f>
        <v>4636</v>
      </c>
      <c r="I1050" s="168" t="str">
        <f>_xlfn.XLOOKUP(Table1[[#This Row],[Institution_ID]], Institutions[ID], Institutions[Institution nickname], "Unknown")</f>
        <v>Wells Fargo</v>
      </c>
      <c r="J1050" s="139" t="s">
        <v>1754</v>
      </c>
      <c r="K1050" s="129" t="s">
        <v>1229</v>
      </c>
      <c r="L1050" s="129" t="s">
        <v>1228</v>
      </c>
      <c r="M1050" s="130" t="str" cm="1">
        <f t="array" ref="M1050">IFERROR(INDEX(CategoriesTable[Category type],MATCH(Table1[[#This Row],[Category]],CategoriesTable[Category name],0),0),"")</f>
        <v>Expense</v>
      </c>
      <c r="N1050" s="130" t="str" cm="1">
        <f t="array" ref="N1050">IFERROR(INDEX(SubcategoriesTable[Subcategory name],MATCH(Table1[[#This Row],[Category]],SubcategoriesTable[Category name],0),0),"")</f>
        <v>Variable</v>
      </c>
      <c r="O1050" s="130">
        <v>10</v>
      </c>
      <c r="P1050" s="130">
        <f>MONTH(Table1[[#This Row],[Date]])</f>
        <v>4</v>
      </c>
      <c r="Q1050" s="130">
        <v>2020</v>
      </c>
      <c r="R1050" s="166">
        <f>IF(ISBLANK(Table1[[#This Row],[Date]]),"",Table1[[#This Row],[Date]]-WEEKDAY(Table1[[#This Row],[Date]],2)+1)</f>
        <v>43927</v>
      </c>
      <c r="S1050" s="131">
        <f>IF(ISBLANK(Table1[[#This Row],[Date]]),"",DATE(Table1[[#This Row],[Date_Year]],Table1[[#This Row],[Date_Month]],1))</f>
        <v>43922</v>
      </c>
    </row>
    <row r="1051" spans="2:19" ht="15.75" x14ac:dyDescent="0.25">
      <c r="B1051" s="133">
        <v>43931</v>
      </c>
      <c r="C1051" s="128" t="s">
        <v>1181</v>
      </c>
      <c r="D1051" s="128" t="s">
        <v>59</v>
      </c>
      <c r="E1051" s="128" t="str" cm="1">
        <f t="array" ref="E1051">IFERROR(INDEX(SubcategoriesTable[Subcategory name],MATCH(Table1[[#This Row],[Category]],SubcategoriesTable[Category name],0),0),"")</f>
        <v>Fixed</v>
      </c>
      <c r="F1051" s="134">
        <v>1565.04</v>
      </c>
      <c r="G1051" s="167" t="str">
        <f>_xlfn.XLOOKUP(Table1[[#This Row],[Account_ID]], Accounts[ID], Accounts[Account nickname], "Unknown")</f>
        <v>EVERYDAY CHECKING</v>
      </c>
      <c r="H1051" s="137" t="str">
        <f>_xlfn.XLOOKUP(Table1[[#This Row],[Account_ID]], Accounts[ID], Accounts[Account'#], "Unknown")</f>
        <v>4636</v>
      </c>
      <c r="I1051" s="168" t="str">
        <f>_xlfn.XLOOKUP(Table1[[#This Row],[Institution_ID]], Institutions[ID], Institutions[Institution nickname], "Unknown")</f>
        <v>Wells Fargo</v>
      </c>
      <c r="J1051" s="139" t="s">
        <v>1755</v>
      </c>
      <c r="K1051" s="129" t="s">
        <v>1229</v>
      </c>
      <c r="L1051" s="129" t="s">
        <v>1228</v>
      </c>
      <c r="M1051" s="130" t="str" cm="1">
        <f t="array" ref="M1051">IFERROR(INDEX(CategoriesTable[Category type],MATCH(Table1[[#This Row],[Category]],CategoriesTable[Category name],0),0),"")</f>
        <v>Income</v>
      </c>
      <c r="N1051" s="130" t="str" cm="1">
        <f t="array" ref="N1051">IFERROR(INDEX(SubcategoriesTable[Subcategory name],MATCH(Table1[[#This Row],[Category]],SubcategoriesTable[Category name],0),0),"")</f>
        <v>Fixed</v>
      </c>
      <c r="O1051" s="130">
        <v>10</v>
      </c>
      <c r="P1051" s="130">
        <f>MONTH(Table1[[#This Row],[Date]])</f>
        <v>4</v>
      </c>
      <c r="Q1051" s="130">
        <v>2020</v>
      </c>
      <c r="R1051" s="166">
        <f>IF(ISBLANK(Table1[[#This Row],[Date]]),"",Table1[[#This Row],[Date]]-WEEKDAY(Table1[[#This Row],[Date]],2)+1)</f>
        <v>43927</v>
      </c>
      <c r="S1051" s="131">
        <f>IF(ISBLANK(Table1[[#This Row],[Date]]),"",DATE(Table1[[#This Row],[Date_Year]],Table1[[#This Row],[Date_Month]],1))</f>
        <v>43922</v>
      </c>
    </row>
    <row r="1052" spans="2:19" ht="15.75" x14ac:dyDescent="0.25">
      <c r="B1052" s="133">
        <v>43931</v>
      </c>
      <c r="C1052" s="128" t="s">
        <v>508</v>
      </c>
      <c r="D1052" s="128" t="s">
        <v>50</v>
      </c>
      <c r="E1052" s="128" t="str" cm="1">
        <f t="array" ref="E1052">IFERROR(INDEX(SubcategoriesTable[Subcategory name],MATCH(Table1[[#This Row],[Category]],SubcategoriesTable[Category name],0),0),"")</f>
        <v>Variable</v>
      </c>
      <c r="F1052" s="134">
        <v>-46.3</v>
      </c>
      <c r="G1052" s="167" t="str">
        <f>_xlfn.XLOOKUP(Table1[[#This Row],[Account_ID]], Accounts[ID], Accounts[Account nickname], "Unknown")</f>
        <v>EVERYDAY CHECKING</v>
      </c>
      <c r="H1052" s="137" t="str">
        <f>_xlfn.XLOOKUP(Table1[[#This Row],[Account_ID]], Accounts[ID], Accounts[Account'#], "Unknown")</f>
        <v>4636</v>
      </c>
      <c r="I1052" s="168" t="str">
        <f>_xlfn.XLOOKUP(Table1[[#This Row],[Institution_ID]], Institutions[ID], Institutions[Institution nickname], "Unknown")</f>
        <v>Wells Fargo</v>
      </c>
      <c r="J1052" s="139" t="s">
        <v>1756</v>
      </c>
      <c r="K1052" s="129" t="s">
        <v>1229</v>
      </c>
      <c r="L1052" s="129" t="s">
        <v>1228</v>
      </c>
      <c r="M1052" s="130" t="str" cm="1">
        <f t="array" ref="M1052">IFERROR(INDEX(CategoriesTable[Category type],MATCH(Table1[[#This Row],[Category]],CategoriesTable[Category name],0),0),"")</f>
        <v>Transfer</v>
      </c>
      <c r="N1052" s="130" t="str" cm="1">
        <f t="array" ref="N1052">IFERROR(INDEX(SubcategoriesTable[Subcategory name],MATCH(Table1[[#This Row],[Category]],SubcategoriesTable[Category name],0),0),"")</f>
        <v>Variable</v>
      </c>
      <c r="O1052" s="130">
        <v>10</v>
      </c>
      <c r="P1052" s="130">
        <f>MONTH(Table1[[#This Row],[Date]])</f>
        <v>4</v>
      </c>
      <c r="Q1052" s="130">
        <v>2020</v>
      </c>
      <c r="R1052" s="166">
        <f>IF(ISBLANK(Table1[[#This Row],[Date]]),"",Table1[[#This Row],[Date]]-WEEKDAY(Table1[[#This Row],[Date]],2)+1)</f>
        <v>43927</v>
      </c>
      <c r="S1052" s="131">
        <f>IF(ISBLANK(Table1[[#This Row],[Date]]),"",DATE(Table1[[#This Row],[Date_Year]],Table1[[#This Row],[Date_Month]],1))</f>
        <v>43922</v>
      </c>
    </row>
    <row r="1053" spans="2:19" ht="15.75" x14ac:dyDescent="0.25">
      <c r="B1053" s="133">
        <v>43930</v>
      </c>
      <c r="C1053" s="128" t="s">
        <v>441</v>
      </c>
      <c r="D1053" s="128" t="s">
        <v>56</v>
      </c>
      <c r="E1053" s="128" t="str" cm="1">
        <f t="array" ref="E1053">IFERROR(INDEX(SubcategoriesTable[Subcategory name],MATCH(Table1[[#This Row],[Category]],SubcategoriesTable[Category name],0),0),"")</f>
        <v>Variable</v>
      </c>
      <c r="F1053" s="134">
        <v>-30</v>
      </c>
      <c r="G1053" s="167" t="str">
        <f>_xlfn.XLOOKUP(Table1[[#This Row],[Account_ID]], Accounts[ID], Accounts[Account nickname], "Unknown")</f>
        <v>EVERYDAY CHECKING</v>
      </c>
      <c r="H1053" s="137" t="str">
        <f>_xlfn.XLOOKUP(Table1[[#This Row],[Account_ID]], Accounts[ID], Accounts[Account'#], "Unknown")</f>
        <v>4636</v>
      </c>
      <c r="I1053" s="168" t="str">
        <f>_xlfn.XLOOKUP(Table1[[#This Row],[Institution_ID]], Institutions[ID], Institutions[Institution nickname], "Unknown")</f>
        <v>Wells Fargo</v>
      </c>
      <c r="J1053" s="139" t="s">
        <v>1757</v>
      </c>
      <c r="K1053" s="129" t="s">
        <v>1229</v>
      </c>
      <c r="L1053" s="129" t="s">
        <v>1228</v>
      </c>
      <c r="M1053" s="130" t="str" cm="1">
        <f t="array" ref="M1053">IFERROR(INDEX(CategoriesTable[Category type],MATCH(Table1[[#This Row],[Category]],CategoriesTable[Category name],0),0),"")</f>
        <v>Expense</v>
      </c>
      <c r="N1053" s="130" t="str" cm="1">
        <f t="array" ref="N1053">IFERROR(INDEX(SubcategoriesTable[Subcategory name],MATCH(Table1[[#This Row],[Category]],SubcategoriesTable[Category name],0),0),"")</f>
        <v>Variable</v>
      </c>
      <c r="O1053" s="130">
        <v>9</v>
      </c>
      <c r="P1053" s="130">
        <f>MONTH(Table1[[#This Row],[Date]])</f>
        <v>4</v>
      </c>
      <c r="Q1053" s="130">
        <v>2020</v>
      </c>
      <c r="R1053" s="166">
        <f>IF(ISBLANK(Table1[[#This Row],[Date]]),"",Table1[[#This Row],[Date]]-WEEKDAY(Table1[[#This Row],[Date]],2)+1)</f>
        <v>43927</v>
      </c>
      <c r="S1053" s="131">
        <f>IF(ISBLANK(Table1[[#This Row],[Date]]),"",DATE(Table1[[#This Row],[Date_Year]],Table1[[#This Row],[Date_Month]],1))</f>
        <v>43922</v>
      </c>
    </row>
    <row r="1054" spans="2:19" ht="15.75" x14ac:dyDescent="0.25">
      <c r="B1054" s="133">
        <v>43930</v>
      </c>
      <c r="C1054" s="128" t="s">
        <v>971</v>
      </c>
      <c r="D1054" s="128" t="s">
        <v>48</v>
      </c>
      <c r="E1054" s="128" t="str" cm="1">
        <f t="array" ref="E1054">IFERROR(INDEX(SubcategoriesTable[Subcategory name],MATCH(Table1[[#This Row],[Category]],SubcategoriesTable[Category name],0),0),"")</f>
        <v>Variable</v>
      </c>
      <c r="F1054" s="134">
        <v>-54.77</v>
      </c>
      <c r="G1054" s="167" t="str">
        <f>_xlfn.XLOOKUP(Table1[[#This Row],[Account_ID]], Accounts[ID], Accounts[Account nickname], "Unknown")</f>
        <v>EVERYDAY CHECKING</v>
      </c>
      <c r="H1054" s="137" t="str">
        <f>_xlfn.XLOOKUP(Table1[[#This Row],[Account_ID]], Accounts[ID], Accounts[Account'#], "Unknown")</f>
        <v>4636</v>
      </c>
      <c r="I1054" s="168" t="str">
        <f>_xlfn.XLOOKUP(Table1[[#This Row],[Institution_ID]], Institutions[ID], Institutions[Institution nickname], "Unknown")</f>
        <v>Wells Fargo</v>
      </c>
      <c r="J1054" s="139" t="s">
        <v>1758</v>
      </c>
      <c r="K1054" s="129" t="s">
        <v>1229</v>
      </c>
      <c r="L1054" s="129" t="s">
        <v>1228</v>
      </c>
      <c r="M1054" s="130" t="str" cm="1">
        <f t="array" ref="M1054">IFERROR(INDEX(CategoriesTable[Category type],MATCH(Table1[[#This Row],[Category]],CategoriesTable[Category name],0),0),"")</f>
        <v>Expense</v>
      </c>
      <c r="N1054" s="130" t="str" cm="1">
        <f t="array" ref="N1054">IFERROR(INDEX(SubcategoriesTable[Subcategory name],MATCH(Table1[[#This Row],[Category]],SubcategoriesTable[Category name],0),0),"")</f>
        <v>Variable</v>
      </c>
      <c r="O1054" s="130">
        <v>9</v>
      </c>
      <c r="P1054" s="130">
        <f>MONTH(Table1[[#This Row],[Date]])</f>
        <v>4</v>
      </c>
      <c r="Q1054" s="130">
        <v>2020</v>
      </c>
      <c r="R1054" s="166">
        <f>IF(ISBLANK(Table1[[#This Row],[Date]]),"",Table1[[#This Row],[Date]]-WEEKDAY(Table1[[#This Row],[Date]],2)+1)</f>
        <v>43927</v>
      </c>
      <c r="S1054" s="131">
        <f>IF(ISBLANK(Table1[[#This Row],[Date]]),"",DATE(Table1[[#This Row],[Date_Year]],Table1[[#This Row],[Date_Month]],1))</f>
        <v>43922</v>
      </c>
    </row>
    <row r="1055" spans="2:19" ht="15.75" x14ac:dyDescent="0.25">
      <c r="B1055" s="133">
        <v>43930</v>
      </c>
      <c r="C1055" s="128" t="s">
        <v>971</v>
      </c>
      <c r="D1055" s="128" t="s">
        <v>48</v>
      </c>
      <c r="E1055" s="128" t="str" cm="1">
        <f t="array" ref="E1055">IFERROR(INDEX(SubcategoriesTable[Subcategory name],MATCH(Table1[[#This Row],[Category]],SubcategoriesTable[Category name],0),0),"")</f>
        <v>Variable</v>
      </c>
      <c r="F1055" s="134">
        <v>-0.36</v>
      </c>
      <c r="G1055" s="167" t="str">
        <f>_xlfn.XLOOKUP(Table1[[#This Row],[Account_ID]], Accounts[ID], Accounts[Account nickname], "Unknown")</f>
        <v>Discover it chrome Card</v>
      </c>
      <c r="H1055" s="137" t="str">
        <f>_xlfn.XLOOKUP(Table1[[#This Row],[Account_ID]], Accounts[ID], Accounts[Account'#], "Unknown")</f>
        <v>7328</v>
      </c>
      <c r="I1055" s="168" t="str">
        <f>_xlfn.XLOOKUP(Table1[[#This Row],[Institution_ID]], Institutions[ID], Institutions[Institution nickname], "Unknown")</f>
        <v>Discover</v>
      </c>
      <c r="J1055" s="139" t="s">
        <v>972</v>
      </c>
      <c r="K1055" s="129" t="s">
        <v>110</v>
      </c>
      <c r="L1055" s="129" t="s">
        <v>108</v>
      </c>
      <c r="M1055" s="130" t="str" cm="1">
        <f t="array" ref="M1055">IFERROR(INDEX(CategoriesTable[Category type],MATCH(Table1[[#This Row],[Category]],CategoriesTable[Category name],0),0),"")</f>
        <v>Expense</v>
      </c>
      <c r="N1055" s="130" t="str" cm="1">
        <f t="array" ref="N1055">IFERROR(INDEX(SubcategoriesTable[Subcategory name],MATCH(Table1[[#This Row],[Category]],SubcategoriesTable[Category name],0),0),"")</f>
        <v>Variable</v>
      </c>
      <c r="O1055" s="130">
        <v>9</v>
      </c>
      <c r="P1055" s="130">
        <f>MONTH(Table1[[#This Row],[Date]])</f>
        <v>4</v>
      </c>
      <c r="Q1055" s="130">
        <v>2020</v>
      </c>
      <c r="R1055" s="166">
        <f>IF(ISBLANK(Table1[[#This Row],[Date]]),"",Table1[[#This Row],[Date]]-WEEKDAY(Table1[[#This Row],[Date]],2)+1)</f>
        <v>43927</v>
      </c>
      <c r="S1055" s="131">
        <f>IF(ISBLANK(Table1[[#This Row],[Date]]),"",DATE(Table1[[#This Row],[Date_Year]],Table1[[#This Row],[Date_Month]],1))</f>
        <v>43922</v>
      </c>
    </row>
    <row r="1056" spans="2:19" ht="15.75" x14ac:dyDescent="0.25">
      <c r="B1056" s="133">
        <v>43924</v>
      </c>
      <c r="C1056" s="128" t="s">
        <v>127</v>
      </c>
      <c r="D1056" s="128" t="s">
        <v>46</v>
      </c>
      <c r="E1056" s="128" t="str" cm="1">
        <f t="array" ref="E1056">IFERROR(INDEX(SubcategoriesTable[Subcategory name],MATCH(Table1[[#This Row],[Category]],SubcategoriesTable[Category name],0),0),"")</f>
        <v>Variable</v>
      </c>
      <c r="F1056" s="134">
        <v>-19.989999999999998</v>
      </c>
      <c r="G1056" s="167" t="str">
        <f>_xlfn.XLOOKUP(Table1[[#This Row],[Account_ID]], Accounts[ID], Accounts[Account nickname], "Unknown")</f>
        <v>EVERYDAY CHECKING</v>
      </c>
      <c r="H1056" s="137" t="str">
        <f>_xlfn.XLOOKUP(Table1[[#This Row],[Account_ID]], Accounts[ID], Accounts[Account'#], "Unknown")</f>
        <v>4636</v>
      </c>
      <c r="I1056" s="168" t="str">
        <f>_xlfn.XLOOKUP(Table1[[#This Row],[Institution_ID]], Institutions[ID], Institutions[Institution nickname], "Unknown")</f>
        <v>Wells Fargo</v>
      </c>
      <c r="J1056" s="139" t="s">
        <v>1759</v>
      </c>
      <c r="K1056" s="129" t="s">
        <v>1229</v>
      </c>
      <c r="L1056" s="129" t="s">
        <v>1228</v>
      </c>
      <c r="M1056" s="130" t="str" cm="1">
        <f t="array" ref="M1056">IFERROR(INDEX(CategoriesTable[Category type],MATCH(Table1[[#This Row],[Category]],CategoriesTable[Category name],0),0),"")</f>
        <v>Expense</v>
      </c>
      <c r="N1056" s="130" t="str" cm="1">
        <f t="array" ref="N1056">IFERROR(INDEX(SubcategoriesTable[Subcategory name],MATCH(Table1[[#This Row],[Category]],SubcategoriesTable[Category name],0),0),"")</f>
        <v>Variable</v>
      </c>
      <c r="O1056" s="130">
        <v>3</v>
      </c>
      <c r="P1056" s="130">
        <f>MONTH(Table1[[#This Row],[Date]])</f>
        <v>4</v>
      </c>
      <c r="Q1056" s="130">
        <v>2020</v>
      </c>
      <c r="R1056" s="166">
        <f>IF(ISBLANK(Table1[[#This Row],[Date]]),"",Table1[[#This Row],[Date]]-WEEKDAY(Table1[[#This Row],[Date]],2)+1)</f>
        <v>43920</v>
      </c>
      <c r="S1056" s="131">
        <f>IF(ISBLANK(Table1[[#This Row],[Date]]),"",DATE(Table1[[#This Row],[Date_Year]],Table1[[#This Row],[Date_Month]],1))</f>
        <v>43922</v>
      </c>
    </row>
    <row r="1057" spans="2:19" ht="15.75" x14ac:dyDescent="0.25">
      <c r="B1057" s="133">
        <v>43922</v>
      </c>
      <c r="C1057" s="128" t="s">
        <v>971</v>
      </c>
      <c r="D1057" s="128" t="s">
        <v>48</v>
      </c>
      <c r="E1057" s="128" t="str" cm="1">
        <f t="array" ref="E1057">IFERROR(INDEX(SubcategoriesTable[Subcategory name],MATCH(Table1[[#This Row],[Category]],SubcategoriesTable[Category name],0),0),"")</f>
        <v>Variable</v>
      </c>
      <c r="F1057" s="134">
        <v>-30.35</v>
      </c>
      <c r="G1057" s="167" t="str">
        <f>_xlfn.XLOOKUP(Table1[[#This Row],[Account_ID]], Accounts[ID], Accounts[Account nickname], "Unknown")</f>
        <v>EVERYDAY CHECKING</v>
      </c>
      <c r="H1057" s="137" t="str">
        <f>_xlfn.XLOOKUP(Table1[[#This Row],[Account_ID]], Accounts[ID], Accounts[Account'#], "Unknown")</f>
        <v>4636</v>
      </c>
      <c r="I1057" s="168" t="str">
        <f>_xlfn.XLOOKUP(Table1[[#This Row],[Institution_ID]], Institutions[ID], Institutions[Institution nickname], "Unknown")</f>
        <v>Wells Fargo</v>
      </c>
      <c r="J1057" s="139" t="s">
        <v>1760</v>
      </c>
      <c r="K1057" s="129" t="s">
        <v>1229</v>
      </c>
      <c r="L1057" s="129" t="s">
        <v>1228</v>
      </c>
      <c r="M1057" s="130" t="str" cm="1">
        <f t="array" ref="M1057">IFERROR(INDEX(CategoriesTable[Category type],MATCH(Table1[[#This Row],[Category]],CategoriesTable[Category name],0),0),"")</f>
        <v>Expense</v>
      </c>
      <c r="N1057" s="130" t="str" cm="1">
        <f t="array" ref="N1057">IFERROR(INDEX(SubcategoriesTable[Subcategory name],MATCH(Table1[[#This Row],[Category]],SubcategoriesTable[Category name],0),0),"")</f>
        <v>Variable</v>
      </c>
      <c r="O1057" s="130">
        <v>1</v>
      </c>
      <c r="P1057" s="130">
        <f>MONTH(Table1[[#This Row],[Date]])</f>
        <v>4</v>
      </c>
      <c r="Q1057" s="130">
        <v>2020</v>
      </c>
      <c r="R1057" s="166">
        <f>IF(ISBLANK(Table1[[#This Row],[Date]]),"",Table1[[#This Row],[Date]]-WEEKDAY(Table1[[#This Row],[Date]],2)+1)</f>
        <v>43920</v>
      </c>
      <c r="S1057" s="131">
        <f>IF(ISBLANK(Table1[[#This Row],[Date]]),"",DATE(Table1[[#This Row],[Date_Year]],Table1[[#This Row],[Date_Month]],1))</f>
        <v>43922</v>
      </c>
    </row>
    <row r="1058" spans="2:19" ht="15.75" x14ac:dyDescent="0.25">
      <c r="B1058" s="133">
        <v>43920</v>
      </c>
      <c r="C1058" s="128" t="s">
        <v>1198</v>
      </c>
      <c r="D1058" s="128" t="s">
        <v>58</v>
      </c>
      <c r="E1058" s="128" t="str" cm="1">
        <f t="array" ref="E1058">IFERROR(INDEX(SubcategoriesTable[Subcategory name],MATCH(Table1[[#This Row],[Category]],SubcategoriesTable[Category name],0),0),"")</f>
        <v>Fixed</v>
      </c>
      <c r="F1058" s="134">
        <v>-200</v>
      </c>
      <c r="G1058" s="167" t="str">
        <f>_xlfn.XLOOKUP(Table1[[#This Row],[Account_ID]], Accounts[ID], Accounts[Account nickname], "Unknown")</f>
        <v>EVERYDAY CHECKING</v>
      </c>
      <c r="H1058" s="137" t="str">
        <f>_xlfn.XLOOKUP(Table1[[#This Row],[Account_ID]], Accounts[ID], Accounts[Account'#], "Unknown")</f>
        <v>4636</v>
      </c>
      <c r="I1058" s="168" t="str">
        <f>_xlfn.XLOOKUP(Table1[[#This Row],[Institution_ID]], Institutions[ID], Institutions[Institution nickname], "Unknown")</f>
        <v>Wells Fargo</v>
      </c>
      <c r="J1058" s="139" t="s">
        <v>1761</v>
      </c>
      <c r="K1058" s="129" t="s">
        <v>1229</v>
      </c>
      <c r="L1058" s="129" t="s">
        <v>1228</v>
      </c>
      <c r="M1058" s="130" t="str" cm="1">
        <f t="array" ref="M1058">IFERROR(INDEX(CategoriesTable[Category type],MATCH(Table1[[#This Row],[Category]],CategoriesTable[Category name],0),0),"")</f>
        <v>Expense</v>
      </c>
      <c r="N1058" s="130" t="str" cm="1">
        <f t="array" ref="N1058">IFERROR(INDEX(SubcategoriesTable[Subcategory name],MATCH(Table1[[#This Row],[Category]],SubcategoriesTable[Category name],0),0),"")</f>
        <v>Fixed</v>
      </c>
      <c r="O1058" s="130">
        <v>30</v>
      </c>
      <c r="P1058" s="130">
        <f>MONTH(Table1[[#This Row],[Date]])</f>
        <v>3</v>
      </c>
      <c r="Q1058" s="130">
        <v>2020</v>
      </c>
      <c r="R1058" s="166">
        <f>IF(ISBLANK(Table1[[#This Row],[Date]]),"",Table1[[#This Row],[Date]]-WEEKDAY(Table1[[#This Row],[Date]],2)+1)</f>
        <v>43920</v>
      </c>
      <c r="S1058" s="131">
        <f>IF(ISBLANK(Table1[[#This Row],[Date]]),"",DATE(Table1[[#This Row],[Date_Year]],Table1[[#This Row],[Date_Month]],1))</f>
        <v>43891</v>
      </c>
    </row>
    <row r="1059" spans="2:19" ht="15.75" x14ac:dyDescent="0.25">
      <c r="B1059" s="133">
        <v>43920</v>
      </c>
      <c r="C1059" s="128" t="s">
        <v>508</v>
      </c>
      <c r="D1059" s="128" t="s">
        <v>50</v>
      </c>
      <c r="E1059" s="128" t="str" cm="1">
        <f t="array" ref="E1059">IFERROR(INDEX(SubcategoriesTable[Subcategory name],MATCH(Table1[[#This Row],[Category]],SubcategoriesTable[Category name],0),0),"")</f>
        <v>Variable</v>
      </c>
      <c r="F1059" s="134">
        <v>-60</v>
      </c>
      <c r="G1059" s="167" t="str">
        <f>_xlfn.XLOOKUP(Table1[[#This Row],[Account_ID]], Accounts[ID], Accounts[Account nickname], "Unknown")</f>
        <v>EVERYDAY CHECKING</v>
      </c>
      <c r="H1059" s="137" t="str">
        <f>_xlfn.XLOOKUP(Table1[[#This Row],[Account_ID]], Accounts[ID], Accounts[Account'#], "Unknown")</f>
        <v>4636</v>
      </c>
      <c r="I1059" s="168" t="str">
        <f>_xlfn.XLOOKUP(Table1[[#This Row],[Institution_ID]], Institutions[ID], Institutions[Institution nickname], "Unknown")</f>
        <v>Wells Fargo</v>
      </c>
      <c r="J1059" s="139" t="s">
        <v>1762</v>
      </c>
      <c r="K1059" s="129" t="s">
        <v>1229</v>
      </c>
      <c r="L1059" s="129" t="s">
        <v>1228</v>
      </c>
      <c r="M1059" s="130" t="str" cm="1">
        <f t="array" ref="M1059">IFERROR(INDEX(CategoriesTable[Category type],MATCH(Table1[[#This Row],[Category]],CategoriesTable[Category name],0),0),"")</f>
        <v>Transfer</v>
      </c>
      <c r="N1059" s="130" t="str" cm="1">
        <f t="array" ref="N1059">IFERROR(INDEX(SubcategoriesTable[Subcategory name],MATCH(Table1[[#This Row],[Category]],SubcategoriesTable[Category name],0),0),"")</f>
        <v>Variable</v>
      </c>
      <c r="O1059" s="130">
        <v>30</v>
      </c>
      <c r="P1059" s="130">
        <f>MONTH(Table1[[#This Row],[Date]])</f>
        <v>3</v>
      </c>
      <c r="Q1059" s="130">
        <v>2020</v>
      </c>
      <c r="R1059" s="166">
        <f>IF(ISBLANK(Table1[[#This Row],[Date]]),"",Table1[[#This Row],[Date]]-WEEKDAY(Table1[[#This Row],[Date]],2)+1)</f>
        <v>43920</v>
      </c>
      <c r="S1059" s="131">
        <f>IF(ISBLANK(Table1[[#This Row],[Date]]),"",DATE(Table1[[#This Row],[Date_Year]],Table1[[#This Row],[Date_Month]],1))</f>
        <v>43891</v>
      </c>
    </row>
    <row r="1060" spans="2:19" ht="15.75" x14ac:dyDescent="0.25">
      <c r="B1060" s="133">
        <v>43920</v>
      </c>
      <c r="C1060" s="128" t="s">
        <v>508</v>
      </c>
      <c r="D1060" s="128" t="s">
        <v>50</v>
      </c>
      <c r="E1060" s="128" t="str" cm="1">
        <f t="array" ref="E1060">IFERROR(INDEX(SubcategoriesTable[Subcategory name],MATCH(Table1[[#This Row],[Category]],SubcategoriesTable[Category name],0),0),"")</f>
        <v>Variable</v>
      </c>
      <c r="F1060" s="134">
        <v>-65.17</v>
      </c>
      <c r="G1060" s="167" t="str">
        <f>_xlfn.XLOOKUP(Table1[[#This Row],[Account_ID]], Accounts[ID], Accounts[Account nickname], "Unknown")</f>
        <v>EVERYDAY CHECKING</v>
      </c>
      <c r="H1060" s="137" t="str">
        <f>_xlfn.XLOOKUP(Table1[[#This Row],[Account_ID]], Accounts[ID], Accounts[Account'#], "Unknown")</f>
        <v>4636</v>
      </c>
      <c r="I1060" s="168" t="str">
        <f>_xlfn.XLOOKUP(Table1[[#This Row],[Institution_ID]], Institutions[ID], Institutions[Institution nickname], "Unknown")</f>
        <v>Wells Fargo</v>
      </c>
      <c r="J1060" s="139" t="s">
        <v>1763</v>
      </c>
      <c r="K1060" s="129" t="s">
        <v>1229</v>
      </c>
      <c r="L1060" s="129" t="s">
        <v>1228</v>
      </c>
      <c r="M1060" s="130" t="str" cm="1">
        <f t="array" ref="M1060">IFERROR(INDEX(CategoriesTable[Category type],MATCH(Table1[[#This Row],[Category]],CategoriesTable[Category name],0),0),"")</f>
        <v>Transfer</v>
      </c>
      <c r="N1060" s="130" t="str" cm="1">
        <f t="array" ref="N1060">IFERROR(INDEX(SubcategoriesTable[Subcategory name],MATCH(Table1[[#This Row],[Category]],SubcategoriesTable[Category name],0),0),"")</f>
        <v>Variable</v>
      </c>
      <c r="O1060" s="130">
        <v>30</v>
      </c>
      <c r="P1060" s="130">
        <f>MONTH(Table1[[#This Row],[Date]])</f>
        <v>3</v>
      </c>
      <c r="Q1060" s="130">
        <v>2020</v>
      </c>
      <c r="R1060" s="166">
        <f>IF(ISBLANK(Table1[[#This Row],[Date]]),"",Table1[[#This Row],[Date]]-WEEKDAY(Table1[[#This Row],[Date]],2)+1)</f>
        <v>43920</v>
      </c>
      <c r="S1060" s="131">
        <f>IF(ISBLANK(Table1[[#This Row],[Date]]),"",DATE(Table1[[#This Row],[Date_Year]],Table1[[#This Row],[Date_Month]],1))</f>
        <v>43891</v>
      </c>
    </row>
    <row r="1061" spans="2:19" ht="15.75" x14ac:dyDescent="0.25">
      <c r="B1061" s="133">
        <v>43918</v>
      </c>
      <c r="C1061" s="128" t="s">
        <v>115</v>
      </c>
      <c r="D1061" s="128" t="s">
        <v>48</v>
      </c>
      <c r="E1061" s="128" t="str" cm="1">
        <f t="array" ref="E1061">IFERROR(INDEX(SubcategoriesTable[Subcategory name],MATCH(Table1[[#This Row],[Category]],SubcategoriesTable[Category name],0),0),"")</f>
        <v>Variable</v>
      </c>
      <c r="F1061" s="134">
        <v>-36.36</v>
      </c>
      <c r="G1061" s="167" t="str">
        <f>_xlfn.XLOOKUP(Table1[[#This Row],[Account_ID]], Accounts[ID], Accounts[Account nickname], "Unknown")</f>
        <v>EVERYDAY CHECKING</v>
      </c>
      <c r="H1061" s="137" t="str">
        <f>_xlfn.XLOOKUP(Table1[[#This Row],[Account_ID]], Accounts[ID], Accounts[Account'#], "Unknown")</f>
        <v>4636</v>
      </c>
      <c r="I1061" s="168" t="str">
        <f>_xlfn.XLOOKUP(Table1[[#This Row],[Institution_ID]], Institutions[ID], Institutions[Institution nickname], "Unknown")</f>
        <v>Wells Fargo</v>
      </c>
      <c r="J1061" s="139" t="s">
        <v>1764</v>
      </c>
      <c r="K1061" s="129" t="s">
        <v>1229</v>
      </c>
      <c r="L1061" s="129" t="s">
        <v>1228</v>
      </c>
      <c r="M1061" s="130" t="str" cm="1">
        <f t="array" ref="M1061">IFERROR(INDEX(CategoriesTable[Category type],MATCH(Table1[[#This Row],[Category]],CategoriesTable[Category name],0),0),"")</f>
        <v>Expense</v>
      </c>
      <c r="N1061" s="130" t="str" cm="1">
        <f t="array" ref="N1061">IFERROR(INDEX(SubcategoriesTable[Subcategory name],MATCH(Table1[[#This Row],[Category]],SubcategoriesTable[Category name],0),0),"")</f>
        <v>Variable</v>
      </c>
      <c r="O1061" s="130">
        <v>28</v>
      </c>
      <c r="P1061" s="130">
        <f>MONTH(Table1[[#This Row],[Date]])</f>
        <v>3</v>
      </c>
      <c r="Q1061" s="130">
        <v>2020</v>
      </c>
      <c r="R1061" s="166">
        <f>IF(ISBLANK(Table1[[#This Row],[Date]]),"",Table1[[#This Row],[Date]]-WEEKDAY(Table1[[#This Row],[Date]],2)+1)</f>
        <v>43913</v>
      </c>
      <c r="S1061" s="131">
        <f>IF(ISBLANK(Table1[[#This Row],[Date]]),"",DATE(Table1[[#This Row],[Date_Year]],Table1[[#This Row],[Date_Month]],1))</f>
        <v>43891</v>
      </c>
    </row>
    <row r="1062" spans="2:19" ht="15.75" x14ac:dyDescent="0.25">
      <c r="B1062" s="133">
        <v>43917</v>
      </c>
      <c r="C1062" s="128" t="s">
        <v>1623</v>
      </c>
      <c r="D1062" s="128" t="s">
        <v>56</v>
      </c>
      <c r="E1062" s="128" t="str" cm="1">
        <f t="array" ref="E1062">IFERROR(INDEX(SubcategoriesTable[Subcategory name],MATCH(Table1[[#This Row],[Category]],SubcategoriesTable[Category name],0),0),"")</f>
        <v>Variable</v>
      </c>
      <c r="F1062" s="134">
        <v>-35</v>
      </c>
      <c r="G1062" s="167" t="str">
        <f>_xlfn.XLOOKUP(Table1[[#This Row],[Account_ID]], Accounts[ID], Accounts[Account nickname], "Unknown")</f>
        <v>EVERYDAY CHECKING</v>
      </c>
      <c r="H1062" s="137" t="str">
        <f>_xlfn.XLOOKUP(Table1[[#This Row],[Account_ID]], Accounts[ID], Accounts[Account'#], "Unknown")</f>
        <v>4636</v>
      </c>
      <c r="I1062" s="168" t="str">
        <f>_xlfn.XLOOKUP(Table1[[#This Row],[Institution_ID]], Institutions[ID], Institutions[Institution nickname], "Unknown")</f>
        <v>Wells Fargo</v>
      </c>
      <c r="J1062" s="139" t="s">
        <v>1765</v>
      </c>
      <c r="K1062" s="129" t="s">
        <v>1229</v>
      </c>
      <c r="L1062" s="129" t="s">
        <v>1228</v>
      </c>
      <c r="M1062" s="130" t="str" cm="1">
        <f t="array" ref="M1062">IFERROR(INDEX(CategoriesTable[Category type],MATCH(Table1[[#This Row],[Category]],CategoriesTable[Category name],0),0),"")</f>
        <v>Expense</v>
      </c>
      <c r="N1062" s="130" t="str" cm="1">
        <f t="array" ref="N1062">IFERROR(INDEX(SubcategoriesTable[Subcategory name],MATCH(Table1[[#This Row],[Category]],SubcategoriesTable[Category name],0),0),"")</f>
        <v>Variable</v>
      </c>
      <c r="O1062" s="130">
        <v>27</v>
      </c>
      <c r="P1062" s="130">
        <f>MONTH(Table1[[#This Row],[Date]])</f>
        <v>3</v>
      </c>
      <c r="Q1062" s="130">
        <v>2020</v>
      </c>
      <c r="R1062" s="166">
        <f>IF(ISBLANK(Table1[[#This Row],[Date]]),"",Table1[[#This Row],[Date]]-WEEKDAY(Table1[[#This Row],[Date]],2)+1)</f>
        <v>43913</v>
      </c>
      <c r="S1062" s="131">
        <f>IF(ISBLANK(Table1[[#This Row],[Date]]),"",DATE(Table1[[#This Row],[Date_Year]],Table1[[#This Row],[Date_Month]],1))</f>
        <v>43891</v>
      </c>
    </row>
    <row r="1063" spans="2:19" ht="15.75" x14ac:dyDescent="0.25">
      <c r="B1063" s="133">
        <v>43917</v>
      </c>
      <c r="C1063" s="128" t="s">
        <v>1720</v>
      </c>
      <c r="D1063" s="128" t="s">
        <v>56</v>
      </c>
      <c r="E1063" s="128" t="str" cm="1">
        <f t="array" ref="E1063">IFERROR(INDEX(SubcategoriesTable[Subcategory name],MATCH(Table1[[#This Row],[Category]],SubcategoriesTable[Category name],0),0),"")</f>
        <v>Variable</v>
      </c>
      <c r="F1063" s="134">
        <v>-456.25</v>
      </c>
      <c r="G1063" s="167" t="str">
        <f>_xlfn.XLOOKUP(Table1[[#This Row],[Account_ID]], Accounts[ID], Accounts[Account nickname], "Unknown")</f>
        <v>EVERYDAY CHECKING</v>
      </c>
      <c r="H1063" s="137" t="str">
        <f>_xlfn.XLOOKUP(Table1[[#This Row],[Account_ID]], Accounts[ID], Accounts[Account'#], "Unknown")</f>
        <v>4636</v>
      </c>
      <c r="I1063" s="168" t="str">
        <f>_xlfn.XLOOKUP(Table1[[#This Row],[Institution_ID]], Institutions[ID], Institutions[Institution nickname], "Unknown")</f>
        <v>Wells Fargo</v>
      </c>
      <c r="J1063" s="139" t="s">
        <v>1766</v>
      </c>
      <c r="K1063" s="129" t="s">
        <v>1229</v>
      </c>
      <c r="L1063" s="129" t="s">
        <v>1228</v>
      </c>
      <c r="M1063" s="130" t="str" cm="1">
        <f t="array" ref="M1063">IFERROR(INDEX(CategoriesTable[Category type],MATCH(Table1[[#This Row],[Category]],CategoriesTable[Category name],0),0),"")</f>
        <v>Expense</v>
      </c>
      <c r="N1063" s="130" t="str" cm="1">
        <f t="array" ref="N1063">IFERROR(INDEX(SubcategoriesTable[Subcategory name],MATCH(Table1[[#This Row],[Category]],SubcategoriesTable[Category name],0),0),"")</f>
        <v>Variable</v>
      </c>
      <c r="O1063" s="130">
        <v>27</v>
      </c>
      <c r="P1063" s="130">
        <f>MONTH(Table1[[#This Row],[Date]])</f>
        <v>3</v>
      </c>
      <c r="Q1063" s="130">
        <v>2020</v>
      </c>
      <c r="R1063" s="166">
        <f>IF(ISBLANK(Table1[[#This Row],[Date]]),"",Table1[[#This Row],[Date]]-WEEKDAY(Table1[[#This Row],[Date]],2)+1)</f>
        <v>43913</v>
      </c>
      <c r="S1063" s="131">
        <f>IF(ISBLANK(Table1[[#This Row],[Date]]),"",DATE(Table1[[#This Row],[Date_Year]],Table1[[#This Row],[Date_Month]],1))</f>
        <v>43891</v>
      </c>
    </row>
    <row r="1064" spans="2:19" ht="15.75" x14ac:dyDescent="0.25">
      <c r="B1064" s="133">
        <v>43917</v>
      </c>
      <c r="C1064" s="128" t="s">
        <v>1767</v>
      </c>
      <c r="D1064" s="128" t="s">
        <v>45</v>
      </c>
      <c r="E1064" s="128" t="str" cm="1">
        <f t="array" ref="E1064">IFERROR(INDEX(SubcategoriesTable[Subcategory name],MATCH(Table1[[#This Row],[Category]],SubcategoriesTable[Category name],0),0),"")</f>
        <v>Variable</v>
      </c>
      <c r="F1064" s="134">
        <v>-39.5</v>
      </c>
      <c r="G1064" s="167" t="str">
        <f>_xlfn.XLOOKUP(Table1[[#This Row],[Account_ID]], Accounts[ID], Accounts[Account nickname], "Unknown")</f>
        <v>EVERYDAY CHECKING</v>
      </c>
      <c r="H1064" s="137" t="str">
        <f>_xlfn.XLOOKUP(Table1[[#This Row],[Account_ID]], Accounts[ID], Accounts[Account'#], "Unknown")</f>
        <v>4636</v>
      </c>
      <c r="I1064" s="168" t="str">
        <f>_xlfn.XLOOKUP(Table1[[#This Row],[Institution_ID]], Institutions[ID], Institutions[Institution nickname], "Unknown")</f>
        <v>Wells Fargo</v>
      </c>
      <c r="J1064" s="139" t="s">
        <v>1768</v>
      </c>
      <c r="K1064" s="129" t="s">
        <v>1229</v>
      </c>
      <c r="L1064" s="129" t="s">
        <v>1228</v>
      </c>
      <c r="M1064" s="130" t="str" cm="1">
        <f t="array" ref="M1064">IFERROR(INDEX(CategoriesTable[Category type],MATCH(Table1[[#This Row],[Category]],CategoriesTable[Category name],0),0),"")</f>
        <v>Expense</v>
      </c>
      <c r="N1064" s="130" t="str" cm="1">
        <f t="array" ref="N1064">IFERROR(INDEX(SubcategoriesTable[Subcategory name],MATCH(Table1[[#This Row],[Category]],SubcategoriesTable[Category name],0),0),"")</f>
        <v>Variable</v>
      </c>
      <c r="O1064" s="130">
        <v>27</v>
      </c>
      <c r="P1064" s="130">
        <f>MONTH(Table1[[#This Row],[Date]])</f>
        <v>3</v>
      </c>
      <c r="Q1064" s="130">
        <v>2020</v>
      </c>
      <c r="R1064" s="166">
        <f>IF(ISBLANK(Table1[[#This Row],[Date]]),"",Table1[[#This Row],[Date]]-WEEKDAY(Table1[[#This Row],[Date]],2)+1)</f>
        <v>43913</v>
      </c>
      <c r="S1064" s="131">
        <f>IF(ISBLANK(Table1[[#This Row],[Date]]),"",DATE(Table1[[#This Row],[Date_Year]],Table1[[#This Row],[Date_Month]],1))</f>
        <v>43891</v>
      </c>
    </row>
    <row r="1065" spans="2:19" ht="15.75" x14ac:dyDescent="0.25">
      <c r="B1065" s="133">
        <v>43917</v>
      </c>
      <c r="C1065" s="128" t="s">
        <v>1769</v>
      </c>
      <c r="D1065" s="128" t="s">
        <v>56</v>
      </c>
      <c r="E1065" s="128" t="str" cm="1">
        <f t="array" ref="E1065">IFERROR(INDEX(SubcategoriesTable[Subcategory name],MATCH(Table1[[#This Row],[Category]],SubcategoriesTable[Category name],0),0),"")</f>
        <v>Variable</v>
      </c>
      <c r="F1065" s="134">
        <v>-450.41</v>
      </c>
      <c r="G1065" s="167" t="str">
        <f>_xlfn.XLOOKUP(Table1[[#This Row],[Account_ID]], Accounts[ID], Accounts[Account nickname], "Unknown")</f>
        <v>EVERYDAY CHECKING</v>
      </c>
      <c r="H1065" s="137" t="str">
        <f>_xlfn.XLOOKUP(Table1[[#This Row],[Account_ID]], Accounts[ID], Accounts[Account'#], "Unknown")</f>
        <v>4636</v>
      </c>
      <c r="I1065" s="168" t="str">
        <f>_xlfn.XLOOKUP(Table1[[#This Row],[Institution_ID]], Institutions[ID], Institutions[Institution nickname], "Unknown")</f>
        <v>Wells Fargo</v>
      </c>
      <c r="J1065" s="139" t="s">
        <v>1770</v>
      </c>
      <c r="K1065" s="129" t="s">
        <v>1229</v>
      </c>
      <c r="L1065" s="129" t="s">
        <v>1228</v>
      </c>
      <c r="M1065" s="130" t="str" cm="1">
        <f t="array" ref="M1065">IFERROR(INDEX(CategoriesTable[Category type],MATCH(Table1[[#This Row],[Category]],CategoriesTable[Category name],0),0),"")</f>
        <v>Expense</v>
      </c>
      <c r="N1065" s="130" t="str" cm="1">
        <f t="array" ref="N1065">IFERROR(INDEX(SubcategoriesTable[Subcategory name],MATCH(Table1[[#This Row],[Category]],SubcategoriesTable[Category name],0),0),"")</f>
        <v>Variable</v>
      </c>
      <c r="O1065" s="130">
        <v>27</v>
      </c>
      <c r="P1065" s="130">
        <f>MONTH(Table1[[#This Row],[Date]])</f>
        <v>3</v>
      </c>
      <c r="Q1065" s="130">
        <v>2020</v>
      </c>
      <c r="R1065" s="166">
        <f>IF(ISBLANK(Table1[[#This Row],[Date]]),"",Table1[[#This Row],[Date]]-WEEKDAY(Table1[[#This Row],[Date]],2)+1)</f>
        <v>43913</v>
      </c>
      <c r="S1065" s="131">
        <f>IF(ISBLANK(Table1[[#This Row],[Date]]),"",DATE(Table1[[#This Row],[Date_Year]],Table1[[#This Row],[Date_Month]],1))</f>
        <v>43891</v>
      </c>
    </row>
    <row r="1066" spans="2:19" ht="15.75" x14ac:dyDescent="0.25">
      <c r="B1066" s="133">
        <v>43917</v>
      </c>
      <c r="C1066" s="128" t="s">
        <v>1181</v>
      </c>
      <c r="D1066" s="128" t="s">
        <v>59</v>
      </c>
      <c r="E1066" s="128" t="str" cm="1">
        <f t="array" ref="E1066">IFERROR(INDEX(SubcategoriesTable[Subcategory name],MATCH(Table1[[#This Row],[Category]],SubcategoriesTable[Category name],0),0),"")</f>
        <v>Fixed</v>
      </c>
      <c r="F1066" s="134">
        <v>1503.9</v>
      </c>
      <c r="G1066" s="167" t="str">
        <f>_xlfn.XLOOKUP(Table1[[#This Row],[Account_ID]], Accounts[ID], Accounts[Account nickname], "Unknown")</f>
        <v>EVERYDAY CHECKING</v>
      </c>
      <c r="H1066" s="137" t="str">
        <f>_xlfn.XLOOKUP(Table1[[#This Row],[Account_ID]], Accounts[ID], Accounts[Account'#], "Unknown")</f>
        <v>4636</v>
      </c>
      <c r="I1066" s="168" t="str">
        <f>_xlfn.XLOOKUP(Table1[[#This Row],[Institution_ID]], Institutions[ID], Institutions[Institution nickname], "Unknown")</f>
        <v>Wells Fargo</v>
      </c>
      <c r="J1066" s="139" t="s">
        <v>1771</v>
      </c>
      <c r="K1066" s="129" t="s">
        <v>1229</v>
      </c>
      <c r="L1066" s="129" t="s">
        <v>1228</v>
      </c>
      <c r="M1066" s="130" t="str" cm="1">
        <f t="array" ref="M1066">IFERROR(INDEX(CategoriesTable[Category type],MATCH(Table1[[#This Row],[Category]],CategoriesTable[Category name],0),0),"")</f>
        <v>Income</v>
      </c>
      <c r="N1066" s="130" t="str" cm="1">
        <f t="array" ref="N1066">IFERROR(INDEX(SubcategoriesTable[Subcategory name],MATCH(Table1[[#This Row],[Category]],SubcategoriesTable[Category name],0),0),"")</f>
        <v>Fixed</v>
      </c>
      <c r="O1066" s="130">
        <v>27</v>
      </c>
      <c r="P1066" s="130">
        <f>MONTH(Table1[[#This Row],[Date]])</f>
        <v>3</v>
      </c>
      <c r="Q1066" s="130">
        <v>2020</v>
      </c>
      <c r="R1066" s="166">
        <f>IF(ISBLANK(Table1[[#This Row],[Date]]),"",Table1[[#This Row],[Date]]-WEEKDAY(Table1[[#This Row],[Date]],2)+1)</f>
        <v>43913</v>
      </c>
      <c r="S1066" s="131">
        <f>IF(ISBLANK(Table1[[#This Row],[Date]]),"",DATE(Table1[[#This Row],[Date_Year]],Table1[[#This Row],[Date_Month]],1))</f>
        <v>43891</v>
      </c>
    </row>
    <row r="1067" spans="2:19" ht="15.75" x14ac:dyDescent="0.25">
      <c r="B1067" s="133">
        <v>43917</v>
      </c>
      <c r="C1067" s="128" t="s">
        <v>971</v>
      </c>
      <c r="D1067" s="128" t="s">
        <v>48</v>
      </c>
      <c r="E1067" s="128" t="str" cm="1">
        <f t="array" ref="E1067">IFERROR(INDEX(SubcategoriesTable[Subcategory name],MATCH(Table1[[#This Row],[Category]],SubcategoriesTable[Category name],0),0),"")</f>
        <v>Variable</v>
      </c>
      <c r="F1067" s="134">
        <v>-18.47</v>
      </c>
      <c r="G1067" s="167" t="str">
        <f>_xlfn.XLOOKUP(Table1[[#This Row],[Account_ID]], Accounts[ID], Accounts[Account nickname], "Unknown")</f>
        <v>EVERYDAY CHECKING</v>
      </c>
      <c r="H1067" s="137" t="str">
        <f>_xlfn.XLOOKUP(Table1[[#This Row],[Account_ID]], Accounts[ID], Accounts[Account'#], "Unknown")</f>
        <v>4636</v>
      </c>
      <c r="I1067" s="168" t="str">
        <f>_xlfn.XLOOKUP(Table1[[#This Row],[Institution_ID]], Institutions[ID], Institutions[Institution nickname], "Unknown")</f>
        <v>Wells Fargo</v>
      </c>
      <c r="J1067" s="139" t="s">
        <v>1772</v>
      </c>
      <c r="K1067" s="129" t="s">
        <v>1229</v>
      </c>
      <c r="L1067" s="129" t="s">
        <v>1228</v>
      </c>
      <c r="M1067" s="130" t="str" cm="1">
        <f t="array" ref="M1067">IFERROR(INDEX(CategoriesTable[Category type],MATCH(Table1[[#This Row],[Category]],CategoriesTable[Category name],0),0),"")</f>
        <v>Expense</v>
      </c>
      <c r="N1067" s="130" t="str" cm="1">
        <f t="array" ref="N1067">IFERROR(INDEX(SubcategoriesTable[Subcategory name],MATCH(Table1[[#This Row],[Category]],SubcategoriesTable[Category name],0),0),"")</f>
        <v>Variable</v>
      </c>
      <c r="O1067" s="130">
        <v>27</v>
      </c>
      <c r="P1067" s="130">
        <f>MONTH(Table1[[#This Row],[Date]])</f>
        <v>3</v>
      </c>
      <c r="Q1067" s="130">
        <v>2020</v>
      </c>
      <c r="R1067" s="166">
        <f>IF(ISBLANK(Table1[[#This Row],[Date]]),"",Table1[[#This Row],[Date]]-WEEKDAY(Table1[[#This Row],[Date]],2)+1)</f>
        <v>43913</v>
      </c>
      <c r="S1067" s="131">
        <f>IF(ISBLANK(Table1[[#This Row],[Date]]),"",DATE(Table1[[#This Row],[Date_Year]],Table1[[#This Row],[Date_Month]],1))</f>
        <v>43891</v>
      </c>
    </row>
    <row r="1068" spans="2:19" ht="15.75" x14ac:dyDescent="0.25">
      <c r="B1068" s="133">
        <v>43917</v>
      </c>
      <c r="C1068" s="128" t="s">
        <v>508</v>
      </c>
      <c r="D1068" s="128" t="s">
        <v>50</v>
      </c>
      <c r="E1068" s="128" t="str" cm="1">
        <f t="array" ref="E1068">IFERROR(INDEX(SubcategoriesTable[Subcategory name],MATCH(Table1[[#This Row],[Category]],SubcategoriesTable[Category name],0),0),"")</f>
        <v>Variable</v>
      </c>
      <c r="F1068" s="134">
        <v>-94.39</v>
      </c>
      <c r="G1068" s="167" t="str">
        <f>_xlfn.XLOOKUP(Table1[[#This Row],[Account_ID]], Accounts[ID], Accounts[Account nickname], "Unknown")</f>
        <v>EVERYDAY CHECKING</v>
      </c>
      <c r="H1068" s="137" t="str">
        <f>_xlfn.XLOOKUP(Table1[[#This Row],[Account_ID]], Accounts[ID], Accounts[Account'#], "Unknown")</f>
        <v>4636</v>
      </c>
      <c r="I1068" s="168" t="str">
        <f>_xlfn.XLOOKUP(Table1[[#This Row],[Institution_ID]], Institutions[ID], Institutions[Institution nickname], "Unknown")</f>
        <v>Wells Fargo</v>
      </c>
      <c r="J1068" s="171" t="s">
        <v>1773</v>
      </c>
      <c r="K1068" s="129" t="s">
        <v>1229</v>
      </c>
      <c r="L1068" s="129" t="s">
        <v>1228</v>
      </c>
      <c r="M1068" s="130" t="str" cm="1">
        <f t="array" ref="M1068">IFERROR(INDEX(CategoriesTable[Category type],MATCH(Table1[[#This Row],[Category]],CategoriesTable[Category name],0),0),"")</f>
        <v>Transfer</v>
      </c>
      <c r="N1068" s="130" t="str" cm="1">
        <f t="array" ref="N1068">IFERROR(INDEX(SubcategoriesTable[Subcategory name],MATCH(Table1[[#This Row],[Category]],SubcategoriesTable[Category name],0),0),"")</f>
        <v>Variable</v>
      </c>
      <c r="O1068" s="130">
        <v>27</v>
      </c>
      <c r="P1068" s="130">
        <f>MONTH(Table1[[#This Row],[Date]])</f>
        <v>3</v>
      </c>
      <c r="Q1068" s="130">
        <v>2020</v>
      </c>
      <c r="R1068" s="166">
        <f>IF(ISBLANK(Table1[[#This Row],[Date]]),"",Table1[[#This Row],[Date]]-WEEKDAY(Table1[[#This Row],[Date]],2)+1)</f>
        <v>43913</v>
      </c>
      <c r="S1068" s="131">
        <f>IF(ISBLANK(Table1[[#This Row],[Date]]),"",DATE(Table1[[#This Row],[Date_Year]],Table1[[#This Row],[Date_Month]],1))</f>
        <v>43891</v>
      </c>
    </row>
    <row r="1069" spans="2:19" ht="15.75" x14ac:dyDescent="0.25">
      <c r="B1069" s="133">
        <v>43916</v>
      </c>
      <c r="C1069" s="128" t="s">
        <v>973</v>
      </c>
      <c r="D1069" s="128" t="s">
        <v>45</v>
      </c>
      <c r="E1069" s="128" t="str" cm="1">
        <f t="array" ref="E1069">IFERROR(INDEX(SubcategoriesTable[Subcategory name],MATCH(Table1[[#This Row],[Category]],SubcategoriesTable[Category name],0),0),"")</f>
        <v>Variable</v>
      </c>
      <c r="F1069" s="134">
        <v>-57.89</v>
      </c>
      <c r="G1069" s="167" t="str">
        <f>_xlfn.XLOOKUP(Table1[[#This Row],[Account_ID]], Accounts[ID], Accounts[Account nickname], "Unknown")</f>
        <v>Discover it chrome Card</v>
      </c>
      <c r="H1069" s="137" t="str">
        <f>_xlfn.XLOOKUP(Table1[[#This Row],[Account_ID]], Accounts[ID], Accounts[Account'#], "Unknown")</f>
        <v>7328</v>
      </c>
      <c r="I1069" s="168" t="str">
        <f>_xlfn.XLOOKUP(Table1[[#This Row],[Institution_ID]], Institutions[ID], Institutions[Institution nickname], "Unknown")</f>
        <v>Discover</v>
      </c>
      <c r="J1069" s="139" t="s">
        <v>974</v>
      </c>
      <c r="K1069" s="129" t="s">
        <v>110</v>
      </c>
      <c r="L1069" s="129" t="s">
        <v>108</v>
      </c>
      <c r="M1069" s="130" t="str" cm="1">
        <f t="array" ref="M1069">IFERROR(INDEX(CategoriesTable[Category type],MATCH(Table1[[#This Row],[Category]],CategoriesTable[Category name],0),0),"")</f>
        <v>Expense</v>
      </c>
      <c r="N1069" s="130" t="str" cm="1">
        <f t="array" ref="N1069">IFERROR(INDEX(SubcategoriesTable[Subcategory name],MATCH(Table1[[#This Row],[Category]],SubcategoriesTable[Category name],0),0),"")</f>
        <v>Variable</v>
      </c>
      <c r="O1069" s="130">
        <v>26</v>
      </c>
      <c r="P1069" s="130">
        <f>MONTH(Table1[[#This Row],[Date]])</f>
        <v>3</v>
      </c>
      <c r="Q1069" s="130">
        <v>2020</v>
      </c>
      <c r="R1069" s="166">
        <f>IF(ISBLANK(Table1[[#This Row],[Date]]),"",Table1[[#This Row],[Date]]-WEEKDAY(Table1[[#This Row],[Date]],2)+1)</f>
        <v>43913</v>
      </c>
      <c r="S1069" s="131">
        <f>IF(ISBLANK(Table1[[#This Row],[Date]]),"",DATE(Table1[[#This Row],[Date_Year]],Table1[[#This Row],[Date_Month]],1))</f>
        <v>43891</v>
      </c>
    </row>
    <row r="1070" spans="2:19" ht="15.75" x14ac:dyDescent="0.25">
      <c r="B1070" s="133">
        <v>43916</v>
      </c>
      <c r="C1070" s="128" t="s">
        <v>971</v>
      </c>
      <c r="D1070" s="128" t="s">
        <v>48</v>
      </c>
      <c r="E1070" s="128" t="str" cm="1">
        <f t="array" ref="E1070">IFERROR(INDEX(SubcategoriesTable[Subcategory name],MATCH(Table1[[#This Row],[Category]],SubcategoriesTable[Category name],0),0),"")</f>
        <v>Variable</v>
      </c>
      <c r="F1070" s="134">
        <v>-19.43</v>
      </c>
      <c r="G1070" s="167" t="str">
        <f>_xlfn.XLOOKUP(Table1[[#This Row],[Account_ID]], Accounts[ID], Accounts[Account nickname], "Unknown")</f>
        <v>Discover it chrome Card</v>
      </c>
      <c r="H1070" s="137" t="str">
        <f>_xlfn.XLOOKUP(Table1[[#This Row],[Account_ID]], Accounts[ID], Accounts[Account'#], "Unknown")</f>
        <v>7328</v>
      </c>
      <c r="I1070" s="168" t="str">
        <f>_xlfn.XLOOKUP(Table1[[#This Row],[Institution_ID]], Institutions[ID], Institutions[Institution nickname], "Unknown")</f>
        <v>Discover</v>
      </c>
      <c r="J1070" s="139" t="s">
        <v>975</v>
      </c>
      <c r="K1070" s="129" t="s">
        <v>110</v>
      </c>
      <c r="L1070" s="129" t="s">
        <v>108</v>
      </c>
      <c r="M1070" s="130" t="str" cm="1">
        <f t="array" ref="M1070">IFERROR(INDEX(CategoriesTable[Category type],MATCH(Table1[[#This Row],[Category]],CategoriesTable[Category name],0),0),"")</f>
        <v>Expense</v>
      </c>
      <c r="N1070" s="130" t="str" cm="1">
        <f t="array" ref="N1070">IFERROR(INDEX(SubcategoriesTable[Subcategory name],MATCH(Table1[[#This Row],[Category]],SubcategoriesTable[Category name],0),0),"")</f>
        <v>Variable</v>
      </c>
      <c r="O1070" s="130">
        <v>26</v>
      </c>
      <c r="P1070" s="130">
        <f>MONTH(Table1[[#This Row],[Date]])</f>
        <v>3</v>
      </c>
      <c r="Q1070" s="130">
        <v>2020</v>
      </c>
      <c r="R1070" s="166">
        <f>IF(ISBLANK(Table1[[#This Row],[Date]]),"",Table1[[#This Row],[Date]]-WEEKDAY(Table1[[#This Row],[Date]],2)+1)</f>
        <v>43913</v>
      </c>
      <c r="S1070" s="131">
        <f>IF(ISBLANK(Table1[[#This Row],[Date]]),"",DATE(Table1[[#This Row],[Date_Year]],Table1[[#This Row],[Date_Month]],1))</f>
        <v>43891</v>
      </c>
    </row>
    <row r="1071" spans="2:19" ht="15.75" x14ac:dyDescent="0.25">
      <c r="B1071" s="133">
        <v>43915</v>
      </c>
      <c r="C1071" s="128" t="s">
        <v>152</v>
      </c>
      <c r="D1071" s="128" t="s">
        <v>54</v>
      </c>
      <c r="E1071" s="128" t="str" cm="1">
        <f t="array" ref="E1071">IFERROR(INDEX(SubcategoriesTable[Subcategory name],MATCH(Table1[[#This Row],[Category]],SubcategoriesTable[Category name],0),0),"")</f>
        <v>Fixed</v>
      </c>
      <c r="F1071" s="134">
        <v>-15.99</v>
      </c>
      <c r="G1071" s="167" t="str">
        <f>_xlfn.XLOOKUP(Table1[[#This Row],[Account_ID]], Accounts[ID], Accounts[Account nickname], "Unknown")</f>
        <v>EVERYDAY CHECKING</v>
      </c>
      <c r="H1071" s="137" t="str">
        <f>_xlfn.XLOOKUP(Table1[[#This Row],[Account_ID]], Accounts[ID], Accounts[Account'#], "Unknown")</f>
        <v>4636</v>
      </c>
      <c r="I1071" s="168" t="str">
        <f>_xlfn.XLOOKUP(Table1[[#This Row],[Institution_ID]], Institutions[ID], Institutions[Institution nickname], "Unknown")</f>
        <v>Wells Fargo</v>
      </c>
      <c r="J1071" s="139" t="s">
        <v>1774</v>
      </c>
      <c r="K1071" s="129" t="s">
        <v>1229</v>
      </c>
      <c r="L1071" s="129" t="s">
        <v>1228</v>
      </c>
      <c r="M1071" s="130" t="str" cm="1">
        <f t="array" ref="M1071">IFERROR(INDEX(CategoriesTable[Category type],MATCH(Table1[[#This Row],[Category]],CategoriesTable[Category name],0),0),"")</f>
        <v>Expense</v>
      </c>
      <c r="N1071" s="130" t="str" cm="1">
        <f t="array" ref="N1071">IFERROR(INDEX(SubcategoriesTable[Subcategory name],MATCH(Table1[[#This Row],[Category]],SubcategoriesTable[Category name],0),0),"")</f>
        <v>Fixed</v>
      </c>
      <c r="O1071" s="130">
        <v>25</v>
      </c>
      <c r="P1071" s="130">
        <f>MONTH(Table1[[#This Row],[Date]])</f>
        <v>3</v>
      </c>
      <c r="Q1071" s="130">
        <v>2020</v>
      </c>
      <c r="R1071" s="166">
        <f>IF(ISBLANK(Table1[[#This Row],[Date]]),"",Table1[[#This Row],[Date]]-WEEKDAY(Table1[[#This Row],[Date]],2)+1)</f>
        <v>43913</v>
      </c>
      <c r="S1071" s="131">
        <f>IF(ISBLANK(Table1[[#This Row],[Date]]),"",DATE(Table1[[#This Row],[Date_Year]],Table1[[#This Row],[Date_Month]],1))</f>
        <v>43891</v>
      </c>
    </row>
    <row r="1072" spans="2:19" ht="15.75" x14ac:dyDescent="0.25">
      <c r="B1072" s="133">
        <v>43915</v>
      </c>
      <c r="C1072" s="128" t="s">
        <v>971</v>
      </c>
      <c r="D1072" s="128" t="s">
        <v>48</v>
      </c>
      <c r="E1072" s="128" t="str" cm="1">
        <f t="array" ref="E1072">IFERROR(INDEX(SubcategoriesTable[Subcategory name],MATCH(Table1[[#This Row],[Category]],SubcategoriesTable[Category name],0),0),"")</f>
        <v>Variable</v>
      </c>
      <c r="F1072" s="134">
        <v>-8.49</v>
      </c>
      <c r="G1072" s="167" t="str">
        <f>_xlfn.XLOOKUP(Table1[[#This Row],[Account_ID]], Accounts[ID], Accounts[Account nickname], "Unknown")</f>
        <v>Discover it chrome Card</v>
      </c>
      <c r="H1072" s="137" t="str">
        <f>_xlfn.XLOOKUP(Table1[[#This Row],[Account_ID]], Accounts[ID], Accounts[Account'#], "Unknown")</f>
        <v>7328</v>
      </c>
      <c r="I1072" s="168" t="str">
        <f>_xlfn.XLOOKUP(Table1[[#This Row],[Institution_ID]], Institutions[ID], Institutions[Institution nickname], "Unknown")</f>
        <v>Discover</v>
      </c>
      <c r="J1072" s="139" t="s">
        <v>976</v>
      </c>
      <c r="K1072" s="129" t="s">
        <v>110</v>
      </c>
      <c r="L1072" s="129" t="s">
        <v>108</v>
      </c>
      <c r="M1072" s="130" t="str" cm="1">
        <f t="array" ref="M1072">IFERROR(INDEX(CategoriesTable[Category type],MATCH(Table1[[#This Row],[Category]],CategoriesTable[Category name],0),0),"")</f>
        <v>Expense</v>
      </c>
      <c r="N1072" s="130" t="str" cm="1">
        <f t="array" ref="N1072">IFERROR(INDEX(SubcategoriesTable[Subcategory name],MATCH(Table1[[#This Row],[Category]],SubcategoriesTable[Category name],0),0),"")</f>
        <v>Variable</v>
      </c>
      <c r="O1072" s="130">
        <v>25</v>
      </c>
      <c r="P1072" s="130">
        <f>MONTH(Table1[[#This Row],[Date]])</f>
        <v>3</v>
      </c>
      <c r="Q1072" s="130">
        <v>2020</v>
      </c>
      <c r="R1072" s="166">
        <f>IF(ISBLANK(Table1[[#This Row],[Date]]),"",Table1[[#This Row],[Date]]-WEEKDAY(Table1[[#This Row],[Date]],2)+1)</f>
        <v>43913</v>
      </c>
      <c r="S1072" s="131">
        <f>IF(ISBLANK(Table1[[#This Row],[Date]]),"",DATE(Table1[[#This Row],[Date_Year]],Table1[[#This Row],[Date_Month]],1))</f>
        <v>43891</v>
      </c>
    </row>
    <row r="1073" spans="2:19" ht="15.75" x14ac:dyDescent="0.25">
      <c r="B1073" s="133">
        <v>43912</v>
      </c>
      <c r="C1073" s="128" t="s">
        <v>1775</v>
      </c>
      <c r="D1073" s="128" t="s">
        <v>45</v>
      </c>
      <c r="E1073" s="128" t="str" cm="1">
        <f t="array" ref="E1073">IFERROR(INDEX(SubcategoriesTable[Subcategory name],MATCH(Table1[[#This Row],[Category]],SubcategoriesTable[Category name],0),0),"")</f>
        <v>Variable</v>
      </c>
      <c r="F1073" s="134">
        <v>-15</v>
      </c>
      <c r="G1073" s="167" t="str">
        <f>_xlfn.XLOOKUP(Table1[[#This Row],[Account_ID]], Accounts[ID], Accounts[Account nickname], "Unknown")</f>
        <v>EVERYDAY CHECKING</v>
      </c>
      <c r="H1073" s="137" t="str">
        <f>_xlfn.XLOOKUP(Table1[[#This Row],[Account_ID]], Accounts[ID], Accounts[Account'#], "Unknown")</f>
        <v>4636</v>
      </c>
      <c r="I1073" s="168" t="str">
        <f>_xlfn.XLOOKUP(Table1[[#This Row],[Institution_ID]], Institutions[ID], Institutions[Institution nickname], "Unknown")</f>
        <v>Wells Fargo</v>
      </c>
      <c r="J1073" s="139" t="s">
        <v>1776</v>
      </c>
      <c r="K1073" s="129" t="s">
        <v>1229</v>
      </c>
      <c r="L1073" s="129" t="s">
        <v>1228</v>
      </c>
      <c r="M1073" s="130" t="str" cm="1">
        <f t="array" ref="M1073">IFERROR(INDEX(CategoriesTable[Category type],MATCH(Table1[[#This Row],[Category]],CategoriesTable[Category name],0),0),"")</f>
        <v>Expense</v>
      </c>
      <c r="N1073" s="130" t="str" cm="1">
        <f t="array" ref="N1073">IFERROR(INDEX(SubcategoriesTable[Subcategory name],MATCH(Table1[[#This Row],[Category]],SubcategoriesTable[Category name],0),0),"")</f>
        <v>Variable</v>
      </c>
      <c r="O1073" s="130">
        <v>22</v>
      </c>
      <c r="P1073" s="130">
        <f>MONTH(Table1[[#This Row],[Date]])</f>
        <v>3</v>
      </c>
      <c r="Q1073" s="130">
        <v>2020</v>
      </c>
      <c r="R1073" s="166">
        <f>IF(ISBLANK(Table1[[#This Row],[Date]]),"",Table1[[#This Row],[Date]]-WEEKDAY(Table1[[#This Row],[Date]],2)+1)</f>
        <v>43906</v>
      </c>
      <c r="S1073" s="131">
        <f>IF(ISBLANK(Table1[[#This Row],[Date]]),"",DATE(Table1[[#This Row],[Date_Year]],Table1[[#This Row],[Date_Month]],1))</f>
        <v>43891</v>
      </c>
    </row>
    <row r="1074" spans="2:19" ht="15.75" x14ac:dyDescent="0.25">
      <c r="B1074" s="133">
        <v>43912</v>
      </c>
      <c r="C1074" s="128" t="s">
        <v>148</v>
      </c>
      <c r="D1074" s="128" t="s">
        <v>54</v>
      </c>
      <c r="E1074" s="128" t="str" cm="1">
        <f t="array" ref="E1074">IFERROR(INDEX(SubcategoriesTable[Subcategory name],MATCH(Table1[[#This Row],[Category]],SubcategoriesTable[Category name],0),0),"")</f>
        <v>Fixed</v>
      </c>
      <c r="F1074" s="134">
        <v>-9.99</v>
      </c>
      <c r="G1074" s="167" t="str">
        <f>_xlfn.XLOOKUP(Table1[[#This Row],[Account_ID]], Accounts[ID], Accounts[Account nickname], "Unknown")</f>
        <v>EVERYDAY CHECKING</v>
      </c>
      <c r="H1074" s="137" t="str">
        <f>_xlfn.XLOOKUP(Table1[[#This Row],[Account_ID]], Accounts[ID], Accounts[Account'#], "Unknown")</f>
        <v>4636</v>
      </c>
      <c r="I1074" s="168" t="str">
        <f>_xlfn.XLOOKUP(Table1[[#This Row],[Institution_ID]], Institutions[ID], Institutions[Institution nickname], "Unknown")</f>
        <v>Wells Fargo</v>
      </c>
      <c r="J1074" s="139" t="s">
        <v>1777</v>
      </c>
      <c r="K1074" s="129" t="s">
        <v>1229</v>
      </c>
      <c r="L1074" s="129" t="s">
        <v>1228</v>
      </c>
      <c r="M1074" s="130" t="str" cm="1">
        <f t="array" ref="M1074">IFERROR(INDEX(CategoriesTable[Category type],MATCH(Table1[[#This Row],[Category]],CategoriesTable[Category name],0),0),"")</f>
        <v>Expense</v>
      </c>
      <c r="N1074" s="130" t="str" cm="1">
        <f t="array" ref="N1074">IFERROR(INDEX(SubcategoriesTable[Subcategory name],MATCH(Table1[[#This Row],[Category]],SubcategoriesTable[Category name],0),0),"")</f>
        <v>Fixed</v>
      </c>
      <c r="O1074" s="130">
        <v>22</v>
      </c>
      <c r="P1074" s="130">
        <f>MONTH(Table1[[#This Row],[Date]])</f>
        <v>3</v>
      </c>
      <c r="Q1074" s="130">
        <v>2020</v>
      </c>
      <c r="R1074" s="166">
        <f>IF(ISBLANK(Table1[[#This Row],[Date]]),"",Table1[[#This Row],[Date]]-WEEKDAY(Table1[[#This Row],[Date]],2)+1)</f>
        <v>43906</v>
      </c>
      <c r="S1074" s="131">
        <f>IF(ISBLANK(Table1[[#This Row],[Date]]),"",DATE(Table1[[#This Row],[Date_Year]],Table1[[#This Row],[Date_Month]],1))</f>
        <v>43891</v>
      </c>
    </row>
    <row r="1075" spans="2:19" ht="15.75" x14ac:dyDescent="0.25">
      <c r="B1075" s="133">
        <v>43911</v>
      </c>
      <c r="C1075" s="128" t="s">
        <v>146</v>
      </c>
      <c r="D1075" s="128" t="s">
        <v>54</v>
      </c>
      <c r="E1075" s="128" t="str" cm="1">
        <f t="array" ref="E1075">IFERROR(INDEX(SubcategoriesTable[Subcategory name],MATCH(Table1[[#This Row],[Category]],SubcategoriesTable[Category name],0),0),"")</f>
        <v>Fixed</v>
      </c>
      <c r="F1075" s="134">
        <v>-22.68</v>
      </c>
      <c r="G1075" s="167" t="str">
        <f>_xlfn.XLOOKUP(Table1[[#This Row],[Account_ID]], Accounts[ID], Accounts[Account nickname], "Unknown")</f>
        <v>EVERYDAY CHECKING</v>
      </c>
      <c r="H1075" s="137" t="str">
        <f>_xlfn.XLOOKUP(Table1[[#This Row],[Account_ID]], Accounts[ID], Accounts[Account'#], "Unknown")</f>
        <v>4636</v>
      </c>
      <c r="I1075" s="168" t="str">
        <f>_xlfn.XLOOKUP(Table1[[#This Row],[Institution_ID]], Institutions[ID], Institutions[Institution nickname], "Unknown")</f>
        <v>Wells Fargo</v>
      </c>
      <c r="J1075" s="139" t="s">
        <v>1778</v>
      </c>
      <c r="K1075" s="129" t="s">
        <v>1229</v>
      </c>
      <c r="L1075" s="129" t="s">
        <v>1228</v>
      </c>
      <c r="M1075" s="130" t="str" cm="1">
        <f t="array" ref="M1075">IFERROR(INDEX(CategoriesTable[Category type],MATCH(Table1[[#This Row],[Category]],CategoriesTable[Category name],0),0),"")</f>
        <v>Expense</v>
      </c>
      <c r="N1075" s="130" t="str" cm="1">
        <f t="array" ref="N1075">IFERROR(INDEX(SubcategoriesTable[Subcategory name],MATCH(Table1[[#This Row],[Category]],SubcategoriesTable[Category name],0),0),"")</f>
        <v>Fixed</v>
      </c>
      <c r="O1075" s="130">
        <v>21</v>
      </c>
      <c r="P1075" s="130">
        <f>MONTH(Table1[[#This Row],[Date]])</f>
        <v>3</v>
      </c>
      <c r="Q1075" s="130">
        <v>2020</v>
      </c>
      <c r="R1075" s="166">
        <f>IF(ISBLANK(Table1[[#This Row],[Date]]),"",Table1[[#This Row],[Date]]-WEEKDAY(Table1[[#This Row],[Date]],2)+1)</f>
        <v>43906</v>
      </c>
      <c r="S1075" s="131">
        <f>IF(ISBLANK(Table1[[#This Row],[Date]]),"",DATE(Table1[[#This Row],[Date_Year]],Table1[[#This Row],[Date_Month]],1))</f>
        <v>43891</v>
      </c>
    </row>
    <row r="1076" spans="2:19" ht="15.75" x14ac:dyDescent="0.25">
      <c r="B1076" s="133">
        <v>43911</v>
      </c>
      <c r="C1076" s="128" t="s">
        <v>127</v>
      </c>
      <c r="D1076" s="128" t="s">
        <v>46</v>
      </c>
      <c r="E1076" s="128" t="str" cm="1">
        <f t="array" ref="E1076">IFERROR(INDEX(SubcategoriesTable[Subcategory name],MATCH(Table1[[#This Row],[Category]],SubcategoriesTable[Category name],0),0),"")</f>
        <v>Variable</v>
      </c>
      <c r="F1076" s="134">
        <v>-14.99</v>
      </c>
      <c r="G1076" s="167" t="str">
        <f>_xlfn.XLOOKUP(Table1[[#This Row],[Account_ID]], Accounts[ID], Accounts[Account nickname], "Unknown")</f>
        <v>EVERYDAY CHECKING</v>
      </c>
      <c r="H1076" s="137" t="str">
        <f>_xlfn.XLOOKUP(Table1[[#This Row],[Account_ID]], Accounts[ID], Accounts[Account'#], "Unknown")</f>
        <v>4636</v>
      </c>
      <c r="I1076" s="168" t="str">
        <f>_xlfn.XLOOKUP(Table1[[#This Row],[Institution_ID]], Institutions[ID], Institutions[Institution nickname], "Unknown")</f>
        <v>Wells Fargo</v>
      </c>
      <c r="J1076" s="139" t="s">
        <v>1779</v>
      </c>
      <c r="K1076" s="129" t="s">
        <v>1229</v>
      </c>
      <c r="L1076" s="129" t="s">
        <v>1228</v>
      </c>
      <c r="M1076" s="130" t="str" cm="1">
        <f t="array" ref="M1076">IFERROR(INDEX(CategoriesTable[Category type],MATCH(Table1[[#This Row],[Category]],CategoriesTable[Category name],0),0),"")</f>
        <v>Expense</v>
      </c>
      <c r="N1076" s="130" t="str" cm="1">
        <f t="array" ref="N1076">IFERROR(INDEX(SubcategoriesTable[Subcategory name],MATCH(Table1[[#This Row],[Category]],SubcategoriesTable[Category name],0),0),"")</f>
        <v>Variable</v>
      </c>
      <c r="O1076" s="130">
        <v>21</v>
      </c>
      <c r="P1076" s="130">
        <f>MONTH(Table1[[#This Row],[Date]])</f>
        <v>3</v>
      </c>
      <c r="Q1076" s="130">
        <v>2020</v>
      </c>
      <c r="R1076" s="166">
        <f>IF(ISBLANK(Table1[[#This Row],[Date]]),"",Table1[[#This Row],[Date]]-WEEKDAY(Table1[[#This Row],[Date]],2)+1)</f>
        <v>43906</v>
      </c>
      <c r="S1076" s="131">
        <f>IF(ISBLANK(Table1[[#This Row],[Date]]),"",DATE(Table1[[#This Row],[Date_Year]],Table1[[#This Row],[Date_Month]],1))</f>
        <v>43891</v>
      </c>
    </row>
    <row r="1077" spans="2:19" ht="15.75" x14ac:dyDescent="0.25">
      <c r="B1077" s="133">
        <v>43911</v>
      </c>
      <c r="C1077" s="128" t="s">
        <v>201</v>
      </c>
      <c r="D1077" s="128" t="s">
        <v>48</v>
      </c>
      <c r="E1077" s="128" t="str" cm="1">
        <f t="array" ref="E1077">IFERROR(INDEX(SubcategoriesTable[Subcategory name],MATCH(Table1[[#This Row],[Category]],SubcategoriesTable[Category name],0),0),"")</f>
        <v>Variable</v>
      </c>
      <c r="F1077" s="134">
        <v>-40.479999999999997</v>
      </c>
      <c r="G1077" s="167" t="str">
        <f>_xlfn.XLOOKUP(Table1[[#This Row],[Account_ID]], Accounts[ID], Accounts[Account nickname], "Unknown")</f>
        <v>EVERYDAY CHECKING</v>
      </c>
      <c r="H1077" s="137" t="str">
        <f>_xlfn.XLOOKUP(Table1[[#This Row],[Account_ID]], Accounts[ID], Accounts[Account'#], "Unknown")</f>
        <v>4636</v>
      </c>
      <c r="I1077" s="168" t="str">
        <f>_xlfn.XLOOKUP(Table1[[#This Row],[Institution_ID]], Institutions[ID], Institutions[Institution nickname], "Unknown")</f>
        <v>Wells Fargo</v>
      </c>
      <c r="J1077" s="139" t="s">
        <v>1780</v>
      </c>
      <c r="K1077" s="129" t="s">
        <v>1229</v>
      </c>
      <c r="L1077" s="129" t="s">
        <v>1228</v>
      </c>
      <c r="M1077" s="130" t="str" cm="1">
        <f t="array" ref="M1077">IFERROR(INDEX(CategoriesTable[Category type],MATCH(Table1[[#This Row],[Category]],CategoriesTable[Category name],0),0),"")</f>
        <v>Expense</v>
      </c>
      <c r="N1077" s="130" t="str" cm="1">
        <f t="array" ref="N1077">IFERROR(INDEX(SubcategoriesTable[Subcategory name],MATCH(Table1[[#This Row],[Category]],SubcategoriesTable[Category name],0),0),"")</f>
        <v>Variable</v>
      </c>
      <c r="O1077" s="130">
        <v>21</v>
      </c>
      <c r="P1077" s="130">
        <f>MONTH(Table1[[#This Row],[Date]])</f>
        <v>3</v>
      </c>
      <c r="Q1077" s="130">
        <v>2020</v>
      </c>
      <c r="R1077" s="166">
        <f>IF(ISBLANK(Table1[[#This Row],[Date]]),"",Table1[[#This Row],[Date]]-WEEKDAY(Table1[[#This Row],[Date]],2)+1)</f>
        <v>43906</v>
      </c>
      <c r="S1077" s="131">
        <f>IF(ISBLANK(Table1[[#This Row],[Date]]),"",DATE(Table1[[#This Row],[Date_Year]],Table1[[#This Row],[Date_Month]],1))</f>
        <v>43891</v>
      </c>
    </row>
    <row r="1078" spans="2:19" ht="15.75" x14ac:dyDescent="0.25">
      <c r="B1078" s="133">
        <v>43908</v>
      </c>
      <c r="C1078" s="128" t="s">
        <v>1675</v>
      </c>
      <c r="D1078" s="128" t="s">
        <v>46</v>
      </c>
      <c r="E1078" s="128" t="str" cm="1">
        <f t="array" ref="E1078">IFERROR(INDEX(SubcategoriesTable[Subcategory name],MATCH(Table1[[#This Row],[Category]],SubcategoriesTable[Category name],0),0),"")</f>
        <v>Variable</v>
      </c>
      <c r="F1078" s="134">
        <v>-5</v>
      </c>
      <c r="G1078" s="167" t="str">
        <f>_xlfn.XLOOKUP(Table1[[#This Row],[Account_ID]], Accounts[ID], Accounts[Account nickname], "Unknown")</f>
        <v>EVERYDAY CHECKING</v>
      </c>
      <c r="H1078" s="137" t="str">
        <f>_xlfn.XLOOKUP(Table1[[#This Row],[Account_ID]], Accounts[ID], Accounts[Account'#], "Unknown")</f>
        <v>4636</v>
      </c>
      <c r="I1078" s="168" t="str">
        <f>_xlfn.XLOOKUP(Table1[[#This Row],[Institution_ID]], Institutions[ID], Institutions[Institution nickname], "Unknown")</f>
        <v>Wells Fargo</v>
      </c>
      <c r="J1078" s="139" t="s">
        <v>1781</v>
      </c>
      <c r="K1078" s="129" t="s">
        <v>1229</v>
      </c>
      <c r="L1078" s="129" t="s">
        <v>1228</v>
      </c>
      <c r="M1078" s="130" t="str" cm="1">
        <f t="array" ref="M1078">IFERROR(INDEX(CategoriesTable[Category type],MATCH(Table1[[#This Row],[Category]],CategoriesTable[Category name],0),0),"")</f>
        <v>Expense</v>
      </c>
      <c r="N1078" s="130" t="str" cm="1">
        <f t="array" ref="N1078">IFERROR(INDEX(SubcategoriesTable[Subcategory name],MATCH(Table1[[#This Row],[Category]],SubcategoriesTable[Category name],0),0),"")</f>
        <v>Variable</v>
      </c>
      <c r="O1078" s="130">
        <v>18</v>
      </c>
      <c r="P1078" s="130">
        <f>MONTH(Table1[[#This Row],[Date]])</f>
        <v>3</v>
      </c>
      <c r="Q1078" s="130">
        <v>2020</v>
      </c>
      <c r="R1078" s="166">
        <f>IF(ISBLANK(Table1[[#This Row],[Date]]),"",Table1[[#This Row],[Date]]-WEEKDAY(Table1[[#This Row],[Date]],2)+1)</f>
        <v>43906</v>
      </c>
      <c r="S1078" s="131">
        <f>IF(ISBLANK(Table1[[#This Row],[Date]]),"",DATE(Table1[[#This Row],[Date_Year]],Table1[[#This Row],[Date_Month]],1))</f>
        <v>43891</v>
      </c>
    </row>
    <row r="1079" spans="2:19" ht="15.75" x14ac:dyDescent="0.25">
      <c r="B1079" s="133">
        <v>43908</v>
      </c>
      <c r="C1079" s="128" t="s">
        <v>971</v>
      </c>
      <c r="D1079" s="128" t="s">
        <v>48</v>
      </c>
      <c r="E1079" s="128" t="str" cm="1">
        <f t="array" ref="E1079">IFERROR(INDEX(SubcategoriesTable[Subcategory name],MATCH(Table1[[#This Row],[Category]],SubcategoriesTable[Category name],0),0),"")</f>
        <v>Variable</v>
      </c>
      <c r="F1079" s="134">
        <v>-86.14</v>
      </c>
      <c r="G1079" s="167" t="str">
        <f>_xlfn.XLOOKUP(Table1[[#This Row],[Account_ID]], Accounts[ID], Accounts[Account nickname], "Unknown")</f>
        <v>EVERYDAY CHECKING</v>
      </c>
      <c r="H1079" s="137" t="str">
        <f>_xlfn.XLOOKUP(Table1[[#This Row],[Account_ID]], Accounts[ID], Accounts[Account'#], "Unknown")</f>
        <v>4636</v>
      </c>
      <c r="I1079" s="168" t="str">
        <f>_xlfn.XLOOKUP(Table1[[#This Row],[Institution_ID]], Institutions[ID], Institutions[Institution nickname], "Unknown")</f>
        <v>Wells Fargo</v>
      </c>
      <c r="J1079" s="139" t="s">
        <v>1782</v>
      </c>
      <c r="K1079" s="129" t="s">
        <v>1229</v>
      </c>
      <c r="L1079" s="129" t="s">
        <v>1228</v>
      </c>
      <c r="M1079" s="130" t="str" cm="1">
        <f t="array" ref="M1079">IFERROR(INDEX(CategoriesTable[Category type],MATCH(Table1[[#This Row],[Category]],CategoriesTable[Category name],0),0),"")</f>
        <v>Expense</v>
      </c>
      <c r="N1079" s="130" t="str" cm="1">
        <f t="array" ref="N1079">IFERROR(INDEX(SubcategoriesTable[Subcategory name],MATCH(Table1[[#This Row],[Category]],SubcategoriesTable[Category name],0),0),"")</f>
        <v>Variable</v>
      </c>
      <c r="O1079" s="130">
        <v>18</v>
      </c>
      <c r="P1079" s="130">
        <f>MONTH(Table1[[#This Row],[Date]])</f>
        <v>3</v>
      </c>
      <c r="Q1079" s="130">
        <v>2020</v>
      </c>
      <c r="R1079" s="166">
        <f>IF(ISBLANK(Table1[[#This Row],[Date]]),"",Table1[[#This Row],[Date]]-WEEKDAY(Table1[[#This Row],[Date]],2)+1)</f>
        <v>43906</v>
      </c>
      <c r="S1079" s="131">
        <f>IF(ISBLANK(Table1[[#This Row],[Date]]),"",DATE(Table1[[#This Row],[Date_Year]],Table1[[#This Row],[Date_Month]],1))</f>
        <v>43891</v>
      </c>
    </row>
    <row r="1080" spans="2:19" ht="15.75" x14ac:dyDescent="0.25">
      <c r="B1080" s="133">
        <v>43906</v>
      </c>
      <c r="C1080" s="128" t="s">
        <v>971</v>
      </c>
      <c r="D1080" s="128" t="s">
        <v>48</v>
      </c>
      <c r="E1080" s="128" t="str" cm="1">
        <f t="array" ref="E1080">IFERROR(INDEX(SubcategoriesTable[Subcategory name],MATCH(Table1[[#This Row],[Category]],SubcategoriesTable[Category name],0),0),"")</f>
        <v>Variable</v>
      </c>
      <c r="F1080" s="134">
        <v>-66.28</v>
      </c>
      <c r="G1080" s="167" t="str">
        <f>_xlfn.XLOOKUP(Table1[[#This Row],[Account_ID]], Accounts[ID], Accounts[Account nickname], "Unknown")</f>
        <v>EVERYDAY CHECKING</v>
      </c>
      <c r="H1080" s="137" t="str">
        <f>_xlfn.XLOOKUP(Table1[[#This Row],[Account_ID]], Accounts[ID], Accounts[Account'#], "Unknown")</f>
        <v>4636</v>
      </c>
      <c r="I1080" s="168" t="str">
        <f>_xlfn.XLOOKUP(Table1[[#This Row],[Institution_ID]], Institutions[ID], Institutions[Institution nickname], "Unknown")</f>
        <v>Wells Fargo</v>
      </c>
      <c r="J1080" s="139" t="s">
        <v>1783</v>
      </c>
      <c r="K1080" s="129" t="s">
        <v>1229</v>
      </c>
      <c r="L1080" s="129" t="s">
        <v>1228</v>
      </c>
      <c r="M1080" s="130" t="str" cm="1">
        <f t="array" ref="M1080">IFERROR(INDEX(CategoriesTable[Category type],MATCH(Table1[[#This Row],[Category]],CategoriesTable[Category name],0),0),"")</f>
        <v>Expense</v>
      </c>
      <c r="N1080" s="130" t="str" cm="1">
        <f t="array" ref="N1080">IFERROR(INDEX(SubcategoriesTable[Subcategory name],MATCH(Table1[[#This Row],[Category]],SubcategoriesTable[Category name],0),0),"")</f>
        <v>Variable</v>
      </c>
      <c r="O1080" s="130">
        <v>16</v>
      </c>
      <c r="P1080" s="130">
        <f>MONTH(Table1[[#This Row],[Date]])</f>
        <v>3</v>
      </c>
      <c r="Q1080" s="130">
        <v>2020</v>
      </c>
      <c r="R1080" s="166">
        <f>IF(ISBLANK(Table1[[#This Row],[Date]]),"",Table1[[#This Row],[Date]]-WEEKDAY(Table1[[#This Row],[Date]],2)+1)</f>
        <v>43906</v>
      </c>
      <c r="S1080" s="131">
        <f>IF(ISBLANK(Table1[[#This Row],[Date]]),"",DATE(Table1[[#This Row],[Date_Year]],Table1[[#This Row],[Date_Month]],1))</f>
        <v>43891</v>
      </c>
    </row>
    <row r="1081" spans="2:19" ht="15.75" x14ac:dyDescent="0.25">
      <c r="B1081" s="133">
        <v>43906</v>
      </c>
      <c r="C1081" s="128" t="s">
        <v>971</v>
      </c>
      <c r="D1081" s="128" t="s">
        <v>48</v>
      </c>
      <c r="E1081" s="128" t="str" cm="1">
        <f t="array" ref="E1081">IFERROR(INDEX(SubcategoriesTable[Subcategory name],MATCH(Table1[[#This Row],[Category]],SubcategoriesTable[Category name],0),0),"")</f>
        <v>Variable</v>
      </c>
      <c r="F1081" s="134">
        <v>-14.25</v>
      </c>
      <c r="G1081" s="167" t="str">
        <f>_xlfn.XLOOKUP(Table1[[#This Row],[Account_ID]], Accounts[ID], Accounts[Account nickname], "Unknown")</f>
        <v>EVERYDAY CHECKING</v>
      </c>
      <c r="H1081" s="137" t="str">
        <f>_xlfn.XLOOKUP(Table1[[#This Row],[Account_ID]], Accounts[ID], Accounts[Account'#], "Unknown")</f>
        <v>4636</v>
      </c>
      <c r="I1081" s="168" t="str">
        <f>_xlfn.XLOOKUP(Table1[[#This Row],[Institution_ID]], Institutions[ID], Institutions[Institution nickname], "Unknown")</f>
        <v>Wells Fargo</v>
      </c>
      <c r="J1081" s="139" t="s">
        <v>1784</v>
      </c>
      <c r="K1081" s="129" t="s">
        <v>1229</v>
      </c>
      <c r="L1081" s="129" t="s">
        <v>1228</v>
      </c>
      <c r="M1081" s="130" t="str" cm="1">
        <f t="array" ref="M1081">IFERROR(INDEX(CategoriesTable[Category type],MATCH(Table1[[#This Row],[Category]],CategoriesTable[Category name],0),0),"")</f>
        <v>Expense</v>
      </c>
      <c r="N1081" s="130" t="str" cm="1">
        <f t="array" ref="N1081">IFERROR(INDEX(SubcategoriesTable[Subcategory name],MATCH(Table1[[#This Row],[Category]],SubcategoriesTable[Category name],0),0),"")</f>
        <v>Variable</v>
      </c>
      <c r="O1081" s="130">
        <v>16</v>
      </c>
      <c r="P1081" s="130">
        <f>MONTH(Table1[[#This Row],[Date]])</f>
        <v>3</v>
      </c>
      <c r="Q1081" s="130">
        <v>2020</v>
      </c>
      <c r="R1081" s="166">
        <f>IF(ISBLANK(Table1[[#This Row],[Date]]),"",Table1[[#This Row],[Date]]-WEEKDAY(Table1[[#This Row],[Date]],2)+1)</f>
        <v>43906</v>
      </c>
      <c r="S1081" s="131">
        <f>IF(ISBLANK(Table1[[#This Row],[Date]]),"",DATE(Table1[[#This Row],[Date_Year]],Table1[[#This Row],[Date_Month]],1))</f>
        <v>43891</v>
      </c>
    </row>
    <row r="1082" spans="2:19" ht="15.75" x14ac:dyDescent="0.25">
      <c r="B1082" s="133">
        <v>43906</v>
      </c>
      <c r="C1082" s="128" t="s">
        <v>1198</v>
      </c>
      <c r="D1082" s="128" t="s">
        <v>58</v>
      </c>
      <c r="E1082" s="128" t="str" cm="1">
        <f t="array" ref="E1082">IFERROR(INDEX(SubcategoriesTable[Subcategory name],MATCH(Table1[[#This Row],[Category]],SubcategoriesTable[Category name],0),0),"")</f>
        <v>Fixed</v>
      </c>
      <c r="F1082" s="134">
        <v>-150</v>
      </c>
      <c r="G1082" s="167" t="str">
        <f>_xlfn.XLOOKUP(Table1[[#This Row],[Account_ID]], Accounts[ID], Accounts[Account nickname], "Unknown")</f>
        <v>EVERYDAY CHECKING</v>
      </c>
      <c r="H1082" s="137" t="str">
        <f>_xlfn.XLOOKUP(Table1[[#This Row],[Account_ID]], Accounts[ID], Accounts[Account'#], "Unknown")</f>
        <v>4636</v>
      </c>
      <c r="I1082" s="168" t="str">
        <f>_xlfn.XLOOKUP(Table1[[#This Row],[Institution_ID]], Institutions[ID], Institutions[Institution nickname], "Unknown")</f>
        <v>Wells Fargo</v>
      </c>
      <c r="J1082" s="171" t="s">
        <v>1785</v>
      </c>
      <c r="K1082" s="129" t="s">
        <v>1229</v>
      </c>
      <c r="L1082" s="129" t="s">
        <v>1228</v>
      </c>
      <c r="M1082" s="130" t="str" cm="1">
        <f t="array" ref="M1082">IFERROR(INDEX(CategoriesTable[Category type],MATCH(Table1[[#This Row],[Category]],CategoriesTable[Category name],0),0),"")</f>
        <v>Expense</v>
      </c>
      <c r="N1082" s="130" t="str" cm="1">
        <f t="array" ref="N1082">IFERROR(INDEX(SubcategoriesTable[Subcategory name],MATCH(Table1[[#This Row],[Category]],SubcategoriesTable[Category name],0),0),"")</f>
        <v>Fixed</v>
      </c>
      <c r="O1082" s="130">
        <v>16</v>
      </c>
      <c r="P1082" s="130">
        <f>MONTH(Table1[[#This Row],[Date]])</f>
        <v>3</v>
      </c>
      <c r="Q1082" s="130">
        <v>2020</v>
      </c>
      <c r="R1082" s="166">
        <f>IF(ISBLANK(Table1[[#This Row],[Date]]),"",Table1[[#This Row],[Date]]-WEEKDAY(Table1[[#This Row],[Date]],2)+1)</f>
        <v>43906</v>
      </c>
      <c r="S1082" s="131">
        <f>IF(ISBLANK(Table1[[#This Row],[Date]]),"",DATE(Table1[[#This Row],[Date_Year]],Table1[[#This Row],[Date_Month]],1))</f>
        <v>43891</v>
      </c>
    </row>
    <row r="1083" spans="2:19" ht="15.75" x14ac:dyDescent="0.25">
      <c r="B1083" s="133">
        <v>43905</v>
      </c>
      <c r="C1083" s="128" t="s">
        <v>1786</v>
      </c>
      <c r="D1083" s="128" t="s">
        <v>45</v>
      </c>
      <c r="E1083" s="128" t="str" cm="1">
        <f t="array" ref="E1083">IFERROR(INDEX(SubcategoriesTable[Subcategory name],MATCH(Table1[[#This Row],[Category]],SubcategoriesTable[Category name],0),0),"")</f>
        <v>Variable</v>
      </c>
      <c r="F1083" s="134">
        <v>-35</v>
      </c>
      <c r="G1083" s="167" t="str">
        <f>_xlfn.XLOOKUP(Table1[[#This Row],[Account_ID]], Accounts[ID], Accounts[Account nickname], "Unknown")</f>
        <v>EVERYDAY CHECKING</v>
      </c>
      <c r="H1083" s="137" t="str">
        <f>_xlfn.XLOOKUP(Table1[[#This Row],[Account_ID]], Accounts[ID], Accounts[Account'#], "Unknown")</f>
        <v>4636</v>
      </c>
      <c r="I1083" s="168" t="str">
        <f>_xlfn.XLOOKUP(Table1[[#This Row],[Institution_ID]], Institutions[ID], Institutions[Institution nickname], "Unknown")</f>
        <v>Wells Fargo</v>
      </c>
      <c r="J1083" s="139" t="s">
        <v>1787</v>
      </c>
      <c r="K1083" s="129" t="s">
        <v>1229</v>
      </c>
      <c r="L1083" s="129" t="s">
        <v>1228</v>
      </c>
      <c r="M1083" s="130" t="str" cm="1">
        <f t="array" ref="M1083">IFERROR(INDEX(CategoriesTable[Category type],MATCH(Table1[[#This Row],[Category]],CategoriesTable[Category name],0),0),"")</f>
        <v>Expense</v>
      </c>
      <c r="N1083" s="130" t="str" cm="1">
        <f t="array" ref="N1083">IFERROR(INDEX(SubcategoriesTable[Subcategory name],MATCH(Table1[[#This Row],[Category]],SubcategoriesTable[Category name],0),0),"")</f>
        <v>Variable</v>
      </c>
      <c r="O1083" s="130">
        <v>15</v>
      </c>
      <c r="P1083" s="130">
        <f>MONTH(Table1[[#This Row],[Date]])</f>
        <v>3</v>
      </c>
      <c r="Q1083" s="130">
        <v>2020</v>
      </c>
      <c r="R1083" s="166">
        <f>IF(ISBLANK(Table1[[#This Row],[Date]]),"",Table1[[#This Row],[Date]]-WEEKDAY(Table1[[#This Row],[Date]],2)+1)</f>
        <v>43899</v>
      </c>
      <c r="S1083" s="131">
        <f>IF(ISBLANK(Table1[[#This Row],[Date]]),"",DATE(Table1[[#This Row],[Date_Year]],Table1[[#This Row],[Date_Month]],1))</f>
        <v>43891</v>
      </c>
    </row>
    <row r="1084" spans="2:19" ht="15.75" x14ac:dyDescent="0.25">
      <c r="B1084" s="133">
        <v>43905</v>
      </c>
      <c r="C1084" s="128" t="s">
        <v>445</v>
      </c>
      <c r="D1084" s="128" t="s">
        <v>46</v>
      </c>
      <c r="E1084" s="128" t="str" cm="1">
        <f t="array" ref="E1084">IFERROR(INDEX(SubcategoriesTable[Subcategory name],MATCH(Table1[[#This Row],[Category]],SubcategoriesTable[Category name],0),0),"")</f>
        <v>Variable</v>
      </c>
      <c r="F1084" s="134">
        <v>52.96</v>
      </c>
      <c r="G1084" s="167" t="str">
        <f>_xlfn.XLOOKUP(Table1[[#This Row],[Account_ID]], Accounts[ID], Accounts[Account nickname], "Unknown")</f>
        <v>Discover it chrome Card</v>
      </c>
      <c r="H1084" s="137" t="str">
        <f>_xlfn.XLOOKUP(Table1[[#This Row],[Account_ID]], Accounts[ID], Accounts[Account'#], "Unknown")</f>
        <v>7328</v>
      </c>
      <c r="I1084" s="168" t="str">
        <f>_xlfn.XLOOKUP(Table1[[#This Row],[Institution_ID]], Institutions[ID], Institutions[Institution nickname], "Unknown")</f>
        <v>Discover</v>
      </c>
      <c r="J1084" s="139" t="s">
        <v>977</v>
      </c>
      <c r="K1084" s="129" t="s">
        <v>110</v>
      </c>
      <c r="L1084" s="129" t="s">
        <v>108</v>
      </c>
      <c r="M1084" s="130" t="str" cm="1">
        <f t="array" ref="M1084">IFERROR(INDEX(CategoriesTable[Category type],MATCH(Table1[[#This Row],[Category]],CategoriesTable[Category name],0),0),"")</f>
        <v>Expense</v>
      </c>
      <c r="N1084" s="130" t="str" cm="1">
        <f t="array" ref="N1084">IFERROR(INDEX(SubcategoriesTable[Subcategory name],MATCH(Table1[[#This Row],[Category]],SubcategoriesTable[Category name],0),0),"")</f>
        <v>Variable</v>
      </c>
      <c r="O1084" s="130">
        <v>15</v>
      </c>
      <c r="P1084" s="130">
        <f>MONTH(Table1[[#This Row],[Date]])</f>
        <v>3</v>
      </c>
      <c r="Q1084" s="130">
        <v>2020</v>
      </c>
      <c r="R1084" s="166">
        <f>IF(ISBLANK(Table1[[#This Row],[Date]]),"",Table1[[#This Row],[Date]]-WEEKDAY(Table1[[#This Row],[Date]],2)+1)</f>
        <v>43899</v>
      </c>
      <c r="S1084" s="131">
        <f>IF(ISBLANK(Table1[[#This Row],[Date]]),"",DATE(Table1[[#This Row],[Date_Year]],Table1[[#This Row],[Date_Month]],1))</f>
        <v>43891</v>
      </c>
    </row>
    <row r="1085" spans="2:19" ht="15.75" x14ac:dyDescent="0.25">
      <c r="B1085" s="133">
        <v>43904</v>
      </c>
      <c r="C1085" s="128" t="s">
        <v>1788</v>
      </c>
      <c r="D1085" s="128" t="s">
        <v>45</v>
      </c>
      <c r="E1085" s="128" t="str" cm="1">
        <f t="array" ref="E1085">IFERROR(INDEX(SubcategoriesTable[Subcategory name],MATCH(Table1[[#This Row],[Category]],SubcategoriesTable[Category name],0),0),"")</f>
        <v>Variable</v>
      </c>
      <c r="F1085" s="134">
        <v>-70</v>
      </c>
      <c r="G1085" s="167" t="str">
        <f>_xlfn.XLOOKUP(Table1[[#This Row],[Account_ID]], Accounts[ID], Accounts[Account nickname], "Unknown")</f>
        <v>EVERYDAY CHECKING</v>
      </c>
      <c r="H1085" s="137" t="str">
        <f>_xlfn.XLOOKUP(Table1[[#This Row],[Account_ID]], Accounts[ID], Accounts[Account'#], "Unknown")</f>
        <v>4636</v>
      </c>
      <c r="I1085" s="168" t="str">
        <f>_xlfn.XLOOKUP(Table1[[#This Row],[Institution_ID]], Institutions[ID], Institutions[Institution nickname], "Unknown")</f>
        <v>Wells Fargo</v>
      </c>
      <c r="J1085" s="139" t="s">
        <v>1789</v>
      </c>
      <c r="K1085" s="129" t="s">
        <v>1229</v>
      </c>
      <c r="L1085" s="129" t="s">
        <v>1228</v>
      </c>
      <c r="M1085" s="130" t="str" cm="1">
        <f t="array" ref="M1085">IFERROR(INDEX(CategoriesTable[Category type],MATCH(Table1[[#This Row],[Category]],CategoriesTable[Category name],0),0),"")</f>
        <v>Expense</v>
      </c>
      <c r="N1085" s="130" t="str" cm="1">
        <f t="array" ref="N1085">IFERROR(INDEX(SubcategoriesTable[Subcategory name],MATCH(Table1[[#This Row],[Category]],SubcategoriesTable[Category name],0),0),"")</f>
        <v>Variable</v>
      </c>
      <c r="O1085" s="130">
        <v>14</v>
      </c>
      <c r="P1085" s="130">
        <f>MONTH(Table1[[#This Row],[Date]])</f>
        <v>3</v>
      </c>
      <c r="Q1085" s="130">
        <v>2020</v>
      </c>
      <c r="R1085" s="166">
        <f>IF(ISBLANK(Table1[[#This Row],[Date]]),"",Table1[[#This Row],[Date]]-WEEKDAY(Table1[[#This Row],[Date]],2)+1)</f>
        <v>43899</v>
      </c>
      <c r="S1085" s="131">
        <f>IF(ISBLANK(Table1[[#This Row],[Date]]),"",DATE(Table1[[#This Row],[Date_Year]],Table1[[#This Row],[Date_Month]],1))</f>
        <v>43891</v>
      </c>
    </row>
    <row r="1086" spans="2:19" ht="15.75" x14ac:dyDescent="0.25">
      <c r="B1086" s="133">
        <v>43904</v>
      </c>
      <c r="C1086" s="128" t="s">
        <v>730</v>
      </c>
      <c r="D1086" s="128" t="s">
        <v>46</v>
      </c>
      <c r="E1086" s="128" t="str" cm="1">
        <f t="array" ref="E1086">IFERROR(INDEX(SubcategoriesTable[Subcategory name],MATCH(Table1[[#This Row],[Category]],SubcategoriesTable[Category name],0),0),"")</f>
        <v>Variable</v>
      </c>
      <c r="F1086" s="134">
        <v>-14.99</v>
      </c>
      <c r="G1086" s="167" t="str">
        <f>_xlfn.XLOOKUP(Table1[[#This Row],[Account_ID]], Accounts[ID], Accounts[Account nickname], "Unknown")</f>
        <v>EVERYDAY CHECKING</v>
      </c>
      <c r="H1086" s="137" t="str">
        <f>_xlfn.XLOOKUP(Table1[[#This Row],[Account_ID]], Accounts[ID], Accounts[Account'#], "Unknown")</f>
        <v>4636</v>
      </c>
      <c r="I1086" s="168" t="str">
        <f>_xlfn.XLOOKUP(Table1[[#This Row],[Institution_ID]], Institutions[ID], Institutions[Institution nickname], "Unknown")</f>
        <v>Wells Fargo</v>
      </c>
      <c r="J1086" s="139" t="s">
        <v>1790</v>
      </c>
      <c r="K1086" s="129" t="s">
        <v>1229</v>
      </c>
      <c r="L1086" s="129" t="s">
        <v>1228</v>
      </c>
      <c r="M1086" s="130" t="str" cm="1">
        <f t="array" ref="M1086">IFERROR(INDEX(CategoriesTable[Category type],MATCH(Table1[[#This Row],[Category]],CategoriesTable[Category name],0),0),"")</f>
        <v>Expense</v>
      </c>
      <c r="N1086" s="130" t="str" cm="1">
        <f t="array" ref="N1086">IFERROR(INDEX(SubcategoriesTable[Subcategory name],MATCH(Table1[[#This Row],[Category]],SubcategoriesTable[Category name],0),0),"")</f>
        <v>Variable</v>
      </c>
      <c r="O1086" s="130">
        <v>14</v>
      </c>
      <c r="P1086" s="130">
        <f>MONTH(Table1[[#This Row],[Date]])</f>
        <v>3</v>
      </c>
      <c r="Q1086" s="130">
        <v>2020</v>
      </c>
      <c r="R1086" s="166">
        <f>IF(ISBLANK(Table1[[#This Row],[Date]]),"",Table1[[#This Row],[Date]]-WEEKDAY(Table1[[#This Row],[Date]],2)+1)</f>
        <v>43899</v>
      </c>
      <c r="S1086" s="131">
        <f>IF(ISBLANK(Table1[[#This Row],[Date]]),"",DATE(Table1[[#This Row],[Date_Year]],Table1[[#This Row],[Date_Month]],1))</f>
        <v>43891</v>
      </c>
    </row>
    <row r="1087" spans="2:19" ht="15.75" x14ac:dyDescent="0.25">
      <c r="B1087" s="133">
        <v>43903</v>
      </c>
      <c r="C1087" s="128" t="s">
        <v>1791</v>
      </c>
      <c r="D1087" s="128" t="s">
        <v>54</v>
      </c>
      <c r="E1087" s="128" t="str" cm="1">
        <f t="array" ref="E1087">IFERROR(INDEX(SubcategoriesTable[Subcategory name],MATCH(Table1[[#This Row],[Category]],SubcategoriesTable[Category name],0),0),"")</f>
        <v>Fixed</v>
      </c>
      <c r="F1087" s="134">
        <v>-50</v>
      </c>
      <c r="G1087" s="167" t="str">
        <f>_xlfn.XLOOKUP(Table1[[#This Row],[Account_ID]], Accounts[ID], Accounts[Account nickname], "Unknown")</f>
        <v>EVERYDAY CHECKING</v>
      </c>
      <c r="H1087" s="137" t="str">
        <f>_xlfn.XLOOKUP(Table1[[#This Row],[Account_ID]], Accounts[ID], Accounts[Account'#], "Unknown")</f>
        <v>4636</v>
      </c>
      <c r="I1087" s="168" t="str">
        <f>_xlfn.XLOOKUP(Table1[[#This Row],[Institution_ID]], Institutions[ID], Institutions[Institution nickname], "Unknown")</f>
        <v>Wells Fargo</v>
      </c>
      <c r="J1087" s="139" t="s">
        <v>1792</v>
      </c>
      <c r="K1087" s="129" t="s">
        <v>1229</v>
      </c>
      <c r="L1087" s="129" t="s">
        <v>1228</v>
      </c>
      <c r="M1087" s="130" t="str" cm="1">
        <f t="array" ref="M1087">IFERROR(INDEX(CategoriesTable[Category type],MATCH(Table1[[#This Row],[Category]],CategoriesTable[Category name],0),0),"")</f>
        <v>Expense</v>
      </c>
      <c r="N1087" s="130" t="str" cm="1">
        <f t="array" ref="N1087">IFERROR(INDEX(SubcategoriesTable[Subcategory name],MATCH(Table1[[#This Row],[Category]],SubcategoriesTable[Category name],0),0),"")</f>
        <v>Fixed</v>
      </c>
      <c r="O1087" s="130">
        <v>13</v>
      </c>
      <c r="P1087" s="130">
        <f>MONTH(Table1[[#This Row],[Date]])</f>
        <v>3</v>
      </c>
      <c r="Q1087" s="130">
        <v>2020</v>
      </c>
      <c r="R1087" s="166">
        <f>IF(ISBLANK(Table1[[#This Row],[Date]]),"",Table1[[#This Row],[Date]]-WEEKDAY(Table1[[#This Row],[Date]],2)+1)</f>
        <v>43899</v>
      </c>
      <c r="S1087" s="131">
        <f>IF(ISBLANK(Table1[[#This Row],[Date]]),"",DATE(Table1[[#This Row],[Date_Year]],Table1[[#This Row],[Date_Month]],1))</f>
        <v>43891</v>
      </c>
    </row>
    <row r="1088" spans="2:19" ht="15.75" x14ac:dyDescent="0.25">
      <c r="B1088" s="133">
        <v>43903</v>
      </c>
      <c r="C1088" s="128" t="s">
        <v>1181</v>
      </c>
      <c r="D1088" s="128" t="s">
        <v>59</v>
      </c>
      <c r="E1088" s="128" t="str" cm="1">
        <f t="array" ref="E1088">IFERROR(INDEX(SubcategoriesTable[Subcategory name],MATCH(Table1[[#This Row],[Category]],SubcategoriesTable[Category name],0),0),"")</f>
        <v>Fixed</v>
      </c>
      <c r="F1088" s="134">
        <v>1488.18</v>
      </c>
      <c r="G1088" s="167" t="str">
        <f>_xlfn.XLOOKUP(Table1[[#This Row],[Account_ID]], Accounts[ID], Accounts[Account nickname], "Unknown")</f>
        <v>EVERYDAY CHECKING</v>
      </c>
      <c r="H1088" s="137" t="str">
        <f>_xlfn.XLOOKUP(Table1[[#This Row],[Account_ID]], Accounts[ID], Accounts[Account'#], "Unknown")</f>
        <v>4636</v>
      </c>
      <c r="I1088" s="168" t="str">
        <f>_xlfn.XLOOKUP(Table1[[#This Row],[Institution_ID]], Institutions[ID], Institutions[Institution nickname], "Unknown")</f>
        <v>Wells Fargo</v>
      </c>
      <c r="J1088" s="139" t="s">
        <v>1793</v>
      </c>
      <c r="K1088" s="129" t="s">
        <v>1229</v>
      </c>
      <c r="L1088" s="129" t="s">
        <v>1228</v>
      </c>
      <c r="M1088" s="130" t="str" cm="1">
        <f t="array" ref="M1088">IFERROR(INDEX(CategoriesTable[Category type],MATCH(Table1[[#This Row],[Category]],CategoriesTable[Category name],0),0),"")</f>
        <v>Income</v>
      </c>
      <c r="N1088" s="130" t="str" cm="1">
        <f t="array" ref="N1088">IFERROR(INDEX(SubcategoriesTable[Subcategory name],MATCH(Table1[[#This Row],[Category]],SubcategoriesTable[Category name],0),0),"")</f>
        <v>Fixed</v>
      </c>
      <c r="O1088" s="130">
        <v>13</v>
      </c>
      <c r="P1088" s="130">
        <f>MONTH(Table1[[#This Row],[Date]])</f>
        <v>3</v>
      </c>
      <c r="Q1088" s="130">
        <v>2020</v>
      </c>
      <c r="R1088" s="166">
        <f>IF(ISBLANK(Table1[[#This Row],[Date]]),"",Table1[[#This Row],[Date]]-WEEKDAY(Table1[[#This Row],[Date]],2)+1)</f>
        <v>43899</v>
      </c>
      <c r="S1088" s="131">
        <f>IF(ISBLANK(Table1[[#This Row],[Date]]),"",DATE(Table1[[#This Row],[Date_Year]],Table1[[#This Row],[Date_Month]],1))</f>
        <v>43891</v>
      </c>
    </row>
    <row r="1089" spans="2:19" ht="15.75" x14ac:dyDescent="0.25">
      <c r="B1089" s="133">
        <v>43903</v>
      </c>
      <c r="C1089" s="128" t="s">
        <v>508</v>
      </c>
      <c r="D1089" s="128" t="s">
        <v>78</v>
      </c>
      <c r="E1089" s="128" t="str" cm="1">
        <f t="array" ref="E1089">IFERROR(INDEX(SubcategoriesTable[Subcategory name],MATCH(Table1[[#This Row],[Category]],SubcategoriesTable[Category name],0),0),"")</f>
        <v>Fixed</v>
      </c>
      <c r="F1089" s="134">
        <v>-816</v>
      </c>
      <c r="G1089" s="167" t="str">
        <f>_xlfn.XLOOKUP(Table1[[#This Row],[Account_ID]], Accounts[ID], Accounts[Account nickname], "Unknown")</f>
        <v>EVERYDAY CHECKING</v>
      </c>
      <c r="H1089" s="137" t="str">
        <f>_xlfn.XLOOKUP(Table1[[#This Row],[Account_ID]], Accounts[ID], Accounts[Account'#], "Unknown")</f>
        <v>4636</v>
      </c>
      <c r="I1089" s="168" t="str">
        <f>_xlfn.XLOOKUP(Table1[[#This Row],[Institution_ID]], Institutions[ID], Institutions[Institution nickname], "Unknown")</f>
        <v>Wells Fargo</v>
      </c>
      <c r="J1089" s="139" t="s">
        <v>1794</v>
      </c>
      <c r="K1089" s="129" t="s">
        <v>1229</v>
      </c>
      <c r="L1089" s="129" t="s">
        <v>1228</v>
      </c>
      <c r="M1089" s="130" t="str" cm="1">
        <f t="array" ref="M1089">IFERROR(INDEX(CategoriesTable[Category type],MATCH(Table1[[#This Row],[Category]],CategoriesTable[Category name],0),0),"")</f>
        <v>Expense</v>
      </c>
      <c r="N1089" s="130" t="str" cm="1">
        <f t="array" ref="N1089">IFERROR(INDEX(SubcategoriesTable[Subcategory name],MATCH(Table1[[#This Row],[Category]],SubcategoriesTable[Category name],0),0),"")</f>
        <v>Fixed</v>
      </c>
      <c r="O1089" s="130">
        <v>13</v>
      </c>
      <c r="P1089" s="130">
        <f>MONTH(Table1[[#This Row],[Date]])</f>
        <v>3</v>
      </c>
      <c r="Q1089" s="130">
        <v>2020</v>
      </c>
      <c r="R1089" s="166">
        <f>IF(ISBLANK(Table1[[#This Row],[Date]]),"",Table1[[#This Row],[Date]]-WEEKDAY(Table1[[#This Row],[Date]],2)+1)</f>
        <v>43899</v>
      </c>
      <c r="S1089" s="131">
        <f>IF(ISBLANK(Table1[[#This Row],[Date]]),"",DATE(Table1[[#This Row],[Date_Year]],Table1[[#This Row],[Date_Month]],1))</f>
        <v>43891</v>
      </c>
    </row>
    <row r="1090" spans="2:19" ht="15.75" x14ac:dyDescent="0.25">
      <c r="B1090" s="133">
        <v>43903</v>
      </c>
      <c r="C1090" s="128" t="s">
        <v>978</v>
      </c>
      <c r="D1090" s="128" t="s">
        <v>45</v>
      </c>
      <c r="E1090" s="128" t="str" cm="1">
        <f t="array" ref="E1090">IFERROR(INDEX(SubcategoriesTable[Subcategory name],MATCH(Table1[[#This Row],[Category]],SubcategoriesTable[Category name],0),0),"")</f>
        <v>Variable</v>
      </c>
      <c r="F1090" s="134">
        <v>-5</v>
      </c>
      <c r="G1090" s="167" t="str">
        <f>_xlfn.XLOOKUP(Table1[[#This Row],[Account_ID]], Accounts[ID], Accounts[Account nickname], "Unknown")</f>
        <v>Discover it chrome Card</v>
      </c>
      <c r="H1090" s="137" t="str">
        <f>_xlfn.XLOOKUP(Table1[[#This Row],[Account_ID]], Accounts[ID], Accounts[Account'#], "Unknown")</f>
        <v>7328</v>
      </c>
      <c r="I1090" s="168" t="str">
        <f>_xlfn.XLOOKUP(Table1[[#This Row],[Institution_ID]], Institutions[ID], Institutions[Institution nickname], "Unknown")</f>
        <v>Discover</v>
      </c>
      <c r="J1090" s="139" t="s">
        <v>979</v>
      </c>
      <c r="K1090" s="129" t="s">
        <v>110</v>
      </c>
      <c r="L1090" s="129" t="s">
        <v>108</v>
      </c>
      <c r="M1090" s="130" t="str" cm="1">
        <f t="array" ref="M1090">IFERROR(INDEX(CategoriesTable[Category type],MATCH(Table1[[#This Row],[Category]],CategoriesTable[Category name],0),0),"")</f>
        <v>Expense</v>
      </c>
      <c r="N1090" s="130" t="str" cm="1">
        <f t="array" ref="N1090">IFERROR(INDEX(SubcategoriesTable[Subcategory name],MATCH(Table1[[#This Row],[Category]],SubcategoriesTable[Category name],0),0),"")</f>
        <v>Variable</v>
      </c>
      <c r="O1090" s="130">
        <v>13</v>
      </c>
      <c r="P1090" s="130">
        <f>MONTH(Table1[[#This Row],[Date]])</f>
        <v>3</v>
      </c>
      <c r="Q1090" s="130">
        <v>2020</v>
      </c>
      <c r="R1090" s="166">
        <f>IF(ISBLANK(Table1[[#This Row],[Date]]),"",Table1[[#This Row],[Date]]-WEEKDAY(Table1[[#This Row],[Date]],2)+1)</f>
        <v>43899</v>
      </c>
      <c r="S1090" s="131">
        <f>IF(ISBLANK(Table1[[#This Row],[Date]]),"",DATE(Table1[[#This Row],[Date_Year]],Table1[[#This Row],[Date_Month]],1))</f>
        <v>43891</v>
      </c>
    </row>
    <row r="1091" spans="2:19" ht="15.75" x14ac:dyDescent="0.25">
      <c r="B1091" s="133">
        <v>43902</v>
      </c>
      <c r="C1091" s="128" t="s">
        <v>395</v>
      </c>
      <c r="D1091" s="128" t="s">
        <v>45</v>
      </c>
      <c r="E1091" s="128" t="str" cm="1">
        <f t="array" ref="E1091">IFERROR(INDEX(SubcategoriesTable[Subcategory name],MATCH(Table1[[#This Row],[Category]],SubcategoriesTable[Category name],0),0),"")</f>
        <v>Variable</v>
      </c>
      <c r="F1091" s="134">
        <v>-8.9</v>
      </c>
      <c r="G1091" s="167" t="str">
        <f>_xlfn.XLOOKUP(Table1[[#This Row],[Account_ID]], Accounts[ID], Accounts[Account nickname], "Unknown")</f>
        <v>EVERYDAY CHECKING</v>
      </c>
      <c r="H1091" s="137" t="str">
        <f>_xlfn.XLOOKUP(Table1[[#This Row],[Account_ID]], Accounts[ID], Accounts[Account'#], "Unknown")</f>
        <v>4636</v>
      </c>
      <c r="I1091" s="168" t="str">
        <f>_xlfn.XLOOKUP(Table1[[#This Row],[Institution_ID]], Institutions[ID], Institutions[Institution nickname], "Unknown")</f>
        <v>Wells Fargo</v>
      </c>
      <c r="J1091" s="139" t="s">
        <v>1795</v>
      </c>
      <c r="K1091" s="129" t="s">
        <v>1229</v>
      </c>
      <c r="L1091" s="129" t="s">
        <v>1228</v>
      </c>
      <c r="M1091" s="130" t="str" cm="1">
        <f t="array" ref="M1091">IFERROR(INDEX(CategoriesTable[Category type],MATCH(Table1[[#This Row],[Category]],CategoriesTable[Category name],0),0),"")</f>
        <v>Expense</v>
      </c>
      <c r="N1091" s="130" t="str" cm="1">
        <f t="array" ref="N1091">IFERROR(INDEX(SubcategoriesTable[Subcategory name],MATCH(Table1[[#This Row],[Category]],SubcategoriesTable[Category name],0),0),"")</f>
        <v>Variable</v>
      </c>
      <c r="O1091" s="130">
        <v>12</v>
      </c>
      <c r="P1091" s="130">
        <f>MONTH(Table1[[#This Row],[Date]])</f>
        <v>3</v>
      </c>
      <c r="Q1091" s="130">
        <v>2020</v>
      </c>
      <c r="R1091" s="166">
        <f>IF(ISBLANK(Table1[[#This Row],[Date]]),"",Table1[[#This Row],[Date]]-WEEKDAY(Table1[[#This Row],[Date]],2)+1)</f>
        <v>43899</v>
      </c>
      <c r="S1091" s="131">
        <f>IF(ISBLANK(Table1[[#This Row],[Date]]),"",DATE(Table1[[#This Row],[Date_Year]],Table1[[#This Row],[Date_Month]],1))</f>
        <v>43891</v>
      </c>
    </row>
    <row r="1092" spans="2:19" ht="15.75" x14ac:dyDescent="0.25">
      <c r="B1092" s="133">
        <v>43902</v>
      </c>
      <c r="C1092" s="128" t="s">
        <v>980</v>
      </c>
      <c r="D1092" s="128" t="s">
        <v>46</v>
      </c>
      <c r="E1092" s="128" t="str" cm="1">
        <f t="array" ref="E1092">IFERROR(INDEX(SubcategoriesTable[Subcategory name],MATCH(Table1[[#This Row],[Category]],SubcategoriesTable[Category name],0),0),"")</f>
        <v>Variable</v>
      </c>
      <c r="F1092" s="134">
        <v>-65.38</v>
      </c>
      <c r="G1092" s="167" t="str">
        <f>_xlfn.XLOOKUP(Table1[[#This Row],[Account_ID]], Accounts[ID], Accounts[Account nickname], "Unknown")</f>
        <v>Discover it chrome Card</v>
      </c>
      <c r="H1092" s="137" t="str">
        <f>_xlfn.XLOOKUP(Table1[[#This Row],[Account_ID]], Accounts[ID], Accounts[Account'#], "Unknown")</f>
        <v>7328</v>
      </c>
      <c r="I1092" s="168" t="str">
        <f>_xlfn.XLOOKUP(Table1[[#This Row],[Institution_ID]], Institutions[ID], Institutions[Institution nickname], "Unknown")</f>
        <v>Discover</v>
      </c>
      <c r="J1092" s="171" t="s">
        <v>981</v>
      </c>
      <c r="K1092" s="129" t="s">
        <v>110</v>
      </c>
      <c r="L1092" s="129" t="s">
        <v>108</v>
      </c>
      <c r="M1092" s="130" t="str" cm="1">
        <f t="array" ref="M1092">IFERROR(INDEX(CategoriesTable[Category type],MATCH(Table1[[#This Row],[Category]],CategoriesTable[Category name],0),0),"")</f>
        <v>Expense</v>
      </c>
      <c r="N1092" s="130" t="str" cm="1">
        <f t="array" ref="N1092">IFERROR(INDEX(SubcategoriesTable[Subcategory name],MATCH(Table1[[#This Row],[Category]],SubcategoriesTable[Category name],0),0),"")</f>
        <v>Variable</v>
      </c>
      <c r="O1092" s="130">
        <v>12</v>
      </c>
      <c r="P1092" s="130">
        <f>MONTH(Table1[[#This Row],[Date]])</f>
        <v>3</v>
      </c>
      <c r="Q1092" s="130">
        <v>2020</v>
      </c>
      <c r="R1092" s="166">
        <f>IF(ISBLANK(Table1[[#This Row],[Date]]),"",Table1[[#This Row],[Date]]-WEEKDAY(Table1[[#This Row],[Date]],2)+1)</f>
        <v>43899</v>
      </c>
      <c r="S1092" s="131">
        <f>IF(ISBLANK(Table1[[#This Row],[Date]]),"",DATE(Table1[[#This Row],[Date_Year]],Table1[[#This Row],[Date_Month]],1))</f>
        <v>43891</v>
      </c>
    </row>
    <row r="1093" spans="2:19" ht="15.75" x14ac:dyDescent="0.25">
      <c r="B1093" s="133">
        <v>43900</v>
      </c>
      <c r="C1093" s="128" t="s">
        <v>1796</v>
      </c>
      <c r="D1093" s="128" t="s">
        <v>45</v>
      </c>
      <c r="E1093" s="128" t="str" cm="1">
        <f t="array" ref="E1093">IFERROR(INDEX(SubcategoriesTable[Subcategory name],MATCH(Table1[[#This Row],[Category]],SubcategoriesTable[Category name],0),0),"")</f>
        <v>Variable</v>
      </c>
      <c r="F1093" s="134">
        <v>-40</v>
      </c>
      <c r="G1093" s="167" t="str">
        <f>_xlfn.XLOOKUP(Table1[[#This Row],[Account_ID]], Accounts[ID], Accounts[Account nickname], "Unknown")</f>
        <v>EVERYDAY CHECKING</v>
      </c>
      <c r="H1093" s="137" t="str">
        <f>_xlfn.XLOOKUP(Table1[[#This Row],[Account_ID]], Accounts[ID], Accounts[Account'#], "Unknown")</f>
        <v>4636</v>
      </c>
      <c r="I1093" s="168" t="str">
        <f>_xlfn.XLOOKUP(Table1[[#This Row],[Institution_ID]], Institutions[ID], Institutions[Institution nickname], "Unknown")</f>
        <v>Wells Fargo</v>
      </c>
      <c r="J1093" s="139" t="s">
        <v>1797</v>
      </c>
      <c r="K1093" s="129" t="s">
        <v>1229</v>
      </c>
      <c r="L1093" s="129" t="s">
        <v>1228</v>
      </c>
      <c r="M1093" s="130" t="str" cm="1">
        <f t="array" ref="M1093">IFERROR(INDEX(CategoriesTable[Category type],MATCH(Table1[[#This Row],[Category]],CategoriesTable[Category name],0),0),"")</f>
        <v>Expense</v>
      </c>
      <c r="N1093" s="130" t="str" cm="1">
        <f t="array" ref="N1093">IFERROR(INDEX(SubcategoriesTable[Subcategory name],MATCH(Table1[[#This Row],[Category]],SubcategoriesTable[Category name],0),0),"")</f>
        <v>Variable</v>
      </c>
      <c r="O1093" s="130">
        <v>10</v>
      </c>
      <c r="P1093" s="130">
        <f>MONTH(Table1[[#This Row],[Date]])</f>
        <v>3</v>
      </c>
      <c r="Q1093" s="130">
        <v>2020</v>
      </c>
      <c r="R1093" s="166">
        <f>IF(ISBLANK(Table1[[#This Row],[Date]]),"",Table1[[#This Row],[Date]]-WEEKDAY(Table1[[#This Row],[Date]],2)+1)</f>
        <v>43899</v>
      </c>
      <c r="S1093" s="131">
        <f>IF(ISBLANK(Table1[[#This Row],[Date]]),"",DATE(Table1[[#This Row],[Date_Year]],Table1[[#This Row],[Date_Month]],1))</f>
        <v>43891</v>
      </c>
    </row>
    <row r="1094" spans="2:19" ht="15.75" x14ac:dyDescent="0.25">
      <c r="B1094" s="133">
        <v>43900</v>
      </c>
      <c r="C1094" s="128" t="s">
        <v>237</v>
      </c>
      <c r="D1094" s="128" t="s">
        <v>48</v>
      </c>
      <c r="E1094" s="128" t="str" cm="1">
        <f t="array" ref="E1094">IFERROR(INDEX(SubcategoriesTable[Subcategory name],MATCH(Table1[[#This Row],[Category]],SubcategoriesTable[Category name],0),0),"")</f>
        <v>Variable</v>
      </c>
      <c r="F1094" s="134">
        <v>-19.600000000000001</v>
      </c>
      <c r="G1094" s="167" t="str">
        <f>_xlfn.XLOOKUP(Table1[[#This Row],[Account_ID]], Accounts[ID], Accounts[Account nickname], "Unknown")</f>
        <v>Discover it chrome Card</v>
      </c>
      <c r="H1094" s="137" t="str">
        <f>_xlfn.XLOOKUP(Table1[[#This Row],[Account_ID]], Accounts[ID], Accounts[Account'#], "Unknown")</f>
        <v>7328</v>
      </c>
      <c r="I1094" s="168" t="str">
        <f>_xlfn.XLOOKUP(Table1[[#This Row],[Institution_ID]], Institutions[ID], Institutions[Institution nickname], "Unknown")</f>
        <v>Discover</v>
      </c>
      <c r="J1094" s="139" t="s">
        <v>982</v>
      </c>
      <c r="K1094" s="129" t="s">
        <v>110</v>
      </c>
      <c r="L1094" s="129" t="s">
        <v>108</v>
      </c>
      <c r="M1094" s="130" t="str" cm="1">
        <f t="array" ref="M1094">IFERROR(INDEX(CategoriesTable[Category type],MATCH(Table1[[#This Row],[Category]],CategoriesTable[Category name],0),0),"")</f>
        <v>Expense</v>
      </c>
      <c r="N1094" s="130" t="str" cm="1">
        <f t="array" ref="N1094">IFERROR(INDEX(SubcategoriesTable[Subcategory name],MATCH(Table1[[#This Row],[Category]],SubcategoriesTable[Category name],0),0),"")</f>
        <v>Variable</v>
      </c>
      <c r="O1094" s="130">
        <v>10</v>
      </c>
      <c r="P1094" s="130">
        <f>MONTH(Table1[[#This Row],[Date]])</f>
        <v>3</v>
      </c>
      <c r="Q1094" s="130">
        <v>2020</v>
      </c>
      <c r="R1094" s="166">
        <f>IF(ISBLANK(Table1[[#This Row],[Date]]),"",Table1[[#This Row],[Date]]-WEEKDAY(Table1[[#This Row],[Date]],2)+1)</f>
        <v>43899</v>
      </c>
      <c r="S1094" s="131">
        <f>IF(ISBLANK(Table1[[#This Row],[Date]]),"",DATE(Table1[[#This Row],[Date_Year]],Table1[[#This Row],[Date_Month]],1))</f>
        <v>43891</v>
      </c>
    </row>
    <row r="1095" spans="2:19" ht="15.75" x14ac:dyDescent="0.25">
      <c r="B1095" s="133">
        <v>43899</v>
      </c>
      <c r="C1095" s="128" t="s">
        <v>395</v>
      </c>
      <c r="D1095" s="128" t="s">
        <v>45</v>
      </c>
      <c r="E1095" s="128" t="str" cm="1">
        <f t="array" ref="E1095">IFERROR(INDEX(SubcategoriesTable[Subcategory name],MATCH(Table1[[#This Row],[Category]],SubcategoriesTable[Category name],0),0),"")</f>
        <v>Variable</v>
      </c>
      <c r="F1095" s="134">
        <v>-7.45</v>
      </c>
      <c r="G1095" s="167" t="str">
        <f>_xlfn.XLOOKUP(Table1[[#This Row],[Account_ID]], Accounts[ID], Accounts[Account nickname], "Unknown")</f>
        <v>EVERYDAY CHECKING</v>
      </c>
      <c r="H1095" s="137" t="str">
        <f>_xlfn.XLOOKUP(Table1[[#This Row],[Account_ID]], Accounts[ID], Accounts[Account'#], "Unknown")</f>
        <v>4636</v>
      </c>
      <c r="I1095" s="168" t="str">
        <f>_xlfn.XLOOKUP(Table1[[#This Row],[Institution_ID]], Institutions[ID], Institutions[Institution nickname], "Unknown")</f>
        <v>Wells Fargo</v>
      </c>
      <c r="J1095" s="139" t="s">
        <v>1798</v>
      </c>
      <c r="K1095" s="129" t="s">
        <v>1229</v>
      </c>
      <c r="L1095" s="129" t="s">
        <v>1228</v>
      </c>
      <c r="M1095" s="130" t="str" cm="1">
        <f t="array" ref="M1095">IFERROR(INDEX(CategoriesTable[Category type],MATCH(Table1[[#This Row],[Category]],CategoriesTable[Category name],0),0),"")</f>
        <v>Expense</v>
      </c>
      <c r="N1095" s="130" t="str" cm="1">
        <f t="array" ref="N1095">IFERROR(INDEX(SubcategoriesTable[Subcategory name],MATCH(Table1[[#This Row],[Category]],SubcategoriesTable[Category name],0),0),"")</f>
        <v>Variable</v>
      </c>
      <c r="O1095" s="130">
        <v>9</v>
      </c>
      <c r="P1095" s="130">
        <f>MONTH(Table1[[#This Row],[Date]])</f>
        <v>3</v>
      </c>
      <c r="Q1095" s="130">
        <v>2020</v>
      </c>
      <c r="R1095" s="166">
        <f>IF(ISBLANK(Table1[[#This Row],[Date]]),"",Table1[[#This Row],[Date]]-WEEKDAY(Table1[[#This Row],[Date]],2)+1)</f>
        <v>43899</v>
      </c>
      <c r="S1095" s="131">
        <f>IF(ISBLANK(Table1[[#This Row],[Date]]),"",DATE(Table1[[#This Row],[Date_Year]],Table1[[#This Row],[Date_Month]],1))</f>
        <v>43891</v>
      </c>
    </row>
    <row r="1096" spans="2:19" ht="15.75" x14ac:dyDescent="0.25">
      <c r="B1096" s="133">
        <v>43896</v>
      </c>
      <c r="C1096" s="128" t="s">
        <v>971</v>
      </c>
      <c r="D1096" s="128" t="s">
        <v>48</v>
      </c>
      <c r="E1096" s="128" t="str" cm="1">
        <f t="array" ref="E1096">IFERROR(INDEX(SubcategoriesTable[Subcategory name],MATCH(Table1[[#This Row],[Category]],SubcategoriesTable[Category name],0),0),"")</f>
        <v>Variable</v>
      </c>
      <c r="F1096" s="134">
        <v>-88.9</v>
      </c>
      <c r="G1096" s="167" t="str">
        <f>_xlfn.XLOOKUP(Table1[[#This Row],[Account_ID]], Accounts[ID], Accounts[Account nickname], "Unknown")</f>
        <v>EVERYDAY CHECKING</v>
      </c>
      <c r="H1096" s="137" t="str">
        <f>_xlfn.XLOOKUP(Table1[[#This Row],[Account_ID]], Accounts[ID], Accounts[Account'#], "Unknown")</f>
        <v>4636</v>
      </c>
      <c r="I1096" s="168" t="str">
        <f>_xlfn.XLOOKUP(Table1[[#This Row],[Institution_ID]], Institutions[ID], Institutions[Institution nickname], "Unknown")</f>
        <v>Wells Fargo</v>
      </c>
      <c r="J1096" s="139" t="s">
        <v>1799</v>
      </c>
      <c r="K1096" s="129" t="s">
        <v>1229</v>
      </c>
      <c r="L1096" s="129" t="s">
        <v>1228</v>
      </c>
      <c r="M1096" s="130" t="str" cm="1">
        <f t="array" ref="M1096">IFERROR(INDEX(CategoriesTable[Category type],MATCH(Table1[[#This Row],[Category]],CategoriesTable[Category name],0),0),"")</f>
        <v>Expense</v>
      </c>
      <c r="N1096" s="130" t="str" cm="1">
        <f t="array" ref="N1096">IFERROR(INDEX(SubcategoriesTable[Subcategory name],MATCH(Table1[[#This Row],[Category]],SubcategoriesTable[Category name],0),0),"")</f>
        <v>Variable</v>
      </c>
      <c r="O1096" s="130">
        <v>6</v>
      </c>
      <c r="P1096" s="130">
        <f>MONTH(Table1[[#This Row],[Date]])</f>
        <v>3</v>
      </c>
      <c r="Q1096" s="130">
        <v>2020</v>
      </c>
      <c r="R1096" s="166">
        <f>IF(ISBLANK(Table1[[#This Row],[Date]]),"",Table1[[#This Row],[Date]]-WEEKDAY(Table1[[#This Row],[Date]],2)+1)</f>
        <v>43892</v>
      </c>
      <c r="S1096" s="131">
        <f>IF(ISBLANK(Table1[[#This Row],[Date]]),"",DATE(Table1[[#This Row],[Date_Year]],Table1[[#This Row],[Date_Month]],1))</f>
        <v>43891</v>
      </c>
    </row>
    <row r="1097" spans="2:19" ht="15.75" x14ac:dyDescent="0.25">
      <c r="B1097" s="133">
        <v>43896</v>
      </c>
      <c r="C1097" s="128" t="s">
        <v>237</v>
      </c>
      <c r="D1097" s="128" t="s">
        <v>48</v>
      </c>
      <c r="E1097" s="128" t="str" cm="1">
        <f t="array" ref="E1097">IFERROR(INDEX(SubcategoriesTable[Subcategory name],MATCH(Table1[[#This Row],[Category]],SubcategoriesTable[Category name],0),0),"")</f>
        <v>Variable</v>
      </c>
      <c r="F1097" s="134">
        <v>-8</v>
      </c>
      <c r="G1097" s="167" t="str">
        <f>_xlfn.XLOOKUP(Table1[[#This Row],[Account_ID]], Accounts[ID], Accounts[Account nickname], "Unknown")</f>
        <v>EVERYDAY CHECKING</v>
      </c>
      <c r="H1097" s="137" t="str">
        <f>_xlfn.XLOOKUP(Table1[[#This Row],[Account_ID]], Accounts[ID], Accounts[Account'#], "Unknown")</f>
        <v>4636</v>
      </c>
      <c r="I1097" s="168" t="str">
        <f>_xlfn.XLOOKUP(Table1[[#This Row],[Institution_ID]], Institutions[ID], Institutions[Institution nickname], "Unknown")</f>
        <v>Wells Fargo</v>
      </c>
      <c r="J1097" s="139" t="s">
        <v>1800</v>
      </c>
      <c r="K1097" s="129" t="s">
        <v>1229</v>
      </c>
      <c r="L1097" s="129" t="s">
        <v>1228</v>
      </c>
      <c r="M1097" s="130" t="str" cm="1">
        <f t="array" ref="M1097">IFERROR(INDEX(CategoriesTable[Category type],MATCH(Table1[[#This Row],[Category]],CategoriesTable[Category name],0),0),"")</f>
        <v>Expense</v>
      </c>
      <c r="N1097" s="130" t="str" cm="1">
        <f t="array" ref="N1097">IFERROR(INDEX(SubcategoriesTable[Subcategory name],MATCH(Table1[[#This Row],[Category]],SubcategoriesTable[Category name],0),0),"")</f>
        <v>Variable</v>
      </c>
      <c r="O1097" s="130">
        <v>6</v>
      </c>
      <c r="P1097" s="130">
        <f>MONTH(Table1[[#This Row],[Date]])</f>
        <v>3</v>
      </c>
      <c r="Q1097" s="130">
        <v>2020</v>
      </c>
      <c r="R1097" s="166">
        <f>IF(ISBLANK(Table1[[#This Row],[Date]]),"",Table1[[#This Row],[Date]]-WEEKDAY(Table1[[#This Row],[Date]],2)+1)</f>
        <v>43892</v>
      </c>
      <c r="S1097" s="131">
        <f>IF(ISBLANK(Table1[[#This Row],[Date]]),"",DATE(Table1[[#This Row],[Date_Year]],Table1[[#This Row],[Date_Month]],1))</f>
        <v>43891</v>
      </c>
    </row>
    <row r="1098" spans="2:19" ht="15.75" x14ac:dyDescent="0.25">
      <c r="B1098" s="133">
        <v>43894</v>
      </c>
      <c r="C1098" s="128" t="s">
        <v>1801</v>
      </c>
      <c r="D1098" s="128" t="s">
        <v>45</v>
      </c>
      <c r="E1098" s="128" t="str" cm="1">
        <f t="array" ref="E1098">IFERROR(INDEX(SubcategoriesTable[Subcategory name],MATCH(Table1[[#This Row],[Category]],SubcategoriesTable[Category name],0),0),"")</f>
        <v>Variable</v>
      </c>
      <c r="F1098" s="134">
        <v>-13.67</v>
      </c>
      <c r="G1098" s="167" t="str">
        <f>_xlfn.XLOOKUP(Table1[[#This Row],[Account_ID]], Accounts[ID], Accounts[Account nickname], "Unknown")</f>
        <v>EVERYDAY CHECKING</v>
      </c>
      <c r="H1098" s="137" t="str">
        <f>_xlfn.XLOOKUP(Table1[[#This Row],[Account_ID]], Accounts[ID], Accounts[Account'#], "Unknown")</f>
        <v>4636</v>
      </c>
      <c r="I1098" s="168" t="str">
        <f>_xlfn.XLOOKUP(Table1[[#This Row],[Institution_ID]], Institutions[ID], Institutions[Institution nickname], "Unknown")</f>
        <v>Wells Fargo</v>
      </c>
      <c r="J1098" s="139" t="s">
        <v>1802</v>
      </c>
      <c r="K1098" s="129" t="s">
        <v>1229</v>
      </c>
      <c r="L1098" s="129" t="s">
        <v>1228</v>
      </c>
      <c r="M1098" s="130" t="str" cm="1">
        <f t="array" ref="M1098">IFERROR(INDEX(CategoriesTable[Category type],MATCH(Table1[[#This Row],[Category]],CategoriesTable[Category name],0),0),"")</f>
        <v>Expense</v>
      </c>
      <c r="N1098" s="130" t="str" cm="1">
        <f t="array" ref="N1098">IFERROR(INDEX(SubcategoriesTable[Subcategory name],MATCH(Table1[[#This Row],[Category]],SubcategoriesTable[Category name],0),0),"")</f>
        <v>Variable</v>
      </c>
      <c r="O1098" s="130">
        <v>4</v>
      </c>
      <c r="P1098" s="130">
        <f>MONTH(Table1[[#This Row],[Date]])</f>
        <v>3</v>
      </c>
      <c r="Q1098" s="130">
        <v>2020</v>
      </c>
      <c r="R1098" s="166">
        <f>IF(ISBLANK(Table1[[#This Row],[Date]]),"",Table1[[#This Row],[Date]]-WEEKDAY(Table1[[#This Row],[Date]],2)+1)</f>
        <v>43892</v>
      </c>
      <c r="S1098" s="131">
        <f>IF(ISBLANK(Table1[[#This Row],[Date]]),"",DATE(Table1[[#This Row],[Date_Year]],Table1[[#This Row],[Date_Month]],1))</f>
        <v>43891</v>
      </c>
    </row>
    <row r="1099" spans="2:19" ht="15.75" x14ac:dyDescent="0.25">
      <c r="B1099" s="133">
        <v>43894</v>
      </c>
      <c r="C1099" s="128" t="s">
        <v>119</v>
      </c>
      <c r="D1099" s="128" t="s">
        <v>52</v>
      </c>
      <c r="E1099" s="128" t="str" cm="1">
        <f t="array" ref="E1099">IFERROR(INDEX(SubcategoriesTable[Subcategory name],MATCH(Table1[[#This Row],[Category]],SubcategoriesTable[Category name],0),0),"")</f>
        <v>Variable</v>
      </c>
      <c r="F1099" s="134">
        <v>-27.35</v>
      </c>
      <c r="G1099" s="167" t="str">
        <f>_xlfn.XLOOKUP(Table1[[#This Row],[Account_ID]], Accounts[ID], Accounts[Account nickname], "Unknown")</f>
        <v>EVERYDAY CHECKING</v>
      </c>
      <c r="H1099" s="137" t="str">
        <f>_xlfn.XLOOKUP(Table1[[#This Row],[Account_ID]], Accounts[ID], Accounts[Account'#], "Unknown")</f>
        <v>4636</v>
      </c>
      <c r="I1099" s="168" t="str">
        <f>_xlfn.XLOOKUP(Table1[[#This Row],[Institution_ID]], Institutions[ID], Institutions[Institution nickname], "Unknown")</f>
        <v>Wells Fargo</v>
      </c>
      <c r="J1099" s="171" t="s">
        <v>1803</v>
      </c>
      <c r="K1099" s="129" t="s">
        <v>1229</v>
      </c>
      <c r="L1099" s="129" t="s">
        <v>1228</v>
      </c>
      <c r="M1099" s="130" t="str" cm="1">
        <f t="array" ref="M1099">IFERROR(INDEX(CategoriesTable[Category type],MATCH(Table1[[#This Row],[Category]],CategoriesTable[Category name],0),0),"")</f>
        <v>Expense</v>
      </c>
      <c r="N1099" s="130" t="str" cm="1">
        <f t="array" ref="N1099">IFERROR(INDEX(SubcategoriesTable[Subcategory name],MATCH(Table1[[#This Row],[Category]],SubcategoriesTable[Category name],0),0),"")</f>
        <v>Variable</v>
      </c>
      <c r="O1099" s="130">
        <v>4</v>
      </c>
      <c r="P1099" s="130">
        <f>MONTH(Table1[[#This Row],[Date]])</f>
        <v>3</v>
      </c>
      <c r="Q1099" s="130">
        <v>2020</v>
      </c>
      <c r="R1099" s="166">
        <f>IF(ISBLANK(Table1[[#This Row],[Date]]),"",Table1[[#This Row],[Date]]-WEEKDAY(Table1[[#This Row],[Date]],2)+1)</f>
        <v>43892</v>
      </c>
      <c r="S1099" s="131">
        <f>IF(ISBLANK(Table1[[#This Row],[Date]]),"",DATE(Table1[[#This Row],[Date_Year]],Table1[[#This Row],[Date_Month]],1))</f>
        <v>43891</v>
      </c>
    </row>
    <row r="1100" spans="2:19" ht="15.75" x14ac:dyDescent="0.25">
      <c r="B1100" s="133">
        <v>43894</v>
      </c>
      <c r="C1100" s="128" t="s">
        <v>1016</v>
      </c>
      <c r="D1100" s="128" t="s">
        <v>49</v>
      </c>
      <c r="E1100" s="128" t="str" cm="1">
        <f t="array" ref="E1100">IFERROR(INDEX(SubcategoriesTable[Subcategory name],MATCH(Table1[[#This Row],[Category]],SubcategoriesTable[Category name],0),0),"")</f>
        <v>Variable</v>
      </c>
      <c r="F1100" s="134">
        <v>-17</v>
      </c>
      <c r="G1100" s="167" t="str">
        <f>_xlfn.XLOOKUP(Table1[[#This Row],[Account_ID]], Accounts[ID], Accounts[Account nickname], "Unknown")</f>
        <v>EVERYDAY CHECKING</v>
      </c>
      <c r="H1100" s="137" t="str">
        <f>_xlfn.XLOOKUP(Table1[[#This Row],[Account_ID]], Accounts[ID], Accounts[Account'#], "Unknown")</f>
        <v>4636</v>
      </c>
      <c r="I1100" s="168" t="str">
        <f>_xlfn.XLOOKUP(Table1[[#This Row],[Institution_ID]], Institutions[ID], Institutions[Institution nickname], "Unknown")</f>
        <v>Wells Fargo</v>
      </c>
      <c r="J1100" s="139" t="s">
        <v>1804</v>
      </c>
      <c r="K1100" s="129" t="s">
        <v>1229</v>
      </c>
      <c r="L1100" s="129" t="s">
        <v>1228</v>
      </c>
      <c r="M1100" s="130" t="str" cm="1">
        <f t="array" ref="M1100">IFERROR(INDEX(CategoriesTable[Category type],MATCH(Table1[[#This Row],[Category]],CategoriesTable[Category name],0),0),"")</f>
        <v>Expense</v>
      </c>
      <c r="N1100" s="130" t="str" cm="1">
        <f t="array" ref="N1100">IFERROR(INDEX(SubcategoriesTable[Subcategory name],MATCH(Table1[[#This Row],[Category]],SubcategoriesTable[Category name],0),0),"")</f>
        <v>Variable</v>
      </c>
      <c r="O1100" s="130">
        <v>4</v>
      </c>
      <c r="P1100" s="130">
        <f>MONTH(Table1[[#This Row],[Date]])</f>
        <v>3</v>
      </c>
      <c r="Q1100" s="130">
        <v>2020</v>
      </c>
      <c r="R1100" s="166">
        <f>IF(ISBLANK(Table1[[#This Row],[Date]]),"",Table1[[#This Row],[Date]]-WEEKDAY(Table1[[#This Row],[Date]],2)+1)</f>
        <v>43892</v>
      </c>
      <c r="S1100" s="131">
        <f>IF(ISBLANK(Table1[[#This Row],[Date]]),"",DATE(Table1[[#This Row],[Date_Year]],Table1[[#This Row],[Date_Month]],1))</f>
        <v>43891</v>
      </c>
    </row>
    <row r="1101" spans="2:19" ht="15.75" x14ac:dyDescent="0.25">
      <c r="B1101" s="133">
        <v>43894</v>
      </c>
      <c r="C1101" s="128" t="s">
        <v>119</v>
      </c>
      <c r="D1101" s="128" t="s">
        <v>52</v>
      </c>
      <c r="E1101" s="128" t="str" cm="1">
        <f t="array" ref="E1101">IFERROR(INDEX(SubcategoriesTable[Subcategory name],MATCH(Table1[[#This Row],[Category]],SubcategoriesTable[Category name],0),0),"")</f>
        <v>Variable</v>
      </c>
      <c r="F1101" s="134">
        <v>-28.41</v>
      </c>
      <c r="G1101" s="167" t="str">
        <f>_xlfn.XLOOKUP(Table1[[#This Row],[Account_ID]], Accounts[ID], Accounts[Account nickname], "Unknown")</f>
        <v>EVERYDAY CHECKING</v>
      </c>
      <c r="H1101" s="137" t="str">
        <f>_xlfn.XLOOKUP(Table1[[#This Row],[Account_ID]], Accounts[ID], Accounts[Account'#], "Unknown")</f>
        <v>4636</v>
      </c>
      <c r="I1101" s="168" t="str">
        <f>_xlfn.XLOOKUP(Table1[[#This Row],[Institution_ID]], Institutions[ID], Institutions[Institution nickname], "Unknown")</f>
        <v>Wells Fargo</v>
      </c>
      <c r="J1101" s="139" t="s">
        <v>1805</v>
      </c>
      <c r="K1101" s="129" t="s">
        <v>1229</v>
      </c>
      <c r="L1101" s="129" t="s">
        <v>1228</v>
      </c>
      <c r="M1101" s="130" t="str" cm="1">
        <f t="array" ref="M1101">IFERROR(INDEX(CategoriesTable[Category type],MATCH(Table1[[#This Row],[Category]],CategoriesTable[Category name],0),0),"")</f>
        <v>Expense</v>
      </c>
      <c r="N1101" s="130" t="str" cm="1">
        <f t="array" ref="N1101">IFERROR(INDEX(SubcategoriesTable[Subcategory name],MATCH(Table1[[#This Row],[Category]],SubcategoriesTable[Category name],0),0),"")</f>
        <v>Variable</v>
      </c>
      <c r="O1101" s="130">
        <v>4</v>
      </c>
      <c r="P1101" s="130">
        <f>MONTH(Table1[[#This Row],[Date]])</f>
        <v>3</v>
      </c>
      <c r="Q1101" s="130">
        <v>2020</v>
      </c>
      <c r="R1101" s="166">
        <f>IF(ISBLANK(Table1[[#This Row],[Date]]),"",Table1[[#This Row],[Date]]-WEEKDAY(Table1[[#This Row],[Date]],2)+1)</f>
        <v>43892</v>
      </c>
      <c r="S1101" s="131">
        <f>IF(ISBLANK(Table1[[#This Row],[Date]]),"",DATE(Table1[[#This Row],[Date_Year]],Table1[[#This Row],[Date_Month]],1))</f>
        <v>43891</v>
      </c>
    </row>
    <row r="1102" spans="2:19" ht="15.75" x14ac:dyDescent="0.25">
      <c r="B1102" s="133">
        <v>43894</v>
      </c>
      <c r="C1102" s="128" t="s">
        <v>971</v>
      </c>
      <c r="D1102" s="128" t="s">
        <v>48</v>
      </c>
      <c r="E1102" s="128" t="str" cm="1">
        <f t="array" ref="E1102">IFERROR(INDEX(SubcategoriesTable[Subcategory name],MATCH(Table1[[#This Row],[Category]],SubcategoriesTable[Category name],0),0),"")</f>
        <v>Variable</v>
      </c>
      <c r="F1102" s="134">
        <v>-4.99</v>
      </c>
      <c r="G1102" s="167" t="str">
        <f>_xlfn.XLOOKUP(Table1[[#This Row],[Account_ID]], Accounts[ID], Accounts[Account nickname], "Unknown")</f>
        <v>EVERYDAY CHECKING</v>
      </c>
      <c r="H1102" s="137" t="str">
        <f>_xlfn.XLOOKUP(Table1[[#This Row],[Account_ID]], Accounts[ID], Accounts[Account'#], "Unknown")</f>
        <v>4636</v>
      </c>
      <c r="I1102" s="168" t="str">
        <f>_xlfn.XLOOKUP(Table1[[#This Row],[Institution_ID]], Institutions[ID], Institutions[Institution nickname], "Unknown")</f>
        <v>Wells Fargo</v>
      </c>
      <c r="J1102" s="139" t="s">
        <v>1806</v>
      </c>
      <c r="K1102" s="129" t="s">
        <v>1229</v>
      </c>
      <c r="L1102" s="129" t="s">
        <v>1228</v>
      </c>
      <c r="M1102" s="130" t="str" cm="1">
        <f t="array" ref="M1102">IFERROR(INDEX(CategoriesTable[Category type],MATCH(Table1[[#This Row],[Category]],CategoriesTable[Category name],0),0),"")</f>
        <v>Expense</v>
      </c>
      <c r="N1102" s="130" t="str" cm="1">
        <f t="array" ref="N1102">IFERROR(INDEX(SubcategoriesTable[Subcategory name],MATCH(Table1[[#This Row],[Category]],SubcategoriesTable[Category name],0),0),"")</f>
        <v>Variable</v>
      </c>
      <c r="O1102" s="130">
        <v>4</v>
      </c>
      <c r="P1102" s="130">
        <f>MONTH(Table1[[#This Row],[Date]])</f>
        <v>3</v>
      </c>
      <c r="Q1102" s="130">
        <v>2020</v>
      </c>
      <c r="R1102" s="166">
        <f>IF(ISBLANK(Table1[[#This Row],[Date]]),"",Table1[[#This Row],[Date]]-WEEKDAY(Table1[[#This Row],[Date]],2)+1)</f>
        <v>43892</v>
      </c>
      <c r="S1102" s="131">
        <f>IF(ISBLANK(Table1[[#This Row],[Date]]),"",DATE(Table1[[#This Row],[Date_Year]],Table1[[#This Row],[Date_Month]],1))</f>
        <v>43891</v>
      </c>
    </row>
    <row r="1103" spans="2:19" ht="15.75" x14ac:dyDescent="0.25">
      <c r="B1103" s="133">
        <v>43894</v>
      </c>
      <c r="C1103" s="128" t="s">
        <v>508</v>
      </c>
      <c r="D1103" s="128" t="s">
        <v>50</v>
      </c>
      <c r="E1103" s="128" t="str" cm="1">
        <f t="array" ref="E1103">IFERROR(INDEX(SubcategoriesTable[Subcategory name],MATCH(Table1[[#This Row],[Category]],SubcategoriesTable[Category name],0),0),"")</f>
        <v>Variable</v>
      </c>
      <c r="F1103" s="134">
        <v>-9</v>
      </c>
      <c r="G1103" s="167" t="str">
        <f>_xlfn.XLOOKUP(Table1[[#This Row],[Account_ID]], Accounts[ID], Accounts[Account nickname], "Unknown")</f>
        <v>EVERYDAY CHECKING</v>
      </c>
      <c r="H1103" s="137" t="str">
        <f>_xlfn.XLOOKUP(Table1[[#This Row],[Account_ID]], Accounts[ID], Accounts[Account'#], "Unknown")</f>
        <v>4636</v>
      </c>
      <c r="I1103" s="168" t="str">
        <f>_xlfn.XLOOKUP(Table1[[#This Row],[Institution_ID]], Institutions[ID], Institutions[Institution nickname], "Unknown")</f>
        <v>Wells Fargo</v>
      </c>
      <c r="J1103" s="139" t="s">
        <v>1807</v>
      </c>
      <c r="K1103" s="129" t="s">
        <v>1229</v>
      </c>
      <c r="L1103" s="129" t="s">
        <v>1228</v>
      </c>
      <c r="M1103" s="130" t="str" cm="1">
        <f t="array" ref="M1103">IFERROR(INDEX(CategoriesTable[Category type],MATCH(Table1[[#This Row],[Category]],CategoriesTable[Category name],0),0),"")</f>
        <v>Transfer</v>
      </c>
      <c r="N1103" s="130" t="str" cm="1">
        <f t="array" ref="N1103">IFERROR(INDEX(SubcategoriesTable[Subcategory name],MATCH(Table1[[#This Row],[Category]],SubcategoriesTable[Category name],0),0),"")</f>
        <v>Variable</v>
      </c>
      <c r="O1103" s="130">
        <v>4</v>
      </c>
      <c r="P1103" s="130">
        <f>MONTH(Table1[[#This Row],[Date]])</f>
        <v>3</v>
      </c>
      <c r="Q1103" s="130">
        <v>2020</v>
      </c>
      <c r="R1103" s="166">
        <f>IF(ISBLANK(Table1[[#This Row],[Date]]),"",Table1[[#This Row],[Date]]-WEEKDAY(Table1[[#This Row],[Date]],2)+1)</f>
        <v>43892</v>
      </c>
      <c r="S1103" s="131">
        <f>IF(ISBLANK(Table1[[#This Row],[Date]]),"",DATE(Table1[[#This Row],[Date_Year]],Table1[[#This Row],[Date_Month]],1))</f>
        <v>43891</v>
      </c>
    </row>
    <row r="1104" spans="2:19" ht="15.75" x14ac:dyDescent="0.25">
      <c r="B1104" s="133">
        <v>43894</v>
      </c>
      <c r="C1104" s="128" t="s">
        <v>115</v>
      </c>
      <c r="D1104" s="128" t="s">
        <v>48</v>
      </c>
      <c r="E1104" s="128" t="str" cm="1">
        <f t="array" ref="E1104">IFERROR(INDEX(SubcategoriesTable[Subcategory name],MATCH(Table1[[#This Row],[Category]],SubcategoriesTable[Category name],0),0),"")</f>
        <v>Variable</v>
      </c>
      <c r="F1104" s="134">
        <v>-12.77</v>
      </c>
      <c r="G1104" s="167" t="str">
        <f>_xlfn.XLOOKUP(Table1[[#This Row],[Account_ID]], Accounts[ID], Accounts[Account nickname], "Unknown")</f>
        <v>EVERYDAY CHECKING</v>
      </c>
      <c r="H1104" s="137" t="str">
        <f>_xlfn.XLOOKUP(Table1[[#This Row],[Account_ID]], Accounts[ID], Accounts[Account'#], "Unknown")</f>
        <v>4636</v>
      </c>
      <c r="I1104" s="168" t="str">
        <f>_xlfn.XLOOKUP(Table1[[#This Row],[Institution_ID]], Institutions[ID], Institutions[Institution nickname], "Unknown")</f>
        <v>Wells Fargo</v>
      </c>
      <c r="J1104" s="139" t="s">
        <v>1808</v>
      </c>
      <c r="K1104" s="129" t="s">
        <v>1229</v>
      </c>
      <c r="L1104" s="129" t="s">
        <v>1228</v>
      </c>
      <c r="M1104" s="130" t="str" cm="1">
        <f t="array" ref="M1104">IFERROR(INDEX(CategoriesTable[Category type],MATCH(Table1[[#This Row],[Category]],CategoriesTable[Category name],0),0),"")</f>
        <v>Expense</v>
      </c>
      <c r="N1104" s="130" t="str" cm="1">
        <f t="array" ref="N1104">IFERROR(INDEX(SubcategoriesTable[Subcategory name],MATCH(Table1[[#This Row],[Category]],SubcategoriesTable[Category name],0),0),"")</f>
        <v>Variable</v>
      </c>
      <c r="O1104" s="130">
        <v>4</v>
      </c>
      <c r="P1104" s="130">
        <f>MONTH(Table1[[#This Row],[Date]])</f>
        <v>3</v>
      </c>
      <c r="Q1104" s="130">
        <v>2020</v>
      </c>
      <c r="R1104" s="166">
        <f>IF(ISBLANK(Table1[[#This Row],[Date]]),"",Table1[[#This Row],[Date]]-WEEKDAY(Table1[[#This Row],[Date]],2)+1)</f>
        <v>43892</v>
      </c>
      <c r="S1104" s="131">
        <f>IF(ISBLANK(Table1[[#This Row],[Date]]),"",DATE(Table1[[#This Row],[Date_Year]],Table1[[#This Row],[Date_Month]],1))</f>
        <v>43891</v>
      </c>
    </row>
    <row r="1105" spans="2:19" ht="15.75" x14ac:dyDescent="0.25">
      <c r="B1105" s="133">
        <v>43893</v>
      </c>
      <c r="C1105" s="128" t="s">
        <v>1809</v>
      </c>
      <c r="D1105" s="128" t="s">
        <v>45</v>
      </c>
      <c r="E1105" s="128" t="str" cm="1">
        <f t="array" ref="E1105">IFERROR(INDEX(SubcategoriesTable[Subcategory name],MATCH(Table1[[#This Row],[Category]],SubcategoriesTable[Category name],0),0),"")</f>
        <v>Variable</v>
      </c>
      <c r="F1105" s="134">
        <v>-22.93</v>
      </c>
      <c r="G1105" s="167" t="str">
        <f>_xlfn.XLOOKUP(Table1[[#This Row],[Account_ID]], Accounts[ID], Accounts[Account nickname], "Unknown")</f>
        <v>EVERYDAY CHECKING</v>
      </c>
      <c r="H1105" s="137" t="str">
        <f>_xlfn.XLOOKUP(Table1[[#This Row],[Account_ID]], Accounts[ID], Accounts[Account'#], "Unknown")</f>
        <v>4636</v>
      </c>
      <c r="I1105" s="168" t="str">
        <f>_xlfn.XLOOKUP(Table1[[#This Row],[Institution_ID]], Institutions[ID], Institutions[Institution nickname], "Unknown")</f>
        <v>Wells Fargo</v>
      </c>
      <c r="J1105" s="139" t="s">
        <v>1810</v>
      </c>
      <c r="K1105" s="129" t="s">
        <v>1229</v>
      </c>
      <c r="L1105" s="129" t="s">
        <v>1228</v>
      </c>
      <c r="M1105" s="130" t="str" cm="1">
        <f t="array" ref="M1105">IFERROR(INDEX(CategoriesTable[Category type],MATCH(Table1[[#This Row],[Category]],CategoriesTable[Category name],0),0),"")</f>
        <v>Expense</v>
      </c>
      <c r="N1105" s="130" t="str" cm="1">
        <f t="array" ref="N1105">IFERROR(INDEX(SubcategoriesTable[Subcategory name],MATCH(Table1[[#This Row],[Category]],SubcategoriesTable[Category name],0),0),"")</f>
        <v>Variable</v>
      </c>
      <c r="O1105" s="130">
        <v>3</v>
      </c>
      <c r="P1105" s="130">
        <f>MONTH(Table1[[#This Row],[Date]])</f>
        <v>3</v>
      </c>
      <c r="Q1105" s="130">
        <v>2020</v>
      </c>
      <c r="R1105" s="166">
        <f>IF(ISBLANK(Table1[[#This Row],[Date]]),"",Table1[[#This Row],[Date]]-WEEKDAY(Table1[[#This Row],[Date]],2)+1)</f>
        <v>43892</v>
      </c>
      <c r="S1105" s="131">
        <f>IF(ISBLANK(Table1[[#This Row],[Date]]),"",DATE(Table1[[#This Row],[Date_Year]],Table1[[#This Row],[Date_Month]],1))</f>
        <v>43891</v>
      </c>
    </row>
    <row r="1106" spans="2:19" ht="15.75" x14ac:dyDescent="0.25">
      <c r="B1106" s="133">
        <v>43893</v>
      </c>
      <c r="C1106" s="128" t="s">
        <v>1016</v>
      </c>
      <c r="D1106" s="128" t="s">
        <v>49</v>
      </c>
      <c r="E1106" s="128" t="str" cm="1">
        <f t="array" ref="E1106">IFERROR(INDEX(SubcategoriesTable[Subcategory name],MATCH(Table1[[#This Row],[Category]],SubcategoriesTable[Category name],0),0),"")</f>
        <v>Variable</v>
      </c>
      <c r="F1106" s="134">
        <v>-35</v>
      </c>
      <c r="G1106" s="167" t="str">
        <f>_xlfn.XLOOKUP(Table1[[#This Row],[Account_ID]], Accounts[ID], Accounts[Account nickname], "Unknown")</f>
        <v>EVERYDAY CHECKING</v>
      </c>
      <c r="H1106" s="137" t="str">
        <f>_xlfn.XLOOKUP(Table1[[#This Row],[Account_ID]], Accounts[ID], Accounts[Account'#], "Unknown")</f>
        <v>4636</v>
      </c>
      <c r="I1106" s="168" t="str">
        <f>_xlfn.XLOOKUP(Table1[[#This Row],[Institution_ID]], Institutions[ID], Institutions[Institution nickname], "Unknown")</f>
        <v>Wells Fargo</v>
      </c>
      <c r="J1106" s="139" t="s">
        <v>1811</v>
      </c>
      <c r="K1106" s="129" t="s">
        <v>1229</v>
      </c>
      <c r="L1106" s="129" t="s">
        <v>1228</v>
      </c>
      <c r="M1106" s="130" t="str" cm="1">
        <f t="array" ref="M1106">IFERROR(INDEX(CategoriesTable[Category type],MATCH(Table1[[#This Row],[Category]],CategoriesTable[Category name],0),0),"")</f>
        <v>Expense</v>
      </c>
      <c r="N1106" s="130" t="str" cm="1">
        <f t="array" ref="N1106">IFERROR(INDEX(SubcategoriesTable[Subcategory name],MATCH(Table1[[#This Row],[Category]],SubcategoriesTable[Category name],0),0),"")</f>
        <v>Variable</v>
      </c>
      <c r="O1106" s="130">
        <v>3</v>
      </c>
      <c r="P1106" s="130">
        <f>MONTH(Table1[[#This Row],[Date]])</f>
        <v>3</v>
      </c>
      <c r="Q1106" s="130">
        <v>2020</v>
      </c>
      <c r="R1106" s="166">
        <f>IF(ISBLANK(Table1[[#This Row],[Date]]),"",Table1[[#This Row],[Date]]-WEEKDAY(Table1[[#This Row],[Date]],2)+1)</f>
        <v>43892</v>
      </c>
      <c r="S1106" s="131">
        <f>IF(ISBLANK(Table1[[#This Row],[Date]]),"",DATE(Table1[[#This Row],[Date_Year]],Table1[[#This Row],[Date_Month]],1))</f>
        <v>43891</v>
      </c>
    </row>
    <row r="1107" spans="2:19" ht="15.75" x14ac:dyDescent="0.25">
      <c r="B1107" s="133">
        <v>43893</v>
      </c>
      <c r="C1107" s="128" t="s">
        <v>1812</v>
      </c>
      <c r="D1107" s="128" t="s">
        <v>49</v>
      </c>
      <c r="E1107" s="128" t="str" cm="1">
        <f t="array" ref="E1107">IFERROR(INDEX(SubcategoriesTable[Subcategory name],MATCH(Table1[[#This Row],[Category]],SubcategoriesTable[Category name],0),0),"")</f>
        <v>Variable</v>
      </c>
      <c r="F1107" s="134">
        <v>-25</v>
      </c>
      <c r="G1107" s="167" t="str">
        <f>_xlfn.XLOOKUP(Table1[[#This Row],[Account_ID]], Accounts[ID], Accounts[Account nickname], "Unknown")</f>
        <v>EVERYDAY CHECKING</v>
      </c>
      <c r="H1107" s="137" t="str">
        <f>_xlfn.XLOOKUP(Table1[[#This Row],[Account_ID]], Accounts[ID], Accounts[Account'#], "Unknown")</f>
        <v>4636</v>
      </c>
      <c r="I1107" s="168" t="str">
        <f>_xlfn.XLOOKUP(Table1[[#This Row],[Institution_ID]], Institutions[ID], Institutions[Institution nickname], "Unknown")</f>
        <v>Wells Fargo</v>
      </c>
      <c r="J1107" s="139" t="s">
        <v>1813</v>
      </c>
      <c r="K1107" s="129" t="s">
        <v>1229</v>
      </c>
      <c r="L1107" s="129" t="s">
        <v>1228</v>
      </c>
      <c r="M1107" s="130" t="str" cm="1">
        <f t="array" ref="M1107">IFERROR(INDEX(CategoriesTable[Category type],MATCH(Table1[[#This Row],[Category]],CategoriesTable[Category name],0),0),"")</f>
        <v>Expense</v>
      </c>
      <c r="N1107" s="130" t="str" cm="1">
        <f t="array" ref="N1107">IFERROR(INDEX(SubcategoriesTable[Subcategory name],MATCH(Table1[[#This Row],[Category]],SubcategoriesTable[Category name],0),0),"")</f>
        <v>Variable</v>
      </c>
      <c r="O1107" s="130">
        <v>3</v>
      </c>
      <c r="P1107" s="130">
        <f>MONTH(Table1[[#This Row],[Date]])</f>
        <v>3</v>
      </c>
      <c r="Q1107" s="130">
        <v>2020</v>
      </c>
      <c r="R1107" s="166">
        <f>IF(ISBLANK(Table1[[#This Row],[Date]]),"",Table1[[#This Row],[Date]]-WEEKDAY(Table1[[#This Row],[Date]],2)+1)</f>
        <v>43892</v>
      </c>
      <c r="S1107" s="131">
        <f>IF(ISBLANK(Table1[[#This Row],[Date]]),"",DATE(Table1[[#This Row],[Date_Year]],Table1[[#This Row],[Date_Month]],1))</f>
        <v>43891</v>
      </c>
    </row>
    <row r="1108" spans="2:19" ht="15.75" x14ac:dyDescent="0.25">
      <c r="B1108" s="133">
        <v>43893</v>
      </c>
      <c r="C1108" s="128" t="s">
        <v>336</v>
      </c>
      <c r="D1108" s="128" t="s">
        <v>52</v>
      </c>
      <c r="E1108" s="128" t="str" cm="1">
        <f t="array" ref="E1108">IFERROR(INDEX(SubcategoriesTable[Subcategory name],MATCH(Table1[[#This Row],[Category]],SubcategoriesTable[Category name],0),0),"")</f>
        <v>Variable</v>
      </c>
      <c r="F1108" s="134">
        <v>-18.61</v>
      </c>
      <c r="G1108" s="167" t="str">
        <f>_xlfn.XLOOKUP(Table1[[#This Row],[Account_ID]], Accounts[ID], Accounts[Account nickname], "Unknown")</f>
        <v>EVERYDAY CHECKING</v>
      </c>
      <c r="H1108" s="137" t="str">
        <f>_xlfn.XLOOKUP(Table1[[#This Row],[Account_ID]], Accounts[ID], Accounts[Account'#], "Unknown")</f>
        <v>4636</v>
      </c>
      <c r="I1108" s="168" t="str">
        <f>_xlfn.XLOOKUP(Table1[[#This Row],[Institution_ID]], Institutions[ID], Institutions[Institution nickname], "Unknown")</f>
        <v>Wells Fargo</v>
      </c>
      <c r="J1108" s="139" t="s">
        <v>1814</v>
      </c>
      <c r="K1108" s="129" t="s">
        <v>1229</v>
      </c>
      <c r="L1108" s="129" t="s">
        <v>1228</v>
      </c>
      <c r="M1108" s="130" t="str" cm="1">
        <f t="array" ref="M1108">IFERROR(INDEX(CategoriesTable[Category type],MATCH(Table1[[#This Row],[Category]],CategoriesTable[Category name],0),0),"")</f>
        <v>Expense</v>
      </c>
      <c r="N1108" s="130" t="str" cm="1">
        <f t="array" ref="N1108">IFERROR(INDEX(SubcategoriesTable[Subcategory name],MATCH(Table1[[#This Row],[Category]],SubcategoriesTable[Category name],0),0),"")</f>
        <v>Variable</v>
      </c>
      <c r="O1108" s="130">
        <v>3</v>
      </c>
      <c r="P1108" s="130">
        <f>MONTH(Table1[[#This Row],[Date]])</f>
        <v>3</v>
      </c>
      <c r="Q1108" s="130">
        <v>2020</v>
      </c>
      <c r="R1108" s="166">
        <f>IF(ISBLANK(Table1[[#This Row],[Date]]),"",Table1[[#This Row],[Date]]-WEEKDAY(Table1[[#This Row],[Date]],2)+1)</f>
        <v>43892</v>
      </c>
      <c r="S1108" s="131">
        <f>IF(ISBLANK(Table1[[#This Row],[Date]]),"",DATE(Table1[[#This Row],[Date_Year]],Table1[[#This Row],[Date_Month]],1))</f>
        <v>43891</v>
      </c>
    </row>
    <row r="1109" spans="2:19" ht="15.75" x14ac:dyDescent="0.25">
      <c r="B1109" s="133">
        <v>43892</v>
      </c>
      <c r="C1109" s="128" t="s">
        <v>1815</v>
      </c>
      <c r="D1109" s="128" t="s">
        <v>45</v>
      </c>
      <c r="E1109" s="128" t="str" cm="1">
        <f t="array" ref="E1109">IFERROR(INDEX(SubcategoriesTable[Subcategory name],MATCH(Table1[[#This Row],[Category]],SubcategoriesTable[Category name],0),0),"")</f>
        <v>Variable</v>
      </c>
      <c r="F1109" s="134">
        <v>-26.43</v>
      </c>
      <c r="G1109" s="167" t="str">
        <f>_xlfn.XLOOKUP(Table1[[#This Row],[Account_ID]], Accounts[ID], Accounts[Account nickname], "Unknown")</f>
        <v>EVERYDAY CHECKING</v>
      </c>
      <c r="H1109" s="137" t="str">
        <f>_xlfn.XLOOKUP(Table1[[#This Row],[Account_ID]], Accounts[ID], Accounts[Account'#], "Unknown")</f>
        <v>4636</v>
      </c>
      <c r="I1109" s="168" t="str">
        <f>_xlfn.XLOOKUP(Table1[[#This Row],[Institution_ID]], Institutions[ID], Institutions[Institution nickname], "Unknown")</f>
        <v>Wells Fargo</v>
      </c>
      <c r="J1109" s="139" t="s">
        <v>1816</v>
      </c>
      <c r="K1109" s="129" t="s">
        <v>1229</v>
      </c>
      <c r="L1109" s="129" t="s">
        <v>1228</v>
      </c>
      <c r="M1109" s="130" t="str" cm="1">
        <f t="array" ref="M1109">IFERROR(INDEX(CategoriesTable[Category type],MATCH(Table1[[#This Row],[Category]],CategoriesTable[Category name],0),0),"")</f>
        <v>Expense</v>
      </c>
      <c r="N1109" s="130" t="str" cm="1">
        <f t="array" ref="N1109">IFERROR(INDEX(SubcategoriesTable[Subcategory name],MATCH(Table1[[#This Row],[Category]],SubcategoriesTable[Category name],0),0),"")</f>
        <v>Variable</v>
      </c>
      <c r="O1109" s="130">
        <v>2</v>
      </c>
      <c r="P1109" s="130">
        <f>MONTH(Table1[[#This Row],[Date]])</f>
        <v>3</v>
      </c>
      <c r="Q1109" s="130">
        <v>2020</v>
      </c>
      <c r="R1109" s="166">
        <f>IF(ISBLANK(Table1[[#This Row],[Date]]),"",Table1[[#This Row],[Date]]-WEEKDAY(Table1[[#This Row],[Date]],2)+1)</f>
        <v>43892</v>
      </c>
      <c r="S1109" s="131">
        <f>IF(ISBLANK(Table1[[#This Row],[Date]]),"",DATE(Table1[[#This Row],[Date_Year]],Table1[[#This Row],[Date_Month]],1))</f>
        <v>43891</v>
      </c>
    </row>
    <row r="1110" spans="2:19" ht="15.75" x14ac:dyDescent="0.25">
      <c r="B1110" s="133">
        <v>43892</v>
      </c>
      <c r="C1110" s="128" t="s">
        <v>531</v>
      </c>
      <c r="D1110" s="128" t="s">
        <v>45</v>
      </c>
      <c r="E1110" s="128" t="str" cm="1">
        <f t="array" ref="E1110">IFERROR(INDEX(SubcategoriesTable[Subcategory name],MATCH(Table1[[#This Row],[Category]],SubcategoriesTable[Category name],0),0),"")</f>
        <v>Variable</v>
      </c>
      <c r="F1110" s="134">
        <v>-1.4</v>
      </c>
      <c r="G1110" s="167" t="str">
        <f>_xlfn.XLOOKUP(Table1[[#This Row],[Account_ID]], Accounts[ID], Accounts[Account nickname], "Unknown")</f>
        <v>EVERYDAY CHECKING</v>
      </c>
      <c r="H1110" s="137" t="str">
        <f>_xlfn.XLOOKUP(Table1[[#This Row],[Account_ID]], Accounts[ID], Accounts[Account'#], "Unknown")</f>
        <v>4636</v>
      </c>
      <c r="I1110" s="168" t="str">
        <f>_xlfn.XLOOKUP(Table1[[#This Row],[Institution_ID]], Institutions[ID], Institutions[Institution nickname], "Unknown")</f>
        <v>Wells Fargo</v>
      </c>
      <c r="J1110" s="139" t="s">
        <v>1817</v>
      </c>
      <c r="K1110" s="129" t="s">
        <v>1229</v>
      </c>
      <c r="L1110" s="129" t="s">
        <v>1228</v>
      </c>
      <c r="M1110" s="130" t="str" cm="1">
        <f t="array" ref="M1110">IFERROR(INDEX(CategoriesTable[Category type],MATCH(Table1[[#This Row],[Category]],CategoriesTable[Category name],0),0),"")</f>
        <v>Expense</v>
      </c>
      <c r="N1110" s="130" t="str" cm="1">
        <f t="array" ref="N1110">IFERROR(INDEX(SubcategoriesTable[Subcategory name],MATCH(Table1[[#This Row],[Category]],SubcategoriesTable[Category name],0),0),"")</f>
        <v>Variable</v>
      </c>
      <c r="O1110" s="130">
        <v>2</v>
      </c>
      <c r="P1110" s="130">
        <f>MONTH(Table1[[#This Row],[Date]])</f>
        <v>3</v>
      </c>
      <c r="Q1110" s="130">
        <v>2020</v>
      </c>
      <c r="R1110" s="166">
        <f>IF(ISBLANK(Table1[[#This Row],[Date]]),"",Table1[[#This Row],[Date]]-WEEKDAY(Table1[[#This Row],[Date]],2)+1)</f>
        <v>43892</v>
      </c>
      <c r="S1110" s="131">
        <f>IF(ISBLANK(Table1[[#This Row],[Date]]),"",DATE(Table1[[#This Row],[Date_Year]],Table1[[#This Row],[Date_Month]],1))</f>
        <v>43891</v>
      </c>
    </row>
    <row r="1111" spans="2:19" ht="15.75" x14ac:dyDescent="0.25">
      <c r="B1111" s="133">
        <v>43892</v>
      </c>
      <c r="C1111" s="128" t="s">
        <v>1071</v>
      </c>
      <c r="D1111" s="128" t="s">
        <v>45</v>
      </c>
      <c r="E1111" s="128" t="str" cm="1">
        <f t="array" ref="E1111">IFERROR(INDEX(SubcategoriesTable[Subcategory name],MATCH(Table1[[#This Row],[Category]],SubcategoriesTable[Category name],0),0),"")</f>
        <v>Variable</v>
      </c>
      <c r="F1111" s="134">
        <v>-12.3</v>
      </c>
      <c r="G1111" s="167" t="str">
        <f>_xlfn.XLOOKUP(Table1[[#This Row],[Account_ID]], Accounts[ID], Accounts[Account nickname], "Unknown")</f>
        <v>EVERYDAY CHECKING</v>
      </c>
      <c r="H1111" s="137" t="str">
        <f>_xlfn.XLOOKUP(Table1[[#This Row],[Account_ID]], Accounts[ID], Accounts[Account'#], "Unknown")</f>
        <v>4636</v>
      </c>
      <c r="I1111" s="168" t="str">
        <f>_xlfn.XLOOKUP(Table1[[#This Row],[Institution_ID]], Institutions[ID], Institutions[Institution nickname], "Unknown")</f>
        <v>Wells Fargo</v>
      </c>
      <c r="J1111" s="139" t="s">
        <v>1818</v>
      </c>
      <c r="K1111" s="129" t="s">
        <v>1229</v>
      </c>
      <c r="L1111" s="129" t="s">
        <v>1228</v>
      </c>
      <c r="M1111" s="130" t="str" cm="1">
        <f t="array" ref="M1111">IFERROR(INDEX(CategoriesTable[Category type],MATCH(Table1[[#This Row],[Category]],CategoriesTable[Category name],0),0),"")</f>
        <v>Expense</v>
      </c>
      <c r="N1111" s="130" t="str" cm="1">
        <f t="array" ref="N1111">IFERROR(INDEX(SubcategoriesTable[Subcategory name],MATCH(Table1[[#This Row],[Category]],SubcategoriesTable[Category name],0),0),"")</f>
        <v>Variable</v>
      </c>
      <c r="O1111" s="130">
        <v>2</v>
      </c>
      <c r="P1111" s="130">
        <f>MONTH(Table1[[#This Row],[Date]])</f>
        <v>3</v>
      </c>
      <c r="Q1111" s="130">
        <v>2020</v>
      </c>
      <c r="R1111" s="166">
        <f>IF(ISBLANK(Table1[[#This Row],[Date]]),"",Table1[[#This Row],[Date]]-WEEKDAY(Table1[[#This Row],[Date]],2)+1)</f>
        <v>43892</v>
      </c>
      <c r="S1111" s="131">
        <f>IF(ISBLANK(Table1[[#This Row],[Date]]),"",DATE(Table1[[#This Row],[Date_Year]],Table1[[#This Row],[Date_Month]],1))</f>
        <v>43891</v>
      </c>
    </row>
    <row r="1112" spans="2:19" ht="15.75" x14ac:dyDescent="0.25">
      <c r="B1112" s="133">
        <v>43892</v>
      </c>
      <c r="C1112" s="128" t="s">
        <v>201</v>
      </c>
      <c r="D1112" s="128" t="s">
        <v>48</v>
      </c>
      <c r="E1112" s="128" t="str" cm="1">
        <f t="array" ref="E1112">IFERROR(INDEX(SubcategoriesTable[Subcategory name],MATCH(Table1[[#This Row],[Category]],SubcategoriesTable[Category name],0),0),"")</f>
        <v>Variable</v>
      </c>
      <c r="F1112" s="134">
        <v>-83</v>
      </c>
      <c r="G1112" s="167" t="str">
        <f>_xlfn.XLOOKUP(Table1[[#This Row],[Account_ID]], Accounts[ID], Accounts[Account nickname], "Unknown")</f>
        <v>EVERYDAY CHECKING</v>
      </c>
      <c r="H1112" s="137" t="str">
        <f>_xlfn.XLOOKUP(Table1[[#This Row],[Account_ID]], Accounts[ID], Accounts[Account'#], "Unknown")</f>
        <v>4636</v>
      </c>
      <c r="I1112" s="168" t="str">
        <f>_xlfn.XLOOKUP(Table1[[#This Row],[Institution_ID]], Institutions[ID], Institutions[Institution nickname], "Unknown")</f>
        <v>Wells Fargo</v>
      </c>
      <c r="J1112" s="139" t="s">
        <v>1819</v>
      </c>
      <c r="K1112" s="129" t="s">
        <v>1229</v>
      </c>
      <c r="L1112" s="129" t="s">
        <v>1228</v>
      </c>
      <c r="M1112" s="130" t="str" cm="1">
        <f t="array" ref="M1112">IFERROR(INDEX(CategoriesTable[Category type],MATCH(Table1[[#This Row],[Category]],CategoriesTable[Category name],0),0),"")</f>
        <v>Expense</v>
      </c>
      <c r="N1112" s="130" t="str" cm="1">
        <f t="array" ref="N1112">IFERROR(INDEX(SubcategoriesTable[Subcategory name],MATCH(Table1[[#This Row],[Category]],SubcategoriesTable[Category name],0),0),"")</f>
        <v>Variable</v>
      </c>
      <c r="O1112" s="130">
        <v>2</v>
      </c>
      <c r="P1112" s="130">
        <f>MONTH(Table1[[#This Row],[Date]])</f>
        <v>3</v>
      </c>
      <c r="Q1112" s="130">
        <v>2020</v>
      </c>
      <c r="R1112" s="166">
        <f>IF(ISBLANK(Table1[[#This Row],[Date]]),"",Table1[[#This Row],[Date]]-WEEKDAY(Table1[[#This Row],[Date]],2)+1)</f>
        <v>43892</v>
      </c>
      <c r="S1112" s="131">
        <f>IF(ISBLANK(Table1[[#This Row],[Date]]),"",DATE(Table1[[#This Row],[Date_Year]],Table1[[#This Row],[Date_Month]],1))</f>
        <v>43891</v>
      </c>
    </row>
    <row r="1113" spans="2:19" ht="15.75" x14ac:dyDescent="0.25">
      <c r="B1113" s="133">
        <v>43891</v>
      </c>
      <c r="C1113" s="128" t="s">
        <v>1820</v>
      </c>
      <c r="D1113" s="128" t="s">
        <v>45</v>
      </c>
      <c r="E1113" s="128" t="str" cm="1">
        <f t="array" ref="E1113">IFERROR(INDEX(SubcategoriesTable[Subcategory name],MATCH(Table1[[#This Row],[Category]],SubcategoriesTable[Category name],0),0),"")</f>
        <v>Variable</v>
      </c>
      <c r="F1113" s="134">
        <v>-15.57</v>
      </c>
      <c r="G1113" s="167" t="str">
        <f>_xlfn.XLOOKUP(Table1[[#This Row],[Account_ID]], Accounts[ID], Accounts[Account nickname], "Unknown")</f>
        <v>EVERYDAY CHECKING</v>
      </c>
      <c r="H1113" s="137" t="str">
        <f>_xlfn.XLOOKUP(Table1[[#This Row],[Account_ID]], Accounts[ID], Accounts[Account'#], "Unknown")</f>
        <v>4636</v>
      </c>
      <c r="I1113" s="168" t="str">
        <f>_xlfn.XLOOKUP(Table1[[#This Row],[Institution_ID]], Institutions[ID], Institutions[Institution nickname], "Unknown")</f>
        <v>Wells Fargo</v>
      </c>
      <c r="J1113" s="139" t="s">
        <v>1821</v>
      </c>
      <c r="K1113" s="129" t="s">
        <v>1229</v>
      </c>
      <c r="L1113" s="129" t="s">
        <v>1228</v>
      </c>
      <c r="M1113" s="130" t="str" cm="1">
        <f t="array" ref="M1113">IFERROR(INDEX(CategoriesTable[Category type],MATCH(Table1[[#This Row],[Category]],CategoriesTable[Category name],0),0),"")</f>
        <v>Expense</v>
      </c>
      <c r="N1113" s="130" t="str" cm="1">
        <f t="array" ref="N1113">IFERROR(INDEX(SubcategoriesTable[Subcategory name],MATCH(Table1[[#This Row],[Category]],SubcategoriesTable[Category name],0),0),"")</f>
        <v>Variable</v>
      </c>
      <c r="O1113" s="130">
        <v>1</v>
      </c>
      <c r="P1113" s="130">
        <f>MONTH(Table1[[#This Row],[Date]])</f>
        <v>3</v>
      </c>
      <c r="Q1113" s="130">
        <v>2020</v>
      </c>
      <c r="R1113" s="166">
        <f>IF(ISBLANK(Table1[[#This Row],[Date]]),"",Table1[[#This Row],[Date]]-WEEKDAY(Table1[[#This Row],[Date]],2)+1)</f>
        <v>43885</v>
      </c>
      <c r="S1113" s="131">
        <f>IF(ISBLANK(Table1[[#This Row],[Date]]),"",DATE(Table1[[#This Row],[Date_Year]],Table1[[#This Row],[Date_Month]],1))</f>
        <v>43891</v>
      </c>
    </row>
    <row r="1114" spans="2:19" ht="15.75" x14ac:dyDescent="0.25">
      <c r="B1114" s="133">
        <v>43891</v>
      </c>
      <c r="C1114" s="128" t="s">
        <v>167</v>
      </c>
      <c r="D1114" s="128" t="s">
        <v>52</v>
      </c>
      <c r="E1114" s="128" t="str" cm="1">
        <f t="array" ref="E1114">IFERROR(INDEX(SubcategoriesTable[Subcategory name],MATCH(Table1[[#This Row],[Category]],SubcategoriesTable[Category name],0),0),"")</f>
        <v>Variable</v>
      </c>
      <c r="F1114" s="134">
        <v>-10.42</v>
      </c>
      <c r="G1114" s="167" t="str">
        <f>_xlfn.XLOOKUP(Table1[[#This Row],[Account_ID]], Accounts[ID], Accounts[Account nickname], "Unknown")</f>
        <v>EVERYDAY CHECKING</v>
      </c>
      <c r="H1114" s="137" t="str">
        <f>_xlfn.XLOOKUP(Table1[[#This Row],[Account_ID]], Accounts[ID], Accounts[Account'#], "Unknown")</f>
        <v>4636</v>
      </c>
      <c r="I1114" s="168" t="str">
        <f>_xlfn.XLOOKUP(Table1[[#This Row],[Institution_ID]], Institutions[ID], Institutions[Institution nickname], "Unknown")</f>
        <v>Wells Fargo</v>
      </c>
      <c r="J1114" s="139" t="s">
        <v>1822</v>
      </c>
      <c r="K1114" s="129" t="s">
        <v>1229</v>
      </c>
      <c r="L1114" s="129" t="s">
        <v>1228</v>
      </c>
      <c r="M1114" s="130" t="str" cm="1">
        <f t="array" ref="M1114">IFERROR(INDEX(CategoriesTable[Category type],MATCH(Table1[[#This Row],[Category]],CategoriesTable[Category name],0),0),"")</f>
        <v>Expense</v>
      </c>
      <c r="N1114" s="130" t="str" cm="1">
        <f t="array" ref="N1114">IFERROR(INDEX(SubcategoriesTable[Subcategory name],MATCH(Table1[[#This Row],[Category]],SubcategoriesTable[Category name],0),0),"")</f>
        <v>Variable</v>
      </c>
      <c r="O1114" s="130">
        <v>1</v>
      </c>
      <c r="P1114" s="130">
        <f>MONTH(Table1[[#This Row],[Date]])</f>
        <v>3</v>
      </c>
      <c r="Q1114" s="130">
        <v>2020</v>
      </c>
      <c r="R1114" s="166">
        <f>IF(ISBLANK(Table1[[#This Row],[Date]]),"",Table1[[#This Row],[Date]]-WEEKDAY(Table1[[#This Row],[Date]],2)+1)</f>
        <v>43885</v>
      </c>
      <c r="S1114" s="131">
        <f>IF(ISBLANK(Table1[[#This Row],[Date]]),"",DATE(Table1[[#This Row],[Date_Year]],Table1[[#This Row],[Date_Month]],1))</f>
        <v>43891</v>
      </c>
    </row>
    <row r="1115" spans="2:19" ht="15.75" x14ac:dyDescent="0.25">
      <c r="B1115" s="133">
        <v>43891</v>
      </c>
      <c r="C1115" s="128" t="s">
        <v>757</v>
      </c>
      <c r="D1115" s="128" t="s">
        <v>45</v>
      </c>
      <c r="E1115" s="128" t="str" cm="1">
        <f t="array" ref="E1115">IFERROR(INDEX(SubcategoriesTable[Subcategory name],MATCH(Table1[[#This Row],[Category]],SubcategoriesTable[Category name],0),0),"")</f>
        <v>Variable</v>
      </c>
      <c r="F1115" s="134">
        <v>-31</v>
      </c>
      <c r="G1115" s="167" t="str">
        <f>_xlfn.XLOOKUP(Table1[[#This Row],[Account_ID]], Accounts[ID], Accounts[Account nickname], "Unknown")</f>
        <v>Discover it chrome Card</v>
      </c>
      <c r="H1115" s="137" t="str">
        <f>_xlfn.XLOOKUP(Table1[[#This Row],[Account_ID]], Accounts[ID], Accounts[Account'#], "Unknown")</f>
        <v>7328</v>
      </c>
      <c r="I1115" s="168" t="str">
        <f>_xlfn.XLOOKUP(Table1[[#This Row],[Institution_ID]], Institutions[ID], Institutions[Institution nickname], "Unknown")</f>
        <v>Discover</v>
      </c>
      <c r="J1115" s="139" t="s">
        <v>983</v>
      </c>
      <c r="K1115" s="129" t="s">
        <v>110</v>
      </c>
      <c r="L1115" s="129" t="s">
        <v>108</v>
      </c>
      <c r="M1115" s="130" t="str" cm="1">
        <f t="array" ref="M1115">IFERROR(INDEX(CategoriesTable[Category type],MATCH(Table1[[#This Row],[Category]],CategoriesTable[Category name],0),0),"")</f>
        <v>Expense</v>
      </c>
      <c r="N1115" s="130" t="str" cm="1">
        <f t="array" ref="N1115">IFERROR(INDEX(SubcategoriesTable[Subcategory name],MATCH(Table1[[#This Row],[Category]],SubcategoriesTable[Category name],0),0),"")</f>
        <v>Variable</v>
      </c>
      <c r="O1115" s="130">
        <v>1</v>
      </c>
      <c r="P1115" s="130">
        <f>MONTH(Table1[[#This Row],[Date]])</f>
        <v>3</v>
      </c>
      <c r="Q1115" s="130">
        <v>2020</v>
      </c>
      <c r="R1115" s="166">
        <f>IF(ISBLANK(Table1[[#This Row],[Date]]),"",Table1[[#This Row],[Date]]-WEEKDAY(Table1[[#This Row],[Date]],2)+1)</f>
        <v>43885</v>
      </c>
      <c r="S1115" s="131">
        <f>IF(ISBLANK(Table1[[#This Row],[Date]]),"",DATE(Table1[[#This Row],[Date_Year]],Table1[[#This Row],[Date_Month]],1))</f>
        <v>43891</v>
      </c>
    </row>
    <row r="1116" spans="2:19" ht="15.75" x14ac:dyDescent="0.25">
      <c r="B1116" s="133">
        <v>43891</v>
      </c>
      <c r="C1116" s="128" t="s">
        <v>167</v>
      </c>
      <c r="D1116" s="128" t="s">
        <v>52</v>
      </c>
      <c r="E1116" s="128" t="str" cm="1">
        <f t="array" ref="E1116">IFERROR(INDEX(SubcategoriesTable[Subcategory name],MATCH(Table1[[#This Row],[Category]],SubcategoriesTable[Category name],0),0),"")</f>
        <v>Variable</v>
      </c>
      <c r="F1116" s="134">
        <v>-15.11</v>
      </c>
      <c r="G1116" s="167" t="str">
        <f>_xlfn.XLOOKUP(Table1[[#This Row],[Account_ID]], Accounts[ID], Accounts[Account nickname], "Unknown")</f>
        <v>Discover it chrome Card</v>
      </c>
      <c r="H1116" s="137" t="str">
        <f>_xlfn.XLOOKUP(Table1[[#This Row],[Account_ID]], Accounts[ID], Accounts[Account'#], "Unknown")</f>
        <v>7328</v>
      </c>
      <c r="I1116" s="168" t="str">
        <f>_xlfn.XLOOKUP(Table1[[#This Row],[Institution_ID]], Institutions[ID], Institutions[Institution nickname], "Unknown")</f>
        <v>Discover</v>
      </c>
      <c r="J1116" s="139" t="s">
        <v>984</v>
      </c>
      <c r="K1116" s="129" t="s">
        <v>110</v>
      </c>
      <c r="L1116" s="129" t="s">
        <v>108</v>
      </c>
      <c r="M1116" s="130" t="str" cm="1">
        <f t="array" ref="M1116">IFERROR(INDEX(CategoriesTable[Category type],MATCH(Table1[[#This Row],[Category]],CategoriesTable[Category name],0),0),"")</f>
        <v>Expense</v>
      </c>
      <c r="N1116" s="130" t="str" cm="1">
        <f t="array" ref="N1116">IFERROR(INDEX(SubcategoriesTable[Subcategory name],MATCH(Table1[[#This Row],[Category]],SubcategoriesTable[Category name],0),0),"")</f>
        <v>Variable</v>
      </c>
      <c r="O1116" s="130">
        <v>1</v>
      </c>
      <c r="P1116" s="130">
        <f>MONTH(Table1[[#This Row],[Date]])</f>
        <v>3</v>
      </c>
      <c r="Q1116" s="130">
        <v>2020</v>
      </c>
      <c r="R1116" s="166">
        <f>IF(ISBLANK(Table1[[#This Row],[Date]]),"",Table1[[#This Row],[Date]]-WEEKDAY(Table1[[#This Row],[Date]],2)+1)</f>
        <v>43885</v>
      </c>
      <c r="S1116" s="131">
        <f>IF(ISBLANK(Table1[[#This Row],[Date]]),"",DATE(Table1[[#This Row],[Date_Year]],Table1[[#This Row],[Date_Month]],1))</f>
        <v>43891</v>
      </c>
    </row>
    <row r="1117" spans="2:19" ht="15.75" x14ac:dyDescent="0.25">
      <c r="B1117" s="133">
        <v>43891</v>
      </c>
      <c r="C1117" s="128" t="s">
        <v>201</v>
      </c>
      <c r="D1117" s="128" t="s">
        <v>48</v>
      </c>
      <c r="E1117" s="128" t="str" cm="1">
        <f t="array" ref="E1117">IFERROR(INDEX(SubcategoriesTable[Subcategory name],MATCH(Table1[[#This Row],[Category]],SubcategoriesTable[Category name],0),0),"")</f>
        <v>Variable</v>
      </c>
      <c r="F1117" s="134">
        <v>-112.99</v>
      </c>
      <c r="G1117" s="167" t="str">
        <f>_xlfn.XLOOKUP(Table1[[#This Row],[Account_ID]], Accounts[ID], Accounts[Account nickname], "Unknown")</f>
        <v>Discover it chrome Card</v>
      </c>
      <c r="H1117" s="137" t="str">
        <f>_xlfn.XLOOKUP(Table1[[#This Row],[Account_ID]], Accounts[ID], Accounts[Account'#], "Unknown")</f>
        <v>7328</v>
      </c>
      <c r="I1117" s="168" t="str">
        <f>_xlfn.XLOOKUP(Table1[[#This Row],[Institution_ID]], Institutions[ID], Institutions[Institution nickname], "Unknown")</f>
        <v>Discover</v>
      </c>
      <c r="J1117" s="139" t="s">
        <v>985</v>
      </c>
      <c r="K1117" s="129" t="s">
        <v>110</v>
      </c>
      <c r="L1117" s="129" t="s">
        <v>108</v>
      </c>
      <c r="M1117" s="130" t="str" cm="1">
        <f t="array" ref="M1117">IFERROR(INDEX(CategoriesTable[Category type],MATCH(Table1[[#This Row],[Category]],CategoriesTable[Category name],0),0),"")</f>
        <v>Expense</v>
      </c>
      <c r="N1117" s="130" t="str" cm="1">
        <f t="array" ref="N1117">IFERROR(INDEX(SubcategoriesTable[Subcategory name],MATCH(Table1[[#This Row],[Category]],SubcategoriesTable[Category name],0),0),"")</f>
        <v>Variable</v>
      </c>
      <c r="O1117" s="130">
        <v>1</v>
      </c>
      <c r="P1117" s="130">
        <f>MONTH(Table1[[#This Row],[Date]])</f>
        <v>3</v>
      </c>
      <c r="Q1117" s="130">
        <v>2020</v>
      </c>
      <c r="R1117" s="166">
        <f>IF(ISBLANK(Table1[[#This Row],[Date]]),"",Table1[[#This Row],[Date]]-WEEKDAY(Table1[[#This Row],[Date]],2)+1)</f>
        <v>43885</v>
      </c>
      <c r="S1117" s="131">
        <f>IF(ISBLANK(Table1[[#This Row],[Date]]),"",DATE(Table1[[#This Row],[Date_Year]],Table1[[#This Row],[Date_Month]],1))</f>
        <v>43891</v>
      </c>
    </row>
    <row r="1118" spans="2:19" ht="15.75" x14ac:dyDescent="0.25">
      <c r="B1118" s="133">
        <v>43889</v>
      </c>
      <c r="C1118" s="128" t="s">
        <v>1720</v>
      </c>
      <c r="D1118" s="128" t="s">
        <v>56</v>
      </c>
      <c r="E1118" s="128" t="str" cm="1">
        <f t="array" ref="E1118">IFERROR(INDEX(SubcategoriesTable[Subcategory name],MATCH(Table1[[#This Row],[Category]],SubcategoriesTable[Category name],0),0),"")</f>
        <v>Variable</v>
      </c>
      <c r="F1118" s="134">
        <v>-478.07</v>
      </c>
      <c r="G1118" s="167" t="str">
        <f>_xlfn.XLOOKUP(Table1[[#This Row],[Account_ID]], Accounts[ID], Accounts[Account nickname], "Unknown")</f>
        <v>EVERYDAY CHECKING</v>
      </c>
      <c r="H1118" s="137" t="str">
        <f>_xlfn.XLOOKUP(Table1[[#This Row],[Account_ID]], Accounts[ID], Accounts[Account'#], "Unknown")</f>
        <v>4636</v>
      </c>
      <c r="I1118" s="168" t="str">
        <f>_xlfn.XLOOKUP(Table1[[#This Row],[Institution_ID]], Institutions[ID], Institutions[Institution nickname], "Unknown")</f>
        <v>Wells Fargo</v>
      </c>
      <c r="J1118" s="139" t="s">
        <v>1823</v>
      </c>
      <c r="K1118" s="129" t="s">
        <v>1229</v>
      </c>
      <c r="L1118" s="129" t="s">
        <v>1228</v>
      </c>
      <c r="M1118" s="130" t="str" cm="1">
        <f t="array" ref="M1118">IFERROR(INDEX(CategoriesTable[Category type],MATCH(Table1[[#This Row],[Category]],CategoriesTable[Category name],0),0),"")</f>
        <v>Expense</v>
      </c>
      <c r="N1118" s="130" t="str" cm="1">
        <f t="array" ref="N1118">IFERROR(INDEX(SubcategoriesTable[Subcategory name],MATCH(Table1[[#This Row],[Category]],SubcategoriesTable[Category name],0),0),"")</f>
        <v>Variable</v>
      </c>
      <c r="O1118" s="130">
        <v>28</v>
      </c>
      <c r="P1118" s="130">
        <f>MONTH(Table1[[#This Row],[Date]])</f>
        <v>2</v>
      </c>
      <c r="Q1118" s="130">
        <v>2020</v>
      </c>
      <c r="R1118" s="166">
        <f>IF(ISBLANK(Table1[[#This Row],[Date]]),"",Table1[[#This Row],[Date]]-WEEKDAY(Table1[[#This Row],[Date]],2)+1)</f>
        <v>43885</v>
      </c>
      <c r="S1118" s="131">
        <f>IF(ISBLANK(Table1[[#This Row],[Date]]),"",DATE(Table1[[#This Row],[Date_Year]],Table1[[#This Row],[Date_Month]],1))</f>
        <v>43862</v>
      </c>
    </row>
    <row r="1119" spans="2:19" ht="15.75" x14ac:dyDescent="0.25">
      <c r="B1119" s="133">
        <v>43889</v>
      </c>
      <c r="C1119" s="128" t="s">
        <v>1181</v>
      </c>
      <c r="D1119" s="128" t="s">
        <v>59</v>
      </c>
      <c r="E1119" s="128" t="str" cm="1">
        <f t="array" ref="E1119">IFERROR(INDEX(SubcategoriesTable[Subcategory name],MATCH(Table1[[#This Row],[Category]],SubcategoriesTable[Category name],0),0),"")</f>
        <v>Fixed</v>
      </c>
      <c r="F1119" s="134">
        <v>1479.15</v>
      </c>
      <c r="G1119" s="167" t="str">
        <f>_xlfn.XLOOKUP(Table1[[#This Row],[Account_ID]], Accounts[ID], Accounts[Account nickname], "Unknown")</f>
        <v>EVERYDAY CHECKING</v>
      </c>
      <c r="H1119" s="137" t="str">
        <f>_xlfn.XLOOKUP(Table1[[#This Row],[Account_ID]], Accounts[ID], Accounts[Account'#], "Unknown")</f>
        <v>4636</v>
      </c>
      <c r="I1119" s="168" t="str">
        <f>_xlfn.XLOOKUP(Table1[[#This Row],[Institution_ID]], Institutions[ID], Institutions[Institution nickname], "Unknown")</f>
        <v>Wells Fargo</v>
      </c>
      <c r="J1119" s="139" t="s">
        <v>1824</v>
      </c>
      <c r="K1119" s="129" t="s">
        <v>1229</v>
      </c>
      <c r="L1119" s="129" t="s">
        <v>1228</v>
      </c>
      <c r="M1119" s="130" t="str" cm="1">
        <f t="array" ref="M1119">IFERROR(INDEX(CategoriesTable[Category type],MATCH(Table1[[#This Row],[Category]],CategoriesTable[Category name],0),0),"")</f>
        <v>Income</v>
      </c>
      <c r="N1119" s="130" t="str" cm="1">
        <f t="array" ref="N1119">IFERROR(INDEX(SubcategoriesTable[Subcategory name],MATCH(Table1[[#This Row],[Category]],SubcategoriesTable[Category name],0),0),"")</f>
        <v>Fixed</v>
      </c>
      <c r="O1119" s="130">
        <v>28</v>
      </c>
      <c r="P1119" s="130">
        <f>MONTH(Table1[[#This Row],[Date]])</f>
        <v>2</v>
      </c>
      <c r="Q1119" s="130">
        <v>2020</v>
      </c>
      <c r="R1119" s="166">
        <f>IF(ISBLANK(Table1[[#This Row],[Date]]),"",Table1[[#This Row],[Date]]-WEEKDAY(Table1[[#This Row],[Date]],2)+1)</f>
        <v>43885</v>
      </c>
      <c r="S1119" s="131">
        <f>IF(ISBLANK(Table1[[#This Row],[Date]]),"",DATE(Table1[[#This Row],[Date_Year]],Table1[[#This Row],[Date_Month]],1))</f>
        <v>43862</v>
      </c>
    </row>
    <row r="1120" spans="2:19" ht="15.75" x14ac:dyDescent="0.25">
      <c r="B1120" s="133">
        <v>43889</v>
      </c>
      <c r="C1120" s="128" t="s">
        <v>1652</v>
      </c>
      <c r="D1120" s="128" t="s">
        <v>2369</v>
      </c>
      <c r="E1120" s="128" t="str" cm="1">
        <f t="array" ref="E1120">IFERROR(INDEX(SubcategoriesTable[Subcategory name],MATCH(Table1[[#This Row],[Category]],SubcategoriesTable[Category name],0),0),"")</f>
        <v>Variable</v>
      </c>
      <c r="F1120" s="134">
        <v>-347.1</v>
      </c>
      <c r="G1120" s="167" t="str">
        <f>_xlfn.XLOOKUP(Table1[[#This Row],[Account_ID]], Accounts[ID], Accounts[Account nickname], "Unknown")</f>
        <v>EVERYDAY CHECKING</v>
      </c>
      <c r="H1120" s="137" t="str">
        <f>_xlfn.XLOOKUP(Table1[[#This Row],[Account_ID]], Accounts[ID], Accounts[Account'#], "Unknown")</f>
        <v>4636</v>
      </c>
      <c r="I1120" s="168" t="str">
        <f>_xlfn.XLOOKUP(Table1[[#This Row],[Institution_ID]], Institutions[ID], Institutions[Institution nickname], "Unknown")</f>
        <v>Wells Fargo</v>
      </c>
      <c r="J1120" s="139" t="s">
        <v>1825</v>
      </c>
      <c r="K1120" s="129" t="s">
        <v>1229</v>
      </c>
      <c r="L1120" s="129" t="s">
        <v>1228</v>
      </c>
      <c r="M1120" s="130" t="str" cm="1">
        <f t="array" ref="M1120">IFERROR(INDEX(CategoriesTable[Category type],MATCH(Table1[[#This Row],[Category]],CategoriesTable[Category name],0),0),"")</f>
        <v>Expense</v>
      </c>
      <c r="N1120" s="130" t="str" cm="1">
        <f t="array" ref="N1120">IFERROR(INDEX(SubcategoriesTable[Subcategory name],MATCH(Table1[[#This Row],[Category]],SubcategoriesTable[Category name],0),0),"")</f>
        <v>Variable</v>
      </c>
      <c r="O1120" s="130">
        <v>28</v>
      </c>
      <c r="P1120" s="130">
        <f>MONTH(Table1[[#This Row],[Date]])</f>
        <v>2</v>
      </c>
      <c r="Q1120" s="130">
        <v>2020</v>
      </c>
      <c r="R1120" s="166">
        <f>IF(ISBLANK(Table1[[#This Row],[Date]]),"",Table1[[#This Row],[Date]]-WEEKDAY(Table1[[#This Row],[Date]],2)+1)</f>
        <v>43885</v>
      </c>
      <c r="S1120" s="131">
        <f>IF(ISBLANK(Table1[[#This Row],[Date]]),"",DATE(Table1[[#This Row],[Date_Year]],Table1[[#This Row],[Date_Month]],1))</f>
        <v>43862</v>
      </c>
    </row>
    <row r="1121" spans="2:19" ht="15.75" x14ac:dyDescent="0.25">
      <c r="B1121" s="133">
        <v>43889</v>
      </c>
      <c r="C1121" s="128" t="s">
        <v>1198</v>
      </c>
      <c r="D1121" s="128" t="s">
        <v>58</v>
      </c>
      <c r="E1121" s="128" t="str" cm="1">
        <f t="array" ref="E1121">IFERROR(INDEX(SubcategoriesTable[Subcategory name],MATCH(Table1[[#This Row],[Category]],SubcategoriesTable[Category name],0),0),"")</f>
        <v>Fixed</v>
      </c>
      <c r="F1121" s="134">
        <v>-150</v>
      </c>
      <c r="G1121" s="167" t="str">
        <f>_xlfn.XLOOKUP(Table1[[#This Row],[Account_ID]], Accounts[ID], Accounts[Account nickname], "Unknown")</f>
        <v>EVERYDAY CHECKING</v>
      </c>
      <c r="H1121" s="137" t="str">
        <f>_xlfn.XLOOKUP(Table1[[#This Row],[Account_ID]], Accounts[ID], Accounts[Account'#], "Unknown")</f>
        <v>4636</v>
      </c>
      <c r="I1121" s="168" t="str">
        <f>_xlfn.XLOOKUP(Table1[[#This Row],[Institution_ID]], Institutions[ID], Institutions[Institution nickname], "Unknown")</f>
        <v>Wells Fargo</v>
      </c>
      <c r="J1121" s="139" t="s">
        <v>1826</v>
      </c>
      <c r="K1121" s="129" t="s">
        <v>1229</v>
      </c>
      <c r="L1121" s="129" t="s">
        <v>1228</v>
      </c>
      <c r="M1121" s="130" t="str" cm="1">
        <f t="array" ref="M1121">IFERROR(INDEX(CategoriesTable[Category type],MATCH(Table1[[#This Row],[Category]],CategoriesTable[Category name],0),0),"")</f>
        <v>Expense</v>
      </c>
      <c r="N1121" s="130" t="str" cm="1">
        <f t="array" ref="N1121">IFERROR(INDEX(SubcategoriesTable[Subcategory name],MATCH(Table1[[#This Row],[Category]],SubcategoriesTable[Category name],0),0),"")</f>
        <v>Fixed</v>
      </c>
      <c r="O1121" s="130">
        <v>28</v>
      </c>
      <c r="P1121" s="130">
        <f>MONTH(Table1[[#This Row],[Date]])</f>
        <v>2</v>
      </c>
      <c r="Q1121" s="130">
        <v>2020</v>
      </c>
      <c r="R1121" s="166">
        <f>IF(ISBLANK(Table1[[#This Row],[Date]]),"",Table1[[#This Row],[Date]]-WEEKDAY(Table1[[#This Row],[Date]],2)+1)</f>
        <v>43885</v>
      </c>
      <c r="S1121" s="131">
        <f>IF(ISBLANK(Table1[[#This Row],[Date]]),"",DATE(Table1[[#This Row],[Date_Year]],Table1[[#This Row],[Date_Month]],1))</f>
        <v>43862</v>
      </c>
    </row>
    <row r="1122" spans="2:19" ht="15.75" x14ac:dyDescent="0.25">
      <c r="B1122" s="133">
        <v>43889</v>
      </c>
      <c r="C1122" s="128" t="s">
        <v>180</v>
      </c>
      <c r="D1122" s="128" t="s">
        <v>45</v>
      </c>
      <c r="E1122" s="128" t="str" cm="1">
        <f t="array" ref="E1122">IFERROR(INDEX(SubcategoriesTable[Subcategory name],MATCH(Table1[[#This Row],[Category]],SubcategoriesTable[Category name],0),0),"")</f>
        <v>Variable</v>
      </c>
      <c r="F1122" s="134">
        <v>-13.33</v>
      </c>
      <c r="G1122" s="167" t="str">
        <f>_xlfn.XLOOKUP(Table1[[#This Row],[Account_ID]], Accounts[ID], Accounts[Account nickname], "Unknown")</f>
        <v>Discover it chrome Card</v>
      </c>
      <c r="H1122" s="137" t="str">
        <f>_xlfn.XLOOKUP(Table1[[#This Row],[Account_ID]], Accounts[ID], Accounts[Account'#], "Unknown")</f>
        <v>7328</v>
      </c>
      <c r="I1122" s="168" t="str">
        <f>_xlfn.XLOOKUP(Table1[[#This Row],[Institution_ID]], Institutions[ID], Institutions[Institution nickname], "Unknown")</f>
        <v>Discover</v>
      </c>
      <c r="J1122" s="139" t="s">
        <v>986</v>
      </c>
      <c r="K1122" s="129" t="s">
        <v>110</v>
      </c>
      <c r="L1122" s="129" t="s">
        <v>108</v>
      </c>
      <c r="M1122" s="130" t="str" cm="1">
        <f t="array" ref="M1122">IFERROR(INDEX(CategoriesTable[Category type],MATCH(Table1[[#This Row],[Category]],CategoriesTable[Category name],0),0),"")</f>
        <v>Expense</v>
      </c>
      <c r="N1122" s="130" t="str" cm="1">
        <f t="array" ref="N1122">IFERROR(INDEX(SubcategoriesTable[Subcategory name],MATCH(Table1[[#This Row],[Category]],SubcategoriesTable[Category name],0),0),"")</f>
        <v>Variable</v>
      </c>
      <c r="O1122" s="130">
        <v>28</v>
      </c>
      <c r="P1122" s="130">
        <f>MONTH(Table1[[#This Row],[Date]])</f>
        <v>2</v>
      </c>
      <c r="Q1122" s="130">
        <v>2020</v>
      </c>
      <c r="R1122" s="166">
        <f>IF(ISBLANK(Table1[[#This Row],[Date]]),"",Table1[[#This Row],[Date]]-WEEKDAY(Table1[[#This Row],[Date]],2)+1)</f>
        <v>43885</v>
      </c>
      <c r="S1122" s="131">
        <f>IF(ISBLANK(Table1[[#This Row],[Date]]),"",DATE(Table1[[#This Row],[Date_Year]],Table1[[#This Row],[Date_Month]],1))</f>
        <v>43862</v>
      </c>
    </row>
    <row r="1123" spans="2:19" ht="15.75" x14ac:dyDescent="0.25">
      <c r="B1123" s="133">
        <v>43889</v>
      </c>
      <c r="C1123" s="128" t="s">
        <v>987</v>
      </c>
      <c r="D1123" s="128" t="s">
        <v>45</v>
      </c>
      <c r="E1123" s="128" t="str" cm="1">
        <f t="array" ref="E1123">IFERROR(INDEX(SubcategoriesTable[Subcategory name],MATCH(Table1[[#This Row],[Category]],SubcategoriesTable[Category name],0),0),"")</f>
        <v>Variable</v>
      </c>
      <c r="F1123" s="134">
        <v>-4.3899999999999997</v>
      </c>
      <c r="G1123" s="167" t="str">
        <f>_xlfn.XLOOKUP(Table1[[#This Row],[Account_ID]], Accounts[ID], Accounts[Account nickname], "Unknown")</f>
        <v>Discover it chrome Card</v>
      </c>
      <c r="H1123" s="137" t="str">
        <f>_xlfn.XLOOKUP(Table1[[#This Row],[Account_ID]], Accounts[ID], Accounts[Account'#], "Unknown")</f>
        <v>7328</v>
      </c>
      <c r="I1123" s="168" t="str">
        <f>_xlfn.XLOOKUP(Table1[[#This Row],[Institution_ID]], Institutions[ID], Institutions[Institution nickname], "Unknown")</f>
        <v>Discover</v>
      </c>
      <c r="J1123" s="139" t="s">
        <v>988</v>
      </c>
      <c r="K1123" s="129" t="s">
        <v>110</v>
      </c>
      <c r="L1123" s="129" t="s">
        <v>108</v>
      </c>
      <c r="M1123" s="130" t="str" cm="1">
        <f t="array" ref="M1123">IFERROR(INDEX(CategoriesTable[Category type],MATCH(Table1[[#This Row],[Category]],CategoriesTable[Category name],0),0),"")</f>
        <v>Expense</v>
      </c>
      <c r="N1123" s="130" t="str" cm="1">
        <f t="array" ref="N1123">IFERROR(INDEX(SubcategoriesTable[Subcategory name],MATCH(Table1[[#This Row],[Category]],SubcategoriesTable[Category name],0),0),"")</f>
        <v>Variable</v>
      </c>
      <c r="O1123" s="130">
        <v>28</v>
      </c>
      <c r="P1123" s="130">
        <f>MONTH(Table1[[#This Row],[Date]])</f>
        <v>2</v>
      </c>
      <c r="Q1123" s="130">
        <v>2020</v>
      </c>
      <c r="R1123" s="166">
        <f>IF(ISBLANK(Table1[[#This Row],[Date]]),"",Table1[[#This Row],[Date]]-WEEKDAY(Table1[[#This Row],[Date]],2)+1)</f>
        <v>43885</v>
      </c>
      <c r="S1123" s="131">
        <f>IF(ISBLANK(Table1[[#This Row],[Date]]),"",DATE(Table1[[#This Row],[Date_Year]],Table1[[#This Row],[Date_Month]],1))</f>
        <v>43862</v>
      </c>
    </row>
    <row r="1124" spans="2:19" ht="15.75" x14ac:dyDescent="0.25">
      <c r="B1124" s="133">
        <v>43888</v>
      </c>
      <c r="C1124" s="128" t="s">
        <v>1827</v>
      </c>
      <c r="D1124" s="128" t="s">
        <v>45</v>
      </c>
      <c r="E1124" s="128" t="str" cm="1">
        <f t="array" ref="E1124">IFERROR(INDEX(SubcategoriesTable[Subcategory name],MATCH(Table1[[#This Row],[Category]],SubcategoriesTable[Category name],0),0),"")</f>
        <v>Variable</v>
      </c>
      <c r="F1124" s="134">
        <v>-27.45</v>
      </c>
      <c r="G1124" s="167" t="str">
        <f>_xlfn.XLOOKUP(Table1[[#This Row],[Account_ID]], Accounts[ID], Accounts[Account nickname], "Unknown")</f>
        <v>EVERYDAY CHECKING</v>
      </c>
      <c r="H1124" s="137" t="str">
        <f>_xlfn.XLOOKUP(Table1[[#This Row],[Account_ID]], Accounts[ID], Accounts[Account'#], "Unknown")</f>
        <v>4636</v>
      </c>
      <c r="I1124" s="168" t="str">
        <f>_xlfn.XLOOKUP(Table1[[#This Row],[Institution_ID]], Institutions[ID], Institutions[Institution nickname], "Unknown")</f>
        <v>Wells Fargo</v>
      </c>
      <c r="J1124" s="139" t="s">
        <v>1828</v>
      </c>
      <c r="K1124" s="129" t="s">
        <v>1229</v>
      </c>
      <c r="L1124" s="129" t="s">
        <v>1228</v>
      </c>
      <c r="M1124" s="130" t="str" cm="1">
        <f t="array" ref="M1124">IFERROR(INDEX(CategoriesTable[Category type],MATCH(Table1[[#This Row],[Category]],CategoriesTable[Category name],0),0),"")</f>
        <v>Expense</v>
      </c>
      <c r="N1124" s="130" t="str" cm="1">
        <f t="array" ref="N1124">IFERROR(INDEX(SubcategoriesTable[Subcategory name],MATCH(Table1[[#This Row],[Category]],SubcategoriesTable[Category name],0),0),"")</f>
        <v>Variable</v>
      </c>
      <c r="O1124" s="130">
        <v>27</v>
      </c>
      <c r="P1124" s="130">
        <f>MONTH(Table1[[#This Row],[Date]])</f>
        <v>2</v>
      </c>
      <c r="Q1124" s="130">
        <v>2020</v>
      </c>
      <c r="R1124" s="166">
        <f>IF(ISBLANK(Table1[[#This Row],[Date]]),"",Table1[[#This Row],[Date]]-WEEKDAY(Table1[[#This Row],[Date]],2)+1)</f>
        <v>43885</v>
      </c>
      <c r="S1124" s="131">
        <f>IF(ISBLANK(Table1[[#This Row],[Date]]),"",DATE(Table1[[#This Row],[Date_Year]],Table1[[#This Row],[Date_Month]],1))</f>
        <v>43862</v>
      </c>
    </row>
    <row r="1125" spans="2:19" ht="15.75" x14ac:dyDescent="0.25">
      <c r="B1125" s="133">
        <v>43888</v>
      </c>
      <c r="C1125" s="128" t="s">
        <v>531</v>
      </c>
      <c r="D1125" s="128" t="s">
        <v>54</v>
      </c>
      <c r="E1125" s="128" t="str" cm="1">
        <f t="array" ref="E1125">IFERROR(INDEX(SubcategoriesTable[Subcategory name],MATCH(Table1[[#This Row],[Category]],SubcategoriesTable[Category name],0),0),"")</f>
        <v>Fixed</v>
      </c>
      <c r="F1125" s="134">
        <v>-9.39</v>
      </c>
      <c r="G1125" s="167" t="str">
        <f>_xlfn.XLOOKUP(Table1[[#This Row],[Account_ID]], Accounts[ID], Accounts[Account nickname], "Unknown")</f>
        <v>Discover it chrome Card</v>
      </c>
      <c r="H1125" s="137" t="str">
        <f>_xlfn.XLOOKUP(Table1[[#This Row],[Account_ID]], Accounts[ID], Accounts[Account'#], "Unknown")</f>
        <v>7328</v>
      </c>
      <c r="I1125" s="168" t="str">
        <f>_xlfn.XLOOKUP(Table1[[#This Row],[Institution_ID]], Institutions[ID], Institutions[Institution nickname], "Unknown")</f>
        <v>Discover</v>
      </c>
      <c r="J1125" s="139" t="s">
        <v>989</v>
      </c>
      <c r="K1125" s="129" t="s">
        <v>110</v>
      </c>
      <c r="L1125" s="129" t="s">
        <v>108</v>
      </c>
      <c r="M1125" s="130" t="str" cm="1">
        <f t="array" ref="M1125">IFERROR(INDEX(CategoriesTable[Category type],MATCH(Table1[[#This Row],[Category]],CategoriesTable[Category name],0),0),"")</f>
        <v>Expense</v>
      </c>
      <c r="N1125" s="130" t="str" cm="1">
        <f t="array" ref="N1125">IFERROR(INDEX(SubcategoriesTable[Subcategory name],MATCH(Table1[[#This Row],[Category]],SubcategoriesTable[Category name],0),0),"")</f>
        <v>Fixed</v>
      </c>
      <c r="O1125" s="130">
        <v>27</v>
      </c>
      <c r="P1125" s="130">
        <f>MONTH(Table1[[#This Row],[Date]])</f>
        <v>2</v>
      </c>
      <c r="Q1125" s="130">
        <v>2020</v>
      </c>
      <c r="R1125" s="166">
        <f>IF(ISBLANK(Table1[[#This Row],[Date]]),"",Table1[[#This Row],[Date]]-WEEKDAY(Table1[[#This Row],[Date]],2)+1)</f>
        <v>43885</v>
      </c>
      <c r="S1125" s="131">
        <f>IF(ISBLANK(Table1[[#This Row],[Date]]),"",DATE(Table1[[#This Row],[Date_Year]],Table1[[#This Row],[Date_Month]],1))</f>
        <v>43862</v>
      </c>
    </row>
    <row r="1126" spans="2:19" ht="15.75" x14ac:dyDescent="0.25">
      <c r="B1126" s="133">
        <v>43888</v>
      </c>
      <c r="C1126" s="128" t="s">
        <v>201</v>
      </c>
      <c r="D1126" s="128" t="s">
        <v>48</v>
      </c>
      <c r="E1126" s="128" t="str" cm="1">
        <f t="array" ref="E1126">IFERROR(INDEX(SubcategoriesTable[Subcategory name],MATCH(Table1[[#This Row],[Category]],SubcategoriesTable[Category name],0),0),"")</f>
        <v>Variable</v>
      </c>
      <c r="F1126" s="134">
        <v>-45.26</v>
      </c>
      <c r="G1126" s="167" t="str">
        <f>_xlfn.XLOOKUP(Table1[[#This Row],[Account_ID]], Accounts[ID], Accounts[Account nickname], "Unknown")</f>
        <v>Discover it chrome Card</v>
      </c>
      <c r="H1126" s="137" t="str">
        <f>_xlfn.XLOOKUP(Table1[[#This Row],[Account_ID]], Accounts[ID], Accounts[Account'#], "Unknown")</f>
        <v>7328</v>
      </c>
      <c r="I1126" s="168" t="str">
        <f>_xlfn.XLOOKUP(Table1[[#This Row],[Institution_ID]], Institutions[ID], Institutions[Institution nickname], "Unknown")</f>
        <v>Discover</v>
      </c>
      <c r="J1126" s="139" t="s">
        <v>990</v>
      </c>
      <c r="K1126" s="129" t="s">
        <v>110</v>
      </c>
      <c r="L1126" s="129" t="s">
        <v>108</v>
      </c>
      <c r="M1126" s="130" t="str" cm="1">
        <f t="array" ref="M1126">IFERROR(INDEX(CategoriesTable[Category type],MATCH(Table1[[#This Row],[Category]],CategoriesTable[Category name],0),0),"")</f>
        <v>Expense</v>
      </c>
      <c r="N1126" s="130" t="str" cm="1">
        <f t="array" ref="N1126">IFERROR(INDEX(SubcategoriesTable[Subcategory name],MATCH(Table1[[#This Row],[Category]],SubcategoriesTable[Category name],0),0),"")</f>
        <v>Variable</v>
      </c>
      <c r="O1126" s="130">
        <v>27</v>
      </c>
      <c r="P1126" s="130">
        <f>MONTH(Table1[[#This Row],[Date]])</f>
        <v>2</v>
      </c>
      <c r="Q1126" s="130">
        <v>2020</v>
      </c>
      <c r="R1126" s="166">
        <f>IF(ISBLANK(Table1[[#This Row],[Date]]),"",Table1[[#This Row],[Date]]-WEEKDAY(Table1[[#This Row],[Date]],2)+1)</f>
        <v>43885</v>
      </c>
      <c r="S1126" s="131">
        <f>IF(ISBLANK(Table1[[#This Row],[Date]]),"",DATE(Table1[[#This Row],[Date_Year]],Table1[[#This Row],[Date_Month]],1))</f>
        <v>43862</v>
      </c>
    </row>
    <row r="1127" spans="2:19" ht="15.75" x14ac:dyDescent="0.25">
      <c r="B1127" s="133">
        <v>43887</v>
      </c>
      <c r="C1127" s="128" t="s">
        <v>991</v>
      </c>
      <c r="D1127" s="128" t="s">
        <v>52</v>
      </c>
      <c r="E1127" s="128" t="str" cm="1">
        <f t="array" ref="E1127">IFERROR(INDEX(SubcategoriesTable[Subcategory name],MATCH(Table1[[#This Row],[Category]],SubcategoriesTable[Category name],0),0),"")</f>
        <v>Variable</v>
      </c>
      <c r="F1127" s="134">
        <v>-22.31</v>
      </c>
      <c r="G1127" s="167" t="str">
        <f>_xlfn.XLOOKUP(Table1[[#This Row],[Account_ID]], Accounts[ID], Accounts[Account nickname], "Unknown")</f>
        <v>Discover it chrome Card</v>
      </c>
      <c r="H1127" s="137" t="str">
        <f>_xlfn.XLOOKUP(Table1[[#This Row],[Account_ID]], Accounts[ID], Accounts[Account'#], "Unknown")</f>
        <v>7328</v>
      </c>
      <c r="I1127" s="168" t="str">
        <f>_xlfn.XLOOKUP(Table1[[#This Row],[Institution_ID]], Institutions[ID], Institutions[Institution nickname], "Unknown")</f>
        <v>Discover</v>
      </c>
      <c r="J1127" s="139" t="s">
        <v>992</v>
      </c>
      <c r="K1127" s="129" t="s">
        <v>110</v>
      </c>
      <c r="L1127" s="129" t="s">
        <v>108</v>
      </c>
      <c r="M1127" s="130" t="str" cm="1">
        <f t="array" ref="M1127">IFERROR(INDEX(CategoriesTable[Category type],MATCH(Table1[[#This Row],[Category]],CategoriesTable[Category name],0),0),"")</f>
        <v>Expense</v>
      </c>
      <c r="N1127" s="130" t="str" cm="1">
        <f t="array" ref="N1127">IFERROR(INDEX(SubcategoriesTable[Subcategory name],MATCH(Table1[[#This Row],[Category]],SubcategoriesTable[Category name],0),0),"")</f>
        <v>Variable</v>
      </c>
      <c r="O1127" s="130">
        <v>26</v>
      </c>
      <c r="P1127" s="130">
        <f>MONTH(Table1[[#This Row],[Date]])</f>
        <v>2</v>
      </c>
      <c r="Q1127" s="130">
        <v>2020</v>
      </c>
      <c r="R1127" s="166">
        <f>IF(ISBLANK(Table1[[#This Row],[Date]]),"",Table1[[#This Row],[Date]]-WEEKDAY(Table1[[#This Row],[Date]],2)+1)</f>
        <v>43885</v>
      </c>
      <c r="S1127" s="131">
        <f>IF(ISBLANK(Table1[[#This Row],[Date]]),"",DATE(Table1[[#This Row],[Date_Year]],Table1[[#This Row],[Date_Month]],1))</f>
        <v>43862</v>
      </c>
    </row>
    <row r="1128" spans="2:19" ht="15.75" x14ac:dyDescent="0.25">
      <c r="B1128" s="133">
        <v>43887</v>
      </c>
      <c r="C1128" s="128" t="s">
        <v>696</v>
      </c>
      <c r="D1128" s="128" t="s">
        <v>45</v>
      </c>
      <c r="E1128" s="128" t="str" cm="1">
        <f t="array" ref="E1128">IFERROR(INDEX(SubcategoriesTable[Subcategory name],MATCH(Table1[[#This Row],[Category]],SubcategoriesTable[Category name],0),0),"")</f>
        <v>Variable</v>
      </c>
      <c r="F1128" s="134">
        <v>-11.04</v>
      </c>
      <c r="G1128" s="167" t="str">
        <f>_xlfn.XLOOKUP(Table1[[#This Row],[Account_ID]], Accounts[ID], Accounts[Account nickname], "Unknown")</f>
        <v>Discover it chrome Card</v>
      </c>
      <c r="H1128" s="137" t="str">
        <f>_xlfn.XLOOKUP(Table1[[#This Row],[Account_ID]], Accounts[ID], Accounts[Account'#], "Unknown")</f>
        <v>7328</v>
      </c>
      <c r="I1128" s="168" t="str">
        <f>_xlfn.XLOOKUP(Table1[[#This Row],[Institution_ID]], Institutions[ID], Institutions[Institution nickname], "Unknown")</f>
        <v>Discover</v>
      </c>
      <c r="J1128" s="139" t="s">
        <v>993</v>
      </c>
      <c r="K1128" s="129" t="s">
        <v>110</v>
      </c>
      <c r="L1128" s="129" t="s">
        <v>108</v>
      </c>
      <c r="M1128" s="130" t="str" cm="1">
        <f t="array" ref="M1128">IFERROR(INDEX(CategoriesTable[Category type],MATCH(Table1[[#This Row],[Category]],CategoriesTable[Category name],0),0),"")</f>
        <v>Expense</v>
      </c>
      <c r="N1128" s="130" t="str" cm="1">
        <f t="array" ref="N1128">IFERROR(INDEX(SubcategoriesTable[Subcategory name],MATCH(Table1[[#This Row],[Category]],SubcategoriesTable[Category name],0),0),"")</f>
        <v>Variable</v>
      </c>
      <c r="O1128" s="130">
        <v>26</v>
      </c>
      <c r="P1128" s="130">
        <f>MONTH(Table1[[#This Row],[Date]])</f>
        <v>2</v>
      </c>
      <c r="Q1128" s="130">
        <v>2020</v>
      </c>
      <c r="R1128" s="166">
        <f>IF(ISBLANK(Table1[[#This Row],[Date]]),"",Table1[[#This Row],[Date]]-WEEKDAY(Table1[[#This Row],[Date]],2)+1)</f>
        <v>43885</v>
      </c>
      <c r="S1128" s="131">
        <f>IF(ISBLANK(Table1[[#This Row],[Date]]),"",DATE(Table1[[#This Row],[Date_Year]],Table1[[#This Row],[Date_Month]],1))</f>
        <v>43862</v>
      </c>
    </row>
    <row r="1129" spans="2:19" ht="15.75" x14ac:dyDescent="0.25">
      <c r="B1129" s="133">
        <v>43887</v>
      </c>
      <c r="C1129" s="128" t="s">
        <v>994</v>
      </c>
      <c r="D1129" s="128" t="s">
        <v>45</v>
      </c>
      <c r="E1129" s="128" t="str" cm="1">
        <f t="array" ref="E1129">IFERROR(INDEX(SubcategoriesTable[Subcategory name],MATCH(Table1[[#This Row],[Category]],SubcategoriesTable[Category name],0),0),"")</f>
        <v>Variable</v>
      </c>
      <c r="F1129" s="134">
        <v>-15</v>
      </c>
      <c r="G1129" s="167" t="str">
        <f>_xlfn.XLOOKUP(Table1[[#This Row],[Account_ID]], Accounts[ID], Accounts[Account nickname], "Unknown")</f>
        <v>Discover it chrome Card</v>
      </c>
      <c r="H1129" s="137" t="str">
        <f>_xlfn.XLOOKUP(Table1[[#This Row],[Account_ID]], Accounts[ID], Accounts[Account'#], "Unknown")</f>
        <v>7328</v>
      </c>
      <c r="I1129" s="168" t="str">
        <f>_xlfn.XLOOKUP(Table1[[#This Row],[Institution_ID]], Institutions[ID], Institutions[Institution nickname], "Unknown")</f>
        <v>Discover</v>
      </c>
      <c r="J1129" s="139" t="s">
        <v>995</v>
      </c>
      <c r="K1129" s="129" t="s">
        <v>110</v>
      </c>
      <c r="L1129" s="129" t="s">
        <v>108</v>
      </c>
      <c r="M1129" s="130" t="str" cm="1">
        <f t="array" ref="M1129">IFERROR(INDEX(CategoriesTable[Category type],MATCH(Table1[[#This Row],[Category]],CategoriesTable[Category name],0),0),"")</f>
        <v>Expense</v>
      </c>
      <c r="N1129" s="130" t="str" cm="1">
        <f t="array" ref="N1129">IFERROR(INDEX(SubcategoriesTable[Subcategory name],MATCH(Table1[[#This Row],[Category]],SubcategoriesTable[Category name],0),0),"")</f>
        <v>Variable</v>
      </c>
      <c r="O1129" s="130">
        <v>26</v>
      </c>
      <c r="P1129" s="130">
        <f>MONTH(Table1[[#This Row],[Date]])</f>
        <v>2</v>
      </c>
      <c r="Q1129" s="130">
        <v>2020</v>
      </c>
      <c r="R1129" s="166">
        <f>IF(ISBLANK(Table1[[#This Row],[Date]]),"",Table1[[#This Row],[Date]]-WEEKDAY(Table1[[#This Row],[Date]],2)+1)</f>
        <v>43885</v>
      </c>
      <c r="S1129" s="131">
        <f>IF(ISBLANK(Table1[[#This Row],[Date]]),"",DATE(Table1[[#This Row],[Date_Year]],Table1[[#This Row],[Date_Month]],1))</f>
        <v>43862</v>
      </c>
    </row>
    <row r="1130" spans="2:19" ht="15.75" x14ac:dyDescent="0.25">
      <c r="B1130" s="133">
        <v>43886</v>
      </c>
      <c r="C1130" s="128" t="s">
        <v>152</v>
      </c>
      <c r="D1130" s="128" t="s">
        <v>54</v>
      </c>
      <c r="E1130" s="128" t="str" cm="1">
        <f t="array" ref="E1130">IFERROR(INDEX(SubcategoriesTable[Subcategory name],MATCH(Table1[[#This Row],[Category]],SubcategoriesTable[Category name],0),0),"")</f>
        <v>Fixed</v>
      </c>
      <c r="F1130" s="134">
        <v>-15.99</v>
      </c>
      <c r="G1130" s="167" t="str">
        <f>_xlfn.XLOOKUP(Table1[[#This Row],[Account_ID]], Accounts[ID], Accounts[Account nickname], "Unknown")</f>
        <v>EVERYDAY CHECKING</v>
      </c>
      <c r="H1130" s="137" t="str">
        <f>_xlfn.XLOOKUP(Table1[[#This Row],[Account_ID]], Accounts[ID], Accounts[Account'#], "Unknown")</f>
        <v>4636</v>
      </c>
      <c r="I1130" s="168" t="str">
        <f>_xlfn.XLOOKUP(Table1[[#This Row],[Institution_ID]], Institutions[ID], Institutions[Institution nickname], "Unknown")</f>
        <v>Wells Fargo</v>
      </c>
      <c r="J1130" s="139" t="s">
        <v>1829</v>
      </c>
      <c r="K1130" s="129" t="s">
        <v>1229</v>
      </c>
      <c r="L1130" s="129" t="s">
        <v>1228</v>
      </c>
      <c r="M1130" s="130" t="str" cm="1">
        <f t="array" ref="M1130">IFERROR(INDEX(CategoriesTable[Category type],MATCH(Table1[[#This Row],[Category]],CategoriesTable[Category name],0),0),"")</f>
        <v>Expense</v>
      </c>
      <c r="N1130" s="130" t="str" cm="1">
        <f t="array" ref="N1130">IFERROR(INDEX(SubcategoriesTable[Subcategory name],MATCH(Table1[[#This Row],[Category]],SubcategoriesTable[Category name],0),0),"")</f>
        <v>Fixed</v>
      </c>
      <c r="O1130" s="130">
        <v>25</v>
      </c>
      <c r="P1130" s="130">
        <f>MONTH(Table1[[#This Row],[Date]])</f>
        <v>2</v>
      </c>
      <c r="Q1130" s="130">
        <v>2020</v>
      </c>
      <c r="R1130" s="166">
        <f>IF(ISBLANK(Table1[[#This Row],[Date]]),"",Table1[[#This Row],[Date]]-WEEKDAY(Table1[[#This Row],[Date]],2)+1)</f>
        <v>43885</v>
      </c>
      <c r="S1130" s="131">
        <f>IF(ISBLANK(Table1[[#This Row],[Date]]),"",DATE(Table1[[#This Row],[Date_Year]],Table1[[#This Row],[Date_Month]],1))</f>
        <v>43862</v>
      </c>
    </row>
    <row r="1131" spans="2:19" ht="15.75" x14ac:dyDescent="0.25">
      <c r="B1131" s="133">
        <v>43886</v>
      </c>
      <c r="C1131" s="128" t="s">
        <v>996</v>
      </c>
      <c r="D1131" s="128" t="s">
        <v>48</v>
      </c>
      <c r="E1131" s="128" t="str" cm="1">
        <f t="array" ref="E1131">IFERROR(INDEX(SubcategoriesTable[Subcategory name],MATCH(Table1[[#This Row],[Category]],SubcategoriesTable[Category name],0),0),"")</f>
        <v>Variable</v>
      </c>
      <c r="F1131" s="134">
        <v>-21.77</v>
      </c>
      <c r="G1131" s="167" t="str">
        <f>_xlfn.XLOOKUP(Table1[[#This Row],[Account_ID]], Accounts[ID], Accounts[Account nickname], "Unknown")</f>
        <v>Discover it chrome Card</v>
      </c>
      <c r="H1131" s="137" t="str">
        <f>_xlfn.XLOOKUP(Table1[[#This Row],[Account_ID]], Accounts[ID], Accounts[Account'#], "Unknown")</f>
        <v>7328</v>
      </c>
      <c r="I1131" s="168" t="str">
        <f>_xlfn.XLOOKUP(Table1[[#This Row],[Institution_ID]], Institutions[ID], Institutions[Institution nickname], "Unknown")</f>
        <v>Discover</v>
      </c>
      <c r="J1131" s="139" t="s">
        <v>997</v>
      </c>
      <c r="K1131" s="129" t="s">
        <v>110</v>
      </c>
      <c r="L1131" s="129" t="s">
        <v>108</v>
      </c>
      <c r="M1131" s="130" t="str" cm="1">
        <f t="array" ref="M1131">IFERROR(INDEX(CategoriesTable[Category type],MATCH(Table1[[#This Row],[Category]],CategoriesTable[Category name],0),0),"")</f>
        <v>Expense</v>
      </c>
      <c r="N1131" s="130" t="str" cm="1">
        <f t="array" ref="N1131">IFERROR(INDEX(SubcategoriesTable[Subcategory name],MATCH(Table1[[#This Row],[Category]],SubcategoriesTable[Category name],0),0),"")</f>
        <v>Variable</v>
      </c>
      <c r="O1131" s="130">
        <v>25</v>
      </c>
      <c r="P1131" s="130">
        <f>MONTH(Table1[[#This Row],[Date]])</f>
        <v>2</v>
      </c>
      <c r="Q1131" s="130">
        <v>2020</v>
      </c>
      <c r="R1131" s="166">
        <f>IF(ISBLANK(Table1[[#This Row],[Date]]),"",Table1[[#This Row],[Date]]-WEEKDAY(Table1[[#This Row],[Date]],2)+1)</f>
        <v>43885</v>
      </c>
      <c r="S1131" s="131">
        <f>IF(ISBLANK(Table1[[#This Row],[Date]]),"",DATE(Table1[[#This Row],[Date_Year]],Table1[[#This Row],[Date_Month]],1))</f>
        <v>43862</v>
      </c>
    </row>
    <row r="1132" spans="2:19" ht="15.75" x14ac:dyDescent="0.25">
      <c r="B1132" s="133">
        <v>43886</v>
      </c>
      <c r="C1132" s="128" t="s">
        <v>998</v>
      </c>
      <c r="D1132" s="128" t="s">
        <v>45</v>
      </c>
      <c r="E1132" s="128" t="str" cm="1">
        <f t="array" ref="E1132">IFERROR(INDEX(SubcategoriesTable[Subcategory name],MATCH(Table1[[#This Row],[Category]],SubcategoriesTable[Category name],0),0),"")</f>
        <v>Variable</v>
      </c>
      <c r="F1132" s="134">
        <v>-20</v>
      </c>
      <c r="G1132" s="167" t="str">
        <f>_xlfn.XLOOKUP(Table1[[#This Row],[Account_ID]], Accounts[ID], Accounts[Account nickname], "Unknown")</f>
        <v>Discover it chrome Card</v>
      </c>
      <c r="H1132" s="137" t="str">
        <f>_xlfn.XLOOKUP(Table1[[#This Row],[Account_ID]], Accounts[ID], Accounts[Account'#], "Unknown")</f>
        <v>7328</v>
      </c>
      <c r="I1132" s="168" t="str">
        <f>_xlfn.XLOOKUP(Table1[[#This Row],[Institution_ID]], Institutions[ID], Institutions[Institution nickname], "Unknown")</f>
        <v>Discover</v>
      </c>
      <c r="J1132" s="139" t="s">
        <v>999</v>
      </c>
      <c r="K1132" s="129" t="s">
        <v>110</v>
      </c>
      <c r="L1132" s="129" t="s">
        <v>108</v>
      </c>
      <c r="M1132" s="130" t="str" cm="1">
        <f t="array" ref="M1132">IFERROR(INDEX(CategoriesTable[Category type],MATCH(Table1[[#This Row],[Category]],CategoriesTable[Category name],0),0),"")</f>
        <v>Expense</v>
      </c>
      <c r="N1132" s="130" t="str" cm="1">
        <f t="array" ref="N1132">IFERROR(INDEX(SubcategoriesTable[Subcategory name],MATCH(Table1[[#This Row],[Category]],SubcategoriesTable[Category name],0),0),"")</f>
        <v>Variable</v>
      </c>
      <c r="O1132" s="130">
        <v>25</v>
      </c>
      <c r="P1132" s="130">
        <f>MONTH(Table1[[#This Row],[Date]])</f>
        <v>2</v>
      </c>
      <c r="Q1132" s="130">
        <v>2020</v>
      </c>
      <c r="R1132" s="166">
        <f>IF(ISBLANK(Table1[[#This Row],[Date]]),"",Table1[[#This Row],[Date]]-WEEKDAY(Table1[[#This Row],[Date]],2)+1)</f>
        <v>43885</v>
      </c>
      <c r="S1132" s="131">
        <f>IF(ISBLANK(Table1[[#This Row],[Date]]),"",DATE(Table1[[#This Row],[Date_Year]],Table1[[#This Row],[Date_Month]],1))</f>
        <v>43862</v>
      </c>
    </row>
    <row r="1133" spans="2:19" ht="15.75" x14ac:dyDescent="0.25">
      <c r="B1133" s="133">
        <v>43885</v>
      </c>
      <c r="C1133" s="128" t="s">
        <v>1623</v>
      </c>
      <c r="D1133" s="128" t="s">
        <v>56</v>
      </c>
      <c r="E1133" s="128" t="str" cm="1">
        <f t="array" ref="E1133">IFERROR(INDEX(SubcategoriesTable[Subcategory name],MATCH(Table1[[#This Row],[Category]],SubcategoriesTable[Category name],0),0),"")</f>
        <v>Variable</v>
      </c>
      <c r="F1133" s="134">
        <v>-36</v>
      </c>
      <c r="G1133" s="167" t="str">
        <f>_xlfn.XLOOKUP(Table1[[#This Row],[Account_ID]], Accounts[ID], Accounts[Account nickname], "Unknown")</f>
        <v>EVERYDAY CHECKING</v>
      </c>
      <c r="H1133" s="137" t="str">
        <f>_xlfn.XLOOKUP(Table1[[#This Row],[Account_ID]], Accounts[ID], Accounts[Account'#], "Unknown")</f>
        <v>4636</v>
      </c>
      <c r="I1133" s="168" t="str">
        <f>_xlfn.XLOOKUP(Table1[[#This Row],[Institution_ID]], Institutions[ID], Institutions[Institution nickname], "Unknown")</f>
        <v>Wells Fargo</v>
      </c>
      <c r="J1133" s="139" t="s">
        <v>1830</v>
      </c>
      <c r="K1133" s="129" t="s">
        <v>1229</v>
      </c>
      <c r="L1133" s="129" t="s">
        <v>1228</v>
      </c>
      <c r="M1133" s="130" t="str" cm="1">
        <f t="array" ref="M1133">IFERROR(INDEX(CategoriesTable[Category type],MATCH(Table1[[#This Row],[Category]],CategoriesTable[Category name],0),0),"")</f>
        <v>Expense</v>
      </c>
      <c r="N1133" s="130" t="str" cm="1">
        <f t="array" ref="N1133">IFERROR(INDEX(SubcategoriesTable[Subcategory name],MATCH(Table1[[#This Row],[Category]],SubcategoriesTable[Category name],0),0),"")</f>
        <v>Variable</v>
      </c>
      <c r="O1133" s="130">
        <v>24</v>
      </c>
      <c r="P1133" s="130">
        <f>MONTH(Table1[[#This Row],[Date]])</f>
        <v>2</v>
      </c>
      <c r="Q1133" s="130">
        <v>2020</v>
      </c>
      <c r="R1133" s="166">
        <f>IF(ISBLANK(Table1[[#This Row],[Date]]),"",Table1[[#This Row],[Date]]-WEEKDAY(Table1[[#This Row],[Date]],2)+1)</f>
        <v>43885</v>
      </c>
      <c r="S1133" s="131">
        <f>IF(ISBLANK(Table1[[#This Row],[Date]]),"",DATE(Table1[[#This Row],[Date_Year]],Table1[[#This Row],[Date_Month]],1))</f>
        <v>43862</v>
      </c>
    </row>
    <row r="1134" spans="2:19" ht="15.75" x14ac:dyDescent="0.25">
      <c r="B1134" s="133">
        <v>43885</v>
      </c>
      <c r="C1134" s="128" t="s">
        <v>996</v>
      </c>
      <c r="D1134" s="128" t="s">
        <v>48</v>
      </c>
      <c r="E1134" s="128" t="str" cm="1">
        <f t="array" ref="E1134">IFERROR(INDEX(SubcategoriesTable[Subcategory name],MATCH(Table1[[#This Row],[Category]],SubcategoriesTable[Category name],0),0),"")</f>
        <v>Variable</v>
      </c>
      <c r="F1134" s="134">
        <v>-7.14</v>
      </c>
      <c r="G1134" s="167" t="str">
        <f>_xlfn.XLOOKUP(Table1[[#This Row],[Account_ID]], Accounts[ID], Accounts[Account nickname], "Unknown")</f>
        <v>EVERYDAY CHECKING</v>
      </c>
      <c r="H1134" s="137" t="str">
        <f>_xlfn.XLOOKUP(Table1[[#This Row],[Account_ID]], Accounts[ID], Accounts[Account'#], "Unknown")</f>
        <v>4636</v>
      </c>
      <c r="I1134" s="168" t="str">
        <f>_xlfn.XLOOKUP(Table1[[#This Row],[Institution_ID]], Institutions[ID], Institutions[Institution nickname], "Unknown")</f>
        <v>Wells Fargo</v>
      </c>
      <c r="J1134" s="139" t="s">
        <v>1831</v>
      </c>
      <c r="K1134" s="129" t="s">
        <v>1229</v>
      </c>
      <c r="L1134" s="129" t="s">
        <v>1228</v>
      </c>
      <c r="M1134" s="130" t="str" cm="1">
        <f t="array" ref="M1134">IFERROR(INDEX(CategoriesTable[Category type],MATCH(Table1[[#This Row],[Category]],CategoriesTable[Category name],0),0),"")</f>
        <v>Expense</v>
      </c>
      <c r="N1134" s="130" t="str" cm="1">
        <f t="array" ref="N1134">IFERROR(INDEX(SubcategoriesTable[Subcategory name],MATCH(Table1[[#This Row],[Category]],SubcategoriesTable[Category name],0),0),"")</f>
        <v>Variable</v>
      </c>
      <c r="O1134" s="130">
        <v>24</v>
      </c>
      <c r="P1134" s="130">
        <f>MONTH(Table1[[#This Row],[Date]])</f>
        <v>2</v>
      </c>
      <c r="Q1134" s="130">
        <v>2020</v>
      </c>
      <c r="R1134" s="166">
        <f>IF(ISBLANK(Table1[[#This Row],[Date]]),"",Table1[[#This Row],[Date]]-WEEKDAY(Table1[[#This Row],[Date]],2)+1)</f>
        <v>43885</v>
      </c>
      <c r="S1134" s="131">
        <f>IF(ISBLANK(Table1[[#This Row],[Date]]),"",DATE(Table1[[#This Row],[Date_Year]],Table1[[#This Row],[Date_Month]],1))</f>
        <v>43862</v>
      </c>
    </row>
    <row r="1135" spans="2:19" ht="15.75" x14ac:dyDescent="0.25">
      <c r="B1135" s="133">
        <v>43885</v>
      </c>
      <c r="C1135" s="128" t="s">
        <v>1000</v>
      </c>
      <c r="D1135" s="128" t="s">
        <v>45</v>
      </c>
      <c r="E1135" s="128" t="str" cm="1">
        <f t="array" ref="E1135">IFERROR(INDEX(SubcategoriesTable[Subcategory name],MATCH(Table1[[#This Row],[Category]],SubcategoriesTable[Category name],0),0),"")</f>
        <v>Variable</v>
      </c>
      <c r="F1135" s="134">
        <v>-25</v>
      </c>
      <c r="G1135" s="167" t="str">
        <f>_xlfn.XLOOKUP(Table1[[#This Row],[Account_ID]], Accounts[ID], Accounts[Account nickname], "Unknown")</f>
        <v>Discover it chrome Card</v>
      </c>
      <c r="H1135" s="137" t="str">
        <f>_xlfn.XLOOKUP(Table1[[#This Row],[Account_ID]], Accounts[ID], Accounts[Account'#], "Unknown")</f>
        <v>7328</v>
      </c>
      <c r="I1135" s="168" t="str">
        <f>_xlfn.XLOOKUP(Table1[[#This Row],[Institution_ID]], Institutions[ID], Institutions[Institution nickname], "Unknown")</f>
        <v>Discover</v>
      </c>
      <c r="J1135" s="139" t="s">
        <v>1001</v>
      </c>
      <c r="K1135" s="129" t="s">
        <v>110</v>
      </c>
      <c r="L1135" s="129" t="s">
        <v>108</v>
      </c>
      <c r="M1135" s="130" t="str" cm="1">
        <f t="array" ref="M1135">IFERROR(INDEX(CategoriesTable[Category type],MATCH(Table1[[#This Row],[Category]],CategoriesTable[Category name],0),0),"")</f>
        <v>Expense</v>
      </c>
      <c r="N1135" s="130" t="str" cm="1">
        <f t="array" ref="N1135">IFERROR(INDEX(SubcategoriesTable[Subcategory name],MATCH(Table1[[#This Row],[Category]],SubcategoriesTable[Category name],0),0),"")</f>
        <v>Variable</v>
      </c>
      <c r="O1135" s="130">
        <v>24</v>
      </c>
      <c r="P1135" s="130">
        <f>MONTH(Table1[[#This Row],[Date]])</f>
        <v>2</v>
      </c>
      <c r="Q1135" s="130">
        <v>2020</v>
      </c>
      <c r="R1135" s="166">
        <f>IF(ISBLANK(Table1[[#This Row],[Date]]),"",Table1[[#This Row],[Date]]-WEEKDAY(Table1[[#This Row],[Date]],2)+1)</f>
        <v>43885</v>
      </c>
      <c r="S1135" s="131">
        <f>IF(ISBLANK(Table1[[#This Row],[Date]]),"",DATE(Table1[[#This Row],[Date_Year]],Table1[[#This Row],[Date_Month]],1))</f>
        <v>43862</v>
      </c>
    </row>
    <row r="1136" spans="2:19" ht="15.75" x14ac:dyDescent="0.25">
      <c r="B1136" s="133">
        <v>43884</v>
      </c>
      <c r="C1136" s="128" t="s">
        <v>1002</v>
      </c>
      <c r="D1136" s="128" t="s">
        <v>45</v>
      </c>
      <c r="E1136" s="128" t="str" cm="1">
        <f t="array" ref="E1136">IFERROR(INDEX(SubcategoriesTable[Subcategory name],MATCH(Table1[[#This Row],[Category]],SubcategoriesTable[Category name],0),0),"")</f>
        <v>Variable</v>
      </c>
      <c r="F1136" s="134">
        <v>-29.33</v>
      </c>
      <c r="G1136" s="167" t="str">
        <f>_xlfn.XLOOKUP(Table1[[#This Row],[Account_ID]], Accounts[ID], Accounts[Account nickname], "Unknown")</f>
        <v>Discover it chrome Card</v>
      </c>
      <c r="H1136" s="137" t="str">
        <f>_xlfn.XLOOKUP(Table1[[#This Row],[Account_ID]], Accounts[ID], Accounts[Account'#], "Unknown")</f>
        <v>7328</v>
      </c>
      <c r="I1136" s="168" t="str">
        <f>_xlfn.XLOOKUP(Table1[[#This Row],[Institution_ID]], Institutions[ID], Institutions[Institution nickname], "Unknown")</f>
        <v>Discover</v>
      </c>
      <c r="J1136" s="139" t="s">
        <v>1003</v>
      </c>
      <c r="K1136" s="129" t="s">
        <v>110</v>
      </c>
      <c r="L1136" s="129" t="s">
        <v>108</v>
      </c>
      <c r="M1136" s="130" t="str" cm="1">
        <f t="array" ref="M1136">IFERROR(INDEX(CategoriesTable[Category type],MATCH(Table1[[#This Row],[Category]],CategoriesTable[Category name],0),0),"")</f>
        <v>Expense</v>
      </c>
      <c r="N1136" s="130" t="str" cm="1">
        <f t="array" ref="N1136">IFERROR(INDEX(SubcategoriesTable[Subcategory name],MATCH(Table1[[#This Row],[Category]],SubcategoriesTable[Category name],0),0),"")</f>
        <v>Variable</v>
      </c>
      <c r="O1136" s="130">
        <v>23</v>
      </c>
      <c r="P1136" s="130">
        <f>MONTH(Table1[[#This Row],[Date]])</f>
        <v>2</v>
      </c>
      <c r="Q1136" s="130">
        <v>2020</v>
      </c>
      <c r="R1136" s="166">
        <f>IF(ISBLANK(Table1[[#This Row],[Date]]),"",Table1[[#This Row],[Date]]-WEEKDAY(Table1[[#This Row],[Date]],2)+1)</f>
        <v>43878</v>
      </c>
      <c r="S1136" s="131">
        <f>IF(ISBLANK(Table1[[#This Row],[Date]]),"",DATE(Table1[[#This Row],[Date_Year]],Table1[[#This Row],[Date_Month]],1))</f>
        <v>43862</v>
      </c>
    </row>
    <row r="1137" spans="2:19" ht="15.75" x14ac:dyDescent="0.25">
      <c r="B1137" s="133">
        <v>43883</v>
      </c>
      <c r="C1137" s="128" t="s">
        <v>436</v>
      </c>
      <c r="D1137" s="128" t="s">
        <v>45</v>
      </c>
      <c r="E1137" s="128" t="str" cm="1">
        <f t="array" ref="E1137">IFERROR(INDEX(SubcategoriesTable[Subcategory name],MATCH(Table1[[#This Row],[Category]],SubcategoriesTable[Category name],0),0),"")</f>
        <v>Variable</v>
      </c>
      <c r="F1137" s="134">
        <v>-4.03</v>
      </c>
      <c r="G1137" s="167" t="str">
        <f>_xlfn.XLOOKUP(Table1[[#This Row],[Account_ID]], Accounts[ID], Accounts[Account nickname], "Unknown")</f>
        <v>EVERYDAY CHECKING</v>
      </c>
      <c r="H1137" s="137" t="str">
        <f>_xlfn.XLOOKUP(Table1[[#This Row],[Account_ID]], Accounts[ID], Accounts[Account'#], "Unknown")</f>
        <v>4636</v>
      </c>
      <c r="I1137" s="168" t="str">
        <f>_xlfn.XLOOKUP(Table1[[#This Row],[Institution_ID]], Institutions[ID], Institutions[Institution nickname], "Unknown")</f>
        <v>Wells Fargo</v>
      </c>
      <c r="J1137" s="139" t="s">
        <v>1832</v>
      </c>
      <c r="K1137" s="129" t="s">
        <v>1229</v>
      </c>
      <c r="L1137" s="129" t="s">
        <v>1228</v>
      </c>
      <c r="M1137" s="130" t="str" cm="1">
        <f t="array" ref="M1137">IFERROR(INDEX(CategoriesTable[Category type],MATCH(Table1[[#This Row],[Category]],CategoriesTable[Category name],0),0),"")</f>
        <v>Expense</v>
      </c>
      <c r="N1137" s="130" t="str" cm="1">
        <f t="array" ref="N1137">IFERROR(INDEX(SubcategoriesTable[Subcategory name],MATCH(Table1[[#This Row],[Category]],SubcategoriesTable[Category name],0),0),"")</f>
        <v>Variable</v>
      </c>
      <c r="O1137" s="130">
        <v>22</v>
      </c>
      <c r="P1137" s="130">
        <f>MONTH(Table1[[#This Row],[Date]])</f>
        <v>2</v>
      </c>
      <c r="Q1137" s="130">
        <v>2020</v>
      </c>
      <c r="R1137" s="166">
        <f>IF(ISBLANK(Table1[[#This Row],[Date]]),"",Table1[[#This Row],[Date]]-WEEKDAY(Table1[[#This Row],[Date]],2)+1)</f>
        <v>43878</v>
      </c>
      <c r="S1137" s="131">
        <f>IF(ISBLANK(Table1[[#This Row],[Date]]),"",DATE(Table1[[#This Row],[Date_Year]],Table1[[#This Row],[Date_Month]],1))</f>
        <v>43862</v>
      </c>
    </row>
    <row r="1138" spans="2:19" ht="15.75" x14ac:dyDescent="0.25">
      <c r="B1138" s="133">
        <v>43883</v>
      </c>
      <c r="C1138" s="128" t="s">
        <v>148</v>
      </c>
      <c r="D1138" s="128" t="s">
        <v>54</v>
      </c>
      <c r="E1138" s="128" t="str" cm="1">
        <f t="array" ref="E1138">IFERROR(INDEX(SubcategoriesTable[Subcategory name],MATCH(Table1[[#This Row],[Category]],SubcategoriesTable[Category name],0),0),"")</f>
        <v>Fixed</v>
      </c>
      <c r="F1138" s="134">
        <v>-9.99</v>
      </c>
      <c r="G1138" s="167" t="str">
        <f>_xlfn.XLOOKUP(Table1[[#This Row],[Account_ID]], Accounts[ID], Accounts[Account nickname], "Unknown")</f>
        <v>EVERYDAY CHECKING</v>
      </c>
      <c r="H1138" s="137" t="str">
        <f>_xlfn.XLOOKUP(Table1[[#This Row],[Account_ID]], Accounts[ID], Accounts[Account'#], "Unknown")</f>
        <v>4636</v>
      </c>
      <c r="I1138" s="168" t="str">
        <f>_xlfn.XLOOKUP(Table1[[#This Row],[Institution_ID]], Institutions[ID], Institutions[Institution nickname], "Unknown")</f>
        <v>Wells Fargo</v>
      </c>
      <c r="J1138" s="139" t="s">
        <v>1833</v>
      </c>
      <c r="K1138" s="129" t="s">
        <v>1229</v>
      </c>
      <c r="L1138" s="129" t="s">
        <v>1228</v>
      </c>
      <c r="M1138" s="130" t="str" cm="1">
        <f t="array" ref="M1138">IFERROR(INDEX(CategoriesTable[Category type],MATCH(Table1[[#This Row],[Category]],CategoriesTable[Category name],0),0),"")</f>
        <v>Expense</v>
      </c>
      <c r="N1138" s="130" t="str" cm="1">
        <f t="array" ref="N1138">IFERROR(INDEX(SubcategoriesTable[Subcategory name],MATCH(Table1[[#This Row],[Category]],SubcategoriesTable[Category name],0),0),"")</f>
        <v>Fixed</v>
      </c>
      <c r="O1138" s="130">
        <v>22</v>
      </c>
      <c r="P1138" s="130">
        <f>MONTH(Table1[[#This Row],[Date]])</f>
        <v>2</v>
      </c>
      <c r="Q1138" s="130">
        <v>2020</v>
      </c>
      <c r="R1138" s="166">
        <f>IF(ISBLANK(Table1[[#This Row],[Date]]),"",Table1[[#This Row],[Date]]-WEEKDAY(Table1[[#This Row],[Date]],2)+1)</f>
        <v>43878</v>
      </c>
      <c r="S1138" s="131">
        <f>IF(ISBLANK(Table1[[#This Row],[Date]]),"",DATE(Table1[[#This Row],[Date_Year]],Table1[[#This Row],[Date_Month]],1))</f>
        <v>43862</v>
      </c>
    </row>
    <row r="1139" spans="2:19" ht="15.75" x14ac:dyDescent="0.25">
      <c r="B1139" s="133">
        <v>43883</v>
      </c>
      <c r="C1139" s="128" t="s">
        <v>1834</v>
      </c>
      <c r="D1139" s="128" t="s">
        <v>47</v>
      </c>
      <c r="E1139" s="128" t="str" cm="1">
        <f t="array" ref="E1139">IFERROR(INDEX(SubcategoriesTable[Subcategory name],MATCH(Table1[[#This Row],[Category]],SubcategoriesTable[Category name],0),0),"")</f>
        <v>Variable</v>
      </c>
      <c r="F1139" s="134">
        <v>-35</v>
      </c>
      <c r="G1139" s="167" t="str">
        <f>_xlfn.XLOOKUP(Table1[[#This Row],[Account_ID]], Accounts[ID], Accounts[Account nickname], "Unknown")</f>
        <v>EVERYDAY CHECKING</v>
      </c>
      <c r="H1139" s="137" t="str">
        <f>_xlfn.XLOOKUP(Table1[[#This Row],[Account_ID]], Accounts[ID], Accounts[Account'#], "Unknown")</f>
        <v>4636</v>
      </c>
      <c r="I1139" s="168" t="str">
        <f>_xlfn.XLOOKUP(Table1[[#This Row],[Institution_ID]], Institutions[ID], Institutions[Institution nickname], "Unknown")</f>
        <v>Wells Fargo</v>
      </c>
      <c r="J1139" s="139" t="s">
        <v>1835</v>
      </c>
      <c r="K1139" s="129" t="s">
        <v>1229</v>
      </c>
      <c r="L1139" s="129" t="s">
        <v>1228</v>
      </c>
      <c r="M1139" s="130" t="str" cm="1">
        <f t="array" ref="M1139">IFERROR(INDEX(CategoriesTable[Category type],MATCH(Table1[[#This Row],[Category]],CategoriesTable[Category name],0),0),"")</f>
        <v>Expense</v>
      </c>
      <c r="N1139" s="130" t="str" cm="1">
        <f t="array" ref="N1139">IFERROR(INDEX(SubcategoriesTable[Subcategory name],MATCH(Table1[[#This Row],[Category]],SubcategoriesTable[Category name],0),0),"")</f>
        <v>Variable</v>
      </c>
      <c r="O1139" s="130">
        <v>22</v>
      </c>
      <c r="P1139" s="130">
        <f>MONTH(Table1[[#This Row],[Date]])</f>
        <v>2</v>
      </c>
      <c r="Q1139" s="130">
        <v>2020</v>
      </c>
      <c r="R1139" s="166">
        <f>IF(ISBLANK(Table1[[#This Row],[Date]]),"",Table1[[#This Row],[Date]]-WEEKDAY(Table1[[#This Row],[Date]],2)+1)</f>
        <v>43878</v>
      </c>
      <c r="S1139" s="131">
        <f>IF(ISBLANK(Table1[[#This Row],[Date]]),"",DATE(Table1[[#This Row],[Date_Year]],Table1[[#This Row],[Date_Month]],1))</f>
        <v>43862</v>
      </c>
    </row>
    <row r="1140" spans="2:19" ht="15.75" x14ac:dyDescent="0.25">
      <c r="B1140" s="133">
        <v>43883</v>
      </c>
      <c r="C1140" s="128" t="s">
        <v>1004</v>
      </c>
      <c r="D1140" s="128" t="s">
        <v>45</v>
      </c>
      <c r="E1140" s="128" t="str" cm="1">
        <f t="array" ref="E1140">IFERROR(INDEX(SubcategoriesTable[Subcategory name],MATCH(Table1[[#This Row],[Category]],SubcategoriesTable[Category name],0),0),"")</f>
        <v>Variable</v>
      </c>
      <c r="F1140" s="134">
        <v>-50.57</v>
      </c>
      <c r="G1140" s="167" t="str">
        <f>_xlfn.XLOOKUP(Table1[[#This Row],[Account_ID]], Accounts[ID], Accounts[Account nickname], "Unknown")</f>
        <v>Discover it chrome Card</v>
      </c>
      <c r="H1140" s="137" t="str">
        <f>_xlfn.XLOOKUP(Table1[[#This Row],[Account_ID]], Accounts[ID], Accounts[Account'#], "Unknown")</f>
        <v>7328</v>
      </c>
      <c r="I1140" s="168" t="str">
        <f>_xlfn.XLOOKUP(Table1[[#This Row],[Institution_ID]], Institutions[ID], Institutions[Institution nickname], "Unknown")</f>
        <v>Discover</v>
      </c>
      <c r="J1140" s="139" t="s">
        <v>1005</v>
      </c>
      <c r="K1140" s="129" t="s">
        <v>110</v>
      </c>
      <c r="L1140" s="129" t="s">
        <v>108</v>
      </c>
      <c r="M1140" s="130" t="str" cm="1">
        <f t="array" ref="M1140">IFERROR(INDEX(CategoriesTable[Category type],MATCH(Table1[[#This Row],[Category]],CategoriesTable[Category name],0),0),"")</f>
        <v>Expense</v>
      </c>
      <c r="N1140" s="130" t="str" cm="1">
        <f t="array" ref="N1140">IFERROR(INDEX(SubcategoriesTable[Subcategory name],MATCH(Table1[[#This Row],[Category]],SubcategoriesTable[Category name],0),0),"")</f>
        <v>Variable</v>
      </c>
      <c r="O1140" s="130">
        <v>22</v>
      </c>
      <c r="P1140" s="130">
        <f>MONTH(Table1[[#This Row],[Date]])</f>
        <v>2</v>
      </c>
      <c r="Q1140" s="130">
        <v>2020</v>
      </c>
      <c r="R1140" s="166">
        <f>IF(ISBLANK(Table1[[#This Row],[Date]]),"",Table1[[#This Row],[Date]]-WEEKDAY(Table1[[#This Row],[Date]],2)+1)</f>
        <v>43878</v>
      </c>
      <c r="S1140" s="131">
        <f>IF(ISBLANK(Table1[[#This Row],[Date]]),"",DATE(Table1[[#This Row],[Date_Year]],Table1[[#This Row],[Date_Month]],1))</f>
        <v>43862</v>
      </c>
    </row>
    <row r="1141" spans="2:19" ht="15.75" x14ac:dyDescent="0.25">
      <c r="B1141" s="133">
        <v>43883</v>
      </c>
      <c r="C1141" s="128" t="s">
        <v>940</v>
      </c>
      <c r="D1141" s="128" t="s">
        <v>52</v>
      </c>
      <c r="E1141" s="128" t="str" cm="1">
        <f t="array" ref="E1141">IFERROR(INDEX(SubcategoriesTable[Subcategory name],MATCH(Table1[[#This Row],[Category]],SubcategoriesTable[Category name],0),0),"")</f>
        <v>Variable</v>
      </c>
      <c r="F1141" s="134">
        <v>-20.51</v>
      </c>
      <c r="G1141" s="167" t="str">
        <f>_xlfn.XLOOKUP(Table1[[#This Row],[Account_ID]], Accounts[ID], Accounts[Account nickname], "Unknown")</f>
        <v>Discover it chrome Card</v>
      </c>
      <c r="H1141" s="137" t="str">
        <f>_xlfn.XLOOKUP(Table1[[#This Row],[Account_ID]], Accounts[ID], Accounts[Account'#], "Unknown")</f>
        <v>7328</v>
      </c>
      <c r="I1141" s="168" t="str">
        <f>_xlfn.XLOOKUP(Table1[[#This Row],[Institution_ID]], Institutions[ID], Institutions[Institution nickname], "Unknown")</f>
        <v>Discover</v>
      </c>
      <c r="J1141" s="139" t="s">
        <v>1006</v>
      </c>
      <c r="K1141" s="129" t="s">
        <v>110</v>
      </c>
      <c r="L1141" s="129" t="s">
        <v>108</v>
      </c>
      <c r="M1141" s="130" t="str" cm="1">
        <f t="array" ref="M1141">IFERROR(INDEX(CategoriesTable[Category type],MATCH(Table1[[#This Row],[Category]],CategoriesTable[Category name],0),0),"")</f>
        <v>Expense</v>
      </c>
      <c r="N1141" s="130" t="str" cm="1">
        <f t="array" ref="N1141">IFERROR(INDEX(SubcategoriesTable[Subcategory name],MATCH(Table1[[#This Row],[Category]],SubcategoriesTable[Category name],0),0),"")</f>
        <v>Variable</v>
      </c>
      <c r="O1141" s="130">
        <v>22</v>
      </c>
      <c r="P1141" s="130">
        <f>MONTH(Table1[[#This Row],[Date]])</f>
        <v>2</v>
      </c>
      <c r="Q1141" s="130">
        <v>2020</v>
      </c>
      <c r="R1141" s="166">
        <f>IF(ISBLANK(Table1[[#This Row],[Date]]),"",Table1[[#This Row],[Date]]-WEEKDAY(Table1[[#This Row],[Date]],2)+1)</f>
        <v>43878</v>
      </c>
      <c r="S1141" s="131">
        <f>IF(ISBLANK(Table1[[#This Row],[Date]]),"",DATE(Table1[[#This Row],[Date_Year]],Table1[[#This Row],[Date_Month]],1))</f>
        <v>43862</v>
      </c>
    </row>
    <row r="1142" spans="2:19" ht="15.75" x14ac:dyDescent="0.25">
      <c r="B1142" s="133">
        <v>43883</v>
      </c>
      <c r="C1142" s="128" t="s">
        <v>1007</v>
      </c>
      <c r="D1142" s="128" t="s">
        <v>52</v>
      </c>
      <c r="E1142" s="128" t="str" cm="1">
        <f t="array" ref="E1142">IFERROR(INDEX(SubcategoriesTable[Subcategory name],MATCH(Table1[[#This Row],[Category]],SubcategoriesTable[Category name],0),0),"")</f>
        <v>Variable</v>
      </c>
      <c r="F1142" s="134">
        <v>-28.61</v>
      </c>
      <c r="G1142" s="167" t="str">
        <f>_xlfn.XLOOKUP(Table1[[#This Row],[Account_ID]], Accounts[ID], Accounts[Account nickname], "Unknown")</f>
        <v>Discover it chrome Card</v>
      </c>
      <c r="H1142" s="137" t="str">
        <f>_xlfn.XLOOKUP(Table1[[#This Row],[Account_ID]], Accounts[ID], Accounts[Account'#], "Unknown")</f>
        <v>7328</v>
      </c>
      <c r="I1142" s="168" t="str">
        <f>_xlfn.XLOOKUP(Table1[[#This Row],[Institution_ID]], Institutions[ID], Institutions[Institution nickname], "Unknown")</f>
        <v>Discover</v>
      </c>
      <c r="J1142" s="139" t="s">
        <v>1008</v>
      </c>
      <c r="K1142" s="129" t="s">
        <v>110</v>
      </c>
      <c r="L1142" s="129" t="s">
        <v>108</v>
      </c>
      <c r="M1142" s="130" t="str" cm="1">
        <f t="array" ref="M1142">IFERROR(INDEX(CategoriesTable[Category type],MATCH(Table1[[#This Row],[Category]],CategoriesTable[Category name],0),0),"")</f>
        <v>Expense</v>
      </c>
      <c r="N1142" s="130" t="str" cm="1">
        <f t="array" ref="N1142">IFERROR(INDEX(SubcategoriesTable[Subcategory name],MATCH(Table1[[#This Row],[Category]],SubcategoriesTable[Category name],0),0),"")</f>
        <v>Variable</v>
      </c>
      <c r="O1142" s="130">
        <v>22</v>
      </c>
      <c r="P1142" s="130">
        <f>MONTH(Table1[[#This Row],[Date]])</f>
        <v>2</v>
      </c>
      <c r="Q1142" s="130">
        <v>2020</v>
      </c>
      <c r="R1142" s="166">
        <f>IF(ISBLANK(Table1[[#This Row],[Date]]),"",Table1[[#This Row],[Date]]-WEEKDAY(Table1[[#This Row],[Date]],2)+1)</f>
        <v>43878</v>
      </c>
      <c r="S1142" s="131">
        <f>IF(ISBLANK(Table1[[#This Row],[Date]]),"",DATE(Table1[[#This Row],[Date_Year]],Table1[[#This Row],[Date_Month]],1))</f>
        <v>43862</v>
      </c>
    </row>
    <row r="1143" spans="2:19" ht="15.75" x14ac:dyDescent="0.25">
      <c r="B1143" s="133">
        <v>43883</v>
      </c>
      <c r="C1143" s="128" t="s">
        <v>436</v>
      </c>
      <c r="D1143" s="128" t="s">
        <v>45</v>
      </c>
      <c r="E1143" s="128" t="str" cm="1">
        <f t="array" ref="E1143">IFERROR(INDEX(SubcategoriesTable[Subcategory name],MATCH(Table1[[#This Row],[Category]],SubcategoriesTable[Category name],0),0),"")</f>
        <v>Variable</v>
      </c>
      <c r="F1143" s="134">
        <v>-22.52</v>
      </c>
      <c r="G1143" s="167" t="str">
        <f>_xlfn.XLOOKUP(Table1[[#This Row],[Account_ID]], Accounts[ID], Accounts[Account nickname], "Unknown")</f>
        <v>Discover it chrome Card</v>
      </c>
      <c r="H1143" s="137" t="str">
        <f>_xlfn.XLOOKUP(Table1[[#This Row],[Account_ID]], Accounts[ID], Accounts[Account'#], "Unknown")</f>
        <v>7328</v>
      </c>
      <c r="I1143" s="168" t="str">
        <f>_xlfn.XLOOKUP(Table1[[#This Row],[Institution_ID]], Institutions[ID], Institutions[Institution nickname], "Unknown")</f>
        <v>Discover</v>
      </c>
      <c r="J1143" s="139" t="s">
        <v>1009</v>
      </c>
      <c r="K1143" s="129" t="s">
        <v>110</v>
      </c>
      <c r="L1143" s="129" t="s">
        <v>108</v>
      </c>
      <c r="M1143" s="130" t="str" cm="1">
        <f t="array" ref="M1143">IFERROR(INDEX(CategoriesTable[Category type],MATCH(Table1[[#This Row],[Category]],CategoriesTable[Category name],0),0),"")</f>
        <v>Expense</v>
      </c>
      <c r="N1143" s="130" t="str" cm="1">
        <f t="array" ref="N1143">IFERROR(INDEX(SubcategoriesTable[Subcategory name],MATCH(Table1[[#This Row],[Category]],SubcategoriesTable[Category name],0),0),"")</f>
        <v>Variable</v>
      </c>
      <c r="O1143" s="130">
        <v>22</v>
      </c>
      <c r="P1143" s="130">
        <f>MONTH(Table1[[#This Row],[Date]])</f>
        <v>2</v>
      </c>
      <c r="Q1143" s="130">
        <v>2020</v>
      </c>
      <c r="R1143" s="166">
        <f>IF(ISBLANK(Table1[[#This Row],[Date]]),"",Table1[[#This Row],[Date]]-WEEKDAY(Table1[[#This Row],[Date]],2)+1)</f>
        <v>43878</v>
      </c>
      <c r="S1143" s="131">
        <f>IF(ISBLANK(Table1[[#This Row],[Date]]),"",DATE(Table1[[#This Row],[Date_Year]],Table1[[#This Row],[Date_Month]],1))</f>
        <v>43862</v>
      </c>
    </row>
    <row r="1144" spans="2:19" ht="15.75" x14ac:dyDescent="0.25">
      <c r="B1144" s="133">
        <v>43882</v>
      </c>
      <c r="C1144" s="128" t="s">
        <v>1461</v>
      </c>
      <c r="D1144" s="128" t="s">
        <v>50</v>
      </c>
      <c r="E1144" s="128" t="str" cm="1">
        <f t="array" ref="E1144">IFERROR(INDEX(SubcategoriesTable[Subcategory name],MATCH(Table1[[#This Row],[Category]],SubcategoriesTable[Category name],0),0),"")</f>
        <v>Variable</v>
      </c>
      <c r="F1144" s="134">
        <v>-20</v>
      </c>
      <c r="G1144" s="167" t="str">
        <f>_xlfn.XLOOKUP(Table1[[#This Row],[Account_ID]], Accounts[ID], Accounts[Account nickname], "Unknown")</f>
        <v>EVERYDAY CHECKING</v>
      </c>
      <c r="H1144" s="137" t="str">
        <f>_xlfn.XLOOKUP(Table1[[#This Row],[Account_ID]], Accounts[ID], Accounts[Account'#], "Unknown")</f>
        <v>4636</v>
      </c>
      <c r="I1144" s="168" t="str">
        <f>_xlfn.XLOOKUP(Table1[[#This Row],[Institution_ID]], Institutions[ID], Institutions[Institution nickname], "Unknown")</f>
        <v>Wells Fargo</v>
      </c>
      <c r="J1144" s="139" t="s">
        <v>1836</v>
      </c>
      <c r="K1144" s="129" t="s">
        <v>1229</v>
      </c>
      <c r="L1144" s="129" t="s">
        <v>1228</v>
      </c>
      <c r="M1144" s="130" t="str" cm="1">
        <f t="array" ref="M1144">IFERROR(INDEX(CategoriesTable[Category type],MATCH(Table1[[#This Row],[Category]],CategoriesTable[Category name],0),0),"")</f>
        <v>Transfer</v>
      </c>
      <c r="N1144" s="130" t="str" cm="1">
        <f t="array" ref="N1144">IFERROR(INDEX(SubcategoriesTable[Subcategory name],MATCH(Table1[[#This Row],[Category]],SubcategoriesTable[Category name],0),0),"")</f>
        <v>Variable</v>
      </c>
      <c r="O1144" s="130">
        <v>21</v>
      </c>
      <c r="P1144" s="130">
        <f>MONTH(Table1[[#This Row],[Date]])</f>
        <v>2</v>
      </c>
      <c r="Q1144" s="130">
        <v>2020</v>
      </c>
      <c r="R1144" s="166">
        <f>IF(ISBLANK(Table1[[#This Row],[Date]]),"",Table1[[#This Row],[Date]]-WEEKDAY(Table1[[#This Row],[Date]],2)+1)</f>
        <v>43878</v>
      </c>
      <c r="S1144" s="131">
        <f>IF(ISBLANK(Table1[[#This Row],[Date]]),"",DATE(Table1[[#This Row],[Date_Year]],Table1[[#This Row],[Date_Month]],1))</f>
        <v>43862</v>
      </c>
    </row>
    <row r="1145" spans="2:19" ht="15.75" x14ac:dyDescent="0.25">
      <c r="B1145" s="133">
        <v>43882</v>
      </c>
      <c r="C1145" s="128" t="s">
        <v>201</v>
      </c>
      <c r="D1145" s="128" t="s">
        <v>48</v>
      </c>
      <c r="E1145" s="128" t="str" cm="1">
        <f t="array" ref="E1145">IFERROR(INDEX(SubcategoriesTable[Subcategory name],MATCH(Table1[[#This Row],[Category]],SubcategoriesTable[Category name],0),0),"")</f>
        <v>Variable</v>
      </c>
      <c r="F1145" s="134">
        <v>-69.48</v>
      </c>
      <c r="G1145" s="167" t="str">
        <f>_xlfn.XLOOKUP(Table1[[#This Row],[Account_ID]], Accounts[ID], Accounts[Account nickname], "Unknown")</f>
        <v>Discover it chrome Card</v>
      </c>
      <c r="H1145" s="137" t="str">
        <f>_xlfn.XLOOKUP(Table1[[#This Row],[Account_ID]], Accounts[ID], Accounts[Account'#], "Unknown")</f>
        <v>7328</v>
      </c>
      <c r="I1145" s="168" t="str">
        <f>_xlfn.XLOOKUP(Table1[[#This Row],[Institution_ID]], Institutions[ID], Institutions[Institution nickname], "Unknown")</f>
        <v>Discover</v>
      </c>
      <c r="J1145" s="139" t="s">
        <v>1010</v>
      </c>
      <c r="K1145" s="129" t="s">
        <v>110</v>
      </c>
      <c r="L1145" s="129" t="s">
        <v>108</v>
      </c>
      <c r="M1145" s="130" t="str" cm="1">
        <f t="array" ref="M1145">IFERROR(INDEX(CategoriesTable[Category type],MATCH(Table1[[#This Row],[Category]],CategoriesTable[Category name],0),0),"")</f>
        <v>Expense</v>
      </c>
      <c r="N1145" s="130" t="str" cm="1">
        <f t="array" ref="N1145">IFERROR(INDEX(SubcategoriesTable[Subcategory name],MATCH(Table1[[#This Row],[Category]],SubcategoriesTable[Category name],0),0),"")</f>
        <v>Variable</v>
      </c>
      <c r="O1145" s="130">
        <v>21</v>
      </c>
      <c r="P1145" s="130">
        <f>MONTH(Table1[[#This Row],[Date]])</f>
        <v>2</v>
      </c>
      <c r="Q1145" s="130">
        <v>2020</v>
      </c>
      <c r="R1145" s="166">
        <f>IF(ISBLANK(Table1[[#This Row],[Date]]),"",Table1[[#This Row],[Date]]-WEEKDAY(Table1[[#This Row],[Date]],2)+1)</f>
        <v>43878</v>
      </c>
      <c r="S1145" s="131">
        <f>IF(ISBLANK(Table1[[#This Row],[Date]]),"",DATE(Table1[[#This Row],[Date_Year]],Table1[[#This Row],[Date_Month]],1))</f>
        <v>43862</v>
      </c>
    </row>
    <row r="1146" spans="2:19" ht="15.75" x14ac:dyDescent="0.25">
      <c r="B1146" s="133">
        <v>43881</v>
      </c>
      <c r="C1146" s="128" t="s">
        <v>531</v>
      </c>
      <c r="D1146" s="128" t="s">
        <v>54</v>
      </c>
      <c r="E1146" s="128" t="str" cm="1">
        <f t="array" ref="E1146">IFERROR(INDEX(SubcategoriesTable[Subcategory name],MATCH(Table1[[#This Row],[Category]],SubcategoriesTable[Category name],0),0),"")</f>
        <v>Fixed</v>
      </c>
      <c r="F1146" s="134">
        <v>-7.31</v>
      </c>
      <c r="G1146" s="167" t="str">
        <f>_xlfn.XLOOKUP(Table1[[#This Row],[Account_ID]], Accounts[ID], Accounts[Account nickname], "Unknown")</f>
        <v>EVERYDAY CHECKING</v>
      </c>
      <c r="H1146" s="137" t="str">
        <f>_xlfn.XLOOKUP(Table1[[#This Row],[Account_ID]], Accounts[ID], Accounts[Account'#], "Unknown")</f>
        <v>4636</v>
      </c>
      <c r="I1146" s="168" t="str">
        <f>_xlfn.XLOOKUP(Table1[[#This Row],[Institution_ID]], Institutions[ID], Institutions[Institution nickname], "Unknown")</f>
        <v>Wells Fargo</v>
      </c>
      <c r="J1146" s="139" t="s">
        <v>1837</v>
      </c>
      <c r="K1146" s="129" t="s">
        <v>1229</v>
      </c>
      <c r="L1146" s="129" t="s">
        <v>1228</v>
      </c>
      <c r="M1146" s="130" t="str" cm="1">
        <f t="array" ref="M1146">IFERROR(INDEX(CategoriesTable[Category type],MATCH(Table1[[#This Row],[Category]],CategoriesTable[Category name],0),0),"")</f>
        <v>Expense</v>
      </c>
      <c r="N1146" s="130" t="str" cm="1">
        <f t="array" ref="N1146">IFERROR(INDEX(SubcategoriesTable[Subcategory name],MATCH(Table1[[#This Row],[Category]],SubcategoriesTable[Category name],0),0),"")</f>
        <v>Fixed</v>
      </c>
      <c r="O1146" s="130">
        <v>20</v>
      </c>
      <c r="P1146" s="130">
        <f>MONTH(Table1[[#This Row],[Date]])</f>
        <v>2</v>
      </c>
      <c r="Q1146" s="130">
        <v>2020</v>
      </c>
      <c r="R1146" s="166">
        <f>IF(ISBLANK(Table1[[#This Row],[Date]]),"",Table1[[#This Row],[Date]]-WEEKDAY(Table1[[#This Row],[Date]],2)+1)</f>
        <v>43878</v>
      </c>
      <c r="S1146" s="131">
        <f>IF(ISBLANK(Table1[[#This Row],[Date]]),"",DATE(Table1[[#This Row],[Date_Year]],Table1[[#This Row],[Date_Month]],1))</f>
        <v>43862</v>
      </c>
    </row>
    <row r="1147" spans="2:19" ht="15.75" x14ac:dyDescent="0.25">
      <c r="B1147" s="133">
        <v>43880</v>
      </c>
      <c r="C1147" s="128" t="s">
        <v>531</v>
      </c>
      <c r="D1147" s="128" t="s">
        <v>54</v>
      </c>
      <c r="E1147" s="128" t="str" cm="1">
        <f t="array" ref="E1147">IFERROR(INDEX(SubcategoriesTable[Subcategory name],MATCH(Table1[[#This Row],[Category]],SubcategoriesTable[Category name],0),0),"")</f>
        <v>Fixed</v>
      </c>
      <c r="F1147" s="134">
        <v>-5.36</v>
      </c>
      <c r="G1147" s="167" t="str">
        <f>_xlfn.XLOOKUP(Table1[[#This Row],[Account_ID]], Accounts[ID], Accounts[Account nickname], "Unknown")</f>
        <v>EVERYDAY CHECKING</v>
      </c>
      <c r="H1147" s="137" t="str">
        <f>_xlfn.XLOOKUP(Table1[[#This Row],[Account_ID]], Accounts[ID], Accounts[Account'#], "Unknown")</f>
        <v>4636</v>
      </c>
      <c r="I1147" s="168" t="str">
        <f>_xlfn.XLOOKUP(Table1[[#This Row],[Institution_ID]], Institutions[ID], Institutions[Institution nickname], "Unknown")</f>
        <v>Wells Fargo</v>
      </c>
      <c r="J1147" s="139" t="s">
        <v>1838</v>
      </c>
      <c r="K1147" s="129" t="s">
        <v>1229</v>
      </c>
      <c r="L1147" s="129" t="s">
        <v>1228</v>
      </c>
      <c r="M1147" s="130" t="str" cm="1">
        <f t="array" ref="M1147">IFERROR(INDEX(CategoriesTable[Category type],MATCH(Table1[[#This Row],[Category]],CategoriesTable[Category name],0),0),"")</f>
        <v>Expense</v>
      </c>
      <c r="N1147" s="130" t="str" cm="1">
        <f t="array" ref="N1147">IFERROR(INDEX(SubcategoriesTable[Subcategory name],MATCH(Table1[[#This Row],[Category]],SubcategoriesTable[Category name],0),0),"")</f>
        <v>Fixed</v>
      </c>
      <c r="O1147" s="130">
        <v>19</v>
      </c>
      <c r="P1147" s="130">
        <f>MONTH(Table1[[#This Row],[Date]])</f>
        <v>2</v>
      </c>
      <c r="Q1147" s="130">
        <v>2020</v>
      </c>
      <c r="R1147" s="166">
        <f>IF(ISBLANK(Table1[[#This Row],[Date]]),"",Table1[[#This Row],[Date]]-WEEKDAY(Table1[[#This Row],[Date]],2)+1)</f>
        <v>43878</v>
      </c>
      <c r="S1147" s="131">
        <f>IF(ISBLANK(Table1[[#This Row],[Date]]),"",DATE(Table1[[#This Row],[Date_Year]],Table1[[#This Row],[Date_Month]],1))</f>
        <v>43862</v>
      </c>
    </row>
    <row r="1148" spans="2:19" ht="15.75" x14ac:dyDescent="0.25">
      <c r="B1148" s="133">
        <v>43879</v>
      </c>
      <c r="C1148" s="128" t="s">
        <v>531</v>
      </c>
      <c r="D1148" s="128" t="s">
        <v>54</v>
      </c>
      <c r="E1148" s="128" t="str" cm="1">
        <f t="array" ref="E1148">IFERROR(INDEX(SubcategoriesTable[Subcategory name],MATCH(Table1[[#This Row],[Category]],SubcategoriesTable[Category name],0),0),"")</f>
        <v>Fixed</v>
      </c>
      <c r="F1148" s="134">
        <v>-8.83</v>
      </c>
      <c r="G1148" s="167" t="str">
        <f>_xlfn.XLOOKUP(Table1[[#This Row],[Account_ID]], Accounts[ID], Accounts[Account nickname], "Unknown")</f>
        <v>EVERYDAY CHECKING</v>
      </c>
      <c r="H1148" s="137" t="str">
        <f>_xlfn.XLOOKUP(Table1[[#This Row],[Account_ID]], Accounts[ID], Accounts[Account'#], "Unknown")</f>
        <v>4636</v>
      </c>
      <c r="I1148" s="168" t="str">
        <f>_xlfn.XLOOKUP(Table1[[#This Row],[Institution_ID]], Institutions[ID], Institutions[Institution nickname], "Unknown")</f>
        <v>Wells Fargo</v>
      </c>
      <c r="J1148" s="139" t="s">
        <v>1839</v>
      </c>
      <c r="K1148" s="129" t="s">
        <v>1229</v>
      </c>
      <c r="L1148" s="129" t="s">
        <v>1228</v>
      </c>
      <c r="M1148" s="130" t="str" cm="1">
        <f t="array" ref="M1148">IFERROR(INDEX(CategoriesTable[Category type],MATCH(Table1[[#This Row],[Category]],CategoriesTable[Category name],0),0),"")</f>
        <v>Expense</v>
      </c>
      <c r="N1148" s="130" t="str" cm="1">
        <f t="array" ref="N1148">IFERROR(INDEX(SubcategoriesTable[Subcategory name],MATCH(Table1[[#This Row],[Category]],SubcategoriesTable[Category name],0),0),"")</f>
        <v>Fixed</v>
      </c>
      <c r="O1148" s="130">
        <v>18</v>
      </c>
      <c r="P1148" s="130">
        <f>MONTH(Table1[[#This Row],[Date]])</f>
        <v>2</v>
      </c>
      <c r="Q1148" s="130">
        <v>2020</v>
      </c>
      <c r="R1148" s="166">
        <f>IF(ISBLANK(Table1[[#This Row],[Date]]),"",Table1[[#This Row],[Date]]-WEEKDAY(Table1[[#This Row],[Date]],2)+1)</f>
        <v>43878</v>
      </c>
      <c r="S1148" s="131">
        <f>IF(ISBLANK(Table1[[#This Row],[Date]]),"",DATE(Table1[[#This Row],[Date_Year]],Table1[[#This Row],[Date_Month]],1))</f>
        <v>43862</v>
      </c>
    </row>
    <row r="1149" spans="2:19" ht="15.75" x14ac:dyDescent="0.25">
      <c r="B1149" s="133">
        <v>43879</v>
      </c>
      <c r="C1149" s="128" t="s">
        <v>1840</v>
      </c>
      <c r="D1149" s="128" t="s">
        <v>48</v>
      </c>
      <c r="E1149" s="128" t="str" cm="1">
        <f t="array" ref="E1149">IFERROR(INDEX(SubcategoriesTable[Subcategory name],MATCH(Table1[[#This Row],[Category]],SubcategoriesTable[Category name],0),0),"")</f>
        <v>Variable</v>
      </c>
      <c r="F1149" s="134">
        <v>-40.5</v>
      </c>
      <c r="G1149" s="167" t="str">
        <f>_xlfn.XLOOKUP(Table1[[#This Row],[Account_ID]], Accounts[ID], Accounts[Account nickname], "Unknown")</f>
        <v>EVERYDAY CHECKING</v>
      </c>
      <c r="H1149" s="137" t="str">
        <f>_xlfn.XLOOKUP(Table1[[#This Row],[Account_ID]], Accounts[ID], Accounts[Account'#], "Unknown")</f>
        <v>4636</v>
      </c>
      <c r="I1149" s="168" t="str">
        <f>_xlfn.XLOOKUP(Table1[[#This Row],[Institution_ID]], Institutions[ID], Institutions[Institution nickname], "Unknown")</f>
        <v>Wells Fargo</v>
      </c>
      <c r="J1149" s="139" t="s">
        <v>1841</v>
      </c>
      <c r="K1149" s="129" t="s">
        <v>1229</v>
      </c>
      <c r="L1149" s="129" t="s">
        <v>1228</v>
      </c>
      <c r="M1149" s="130" t="str" cm="1">
        <f t="array" ref="M1149">IFERROR(INDEX(CategoriesTable[Category type],MATCH(Table1[[#This Row],[Category]],CategoriesTable[Category name],0),0),"")</f>
        <v>Expense</v>
      </c>
      <c r="N1149" s="130" t="str" cm="1">
        <f t="array" ref="N1149">IFERROR(INDEX(SubcategoriesTable[Subcategory name],MATCH(Table1[[#This Row],[Category]],SubcategoriesTable[Category name],0),0),"")</f>
        <v>Variable</v>
      </c>
      <c r="O1149" s="130">
        <v>18</v>
      </c>
      <c r="P1149" s="130">
        <f>MONTH(Table1[[#This Row],[Date]])</f>
        <v>2</v>
      </c>
      <c r="Q1149" s="130">
        <v>2020</v>
      </c>
      <c r="R1149" s="166">
        <f>IF(ISBLANK(Table1[[#This Row],[Date]]),"",Table1[[#This Row],[Date]]-WEEKDAY(Table1[[#This Row],[Date]],2)+1)</f>
        <v>43878</v>
      </c>
      <c r="S1149" s="131">
        <f>IF(ISBLANK(Table1[[#This Row],[Date]]),"",DATE(Table1[[#This Row],[Date_Year]],Table1[[#This Row],[Date_Month]],1))</f>
        <v>43862</v>
      </c>
    </row>
    <row r="1150" spans="2:19" ht="15.75" x14ac:dyDescent="0.25">
      <c r="B1150" s="133">
        <v>43879</v>
      </c>
      <c r="C1150" s="128" t="s">
        <v>171</v>
      </c>
      <c r="D1150" s="128" t="s">
        <v>46</v>
      </c>
      <c r="E1150" s="128" t="str" cm="1">
        <f t="array" ref="E1150">IFERROR(INDEX(SubcategoriesTable[Subcategory name],MATCH(Table1[[#This Row],[Category]],SubcategoriesTable[Category name],0),0),"")</f>
        <v>Variable</v>
      </c>
      <c r="F1150" s="134">
        <v>-12.48</v>
      </c>
      <c r="G1150" s="167" t="str">
        <f>_xlfn.XLOOKUP(Table1[[#This Row],[Account_ID]], Accounts[ID], Accounts[Account nickname], "Unknown")</f>
        <v>EVERYDAY CHECKING</v>
      </c>
      <c r="H1150" s="137" t="str">
        <f>_xlfn.XLOOKUP(Table1[[#This Row],[Account_ID]], Accounts[ID], Accounts[Account'#], "Unknown")</f>
        <v>4636</v>
      </c>
      <c r="I1150" s="168" t="str">
        <f>_xlfn.XLOOKUP(Table1[[#This Row],[Institution_ID]], Institutions[ID], Institutions[Institution nickname], "Unknown")</f>
        <v>Wells Fargo</v>
      </c>
      <c r="J1150" s="139" t="s">
        <v>1842</v>
      </c>
      <c r="K1150" s="129" t="s">
        <v>1229</v>
      </c>
      <c r="L1150" s="129" t="s">
        <v>1228</v>
      </c>
      <c r="M1150" s="130" t="str" cm="1">
        <f t="array" ref="M1150">IFERROR(INDEX(CategoriesTable[Category type],MATCH(Table1[[#This Row],[Category]],CategoriesTable[Category name],0),0),"")</f>
        <v>Expense</v>
      </c>
      <c r="N1150" s="130" t="str" cm="1">
        <f t="array" ref="N1150">IFERROR(INDEX(SubcategoriesTable[Subcategory name],MATCH(Table1[[#This Row],[Category]],SubcategoriesTable[Category name],0),0),"")</f>
        <v>Variable</v>
      </c>
      <c r="O1150" s="130">
        <v>18</v>
      </c>
      <c r="P1150" s="130">
        <f>MONTH(Table1[[#This Row],[Date]])</f>
        <v>2</v>
      </c>
      <c r="Q1150" s="130">
        <v>2020</v>
      </c>
      <c r="R1150" s="166">
        <f>IF(ISBLANK(Table1[[#This Row],[Date]]),"",Table1[[#This Row],[Date]]-WEEKDAY(Table1[[#This Row],[Date]],2)+1)</f>
        <v>43878</v>
      </c>
      <c r="S1150" s="131">
        <f>IF(ISBLANK(Table1[[#This Row],[Date]]),"",DATE(Table1[[#This Row],[Date_Year]],Table1[[#This Row],[Date_Month]],1))</f>
        <v>43862</v>
      </c>
    </row>
    <row r="1151" spans="2:19" ht="15.75" x14ac:dyDescent="0.25">
      <c r="B1151" s="133">
        <v>43879</v>
      </c>
      <c r="C1151" s="128" t="s">
        <v>508</v>
      </c>
      <c r="D1151" s="128" t="s">
        <v>50</v>
      </c>
      <c r="E1151" s="128" t="str" cm="1">
        <f t="array" ref="E1151">IFERROR(INDEX(SubcategoriesTable[Subcategory name],MATCH(Table1[[#This Row],[Category]],SubcategoriesTable[Category name],0),0),"")</f>
        <v>Variable</v>
      </c>
      <c r="F1151" s="134">
        <v>-12</v>
      </c>
      <c r="G1151" s="167" t="str">
        <f>_xlfn.XLOOKUP(Table1[[#This Row],[Account_ID]], Accounts[ID], Accounts[Account nickname], "Unknown")</f>
        <v>EVERYDAY CHECKING</v>
      </c>
      <c r="H1151" s="137" t="str">
        <f>_xlfn.XLOOKUP(Table1[[#This Row],[Account_ID]], Accounts[ID], Accounts[Account'#], "Unknown")</f>
        <v>4636</v>
      </c>
      <c r="I1151" s="168" t="str">
        <f>_xlfn.XLOOKUP(Table1[[#This Row],[Institution_ID]], Institutions[ID], Institutions[Institution nickname], "Unknown")</f>
        <v>Wells Fargo</v>
      </c>
      <c r="J1151" s="139" t="s">
        <v>1843</v>
      </c>
      <c r="K1151" s="129" t="s">
        <v>1229</v>
      </c>
      <c r="L1151" s="129" t="s">
        <v>1228</v>
      </c>
      <c r="M1151" s="130" t="str" cm="1">
        <f t="array" ref="M1151">IFERROR(INDEX(CategoriesTable[Category type],MATCH(Table1[[#This Row],[Category]],CategoriesTable[Category name],0),0),"")</f>
        <v>Transfer</v>
      </c>
      <c r="N1151" s="130" t="str" cm="1">
        <f t="array" ref="N1151">IFERROR(INDEX(SubcategoriesTable[Subcategory name],MATCH(Table1[[#This Row],[Category]],SubcategoriesTable[Category name],0),0),"")</f>
        <v>Variable</v>
      </c>
      <c r="O1151" s="130">
        <v>18</v>
      </c>
      <c r="P1151" s="130">
        <f>MONTH(Table1[[#This Row],[Date]])</f>
        <v>2</v>
      </c>
      <c r="Q1151" s="130">
        <v>2020</v>
      </c>
      <c r="R1151" s="166">
        <f>IF(ISBLANK(Table1[[#This Row],[Date]]),"",Table1[[#This Row],[Date]]-WEEKDAY(Table1[[#This Row],[Date]],2)+1)</f>
        <v>43878</v>
      </c>
      <c r="S1151" s="131">
        <f>IF(ISBLANK(Table1[[#This Row],[Date]]),"",DATE(Table1[[#This Row],[Date_Year]],Table1[[#This Row],[Date_Month]],1))</f>
        <v>43862</v>
      </c>
    </row>
    <row r="1152" spans="2:19" ht="15.75" x14ac:dyDescent="0.25">
      <c r="B1152" s="133">
        <v>43879</v>
      </c>
      <c r="C1152" s="128" t="s">
        <v>508</v>
      </c>
      <c r="D1152" s="128" t="s">
        <v>50</v>
      </c>
      <c r="E1152" s="128" t="str" cm="1">
        <f t="array" ref="E1152">IFERROR(INDEX(SubcategoriesTable[Subcategory name],MATCH(Table1[[#This Row],[Category]],SubcategoriesTable[Category name],0),0),"")</f>
        <v>Variable</v>
      </c>
      <c r="F1152" s="134">
        <v>-20</v>
      </c>
      <c r="G1152" s="167" t="str">
        <f>_xlfn.XLOOKUP(Table1[[#This Row],[Account_ID]], Accounts[ID], Accounts[Account nickname], "Unknown")</f>
        <v>EVERYDAY CHECKING</v>
      </c>
      <c r="H1152" s="137" t="str">
        <f>_xlfn.XLOOKUP(Table1[[#This Row],[Account_ID]], Accounts[ID], Accounts[Account'#], "Unknown")</f>
        <v>4636</v>
      </c>
      <c r="I1152" s="168" t="str">
        <f>_xlfn.XLOOKUP(Table1[[#This Row],[Institution_ID]], Institutions[ID], Institutions[Institution nickname], "Unknown")</f>
        <v>Wells Fargo</v>
      </c>
      <c r="J1152" s="139" t="s">
        <v>1844</v>
      </c>
      <c r="K1152" s="129" t="s">
        <v>1229</v>
      </c>
      <c r="L1152" s="129" t="s">
        <v>1228</v>
      </c>
      <c r="M1152" s="130" t="str" cm="1">
        <f t="array" ref="M1152">IFERROR(INDEX(CategoriesTable[Category type],MATCH(Table1[[#This Row],[Category]],CategoriesTable[Category name],0),0),"")</f>
        <v>Transfer</v>
      </c>
      <c r="N1152" s="130" t="str" cm="1">
        <f t="array" ref="N1152">IFERROR(INDEX(SubcategoriesTable[Subcategory name],MATCH(Table1[[#This Row],[Category]],SubcategoriesTable[Category name],0),0),"")</f>
        <v>Variable</v>
      </c>
      <c r="O1152" s="130">
        <v>18</v>
      </c>
      <c r="P1152" s="130">
        <f>MONTH(Table1[[#This Row],[Date]])</f>
        <v>2</v>
      </c>
      <c r="Q1152" s="130">
        <v>2020</v>
      </c>
      <c r="R1152" s="166">
        <f>IF(ISBLANK(Table1[[#This Row],[Date]]),"",Table1[[#This Row],[Date]]-WEEKDAY(Table1[[#This Row],[Date]],2)+1)</f>
        <v>43878</v>
      </c>
      <c r="S1152" s="131">
        <f>IF(ISBLANK(Table1[[#This Row],[Date]]),"",DATE(Table1[[#This Row],[Date_Year]],Table1[[#This Row],[Date_Month]],1))</f>
        <v>43862</v>
      </c>
    </row>
    <row r="1153" spans="2:19" ht="15.75" x14ac:dyDescent="0.25">
      <c r="B1153" s="133">
        <v>43879</v>
      </c>
      <c r="C1153" s="128" t="s">
        <v>508</v>
      </c>
      <c r="D1153" s="128" t="s">
        <v>50</v>
      </c>
      <c r="E1153" s="128" t="str" cm="1">
        <f t="array" ref="E1153">IFERROR(INDEX(SubcategoriesTable[Subcategory name],MATCH(Table1[[#This Row],[Category]],SubcategoriesTable[Category name],0),0),"")</f>
        <v>Variable</v>
      </c>
      <c r="F1153" s="134">
        <v>-114</v>
      </c>
      <c r="G1153" s="167" t="str">
        <f>_xlfn.XLOOKUP(Table1[[#This Row],[Account_ID]], Accounts[ID], Accounts[Account nickname], "Unknown")</f>
        <v>EVERYDAY CHECKING</v>
      </c>
      <c r="H1153" s="137" t="str">
        <f>_xlfn.XLOOKUP(Table1[[#This Row],[Account_ID]], Accounts[ID], Accounts[Account'#], "Unknown")</f>
        <v>4636</v>
      </c>
      <c r="I1153" s="168" t="str">
        <f>_xlfn.XLOOKUP(Table1[[#This Row],[Institution_ID]], Institutions[ID], Institutions[Institution nickname], "Unknown")</f>
        <v>Wells Fargo</v>
      </c>
      <c r="J1153" s="139" t="s">
        <v>1845</v>
      </c>
      <c r="K1153" s="129" t="s">
        <v>1229</v>
      </c>
      <c r="L1153" s="129" t="s">
        <v>1228</v>
      </c>
      <c r="M1153" s="130" t="str" cm="1">
        <f t="array" ref="M1153">IFERROR(INDEX(CategoriesTable[Category type],MATCH(Table1[[#This Row],[Category]],CategoriesTable[Category name],0),0),"")</f>
        <v>Transfer</v>
      </c>
      <c r="N1153" s="130" t="str" cm="1">
        <f t="array" ref="N1153">IFERROR(INDEX(SubcategoriesTable[Subcategory name],MATCH(Table1[[#This Row],[Category]],SubcategoriesTable[Category name],0),0),"")</f>
        <v>Variable</v>
      </c>
      <c r="O1153" s="130">
        <v>18</v>
      </c>
      <c r="P1153" s="130">
        <f>MONTH(Table1[[#This Row],[Date]])</f>
        <v>2</v>
      </c>
      <c r="Q1153" s="130">
        <v>2020</v>
      </c>
      <c r="R1153" s="166">
        <f>IF(ISBLANK(Table1[[#This Row],[Date]]),"",Table1[[#This Row],[Date]]-WEEKDAY(Table1[[#This Row],[Date]],2)+1)</f>
        <v>43878</v>
      </c>
      <c r="S1153" s="131">
        <f>IF(ISBLANK(Table1[[#This Row],[Date]]),"",DATE(Table1[[#This Row],[Date_Year]],Table1[[#This Row],[Date_Month]],1))</f>
        <v>43862</v>
      </c>
    </row>
    <row r="1154" spans="2:19" ht="15.75" x14ac:dyDescent="0.25">
      <c r="B1154" s="133">
        <v>43879</v>
      </c>
      <c r="C1154" s="128" t="s">
        <v>508</v>
      </c>
      <c r="D1154" s="128" t="s">
        <v>50</v>
      </c>
      <c r="E1154" s="128" t="str" cm="1">
        <f t="array" ref="E1154">IFERROR(INDEX(SubcategoriesTable[Subcategory name],MATCH(Table1[[#This Row],[Category]],SubcategoriesTable[Category name],0),0),"")</f>
        <v>Variable</v>
      </c>
      <c r="F1154" s="134">
        <v>-232</v>
      </c>
      <c r="G1154" s="167" t="str">
        <f>_xlfn.XLOOKUP(Table1[[#This Row],[Account_ID]], Accounts[ID], Accounts[Account nickname], "Unknown")</f>
        <v>EVERYDAY CHECKING</v>
      </c>
      <c r="H1154" s="137" t="str">
        <f>_xlfn.XLOOKUP(Table1[[#This Row],[Account_ID]], Accounts[ID], Accounts[Account'#], "Unknown")</f>
        <v>4636</v>
      </c>
      <c r="I1154" s="168" t="str">
        <f>_xlfn.XLOOKUP(Table1[[#This Row],[Institution_ID]], Institutions[ID], Institutions[Institution nickname], "Unknown")</f>
        <v>Wells Fargo</v>
      </c>
      <c r="J1154" s="139" t="s">
        <v>1846</v>
      </c>
      <c r="K1154" s="129" t="s">
        <v>1229</v>
      </c>
      <c r="L1154" s="129" t="s">
        <v>1228</v>
      </c>
      <c r="M1154" s="130" t="str" cm="1">
        <f t="array" ref="M1154">IFERROR(INDEX(CategoriesTable[Category type],MATCH(Table1[[#This Row],[Category]],CategoriesTable[Category name],0),0),"")</f>
        <v>Transfer</v>
      </c>
      <c r="N1154" s="130" t="str" cm="1">
        <f t="array" ref="N1154">IFERROR(INDEX(SubcategoriesTable[Subcategory name],MATCH(Table1[[#This Row],[Category]],SubcategoriesTable[Category name],0),0),"")</f>
        <v>Variable</v>
      </c>
      <c r="O1154" s="130">
        <v>18</v>
      </c>
      <c r="P1154" s="130">
        <f>MONTH(Table1[[#This Row],[Date]])</f>
        <v>2</v>
      </c>
      <c r="Q1154" s="130">
        <v>2020</v>
      </c>
      <c r="R1154" s="166">
        <f>IF(ISBLANK(Table1[[#This Row],[Date]]),"",Table1[[#This Row],[Date]]-WEEKDAY(Table1[[#This Row],[Date]],2)+1)</f>
        <v>43878</v>
      </c>
      <c r="S1154" s="131">
        <f>IF(ISBLANK(Table1[[#This Row],[Date]]),"",DATE(Table1[[#This Row],[Date_Year]],Table1[[#This Row],[Date_Month]],1))</f>
        <v>43862</v>
      </c>
    </row>
    <row r="1155" spans="2:19" ht="15.75" x14ac:dyDescent="0.25">
      <c r="B1155" s="133">
        <v>43878</v>
      </c>
      <c r="C1155" s="128" t="s">
        <v>531</v>
      </c>
      <c r="D1155" s="128" t="s">
        <v>45</v>
      </c>
      <c r="E1155" s="128" t="str" cm="1">
        <f t="array" ref="E1155">IFERROR(INDEX(SubcategoriesTable[Subcategory name],MATCH(Table1[[#This Row],[Category]],SubcategoriesTable[Category name],0),0),"")</f>
        <v>Variable</v>
      </c>
      <c r="F1155" s="134">
        <v>-1.4</v>
      </c>
      <c r="G1155" s="167" t="str">
        <f>_xlfn.XLOOKUP(Table1[[#This Row],[Account_ID]], Accounts[ID], Accounts[Account nickname], "Unknown")</f>
        <v>Discover it chrome Card</v>
      </c>
      <c r="H1155" s="137" t="str">
        <f>_xlfn.XLOOKUP(Table1[[#This Row],[Account_ID]], Accounts[ID], Accounts[Account'#], "Unknown")</f>
        <v>7328</v>
      </c>
      <c r="I1155" s="168" t="str">
        <f>_xlfn.XLOOKUP(Table1[[#This Row],[Institution_ID]], Institutions[ID], Institutions[Institution nickname], "Unknown")</f>
        <v>Discover</v>
      </c>
      <c r="J1155" s="139" t="s">
        <v>1011</v>
      </c>
      <c r="K1155" s="129" t="s">
        <v>110</v>
      </c>
      <c r="L1155" s="129" t="s">
        <v>108</v>
      </c>
      <c r="M1155" s="130" t="str" cm="1">
        <f t="array" ref="M1155">IFERROR(INDEX(CategoriesTable[Category type],MATCH(Table1[[#This Row],[Category]],CategoriesTable[Category name],0),0),"")</f>
        <v>Expense</v>
      </c>
      <c r="N1155" s="130" t="str" cm="1">
        <f t="array" ref="N1155">IFERROR(INDEX(SubcategoriesTable[Subcategory name],MATCH(Table1[[#This Row],[Category]],SubcategoriesTable[Category name],0),0),"")</f>
        <v>Variable</v>
      </c>
      <c r="O1155" s="130">
        <v>17</v>
      </c>
      <c r="P1155" s="130">
        <f>MONTH(Table1[[#This Row],[Date]])</f>
        <v>2</v>
      </c>
      <c r="Q1155" s="130">
        <v>2020</v>
      </c>
      <c r="R1155" s="166">
        <f>IF(ISBLANK(Table1[[#This Row],[Date]]),"",Table1[[#This Row],[Date]]-WEEKDAY(Table1[[#This Row],[Date]],2)+1)</f>
        <v>43878</v>
      </c>
      <c r="S1155" s="131">
        <f>IF(ISBLANK(Table1[[#This Row],[Date]]),"",DATE(Table1[[#This Row],[Date_Year]],Table1[[#This Row],[Date_Month]],1))</f>
        <v>43862</v>
      </c>
    </row>
    <row r="1156" spans="2:19" ht="15.75" x14ac:dyDescent="0.25">
      <c r="B1156" s="133">
        <v>43877</v>
      </c>
      <c r="C1156" s="128" t="s">
        <v>1148</v>
      </c>
      <c r="D1156" s="128" t="s">
        <v>45</v>
      </c>
      <c r="E1156" s="128" t="str" cm="1">
        <f t="array" ref="E1156">IFERROR(INDEX(SubcategoriesTable[Subcategory name],MATCH(Table1[[#This Row],[Category]],SubcategoriesTable[Category name],0),0),"")</f>
        <v>Variable</v>
      </c>
      <c r="F1156" s="134">
        <v>-5.08</v>
      </c>
      <c r="G1156" s="167" t="str">
        <f>_xlfn.XLOOKUP(Table1[[#This Row],[Account_ID]], Accounts[ID], Accounts[Account nickname], "Unknown")</f>
        <v>EVERYDAY CHECKING</v>
      </c>
      <c r="H1156" s="137" t="str">
        <f>_xlfn.XLOOKUP(Table1[[#This Row],[Account_ID]], Accounts[ID], Accounts[Account'#], "Unknown")</f>
        <v>4636</v>
      </c>
      <c r="I1156" s="168" t="str">
        <f>_xlfn.XLOOKUP(Table1[[#This Row],[Institution_ID]], Institutions[ID], Institutions[Institution nickname], "Unknown")</f>
        <v>Wells Fargo</v>
      </c>
      <c r="J1156" s="139" t="s">
        <v>1847</v>
      </c>
      <c r="K1156" s="129" t="s">
        <v>1229</v>
      </c>
      <c r="L1156" s="129" t="s">
        <v>1228</v>
      </c>
      <c r="M1156" s="130" t="str" cm="1">
        <f t="array" ref="M1156">IFERROR(INDEX(CategoriesTable[Category type],MATCH(Table1[[#This Row],[Category]],CategoriesTable[Category name],0),0),"")</f>
        <v>Expense</v>
      </c>
      <c r="N1156" s="130" t="str" cm="1">
        <f t="array" ref="N1156">IFERROR(INDEX(SubcategoriesTable[Subcategory name],MATCH(Table1[[#This Row],[Category]],SubcategoriesTable[Category name],0),0),"")</f>
        <v>Variable</v>
      </c>
      <c r="O1156" s="130">
        <v>16</v>
      </c>
      <c r="P1156" s="130">
        <f>MONTH(Table1[[#This Row],[Date]])</f>
        <v>2</v>
      </c>
      <c r="Q1156" s="130">
        <v>2020</v>
      </c>
      <c r="R1156" s="166">
        <f>IF(ISBLANK(Table1[[#This Row],[Date]]),"",Table1[[#This Row],[Date]]-WEEKDAY(Table1[[#This Row],[Date]],2)+1)</f>
        <v>43871</v>
      </c>
      <c r="S1156" s="131">
        <f>IF(ISBLANK(Table1[[#This Row],[Date]]),"",DATE(Table1[[#This Row],[Date_Year]],Table1[[#This Row],[Date_Month]],1))</f>
        <v>43862</v>
      </c>
    </row>
    <row r="1157" spans="2:19" ht="15.75" x14ac:dyDescent="0.25">
      <c r="B1157" s="133">
        <v>43877</v>
      </c>
      <c r="C1157" s="128" t="s">
        <v>996</v>
      </c>
      <c r="D1157" s="128" t="s">
        <v>48</v>
      </c>
      <c r="E1157" s="128" t="str" cm="1">
        <f t="array" ref="E1157">IFERROR(INDEX(SubcategoriesTable[Subcategory name],MATCH(Table1[[#This Row],[Category]],SubcategoriesTable[Category name],0),0),"")</f>
        <v>Variable</v>
      </c>
      <c r="F1157" s="134">
        <v>-51.56</v>
      </c>
      <c r="G1157" s="167" t="str">
        <f>_xlfn.XLOOKUP(Table1[[#This Row],[Account_ID]], Accounts[ID], Accounts[Account nickname], "Unknown")</f>
        <v>Discover it chrome Card</v>
      </c>
      <c r="H1157" s="137" t="str">
        <f>_xlfn.XLOOKUP(Table1[[#This Row],[Account_ID]], Accounts[ID], Accounts[Account'#], "Unknown")</f>
        <v>7328</v>
      </c>
      <c r="I1157" s="168" t="str">
        <f>_xlfn.XLOOKUP(Table1[[#This Row],[Institution_ID]], Institutions[ID], Institutions[Institution nickname], "Unknown")</f>
        <v>Discover</v>
      </c>
      <c r="J1157" s="139" t="s">
        <v>1012</v>
      </c>
      <c r="K1157" s="129" t="s">
        <v>110</v>
      </c>
      <c r="L1157" s="129" t="s">
        <v>108</v>
      </c>
      <c r="M1157" s="130" t="str" cm="1">
        <f t="array" ref="M1157">IFERROR(INDEX(CategoriesTable[Category type],MATCH(Table1[[#This Row],[Category]],CategoriesTable[Category name],0),0),"")</f>
        <v>Expense</v>
      </c>
      <c r="N1157" s="130" t="str" cm="1">
        <f t="array" ref="N1157">IFERROR(INDEX(SubcategoriesTable[Subcategory name],MATCH(Table1[[#This Row],[Category]],SubcategoriesTable[Category name],0),0),"")</f>
        <v>Variable</v>
      </c>
      <c r="O1157" s="130">
        <v>16</v>
      </c>
      <c r="P1157" s="130">
        <f>MONTH(Table1[[#This Row],[Date]])</f>
        <v>2</v>
      </c>
      <c r="Q1157" s="130">
        <v>2020</v>
      </c>
      <c r="R1157" s="166">
        <f>IF(ISBLANK(Table1[[#This Row],[Date]]),"",Table1[[#This Row],[Date]]-WEEKDAY(Table1[[#This Row],[Date]],2)+1)</f>
        <v>43871</v>
      </c>
      <c r="S1157" s="131">
        <f>IF(ISBLANK(Table1[[#This Row],[Date]]),"",DATE(Table1[[#This Row],[Date_Year]],Table1[[#This Row],[Date_Month]],1))</f>
        <v>43862</v>
      </c>
    </row>
    <row r="1158" spans="2:19" ht="15.75" x14ac:dyDescent="0.25">
      <c r="B1158" s="133">
        <v>43876</v>
      </c>
      <c r="C1158" s="128" t="s">
        <v>1848</v>
      </c>
      <c r="D1158" s="128" t="s">
        <v>48</v>
      </c>
      <c r="E1158" s="128" t="str" cm="1">
        <f t="array" ref="E1158">IFERROR(INDEX(SubcategoriesTable[Subcategory name],MATCH(Table1[[#This Row],[Category]],SubcategoriesTable[Category name],0),0),"")</f>
        <v>Variable</v>
      </c>
      <c r="F1158" s="134">
        <v>-11.38</v>
      </c>
      <c r="G1158" s="167" t="str">
        <f>_xlfn.XLOOKUP(Table1[[#This Row],[Account_ID]], Accounts[ID], Accounts[Account nickname], "Unknown")</f>
        <v>EVERYDAY CHECKING</v>
      </c>
      <c r="H1158" s="137" t="str">
        <f>_xlfn.XLOOKUP(Table1[[#This Row],[Account_ID]], Accounts[ID], Accounts[Account'#], "Unknown")</f>
        <v>4636</v>
      </c>
      <c r="I1158" s="168" t="str">
        <f>_xlfn.XLOOKUP(Table1[[#This Row],[Institution_ID]], Institutions[ID], Institutions[Institution nickname], "Unknown")</f>
        <v>Wells Fargo</v>
      </c>
      <c r="J1158" s="139" t="s">
        <v>1849</v>
      </c>
      <c r="K1158" s="129" t="s">
        <v>1229</v>
      </c>
      <c r="L1158" s="129" t="s">
        <v>1228</v>
      </c>
      <c r="M1158" s="130" t="str" cm="1">
        <f t="array" ref="M1158">IFERROR(INDEX(CategoriesTable[Category type],MATCH(Table1[[#This Row],[Category]],CategoriesTable[Category name],0),0),"")</f>
        <v>Expense</v>
      </c>
      <c r="N1158" s="130" t="str" cm="1">
        <f t="array" ref="N1158">IFERROR(INDEX(SubcategoriesTable[Subcategory name],MATCH(Table1[[#This Row],[Category]],SubcategoriesTable[Category name],0),0),"")</f>
        <v>Variable</v>
      </c>
      <c r="O1158" s="130">
        <v>15</v>
      </c>
      <c r="P1158" s="130">
        <f>MONTH(Table1[[#This Row],[Date]])</f>
        <v>2</v>
      </c>
      <c r="Q1158" s="130">
        <v>2020</v>
      </c>
      <c r="R1158" s="166">
        <f>IF(ISBLANK(Table1[[#This Row],[Date]]),"",Table1[[#This Row],[Date]]-WEEKDAY(Table1[[#This Row],[Date]],2)+1)</f>
        <v>43871</v>
      </c>
      <c r="S1158" s="131">
        <f>IF(ISBLANK(Table1[[#This Row],[Date]]),"",DATE(Table1[[#This Row],[Date_Year]],Table1[[#This Row],[Date_Month]],1))</f>
        <v>43862</v>
      </c>
    </row>
    <row r="1159" spans="2:19" ht="15.75" x14ac:dyDescent="0.25">
      <c r="B1159" s="133">
        <v>43876</v>
      </c>
      <c r="C1159" s="128" t="s">
        <v>1848</v>
      </c>
      <c r="D1159" s="128" t="s">
        <v>48</v>
      </c>
      <c r="E1159" s="128" t="str" cm="1">
        <f t="array" ref="E1159">IFERROR(INDEX(SubcategoriesTable[Subcategory name],MATCH(Table1[[#This Row],[Category]],SubcategoriesTable[Category name],0),0),"")</f>
        <v>Variable</v>
      </c>
      <c r="F1159" s="134">
        <v>-36.65</v>
      </c>
      <c r="G1159" s="167" t="str">
        <f>_xlfn.XLOOKUP(Table1[[#This Row],[Account_ID]], Accounts[ID], Accounts[Account nickname], "Unknown")</f>
        <v>EVERYDAY CHECKING</v>
      </c>
      <c r="H1159" s="137" t="str">
        <f>_xlfn.XLOOKUP(Table1[[#This Row],[Account_ID]], Accounts[ID], Accounts[Account'#], "Unknown")</f>
        <v>4636</v>
      </c>
      <c r="I1159" s="168" t="str">
        <f>_xlfn.XLOOKUP(Table1[[#This Row],[Institution_ID]], Institutions[ID], Institutions[Institution nickname], "Unknown")</f>
        <v>Wells Fargo</v>
      </c>
      <c r="J1159" s="139" t="s">
        <v>1850</v>
      </c>
      <c r="K1159" s="129" t="s">
        <v>1229</v>
      </c>
      <c r="L1159" s="129" t="s">
        <v>1228</v>
      </c>
      <c r="M1159" s="130" t="str" cm="1">
        <f t="array" ref="M1159">IFERROR(INDEX(CategoriesTable[Category type],MATCH(Table1[[#This Row],[Category]],CategoriesTable[Category name],0),0),"")</f>
        <v>Expense</v>
      </c>
      <c r="N1159" s="130" t="str" cm="1">
        <f t="array" ref="N1159">IFERROR(INDEX(SubcategoriesTable[Subcategory name],MATCH(Table1[[#This Row],[Category]],SubcategoriesTable[Category name],0),0),"")</f>
        <v>Variable</v>
      </c>
      <c r="O1159" s="130">
        <v>15</v>
      </c>
      <c r="P1159" s="130">
        <f>MONTH(Table1[[#This Row],[Date]])</f>
        <v>2</v>
      </c>
      <c r="Q1159" s="130">
        <v>2020</v>
      </c>
      <c r="R1159" s="166">
        <f>IF(ISBLANK(Table1[[#This Row],[Date]]),"",Table1[[#This Row],[Date]]-WEEKDAY(Table1[[#This Row],[Date]],2)+1)</f>
        <v>43871</v>
      </c>
      <c r="S1159" s="131">
        <f>IF(ISBLANK(Table1[[#This Row],[Date]]),"",DATE(Table1[[#This Row],[Date_Year]],Table1[[#This Row],[Date_Month]],1))</f>
        <v>43862</v>
      </c>
    </row>
    <row r="1160" spans="2:19" ht="15.75" x14ac:dyDescent="0.25">
      <c r="B1160" s="133">
        <v>43876</v>
      </c>
      <c r="C1160" s="128" t="s">
        <v>1851</v>
      </c>
      <c r="D1160" s="128" t="s">
        <v>45</v>
      </c>
      <c r="E1160" s="128" t="str" cm="1">
        <f t="array" ref="E1160">IFERROR(INDEX(SubcategoriesTable[Subcategory name],MATCH(Table1[[#This Row],[Category]],SubcategoriesTable[Category name],0),0),"")</f>
        <v>Variable</v>
      </c>
      <c r="F1160" s="134">
        <v>-36.22</v>
      </c>
      <c r="G1160" s="167" t="str">
        <f>_xlfn.XLOOKUP(Table1[[#This Row],[Account_ID]], Accounts[ID], Accounts[Account nickname], "Unknown")</f>
        <v>EVERYDAY CHECKING</v>
      </c>
      <c r="H1160" s="137" t="str">
        <f>_xlfn.XLOOKUP(Table1[[#This Row],[Account_ID]], Accounts[ID], Accounts[Account'#], "Unknown")</f>
        <v>4636</v>
      </c>
      <c r="I1160" s="168" t="str">
        <f>_xlfn.XLOOKUP(Table1[[#This Row],[Institution_ID]], Institutions[ID], Institutions[Institution nickname], "Unknown")</f>
        <v>Wells Fargo</v>
      </c>
      <c r="J1160" s="139" t="s">
        <v>1852</v>
      </c>
      <c r="K1160" s="129" t="s">
        <v>1229</v>
      </c>
      <c r="L1160" s="129" t="s">
        <v>1228</v>
      </c>
      <c r="M1160" s="130" t="str" cm="1">
        <f t="array" ref="M1160">IFERROR(INDEX(CategoriesTable[Category type],MATCH(Table1[[#This Row],[Category]],CategoriesTable[Category name],0),0),"")</f>
        <v>Expense</v>
      </c>
      <c r="N1160" s="130" t="str" cm="1">
        <f t="array" ref="N1160">IFERROR(INDEX(SubcategoriesTable[Subcategory name],MATCH(Table1[[#This Row],[Category]],SubcategoriesTable[Category name],0),0),"")</f>
        <v>Variable</v>
      </c>
      <c r="O1160" s="130">
        <v>15</v>
      </c>
      <c r="P1160" s="130">
        <f>MONTH(Table1[[#This Row],[Date]])</f>
        <v>2</v>
      </c>
      <c r="Q1160" s="130">
        <v>2020</v>
      </c>
      <c r="R1160" s="166">
        <f>IF(ISBLANK(Table1[[#This Row],[Date]]),"",Table1[[#This Row],[Date]]-WEEKDAY(Table1[[#This Row],[Date]],2)+1)</f>
        <v>43871</v>
      </c>
      <c r="S1160" s="131">
        <f>IF(ISBLANK(Table1[[#This Row],[Date]]),"",DATE(Table1[[#This Row],[Date_Year]],Table1[[#This Row],[Date_Month]],1))</f>
        <v>43862</v>
      </c>
    </row>
    <row r="1161" spans="2:19" ht="15.75" x14ac:dyDescent="0.25">
      <c r="B1161" s="133">
        <v>43876</v>
      </c>
      <c r="C1161" s="128" t="s">
        <v>1853</v>
      </c>
      <c r="D1161" s="128" t="s">
        <v>48</v>
      </c>
      <c r="E1161" s="128" t="str" cm="1">
        <f t="array" ref="E1161">IFERROR(INDEX(SubcategoriesTable[Subcategory name],MATCH(Table1[[#This Row],[Category]],SubcategoriesTable[Category name],0),0),"")</f>
        <v>Variable</v>
      </c>
      <c r="F1161" s="134">
        <v>-20</v>
      </c>
      <c r="G1161" s="167" t="str">
        <f>_xlfn.XLOOKUP(Table1[[#This Row],[Account_ID]], Accounts[ID], Accounts[Account nickname], "Unknown")</f>
        <v>EVERYDAY CHECKING</v>
      </c>
      <c r="H1161" s="137" t="str">
        <f>_xlfn.XLOOKUP(Table1[[#This Row],[Account_ID]], Accounts[ID], Accounts[Account'#], "Unknown")</f>
        <v>4636</v>
      </c>
      <c r="I1161" s="168" t="str">
        <f>_xlfn.XLOOKUP(Table1[[#This Row],[Institution_ID]], Institutions[ID], Institutions[Institution nickname], "Unknown")</f>
        <v>Wells Fargo</v>
      </c>
      <c r="J1161" s="139" t="s">
        <v>1854</v>
      </c>
      <c r="K1161" s="129" t="s">
        <v>1229</v>
      </c>
      <c r="L1161" s="129" t="s">
        <v>1228</v>
      </c>
      <c r="M1161" s="130" t="str" cm="1">
        <f t="array" ref="M1161">IFERROR(INDEX(CategoriesTable[Category type],MATCH(Table1[[#This Row],[Category]],CategoriesTable[Category name],0),0),"")</f>
        <v>Expense</v>
      </c>
      <c r="N1161" s="130" t="str" cm="1">
        <f t="array" ref="N1161">IFERROR(INDEX(SubcategoriesTable[Subcategory name],MATCH(Table1[[#This Row],[Category]],SubcategoriesTable[Category name],0),0),"")</f>
        <v>Variable</v>
      </c>
      <c r="O1161" s="130">
        <v>15</v>
      </c>
      <c r="P1161" s="130">
        <f>MONTH(Table1[[#This Row],[Date]])</f>
        <v>2</v>
      </c>
      <c r="Q1161" s="130">
        <v>2020</v>
      </c>
      <c r="R1161" s="166">
        <f>IF(ISBLANK(Table1[[#This Row],[Date]]),"",Table1[[#This Row],[Date]]-WEEKDAY(Table1[[#This Row],[Date]],2)+1)</f>
        <v>43871</v>
      </c>
      <c r="S1161" s="131">
        <f>IF(ISBLANK(Table1[[#This Row],[Date]]),"",DATE(Table1[[#This Row],[Date_Year]],Table1[[#This Row],[Date_Month]],1))</f>
        <v>43862</v>
      </c>
    </row>
    <row r="1162" spans="2:19" ht="15.75" x14ac:dyDescent="0.25">
      <c r="B1162" s="133">
        <v>43875</v>
      </c>
      <c r="C1162" s="128" t="s">
        <v>1623</v>
      </c>
      <c r="D1162" s="128" t="s">
        <v>56</v>
      </c>
      <c r="E1162" s="128" t="str" cm="1">
        <f t="array" ref="E1162">IFERROR(INDEX(SubcategoriesTable[Subcategory name],MATCH(Table1[[#This Row],[Category]],SubcategoriesTable[Category name],0),0),"")</f>
        <v>Variable</v>
      </c>
      <c r="F1162" s="134">
        <v>-36</v>
      </c>
      <c r="G1162" s="167" t="str">
        <f>_xlfn.XLOOKUP(Table1[[#This Row],[Account_ID]], Accounts[ID], Accounts[Account nickname], "Unknown")</f>
        <v>EVERYDAY CHECKING</v>
      </c>
      <c r="H1162" s="137" t="str">
        <f>_xlfn.XLOOKUP(Table1[[#This Row],[Account_ID]], Accounts[ID], Accounts[Account'#], "Unknown")</f>
        <v>4636</v>
      </c>
      <c r="I1162" s="168" t="str">
        <f>_xlfn.XLOOKUP(Table1[[#This Row],[Institution_ID]], Institutions[ID], Institutions[Institution nickname], "Unknown")</f>
        <v>Wells Fargo</v>
      </c>
      <c r="J1162" s="171" t="s">
        <v>1855</v>
      </c>
      <c r="K1162" s="129" t="s">
        <v>1229</v>
      </c>
      <c r="L1162" s="129" t="s">
        <v>1228</v>
      </c>
      <c r="M1162" s="130" t="str" cm="1">
        <f t="array" ref="M1162">IFERROR(INDEX(CategoriesTable[Category type],MATCH(Table1[[#This Row],[Category]],CategoriesTable[Category name],0),0),"")</f>
        <v>Expense</v>
      </c>
      <c r="N1162" s="130" t="str" cm="1">
        <f t="array" ref="N1162">IFERROR(INDEX(SubcategoriesTable[Subcategory name],MATCH(Table1[[#This Row],[Category]],SubcategoriesTable[Category name],0),0),"")</f>
        <v>Variable</v>
      </c>
      <c r="O1162" s="130">
        <v>14</v>
      </c>
      <c r="P1162" s="130">
        <f>MONTH(Table1[[#This Row],[Date]])</f>
        <v>2</v>
      </c>
      <c r="Q1162" s="130">
        <v>2020</v>
      </c>
      <c r="R1162" s="166">
        <f>IF(ISBLANK(Table1[[#This Row],[Date]]),"",Table1[[#This Row],[Date]]-WEEKDAY(Table1[[#This Row],[Date]],2)+1)</f>
        <v>43871</v>
      </c>
      <c r="S1162" s="131">
        <f>IF(ISBLANK(Table1[[#This Row],[Date]]),"",DATE(Table1[[#This Row],[Date_Year]],Table1[[#This Row],[Date_Month]],1))</f>
        <v>43862</v>
      </c>
    </row>
    <row r="1163" spans="2:19" ht="15.75" x14ac:dyDescent="0.25">
      <c r="B1163" s="133">
        <v>43875</v>
      </c>
      <c r="C1163" s="128" t="s">
        <v>1720</v>
      </c>
      <c r="D1163" s="128" t="s">
        <v>56</v>
      </c>
      <c r="E1163" s="128" t="str" cm="1">
        <f t="array" ref="E1163">IFERROR(INDEX(SubcategoriesTable[Subcategory name],MATCH(Table1[[#This Row],[Category]],SubcategoriesTable[Category name],0),0),"")</f>
        <v>Variable</v>
      </c>
      <c r="F1163" s="134">
        <v>-477.92</v>
      </c>
      <c r="G1163" s="167" t="str">
        <f>_xlfn.XLOOKUP(Table1[[#This Row],[Account_ID]], Accounts[ID], Accounts[Account nickname], "Unknown")</f>
        <v>EVERYDAY CHECKING</v>
      </c>
      <c r="H1163" s="137" t="str">
        <f>_xlfn.XLOOKUP(Table1[[#This Row],[Account_ID]], Accounts[ID], Accounts[Account'#], "Unknown")</f>
        <v>4636</v>
      </c>
      <c r="I1163" s="168" t="str">
        <f>_xlfn.XLOOKUP(Table1[[#This Row],[Institution_ID]], Institutions[ID], Institutions[Institution nickname], "Unknown")</f>
        <v>Wells Fargo</v>
      </c>
      <c r="J1163" s="139" t="s">
        <v>1856</v>
      </c>
      <c r="K1163" s="129" t="s">
        <v>1229</v>
      </c>
      <c r="L1163" s="129" t="s">
        <v>1228</v>
      </c>
      <c r="M1163" s="130" t="str" cm="1">
        <f t="array" ref="M1163">IFERROR(INDEX(CategoriesTable[Category type],MATCH(Table1[[#This Row],[Category]],CategoriesTable[Category name],0),0),"")</f>
        <v>Expense</v>
      </c>
      <c r="N1163" s="130" t="str" cm="1">
        <f t="array" ref="N1163">IFERROR(INDEX(SubcategoriesTable[Subcategory name],MATCH(Table1[[#This Row],[Category]],SubcategoriesTable[Category name],0),0),"")</f>
        <v>Variable</v>
      </c>
      <c r="O1163" s="130">
        <v>14</v>
      </c>
      <c r="P1163" s="130">
        <f>MONTH(Table1[[#This Row],[Date]])</f>
        <v>2</v>
      </c>
      <c r="Q1163" s="130">
        <v>2020</v>
      </c>
      <c r="R1163" s="166">
        <f>IF(ISBLANK(Table1[[#This Row],[Date]]),"",Table1[[#This Row],[Date]]-WEEKDAY(Table1[[#This Row],[Date]],2)+1)</f>
        <v>43871</v>
      </c>
      <c r="S1163" s="131">
        <f>IF(ISBLANK(Table1[[#This Row],[Date]]),"",DATE(Table1[[#This Row],[Date_Year]],Table1[[#This Row],[Date_Month]],1))</f>
        <v>43862</v>
      </c>
    </row>
    <row r="1164" spans="2:19" ht="15.75" x14ac:dyDescent="0.25">
      <c r="B1164" s="133">
        <v>43875</v>
      </c>
      <c r="C1164" s="128" t="s">
        <v>1857</v>
      </c>
      <c r="D1164" s="128" t="s">
        <v>45</v>
      </c>
      <c r="E1164" s="128" t="str" cm="1">
        <f t="array" ref="E1164">IFERROR(INDEX(SubcategoriesTable[Subcategory name],MATCH(Table1[[#This Row],[Category]],SubcategoriesTable[Category name],0),0),"")</f>
        <v>Variable</v>
      </c>
      <c r="F1164" s="134">
        <v>-12.43</v>
      </c>
      <c r="G1164" s="167" t="str">
        <f>_xlfn.XLOOKUP(Table1[[#This Row],[Account_ID]], Accounts[ID], Accounts[Account nickname], "Unknown")</f>
        <v>EVERYDAY CHECKING</v>
      </c>
      <c r="H1164" s="137" t="str">
        <f>_xlfn.XLOOKUP(Table1[[#This Row],[Account_ID]], Accounts[ID], Accounts[Account'#], "Unknown")</f>
        <v>4636</v>
      </c>
      <c r="I1164" s="168" t="str">
        <f>_xlfn.XLOOKUP(Table1[[#This Row],[Institution_ID]], Institutions[ID], Institutions[Institution nickname], "Unknown")</f>
        <v>Wells Fargo</v>
      </c>
      <c r="J1164" s="139" t="s">
        <v>1858</v>
      </c>
      <c r="K1164" s="129" t="s">
        <v>1229</v>
      </c>
      <c r="L1164" s="129" t="s">
        <v>1228</v>
      </c>
      <c r="M1164" s="130" t="str" cm="1">
        <f t="array" ref="M1164">IFERROR(INDEX(CategoriesTable[Category type],MATCH(Table1[[#This Row],[Category]],CategoriesTable[Category name],0),0),"")</f>
        <v>Expense</v>
      </c>
      <c r="N1164" s="130" t="str" cm="1">
        <f t="array" ref="N1164">IFERROR(INDEX(SubcategoriesTable[Subcategory name],MATCH(Table1[[#This Row],[Category]],SubcategoriesTable[Category name],0),0),"")</f>
        <v>Variable</v>
      </c>
      <c r="O1164" s="130">
        <v>14</v>
      </c>
      <c r="P1164" s="130">
        <f>MONTH(Table1[[#This Row],[Date]])</f>
        <v>2</v>
      </c>
      <c r="Q1164" s="130">
        <v>2020</v>
      </c>
      <c r="R1164" s="166">
        <f>IF(ISBLANK(Table1[[#This Row],[Date]]),"",Table1[[#This Row],[Date]]-WEEKDAY(Table1[[#This Row],[Date]],2)+1)</f>
        <v>43871</v>
      </c>
      <c r="S1164" s="131">
        <f>IF(ISBLANK(Table1[[#This Row],[Date]]),"",DATE(Table1[[#This Row],[Date_Year]],Table1[[#This Row],[Date_Month]],1))</f>
        <v>43862</v>
      </c>
    </row>
    <row r="1165" spans="2:19" ht="15.75" x14ac:dyDescent="0.25">
      <c r="B1165" s="133">
        <v>43875</v>
      </c>
      <c r="C1165" s="128" t="s">
        <v>146</v>
      </c>
      <c r="D1165" s="128" t="s">
        <v>54</v>
      </c>
      <c r="E1165" s="128" t="str" cm="1">
        <f t="array" ref="E1165">IFERROR(INDEX(SubcategoriesTable[Subcategory name],MATCH(Table1[[#This Row],[Category]],SubcategoriesTable[Category name],0),0),"")</f>
        <v>Fixed</v>
      </c>
      <c r="F1165" s="134">
        <v>-119.77</v>
      </c>
      <c r="G1165" s="167" t="str">
        <f>_xlfn.XLOOKUP(Table1[[#This Row],[Account_ID]], Accounts[ID], Accounts[Account nickname], "Unknown")</f>
        <v>EVERYDAY CHECKING</v>
      </c>
      <c r="H1165" s="137" t="str">
        <f>_xlfn.XLOOKUP(Table1[[#This Row],[Account_ID]], Accounts[ID], Accounts[Account'#], "Unknown")</f>
        <v>4636</v>
      </c>
      <c r="I1165" s="168" t="str">
        <f>_xlfn.XLOOKUP(Table1[[#This Row],[Institution_ID]], Institutions[ID], Institutions[Institution nickname], "Unknown")</f>
        <v>Wells Fargo</v>
      </c>
      <c r="J1165" s="139" t="s">
        <v>1859</v>
      </c>
      <c r="K1165" s="129" t="s">
        <v>1229</v>
      </c>
      <c r="L1165" s="129" t="s">
        <v>1228</v>
      </c>
      <c r="M1165" s="130" t="str" cm="1">
        <f t="array" ref="M1165">IFERROR(INDEX(CategoriesTable[Category type],MATCH(Table1[[#This Row],[Category]],CategoriesTable[Category name],0),0),"")</f>
        <v>Expense</v>
      </c>
      <c r="N1165" s="130" t="str" cm="1">
        <f t="array" ref="N1165">IFERROR(INDEX(SubcategoriesTable[Subcategory name],MATCH(Table1[[#This Row],[Category]],SubcategoriesTable[Category name],0),0),"")</f>
        <v>Fixed</v>
      </c>
      <c r="O1165" s="130">
        <v>14</v>
      </c>
      <c r="P1165" s="130">
        <f>MONTH(Table1[[#This Row],[Date]])</f>
        <v>2</v>
      </c>
      <c r="Q1165" s="130">
        <v>2020</v>
      </c>
      <c r="R1165" s="166">
        <f>IF(ISBLANK(Table1[[#This Row],[Date]]),"",Table1[[#This Row],[Date]]-WEEKDAY(Table1[[#This Row],[Date]],2)+1)</f>
        <v>43871</v>
      </c>
      <c r="S1165" s="131">
        <f>IF(ISBLANK(Table1[[#This Row],[Date]]),"",DATE(Table1[[#This Row],[Date_Year]],Table1[[#This Row],[Date_Month]],1))</f>
        <v>43862</v>
      </c>
    </row>
    <row r="1166" spans="2:19" ht="15.75" x14ac:dyDescent="0.25">
      <c r="B1166" s="133">
        <v>43875</v>
      </c>
      <c r="C1166" s="128" t="s">
        <v>1791</v>
      </c>
      <c r="D1166" s="128" t="s">
        <v>54</v>
      </c>
      <c r="E1166" s="128" t="str" cm="1">
        <f t="array" ref="E1166">IFERROR(INDEX(SubcategoriesTable[Subcategory name],MATCH(Table1[[#This Row],[Category]],SubcategoriesTable[Category name],0),0),"")</f>
        <v>Fixed</v>
      </c>
      <c r="F1166" s="134">
        <v>-50</v>
      </c>
      <c r="G1166" s="167" t="str">
        <f>_xlfn.XLOOKUP(Table1[[#This Row],[Account_ID]], Accounts[ID], Accounts[Account nickname], "Unknown")</f>
        <v>EVERYDAY CHECKING</v>
      </c>
      <c r="H1166" s="137" t="str">
        <f>_xlfn.XLOOKUP(Table1[[#This Row],[Account_ID]], Accounts[ID], Accounts[Account'#], "Unknown")</f>
        <v>4636</v>
      </c>
      <c r="I1166" s="168" t="str">
        <f>_xlfn.XLOOKUP(Table1[[#This Row],[Institution_ID]], Institutions[ID], Institutions[Institution nickname], "Unknown")</f>
        <v>Wells Fargo</v>
      </c>
      <c r="J1166" s="139" t="s">
        <v>1860</v>
      </c>
      <c r="K1166" s="129" t="s">
        <v>1229</v>
      </c>
      <c r="L1166" s="129" t="s">
        <v>1228</v>
      </c>
      <c r="M1166" s="130" t="str" cm="1">
        <f t="array" ref="M1166">IFERROR(INDEX(CategoriesTable[Category type],MATCH(Table1[[#This Row],[Category]],CategoriesTable[Category name],0),0),"")</f>
        <v>Expense</v>
      </c>
      <c r="N1166" s="130" t="str" cm="1">
        <f t="array" ref="N1166">IFERROR(INDEX(SubcategoriesTable[Subcategory name],MATCH(Table1[[#This Row],[Category]],SubcategoriesTable[Category name],0),0),"")</f>
        <v>Fixed</v>
      </c>
      <c r="O1166" s="130">
        <v>14</v>
      </c>
      <c r="P1166" s="130">
        <f>MONTH(Table1[[#This Row],[Date]])</f>
        <v>2</v>
      </c>
      <c r="Q1166" s="130">
        <v>2020</v>
      </c>
      <c r="R1166" s="166">
        <f>IF(ISBLANK(Table1[[#This Row],[Date]]),"",Table1[[#This Row],[Date]]-WEEKDAY(Table1[[#This Row],[Date]],2)+1)</f>
        <v>43871</v>
      </c>
      <c r="S1166" s="131">
        <f>IF(ISBLANK(Table1[[#This Row],[Date]]),"",DATE(Table1[[#This Row],[Date_Year]],Table1[[#This Row],[Date_Month]],1))</f>
        <v>43862</v>
      </c>
    </row>
    <row r="1167" spans="2:19" ht="15.75" x14ac:dyDescent="0.25">
      <c r="B1167" s="133">
        <v>43875</v>
      </c>
      <c r="C1167" s="128" t="s">
        <v>1861</v>
      </c>
      <c r="D1167" s="128" t="s">
        <v>52</v>
      </c>
      <c r="E1167" s="128" t="str" cm="1">
        <f t="array" ref="E1167">IFERROR(INDEX(SubcategoriesTable[Subcategory name],MATCH(Table1[[#This Row],[Category]],SubcategoriesTable[Category name],0),0),"")</f>
        <v>Variable</v>
      </c>
      <c r="F1167" s="134">
        <v>-26.31</v>
      </c>
      <c r="G1167" s="167" t="str">
        <f>_xlfn.XLOOKUP(Table1[[#This Row],[Account_ID]], Accounts[ID], Accounts[Account nickname], "Unknown")</f>
        <v>EVERYDAY CHECKING</v>
      </c>
      <c r="H1167" s="137" t="str">
        <f>_xlfn.XLOOKUP(Table1[[#This Row],[Account_ID]], Accounts[ID], Accounts[Account'#], "Unknown")</f>
        <v>4636</v>
      </c>
      <c r="I1167" s="168" t="str">
        <f>_xlfn.XLOOKUP(Table1[[#This Row],[Institution_ID]], Institutions[ID], Institutions[Institution nickname], "Unknown")</f>
        <v>Wells Fargo</v>
      </c>
      <c r="J1167" s="139" t="s">
        <v>1862</v>
      </c>
      <c r="K1167" s="129" t="s">
        <v>1229</v>
      </c>
      <c r="L1167" s="129" t="s">
        <v>1228</v>
      </c>
      <c r="M1167" s="130" t="str" cm="1">
        <f t="array" ref="M1167">IFERROR(INDEX(CategoriesTable[Category type],MATCH(Table1[[#This Row],[Category]],CategoriesTable[Category name],0),0),"")</f>
        <v>Expense</v>
      </c>
      <c r="N1167" s="130" t="str" cm="1">
        <f t="array" ref="N1167">IFERROR(INDEX(SubcategoriesTable[Subcategory name],MATCH(Table1[[#This Row],[Category]],SubcategoriesTable[Category name],0),0),"")</f>
        <v>Variable</v>
      </c>
      <c r="O1167" s="130">
        <v>14</v>
      </c>
      <c r="P1167" s="130">
        <f>MONTH(Table1[[#This Row],[Date]])</f>
        <v>2</v>
      </c>
      <c r="Q1167" s="130">
        <v>2020</v>
      </c>
      <c r="R1167" s="166">
        <f>IF(ISBLANK(Table1[[#This Row],[Date]]),"",Table1[[#This Row],[Date]]-WEEKDAY(Table1[[#This Row],[Date]],2)+1)</f>
        <v>43871</v>
      </c>
      <c r="S1167" s="131">
        <f>IF(ISBLANK(Table1[[#This Row],[Date]]),"",DATE(Table1[[#This Row],[Date_Year]],Table1[[#This Row],[Date_Month]],1))</f>
        <v>43862</v>
      </c>
    </row>
    <row r="1168" spans="2:19" ht="15.75" x14ac:dyDescent="0.25">
      <c r="B1168" s="133">
        <v>43875</v>
      </c>
      <c r="C1168" s="128" t="s">
        <v>1181</v>
      </c>
      <c r="D1168" s="128" t="s">
        <v>59</v>
      </c>
      <c r="E1168" s="128" t="str" cm="1">
        <f t="array" ref="E1168">IFERROR(INDEX(SubcategoriesTable[Subcategory name],MATCH(Table1[[#This Row],[Category]],SubcategoriesTable[Category name],0),0),"")</f>
        <v>Fixed</v>
      </c>
      <c r="F1168" s="134">
        <v>1479.15</v>
      </c>
      <c r="G1168" s="167" t="str">
        <f>_xlfn.XLOOKUP(Table1[[#This Row],[Account_ID]], Accounts[ID], Accounts[Account nickname], "Unknown")</f>
        <v>EVERYDAY CHECKING</v>
      </c>
      <c r="H1168" s="137" t="str">
        <f>_xlfn.XLOOKUP(Table1[[#This Row],[Account_ID]], Accounts[ID], Accounts[Account'#], "Unknown")</f>
        <v>4636</v>
      </c>
      <c r="I1168" s="168" t="str">
        <f>_xlfn.XLOOKUP(Table1[[#This Row],[Institution_ID]], Institutions[ID], Institutions[Institution nickname], "Unknown")</f>
        <v>Wells Fargo</v>
      </c>
      <c r="J1168" s="139" t="s">
        <v>1863</v>
      </c>
      <c r="K1168" s="129" t="s">
        <v>1229</v>
      </c>
      <c r="L1168" s="129" t="s">
        <v>1228</v>
      </c>
      <c r="M1168" s="130" t="str" cm="1">
        <f t="array" ref="M1168">IFERROR(INDEX(CategoriesTable[Category type],MATCH(Table1[[#This Row],[Category]],CategoriesTable[Category name],0),0),"")</f>
        <v>Income</v>
      </c>
      <c r="N1168" s="130" t="str" cm="1">
        <f t="array" ref="N1168">IFERROR(INDEX(SubcategoriesTable[Subcategory name],MATCH(Table1[[#This Row],[Category]],SubcategoriesTable[Category name],0),0),"")</f>
        <v>Fixed</v>
      </c>
      <c r="O1168" s="130">
        <v>14</v>
      </c>
      <c r="P1168" s="130">
        <f>MONTH(Table1[[#This Row],[Date]])</f>
        <v>2</v>
      </c>
      <c r="Q1168" s="130">
        <v>2020</v>
      </c>
      <c r="R1168" s="166">
        <f>IF(ISBLANK(Table1[[#This Row],[Date]]),"",Table1[[#This Row],[Date]]-WEEKDAY(Table1[[#This Row],[Date]],2)+1)</f>
        <v>43871</v>
      </c>
      <c r="S1168" s="131">
        <f>IF(ISBLANK(Table1[[#This Row],[Date]]),"",DATE(Table1[[#This Row],[Date_Year]],Table1[[#This Row],[Date_Month]],1))</f>
        <v>43862</v>
      </c>
    </row>
    <row r="1169" spans="2:19" ht="15.75" x14ac:dyDescent="0.25">
      <c r="B1169" s="133">
        <v>43875</v>
      </c>
      <c r="C1169" s="128" t="s">
        <v>115</v>
      </c>
      <c r="D1169" s="128" t="s">
        <v>48</v>
      </c>
      <c r="E1169" s="128" t="str" cm="1">
        <f t="array" ref="E1169">IFERROR(INDEX(SubcategoriesTable[Subcategory name],MATCH(Table1[[#This Row],[Category]],SubcategoriesTable[Category name],0),0),"")</f>
        <v>Variable</v>
      </c>
      <c r="F1169" s="134">
        <v>-30.11</v>
      </c>
      <c r="G1169" s="167" t="str">
        <f>_xlfn.XLOOKUP(Table1[[#This Row],[Account_ID]], Accounts[ID], Accounts[Account nickname], "Unknown")</f>
        <v>EVERYDAY CHECKING</v>
      </c>
      <c r="H1169" s="137" t="str">
        <f>_xlfn.XLOOKUP(Table1[[#This Row],[Account_ID]], Accounts[ID], Accounts[Account'#], "Unknown")</f>
        <v>4636</v>
      </c>
      <c r="I1169" s="168" t="str">
        <f>_xlfn.XLOOKUP(Table1[[#This Row],[Institution_ID]], Institutions[ID], Institutions[Institution nickname], "Unknown")</f>
        <v>Wells Fargo</v>
      </c>
      <c r="J1169" s="139" t="s">
        <v>1864</v>
      </c>
      <c r="K1169" s="129" t="s">
        <v>1229</v>
      </c>
      <c r="L1169" s="129" t="s">
        <v>1228</v>
      </c>
      <c r="M1169" s="130" t="str" cm="1">
        <f t="array" ref="M1169">IFERROR(INDEX(CategoriesTable[Category type],MATCH(Table1[[#This Row],[Category]],CategoriesTable[Category name],0),0),"")</f>
        <v>Expense</v>
      </c>
      <c r="N1169" s="130" t="str" cm="1">
        <f t="array" ref="N1169">IFERROR(INDEX(SubcategoriesTable[Subcategory name],MATCH(Table1[[#This Row],[Category]],SubcategoriesTable[Category name],0),0),"")</f>
        <v>Variable</v>
      </c>
      <c r="O1169" s="130">
        <v>14</v>
      </c>
      <c r="P1169" s="130">
        <f>MONTH(Table1[[#This Row],[Date]])</f>
        <v>2</v>
      </c>
      <c r="Q1169" s="130">
        <v>2020</v>
      </c>
      <c r="R1169" s="166">
        <f>IF(ISBLANK(Table1[[#This Row],[Date]]),"",Table1[[#This Row],[Date]]-WEEKDAY(Table1[[#This Row],[Date]],2)+1)</f>
        <v>43871</v>
      </c>
      <c r="S1169" s="131">
        <f>IF(ISBLANK(Table1[[#This Row],[Date]]),"",DATE(Table1[[#This Row],[Date_Year]],Table1[[#This Row],[Date_Month]],1))</f>
        <v>43862</v>
      </c>
    </row>
    <row r="1170" spans="2:19" ht="15.75" x14ac:dyDescent="0.25">
      <c r="B1170" s="133">
        <v>43873</v>
      </c>
      <c r="C1170" s="128" t="s">
        <v>113</v>
      </c>
      <c r="D1170" s="128" t="s">
        <v>50</v>
      </c>
      <c r="E1170" s="128" t="str" cm="1">
        <f t="array" ref="E1170">IFERROR(INDEX(SubcategoriesTable[Subcategory name],MATCH(Table1[[#This Row],[Category]],SubcategoriesTable[Category name],0),0),"")</f>
        <v>Variable</v>
      </c>
      <c r="F1170" s="134">
        <v>816.9</v>
      </c>
      <c r="G1170" s="167" t="str">
        <f>_xlfn.XLOOKUP(Table1[[#This Row],[Account_ID]], Accounts[ID], Accounts[Account nickname], "Unknown")</f>
        <v>Discover it chrome Card</v>
      </c>
      <c r="H1170" s="137" t="str">
        <f>_xlfn.XLOOKUP(Table1[[#This Row],[Account_ID]], Accounts[ID], Accounts[Account'#], "Unknown")</f>
        <v>7328</v>
      </c>
      <c r="I1170" s="168" t="str">
        <f>_xlfn.XLOOKUP(Table1[[#This Row],[Institution_ID]], Institutions[ID], Institutions[Institution nickname], "Unknown")</f>
        <v>Discover</v>
      </c>
      <c r="J1170" s="139" t="s">
        <v>1013</v>
      </c>
      <c r="K1170" s="129" t="s">
        <v>110</v>
      </c>
      <c r="L1170" s="129" t="s">
        <v>108</v>
      </c>
      <c r="M1170" s="130" t="str" cm="1">
        <f t="array" ref="M1170">IFERROR(INDEX(CategoriesTable[Category type],MATCH(Table1[[#This Row],[Category]],CategoriesTable[Category name],0),0),"")</f>
        <v>Transfer</v>
      </c>
      <c r="N1170" s="130" t="str" cm="1">
        <f t="array" ref="N1170">IFERROR(INDEX(SubcategoriesTable[Subcategory name],MATCH(Table1[[#This Row],[Category]],SubcategoriesTable[Category name],0),0),"")</f>
        <v>Variable</v>
      </c>
      <c r="O1170" s="130">
        <v>12</v>
      </c>
      <c r="P1170" s="130">
        <f>MONTH(Table1[[#This Row],[Date]])</f>
        <v>2</v>
      </c>
      <c r="Q1170" s="130">
        <v>2020</v>
      </c>
      <c r="R1170" s="166">
        <f>IF(ISBLANK(Table1[[#This Row],[Date]]),"",Table1[[#This Row],[Date]]-WEEKDAY(Table1[[#This Row],[Date]],2)+1)</f>
        <v>43871</v>
      </c>
      <c r="S1170" s="131">
        <f>IF(ISBLANK(Table1[[#This Row],[Date]]),"",DATE(Table1[[#This Row],[Date_Year]],Table1[[#This Row],[Date_Month]],1))</f>
        <v>43862</v>
      </c>
    </row>
    <row r="1171" spans="2:19" ht="15.75" x14ac:dyDescent="0.25">
      <c r="B1171" s="133">
        <v>43871</v>
      </c>
      <c r="C1171" s="128" t="s">
        <v>730</v>
      </c>
      <c r="D1171" s="128" t="s">
        <v>46</v>
      </c>
      <c r="E1171" s="128" t="str" cm="1">
        <f t="array" ref="E1171">IFERROR(INDEX(SubcategoriesTable[Subcategory name],MATCH(Table1[[#This Row],[Category]],SubcategoriesTable[Category name],0),0),"")</f>
        <v>Variable</v>
      </c>
      <c r="F1171" s="134">
        <v>-14.99</v>
      </c>
      <c r="G1171" s="167" t="str">
        <f>_xlfn.XLOOKUP(Table1[[#This Row],[Account_ID]], Accounts[ID], Accounts[Account nickname], "Unknown")</f>
        <v>EVERYDAY CHECKING</v>
      </c>
      <c r="H1171" s="137" t="str">
        <f>_xlfn.XLOOKUP(Table1[[#This Row],[Account_ID]], Accounts[ID], Accounts[Account'#], "Unknown")</f>
        <v>4636</v>
      </c>
      <c r="I1171" s="168" t="str">
        <f>_xlfn.XLOOKUP(Table1[[#This Row],[Institution_ID]], Institutions[ID], Institutions[Institution nickname], "Unknown")</f>
        <v>Wells Fargo</v>
      </c>
      <c r="J1171" s="139" t="s">
        <v>1865</v>
      </c>
      <c r="K1171" s="129" t="s">
        <v>1229</v>
      </c>
      <c r="L1171" s="129" t="s">
        <v>1228</v>
      </c>
      <c r="M1171" s="130" t="str" cm="1">
        <f t="array" ref="M1171">IFERROR(INDEX(CategoriesTable[Category type],MATCH(Table1[[#This Row],[Category]],CategoriesTable[Category name],0),0),"")</f>
        <v>Expense</v>
      </c>
      <c r="N1171" s="130" t="str" cm="1">
        <f t="array" ref="N1171">IFERROR(INDEX(SubcategoriesTable[Subcategory name],MATCH(Table1[[#This Row],[Category]],SubcategoriesTable[Category name],0),0),"")</f>
        <v>Variable</v>
      </c>
      <c r="O1171" s="130">
        <v>10</v>
      </c>
      <c r="P1171" s="130">
        <f>MONTH(Table1[[#This Row],[Date]])</f>
        <v>2</v>
      </c>
      <c r="Q1171" s="130">
        <v>2020</v>
      </c>
      <c r="R1171" s="166">
        <f>IF(ISBLANK(Table1[[#This Row],[Date]]),"",Table1[[#This Row],[Date]]-WEEKDAY(Table1[[#This Row],[Date]],2)+1)</f>
        <v>43871</v>
      </c>
      <c r="S1171" s="131">
        <f>IF(ISBLANK(Table1[[#This Row],[Date]]),"",DATE(Table1[[#This Row],[Date_Year]],Table1[[#This Row],[Date_Month]],1))</f>
        <v>43862</v>
      </c>
    </row>
    <row r="1172" spans="2:19" ht="15.75" x14ac:dyDescent="0.25">
      <c r="B1172" s="133">
        <v>43865</v>
      </c>
      <c r="C1172" s="128" t="s">
        <v>531</v>
      </c>
      <c r="D1172" s="128" t="s">
        <v>54</v>
      </c>
      <c r="E1172" s="128" t="str" cm="1">
        <f t="array" ref="E1172">IFERROR(INDEX(SubcategoriesTable[Subcategory name],MATCH(Table1[[#This Row],[Category]],SubcategoriesTable[Category name],0),0),"")</f>
        <v>Fixed</v>
      </c>
      <c r="F1172" s="134">
        <v>-2.95</v>
      </c>
      <c r="G1172" s="167" t="str">
        <f>_xlfn.XLOOKUP(Table1[[#This Row],[Account_ID]], Accounts[ID], Accounts[Account nickname], "Unknown")</f>
        <v>EVERYDAY CHECKING</v>
      </c>
      <c r="H1172" s="137" t="str">
        <f>_xlfn.XLOOKUP(Table1[[#This Row],[Account_ID]], Accounts[ID], Accounts[Account'#], "Unknown")</f>
        <v>4636</v>
      </c>
      <c r="I1172" s="168" t="str">
        <f>_xlfn.XLOOKUP(Table1[[#This Row],[Institution_ID]], Institutions[ID], Institutions[Institution nickname], "Unknown")</f>
        <v>Wells Fargo</v>
      </c>
      <c r="J1172" s="139" t="s">
        <v>1866</v>
      </c>
      <c r="K1172" s="129" t="s">
        <v>1229</v>
      </c>
      <c r="L1172" s="129" t="s">
        <v>1228</v>
      </c>
      <c r="M1172" s="130" t="str" cm="1">
        <f t="array" ref="M1172">IFERROR(INDEX(CategoriesTable[Category type],MATCH(Table1[[#This Row],[Category]],CategoriesTable[Category name],0),0),"")</f>
        <v>Expense</v>
      </c>
      <c r="N1172" s="130" t="str" cm="1">
        <f t="array" ref="N1172">IFERROR(INDEX(SubcategoriesTable[Subcategory name],MATCH(Table1[[#This Row],[Category]],SubcategoriesTable[Category name],0),0),"")</f>
        <v>Fixed</v>
      </c>
      <c r="O1172" s="130">
        <v>4</v>
      </c>
      <c r="P1172" s="130">
        <f>MONTH(Table1[[#This Row],[Date]])</f>
        <v>2</v>
      </c>
      <c r="Q1172" s="130">
        <v>2020</v>
      </c>
      <c r="R1172" s="166">
        <f>IF(ISBLANK(Table1[[#This Row],[Date]]),"",Table1[[#This Row],[Date]]-WEEKDAY(Table1[[#This Row],[Date]],2)+1)</f>
        <v>43864</v>
      </c>
      <c r="S1172" s="131">
        <f>IF(ISBLANK(Table1[[#This Row],[Date]]),"",DATE(Table1[[#This Row],[Date_Year]],Table1[[#This Row],[Date_Month]],1))</f>
        <v>43862</v>
      </c>
    </row>
    <row r="1173" spans="2:19" ht="15.75" x14ac:dyDescent="0.25">
      <c r="B1173" s="133">
        <v>43865</v>
      </c>
      <c r="C1173" s="128" t="s">
        <v>1867</v>
      </c>
      <c r="D1173" s="128" t="s">
        <v>45</v>
      </c>
      <c r="E1173" s="128" t="str" cm="1">
        <f t="array" ref="E1173">IFERROR(INDEX(SubcategoriesTable[Subcategory name],MATCH(Table1[[#This Row],[Category]],SubcategoriesTable[Category name],0),0),"")</f>
        <v>Variable</v>
      </c>
      <c r="F1173" s="134">
        <v>-13.72</v>
      </c>
      <c r="G1173" s="167" t="str">
        <f>_xlfn.XLOOKUP(Table1[[#This Row],[Account_ID]], Accounts[ID], Accounts[Account nickname], "Unknown")</f>
        <v>EVERYDAY CHECKING</v>
      </c>
      <c r="H1173" s="137" t="str">
        <f>_xlfn.XLOOKUP(Table1[[#This Row],[Account_ID]], Accounts[ID], Accounts[Account'#], "Unknown")</f>
        <v>4636</v>
      </c>
      <c r="I1173" s="168" t="str">
        <f>_xlfn.XLOOKUP(Table1[[#This Row],[Institution_ID]], Institutions[ID], Institutions[Institution nickname], "Unknown")</f>
        <v>Wells Fargo</v>
      </c>
      <c r="J1173" s="139" t="s">
        <v>1868</v>
      </c>
      <c r="K1173" s="129" t="s">
        <v>1229</v>
      </c>
      <c r="L1173" s="129" t="s">
        <v>1228</v>
      </c>
      <c r="M1173" s="130" t="str" cm="1">
        <f t="array" ref="M1173">IFERROR(INDEX(CategoriesTable[Category type],MATCH(Table1[[#This Row],[Category]],CategoriesTable[Category name],0),0),"")</f>
        <v>Expense</v>
      </c>
      <c r="N1173" s="130" t="str" cm="1">
        <f t="array" ref="N1173">IFERROR(INDEX(SubcategoriesTable[Subcategory name],MATCH(Table1[[#This Row],[Category]],SubcategoriesTable[Category name],0),0),"")</f>
        <v>Variable</v>
      </c>
      <c r="O1173" s="130">
        <v>4</v>
      </c>
      <c r="P1173" s="130">
        <f>MONTH(Table1[[#This Row],[Date]])</f>
        <v>2</v>
      </c>
      <c r="Q1173" s="130">
        <v>2020</v>
      </c>
      <c r="R1173" s="166">
        <f>IF(ISBLANK(Table1[[#This Row],[Date]]),"",Table1[[#This Row],[Date]]-WEEKDAY(Table1[[#This Row],[Date]],2)+1)</f>
        <v>43864</v>
      </c>
      <c r="S1173" s="131">
        <f>IF(ISBLANK(Table1[[#This Row],[Date]]),"",DATE(Table1[[#This Row],[Date_Year]],Table1[[#This Row],[Date_Month]],1))</f>
        <v>43862</v>
      </c>
    </row>
    <row r="1174" spans="2:19" ht="15.75" x14ac:dyDescent="0.25">
      <c r="B1174" s="133">
        <v>43864</v>
      </c>
      <c r="C1174" s="128" t="s">
        <v>531</v>
      </c>
      <c r="D1174" s="128" t="s">
        <v>54</v>
      </c>
      <c r="E1174" s="128" t="str" cm="1">
        <f t="array" ref="E1174">IFERROR(INDEX(SubcategoriesTable[Subcategory name],MATCH(Table1[[#This Row],[Category]],SubcategoriesTable[Category name],0),0),"")</f>
        <v>Fixed</v>
      </c>
      <c r="F1174" s="134">
        <v>-7.31</v>
      </c>
      <c r="G1174" s="167" t="str">
        <f>_xlfn.XLOOKUP(Table1[[#This Row],[Account_ID]], Accounts[ID], Accounts[Account nickname], "Unknown")</f>
        <v>EVERYDAY CHECKING</v>
      </c>
      <c r="H1174" s="137" t="str">
        <f>_xlfn.XLOOKUP(Table1[[#This Row],[Account_ID]], Accounts[ID], Accounts[Account'#], "Unknown")</f>
        <v>4636</v>
      </c>
      <c r="I1174" s="168" t="str">
        <f>_xlfn.XLOOKUP(Table1[[#This Row],[Institution_ID]], Institutions[ID], Institutions[Institution nickname], "Unknown")</f>
        <v>Wells Fargo</v>
      </c>
      <c r="J1174" s="139" t="s">
        <v>1869</v>
      </c>
      <c r="K1174" s="129" t="s">
        <v>1229</v>
      </c>
      <c r="L1174" s="129" t="s">
        <v>1228</v>
      </c>
      <c r="M1174" s="130" t="str" cm="1">
        <f t="array" ref="M1174">IFERROR(INDEX(CategoriesTable[Category type],MATCH(Table1[[#This Row],[Category]],CategoriesTable[Category name],0),0),"")</f>
        <v>Expense</v>
      </c>
      <c r="N1174" s="130" t="str" cm="1">
        <f t="array" ref="N1174">IFERROR(INDEX(SubcategoriesTable[Subcategory name],MATCH(Table1[[#This Row],[Category]],SubcategoriesTable[Category name],0),0),"")</f>
        <v>Fixed</v>
      </c>
      <c r="O1174" s="130">
        <v>3</v>
      </c>
      <c r="P1174" s="130">
        <f>MONTH(Table1[[#This Row],[Date]])</f>
        <v>2</v>
      </c>
      <c r="Q1174" s="130">
        <v>2020</v>
      </c>
      <c r="R1174" s="166">
        <f>IF(ISBLANK(Table1[[#This Row],[Date]]),"",Table1[[#This Row],[Date]]-WEEKDAY(Table1[[#This Row],[Date]],2)+1)</f>
        <v>43864</v>
      </c>
      <c r="S1174" s="131">
        <f>IF(ISBLANK(Table1[[#This Row],[Date]]),"",DATE(Table1[[#This Row],[Date_Year]],Table1[[#This Row],[Date_Month]],1))</f>
        <v>43862</v>
      </c>
    </row>
    <row r="1175" spans="2:19" ht="15.75" x14ac:dyDescent="0.25">
      <c r="B1175" s="133">
        <v>43863</v>
      </c>
      <c r="C1175" s="128" t="s">
        <v>1870</v>
      </c>
      <c r="D1175" s="128" t="s">
        <v>45</v>
      </c>
      <c r="E1175" s="128" t="str" cm="1">
        <f t="array" ref="E1175">IFERROR(INDEX(SubcategoriesTable[Subcategory name],MATCH(Table1[[#This Row],[Category]],SubcategoriesTable[Category name],0),0),"")</f>
        <v>Variable</v>
      </c>
      <c r="F1175" s="134">
        <v>-40.53</v>
      </c>
      <c r="G1175" s="167" t="str">
        <f>_xlfn.XLOOKUP(Table1[[#This Row],[Account_ID]], Accounts[ID], Accounts[Account nickname], "Unknown")</f>
        <v>EVERYDAY CHECKING</v>
      </c>
      <c r="H1175" s="137" t="str">
        <f>_xlfn.XLOOKUP(Table1[[#This Row],[Account_ID]], Accounts[ID], Accounts[Account'#], "Unknown")</f>
        <v>4636</v>
      </c>
      <c r="I1175" s="168" t="str">
        <f>_xlfn.XLOOKUP(Table1[[#This Row],[Institution_ID]], Institutions[ID], Institutions[Institution nickname], "Unknown")</f>
        <v>Wells Fargo</v>
      </c>
      <c r="J1175" s="139" t="s">
        <v>1871</v>
      </c>
      <c r="K1175" s="129" t="s">
        <v>1229</v>
      </c>
      <c r="L1175" s="129" t="s">
        <v>1228</v>
      </c>
      <c r="M1175" s="130" t="str" cm="1">
        <f t="array" ref="M1175">IFERROR(INDEX(CategoriesTable[Category type],MATCH(Table1[[#This Row],[Category]],CategoriesTable[Category name],0),0),"")</f>
        <v>Expense</v>
      </c>
      <c r="N1175" s="130" t="str" cm="1">
        <f t="array" ref="N1175">IFERROR(INDEX(SubcategoriesTable[Subcategory name],MATCH(Table1[[#This Row],[Category]],SubcategoriesTable[Category name],0),0),"")</f>
        <v>Variable</v>
      </c>
      <c r="O1175" s="130">
        <v>2</v>
      </c>
      <c r="P1175" s="130">
        <f>MONTH(Table1[[#This Row],[Date]])</f>
        <v>2</v>
      </c>
      <c r="Q1175" s="130">
        <v>2020</v>
      </c>
      <c r="R1175" s="166">
        <f>IF(ISBLANK(Table1[[#This Row],[Date]]),"",Table1[[#This Row],[Date]]-WEEKDAY(Table1[[#This Row],[Date]],2)+1)</f>
        <v>43857</v>
      </c>
      <c r="S1175" s="131">
        <f>IF(ISBLANK(Table1[[#This Row],[Date]]),"",DATE(Table1[[#This Row],[Date_Year]],Table1[[#This Row],[Date_Month]],1))</f>
        <v>43862</v>
      </c>
    </row>
    <row r="1176" spans="2:19" ht="15.75" x14ac:dyDescent="0.25">
      <c r="B1176" s="133">
        <v>43863</v>
      </c>
      <c r="C1176" s="128" t="s">
        <v>119</v>
      </c>
      <c r="D1176" s="128" t="s">
        <v>52</v>
      </c>
      <c r="E1176" s="128" t="str" cm="1">
        <f t="array" ref="E1176">IFERROR(INDEX(SubcategoriesTable[Subcategory name],MATCH(Table1[[#This Row],[Category]],SubcategoriesTable[Category name],0),0),"")</f>
        <v>Variable</v>
      </c>
      <c r="F1176" s="134">
        <v>-9.3800000000000008</v>
      </c>
      <c r="G1176" s="167" t="str">
        <f>_xlfn.XLOOKUP(Table1[[#This Row],[Account_ID]], Accounts[ID], Accounts[Account nickname], "Unknown")</f>
        <v>EVERYDAY CHECKING</v>
      </c>
      <c r="H1176" s="137" t="str">
        <f>_xlfn.XLOOKUP(Table1[[#This Row],[Account_ID]], Accounts[ID], Accounts[Account'#], "Unknown")</f>
        <v>4636</v>
      </c>
      <c r="I1176" s="168" t="str">
        <f>_xlfn.XLOOKUP(Table1[[#This Row],[Institution_ID]], Institutions[ID], Institutions[Institution nickname], "Unknown")</f>
        <v>Wells Fargo</v>
      </c>
      <c r="J1176" s="139" t="s">
        <v>1872</v>
      </c>
      <c r="K1176" s="129" t="s">
        <v>1229</v>
      </c>
      <c r="L1176" s="129" t="s">
        <v>1228</v>
      </c>
      <c r="M1176" s="130" t="str" cm="1">
        <f t="array" ref="M1176">IFERROR(INDEX(CategoriesTable[Category type],MATCH(Table1[[#This Row],[Category]],CategoriesTable[Category name],0),0),"")</f>
        <v>Expense</v>
      </c>
      <c r="N1176" s="130" t="str" cm="1">
        <f t="array" ref="N1176">IFERROR(INDEX(SubcategoriesTable[Subcategory name],MATCH(Table1[[#This Row],[Category]],SubcategoriesTable[Category name],0),0),"")</f>
        <v>Variable</v>
      </c>
      <c r="O1176" s="130">
        <v>2</v>
      </c>
      <c r="P1176" s="130">
        <f>MONTH(Table1[[#This Row],[Date]])</f>
        <v>2</v>
      </c>
      <c r="Q1176" s="130">
        <v>2020</v>
      </c>
      <c r="R1176" s="166">
        <f>IF(ISBLANK(Table1[[#This Row],[Date]]),"",Table1[[#This Row],[Date]]-WEEKDAY(Table1[[#This Row],[Date]],2)+1)</f>
        <v>43857</v>
      </c>
      <c r="S1176" s="131">
        <f>IF(ISBLANK(Table1[[#This Row],[Date]]),"",DATE(Table1[[#This Row],[Date_Year]],Table1[[#This Row],[Date_Month]],1))</f>
        <v>43862</v>
      </c>
    </row>
    <row r="1177" spans="2:19" ht="15.75" x14ac:dyDescent="0.25">
      <c r="B1177" s="133">
        <v>43863</v>
      </c>
      <c r="C1177" s="128" t="s">
        <v>119</v>
      </c>
      <c r="D1177" s="128" t="s">
        <v>52</v>
      </c>
      <c r="E1177" s="128" t="str" cm="1">
        <f t="array" ref="E1177">IFERROR(INDEX(SubcategoriesTable[Subcategory name],MATCH(Table1[[#This Row],[Category]],SubcategoriesTable[Category name],0),0),"")</f>
        <v>Variable</v>
      </c>
      <c r="F1177" s="134">
        <v>-10.15</v>
      </c>
      <c r="G1177" s="167" t="str">
        <f>_xlfn.XLOOKUP(Table1[[#This Row],[Account_ID]], Accounts[ID], Accounts[Account nickname], "Unknown")</f>
        <v>EVERYDAY CHECKING</v>
      </c>
      <c r="H1177" s="137" t="str">
        <f>_xlfn.XLOOKUP(Table1[[#This Row],[Account_ID]], Accounts[ID], Accounts[Account'#], "Unknown")</f>
        <v>4636</v>
      </c>
      <c r="I1177" s="168" t="str">
        <f>_xlfn.XLOOKUP(Table1[[#This Row],[Institution_ID]], Institutions[ID], Institutions[Institution nickname], "Unknown")</f>
        <v>Wells Fargo</v>
      </c>
      <c r="J1177" s="139" t="s">
        <v>1873</v>
      </c>
      <c r="K1177" s="129" t="s">
        <v>1229</v>
      </c>
      <c r="L1177" s="129" t="s">
        <v>1228</v>
      </c>
      <c r="M1177" s="130" t="str" cm="1">
        <f t="array" ref="M1177">IFERROR(INDEX(CategoriesTable[Category type],MATCH(Table1[[#This Row],[Category]],CategoriesTable[Category name],0),0),"")</f>
        <v>Expense</v>
      </c>
      <c r="N1177" s="130" t="str" cm="1">
        <f t="array" ref="N1177">IFERROR(INDEX(SubcategoriesTable[Subcategory name],MATCH(Table1[[#This Row],[Category]],SubcategoriesTable[Category name],0),0),"")</f>
        <v>Variable</v>
      </c>
      <c r="O1177" s="130">
        <v>2</v>
      </c>
      <c r="P1177" s="130">
        <f>MONTH(Table1[[#This Row],[Date]])</f>
        <v>2</v>
      </c>
      <c r="Q1177" s="130">
        <v>2020</v>
      </c>
      <c r="R1177" s="166">
        <f>IF(ISBLANK(Table1[[#This Row],[Date]]),"",Table1[[#This Row],[Date]]-WEEKDAY(Table1[[#This Row],[Date]],2)+1)</f>
        <v>43857</v>
      </c>
      <c r="S1177" s="131">
        <f>IF(ISBLANK(Table1[[#This Row],[Date]]),"",DATE(Table1[[#This Row],[Date_Year]],Table1[[#This Row],[Date_Month]],1))</f>
        <v>43862</v>
      </c>
    </row>
    <row r="1178" spans="2:19" ht="15.75" x14ac:dyDescent="0.25">
      <c r="B1178" s="133">
        <v>43863</v>
      </c>
      <c r="C1178" s="128" t="s">
        <v>119</v>
      </c>
      <c r="D1178" s="128" t="s">
        <v>52</v>
      </c>
      <c r="E1178" s="128" t="str" cm="1">
        <f t="array" ref="E1178">IFERROR(INDEX(SubcategoriesTable[Subcategory name],MATCH(Table1[[#This Row],[Category]],SubcategoriesTable[Category name],0),0),"")</f>
        <v>Variable</v>
      </c>
      <c r="F1178" s="134">
        <v>-15.46</v>
      </c>
      <c r="G1178" s="167" t="str">
        <f>_xlfn.XLOOKUP(Table1[[#This Row],[Account_ID]], Accounts[ID], Accounts[Account nickname], "Unknown")</f>
        <v>EVERYDAY CHECKING</v>
      </c>
      <c r="H1178" s="137" t="str">
        <f>_xlfn.XLOOKUP(Table1[[#This Row],[Account_ID]], Accounts[ID], Accounts[Account'#], "Unknown")</f>
        <v>4636</v>
      </c>
      <c r="I1178" s="168" t="str">
        <f>_xlfn.XLOOKUP(Table1[[#This Row],[Institution_ID]], Institutions[ID], Institutions[Institution nickname], "Unknown")</f>
        <v>Wells Fargo</v>
      </c>
      <c r="J1178" s="139" t="s">
        <v>1874</v>
      </c>
      <c r="K1178" s="129" t="s">
        <v>1229</v>
      </c>
      <c r="L1178" s="129" t="s">
        <v>1228</v>
      </c>
      <c r="M1178" s="130" t="str" cm="1">
        <f t="array" ref="M1178">IFERROR(INDEX(CategoriesTable[Category type],MATCH(Table1[[#This Row],[Category]],CategoriesTable[Category name],0),0),"")</f>
        <v>Expense</v>
      </c>
      <c r="N1178" s="130" t="str" cm="1">
        <f t="array" ref="N1178">IFERROR(INDEX(SubcategoriesTable[Subcategory name],MATCH(Table1[[#This Row],[Category]],SubcategoriesTable[Category name],0),0),"")</f>
        <v>Variable</v>
      </c>
      <c r="O1178" s="130">
        <v>2</v>
      </c>
      <c r="P1178" s="130">
        <f>MONTH(Table1[[#This Row],[Date]])</f>
        <v>2</v>
      </c>
      <c r="Q1178" s="130">
        <v>2020</v>
      </c>
      <c r="R1178" s="166">
        <f>IF(ISBLANK(Table1[[#This Row],[Date]]),"",Table1[[#This Row],[Date]]-WEEKDAY(Table1[[#This Row],[Date]],2)+1)</f>
        <v>43857</v>
      </c>
      <c r="S1178" s="131">
        <f>IF(ISBLANK(Table1[[#This Row],[Date]]),"",DATE(Table1[[#This Row],[Date_Year]],Table1[[#This Row],[Date_Month]],1))</f>
        <v>43862</v>
      </c>
    </row>
    <row r="1179" spans="2:19" ht="15.75" x14ac:dyDescent="0.25">
      <c r="B1179" s="133">
        <v>43862</v>
      </c>
      <c r="C1179" s="128" t="s">
        <v>1875</v>
      </c>
      <c r="D1179" s="128" t="s">
        <v>45</v>
      </c>
      <c r="E1179" s="128" t="str" cm="1">
        <f t="array" ref="E1179">IFERROR(INDEX(SubcategoriesTable[Subcategory name],MATCH(Table1[[#This Row],[Category]],SubcategoriesTable[Category name],0),0),"")</f>
        <v>Variable</v>
      </c>
      <c r="F1179" s="134">
        <v>-15.16</v>
      </c>
      <c r="G1179" s="167" t="str">
        <f>_xlfn.XLOOKUP(Table1[[#This Row],[Account_ID]], Accounts[ID], Accounts[Account nickname], "Unknown")</f>
        <v>EVERYDAY CHECKING</v>
      </c>
      <c r="H1179" s="137" t="str">
        <f>_xlfn.XLOOKUP(Table1[[#This Row],[Account_ID]], Accounts[ID], Accounts[Account'#], "Unknown")</f>
        <v>4636</v>
      </c>
      <c r="I1179" s="168" t="str">
        <f>_xlfn.XLOOKUP(Table1[[#This Row],[Institution_ID]], Institutions[ID], Institutions[Institution nickname], "Unknown")</f>
        <v>Wells Fargo</v>
      </c>
      <c r="J1179" s="139" t="s">
        <v>1876</v>
      </c>
      <c r="K1179" s="129" t="s">
        <v>1229</v>
      </c>
      <c r="L1179" s="129" t="s">
        <v>1228</v>
      </c>
      <c r="M1179" s="130" t="str" cm="1">
        <f t="array" ref="M1179">IFERROR(INDEX(CategoriesTable[Category type],MATCH(Table1[[#This Row],[Category]],CategoriesTable[Category name],0),0),"")</f>
        <v>Expense</v>
      </c>
      <c r="N1179" s="130" t="str" cm="1">
        <f t="array" ref="N1179">IFERROR(INDEX(SubcategoriesTable[Subcategory name],MATCH(Table1[[#This Row],[Category]],SubcategoriesTable[Category name],0),0),"")</f>
        <v>Variable</v>
      </c>
      <c r="O1179" s="130">
        <v>1</v>
      </c>
      <c r="P1179" s="130">
        <f>MONTH(Table1[[#This Row],[Date]])</f>
        <v>2</v>
      </c>
      <c r="Q1179" s="130">
        <v>2020</v>
      </c>
      <c r="R1179" s="166">
        <f>IF(ISBLANK(Table1[[#This Row],[Date]]),"",Table1[[#This Row],[Date]]-WEEKDAY(Table1[[#This Row],[Date]],2)+1)</f>
        <v>43857</v>
      </c>
      <c r="S1179" s="131">
        <f>IF(ISBLANK(Table1[[#This Row],[Date]]),"",DATE(Table1[[#This Row],[Date_Year]],Table1[[#This Row],[Date_Month]],1))</f>
        <v>43862</v>
      </c>
    </row>
    <row r="1180" spans="2:19" ht="15.75" x14ac:dyDescent="0.25">
      <c r="B1180" s="133">
        <v>43862</v>
      </c>
      <c r="C1180" s="128" t="s">
        <v>441</v>
      </c>
      <c r="D1180" s="128" t="s">
        <v>56</v>
      </c>
      <c r="E1180" s="128" t="str" cm="1">
        <f t="array" ref="E1180">IFERROR(INDEX(SubcategoriesTable[Subcategory name],MATCH(Table1[[#This Row],[Category]],SubcategoriesTable[Category name],0),0),"")</f>
        <v>Variable</v>
      </c>
      <c r="F1180" s="134">
        <v>-100</v>
      </c>
      <c r="G1180" s="167" t="str">
        <f>_xlfn.XLOOKUP(Table1[[#This Row],[Account_ID]], Accounts[ID], Accounts[Account nickname], "Unknown")</f>
        <v>EVERYDAY CHECKING</v>
      </c>
      <c r="H1180" s="137" t="str">
        <f>_xlfn.XLOOKUP(Table1[[#This Row],[Account_ID]], Accounts[ID], Accounts[Account'#], "Unknown")</f>
        <v>4636</v>
      </c>
      <c r="I1180" s="168" t="str">
        <f>_xlfn.XLOOKUP(Table1[[#This Row],[Institution_ID]], Institutions[ID], Institutions[Institution nickname], "Unknown")</f>
        <v>Wells Fargo</v>
      </c>
      <c r="J1180" s="139" t="s">
        <v>1877</v>
      </c>
      <c r="K1180" s="129" t="s">
        <v>1229</v>
      </c>
      <c r="L1180" s="129" t="s">
        <v>1228</v>
      </c>
      <c r="M1180" s="130" t="str" cm="1">
        <f t="array" ref="M1180">IFERROR(INDEX(CategoriesTable[Category type],MATCH(Table1[[#This Row],[Category]],CategoriesTable[Category name],0),0),"")</f>
        <v>Expense</v>
      </c>
      <c r="N1180" s="130" t="str" cm="1">
        <f t="array" ref="N1180">IFERROR(INDEX(SubcategoriesTable[Subcategory name],MATCH(Table1[[#This Row],[Category]],SubcategoriesTable[Category name],0),0),"")</f>
        <v>Variable</v>
      </c>
      <c r="O1180" s="130">
        <v>1</v>
      </c>
      <c r="P1180" s="130">
        <f>MONTH(Table1[[#This Row],[Date]])</f>
        <v>2</v>
      </c>
      <c r="Q1180" s="130">
        <v>2020</v>
      </c>
      <c r="R1180" s="166">
        <f>IF(ISBLANK(Table1[[#This Row],[Date]]),"",Table1[[#This Row],[Date]]-WEEKDAY(Table1[[#This Row],[Date]],2)+1)</f>
        <v>43857</v>
      </c>
      <c r="S1180" s="131">
        <f>IF(ISBLANK(Table1[[#This Row],[Date]]),"",DATE(Table1[[#This Row],[Date_Year]],Table1[[#This Row],[Date_Month]],1))</f>
        <v>43862</v>
      </c>
    </row>
    <row r="1181" spans="2:19" ht="15.75" x14ac:dyDescent="0.25">
      <c r="B1181" s="133">
        <v>43862</v>
      </c>
      <c r="C1181" s="128" t="s">
        <v>119</v>
      </c>
      <c r="D1181" s="128" t="s">
        <v>52</v>
      </c>
      <c r="E1181" s="128" t="str" cm="1">
        <f t="array" ref="E1181">IFERROR(INDEX(SubcategoriesTable[Subcategory name],MATCH(Table1[[#This Row],[Category]],SubcategoriesTable[Category name],0),0),"")</f>
        <v>Variable</v>
      </c>
      <c r="F1181" s="134">
        <v>-18.38</v>
      </c>
      <c r="G1181" s="167" t="str">
        <f>_xlfn.XLOOKUP(Table1[[#This Row],[Account_ID]], Accounts[ID], Accounts[Account nickname], "Unknown")</f>
        <v>EVERYDAY CHECKING</v>
      </c>
      <c r="H1181" s="137" t="str">
        <f>_xlfn.XLOOKUP(Table1[[#This Row],[Account_ID]], Accounts[ID], Accounts[Account'#], "Unknown")</f>
        <v>4636</v>
      </c>
      <c r="I1181" s="168" t="str">
        <f>_xlfn.XLOOKUP(Table1[[#This Row],[Institution_ID]], Institutions[ID], Institutions[Institution nickname], "Unknown")</f>
        <v>Wells Fargo</v>
      </c>
      <c r="J1181" s="139" t="s">
        <v>1878</v>
      </c>
      <c r="K1181" s="129" t="s">
        <v>1229</v>
      </c>
      <c r="L1181" s="129" t="s">
        <v>1228</v>
      </c>
      <c r="M1181" s="130" t="str" cm="1">
        <f t="array" ref="M1181">IFERROR(INDEX(CategoriesTable[Category type],MATCH(Table1[[#This Row],[Category]],CategoriesTable[Category name],0),0),"")</f>
        <v>Expense</v>
      </c>
      <c r="N1181" s="130" t="str" cm="1">
        <f t="array" ref="N1181">IFERROR(INDEX(SubcategoriesTable[Subcategory name],MATCH(Table1[[#This Row],[Category]],SubcategoriesTable[Category name],0),0),"")</f>
        <v>Variable</v>
      </c>
      <c r="O1181" s="130">
        <v>1</v>
      </c>
      <c r="P1181" s="130">
        <f>MONTH(Table1[[#This Row],[Date]])</f>
        <v>2</v>
      </c>
      <c r="Q1181" s="130">
        <v>2020</v>
      </c>
      <c r="R1181" s="166">
        <f>IF(ISBLANK(Table1[[#This Row],[Date]]),"",Table1[[#This Row],[Date]]-WEEKDAY(Table1[[#This Row],[Date]],2)+1)</f>
        <v>43857</v>
      </c>
      <c r="S1181" s="131">
        <f>IF(ISBLANK(Table1[[#This Row],[Date]]),"",DATE(Table1[[#This Row],[Date_Year]],Table1[[#This Row],[Date_Month]],1))</f>
        <v>43862</v>
      </c>
    </row>
    <row r="1182" spans="2:19" ht="15.75" x14ac:dyDescent="0.25">
      <c r="B1182" s="133">
        <v>43862</v>
      </c>
      <c r="C1182" s="128" t="s">
        <v>1879</v>
      </c>
      <c r="D1182" s="128" t="s">
        <v>45</v>
      </c>
      <c r="E1182" s="128" t="str" cm="1">
        <f t="array" ref="E1182">IFERROR(INDEX(SubcategoriesTable[Subcategory name],MATCH(Table1[[#This Row],[Category]],SubcategoriesTable[Category name],0),0),"")</f>
        <v>Variable</v>
      </c>
      <c r="F1182" s="134">
        <v>-12</v>
      </c>
      <c r="G1182" s="167" t="str">
        <f>_xlfn.XLOOKUP(Table1[[#This Row],[Account_ID]], Accounts[ID], Accounts[Account nickname], "Unknown")</f>
        <v>EVERYDAY CHECKING</v>
      </c>
      <c r="H1182" s="137" t="str">
        <f>_xlfn.XLOOKUP(Table1[[#This Row],[Account_ID]], Accounts[ID], Accounts[Account'#], "Unknown")</f>
        <v>4636</v>
      </c>
      <c r="I1182" s="168" t="str">
        <f>_xlfn.XLOOKUP(Table1[[#This Row],[Institution_ID]], Institutions[ID], Institutions[Institution nickname], "Unknown")</f>
        <v>Wells Fargo</v>
      </c>
      <c r="J1182" s="139" t="s">
        <v>1880</v>
      </c>
      <c r="K1182" s="129" t="s">
        <v>1229</v>
      </c>
      <c r="L1182" s="129" t="s">
        <v>1228</v>
      </c>
      <c r="M1182" s="130" t="str" cm="1">
        <f t="array" ref="M1182">IFERROR(INDEX(CategoriesTable[Category type],MATCH(Table1[[#This Row],[Category]],CategoriesTable[Category name],0),0),"")</f>
        <v>Expense</v>
      </c>
      <c r="N1182" s="130" t="str" cm="1">
        <f t="array" ref="N1182">IFERROR(INDEX(SubcategoriesTable[Subcategory name],MATCH(Table1[[#This Row],[Category]],SubcategoriesTable[Category name],0),0),"")</f>
        <v>Variable</v>
      </c>
      <c r="O1182" s="130">
        <v>1</v>
      </c>
      <c r="P1182" s="130">
        <f>MONTH(Table1[[#This Row],[Date]])</f>
        <v>2</v>
      </c>
      <c r="Q1182" s="130">
        <v>2020</v>
      </c>
      <c r="R1182" s="166">
        <f>IF(ISBLANK(Table1[[#This Row],[Date]]),"",Table1[[#This Row],[Date]]-WEEKDAY(Table1[[#This Row],[Date]],2)+1)</f>
        <v>43857</v>
      </c>
      <c r="S1182" s="131">
        <f>IF(ISBLANK(Table1[[#This Row],[Date]]),"",DATE(Table1[[#This Row],[Date_Year]],Table1[[#This Row],[Date_Month]],1))</f>
        <v>43862</v>
      </c>
    </row>
    <row r="1183" spans="2:19" ht="15.75" x14ac:dyDescent="0.25">
      <c r="B1183" s="133">
        <v>43862</v>
      </c>
      <c r="C1183" s="128" t="s">
        <v>1875</v>
      </c>
      <c r="D1183" s="128" t="s">
        <v>45</v>
      </c>
      <c r="E1183" s="128" t="str" cm="1">
        <f t="array" ref="E1183">IFERROR(INDEX(SubcategoriesTable[Subcategory name],MATCH(Table1[[#This Row],[Category]],SubcategoriesTable[Category name],0),0),"")</f>
        <v>Variable</v>
      </c>
      <c r="F1183" s="134">
        <v>-4.22</v>
      </c>
      <c r="G1183" s="167" t="str">
        <f>_xlfn.XLOOKUP(Table1[[#This Row],[Account_ID]], Accounts[ID], Accounts[Account nickname], "Unknown")</f>
        <v>EVERYDAY CHECKING</v>
      </c>
      <c r="H1183" s="137" t="str">
        <f>_xlfn.XLOOKUP(Table1[[#This Row],[Account_ID]], Accounts[ID], Accounts[Account'#], "Unknown")</f>
        <v>4636</v>
      </c>
      <c r="I1183" s="168" t="str">
        <f>_xlfn.XLOOKUP(Table1[[#This Row],[Institution_ID]], Institutions[ID], Institutions[Institution nickname], "Unknown")</f>
        <v>Wells Fargo</v>
      </c>
      <c r="J1183" s="139" t="s">
        <v>1881</v>
      </c>
      <c r="K1183" s="129" t="s">
        <v>1229</v>
      </c>
      <c r="L1183" s="129" t="s">
        <v>1228</v>
      </c>
      <c r="M1183" s="130" t="str" cm="1">
        <f t="array" ref="M1183">IFERROR(INDEX(CategoriesTable[Category type],MATCH(Table1[[#This Row],[Category]],CategoriesTable[Category name],0),0),"")</f>
        <v>Expense</v>
      </c>
      <c r="N1183" s="130" t="str" cm="1">
        <f t="array" ref="N1183">IFERROR(INDEX(SubcategoriesTable[Subcategory name],MATCH(Table1[[#This Row],[Category]],SubcategoriesTable[Category name],0),0),"")</f>
        <v>Variable</v>
      </c>
      <c r="O1183" s="130">
        <v>1</v>
      </c>
      <c r="P1183" s="130">
        <f>MONTH(Table1[[#This Row],[Date]])</f>
        <v>2</v>
      </c>
      <c r="Q1183" s="130">
        <v>2020</v>
      </c>
      <c r="R1183" s="166">
        <f>IF(ISBLANK(Table1[[#This Row],[Date]]),"",Table1[[#This Row],[Date]]-WEEKDAY(Table1[[#This Row],[Date]],2)+1)</f>
        <v>43857</v>
      </c>
      <c r="S1183" s="131">
        <f>IF(ISBLANK(Table1[[#This Row],[Date]]),"",DATE(Table1[[#This Row],[Date_Year]],Table1[[#This Row],[Date_Month]],1))</f>
        <v>43862</v>
      </c>
    </row>
    <row r="1184" spans="2:19" ht="15.75" x14ac:dyDescent="0.25">
      <c r="B1184" s="133">
        <v>43862</v>
      </c>
      <c r="C1184" s="128" t="s">
        <v>201</v>
      </c>
      <c r="D1184" s="128" t="s">
        <v>48</v>
      </c>
      <c r="E1184" s="128" t="str" cm="1">
        <f t="array" ref="E1184">IFERROR(INDEX(SubcategoriesTable[Subcategory name],MATCH(Table1[[#This Row],[Category]],SubcategoriesTable[Category name],0),0),"")</f>
        <v>Variable</v>
      </c>
      <c r="F1184" s="134">
        <v>-5.63</v>
      </c>
      <c r="G1184" s="167" t="str">
        <f>_xlfn.XLOOKUP(Table1[[#This Row],[Account_ID]], Accounts[ID], Accounts[Account nickname], "Unknown")</f>
        <v>EVERYDAY CHECKING</v>
      </c>
      <c r="H1184" s="137" t="str">
        <f>_xlfn.XLOOKUP(Table1[[#This Row],[Account_ID]], Accounts[ID], Accounts[Account'#], "Unknown")</f>
        <v>4636</v>
      </c>
      <c r="I1184" s="168" t="str">
        <f>_xlfn.XLOOKUP(Table1[[#This Row],[Institution_ID]], Institutions[ID], Institutions[Institution nickname], "Unknown")</f>
        <v>Wells Fargo</v>
      </c>
      <c r="J1184" s="139" t="s">
        <v>1882</v>
      </c>
      <c r="K1184" s="129" t="s">
        <v>1229</v>
      </c>
      <c r="L1184" s="129" t="s">
        <v>1228</v>
      </c>
      <c r="M1184" s="130" t="str" cm="1">
        <f t="array" ref="M1184">IFERROR(INDEX(CategoriesTable[Category type],MATCH(Table1[[#This Row],[Category]],CategoriesTable[Category name],0),0),"")</f>
        <v>Expense</v>
      </c>
      <c r="N1184" s="130" t="str" cm="1">
        <f t="array" ref="N1184">IFERROR(INDEX(SubcategoriesTable[Subcategory name],MATCH(Table1[[#This Row],[Category]],SubcategoriesTable[Category name],0),0),"")</f>
        <v>Variable</v>
      </c>
      <c r="O1184" s="130">
        <v>1</v>
      </c>
      <c r="P1184" s="130">
        <f>MONTH(Table1[[#This Row],[Date]])</f>
        <v>2</v>
      </c>
      <c r="Q1184" s="130">
        <v>2020</v>
      </c>
      <c r="R1184" s="166">
        <f>IF(ISBLANK(Table1[[#This Row],[Date]]),"",Table1[[#This Row],[Date]]-WEEKDAY(Table1[[#This Row],[Date]],2)+1)</f>
        <v>43857</v>
      </c>
      <c r="S1184" s="131">
        <f>IF(ISBLANK(Table1[[#This Row],[Date]]),"",DATE(Table1[[#This Row],[Date_Year]],Table1[[#This Row],[Date_Month]],1))</f>
        <v>43862</v>
      </c>
    </row>
    <row r="1185" spans="2:19" ht="15.75" x14ac:dyDescent="0.25">
      <c r="B1185" s="133">
        <v>43862</v>
      </c>
      <c r="C1185" s="128" t="s">
        <v>201</v>
      </c>
      <c r="D1185" s="128" t="s">
        <v>48</v>
      </c>
      <c r="E1185" s="128" t="str" cm="1">
        <f t="array" ref="E1185">IFERROR(INDEX(SubcategoriesTable[Subcategory name],MATCH(Table1[[#This Row],[Category]],SubcategoriesTable[Category name],0),0),"")</f>
        <v>Variable</v>
      </c>
      <c r="F1185" s="134">
        <v>-26.29</v>
      </c>
      <c r="G1185" s="167" t="str">
        <f>_xlfn.XLOOKUP(Table1[[#This Row],[Account_ID]], Accounts[ID], Accounts[Account nickname], "Unknown")</f>
        <v>EVERYDAY CHECKING</v>
      </c>
      <c r="H1185" s="137" t="str">
        <f>_xlfn.XLOOKUP(Table1[[#This Row],[Account_ID]], Accounts[ID], Accounts[Account'#], "Unknown")</f>
        <v>4636</v>
      </c>
      <c r="I1185" s="168" t="str">
        <f>_xlfn.XLOOKUP(Table1[[#This Row],[Institution_ID]], Institutions[ID], Institutions[Institution nickname], "Unknown")</f>
        <v>Wells Fargo</v>
      </c>
      <c r="J1185" s="139" t="s">
        <v>1883</v>
      </c>
      <c r="K1185" s="129" t="s">
        <v>1229</v>
      </c>
      <c r="L1185" s="129" t="s">
        <v>1228</v>
      </c>
      <c r="M1185" s="130" t="str" cm="1">
        <f t="array" ref="M1185">IFERROR(INDEX(CategoriesTable[Category type],MATCH(Table1[[#This Row],[Category]],CategoriesTable[Category name],0),0),"")</f>
        <v>Expense</v>
      </c>
      <c r="N1185" s="130" t="str" cm="1">
        <f t="array" ref="N1185">IFERROR(INDEX(SubcategoriesTable[Subcategory name],MATCH(Table1[[#This Row],[Category]],SubcategoriesTable[Category name],0),0),"")</f>
        <v>Variable</v>
      </c>
      <c r="O1185" s="130">
        <v>1</v>
      </c>
      <c r="P1185" s="130">
        <f>MONTH(Table1[[#This Row],[Date]])</f>
        <v>2</v>
      </c>
      <c r="Q1185" s="130">
        <v>2020</v>
      </c>
      <c r="R1185" s="166">
        <f>IF(ISBLANK(Table1[[#This Row],[Date]]),"",Table1[[#This Row],[Date]]-WEEKDAY(Table1[[#This Row],[Date]],2)+1)</f>
        <v>43857</v>
      </c>
      <c r="S1185" s="131">
        <f>IF(ISBLANK(Table1[[#This Row],[Date]]),"",DATE(Table1[[#This Row],[Date_Year]],Table1[[#This Row],[Date_Month]],1))</f>
        <v>43862</v>
      </c>
    </row>
    <row r="1186" spans="2:19" ht="15.75" x14ac:dyDescent="0.25">
      <c r="B1186" s="133">
        <v>43862</v>
      </c>
      <c r="C1186" s="128" t="s">
        <v>430</v>
      </c>
      <c r="D1186" s="128" t="s">
        <v>47</v>
      </c>
      <c r="E1186" s="128" t="str" cm="1">
        <f t="array" ref="E1186">IFERROR(INDEX(SubcategoriesTable[Subcategory name],MATCH(Table1[[#This Row],[Category]],SubcategoriesTable[Category name],0),0),"")</f>
        <v>Variable</v>
      </c>
      <c r="F1186" s="134">
        <v>-97.75</v>
      </c>
      <c r="G1186" s="167" t="str">
        <f>_xlfn.XLOOKUP(Table1[[#This Row],[Account_ID]], Accounts[ID], Accounts[Account nickname], "Unknown")</f>
        <v>EVERYDAY CHECKING</v>
      </c>
      <c r="H1186" s="137" t="str">
        <f>_xlfn.XLOOKUP(Table1[[#This Row],[Account_ID]], Accounts[ID], Accounts[Account'#], "Unknown")</f>
        <v>4636</v>
      </c>
      <c r="I1186" s="168" t="str">
        <f>_xlfn.XLOOKUP(Table1[[#This Row],[Institution_ID]], Institutions[ID], Institutions[Institution nickname], "Unknown")</f>
        <v>Wells Fargo</v>
      </c>
      <c r="J1186" s="139" t="s">
        <v>1884</v>
      </c>
      <c r="K1186" s="129" t="s">
        <v>1229</v>
      </c>
      <c r="L1186" s="129" t="s">
        <v>1228</v>
      </c>
      <c r="M1186" s="130" t="str" cm="1">
        <f t="array" ref="M1186">IFERROR(INDEX(CategoriesTable[Category type],MATCH(Table1[[#This Row],[Category]],CategoriesTable[Category name],0),0),"")</f>
        <v>Expense</v>
      </c>
      <c r="N1186" s="130" t="str" cm="1">
        <f t="array" ref="N1186">IFERROR(INDEX(SubcategoriesTable[Subcategory name],MATCH(Table1[[#This Row],[Category]],SubcategoriesTable[Category name],0),0),"")</f>
        <v>Variable</v>
      </c>
      <c r="O1186" s="130">
        <v>1</v>
      </c>
      <c r="P1186" s="130">
        <f>MONTH(Table1[[#This Row],[Date]])</f>
        <v>2</v>
      </c>
      <c r="Q1186" s="130">
        <v>2020</v>
      </c>
      <c r="R1186" s="166">
        <f>IF(ISBLANK(Table1[[#This Row],[Date]]),"",Table1[[#This Row],[Date]]-WEEKDAY(Table1[[#This Row],[Date]],2)+1)</f>
        <v>43857</v>
      </c>
      <c r="S1186" s="131">
        <f>IF(ISBLANK(Table1[[#This Row],[Date]]),"",DATE(Table1[[#This Row],[Date_Year]],Table1[[#This Row],[Date_Month]],1))</f>
        <v>43862</v>
      </c>
    </row>
    <row r="1187" spans="2:19" ht="15.75" x14ac:dyDescent="0.25">
      <c r="B1187" s="133">
        <v>43861</v>
      </c>
      <c r="C1187" s="128" t="s">
        <v>1885</v>
      </c>
      <c r="D1187" s="128" t="s">
        <v>45</v>
      </c>
      <c r="E1187" s="128" t="str" cm="1">
        <f t="array" ref="E1187">IFERROR(INDEX(SubcategoriesTable[Subcategory name],MATCH(Table1[[#This Row],[Category]],SubcategoriesTable[Category name],0),0),"")</f>
        <v>Variable</v>
      </c>
      <c r="F1187" s="134">
        <v>-20.29</v>
      </c>
      <c r="G1187" s="167" t="str">
        <f>_xlfn.XLOOKUP(Table1[[#This Row],[Account_ID]], Accounts[ID], Accounts[Account nickname], "Unknown")</f>
        <v>EVERYDAY CHECKING</v>
      </c>
      <c r="H1187" s="137" t="str">
        <f>_xlfn.XLOOKUP(Table1[[#This Row],[Account_ID]], Accounts[ID], Accounts[Account'#], "Unknown")</f>
        <v>4636</v>
      </c>
      <c r="I1187" s="168" t="str">
        <f>_xlfn.XLOOKUP(Table1[[#This Row],[Institution_ID]], Institutions[ID], Institutions[Institution nickname], "Unknown")</f>
        <v>Wells Fargo</v>
      </c>
      <c r="J1187" s="139" t="s">
        <v>1886</v>
      </c>
      <c r="K1187" s="129" t="s">
        <v>1229</v>
      </c>
      <c r="L1187" s="129" t="s">
        <v>1228</v>
      </c>
      <c r="M1187" s="130" t="str" cm="1">
        <f t="array" ref="M1187">IFERROR(INDEX(CategoriesTable[Category type],MATCH(Table1[[#This Row],[Category]],CategoriesTable[Category name],0),0),"")</f>
        <v>Expense</v>
      </c>
      <c r="N1187" s="130" t="str" cm="1">
        <f t="array" ref="N1187">IFERROR(INDEX(SubcategoriesTable[Subcategory name],MATCH(Table1[[#This Row],[Category]],SubcategoriesTable[Category name],0),0),"")</f>
        <v>Variable</v>
      </c>
      <c r="O1187" s="130">
        <v>31</v>
      </c>
      <c r="P1187" s="130">
        <f>MONTH(Table1[[#This Row],[Date]])</f>
        <v>1</v>
      </c>
      <c r="Q1187" s="130">
        <v>2020</v>
      </c>
      <c r="R1187" s="166">
        <f>IF(ISBLANK(Table1[[#This Row],[Date]]),"",Table1[[#This Row],[Date]]-WEEKDAY(Table1[[#This Row],[Date]],2)+1)</f>
        <v>43857</v>
      </c>
      <c r="S1187" s="131">
        <f>IF(ISBLANK(Table1[[#This Row],[Date]]),"",DATE(Table1[[#This Row],[Date_Year]],Table1[[#This Row],[Date_Month]],1))</f>
        <v>43831</v>
      </c>
    </row>
    <row r="1188" spans="2:19" ht="15.75" x14ac:dyDescent="0.25">
      <c r="B1188" s="133">
        <v>43861</v>
      </c>
      <c r="C1188" s="128" t="s">
        <v>1181</v>
      </c>
      <c r="D1188" s="128" t="s">
        <v>59</v>
      </c>
      <c r="E1188" s="128" t="str" cm="1">
        <f t="array" ref="E1188">IFERROR(INDEX(SubcategoriesTable[Subcategory name],MATCH(Table1[[#This Row],[Category]],SubcategoriesTable[Category name],0),0),"")</f>
        <v>Fixed</v>
      </c>
      <c r="F1188" s="134">
        <v>1488.19</v>
      </c>
      <c r="G1188" s="167" t="str">
        <f>_xlfn.XLOOKUP(Table1[[#This Row],[Account_ID]], Accounts[ID], Accounts[Account nickname], "Unknown")</f>
        <v>EVERYDAY CHECKING</v>
      </c>
      <c r="H1188" s="137" t="str">
        <f>_xlfn.XLOOKUP(Table1[[#This Row],[Account_ID]], Accounts[ID], Accounts[Account'#], "Unknown")</f>
        <v>4636</v>
      </c>
      <c r="I1188" s="168" t="str">
        <f>_xlfn.XLOOKUP(Table1[[#This Row],[Institution_ID]], Institutions[ID], Institutions[Institution nickname], "Unknown")</f>
        <v>Wells Fargo</v>
      </c>
      <c r="J1188" s="139" t="s">
        <v>1887</v>
      </c>
      <c r="K1188" s="129" t="s">
        <v>1229</v>
      </c>
      <c r="L1188" s="129" t="s">
        <v>1228</v>
      </c>
      <c r="M1188" s="130" t="str" cm="1">
        <f t="array" ref="M1188">IFERROR(INDEX(CategoriesTable[Category type],MATCH(Table1[[#This Row],[Category]],CategoriesTable[Category name],0),0),"")</f>
        <v>Income</v>
      </c>
      <c r="N1188" s="130" t="str" cm="1">
        <f t="array" ref="N1188">IFERROR(INDEX(SubcategoriesTable[Subcategory name],MATCH(Table1[[#This Row],[Category]],SubcategoriesTable[Category name],0),0),"")</f>
        <v>Fixed</v>
      </c>
      <c r="O1188" s="130">
        <v>31</v>
      </c>
      <c r="P1188" s="130">
        <f>MONTH(Table1[[#This Row],[Date]])</f>
        <v>1</v>
      </c>
      <c r="Q1188" s="130">
        <v>2020</v>
      </c>
      <c r="R1188" s="166">
        <f>IF(ISBLANK(Table1[[#This Row],[Date]]),"",Table1[[#This Row],[Date]]-WEEKDAY(Table1[[#This Row],[Date]],2)+1)</f>
        <v>43857</v>
      </c>
      <c r="S1188" s="131">
        <f>IF(ISBLANK(Table1[[#This Row],[Date]]),"",DATE(Table1[[#This Row],[Date_Year]],Table1[[#This Row],[Date_Month]],1))</f>
        <v>43831</v>
      </c>
    </row>
    <row r="1189" spans="2:19" ht="15.75" x14ac:dyDescent="0.25">
      <c r="B1189" s="133">
        <v>43861</v>
      </c>
      <c r="C1189" s="128" t="s">
        <v>201</v>
      </c>
      <c r="D1189" s="128" t="s">
        <v>48</v>
      </c>
      <c r="E1189" s="128" t="str" cm="1">
        <f t="array" ref="E1189">IFERROR(INDEX(SubcategoriesTable[Subcategory name],MATCH(Table1[[#This Row],[Category]],SubcategoriesTable[Category name],0),0),"")</f>
        <v>Variable</v>
      </c>
      <c r="F1189" s="134">
        <v>-198.95</v>
      </c>
      <c r="G1189" s="167" t="str">
        <f>_xlfn.XLOOKUP(Table1[[#This Row],[Account_ID]], Accounts[ID], Accounts[Account nickname], "Unknown")</f>
        <v>EVERYDAY CHECKING</v>
      </c>
      <c r="H1189" s="137" t="str">
        <f>_xlfn.XLOOKUP(Table1[[#This Row],[Account_ID]], Accounts[ID], Accounts[Account'#], "Unknown")</f>
        <v>4636</v>
      </c>
      <c r="I1189" s="168" t="str">
        <f>_xlfn.XLOOKUP(Table1[[#This Row],[Institution_ID]], Institutions[ID], Institutions[Institution nickname], "Unknown")</f>
        <v>Wells Fargo</v>
      </c>
      <c r="J1189" s="139" t="s">
        <v>1888</v>
      </c>
      <c r="K1189" s="129" t="s">
        <v>1229</v>
      </c>
      <c r="L1189" s="129" t="s">
        <v>1228</v>
      </c>
      <c r="M1189" s="130" t="str" cm="1">
        <f t="array" ref="M1189">IFERROR(INDEX(CategoriesTable[Category type],MATCH(Table1[[#This Row],[Category]],CategoriesTable[Category name],0),0),"")</f>
        <v>Expense</v>
      </c>
      <c r="N1189" s="130" t="str" cm="1">
        <f t="array" ref="N1189">IFERROR(INDEX(SubcategoriesTable[Subcategory name],MATCH(Table1[[#This Row],[Category]],SubcategoriesTable[Category name],0),0),"")</f>
        <v>Variable</v>
      </c>
      <c r="O1189" s="130">
        <v>31</v>
      </c>
      <c r="P1189" s="130">
        <f>MONTH(Table1[[#This Row],[Date]])</f>
        <v>1</v>
      </c>
      <c r="Q1189" s="130">
        <v>2020</v>
      </c>
      <c r="R1189" s="166">
        <f>IF(ISBLANK(Table1[[#This Row],[Date]]),"",Table1[[#This Row],[Date]]-WEEKDAY(Table1[[#This Row],[Date]],2)+1)</f>
        <v>43857</v>
      </c>
      <c r="S1189" s="131">
        <f>IF(ISBLANK(Table1[[#This Row],[Date]]),"",DATE(Table1[[#This Row],[Date_Year]],Table1[[#This Row],[Date_Month]],1))</f>
        <v>43831</v>
      </c>
    </row>
    <row r="1190" spans="2:19" ht="15.75" x14ac:dyDescent="0.25">
      <c r="B1190" s="133">
        <v>43861</v>
      </c>
      <c r="C1190" s="128" t="s">
        <v>508</v>
      </c>
      <c r="D1190" s="128" t="s">
        <v>50</v>
      </c>
      <c r="E1190" s="128" t="str" cm="1">
        <f t="array" ref="E1190">IFERROR(INDEX(SubcategoriesTable[Subcategory name],MATCH(Table1[[#This Row],[Category]],SubcategoriesTable[Category name],0),0),"")</f>
        <v>Variable</v>
      </c>
      <c r="F1190" s="134">
        <v>-930</v>
      </c>
      <c r="G1190" s="167" t="str">
        <f>_xlfn.XLOOKUP(Table1[[#This Row],[Account_ID]], Accounts[ID], Accounts[Account nickname], "Unknown")</f>
        <v>EVERYDAY CHECKING</v>
      </c>
      <c r="H1190" s="137" t="str">
        <f>_xlfn.XLOOKUP(Table1[[#This Row],[Account_ID]], Accounts[ID], Accounts[Account'#], "Unknown")</f>
        <v>4636</v>
      </c>
      <c r="I1190" s="168" t="str">
        <f>_xlfn.XLOOKUP(Table1[[#This Row],[Institution_ID]], Institutions[ID], Institutions[Institution nickname], "Unknown")</f>
        <v>Wells Fargo</v>
      </c>
      <c r="J1190" s="139" t="s">
        <v>1889</v>
      </c>
      <c r="K1190" s="129" t="s">
        <v>1229</v>
      </c>
      <c r="L1190" s="129" t="s">
        <v>1228</v>
      </c>
      <c r="M1190" s="130" t="str" cm="1">
        <f t="array" ref="M1190">IFERROR(INDEX(CategoriesTable[Category type],MATCH(Table1[[#This Row],[Category]],CategoriesTable[Category name],0),0),"")</f>
        <v>Transfer</v>
      </c>
      <c r="N1190" s="130" t="str" cm="1">
        <f t="array" ref="N1190">IFERROR(INDEX(SubcategoriesTable[Subcategory name],MATCH(Table1[[#This Row],[Category]],SubcategoriesTable[Category name],0),0),"")</f>
        <v>Variable</v>
      </c>
      <c r="O1190" s="130">
        <v>31</v>
      </c>
      <c r="P1190" s="130">
        <f>MONTH(Table1[[#This Row],[Date]])</f>
        <v>1</v>
      </c>
      <c r="Q1190" s="130">
        <v>2020</v>
      </c>
      <c r="R1190" s="166">
        <f>IF(ISBLANK(Table1[[#This Row],[Date]]),"",Table1[[#This Row],[Date]]-WEEKDAY(Table1[[#This Row],[Date]],2)+1)</f>
        <v>43857</v>
      </c>
      <c r="S1190" s="131">
        <f>IF(ISBLANK(Table1[[#This Row],[Date]]),"",DATE(Table1[[#This Row],[Date_Year]],Table1[[#This Row],[Date_Month]],1))</f>
        <v>43831</v>
      </c>
    </row>
    <row r="1191" spans="2:19" ht="15.75" x14ac:dyDescent="0.25">
      <c r="B1191" s="133">
        <v>43860</v>
      </c>
      <c r="C1191" s="128" t="s">
        <v>1085</v>
      </c>
      <c r="D1191" s="128" t="s">
        <v>45</v>
      </c>
      <c r="E1191" s="128" t="str" cm="1">
        <f t="array" ref="E1191">IFERROR(INDEX(SubcategoriesTable[Subcategory name],MATCH(Table1[[#This Row],[Category]],SubcategoriesTable[Category name],0),0),"")</f>
        <v>Variable</v>
      </c>
      <c r="F1191" s="134">
        <v>-8.69</v>
      </c>
      <c r="G1191" s="167" t="str">
        <f>_xlfn.XLOOKUP(Table1[[#This Row],[Account_ID]], Accounts[ID], Accounts[Account nickname], "Unknown")</f>
        <v>EVERYDAY CHECKING</v>
      </c>
      <c r="H1191" s="137" t="str">
        <f>_xlfn.XLOOKUP(Table1[[#This Row],[Account_ID]], Accounts[ID], Accounts[Account'#], "Unknown")</f>
        <v>4636</v>
      </c>
      <c r="I1191" s="168" t="str">
        <f>_xlfn.XLOOKUP(Table1[[#This Row],[Institution_ID]], Institutions[ID], Institutions[Institution nickname], "Unknown")</f>
        <v>Wells Fargo</v>
      </c>
      <c r="J1191" s="139" t="s">
        <v>1890</v>
      </c>
      <c r="K1191" s="129" t="s">
        <v>1229</v>
      </c>
      <c r="L1191" s="129" t="s">
        <v>1228</v>
      </c>
      <c r="M1191" s="130" t="str" cm="1">
        <f t="array" ref="M1191">IFERROR(INDEX(CategoriesTable[Category type],MATCH(Table1[[#This Row],[Category]],CategoriesTable[Category name],0),0),"")</f>
        <v>Expense</v>
      </c>
      <c r="N1191" s="130" t="str" cm="1">
        <f t="array" ref="N1191">IFERROR(INDEX(SubcategoriesTable[Subcategory name],MATCH(Table1[[#This Row],[Category]],SubcategoriesTable[Category name],0),0),"")</f>
        <v>Variable</v>
      </c>
      <c r="O1191" s="130">
        <v>30</v>
      </c>
      <c r="P1191" s="130">
        <f>MONTH(Table1[[#This Row],[Date]])</f>
        <v>1</v>
      </c>
      <c r="Q1191" s="130">
        <v>2020</v>
      </c>
      <c r="R1191" s="166">
        <f>IF(ISBLANK(Table1[[#This Row],[Date]]),"",Table1[[#This Row],[Date]]-WEEKDAY(Table1[[#This Row],[Date]],2)+1)</f>
        <v>43857</v>
      </c>
      <c r="S1191" s="131">
        <f>IF(ISBLANK(Table1[[#This Row],[Date]]),"",DATE(Table1[[#This Row],[Date_Year]],Table1[[#This Row],[Date_Month]],1))</f>
        <v>43831</v>
      </c>
    </row>
    <row r="1192" spans="2:19" ht="15.75" x14ac:dyDescent="0.25">
      <c r="B1192" s="133">
        <v>43860</v>
      </c>
      <c r="C1192" s="128" t="s">
        <v>115</v>
      </c>
      <c r="D1192" s="128" t="s">
        <v>48</v>
      </c>
      <c r="E1192" s="128" t="str" cm="1">
        <f t="array" ref="E1192">IFERROR(INDEX(SubcategoriesTable[Subcategory name],MATCH(Table1[[#This Row],[Category]],SubcategoriesTable[Category name],0),0),"")</f>
        <v>Variable</v>
      </c>
      <c r="F1192" s="134">
        <v>-15.6</v>
      </c>
      <c r="G1192" s="167" t="str">
        <f>_xlfn.XLOOKUP(Table1[[#This Row],[Account_ID]], Accounts[ID], Accounts[Account nickname], "Unknown")</f>
        <v>EVERYDAY CHECKING</v>
      </c>
      <c r="H1192" s="137" t="str">
        <f>_xlfn.XLOOKUP(Table1[[#This Row],[Account_ID]], Accounts[ID], Accounts[Account'#], "Unknown")</f>
        <v>4636</v>
      </c>
      <c r="I1192" s="168" t="str">
        <f>_xlfn.XLOOKUP(Table1[[#This Row],[Institution_ID]], Institutions[ID], Institutions[Institution nickname], "Unknown")</f>
        <v>Wells Fargo</v>
      </c>
      <c r="J1192" s="139" t="s">
        <v>1891</v>
      </c>
      <c r="K1192" s="129" t="s">
        <v>1229</v>
      </c>
      <c r="L1192" s="129" t="s">
        <v>1228</v>
      </c>
      <c r="M1192" s="130" t="str" cm="1">
        <f t="array" ref="M1192">IFERROR(INDEX(CategoriesTable[Category type],MATCH(Table1[[#This Row],[Category]],CategoriesTable[Category name],0),0),"")</f>
        <v>Expense</v>
      </c>
      <c r="N1192" s="130" t="str" cm="1">
        <f t="array" ref="N1192">IFERROR(INDEX(SubcategoriesTable[Subcategory name],MATCH(Table1[[#This Row],[Category]],SubcategoriesTable[Category name],0),0),"")</f>
        <v>Variable</v>
      </c>
      <c r="O1192" s="130">
        <v>30</v>
      </c>
      <c r="P1192" s="130">
        <f>MONTH(Table1[[#This Row],[Date]])</f>
        <v>1</v>
      </c>
      <c r="Q1192" s="130">
        <v>2020</v>
      </c>
      <c r="R1192" s="166">
        <f>IF(ISBLANK(Table1[[#This Row],[Date]]),"",Table1[[#This Row],[Date]]-WEEKDAY(Table1[[#This Row],[Date]],2)+1)</f>
        <v>43857</v>
      </c>
      <c r="S1192" s="131">
        <f>IF(ISBLANK(Table1[[#This Row],[Date]]),"",DATE(Table1[[#This Row],[Date_Year]],Table1[[#This Row],[Date_Month]],1))</f>
        <v>43831</v>
      </c>
    </row>
    <row r="1193" spans="2:19" ht="15.75" x14ac:dyDescent="0.25">
      <c r="B1193" s="133">
        <v>43860</v>
      </c>
      <c r="C1193" s="128" t="s">
        <v>427</v>
      </c>
      <c r="D1193" s="128" t="s">
        <v>52</v>
      </c>
      <c r="E1193" s="128" t="str" cm="1">
        <f t="array" ref="E1193">IFERROR(INDEX(SubcategoriesTable[Subcategory name],MATCH(Table1[[#This Row],[Category]],SubcategoriesTable[Category name],0),0),"")</f>
        <v>Variable</v>
      </c>
      <c r="F1193" s="134">
        <v>-24.04</v>
      </c>
      <c r="G1193" s="167" t="str">
        <f>_xlfn.XLOOKUP(Table1[[#This Row],[Account_ID]], Accounts[ID], Accounts[Account nickname], "Unknown")</f>
        <v>EVERYDAY CHECKING</v>
      </c>
      <c r="H1193" s="137" t="str">
        <f>_xlfn.XLOOKUP(Table1[[#This Row],[Account_ID]], Accounts[ID], Accounts[Account'#], "Unknown")</f>
        <v>4636</v>
      </c>
      <c r="I1193" s="168" t="str">
        <f>_xlfn.XLOOKUP(Table1[[#This Row],[Institution_ID]], Institutions[ID], Institutions[Institution nickname], "Unknown")</f>
        <v>Wells Fargo</v>
      </c>
      <c r="J1193" s="139" t="s">
        <v>1892</v>
      </c>
      <c r="K1193" s="129" t="s">
        <v>1229</v>
      </c>
      <c r="L1193" s="129" t="s">
        <v>1228</v>
      </c>
      <c r="M1193" s="130" t="str" cm="1">
        <f t="array" ref="M1193">IFERROR(INDEX(CategoriesTable[Category type],MATCH(Table1[[#This Row],[Category]],CategoriesTable[Category name],0),0),"")</f>
        <v>Expense</v>
      </c>
      <c r="N1193" s="130" t="str" cm="1">
        <f t="array" ref="N1193">IFERROR(INDEX(SubcategoriesTable[Subcategory name],MATCH(Table1[[#This Row],[Category]],SubcategoriesTable[Category name],0),0),"")</f>
        <v>Variable</v>
      </c>
      <c r="O1193" s="130">
        <v>30</v>
      </c>
      <c r="P1193" s="130">
        <f>MONTH(Table1[[#This Row],[Date]])</f>
        <v>1</v>
      </c>
      <c r="Q1193" s="130">
        <v>2020</v>
      </c>
      <c r="R1193" s="166">
        <f>IF(ISBLANK(Table1[[#This Row],[Date]]),"",Table1[[#This Row],[Date]]-WEEKDAY(Table1[[#This Row],[Date]],2)+1)</f>
        <v>43857</v>
      </c>
      <c r="S1193" s="131">
        <f>IF(ISBLANK(Table1[[#This Row],[Date]]),"",DATE(Table1[[#This Row],[Date_Year]],Table1[[#This Row],[Date_Month]],1))</f>
        <v>43831</v>
      </c>
    </row>
    <row r="1194" spans="2:19" ht="15.75" x14ac:dyDescent="0.25">
      <c r="B1194" s="133">
        <v>43859</v>
      </c>
      <c r="C1194" s="128" t="s">
        <v>661</v>
      </c>
      <c r="D1194" s="128" t="s">
        <v>45</v>
      </c>
      <c r="E1194" s="128" t="str" cm="1">
        <f t="array" ref="E1194">IFERROR(INDEX(SubcategoriesTable[Subcategory name],MATCH(Table1[[#This Row],[Category]],SubcategoriesTable[Category name],0),0),"")</f>
        <v>Variable</v>
      </c>
      <c r="F1194" s="134">
        <v>-10</v>
      </c>
      <c r="G1194" s="167" t="str">
        <f>_xlfn.XLOOKUP(Table1[[#This Row],[Account_ID]], Accounts[ID], Accounts[Account nickname], "Unknown")</f>
        <v>EVERYDAY CHECKING</v>
      </c>
      <c r="H1194" s="137" t="str">
        <f>_xlfn.XLOOKUP(Table1[[#This Row],[Account_ID]], Accounts[ID], Accounts[Account'#], "Unknown")</f>
        <v>4636</v>
      </c>
      <c r="I1194" s="168" t="str">
        <f>_xlfn.XLOOKUP(Table1[[#This Row],[Institution_ID]], Institutions[ID], Institutions[Institution nickname], "Unknown")</f>
        <v>Wells Fargo</v>
      </c>
      <c r="J1194" s="139" t="s">
        <v>1893</v>
      </c>
      <c r="K1194" s="129" t="s">
        <v>1229</v>
      </c>
      <c r="L1194" s="129" t="s">
        <v>1228</v>
      </c>
      <c r="M1194" s="130" t="str" cm="1">
        <f t="array" ref="M1194">IFERROR(INDEX(CategoriesTable[Category type],MATCH(Table1[[#This Row],[Category]],CategoriesTable[Category name],0),0),"")</f>
        <v>Expense</v>
      </c>
      <c r="N1194" s="130" t="str" cm="1">
        <f t="array" ref="N1194">IFERROR(INDEX(SubcategoriesTable[Subcategory name],MATCH(Table1[[#This Row],[Category]],SubcategoriesTable[Category name],0),0),"")</f>
        <v>Variable</v>
      </c>
      <c r="O1194" s="130">
        <v>29</v>
      </c>
      <c r="P1194" s="130">
        <f>MONTH(Table1[[#This Row],[Date]])</f>
        <v>1</v>
      </c>
      <c r="Q1194" s="130">
        <v>2020</v>
      </c>
      <c r="R1194" s="166">
        <f>IF(ISBLANK(Table1[[#This Row],[Date]]),"",Table1[[#This Row],[Date]]-WEEKDAY(Table1[[#This Row],[Date]],2)+1)</f>
        <v>43857</v>
      </c>
      <c r="S1194" s="131">
        <f>IF(ISBLANK(Table1[[#This Row],[Date]]),"",DATE(Table1[[#This Row],[Date_Year]],Table1[[#This Row],[Date_Month]],1))</f>
        <v>43831</v>
      </c>
    </row>
    <row r="1195" spans="2:19" ht="15.75" x14ac:dyDescent="0.25">
      <c r="B1195" s="133">
        <v>43858</v>
      </c>
      <c r="C1195" s="128" t="s">
        <v>1894</v>
      </c>
      <c r="D1195" s="128" t="s">
        <v>45</v>
      </c>
      <c r="E1195" s="128" t="str" cm="1">
        <f t="array" ref="E1195">IFERROR(INDEX(SubcategoriesTable[Subcategory name],MATCH(Table1[[#This Row],[Category]],SubcategoriesTable[Category name],0),0),"")</f>
        <v>Variable</v>
      </c>
      <c r="F1195" s="134">
        <v>-12.09</v>
      </c>
      <c r="G1195" s="167" t="str">
        <f>_xlfn.XLOOKUP(Table1[[#This Row],[Account_ID]], Accounts[ID], Accounts[Account nickname], "Unknown")</f>
        <v>EVERYDAY CHECKING</v>
      </c>
      <c r="H1195" s="137" t="str">
        <f>_xlfn.XLOOKUP(Table1[[#This Row],[Account_ID]], Accounts[ID], Accounts[Account'#], "Unknown")</f>
        <v>4636</v>
      </c>
      <c r="I1195" s="168" t="str">
        <f>_xlfn.XLOOKUP(Table1[[#This Row],[Institution_ID]], Institutions[ID], Institutions[Institution nickname], "Unknown")</f>
        <v>Wells Fargo</v>
      </c>
      <c r="J1195" s="139" t="s">
        <v>1895</v>
      </c>
      <c r="K1195" s="129" t="s">
        <v>1229</v>
      </c>
      <c r="L1195" s="129" t="s">
        <v>1228</v>
      </c>
      <c r="M1195" s="130" t="str" cm="1">
        <f t="array" ref="M1195">IFERROR(INDEX(CategoriesTable[Category type],MATCH(Table1[[#This Row],[Category]],CategoriesTable[Category name],0),0),"")</f>
        <v>Expense</v>
      </c>
      <c r="N1195" s="130" t="str" cm="1">
        <f t="array" ref="N1195">IFERROR(INDEX(SubcategoriesTable[Subcategory name],MATCH(Table1[[#This Row],[Category]],SubcategoriesTable[Category name],0),0),"")</f>
        <v>Variable</v>
      </c>
      <c r="O1195" s="130">
        <v>28</v>
      </c>
      <c r="P1195" s="130">
        <f>MONTH(Table1[[#This Row],[Date]])</f>
        <v>1</v>
      </c>
      <c r="Q1195" s="130">
        <v>2020</v>
      </c>
      <c r="R1195" s="166">
        <f>IF(ISBLANK(Table1[[#This Row],[Date]]),"",Table1[[#This Row],[Date]]-WEEKDAY(Table1[[#This Row],[Date]],2)+1)</f>
        <v>43857</v>
      </c>
      <c r="S1195" s="131">
        <f>IF(ISBLANK(Table1[[#This Row],[Date]]),"",DATE(Table1[[#This Row],[Date_Year]],Table1[[#This Row],[Date_Month]],1))</f>
        <v>43831</v>
      </c>
    </row>
    <row r="1196" spans="2:19" ht="15.75" x14ac:dyDescent="0.25">
      <c r="B1196" s="133">
        <v>43858</v>
      </c>
      <c r="C1196" s="128" t="s">
        <v>531</v>
      </c>
      <c r="D1196" s="128" t="s">
        <v>54</v>
      </c>
      <c r="E1196" s="128" t="str" cm="1">
        <f t="array" ref="E1196">IFERROR(INDEX(SubcategoriesTable[Subcategory name],MATCH(Table1[[#This Row],[Category]],SubcategoriesTable[Category name],0),0),"")</f>
        <v>Fixed</v>
      </c>
      <c r="F1196" s="134">
        <v>-6.1</v>
      </c>
      <c r="G1196" s="167" t="str">
        <f>_xlfn.XLOOKUP(Table1[[#This Row],[Account_ID]], Accounts[ID], Accounts[Account nickname], "Unknown")</f>
        <v>EVERYDAY CHECKING</v>
      </c>
      <c r="H1196" s="137" t="str">
        <f>_xlfn.XLOOKUP(Table1[[#This Row],[Account_ID]], Accounts[ID], Accounts[Account'#], "Unknown")</f>
        <v>4636</v>
      </c>
      <c r="I1196" s="168" t="str">
        <f>_xlfn.XLOOKUP(Table1[[#This Row],[Institution_ID]], Institutions[ID], Institutions[Institution nickname], "Unknown")</f>
        <v>Wells Fargo</v>
      </c>
      <c r="J1196" s="139" t="s">
        <v>1896</v>
      </c>
      <c r="K1196" s="129" t="s">
        <v>1229</v>
      </c>
      <c r="L1196" s="129" t="s">
        <v>1228</v>
      </c>
      <c r="M1196" s="130" t="str" cm="1">
        <f t="array" ref="M1196">IFERROR(INDEX(CategoriesTable[Category type],MATCH(Table1[[#This Row],[Category]],CategoriesTable[Category name],0),0),"")</f>
        <v>Expense</v>
      </c>
      <c r="N1196" s="130" t="str" cm="1">
        <f t="array" ref="N1196">IFERROR(INDEX(SubcategoriesTable[Subcategory name],MATCH(Table1[[#This Row],[Category]],SubcategoriesTable[Category name],0),0),"")</f>
        <v>Fixed</v>
      </c>
      <c r="O1196" s="130">
        <v>28</v>
      </c>
      <c r="P1196" s="130">
        <f>MONTH(Table1[[#This Row],[Date]])</f>
        <v>1</v>
      </c>
      <c r="Q1196" s="130">
        <v>2020</v>
      </c>
      <c r="R1196" s="166">
        <f>IF(ISBLANK(Table1[[#This Row],[Date]]),"",Table1[[#This Row],[Date]]-WEEKDAY(Table1[[#This Row],[Date]],2)+1)</f>
        <v>43857</v>
      </c>
      <c r="S1196" s="131">
        <f>IF(ISBLANK(Table1[[#This Row],[Date]]),"",DATE(Table1[[#This Row],[Date_Year]],Table1[[#This Row],[Date_Month]],1))</f>
        <v>43831</v>
      </c>
    </row>
    <row r="1197" spans="2:19" ht="15.75" x14ac:dyDescent="0.25">
      <c r="B1197" s="133">
        <v>43858</v>
      </c>
      <c r="C1197" s="128" t="s">
        <v>1897</v>
      </c>
      <c r="D1197" s="128" t="s">
        <v>46</v>
      </c>
      <c r="E1197" s="128" t="str" cm="1">
        <f t="array" ref="E1197">IFERROR(INDEX(SubcategoriesTable[Subcategory name],MATCH(Table1[[#This Row],[Category]],SubcategoriesTable[Category name],0),0),"")</f>
        <v>Variable</v>
      </c>
      <c r="F1197" s="134">
        <v>-29.98</v>
      </c>
      <c r="G1197" s="167" t="str">
        <f>_xlfn.XLOOKUP(Table1[[#This Row],[Account_ID]], Accounts[ID], Accounts[Account nickname], "Unknown")</f>
        <v>EVERYDAY CHECKING</v>
      </c>
      <c r="H1197" s="137" t="str">
        <f>_xlfn.XLOOKUP(Table1[[#This Row],[Account_ID]], Accounts[ID], Accounts[Account'#], "Unknown")</f>
        <v>4636</v>
      </c>
      <c r="I1197" s="168" t="str">
        <f>_xlfn.XLOOKUP(Table1[[#This Row],[Institution_ID]], Institutions[ID], Institutions[Institution nickname], "Unknown")</f>
        <v>Wells Fargo</v>
      </c>
      <c r="J1197" s="139" t="s">
        <v>1898</v>
      </c>
      <c r="K1197" s="129" t="s">
        <v>1229</v>
      </c>
      <c r="L1197" s="129" t="s">
        <v>1228</v>
      </c>
      <c r="M1197" s="130" t="str" cm="1">
        <f t="array" ref="M1197">IFERROR(INDEX(CategoriesTable[Category type],MATCH(Table1[[#This Row],[Category]],CategoriesTable[Category name],0),0),"")</f>
        <v>Expense</v>
      </c>
      <c r="N1197" s="130" t="str" cm="1">
        <f t="array" ref="N1197">IFERROR(INDEX(SubcategoriesTable[Subcategory name],MATCH(Table1[[#This Row],[Category]],SubcategoriesTable[Category name],0),0),"")</f>
        <v>Variable</v>
      </c>
      <c r="O1197" s="130">
        <v>28</v>
      </c>
      <c r="P1197" s="130">
        <f>MONTH(Table1[[#This Row],[Date]])</f>
        <v>1</v>
      </c>
      <c r="Q1197" s="130">
        <v>2020</v>
      </c>
      <c r="R1197" s="166">
        <f>IF(ISBLANK(Table1[[#This Row],[Date]]),"",Table1[[#This Row],[Date]]-WEEKDAY(Table1[[#This Row],[Date]],2)+1)</f>
        <v>43857</v>
      </c>
      <c r="S1197" s="131">
        <f>IF(ISBLANK(Table1[[#This Row],[Date]]),"",DATE(Table1[[#This Row],[Date_Year]],Table1[[#This Row],[Date_Month]],1))</f>
        <v>43831</v>
      </c>
    </row>
    <row r="1198" spans="2:19" ht="15.75" x14ac:dyDescent="0.25">
      <c r="B1198" s="133">
        <v>43858</v>
      </c>
      <c r="C1198" s="128" t="s">
        <v>1503</v>
      </c>
      <c r="D1198" s="128" t="s">
        <v>51</v>
      </c>
      <c r="E1198" s="128" t="str" cm="1">
        <f t="array" ref="E1198">IFERROR(INDEX(SubcategoriesTable[Subcategory name],MATCH(Table1[[#This Row],[Category]],SubcategoriesTable[Category name],0),0),"")</f>
        <v>Variable</v>
      </c>
      <c r="F1198" s="134">
        <v>-9.9499999999999993</v>
      </c>
      <c r="G1198" s="167" t="str">
        <f>_xlfn.XLOOKUP(Table1[[#This Row],[Account_ID]], Accounts[ID], Accounts[Account nickname], "Unknown")</f>
        <v>EVERYDAY CHECKING</v>
      </c>
      <c r="H1198" s="137" t="str">
        <f>_xlfn.XLOOKUP(Table1[[#This Row],[Account_ID]], Accounts[ID], Accounts[Account'#], "Unknown")</f>
        <v>4636</v>
      </c>
      <c r="I1198" s="168" t="str">
        <f>_xlfn.XLOOKUP(Table1[[#This Row],[Institution_ID]], Institutions[ID], Institutions[Institution nickname], "Unknown")</f>
        <v>Wells Fargo</v>
      </c>
      <c r="J1198" s="139" t="s">
        <v>1899</v>
      </c>
      <c r="K1198" s="129" t="s">
        <v>1229</v>
      </c>
      <c r="L1198" s="129" t="s">
        <v>1228</v>
      </c>
      <c r="M1198" s="130" t="str" cm="1">
        <f t="array" ref="M1198">IFERROR(INDEX(CategoriesTable[Category type],MATCH(Table1[[#This Row],[Category]],CategoriesTable[Category name],0),0),"")</f>
        <v>Expense</v>
      </c>
      <c r="N1198" s="130" t="str" cm="1">
        <f t="array" ref="N1198">IFERROR(INDEX(SubcategoriesTable[Subcategory name],MATCH(Table1[[#This Row],[Category]],SubcategoriesTable[Category name],0),0),"")</f>
        <v>Variable</v>
      </c>
      <c r="O1198" s="130">
        <v>28</v>
      </c>
      <c r="P1198" s="130">
        <f>MONTH(Table1[[#This Row],[Date]])</f>
        <v>1</v>
      </c>
      <c r="Q1198" s="130">
        <v>2020</v>
      </c>
      <c r="R1198" s="166">
        <f>IF(ISBLANK(Table1[[#This Row],[Date]]),"",Table1[[#This Row],[Date]]-WEEKDAY(Table1[[#This Row],[Date]],2)+1)</f>
        <v>43857</v>
      </c>
      <c r="S1198" s="131">
        <f>IF(ISBLANK(Table1[[#This Row],[Date]]),"",DATE(Table1[[#This Row],[Date_Year]],Table1[[#This Row],[Date_Month]],1))</f>
        <v>43831</v>
      </c>
    </row>
    <row r="1199" spans="2:19" ht="15.75" x14ac:dyDescent="0.25">
      <c r="B1199" s="133">
        <v>43858</v>
      </c>
      <c r="C1199" s="128" t="s">
        <v>1185</v>
      </c>
      <c r="D1199" s="128" t="s">
        <v>57</v>
      </c>
      <c r="E1199" s="128" t="str" cm="1">
        <f t="array" ref="E1199">IFERROR(INDEX(SubcategoriesTable[Subcategory name],MATCH(Table1[[#This Row],[Category]],SubcategoriesTable[Category name],0),0),"")</f>
        <v>Variable</v>
      </c>
      <c r="F1199" s="134">
        <v>204.96</v>
      </c>
      <c r="G1199" s="167" t="str">
        <f>_xlfn.XLOOKUP(Table1[[#This Row],[Account_ID]], Accounts[ID], Accounts[Account nickname], "Unknown")</f>
        <v>EVERYDAY CHECKING</v>
      </c>
      <c r="H1199" s="137" t="str">
        <f>_xlfn.XLOOKUP(Table1[[#This Row],[Account_ID]], Accounts[ID], Accounts[Account'#], "Unknown")</f>
        <v>4636</v>
      </c>
      <c r="I1199" s="168" t="str">
        <f>_xlfn.XLOOKUP(Table1[[#This Row],[Institution_ID]], Institutions[ID], Institutions[Institution nickname], "Unknown")</f>
        <v>Wells Fargo</v>
      </c>
      <c r="J1199" s="139" t="s">
        <v>1900</v>
      </c>
      <c r="K1199" s="129" t="s">
        <v>1229</v>
      </c>
      <c r="L1199" s="129" t="s">
        <v>1228</v>
      </c>
      <c r="M1199" s="130" t="str" cm="1">
        <f t="array" ref="M1199">IFERROR(INDEX(CategoriesTable[Category type],MATCH(Table1[[#This Row],[Category]],CategoriesTable[Category name],0),0),"")</f>
        <v>Transfer</v>
      </c>
      <c r="N1199" s="130" t="str" cm="1">
        <f t="array" ref="N1199">IFERROR(INDEX(SubcategoriesTable[Subcategory name],MATCH(Table1[[#This Row],[Category]],SubcategoriesTable[Category name],0),0),"")</f>
        <v>Variable</v>
      </c>
      <c r="O1199" s="130">
        <v>28</v>
      </c>
      <c r="P1199" s="130">
        <f>MONTH(Table1[[#This Row],[Date]])</f>
        <v>1</v>
      </c>
      <c r="Q1199" s="130">
        <v>2020</v>
      </c>
      <c r="R1199" s="166">
        <f>IF(ISBLANK(Table1[[#This Row],[Date]]),"",Table1[[#This Row],[Date]]-WEEKDAY(Table1[[#This Row],[Date]],2)+1)</f>
        <v>43857</v>
      </c>
      <c r="S1199" s="131">
        <f>IF(ISBLANK(Table1[[#This Row],[Date]]),"",DATE(Table1[[#This Row],[Date_Year]],Table1[[#This Row],[Date_Month]],1))</f>
        <v>43831</v>
      </c>
    </row>
    <row r="1200" spans="2:19" ht="15.75" x14ac:dyDescent="0.25">
      <c r="B1200" s="133">
        <v>43857</v>
      </c>
      <c r="C1200" s="128" t="s">
        <v>531</v>
      </c>
      <c r="D1200" s="128" t="s">
        <v>54</v>
      </c>
      <c r="E1200" s="128" t="str" cm="1">
        <f t="array" ref="E1200">IFERROR(INDEX(SubcategoriesTable[Subcategory name],MATCH(Table1[[#This Row],[Category]],SubcategoriesTable[Category name],0),0),"")</f>
        <v>Fixed</v>
      </c>
      <c r="F1200" s="134">
        <v>-12.5</v>
      </c>
      <c r="G1200" s="167" t="str">
        <f>_xlfn.XLOOKUP(Table1[[#This Row],[Account_ID]], Accounts[ID], Accounts[Account nickname], "Unknown")</f>
        <v>EVERYDAY CHECKING</v>
      </c>
      <c r="H1200" s="137" t="str">
        <f>_xlfn.XLOOKUP(Table1[[#This Row],[Account_ID]], Accounts[ID], Accounts[Account'#], "Unknown")</f>
        <v>4636</v>
      </c>
      <c r="I1200" s="168" t="str">
        <f>_xlfn.XLOOKUP(Table1[[#This Row],[Institution_ID]], Institutions[ID], Institutions[Institution nickname], "Unknown")</f>
        <v>Wells Fargo</v>
      </c>
      <c r="J1200" s="171" t="s">
        <v>1901</v>
      </c>
      <c r="K1200" s="129" t="s">
        <v>1229</v>
      </c>
      <c r="L1200" s="129" t="s">
        <v>1228</v>
      </c>
      <c r="M1200" s="130" t="str" cm="1">
        <f t="array" ref="M1200">IFERROR(INDEX(CategoriesTable[Category type],MATCH(Table1[[#This Row],[Category]],CategoriesTable[Category name],0),0),"")</f>
        <v>Expense</v>
      </c>
      <c r="N1200" s="130" t="str" cm="1">
        <f t="array" ref="N1200">IFERROR(INDEX(SubcategoriesTable[Subcategory name],MATCH(Table1[[#This Row],[Category]],SubcategoriesTable[Category name],0),0),"")</f>
        <v>Fixed</v>
      </c>
      <c r="O1200" s="130">
        <v>27</v>
      </c>
      <c r="P1200" s="130">
        <f>MONTH(Table1[[#This Row],[Date]])</f>
        <v>1</v>
      </c>
      <c r="Q1200" s="130">
        <v>2020</v>
      </c>
      <c r="R1200" s="166">
        <f>IF(ISBLANK(Table1[[#This Row],[Date]]),"",Table1[[#This Row],[Date]]-WEEKDAY(Table1[[#This Row],[Date]],2)+1)</f>
        <v>43857</v>
      </c>
      <c r="S1200" s="131">
        <f>IF(ISBLANK(Table1[[#This Row],[Date]]),"",DATE(Table1[[#This Row],[Date_Year]],Table1[[#This Row],[Date_Month]],1))</f>
        <v>43831</v>
      </c>
    </row>
    <row r="1201" spans="2:19" ht="15.75" x14ac:dyDescent="0.25">
      <c r="B1201" s="133">
        <v>43856</v>
      </c>
      <c r="C1201" s="128" t="s">
        <v>1902</v>
      </c>
      <c r="D1201" s="128" t="s">
        <v>45</v>
      </c>
      <c r="E1201" s="128" t="str" cm="1">
        <f t="array" ref="E1201">IFERROR(INDEX(SubcategoriesTable[Subcategory name],MATCH(Table1[[#This Row],[Category]],SubcategoriesTable[Category name],0),0),"")</f>
        <v>Variable</v>
      </c>
      <c r="F1201" s="134">
        <v>-17.690000000000001</v>
      </c>
      <c r="G1201" s="167" t="str">
        <f>_xlfn.XLOOKUP(Table1[[#This Row],[Account_ID]], Accounts[ID], Accounts[Account nickname], "Unknown")</f>
        <v>EVERYDAY CHECKING</v>
      </c>
      <c r="H1201" s="137" t="str">
        <f>_xlfn.XLOOKUP(Table1[[#This Row],[Account_ID]], Accounts[ID], Accounts[Account'#], "Unknown")</f>
        <v>4636</v>
      </c>
      <c r="I1201" s="168" t="str">
        <f>_xlfn.XLOOKUP(Table1[[#This Row],[Institution_ID]], Institutions[ID], Institutions[Institution nickname], "Unknown")</f>
        <v>Wells Fargo</v>
      </c>
      <c r="J1201" s="139" t="s">
        <v>1903</v>
      </c>
      <c r="K1201" s="129" t="s">
        <v>1229</v>
      </c>
      <c r="L1201" s="129" t="s">
        <v>1228</v>
      </c>
      <c r="M1201" s="130" t="str" cm="1">
        <f t="array" ref="M1201">IFERROR(INDEX(CategoriesTable[Category type],MATCH(Table1[[#This Row],[Category]],CategoriesTable[Category name],0),0),"")</f>
        <v>Expense</v>
      </c>
      <c r="N1201" s="130" t="str" cm="1">
        <f t="array" ref="N1201">IFERROR(INDEX(SubcategoriesTable[Subcategory name],MATCH(Table1[[#This Row],[Category]],SubcategoriesTable[Category name],0),0),"")</f>
        <v>Variable</v>
      </c>
      <c r="O1201" s="130">
        <v>26</v>
      </c>
      <c r="P1201" s="130">
        <f>MONTH(Table1[[#This Row],[Date]])</f>
        <v>1</v>
      </c>
      <c r="Q1201" s="130">
        <v>2020</v>
      </c>
      <c r="R1201" s="166">
        <f>IF(ISBLANK(Table1[[#This Row],[Date]]),"",Table1[[#This Row],[Date]]-WEEKDAY(Table1[[#This Row],[Date]],2)+1)</f>
        <v>43850</v>
      </c>
      <c r="S1201" s="131">
        <f>IF(ISBLANK(Table1[[#This Row],[Date]]),"",DATE(Table1[[#This Row],[Date_Year]],Table1[[#This Row],[Date_Month]],1))</f>
        <v>43831</v>
      </c>
    </row>
    <row r="1202" spans="2:19" ht="15.75" x14ac:dyDescent="0.25">
      <c r="B1202" s="133">
        <v>43856</v>
      </c>
      <c r="C1202" s="128" t="s">
        <v>201</v>
      </c>
      <c r="D1202" s="128" t="s">
        <v>48</v>
      </c>
      <c r="E1202" s="128" t="str" cm="1">
        <f t="array" ref="E1202">IFERROR(INDEX(SubcategoriesTable[Subcategory name],MATCH(Table1[[#This Row],[Category]],SubcategoriesTable[Category name],0),0),"")</f>
        <v>Variable</v>
      </c>
      <c r="F1202" s="134">
        <v>-19.54</v>
      </c>
      <c r="G1202" s="167" t="str">
        <f>_xlfn.XLOOKUP(Table1[[#This Row],[Account_ID]], Accounts[ID], Accounts[Account nickname], "Unknown")</f>
        <v>EVERYDAY CHECKING</v>
      </c>
      <c r="H1202" s="137" t="str">
        <f>_xlfn.XLOOKUP(Table1[[#This Row],[Account_ID]], Accounts[ID], Accounts[Account'#], "Unknown")</f>
        <v>4636</v>
      </c>
      <c r="I1202" s="168" t="str">
        <f>_xlfn.XLOOKUP(Table1[[#This Row],[Institution_ID]], Institutions[ID], Institutions[Institution nickname], "Unknown")</f>
        <v>Wells Fargo</v>
      </c>
      <c r="J1202" s="171" t="s">
        <v>1904</v>
      </c>
      <c r="K1202" s="129" t="s">
        <v>1229</v>
      </c>
      <c r="L1202" s="129" t="s">
        <v>1228</v>
      </c>
      <c r="M1202" s="130" t="str" cm="1">
        <f t="array" ref="M1202">IFERROR(INDEX(CategoriesTable[Category type],MATCH(Table1[[#This Row],[Category]],CategoriesTable[Category name],0),0),"")</f>
        <v>Expense</v>
      </c>
      <c r="N1202" s="130" t="str" cm="1">
        <f t="array" ref="N1202">IFERROR(INDEX(SubcategoriesTable[Subcategory name],MATCH(Table1[[#This Row],[Category]],SubcategoriesTable[Category name],0),0),"")</f>
        <v>Variable</v>
      </c>
      <c r="O1202" s="130">
        <v>26</v>
      </c>
      <c r="P1202" s="130">
        <f>MONTH(Table1[[#This Row],[Date]])</f>
        <v>1</v>
      </c>
      <c r="Q1202" s="130">
        <v>2020</v>
      </c>
      <c r="R1202" s="166">
        <f>IF(ISBLANK(Table1[[#This Row],[Date]]),"",Table1[[#This Row],[Date]]-WEEKDAY(Table1[[#This Row],[Date]],2)+1)</f>
        <v>43850</v>
      </c>
      <c r="S1202" s="131">
        <f>IF(ISBLANK(Table1[[#This Row],[Date]]),"",DATE(Table1[[#This Row],[Date_Year]],Table1[[#This Row],[Date_Month]],1))</f>
        <v>43831</v>
      </c>
    </row>
    <row r="1203" spans="2:19" ht="15.75" x14ac:dyDescent="0.25">
      <c r="B1203" s="133">
        <v>43855</v>
      </c>
      <c r="C1203" s="128" t="s">
        <v>158</v>
      </c>
      <c r="D1203" s="128" t="s">
        <v>48</v>
      </c>
      <c r="E1203" s="128" t="str" cm="1">
        <f t="array" ref="E1203">IFERROR(INDEX(SubcategoriesTable[Subcategory name],MATCH(Table1[[#This Row],[Category]],SubcategoriesTable[Category name],0),0),"")</f>
        <v>Variable</v>
      </c>
      <c r="F1203" s="134">
        <v>-18</v>
      </c>
      <c r="G1203" s="167" t="str">
        <f>_xlfn.XLOOKUP(Table1[[#This Row],[Account_ID]], Accounts[ID], Accounts[Account nickname], "Unknown")</f>
        <v>EVERYDAY CHECKING</v>
      </c>
      <c r="H1203" s="137" t="str">
        <f>_xlfn.XLOOKUP(Table1[[#This Row],[Account_ID]], Accounts[ID], Accounts[Account'#], "Unknown")</f>
        <v>4636</v>
      </c>
      <c r="I1203" s="168" t="str">
        <f>_xlfn.XLOOKUP(Table1[[#This Row],[Institution_ID]], Institutions[ID], Institutions[Institution nickname], "Unknown")</f>
        <v>Wells Fargo</v>
      </c>
      <c r="J1203" s="139" t="s">
        <v>1905</v>
      </c>
      <c r="K1203" s="129" t="s">
        <v>1229</v>
      </c>
      <c r="L1203" s="129" t="s">
        <v>1228</v>
      </c>
      <c r="M1203" s="130" t="str" cm="1">
        <f t="array" ref="M1203">IFERROR(INDEX(CategoriesTable[Category type],MATCH(Table1[[#This Row],[Category]],CategoriesTable[Category name],0),0),"")</f>
        <v>Expense</v>
      </c>
      <c r="N1203" s="130" t="str" cm="1">
        <f t="array" ref="N1203">IFERROR(INDEX(SubcategoriesTable[Subcategory name],MATCH(Table1[[#This Row],[Category]],SubcategoriesTable[Category name],0),0),"")</f>
        <v>Variable</v>
      </c>
      <c r="O1203" s="130">
        <v>25</v>
      </c>
      <c r="P1203" s="130">
        <f>MONTH(Table1[[#This Row],[Date]])</f>
        <v>1</v>
      </c>
      <c r="Q1203" s="130">
        <v>2020</v>
      </c>
      <c r="R1203" s="166">
        <f>IF(ISBLANK(Table1[[#This Row],[Date]]),"",Table1[[#This Row],[Date]]-WEEKDAY(Table1[[#This Row],[Date]],2)+1)</f>
        <v>43850</v>
      </c>
      <c r="S1203" s="131">
        <f>IF(ISBLANK(Table1[[#This Row],[Date]]),"",DATE(Table1[[#This Row],[Date_Year]],Table1[[#This Row],[Date_Month]],1))</f>
        <v>43831</v>
      </c>
    </row>
    <row r="1204" spans="2:19" ht="15.75" x14ac:dyDescent="0.25">
      <c r="B1204" s="133">
        <v>43855</v>
      </c>
      <c r="C1204" s="128" t="s">
        <v>152</v>
      </c>
      <c r="D1204" s="128" t="s">
        <v>54</v>
      </c>
      <c r="E1204" s="128" t="str" cm="1">
        <f t="array" ref="E1204">IFERROR(INDEX(SubcategoriesTable[Subcategory name],MATCH(Table1[[#This Row],[Category]],SubcategoriesTable[Category name],0),0),"")</f>
        <v>Fixed</v>
      </c>
      <c r="F1204" s="134">
        <v>-15.99</v>
      </c>
      <c r="G1204" s="167" t="str">
        <f>_xlfn.XLOOKUP(Table1[[#This Row],[Account_ID]], Accounts[ID], Accounts[Account nickname], "Unknown")</f>
        <v>EVERYDAY CHECKING</v>
      </c>
      <c r="H1204" s="137" t="str">
        <f>_xlfn.XLOOKUP(Table1[[#This Row],[Account_ID]], Accounts[ID], Accounts[Account'#], "Unknown")</f>
        <v>4636</v>
      </c>
      <c r="I1204" s="168" t="str">
        <f>_xlfn.XLOOKUP(Table1[[#This Row],[Institution_ID]], Institutions[ID], Institutions[Institution nickname], "Unknown")</f>
        <v>Wells Fargo</v>
      </c>
      <c r="J1204" s="139" t="s">
        <v>1906</v>
      </c>
      <c r="K1204" s="129" t="s">
        <v>1229</v>
      </c>
      <c r="L1204" s="129" t="s">
        <v>1228</v>
      </c>
      <c r="M1204" s="130" t="str" cm="1">
        <f t="array" ref="M1204">IFERROR(INDEX(CategoriesTable[Category type],MATCH(Table1[[#This Row],[Category]],CategoriesTable[Category name],0),0),"")</f>
        <v>Expense</v>
      </c>
      <c r="N1204" s="130" t="str" cm="1">
        <f t="array" ref="N1204">IFERROR(INDEX(SubcategoriesTable[Subcategory name],MATCH(Table1[[#This Row],[Category]],SubcategoriesTable[Category name],0),0),"")</f>
        <v>Fixed</v>
      </c>
      <c r="O1204" s="130">
        <v>25</v>
      </c>
      <c r="P1204" s="130">
        <f>MONTH(Table1[[#This Row],[Date]])</f>
        <v>1</v>
      </c>
      <c r="Q1204" s="130">
        <v>2020</v>
      </c>
      <c r="R1204" s="166">
        <f>IF(ISBLANK(Table1[[#This Row],[Date]]),"",Table1[[#This Row],[Date]]-WEEKDAY(Table1[[#This Row],[Date]],2)+1)</f>
        <v>43850</v>
      </c>
      <c r="S1204" s="131">
        <f>IF(ISBLANK(Table1[[#This Row],[Date]]),"",DATE(Table1[[#This Row],[Date_Year]],Table1[[#This Row],[Date_Month]],1))</f>
        <v>43831</v>
      </c>
    </row>
    <row r="1205" spans="2:19" ht="15.75" x14ac:dyDescent="0.25">
      <c r="B1205" s="133">
        <v>43855</v>
      </c>
      <c r="C1205" s="128" t="s">
        <v>590</v>
      </c>
      <c r="D1205" s="128" t="s">
        <v>48</v>
      </c>
      <c r="E1205" s="128" t="str" cm="1">
        <f t="array" ref="E1205">IFERROR(INDEX(SubcategoriesTable[Subcategory name],MATCH(Table1[[#This Row],[Category]],SubcategoriesTable[Category name],0),0),"")</f>
        <v>Variable</v>
      </c>
      <c r="F1205" s="134">
        <v>-89.91</v>
      </c>
      <c r="G1205" s="167" t="str">
        <f>_xlfn.XLOOKUP(Table1[[#This Row],[Account_ID]], Accounts[ID], Accounts[Account nickname], "Unknown")</f>
        <v>EVERYDAY CHECKING</v>
      </c>
      <c r="H1205" s="137" t="str">
        <f>_xlfn.XLOOKUP(Table1[[#This Row],[Account_ID]], Accounts[ID], Accounts[Account'#], "Unknown")</f>
        <v>4636</v>
      </c>
      <c r="I1205" s="168" t="str">
        <f>_xlfn.XLOOKUP(Table1[[#This Row],[Institution_ID]], Institutions[ID], Institutions[Institution nickname], "Unknown")</f>
        <v>Wells Fargo</v>
      </c>
      <c r="J1205" s="139" t="s">
        <v>1907</v>
      </c>
      <c r="K1205" s="129" t="s">
        <v>1229</v>
      </c>
      <c r="L1205" s="129" t="s">
        <v>1228</v>
      </c>
      <c r="M1205" s="130" t="str" cm="1">
        <f t="array" ref="M1205">IFERROR(INDEX(CategoriesTable[Category type],MATCH(Table1[[#This Row],[Category]],CategoriesTable[Category name],0),0),"")</f>
        <v>Expense</v>
      </c>
      <c r="N1205" s="130" t="str" cm="1">
        <f t="array" ref="N1205">IFERROR(INDEX(SubcategoriesTable[Subcategory name],MATCH(Table1[[#This Row],[Category]],SubcategoriesTable[Category name],0),0),"")</f>
        <v>Variable</v>
      </c>
      <c r="O1205" s="130">
        <v>25</v>
      </c>
      <c r="P1205" s="130">
        <f>MONTH(Table1[[#This Row],[Date]])</f>
        <v>1</v>
      </c>
      <c r="Q1205" s="130">
        <v>2020</v>
      </c>
      <c r="R1205" s="166">
        <f>IF(ISBLANK(Table1[[#This Row],[Date]]),"",Table1[[#This Row],[Date]]-WEEKDAY(Table1[[#This Row],[Date]],2)+1)</f>
        <v>43850</v>
      </c>
      <c r="S1205" s="131">
        <f>IF(ISBLANK(Table1[[#This Row],[Date]]),"",DATE(Table1[[#This Row],[Date_Year]],Table1[[#This Row],[Date_Month]],1))</f>
        <v>43831</v>
      </c>
    </row>
    <row r="1206" spans="2:19" ht="15.75" x14ac:dyDescent="0.25">
      <c r="B1206" s="133">
        <v>43854</v>
      </c>
      <c r="C1206" s="128" t="s">
        <v>531</v>
      </c>
      <c r="D1206" s="128" t="s">
        <v>54</v>
      </c>
      <c r="E1206" s="128" t="str" cm="1">
        <f t="array" ref="E1206">IFERROR(INDEX(SubcategoriesTable[Subcategory name],MATCH(Table1[[#This Row],[Category]],SubcategoriesTable[Category name],0),0),"")</f>
        <v>Fixed</v>
      </c>
      <c r="F1206" s="134">
        <v>-4.58</v>
      </c>
      <c r="G1206" s="167" t="str">
        <f>_xlfn.XLOOKUP(Table1[[#This Row],[Account_ID]], Accounts[ID], Accounts[Account nickname], "Unknown")</f>
        <v>EVERYDAY CHECKING</v>
      </c>
      <c r="H1206" s="137" t="str">
        <f>_xlfn.XLOOKUP(Table1[[#This Row],[Account_ID]], Accounts[ID], Accounts[Account'#], "Unknown")</f>
        <v>4636</v>
      </c>
      <c r="I1206" s="168" t="str">
        <f>_xlfn.XLOOKUP(Table1[[#This Row],[Institution_ID]], Institutions[ID], Institutions[Institution nickname], "Unknown")</f>
        <v>Wells Fargo</v>
      </c>
      <c r="J1206" s="139" t="s">
        <v>1908</v>
      </c>
      <c r="K1206" s="129" t="s">
        <v>1229</v>
      </c>
      <c r="L1206" s="129" t="s">
        <v>1228</v>
      </c>
      <c r="M1206" s="130" t="str" cm="1">
        <f t="array" ref="M1206">IFERROR(INDEX(CategoriesTable[Category type],MATCH(Table1[[#This Row],[Category]],CategoriesTable[Category name],0),0),"")</f>
        <v>Expense</v>
      </c>
      <c r="N1206" s="130" t="str" cm="1">
        <f t="array" ref="N1206">IFERROR(INDEX(SubcategoriesTable[Subcategory name],MATCH(Table1[[#This Row],[Category]],SubcategoriesTable[Category name],0),0),"")</f>
        <v>Fixed</v>
      </c>
      <c r="O1206" s="130">
        <v>24</v>
      </c>
      <c r="P1206" s="130">
        <f>MONTH(Table1[[#This Row],[Date]])</f>
        <v>1</v>
      </c>
      <c r="Q1206" s="130">
        <v>2020</v>
      </c>
      <c r="R1206" s="166">
        <f>IF(ISBLANK(Table1[[#This Row],[Date]]),"",Table1[[#This Row],[Date]]-WEEKDAY(Table1[[#This Row],[Date]],2)+1)</f>
        <v>43850</v>
      </c>
      <c r="S1206" s="131">
        <f>IF(ISBLANK(Table1[[#This Row],[Date]]),"",DATE(Table1[[#This Row],[Date_Year]],Table1[[#This Row],[Date_Month]],1))</f>
        <v>43831</v>
      </c>
    </row>
    <row r="1207" spans="2:19" ht="15.75" x14ac:dyDescent="0.25">
      <c r="B1207" s="133">
        <v>43854</v>
      </c>
      <c r="C1207" s="128" t="s">
        <v>661</v>
      </c>
      <c r="D1207" s="128" t="s">
        <v>45</v>
      </c>
      <c r="E1207" s="128" t="str" cm="1">
        <f t="array" ref="E1207">IFERROR(INDEX(SubcategoriesTable[Subcategory name],MATCH(Table1[[#This Row],[Category]],SubcategoriesTable[Category name],0),0),"")</f>
        <v>Variable</v>
      </c>
      <c r="F1207" s="134">
        <v>-12</v>
      </c>
      <c r="G1207" s="167" t="str">
        <f>_xlfn.XLOOKUP(Table1[[#This Row],[Account_ID]], Accounts[ID], Accounts[Account nickname], "Unknown")</f>
        <v>EVERYDAY CHECKING</v>
      </c>
      <c r="H1207" s="137" t="str">
        <f>_xlfn.XLOOKUP(Table1[[#This Row],[Account_ID]], Accounts[ID], Accounts[Account'#], "Unknown")</f>
        <v>4636</v>
      </c>
      <c r="I1207" s="168" t="str">
        <f>_xlfn.XLOOKUP(Table1[[#This Row],[Institution_ID]], Institutions[ID], Institutions[Institution nickname], "Unknown")</f>
        <v>Wells Fargo</v>
      </c>
      <c r="J1207" s="139" t="s">
        <v>1909</v>
      </c>
      <c r="K1207" s="129" t="s">
        <v>1229</v>
      </c>
      <c r="L1207" s="129" t="s">
        <v>1228</v>
      </c>
      <c r="M1207" s="130" t="str" cm="1">
        <f t="array" ref="M1207">IFERROR(INDEX(CategoriesTable[Category type],MATCH(Table1[[#This Row],[Category]],CategoriesTable[Category name],0),0),"")</f>
        <v>Expense</v>
      </c>
      <c r="N1207" s="130" t="str" cm="1">
        <f t="array" ref="N1207">IFERROR(INDEX(SubcategoriesTable[Subcategory name],MATCH(Table1[[#This Row],[Category]],SubcategoriesTable[Category name],0),0),"")</f>
        <v>Variable</v>
      </c>
      <c r="O1207" s="130">
        <v>24</v>
      </c>
      <c r="P1207" s="130">
        <f>MONTH(Table1[[#This Row],[Date]])</f>
        <v>1</v>
      </c>
      <c r="Q1207" s="130">
        <v>2020</v>
      </c>
      <c r="R1207" s="166">
        <f>IF(ISBLANK(Table1[[#This Row],[Date]]),"",Table1[[#This Row],[Date]]-WEEKDAY(Table1[[#This Row],[Date]],2)+1)</f>
        <v>43850</v>
      </c>
      <c r="S1207" s="131">
        <f>IF(ISBLANK(Table1[[#This Row],[Date]]),"",DATE(Table1[[#This Row],[Date_Year]],Table1[[#This Row],[Date_Month]],1))</f>
        <v>43831</v>
      </c>
    </row>
    <row r="1208" spans="2:19" ht="15.75" x14ac:dyDescent="0.25">
      <c r="B1208" s="133">
        <v>43854</v>
      </c>
      <c r="C1208" s="128" t="s">
        <v>1014</v>
      </c>
      <c r="D1208" s="128" t="s">
        <v>54</v>
      </c>
      <c r="E1208" s="128" t="str" cm="1">
        <f t="array" ref="E1208">IFERROR(INDEX(SubcategoriesTable[Subcategory name],MATCH(Table1[[#This Row],[Category]],SubcategoriesTable[Category name],0),0),"")</f>
        <v>Fixed</v>
      </c>
      <c r="F1208" s="134">
        <v>-23.63</v>
      </c>
      <c r="G1208" s="167" t="str">
        <f>_xlfn.XLOOKUP(Table1[[#This Row],[Account_ID]], Accounts[ID], Accounts[Account nickname], "Unknown")</f>
        <v>Discover it chrome Card</v>
      </c>
      <c r="H1208" s="137" t="str">
        <f>_xlfn.XLOOKUP(Table1[[#This Row],[Account_ID]], Accounts[ID], Accounts[Account'#], "Unknown")</f>
        <v>7328</v>
      </c>
      <c r="I1208" s="168" t="str">
        <f>_xlfn.XLOOKUP(Table1[[#This Row],[Institution_ID]], Institutions[ID], Institutions[Institution nickname], "Unknown")</f>
        <v>Discover</v>
      </c>
      <c r="J1208" s="139" t="s">
        <v>1015</v>
      </c>
      <c r="K1208" s="129" t="s">
        <v>110</v>
      </c>
      <c r="L1208" s="129" t="s">
        <v>108</v>
      </c>
      <c r="M1208" s="130" t="str" cm="1">
        <f t="array" ref="M1208">IFERROR(INDEX(CategoriesTable[Category type],MATCH(Table1[[#This Row],[Category]],CategoriesTable[Category name],0),0),"")</f>
        <v>Expense</v>
      </c>
      <c r="N1208" s="130" t="str" cm="1">
        <f t="array" ref="N1208">IFERROR(INDEX(SubcategoriesTable[Subcategory name],MATCH(Table1[[#This Row],[Category]],SubcategoriesTable[Category name],0),0),"")</f>
        <v>Fixed</v>
      </c>
      <c r="O1208" s="130">
        <v>24</v>
      </c>
      <c r="P1208" s="130">
        <f>MONTH(Table1[[#This Row],[Date]])</f>
        <v>1</v>
      </c>
      <c r="Q1208" s="130">
        <v>2020</v>
      </c>
      <c r="R1208" s="166">
        <f>IF(ISBLANK(Table1[[#This Row],[Date]]),"",Table1[[#This Row],[Date]]-WEEKDAY(Table1[[#This Row],[Date]],2)+1)</f>
        <v>43850</v>
      </c>
      <c r="S1208" s="131">
        <f>IF(ISBLANK(Table1[[#This Row],[Date]]),"",DATE(Table1[[#This Row],[Date_Year]],Table1[[#This Row],[Date_Month]],1))</f>
        <v>43831</v>
      </c>
    </row>
    <row r="1209" spans="2:19" ht="15.75" x14ac:dyDescent="0.25">
      <c r="B1209" s="133">
        <v>43853</v>
      </c>
      <c r="C1209" s="128" t="s">
        <v>531</v>
      </c>
      <c r="D1209" s="128" t="s">
        <v>54</v>
      </c>
      <c r="E1209" s="128" t="str" cm="1">
        <f t="array" ref="E1209">IFERROR(INDEX(SubcategoriesTable[Subcategory name],MATCH(Table1[[#This Row],[Category]],SubcategoriesTable[Category name],0),0),"")</f>
        <v>Fixed</v>
      </c>
      <c r="F1209" s="134">
        <v>-2.2999999999999998</v>
      </c>
      <c r="G1209" s="167" t="str">
        <f>_xlfn.XLOOKUP(Table1[[#This Row],[Account_ID]], Accounts[ID], Accounts[Account nickname], "Unknown")</f>
        <v>EVERYDAY CHECKING</v>
      </c>
      <c r="H1209" s="137" t="str">
        <f>_xlfn.XLOOKUP(Table1[[#This Row],[Account_ID]], Accounts[ID], Accounts[Account'#], "Unknown")</f>
        <v>4636</v>
      </c>
      <c r="I1209" s="168" t="str">
        <f>_xlfn.XLOOKUP(Table1[[#This Row],[Institution_ID]], Institutions[ID], Institutions[Institution nickname], "Unknown")</f>
        <v>Wells Fargo</v>
      </c>
      <c r="J1209" s="139" t="s">
        <v>1910</v>
      </c>
      <c r="K1209" s="129" t="s">
        <v>1229</v>
      </c>
      <c r="L1209" s="129" t="s">
        <v>1228</v>
      </c>
      <c r="M1209" s="130" t="str" cm="1">
        <f t="array" ref="M1209">IFERROR(INDEX(CategoriesTable[Category type],MATCH(Table1[[#This Row],[Category]],CategoriesTable[Category name],0),0),"")</f>
        <v>Expense</v>
      </c>
      <c r="N1209" s="130" t="str" cm="1">
        <f t="array" ref="N1209">IFERROR(INDEX(SubcategoriesTable[Subcategory name],MATCH(Table1[[#This Row],[Category]],SubcategoriesTable[Category name],0),0),"")</f>
        <v>Fixed</v>
      </c>
      <c r="O1209" s="130">
        <v>23</v>
      </c>
      <c r="P1209" s="130">
        <f>MONTH(Table1[[#This Row],[Date]])</f>
        <v>1</v>
      </c>
      <c r="Q1209" s="130">
        <v>2020</v>
      </c>
      <c r="R1209" s="166">
        <f>IF(ISBLANK(Table1[[#This Row],[Date]]),"",Table1[[#This Row],[Date]]-WEEKDAY(Table1[[#This Row],[Date]],2)+1)</f>
        <v>43850</v>
      </c>
      <c r="S1209" s="131">
        <f>IF(ISBLANK(Table1[[#This Row],[Date]]),"",DATE(Table1[[#This Row],[Date_Year]],Table1[[#This Row],[Date_Month]],1))</f>
        <v>43831</v>
      </c>
    </row>
    <row r="1210" spans="2:19" ht="15.75" x14ac:dyDescent="0.25">
      <c r="B1210" s="133">
        <v>43853</v>
      </c>
      <c r="C1210" s="128" t="s">
        <v>1911</v>
      </c>
      <c r="D1210" s="128" t="s">
        <v>45</v>
      </c>
      <c r="E1210" s="128" t="str" cm="1">
        <f t="array" ref="E1210">IFERROR(INDEX(SubcategoriesTable[Subcategory name],MATCH(Table1[[#This Row],[Category]],SubcategoriesTable[Category name],0),0),"")</f>
        <v>Variable</v>
      </c>
      <c r="F1210" s="134">
        <v>-16.89</v>
      </c>
      <c r="G1210" s="167" t="str">
        <f>_xlfn.XLOOKUP(Table1[[#This Row],[Account_ID]], Accounts[ID], Accounts[Account nickname], "Unknown")</f>
        <v>EVERYDAY CHECKING</v>
      </c>
      <c r="H1210" s="137" t="str">
        <f>_xlfn.XLOOKUP(Table1[[#This Row],[Account_ID]], Accounts[ID], Accounts[Account'#], "Unknown")</f>
        <v>4636</v>
      </c>
      <c r="I1210" s="168" t="str">
        <f>_xlfn.XLOOKUP(Table1[[#This Row],[Institution_ID]], Institutions[ID], Institutions[Institution nickname], "Unknown")</f>
        <v>Wells Fargo</v>
      </c>
      <c r="J1210" s="139" t="s">
        <v>1912</v>
      </c>
      <c r="K1210" s="129" t="s">
        <v>1229</v>
      </c>
      <c r="L1210" s="129" t="s">
        <v>1228</v>
      </c>
      <c r="M1210" s="130" t="str" cm="1">
        <f t="array" ref="M1210">IFERROR(INDEX(CategoriesTable[Category type],MATCH(Table1[[#This Row],[Category]],CategoriesTable[Category name],0),0),"")</f>
        <v>Expense</v>
      </c>
      <c r="N1210" s="130" t="str" cm="1">
        <f t="array" ref="N1210">IFERROR(INDEX(SubcategoriesTable[Subcategory name],MATCH(Table1[[#This Row],[Category]],SubcategoriesTable[Category name],0),0),"")</f>
        <v>Variable</v>
      </c>
      <c r="O1210" s="130">
        <v>23</v>
      </c>
      <c r="P1210" s="130">
        <f>MONTH(Table1[[#This Row],[Date]])</f>
        <v>1</v>
      </c>
      <c r="Q1210" s="130">
        <v>2020</v>
      </c>
      <c r="R1210" s="166">
        <f>IF(ISBLANK(Table1[[#This Row],[Date]]),"",Table1[[#This Row],[Date]]-WEEKDAY(Table1[[#This Row],[Date]],2)+1)</f>
        <v>43850</v>
      </c>
      <c r="S1210" s="131">
        <f>IF(ISBLANK(Table1[[#This Row],[Date]]),"",DATE(Table1[[#This Row],[Date_Year]],Table1[[#This Row],[Date_Month]],1))</f>
        <v>43831</v>
      </c>
    </row>
    <row r="1211" spans="2:19" ht="15.75" x14ac:dyDescent="0.25">
      <c r="B1211" s="133">
        <v>43853</v>
      </c>
      <c r="C1211" s="128" t="s">
        <v>1913</v>
      </c>
      <c r="D1211" s="128" t="s">
        <v>56</v>
      </c>
      <c r="E1211" s="128" t="str" cm="1">
        <f t="array" ref="E1211">IFERROR(INDEX(SubcategoriesTable[Subcategory name],MATCH(Table1[[#This Row],[Category]],SubcategoriesTable[Category name],0),0),"")</f>
        <v>Variable</v>
      </c>
      <c r="F1211" s="134">
        <v>-1.05</v>
      </c>
      <c r="G1211" s="167" t="str">
        <f>_xlfn.XLOOKUP(Table1[[#This Row],[Account_ID]], Accounts[ID], Accounts[Account nickname], "Unknown")</f>
        <v>EVERYDAY CHECKING</v>
      </c>
      <c r="H1211" s="137" t="str">
        <f>_xlfn.XLOOKUP(Table1[[#This Row],[Account_ID]], Accounts[ID], Accounts[Account'#], "Unknown")</f>
        <v>4636</v>
      </c>
      <c r="I1211" s="168" t="str">
        <f>_xlfn.XLOOKUP(Table1[[#This Row],[Institution_ID]], Institutions[ID], Institutions[Institution nickname], "Unknown")</f>
        <v>Wells Fargo</v>
      </c>
      <c r="J1211" s="139" t="s">
        <v>1914</v>
      </c>
      <c r="K1211" s="129" t="s">
        <v>1229</v>
      </c>
      <c r="L1211" s="129" t="s">
        <v>1228</v>
      </c>
      <c r="M1211" s="130" t="str" cm="1">
        <f t="array" ref="M1211">IFERROR(INDEX(CategoriesTable[Category type],MATCH(Table1[[#This Row],[Category]],CategoriesTable[Category name],0),0),"")</f>
        <v>Expense</v>
      </c>
      <c r="N1211" s="130" t="str" cm="1">
        <f t="array" ref="N1211">IFERROR(INDEX(SubcategoriesTable[Subcategory name],MATCH(Table1[[#This Row],[Category]],SubcategoriesTable[Category name],0),0),"")</f>
        <v>Variable</v>
      </c>
      <c r="O1211" s="130">
        <v>23</v>
      </c>
      <c r="P1211" s="130">
        <f>MONTH(Table1[[#This Row],[Date]])</f>
        <v>1</v>
      </c>
      <c r="Q1211" s="130">
        <v>2020</v>
      </c>
      <c r="R1211" s="166">
        <f>IF(ISBLANK(Table1[[#This Row],[Date]]),"",Table1[[#This Row],[Date]]-WEEKDAY(Table1[[#This Row],[Date]],2)+1)</f>
        <v>43850</v>
      </c>
      <c r="S1211" s="131">
        <f>IF(ISBLANK(Table1[[#This Row],[Date]]),"",DATE(Table1[[#This Row],[Date_Year]],Table1[[#This Row],[Date_Month]],1))</f>
        <v>43831</v>
      </c>
    </row>
    <row r="1212" spans="2:19" ht="15.75" x14ac:dyDescent="0.25">
      <c r="B1212" s="133">
        <v>43853</v>
      </c>
      <c r="C1212" s="128" t="s">
        <v>508</v>
      </c>
      <c r="D1212" s="128" t="s">
        <v>50</v>
      </c>
      <c r="E1212" s="128" t="str" cm="1">
        <f t="array" ref="E1212">IFERROR(INDEX(SubcategoriesTable[Subcategory name],MATCH(Table1[[#This Row],[Category]],SubcategoriesTable[Category name],0),0),"")</f>
        <v>Variable</v>
      </c>
      <c r="F1212" s="134">
        <v>-100</v>
      </c>
      <c r="G1212" s="167" t="str">
        <f>_xlfn.XLOOKUP(Table1[[#This Row],[Account_ID]], Accounts[ID], Accounts[Account nickname], "Unknown")</f>
        <v>EVERYDAY CHECKING</v>
      </c>
      <c r="H1212" s="137" t="str">
        <f>_xlfn.XLOOKUP(Table1[[#This Row],[Account_ID]], Accounts[ID], Accounts[Account'#], "Unknown")</f>
        <v>4636</v>
      </c>
      <c r="I1212" s="168" t="str">
        <f>_xlfn.XLOOKUP(Table1[[#This Row],[Institution_ID]], Institutions[ID], Institutions[Institution nickname], "Unknown")</f>
        <v>Wells Fargo</v>
      </c>
      <c r="J1212" s="139" t="s">
        <v>1915</v>
      </c>
      <c r="K1212" s="129" t="s">
        <v>1229</v>
      </c>
      <c r="L1212" s="129" t="s">
        <v>1228</v>
      </c>
      <c r="M1212" s="130" t="str" cm="1">
        <f t="array" ref="M1212">IFERROR(INDEX(CategoriesTable[Category type],MATCH(Table1[[#This Row],[Category]],CategoriesTable[Category name],0),0),"")</f>
        <v>Transfer</v>
      </c>
      <c r="N1212" s="130" t="str" cm="1">
        <f t="array" ref="N1212">IFERROR(INDEX(SubcategoriesTable[Subcategory name],MATCH(Table1[[#This Row],[Category]],SubcategoriesTable[Category name],0),0),"")</f>
        <v>Variable</v>
      </c>
      <c r="O1212" s="130">
        <v>23</v>
      </c>
      <c r="P1212" s="130">
        <f>MONTH(Table1[[#This Row],[Date]])</f>
        <v>1</v>
      </c>
      <c r="Q1212" s="130">
        <v>2020</v>
      </c>
      <c r="R1212" s="166">
        <f>IF(ISBLANK(Table1[[#This Row],[Date]]),"",Table1[[#This Row],[Date]]-WEEKDAY(Table1[[#This Row],[Date]],2)+1)</f>
        <v>43850</v>
      </c>
      <c r="S1212" s="131">
        <f>IF(ISBLANK(Table1[[#This Row],[Date]]),"",DATE(Table1[[#This Row],[Date_Year]],Table1[[#This Row],[Date_Month]],1))</f>
        <v>43831</v>
      </c>
    </row>
    <row r="1213" spans="2:19" ht="15.75" x14ac:dyDescent="0.25">
      <c r="B1213" s="133">
        <v>43853</v>
      </c>
      <c r="C1213" s="128" t="s">
        <v>1016</v>
      </c>
      <c r="D1213" s="128" t="s">
        <v>49</v>
      </c>
      <c r="E1213" s="128" t="str" cm="1">
        <f t="array" ref="E1213">IFERROR(INDEX(SubcategoriesTable[Subcategory name],MATCH(Table1[[#This Row],[Category]],SubcategoriesTable[Category name],0),0),"")</f>
        <v>Variable</v>
      </c>
      <c r="F1213" s="134">
        <v>-310.41000000000003</v>
      </c>
      <c r="G1213" s="167" t="str">
        <f>_xlfn.XLOOKUP(Table1[[#This Row],[Account_ID]], Accounts[ID], Accounts[Account nickname], "Unknown")</f>
        <v>Discover it chrome Card</v>
      </c>
      <c r="H1213" s="137" t="str">
        <f>_xlfn.XLOOKUP(Table1[[#This Row],[Account_ID]], Accounts[ID], Accounts[Account'#], "Unknown")</f>
        <v>7328</v>
      </c>
      <c r="I1213" s="168" t="str">
        <f>_xlfn.XLOOKUP(Table1[[#This Row],[Institution_ID]], Institutions[ID], Institutions[Institution nickname], "Unknown")</f>
        <v>Discover</v>
      </c>
      <c r="J1213" s="139" t="s">
        <v>1017</v>
      </c>
      <c r="K1213" s="129" t="s">
        <v>110</v>
      </c>
      <c r="L1213" s="129" t="s">
        <v>108</v>
      </c>
      <c r="M1213" s="130" t="str" cm="1">
        <f t="array" ref="M1213">IFERROR(INDEX(CategoriesTable[Category type],MATCH(Table1[[#This Row],[Category]],CategoriesTable[Category name],0),0),"")</f>
        <v>Expense</v>
      </c>
      <c r="N1213" s="130" t="str" cm="1">
        <f t="array" ref="N1213">IFERROR(INDEX(SubcategoriesTable[Subcategory name],MATCH(Table1[[#This Row],[Category]],SubcategoriesTable[Category name],0),0),"")</f>
        <v>Variable</v>
      </c>
      <c r="O1213" s="130">
        <v>23</v>
      </c>
      <c r="P1213" s="130">
        <f>MONTH(Table1[[#This Row],[Date]])</f>
        <v>1</v>
      </c>
      <c r="Q1213" s="130">
        <v>2020</v>
      </c>
      <c r="R1213" s="166">
        <f>IF(ISBLANK(Table1[[#This Row],[Date]]),"",Table1[[#This Row],[Date]]-WEEKDAY(Table1[[#This Row],[Date]],2)+1)</f>
        <v>43850</v>
      </c>
      <c r="S1213" s="131">
        <f>IF(ISBLANK(Table1[[#This Row],[Date]]),"",DATE(Table1[[#This Row],[Date_Year]],Table1[[#This Row],[Date_Month]],1))</f>
        <v>43831</v>
      </c>
    </row>
    <row r="1214" spans="2:19" ht="15.75" x14ac:dyDescent="0.25">
      <c r="B1214" s="133">
        <v>43852</v>
      </c>
      <c r="C1214" s="128" t="s">
        <v>1180</v>
      </c>
      <c r="D1214" s="128" t="s">
        <v>50</v>
      </c>
      <c r="E1214" s="128" t="str" cm="1">
        <f t="array" ref="E1214">IFERROR(INDEX(SubcategoriesTable[Subcategory name],MATCH(Table1[[#This Row],[Category]],SubcategoriesTable[Category name],0),0),"")</f>
        <v>Variable</v>
      </c>
      <c r="F1214" s="134">
        <v>-189.87</v>
      </c>
      <c r="G1214" s="167" t="str">
        <f>_xlfn.XLOOKUP(Table1[[#This Row],[Account_ID]], Accounts[ID], Accounts[Account nickname], "Unknown")</f>
        <v>EVERYDAY CHECKING</v>
      </c>
      <c r="H1214" s="137" t="str">
        <f>_xlfn.XLOOKUP(Table1[[#This Row],[Account_ID]], Accounts[ID], Accounts[Account'#], "Unknown")</f>
        <v>4636</v>
      </c>
      <c r="I1214" s="168" t="str">
        <f>_xlfn.XLOOKUP(Table1[[#This Row],[Institution_ID]], Institutions[ID], Institutions[Institution nickname], "Unknown")</f>
        <v>Wells Fargo</v>
      </c>
      <c r="J1214" s="139" t="s">
        <v>1916</v>
      </c>
      <c r="K1214" s="129" t="s">
        <v>1229</v>
      </c>
      <c r="L1214" s="129" t="s">
        <v>1228</v>
      </c>
      <c r="M1214" s="130" t="str" cm="1">
        <f t="array" ref="M1214">IFERROR(INDEX(CategoriesTable[Category type],MATCH(Table1[[#This Row],[Category]],CategoriesTable[Category name],0),0),"")</f>
        <v>Transfer</v>
      </c>
      <c r="N1214" s="130" t="str" cm="1">
        <f t="array" ref="N1214">IFERROR(INDEX(SubcategoriesTable[Subcategory name],MATCH(Table1[[#This Row],[Category]],SubcategoriesTable[Category name],0),0),"")</f>
        <v>Variable</v>
      </c>
      <c r="O1214" s="130">
        <v>22</v>
      </c>
      <c r="P1214" s="130">
        <f>MONTH(Table1[[#This Row],[Date]])</f>
        <v>1</v>
      </c>
      <c r="Q1214" s="130">
        <v>2020</v>
      </c>
      <c r="R1214" s="166">
        <f>IF(ISBLANK(Table1[[#This Row],[Date]]),"",Table1[[#This Row],[Date]]-WEEKDAY(Table1[[#This Row],[Date]],2)+1)</f>
        <v>43850</v>
      </c>
      <c r="S1214" s="131">
        <f>IF(ISBLANK(Table1[[#This Row],[Date]]),"",DATE(Table1[[#This Row],[Date_Year]],Table1[[#This Row],[Date_Month]],1))</f>
        <v>43831</v>
      </c>
    </row>
    <row r="1215" spans="2:19" ht="15.75" x14ac:dyDescent="0.25">
      <c r="B1215" s="133">
        <v>43852</v>
      </c>
      <c r="C1215" s="128" t="s">
        <v>1470</v>
      </c>
      <c r="D1215" s="128" t="s">
        <v>50</v>
      </c>
      <c r="E1215" s="128" t="str" cm="1">
        <f t="array" ref="E1215">IFERROR(INDEX(SubcategoriesTable[Subcategory name],MATCH(Table1[[#This Row],[Category]],SubcategoriesTable[Category name],0),0),"")</f>
        <v>Variable</v>
      </c>
      <c r="F1215" s="134">
        <v>20</v>
      </c>
      <c r="G1215" s="167" t="str">
        <f>_xlfn.XLOOKUP(Table1[[#This Row],[Account_ID]], Accounts[ID], Accounts[Account nickname], "Unknown")</f>
        <v>EVERYDAY CHECKING</v>
      </c>
      <c r="H1215" s="137" t="str">
        <f>_xlfn.XLOOKUP(Table1[[#This Row],[Account_ID]], Accounts[ID], Accounts[Account'#], "Unknown")</f>
        <v>4636</v>
      </c>
      <c r="I1215" s="168" t="str">
        <f>_xlfn.XLOOKUP(Table1[[#This Row],[Institution_ID]], Institutions[ID], Institutions[Institution nickname], "Unknown")</f>
        <v>Wells Fargo</v>
      </c>
      <c r="J1215" s="139" t="s">
        <v>1917</v>
      </c>
      <c r="K1215" s="129" t="s">
        <v>1229</v>
      </c>
      <c r="L1215" s="129" t="s">
        <v>1228</v>
      </c>
      <c r="M1215" s="130" t="str" cm="1">
        <f t="array" ref="M1215">IFERROR(INDEX(CategoriesTable[Category type],MATCH(Table1[[#This Row],[Category]],CategoriesTable[Category name],0),0),"")</f>
        <v>Transfer</v>
      </c>
      <c r="N1215" s="130" t="str" cm="1">
        <f t="array" ref="N1215">IFERROR(INDEX(SubcategoriesTable[Subcategory name],MATCH(Table1[[#This Row],[Category]],SubcategoriesTable[Category name],0),0),"")</f>
        <v>Variable</v>
      </c>
      <c r="O1215" s="130">
        <v>22</v>
      </c>
      <c r="P1215" s="130">
        <f>MONTH(Table1[[#This Row],[Date]])</f>
        <v>1</v>
      </c>
      <c r="Q1215" s="130">
        <v>2020</v>
      </c>
      <c r="R1215" s="166">
        <f>IF(ISBLANK(Table1[[#This Row],[Date]]),"",Table1[[#This Row],[Date]]-WEEKDAY(Table1[[#This Row],[Date]],2)+1)</f>
        <v>43850</v>
      </c>
      <c r="S1215" s="131">
        <f>IF(ISBLANK(Table1[[#This Row],[Date]]),"",DATE(Table1[[#This Row],[Date_Year]],Table1[[#This Row],[Date_Month]],1))</f>
        <v>43831</v>
      </c>
    </row>
    <row r="1216" spans="2:19" ht="15.75" x14ac:dyDescent="0.25">
      <c r="B1216" s="133">
        <v>43852</v>
      </c>
      <c r="C1216" s="128" t="s">
        <v>1470</v>
      </c>
      <c r="D1216" s="128" t="s">
        <v>50</v>
      </c>
      <c r="E1216" s="128" t="str" cm="1">
        <f t="array" ref="E1216">IFERROR(INDEX(SubcategoriesTable[Subcategory name],MATCH(Table1[[#This Row],[Category]],SubcategoriesTable[Category name],0),0),"")</f>
        <v>Variable</v>
      </c>
      <c r="F1216" s="134">
        <v>20</v>
      </c>
      <c r="G1216" s="167" t="str">
        <f>_xlfn.XLOOKUP(Table1[[#This Row],[Account_ID]], Accounts[ID], Accounts[Account nickname], "Unknown")</f>
        <v>EVERYDAY CHECKING</v>
      </c>
      <c r="H1216" s="137" t="str">
        <f>_xlfn.XLOOKUP(Table1[[#This Row],[Account_ID]], Accounts[ID], Accounts[Account'#], "Unknown")</f>
        <v>4636</v>
      </c>
      <c r="I1216" s="168" t="str">
        <f>_xlfn.XLOOKUP(Table1[[#This Row],[Institution_ID]], Institutions[ID], Institutions[Institution nickname], "Unknown")</f>
        <v>Wells Fargo</v>
      </c>
      <c r="J1216" s="139" t="s">
        <v>1918</v>
      </c>
      <c r="K1216" s="129" t="s">
        <v>1229</v>
      </c>
      <c r="L1216" s="129" t="s">
        <v>1228</v>
      </c>
      <c r="M1216" s="130" t="str" cm="1">
        <f t="array" ref="M1216">IFERROR(INDEX(CategoriesTable[Category type],MATCH(Table1[[#This Row],[Category]],CategoriesTable[Category name],0),0),"")</f>
        <v>Transfer</v>
      </c>
      <c r="N1216" s="130" t="str" cm="1">
        <f t="array" ref="N1216">IFERROR(INDEX(SubcategoriesTable[Subcategory name],MATCH(Table1[[#This Row],[Category]],SubcategoriesTable[Category name],0),0),"")</f>
        <v>Variable</v>
      </c>
      <c r="O1216" s="130">
        <v>22</v>
      </c>
      <c r="P1216" s="130">
        <f>MONTH(Table1[[#This Row],[Date]])</f>
        <v>1</v>
      </c>
      <c r="Q1216" s="130">
        <v>2020</v>
      </c>
      <c r="R1216" s="166">
        <f>IF(ISBLANK(Table1[[#This Row],[Date]]),"",Table1[[#This Row],[Date]]-WEEKDAY(Table1[[#This Row],[Date]],2)+1)</f>
        <v>43850</v>
      </c>
      <c r="S1216" s="131">
        <f>IF(ISBLANK(Table1[[#This Row],[Date]]),"",DATE(Table1[[#This Row],[Date_Year]],Table1[[#This Row],[Date_Month]],1))</f>
        <v>43831</v>
      </c>
    </row>
    <row r="1217" spans="2:19" ht="15.75" x14ac:dyDescent="0.25">
      <c r="B1217" s="133">
        <v>43852</v>
      </c>
      <c r="C1217" s="128" t="s">
        <v>148</v>
      </c>
      <c r="D1217" s="128" t="s">
        <v>54</v>
      </c>
      <c r="E1217" s="128" t="str" cm="1">
        <f t="array" ref="E1217">IFERROR(INDEX(SubcategoriesTable[Subcategory name],MATCH(Table1[[#This Row],[Category]],SubcategoriesTable[Category name],0),0),"")</f>
        <v>Fixed</v>
      </c>
      <c r="F1217" s="134">
        <v>-9.99</v>
      </c>
      <c r="G1217" s="167" t="str">
        <f>_xlfn.XLOOKUP(Table1[[#This Row],[Account_ID]], Accounts[ID], Accounts[Account nickname], "Unknown")</f>
        <v>EVERYDAY CHECKING</v>
      </c>
      <c r="H1217" s="137" t="str">
        <f>_xlfn.XLOOKUP(Table1[[#This Row],[Account_ID]], Accounts[ID], Accounts[Account'#], "Unknown")</f>
        <v>4636</v>
      </c>
      <c r="I1217" s="168" t="str">
        <f>_xlfn.XLOOKUP(Table1[[#This Row],[Institution_ID]], Institutions[ID], Institutions[Institution nickname], "Unknown")</f>
        <v>Wells Fargo</v>
      </c>
      <c r="J1217" s="171" t="s">
        <v>1919</v>
      </c>
      <c r="K1217" s="129" t="s">
        <v>1229</v>
      </c>
      <c r="L1217" s="129" t="s">
        <v>1228</v>
      </c>
      <c r="M1217" s="130" t="str" cm="1">
        <f t="array" ref="M1217">IFERROR(INDEX(CategoriesTable[Category type],MATCH(Table1[[#This Row],[Category]],CategoriesTable[Category name],0),0),"")</f>
        <v>Expense</v>
      </c>
      <c r="N1217" s="130" t="str" cm="1">
        <f t="array" ref="N1217">IFERROR(INDEX(SubcategoriesTable[Subcategory name],MATCH(Table1[[#This Row],[Category]],SubcategoriesTable[Category name],0),0),"")</f>
        <v>Fixed</v>
      </c>
      <c r="O1217" s="130">
        <v>22</v>
      </c>
      <c r="P1217" s="130">
        <f>MONTH(Table1[[#This Row],[Date]])</f>
        <v>1</v>
      </c>
      <c r="Q1217" s="130">
        <v>2020</v>
      </c>
      <c r="R1217" s="166">
        <f>IF(ISBLANK(Table1[[#This Row],[Date]]),"",Table1[[#This Row],[Date]]-WEEKDAY(Table1[[#This Row],[Date]],2)+1)</f>
        <v>43850</v>
      </c>
      <c r="S1217" s="131">
        <f>IF(ISBLANK(Table1[[#This Row],[Date]]),"",DATE(Table1[[#This Row],[Date_Year]],Table1[[#This Row],[Date_Month]],1))</f>
        <v>43831</v>
      </c>
    </row>
    <row r="1218" spans="2:19" ht="15.75" x14ac:dyDescent="0.25">
      <c r="B1218" s="133">
        <v>43851</v>
      </c>
      <c r="C1218" s="128" t="s">
        <v>496</v>
      </c>
      <c r="D1218" s="128" t="s">
        <v>45</v>
      </c>
      <c r="E1218" s="128" t="str" cm="1">
        <f t="array" ref="E1218">IFERROR(INDEX(SubcategoriesTable[Subcategory name],MATCH(Table1[[#This Row],[Category]],SubcategoriesTable[Category name],0),0),"")</f>
        <v>Variable</v>
      </c>
      <c r="F1218" s="134">
        <v>-7.97</v>
      </c>
      <c r="G1218" s="167" t="str">
        <f>_xlfn.XLOOKUP(Table1[[#This Row],[Account_ID]], Accounts[ID], Accounts[Account nickname], "Unknown")</f>
        <v>EVERYDAY CHECKING</v>
      </c>
      <c r="H1218" s="137" t="str">
        <f>_xlfn.XLOOKUP(Table1[[#This Row],[Account_ID]], Accounts[ID], Accounts[Account'#], "Unknown")</f>
        <v>4636</v>
      </c>
      <c r="I1218" s="168" t="str">
        <f>_xlfn.XLOOKUP(Table1[[#This Row],[Institution_ID]], Institutions[ID], Institutions[Institution nickname], "Unknown")</f>
        <v>Wells Fargo</v>
      </c>
      <c r="J1218" s="139" t="s">
        <v>1920</v>
      </c>
      <c r="K1218" s="129" t="s">
        <v>1229</v>
      </c>
      <c r="L1218" s="129" t="s">
        <v>1228</v>
      </c>
      <c r="M1218" s="130" t="str" cm="1">
        <f t="array" ref="M1218">IFERROR(INDEX(CategoriesTable[Category type],MATCH(Table1[[#This Row],[Category]],CategoriesTable[Category name],0),0),"")</f>
        <v>Expense</v>
      </c>
      <c r="N1218" s="130" t="str" cm="1">
        <f t="array" ref="N1218">IFERROR(INDEX(SubcategoriesTable[Subcategory name],MATCH(Table1[[#This Row],[Category]],SubcategoriesTable[Category name],0),0),"")</f>
        <v>Variable</v>
      </c>
      <c r="O1218" s="130">
        <v>21</v>
      </c>
      <c r="P1218" s="130">
        <f>MONTH(Table1[[#This Row],[Date]])</f>
        <v>1</v>
      </c>
      <c r="Q1218" s="130">
        <v>2020</v>
      </c>
      <c r="R1218" s="166">
        <f>IF(ISBLANK(Table1[[#This Row],[Date]]),"",Table1[[#This Row],[Date]]-WEEKDAY(Table1[[#This Row],[Date]],2)+1)</f>
        <v>43850</v>
      </c>
      <c r="S1218" s="131">
        <f>IF(ISBLANK(Table1[[#This Row],[Date]]),"",DATE(Table1[[#This Row],[Date_Year]],Table1[[#This Row],[Date_Month]],1))</f>
        <v>43831</v>
      </c>
    </row>
    <row r="1219" spans="2:19" ht="15.75" x14ac:dyDescent="0.25">
      <c r="B1219" s="133">
        <v>43851</v>
      </c>
      <c r="C1219" s="128" t="s">
        <v>1652</v>
      </c>
      <c r="D1219" s="128" t="s">
        <v>2369</v>
      </c>
      <c r="E1219" s="128" t="str" cm="1">
        <f t="array" ref="E1219">IFERROR(INDEX(SubcategoriesTable[Subcategory name],MATCH(Table1[[#This Row],[Category]],SubcategoriesTable[Category name],0),0),"")</f>
        <v>Variable</v>
      </c>
      <c r="F1219" s="134">
        <v>-151.56</v>
      </c>
      <c r="G1219" s="167" t="str">
        <f>_xlfn.XLOOKUP(Table1[[#This Row],[Account_ID]], Accounts[ID], Accounts[Account nickname], "Unknown")</f>
        <v>EVERYDAY CHECKING</v>
      </c>
      <c r="H1219" s="137" t="str">
        <f>_xlfn.XLOOKUP(Table1[[#This Row],[Account_ID]], Accounts[ID], Accounts[Account'#], "Unknown")</f>
        <v>4636</v>
      </c>
      <c r="I1219" s="168" t="str">
        <f>_xlfn.XLOOKUP(Table1[[#This Row],[Institution_ID]], Institutions[ID], Institutions[Institution nickname], "Unknown")</f>
        <v>Wells Fargo</v>
      </c>
      <c r="J1219" s="139" t="s">
        <v>1921</v>
      </c>
      <c r="K1219" s="129" t="s">
        <v>1229</v>
      </c>
      <c r="L1219" s="129" t="s">
        <v>1228</v>
      </c>
      <c r="M1219" s="130" t="str" cm="1">
        <f t="array" ref="M1219">IFERROR(INDEX(CategoriesTable[Category type],MATCH(Table1[[#This Row],[Category]],CategoriesTable[Category name],0),0),"")</f>
        <v>Expense</v>
      </c>
      <c r="N1219" s="130" t="str" cm="1">
        <f t="array" ref="N1219">IFERROR(INDEX(SubcategoriesTable[Subcategory name],MATCH(Table1[[#This Row],[Category]],SubcategoriesTable[Category name],0),0),"")</f>
        <v>Variable</v>
      </c>
      <c r="O1219" s="130">
        <v>21</v>
      </c>
      <c r="P1219" s="130">
        <f>MONTH(Table1[[#This Row],[Date]])</f>
        <v>1</v>
      </c>
      <c r="Q1219" s="130">
        <v>2020</v>
      </c>
      <c r="R1219" s="166">
        <f>IF(ISBLANK(Table1[[#This Row],[Date]]),"",Table1[[#This Row],[Date]]-WEEKDAY(Table1[[#This Row],[Date]],2)+1)</f>
        <v>43850</v>
      </c>
      <c r="S1219" s="131">
        <f>IF(ISBLANK(Table1[[#This Row],[Date]]),"",DATE(Table1[[#This Row],[Date_Year]],Table1[[#This Row],[Date_Month]],1))</f>
        <v>43831</v>
      </c>
    </row>
    <row r="1220" spans="2:19" ht="15.75" x14ac:dyDescent="0.25">
      <c r="B1220" s="133">
        <v>43851</v>
      </c>
      <c r="C1220" s="128" t="s">
        <v>427</v>
      </c>
      <c r="D1220" s="128" t="s">
        <v>52</v>
      </c>
      <c r="E1220" s="128" t="str" cm="1">
        <f t="array" ref="E1220">IFERROR(INDEX(SubcategoriesTable[Subcategory name],MATCH(Table1[[#This Row],[Category]],SubcategoriesTable[Category name],0),0),"")</f>
        <v>Variable</v>
      </c>
      <c r="F1220" s="134">
        <v>-24.23</v>
      </c>
      <c r="G1220" s="167" t="str">
        <f>_xlfn.XLOOKUP(Table1[[#This Row],[Account_ID]], Accounts[ID], Accounts[Account nickname], "Unknown")</f>
        <v>EVERYDAY CHECKING</v>
      </c>
      <c r="H1220" s="137" t="str">
        <f>_xlfn.XLOOKUP(Table1[[#This Row],[Account_ID]], Accounts[ID], Accounts[Account'#], "Unknown")</f>
        <v>4636</v>
      </c>
      <c r="I1220" s="168" t="str">
        <f>_xlfn.XLOOKUP(Table1[[#This Row],[Institution_ID]], Institutions[ID], Institutions[Institution nickname], "Unknown")</f>
        <v>Wells Fargo</v>
      </c>
      <c r="J1220" s="139" t="s">
        <v>1922</v>
      </c>
      <c r="K1220" s="129" t="s">
        <v>1229</v>
      </c>
      <c r="L1220" s="129" t="s">
        <v>1228</v>
      </c>
      <c r="M1220" s="130" t="str" cm="1">
        <f t="array" ref="M1220">IFERROR(INDEX(CategoriesTable[Category type],MATCH(Table1[[#This Row],[Category]],CategoriesTable[Category name],0),0),"")</f>
        <v>Expense</v>
      </c>
      <c r="N1220" s="130" t="str" cm="1">
        <f t="array" ref="N1220">IFERROR(INDEX(SubcategoriesTable[Subcategory name],MATCH(Table1[[#This Row],[Category]],SubcategoriesTable[Category name],0),0),"")</f>
        <v>Variable</v>
      </c>
      <c r="O1220" s="130">
        <v>21</v>
      </c>
      <c r="P1220" s="130">
        <f>MONTH(Table1[[#This Row],[Date]])</f>
        <v>1</v>
      </c>
      <c r="Q1220" s="130">
        <v>2020</v>
      </c>
      <c r="R1220" s="166">
        <f>IF(ISBLANK(Table1[[#This Row],[Date]]),"",Table1[[#This Row],[Date]]-WEEKDAY(Table1[[#This Row],[Date]],2)+1)</f>
        <v>43850</v>
      </c>
      <c r="S1220" s="131">
        <f>IF(ISBLANK(Table1[[#This Row],[Date]]),"",DATE(Table1[[#This Row],[Date_Year]],Table1[[#This Row],[Date_Month]],1))</f>
        <v>43831</v>
      </c>
    </row>
    <row r="1221" spans="2:19" ht="15.75" x14ac:dyDescent="0.25">
      <c r="B1221" s="133">
        <v>43851</v>
      </c>
      <c r="C1221" s="128" t="s">
        <v>206</v>
      </c>
      <c r="D1221" s="128" t="s">
        <v>57</v>
      </c>
      <c r="E1221" s="128" t="str" cm="1">
        <f t="array" ref="E1221">IFERROR(INDEX(SubcategoriesTable[Subcategory name],MATCH(Table1[[#This Row],[Category]],SubcategoriesTable[Category name],0),0),"")</f>
        <v>Variable</v>
      </c>
      <c r="F1221" s="134">
        <v>10.130000000000001</v>
      </c>
      <c r="G1221" s="167" t="str">
        <f>_xlfn.XLOOKUP(Table1[[#This Row],[Account_ID]], Accounts[ID], Accounts[Account nickname], "Unknown")</f>
        <v>Discover it chrome Card</v>
      </c>
      <c r="H1221" s="137" t="str">
        <f>_xlfn.XLOOKUP(Table1[[#This Row],[Account_ID]], Accounts[ID], Accounts[Account'#], "Unknown")</f>
        <v>7328</v>
      </c>
      <c r="I1221" s="168" t="str">
        <f>_xlfn.XLOOKUP(Table1[[#This Row],[Institution_ID]], Institutions[ID], Institutions[Institution nickname], "Unknown")</f>
        <v>Discover</v>
      </c>
      <c r="J1221" s="139" t="s">
        <v>1018</v>
      </c>
      <c r="K1221" s="129" t="s">
        <v>110</v>
      </c>
      <c r="L1221" s="129" t="s">
        <v>108</v>
      </c>
      <c r="M1221" s="130" t="str" cm="1">
        <f t="array" ref="M1221">IFERROR(INDEX(CategoriesTable[Category type],MATCH(Table1[[#This Row],[Category]],CategoriesTable[Category name],0),0),"")</f>
        <v>Transfer</v>
      </c>
      <c r="N1221" s="130" t="str" cm="1">
        <f t="array" ref="N1221">IFERROR(INDEX(SubcategoriesTable[Subcategory name],MATCH(Table1[[#This Row],[Category]],SubcategoriesTable[Category name],0),0),"")</f>
        <v>Variable</v>
      </c>
      <c r="O1221" s="130">
        <v>21</v>
      </c>
      <c r="P1221" s="130">
        <f>MONTH(Table1[[#This Row],[Date]])</f>
        <v>1</v>
      </c>
      <c r="Q1221" s="130">
        <v>2020</v>
      </c>
      <c r="R1221" s="166">
        <f>IF(ISBLANK(Table1[[#This Row],[Date]]),"",Table1[[#This Row],[Date]]-WEEKDAY(Table1[[#This Row],[Date]],2)+1)</f>
        <v>43850</v>
      </c>
      <c r="S1221" s="131">
        <f>IF(ISBLANK(Table1[[#This Row],[Date]]),"",DATE(Table1[[#This Row],[Date_Year]],Table1[[#This Row],[Date_Month]],1))</f>
        <v>43831</v>
      </c>
    </row>
    <row r="1222" spans="2:19" ht="15.75" x14ac:dyDescent="0.25">
      <c r="B1222" s="133">
        <v>43851</v>
      </c>
      <c r="C1222" s="128" t="s">
        <v>113</v>
      </c>
      <c r="D1222" s="128" t="s">
        <v>50</v>
      </c>
      <c r="E1222" s="128" t="str" cm="1">
        <f t="array" ref="E1222">IFERROR(INDEX(SubcategoriesTable[Subcategory name],MATCH(Table1[[#This Row],[Category]],SubcategoriesTable[Category name],0),0),"")</f>
        <v>Variable</v>
      </c>
      <c r="F1222" s="134">
        <v>189.87</v>
      </c>
      <c r="G1222" s="167" t="str">
        <f>_xlfn.XLOOKUP(Table1[[#This Row],[Account_ID]], Accounts[ID], Accounts[Account nickname], "Unknown")</f>
        <v>Discover it chrome Card</v>
      </c>
      <c r="H1222" s="137" t="str">
        <f>_xlfn.XLOOKUP(Table1[[#This Row],[Account_ID]], Accounts[ID], Accounts[Account'#], "Unknown")</f>
        <v>7328</v>
      </c>
      <c r="I1222" s="168" t="str">
        <f>_xlfn.XLOOKUP(Table1[[#This Row],[Institution_ID]], Institutions[ID], Institutions[Institution nickname], "Unknown")</f>
        <v>Discover</v>
      </c>
      <c r="J1222" s="139" t="s">
        <v>1019</v>
      </c>
      <c r="K1222" s="129" t="s">
        <v>110</v>
      </c>
      <c r="L1222" s="129" t="s">
        <v>108</v>
      </c>
      <c r="M1222" s="130" t="str" cm="1">
        <f t="array" ref="M1222">IFERROR(INDEX(CategoriesTable[Category type],MATCH(Table1[[#This Row],[Category]],CategoriesTable[Category name],0),0),"")</f>
        <v>Transfer</v>
      </c>
      <c r="N1222" s="130" t="str" cm="1">
        <f t="array" ref="N1222">IFERROR(INDEX(SubcategoriesTable[Subcategory name],MATCH(Table1[[#This Row],[Category]],SubcategoriesTable[Category name],0),0),"")</f>
        <v>Variable</v>
      </c>
      <c r="O1222" s="130">
        <v>21</v>
      </c>
      <c r="P1222" s="130">
        <f>MONTH(Table1[[#This Row],[Date]])</f>
        <v>1</v>
      </c>
      <c r="Q1222" s="130">
        <v>2020</v>
      </c>
      <c r="R1222" s="166">
        <f>IF(ISBLANK(Table1[[#This Row],[Date]]),"",Table1[[#This Row],[Date]]-WEEKDAY(Table1[[#This Row],[Date]],2)+1)</f>
        <v>43850</v>
      </c>
      <c r="S1222" s="131">
        <f>IF(ISBLANK(Table1[[#This Row],[Date]]),"",DATE(Table1[[#This Row],[Date_Year]],Table1[[#This Row],[Date_Month]],1))</f>
        <v>43831</v>
      </c>
    </row>
    <row r="1223" spans="2:19" ht="15.75" x14ac:dyDescent="0.25">
      <c r="B1223" s="133">
        <v>43850</v>
      </c>
      <c r="C1223" s="128" t="s">
        <v>1923</v>
      </c>
      <c r="D1223" s="128" t="s">
        <v>45</v>
      </c>
      <c r="E1223" s="128" t="str" cm="1">
        <f t="array" ref="E1223">IFERROR(INDEX(SubcategoriesTable[Subcategory name],MATCH(Table1[[#This Row],[Category]],SubcategoriesTable[Category name],0),0),"")</f>
        <v>Variable</v>
      </c>
      <c r="F1223" s="134">
        <v>-16.57</v>
      </c>
      <c r="G1223" s="167" t="str">
        <f>_xlfn.XLOOKUP(Table1[[#This Row],[Account_ID]], Accounts[ID], Accounts[Account nickname], "Unknown")</f>
        <v>EVERYDAY CHECKING</v>
      </c>
      <c r="H1223" s="137" t="str">
        <f>_xlfn.XLOOKUP(Table1[[#This Row],[Account_ID]], Accounts[ID], Accounts[Account'#], "Unknown")</f>
        <v>4636</v>
      </c>
      <c r="I1223" s="168" t="str">
        <f>_xlfn.XLOOKUP(Table1[[#This Row],[Institution_ID]], Institutions[ID], Institutions[Institution nickname], "Unknown")</f>
        <v>Wells Fargo</v>
      </c>
      <c r="J1223" s="139" t="s">
        <v>1924</v>
      </c>
      <c r="K1223" s="129" t="s">
        <v>1229</v>
      </c>
      <c r="L1223" s="129" t="s">
        <v>1228</v>
      </c>
      <c r="M1223" s="130" t="str" cm="1">
        <f t="array" ref="M1223">IFERROR(INDEX(CategoriesTable[Category type],MATCH(Table1[[#This Row],[Category]],CategoriesTable[Category name],0),0),"")</f>
        <v>Expense</v>
      </c>
      <c r="N1223" s="130" t="str" cm="1">
        <f t="array" ref="N1223">IFERROR(INDEX(SubcategoriesTable[Subcategory name],MATCH(Table1[[#This Row],[Category]],SubcategoriesTable[Category name],0),0),"")</f>
        <v>Variable</v>
      </c>
      <c r="O1223" s="130">
        <v>20</v>
      </c>
      <c r="P1223" s="130">
        <f>MONTH(Table1[[#This Row],[Date]])</f>
        <v>1</v>
      </c>
      <c r="Q1223" s="130">
        <v>2020</v>
      </c>
      <c r="R1223" s="166">
        <f>IF(ISBLANK(Table1[[#This Row],[Date]]),"",Table1[[#This Row],[Date]]-WEEKDAY(Table1[[#This Row],[Date]],2)+1)</f>
        <v>43850</v>
      </c>
      <c r="S1223" s="131">
        <f>IF(ISBLANK(Table1[[#This Row],[Date]]),"",DATE(Table1[[#This Row],[Date_Year]],Table1[[#This Row],[Date_Month]],1))</f>
        <v>43831</v>
      </c>
    </row>
    <row r="1224" spans="2:19" ht="15.75" x14ac:dyDescent="0.25">
      <c r="B1224" s="133">
        <v>43850</v>
      </c>
      <c r="C1224" s="128" t="s">
        <v>169</v>
      </c>
      <c r="D1224" s="128" t="s">
        <v>45</v>
      </c>
      <c r="E1224" s="128" t="str" cm="1">
        <f t="array" ref="E1224">IFERROR(INDEX(SubcategoriesTable[Subcategory name],MATCH(Table1[[#This Row],[Category]],SubcategoriesTable[Category name],0),0),"")</f>
        <v>Variable</v>
      </c>
      <c r="F1224" s="134">
        <v>-8.2899999999999991</v>
      </c>
      <c r="G1224" s="167" t="str">
        <f>_xlfn.XLOOKUP(Table1[[#This Row],[Account_ID]], Accounts[ID], Accounts[Account nickname], "Unknown")</f>
        <v>EVERYDAY CHECKING</v>
      </c>
      <c r="H1224" s="137" t="str">
        <f>_xlfn.XLOOKUP(Table1[[#This Row],[Account_ID]], Accounts[ID], Accounts[Account'#], "Unknown")</f>
        <v>4636</v>
      </c>
      <c r="I1224" s="168" t="str">
        <f>_xlfn.XLOOKUP(Table1[[#This Row],[Institution_ID]], Institutions[ID], Institutions[Institution nickname], "Unknown")</f>
        <v>Wells Fargo</v>
      </c>
      <c r="J1224" s="139" t="s">
        <v>1925</v>
      </c>
      <c r="K1224" s="129" t="s">
        <v>1229</v>
      </c>
      <c r="L1224" s="129" t="s">
        <v>1228</v>
      </c>
      <c r="M1224" s="130" t="str" cm="1">
        <f t="array" ref="M1224">IFERROR(INDEX(CategoriesTable[Category type],MATCH(Table1[[#This Row],[Category]],CategoriesTable[Category name],0),0),"")</f>
        <v>Expense</v>
      </c>
      <c r="N1224" s="130" t="str" cm="1">
        <f t="array" ref="N1224">IFERROR(INDEX(SubcategoriesTable[Subcategory name],MATCH(Table1[[#This Row],[Category]],SubcategoriesTable[Category name],0),0),"")</f>
        <v>Variable</v>
      </c>
      <c r="O1224" s="130">
        <v>20</v>
      </c>
      <c r="P1224" s="130">
        <f>MONTH(Table1[[#This Row],[Date]])</f>
        <v>1</v>
      </c>
      <c r="Q1224" s="130">
        <v>2020</v>
      </c>
      <c r="R1224" s="166">
        <f>IF(ISBLANK(Table1[[#This Row],[Date]]),"",Table1[[#This Row],[Date]]-WEEKDAY(Table1[[#This Row],[Date]],2)+1)</f>
        <v>43850</v>
      </c>
      <c r="S1224" s="131">
        <f>IF(ISBLANK(Table1[[#This Row],[Date]]),"",DATE(Table1[[#This Row],[Date_Year]],Table1[[#This Row],[Date_Month]],1))</f>
        <v>43831</v>
      </c>
    </row>
    <row r="1225" spans="2:19" ht="15.75" x14ac:dyDescent="0.25">
      <c r="B1225" s="133">
        <v>43850</v>
      </c>
      <c r="C1225" s="128" t="s">
        <v>439</v>
      </c>
      <c r="D1225" s="128" t="s">
        <v>55</v>
      </c>
      <c r="E1225" s="128" t="str" cm="1">
        <f t="array" ref="E1225">IFERROR(INDEX(SubcategoriesTable[Subcategory name],MATCH(Table1[[#This Row],[Category]],SubcategoriesTable[Category name],0),0),"")</f>
        <v>Variable</v>
      </c>
      <c r="F1225" s="134">
        <v>-14.13</v>
      </c>
      <c r="G1225" s="167" t="str">
        <f>_xlfn.XLOOKUP(Table1[[#This Row],[Account_ID]], Accounts[ID], Accounts[Account nickname], "Unknown")</f>
        <v>EVERYDAY CHECKING</v>
      </c>
      <c r="H1225" s="137" t="str">
        <f>_xlfn.XLOOKUP(Table1[[#This Row],[Account_ID]], Accounts[ID], Accounts[Account'#], "Unknown")</f>
        <v>4636</v>
      </c>
      <c r="I1225" s="168" t="str">
        <f>_xlfn.XLOOKUP(Table1[[#This Row],[Institution_ID]], Institutions[ID], Institutions[Institution nickname], "Unknown")</f>
        <v>Wells Fargo</v>
      </c>
      <c r="J1225" s="139" t="s">
        <v>1926</v>
      </c>
      <c r="K1225" s="129" t="s">
        <v>1229</v>
      </c>
      <c r="L1225" s="129" t="s">
        <v>1228</v>
      </c>
      <c r="M1225" s="130" t="str" cm="1">
        <f t="array" ref="M1225">IFERROR(INDEX(CategoriesTable[Category type],MATCH(Table1[[#This Row],[Category]],CategoriesTable[Category name],0),0),"")</f>
        <v>Expense</v>
      </c>
      <c r="N1225" s="130" t="str" cm="1">
        <f t="array" ref="N1225">IFERROR(INDEX(SubcategoriesTable[Subcategory name],MATCH(Table1[[#This Row],[Category]],SubcategoriesTable[Category name],0),0),"")</f>
        <v>Variable</v>
      </c>
      <c r="O1225" s="130">
        <v>20</v>
      </c>
      <c r="P1225" s="130">
        <f>MONTH(Table1[[#This Row],[Date]])</f>
        <v>1</v>
      </c>
      <c r="Q1225" s="130">
        <v>2020</v>
      </c>
      <c r="R1225" s="166">
        <f>IF(ISBLANK(Table1[[#This Row],[Date]]),"",Table1[[#This Row],[Date]]-WEEKDAY(Table1[[#This Row],[Date]],2)+1)</f>
        <v>43850</v>
      </c>
      <c r="S1225" s="131">
        <f>IF(ISBLANK(Table1[[#This Row],[Date]]),"",DATE(Table1[[#This Row],[Date_Year]],Table1[[#This Row],[Date_Month]],1))</f>
        <v>43831</v>
      </c>
    </row>
    <row r="1226" spans="2:19" ht="15.75" x14ac:dyDescent="0.25">
      <c r="B1226" s="133">
        <v>43850</v>
      </c>
      <c r="C1226" s="128" t="s">
        <v>115</v>
      </c>
      <c r="D1226" s="128" t="s">
        <v>48</v>
      </c>
      <c r="E1226" s="128" t="str" cm="1">
        <f t="array" ref="E1226">IFERROR(INDEX(SubcategoriesTable[Subcategory name],MATCH(Table1[[#This Row],[Category]],SubcategoriesTable[Category name],0),0),"")</f>
        <v>Variable</v>
      </c>
      <c r="F1226" s="134">
        <v>-36.14</v>
      </c>
      <c r="G1226" s="167" t="str">
        <f>_xlfn.XLOOKUP(Table1[[#This Row],[Account_ID]], Accounts[ID], Accounts[Account nickname], "Unknown")</f>
        <v>EVERYDAY CHECKING</v>
      </c>
      <c r="H1226" s="137" t="str">
        <f>_xlfn.XLOOKUP(Table1[[#This Row],[Account_ID]], Accounts[ID], Accounts[Account'#], "Unknown")</f>
        <v>4636</v>
      </c>
      <c r="I1226" s="168" t="str">
        <f>_xlfn.XLOOKUP(Table1[[#This Row],[Institution_ID]], Institutions[ID], Institutions[Institution nickname], "Unknown")</f>
        <v>Wells Fargo</v>
      </c>
      <c r="J1226" s="139" t="s">
        <v>1927</v>
      </c>
      <c r="K1226" s="129" t="s">
        <v>1229</v>
      </c>
      <c r="L1226" s="129" t="s">
        <v>1228</v>
      </c>
      <c r="M1226" s="130" t="str" cm="1">
        <f t="array" ref="M1226">IFERROR(INDEX(CategoriesTable[Category type],MATCH(Table1[[#This Row],[Category]],CategoriesTable[Category name],0),0),"")</f>
        <v>Expense</v>
      </c>
      <c r="N1226" s="130" t="str" cm="1">
        <f t="array" ref="N1226">IFERROR(INDEX(SubcategoriesTable[Subcategory name],MATCH(Table1[[#This Row],[Category]],SubcategoriesTable[Category name],0),0),"")</f>
        <v>Variable</v>
      </c>
      <c r="O1226" s="130">
        <v>20</v>
      </c>
      <c r="P1226" s="130">
        <f>MONTH(Table1[[#This Row],[Date]])</f>
        <v>1</v>
      </c>
      <c r="Q1226" s="130">
        <v>2020</v>
      </c>
      <c r="R1226" s="166">
        <f>IF(ISBLANK(Table1[[#This Row],[Date]]),"",Table1[[#This Row],[Date]]-WEEKDAY(Table1[[#This Row],[Date]],2)+1)</f>
        <v>43850</v>
      </c>
      <c r="S1226" s="131">
        <f>IF(ISBLANK(Table1[[#This Row],[Date]]),"",DATE(Table1[[#This Row],[Date_Year]],Table1[[#This Row],[Date_Month]],1))</f>
        <v>43831</v>
      </c>
    </row>
    <row r="1227" spans="2:19" ht="15.75" x14ac:dyDescent="0.25">
      <c r="B1227" s="133">
        <v>43850</v>
      </c>
      <c r="C1227" s="128" t="s">
        <v>1020</v>
      </c>
      <c r="D1227" s="128" t="s">
        <v>61</v>
      </c>
      <c r="E1227" s="128" t="str" cm="1">
        <f t="array" ref="E1227">IFERROR(INDEX(SubcategoriesTable[Subcategory name],MATCH(Table1[[#This Row],[Category]],SubcategoriesTable[Category name],0),0),"")</f>
        <v>Variable</v>
      </c>
      <c r="F1227" s="134">
        <v>-5.92</v>
      </c>
      <c r="G1227" s="167" t="str">
        <f>_xlfn.XLOOKUP(Table1[[#This Row],[Account_ID]], Accounts[ID], Accounts[Account nickname], "Unknown")</f>
        <v>Discover it chrome Card</v>
      </c>
      <c r="H1227" s="137" t="str">
        <f>_xlfn.XLOOKUP(Table1[[#This Row],[Account_ID]], Accounts[ID], Accounts[Account'#], "Unknown")</f>
        <v>7328</v>
      </c>
      <c r="I1227" s="168" t="str">
        <f>_xlfn.XLOOKUP(Table1[[#This Row],[Institution_ID]], Institutions[ID], Institutions[Institution nickname], "Unknown")</f>
        <v>Discover</v>
      </c>
      <c r="J1227" s="139" t="s">
        <v>1021</v>
      </c>
      <c r="K1227" s="129" t="s">
        <v>110</v>
      </c>
      <c r="L1227" s="129" t="s">
        <v>108</v>
      </c>
      <c r="M1227" s="130" t="str" cm="1">
        <f t="array" ref="M1227">IFERROR(INDEX(CategoriesTable[Category type],MATCH(Table1[[#This Row],[Category]],CategoriesTable[Category name],0),0),"")</f>
        <v>Expense</v>
      </c>
      <c r="N1227" s="130" t="str" cm="1">
        <f t="array" ref="N1227">IFERROR(INDEX(SubcategoriesTable[Subcategory name],MATCH(Table1[[#This Row],[Category]],SubcategoriesTable[Category name],0),0),"")</f>
        <v>Variable</v>
      </c>
      <c r="O1227" s="130">
        <v>20</v>
      </c>
      <c r="P1227" s="130">
        <f>MONTH(Table1[[#This Row],[Date]])</f>
        <v>1</v>
      </c>
      <c r="Q1227" s="130">
        <v>2020</v>
      </c>
      <c r="R1227" s="166">
        <f>IF(ISBLANK(Table1[[#This Row],[Date]]),"",Table1[[#This Row],[Date]]-WEEKDAY(Table1[[#This Row],[Date]],2)+1)</f>
        <v>43850</v>
      </c>
      <c r="S1227" s="131">
        <f>IF(ISBLANK(Table1[[#This Row],[Date]]),"",DATE(Table1[[#This Row],[Date_Year]],Table1[[#This Row],[Date_Month]],1))</f>
        <v>43831</v>
      </c>
    </row>
    <row r="1228" spans="2:19" ht="15.75" x14ac:dyDescent="0.25">
      <c r="B1228" s="133">
        <v>43849</v>
      </c>
      <c r="C1228" s="128" t="s">
        <v>1928</v>
      </c>
      <c r="D1228" s="128" t="s">
        <v>45</v>
      </c>
      <c r="E1228" s="128" t="str" cm="1">
        <f t="array" ref="E1228">IFERROR(INDEX(SubcategoriesTable[Subcategory name],MATCH(Table1[[#This Row],[Category]],SubcategoriesTable[Category name],0),0),"")</f>
        <v>Variable</v>
      </c>
      <c r="F1228" s="134">
        <v>-30</v>
      </c>
      <c r="G1228" s="167" t="str">
        <f>_xlfn.XLOOKUP(Table1[[#This Row],[Account_ID]], Accounts[ID], Accounts[Account nickname], "Unknown")</f>
        <v>EVERYDAY CHECKING</v>
      </c>
      <c r="H1228" s="137" t="str">
        <f>_xlfn.XLOOKUP(Table1[[#This Row],[Account_ID]], Accounts[ID], Accounts[Account'#], "Unknown")</f>
        <v>4636</v>
      </c>
      <c r="I1228" s="168" t="str">
        <f>_xlfn.XLOOKUP(Table1[[#This Row],[Institution_ID]], Institutions[ID], Institutions[Institution nickname], "Unknown")</f>
        <v>Wells Fargo</v>
      </c>
      <c r="J1228" s="139" t="s">
        <v>1929</v>
      </c>
      <c r="K1228" s="129" t="s">
        <v>1229</v>
      </c>
      <c r="L1228" s="129" t="s">
        <v>1228</v>
      </c>
      <c r="M1228" s="130" t="str" cm="1">
        <f t="array" ref="M1228">IFERROR(INDEX(CategoriesTable[Category type],MATCH(Table1[[#This Row],[Category]],CategoriesTable[Category name],0),0),"")</f>
        <v>Expense</v>
      </c>
      <c r="N1228" s="130" t="str" cm="1">
        <f t="array" ref="N1228">IFERROR(INDEX(SubcategoriesTable[Subcategory name],MATCH(Table1[[#This Row],[Category]],SubcategoriesTable[Category name],0),0),"")</f>
        <v>Variable</v>
      </c>
      <c r="O1228" s="130">
        <v>19</v>
      </c>
      <c r="P1228" s="130">
        <f>MONTH(Table1[[#This Row],[Date]])</f>
        <v>1</v>
      </c>
      <c r="Q1228" s="130">
        <v>2020</v>
      </c>
      <c r="R1228" s="166">
        <f>IF(ISBLANK(Table1[[#This Row],[Date]]),"",Table1[[#This Row],[Date]]-WEEKDAY(Table1[[#This Row],[Date]],2)+1)</f>
        <v>43843</v>
      </c>
      <c r="S1228" s="131">
        <f>IF(ISBLANK(Table1[[#This Row],[Date]]),"",DATE(Table1[[#This Row],[Date_Year]],Table1[[#This Row],[Date_Month]],1))</f>
        <v>43831</v>
      </c>
    </row>
    <row r="1229" spans="2:19" ht="15.75" x14ac:dyDescent="0.25">
      <c r="B1229" s="133">
        <v>43849</v>
      </c>
      <c r="C1229" s="128" t="s">
        <v>115</v>
      </c>
      <c r="D1229" s="128" t="s">
        <v>48</v>
      </c>
      <c r="E1229" s="128" t="str" cm="1">
        <f t="array" ref="E1229">IFERROR(INDEX(SubcategoriesTable[Subcategory name],MATCH(Table1[[#This Row],[Category]],SubcategoriesTable[Category name],0),0),"")</f>
        <v>Variable</v>
      </c>
      <c r="F1229" s="134">
        <v>-71.540000000000006</v>
      </c>
      <c r="G1229" s="167" t="str">
        <f>_xlfn.XLOOKUP(Table1[[#This Row],[Account_ID]], Accounts[ID], Accounts[Account nickname], "Unknown")</f>
        <v>EVERYDAY CHECKING</v>
      </c>
      <c r="H1229" s="137" t="str">
        <f>_xlfn.XLOOKUP(Table1[[#This Row],[Account_ID]], Accounts[ID], Accounts[Account'#], "Unknown")</f>
        <v>4636</v>
      </c>
      <c r="I1229" s="168" t="str">
        <f>_xlfn.XLOOKUP(Table1[[#This Row],[Institution_ID]], Institutions[ID], Institutions[Institution nickname], "Unknown")</f>
        <v>Wells Fargo</v>
      </c>
      <c r="J1229" s="139" t="s">
        <v>1930</v>
      </c>
      <c r="K1229" s="129" t="s">
        <v>1229</v>
      </c>
      <c r="L1229" s="129" t="s">
        <v>1228</v>
      </c>
      <c r="M1229" s="130" t="str" cm="1">
        <f t="array" ref="M1229">IFERROR(INDEX(CategoriesTable[Category type],MATCH(Table1[[#This Row],[Category]],CategoriesTable[Category name],0),0),"")</f>
        <v>Expense</v>
      </c>
      <c r="N1229" s="130" t="str" cm="1">
        <f t="array" ref="N1229">IFERROR(INDEX(SubcategoriesTable[Subcategory name],MATCH(Table1[[#This Row],[Category]],SubcategoriesTable[Category name],0),0),"")</f>
        <v>Variable</v>
      </c>
      <c r="O1229" s="130">
        <v>19</v>
      </c>
      <c r="P1229" s="130">
        <f>MONTH(Table1[[#This Row],[Date]])</f>
        <v>1</v>
      </c>
      <c r="Q1229" s="130">
        <v>2020</v>
      </c>
      <c r="R1229" s="166">
        <f>IF(ISBLANK(Table1[[#This Row],[Date]]),"",Table1[[#This Row],[Date]]-WEEKDAY(Table1[[#This Row],[Date]],2)+1)</f>
        <v>43843</v>
      </c>
      <c r="S1229" s="131">
        <f>IF(ISBLANK(Table1[[#This Row],[Date]]),"",DATE(Table1[[#This Row],[Date_Year]],Table1[[#This Row],[Date_Month]],1))</f>
        <v>43831</v>
      </c>
    </row>
    <row r="1230" spans="2:19" ht="15.75" x14ac:dyDescent="0.25">
      <c r="B1230" s="133">
        <v>43848</v>
      </c>
      <c r="C1230" s="128" t="s">
        <v>1931</v>
      </c>
      <c r="D1230" s="128" t="s">
        <v>45</v>
      </c>
      <c r="E1230" s="128" t="str" cm="1">
        <f t="array" ref="E1230">IFERROR(INDEX(SubcategoriesTable[Subcategory name],MATCH(Table1[[#This Row],[Category]],SubcategoriesTable[Category name],0),0),"")</f>
        <v>Variable</v>
      </c>
      <c r="F1230" s="134">
        <v>-50</v>
      </c>
      <c r="G1230" s="167" t="str">
        <f>_xlfn.XLOOKUP(Table1[[#This Row],[Account_ID]], Accounts[ID], Accounts[Account nickname], "Unknown")</f>
        <v>EVERYDAY CHECKING</v>
      </c>
      <c r="H1230" s="137" t="str">
        <f>_xlfn.XLOOKUP(Table1[[#This Row],[Account_ID]], Accounts[ID], Accounts[Account'#], "Unknown")</f>
        <v>4636</v>
      </c>
      <c r="I1230" s="168" t="str">
        <f>_xlfn.XLOOKUP(Table1[[#This Row],[Institution_ID]], Institutions[ID], Institutions[Institution nickname], "Unknown")</f>
        <v>Wells Fargo</v>
      </c>
      <c r="J1230" s="139" t="s">
        <v>1932</v>
      </c>
      <c r="K1230" s="129" t="s">
        <v>1229</v>
      </c>
      <c r="L1230" s="129" t="s">
        <v>1228</v>
      </c>
      <c r="M1230" s="130" t="str" cm="1">
        <f t="array" ref="M1230">IFERROR(INDEX(CategoriesTable[Category type],MATCH(Table1[[#This Row],[Category]],CategoriesTable[Category name],0),0),"")</f>
        <v>Expense</v>
      </c>
      <c r="N1230" s="130" t="str" cm="1">
        <f t="array" ref="N1230">IFERROR(INDEX(SubcategoriesTable[Subcategory name],MATCH(Table1[[#This Row],[Category]],SubcategoriesTable[Category name],0),0),"")</f>
        <v>Variable</v>
      </c>
      <c r="O1230" s="130">
        <v>18</v>
      </c>
      <c r="P1230" s="130">
        <f>MONTH(Table1[[#This Row],[Date]])</f>
        <v>1</v>
      </c>
      <c r="Q1230" s="130">
        <v>2020</v>
      </c>
      <c r="R1230" s="166">
        <f>IF(ISBLANK(Table1[[#This Row],[Date]]),"",Table1[[#This Row],[Date]]-WEEKDAY(Table1[[#This Row],[Date]],2)+1)</f>
        <v>43843</v>
      </c>
      <c r="S1230" s="131">
        <f>IF(ISBLANK(Table1[[#This Row],[Date]]),"",DATE(Table1[[#This Row],[Date_Year]],Table1[[#This Row],[Date_Month]],1))</f>
        <v>43831</v>
      </c>
    </row>
    <row r="1231" spans="2:19" ht="15.75" x14ac:dyDescent="0.25">
      <c r="B1231" s="133">
        <v>43847</v>
      </c>
      <c r="C1231" s="128" t="s">
        <v>803</v>
      </c>
      <c r="D1231" s="128" t="s">
        <v>48</v>
      </c>
      <c r="E1231" s="128" t="str" cm="1">
        <f t="array" ref="E1231">IFERROR(INDEX(SubcategoriesTable[Subcategory name],MATCH(Table1[[#This Row],[Category]],SubcategoriesTable[Category name],0),0),"")</f>
        <v>Variable</v>
      </c>
      <c r="F1231" s="134">
        <v>-4.08</v>
      </c>
      <c r="G1231" s="167" t="str">
        <f>_xlfn.XLOOKUP(Table1[[#This Row],[Account_ID]], Accounts[ID], Accounts[Account nickname], "Unknown")</f>
        <v>EVERYDAY CHECKING</v>
      </c>
      <c r="H1231" s="137" t="str">
        <f>_xlfn.XLOOKUP(Table1[[#This Row],[Account_ID]], Accounts[ID], Accounts[Account'#], "Unknown")</f>
        <v>4636</v>
      </c>
      <c r="I1231" s="168" t="str">
        <f>_xlfn.XLOOKUP(Table1[[#This Row],[Institution_ID]], Institutions[ID], Institutions[Institution nickname], "Unknown")</f>
        <v>Wells Fargo</v>
      </c>
      <c r="J1231" s="139" t="s">
        <v>1933</v>
      </c>
      <c r="K1231" s="129" t="s">
        <v>1229</v>
      </c>
      <c r="L1231" s="129" t="s">
        <v>1228</v>
      </c>
      <c r="M1231" s="130" t="str" cm="1">
        <f t="array" ref="M1231">IFERROR(INDEX(CategoriesTable[Category type],MATCH(Table1[[#This Row],[Category]],CategoriesTable[Category name],0),0),"")</f>
        <v>Expense</v>
      </c>
      <c r="N1231" s="130" t="str" cm="1">
        <f t="array" ref="N1231">IFERROR(INDEX(SubcategoriesTable[Subcategory name],MATCH(Table1[[#This Row],[Category]],SubcategoriesTable[Category name],0),0),"")</f>
        <v>Variable</v>
      </c>
      <c r="O1231" s="130">
        <v>17</v>
      </c>
      <c r="P1231" s="130">
        <f>MONTH(Table1[[#This Row],[Date]])</f>
        <v>1</v>
      </c>
      <c r="Q1231" s="130">
        <v>2020</v>
      </c>
      <c r="R1231" s="166">
        <f>IF(ISBLANK(Table1[[#This Row],[Date]]),"",Table1[[#This Row],[Date]]-WEEKDAY(Table1[[#This Row],[Date]],2)+1)</f>
        <v>43843</v>
      </c>
      <c r="S1231" s="131">
        <f>IF(ISBLANK(Table1[[#This Row],[Date]]),"",DATE(Table1[[#This Row],[Date_Year]],Table1[[#This Row],[Date_Month]],1))</f>
        <v>43831</v>
      </c>
    </row>
    <row r="1232" spans="2:19" ht="15.75" x14ac:dyDescent="0.25">
      <c r="B1232" s="133">
        <v>43847</v>
      </c>
      <c r="C1232" s="128" t="s">
        <v>1769</v>
      </c>
      <c r="D1232" s="128" t="s">
        <v>56</v>
      </c>
      <c r="E1232" s="128" t="str" cm="1">
        <f t="array" ref="E1232">IFERROR(INDEX(SubcategoriesTable[Subcategory name],MATCH(Table1[[#This Row],[Category]],SubcategoriesTable[Category name],0),0),"")</f>
        <v>Variable</v>
      </c>
      <c r="F1232" s="134">
        <v>-550.69000000000005</v>
      </c>
      <c r="G1232" s="167" t="str">
        <f>_xlfn.XLOOKUP(Table1[[#This Row],[Account_ID]], Accounts[ID], Accounts[Account nickname], "Unknown")</f>
        <v>EVERYDAY CHECKING</v>
      </c>
      <c r="H1232" s="137" t="str">
        <f>_xlfn.XLOOKUP(Table1[[#This Row],[Account_ID]], Accounts[ID], Accounts[Account'#], "Unknown")</f>
        <v>4636</v>
      </c>
      <c r="I1232" s="168" t="str">
        <f>_xlfn.XLOOKUP(Table1[[#This Row],[Institution_ID]], Institutions[ID], Institutions[Institution nickname], "Unknown")</f>
        <v>Wells Fargo</v>
      </c>
      <c r="J1232" s="139" t="s">
        <v>1934</v>
      </c>
      <c r="K1232" s="129" t="s">
        <v>1229</v>
      </c>
      <c r="L1232" s="129" t="s">
        <v>1228</v>
      </c>
      <c r="M1232" s="130" t="str" cm="1">
        <f t="array" ref="M1232">IFERROR(INDEX(CategoriesTable[Category type],MATCH(Table1[[#This Row],[Category]],CategoriesTable[Category name],0),0),"")</f>
        <v>Expense</v>
      </c>
      <c r="N1232" s="130" t="str" cm="1">
        <f t="array" ref="N1232">IFERROR(INDEX(SubcategoriesTable[Subcategory name],MATCH(Table1[[#This Row],[Category]],SubcategoriesTable[Category name],0),0),"")</f>
        <v>Variable</v>
      </c>
      <c r="O1232" s="130">
        <v>17</v>
      </c>
      <c r="P1232" s="130">
        <f>MONTH(Table1[[#This Row],[Date]])</f>
        <v>1</v>
      </c>
      <c r="Q1232" s="130">
        <v>2020</v>
      </c>
      <c r="R1232" s="166">
        <f>IF(ISBLANK(Table1[[#This Row],[Date]]),"",Table1[[#This Row],[Date]]-WEEKDAY(Table1[[#This Row],[Date]],2)+1)</f>
        <v>43843</v>
      </c>
      <c r="S1232" s="131">
        <f>IF(ISBLANK(Table1[[#This Row],[Date]]),"",DATE(Table1[[#This Row],[Date_Year]],Table1[[#This Row],[Date_Month]],1))</f>
        <v>43831</v>
      </c>
    </row>
    <row r="1233" spans="2:19" ht="15.75" x14ac:dyDescent="0.25">
      <c r="B1233" s="133">
        <v>43847</v>
      </c>
      <c r="C1233" s="128" t="s">
        <v>146</v>
      </c>
      <c r="D1233" s="128" t="s">
        <v>54</v>
      </c>
      <c r="E1233" s="128" t="str" cm="1">
        <f t="array" ref="E1233">IFERROR(INDEX(SubcategoriesTable[Subcategory name],MATCH(Table1[[#This Row],[Category]],SubcategoriesTable[Category name],0),0),"")</f>
        <v>Fixed</v>
      </c>
      <c r="F1233" s="134">
        <v>-147.28</v>
      </c>
      <c r="G1233" s="167" t="str">
        <f>_xlfn.XLOOKUP(Table1[[#This Row],[Account_ID]], Accounts[ID], Accounts[Account nickname], "Unknown")</f>
        <v>EVERYDAY CHECKING</v>
      </c>
      <c r="H1233" s="137" t="str">
        <f>_xlfn.XLOOKUP(Table1[[#This Row],[Account_ID]], Accounts[ID], Accounts[Account'#], "Unknown")</f>
        <v>4636</v>
      </c>
      <c r="I1233" s="168" t="str">
        <f>_xlfn.XLOOKUP(Table1[[#This Row],[Institution_ID]], Institutions[ID], Institutions[Institution nickname], "Unknown")</f>
        <v>Wells Fargo</v>
      </c>
      <c r="J1233" s="139" t="s">
        <v>1935</v>
      </c>
      <c r="K1233" s="129" t="s">
        <v>1229</v>
      </c>
      <c r="L1233" s="129" t="s">
        <v>1228</v>
      </c>
      <c r="M1233" s="130" t="str" cm="1">
        <f t="array" ref="M1233">IFERROR(INDEX(CategoriesTable[Category type],MATCH(Table1[[#This Row],[Category]],CategoriesTable[Category name],0),0),"")</f>
        <v>Expense</v>
      </c>
      <c r="N1233" s="130" t="str" cm="1">
        <f t="array" ref="N1233">IFERROR(INDEX(SubcategoriesTable[Subcategory name],MATCH(Table1[[#This Row],[Category]],SubcategoriesTable[Category name],0),0),"")</f>
        <v>Fixed</v>
      </c>
      <c r="O1233" s="130">
        <v>17</v>
      </c>
      <c r="P1233" s="130">
        <f>MONTH(Table1[[#This Row],[Date]])</f>
        <v>1</v>
      </c>
      <c r="Q1233" s="130">
        <v>2020</v>
      </c>
      <c r="R1233" s="166">
        <f>IF(ISBLANK(Table1[[#This Row],[Date]]),"",Table1[[#This Row],[Date]]-WEEKDAY(Table1[[#This Row],[Date]],2)+1)</f>
        <v>43843</v>
      </c>
      <c r="S1233" s="131">
        <f>IF(ISBLANK(Table1[[#This Row],[Date]]),"",DATE(Table1[[#This Row],[Date_Year]],Table1[[#This Row],[Date_Month]],1))</f>
        <v>43831</v>
      </c>
    </row>
    <row r="1234" spans="2:19" ht="15.75" x14ac:dyDescent="0.25">
      <c r="B1234" s="133">
        <v>43847</v>
      </c>
      <c r="C1234" s="128" t="s">
        <v>1791</v>
      </c>
      <c r="D1234" s="128" t="s">
        <v>54</v>
      </c>
      <c r="E1234" s="128" t="str" cm="1">
        <f t="array" ref="E1234">IFERROR(INDEX(SubcategoriesTable[Subcategory name],MATCH(Table1[[#This Row],[Category]],SubcategoriesTable[Category name],0),0),"")</f>
        <v>Fixed</v>
      </c>
      <c r="F1234" s="134">
        <v>-50</v>
      </c>
      <c r="G1234" s="167" t="str">
        <f>_xlfn.XLOOKUP(Table1[[#This Row],[Account_ID]], Accounts[ID], Accounts[Account nickname], "Unknown")</f>
        <v>EVERYDAY CHECKING</v>
      </c>
      <c r="H1234" s="137" t="str">
        <f>_xlfn.XLOOKUP(Table1[[#This Row],[Account_ID]], Accounts[ID], Accounts[Account'#], "Unknown")</f>
        <v>4636</v>
      </c>
      <c r="I1234" s="168" t="str">
        <f>_xlfn.XLOOKUP(Table1[[#This Row],[Institution_ID]], Institutions[ID], Institutions[Institution nickname], "Unknown")</f>
        <v>Wells Fargo</v>
      </c>
      <c r="J1234" s="139" t="s">
        <v>1936</v>
      </c>
      <c r="K1234" s="129" t="s">
        <v>1229</v>
      </c>
      <c r="L1234" s="129" t="s">
        <v>1228</v>
      </c>
      <c r="M1234" s="130" t="str" cm="1">
        <f t="array" ref="M1234">IFERROR(INDEX(CategoriesTable[Category type],MATCH(Table1[[#This Row],[Category]],CategoriesTable[Category name],0),0),"")</f>
        <v>Expense</v>
      </c>
      <c r="N1234" s="130" t="str" cm="1">
        <f t="array" ref="N1234">IFERROR(INDEX(SubcategoriesTable[Subcategory name],MATCH(Table1[[#This Row],[Category]],SubcategoriesTable[Category name],0),0),"")</f>
        <v>Fixed</v>
      </c>
      <c r="O1234" s="130">
        <v>17</v>
      </c>
      <c r="P1234" s="130">
        <f>MONTH(Table1[[#This Row],[Date]])</f>
        <v>1</v>
      </c>
      <c r="Q1234" s="130">
        <v>2020</v>
      </c>
      <c r="R1234" s="166">
        <f>IF(ISBLANK(Table1[[#This Row],[Date]]),"",Table1[[#This Row],[Date]]-WEEKDAY(Table1[[#This Row],[Date]],2)+1)</f>
        <v>43843</v>
      </c>
      <c r="S1234" s="131">
        <f>IF(ISBLANK(Table1[[#This Row],[Date]]),"",DATE(Table1[[#This Row],[Date_Year]],Table1[[#This Row],[Date_Month]],1))</f>
        <v>43831</v>
      </c>
    </row>
    <row r="1235" spans="2:19" ht="15.75" x14ac:dyDescent="0.25">
      <c r="B1235" s="133">
        <v>43847</v>
      </c>
      <c r="C1235" s="128" t="s">
        <v>1937</v>
      </c>
      <c r="D1235" s="128" t="s">
        <v>54</v>
      </c>
      <c r="E1235" s="128" t="str" cm="1">
        <f t="array" ref="E1235">IFERROR(INDEX(SubcategoriesTable[Subcategory name],MATCH(Table1[[#This Row],[Category]],SubcategoriesTable[Category name],0),0),"")</f>
        <v>Fixed</v>
      </c>
      <c r="F1235" s="134">
        <v>-54.95</v>
      </c>
      <c r="G1235" s="167" t="str">
        <f>_xlfn.XLOOKUP(Table1[[#This Row],[Account_ID]], Accounts[ID], Accounts[Account nickname], "Unknown")</f>
        <v>EVERYDAY CHECKING</v>
      </c>
      <c r="H1235" s="137" t="str">
        <f>_xlfn.XLOOKUP(Table1[[#This Row],[Account_ID]], Accounts[ID], Accounts[Account'#], "Unknown")</f>
        <v>4636</v>
      </c>
      <c r="I1235" s="168" t="str">
        <f>_xlfn.XLOOKUP(Table1[[#This Row],[Institution_ID]], Institutions[ID], Institutions[Institution nickname], "Unknown")</f>
        <v>Wells Fargo</v>
      </c>
      <c r="J1235" s="139" t="s">
        <v>1938</v>
      </c>
      <c r="K1235" s="129" t="s">
        <v>1229</v>
      </c>
      <c r="L1235" s="129" t="s">
        <v>1228</v>
      </c>
      <c r="M1235" s="130" t="str" cm="1">
        <f t="array" ref="M1235">IFERROR(INDEX(CategoriesTable[Category type],MATCH(Table1[[#This Row],[Category]],CategoriesTable[Category name],0),0),"")</f>
        <v>Expense</v>
      </c>
      <c r="N1235" s="130" t="str" cm="1">
        <f t="array" ref="N1235">IFERROR(INDEX(SubcategoriesTable[Subcategory name],MATCH(Table1[[#This Row],[Category]],SubcategoriesTable[Category name],0),0),"")</f>
        <v>Fixed</v>
      </c>
      <c r="O1235" s="130">
        <v>17</v>
      </c>
      <c r="P1235" s="130">
        <f>MONTH(Table1[[#This Row],[Date]])</f>
        <v>1</v>
      </c>
      <c r="Q1235" s="130">
        <v>2020</v>
      </c>
      <c r="R1235" s="166">
        <f>IF(ISBLANK(Table1[[#This Row],[Date]]),"",Table1[[#This Row],[Date]]-WEEKDAY(Table1[[#This Row],[Date]],2)+1)</f>
        <v>43843</v>
      </c>
      <c r="S1235" s="131">
        <f>IF(ISBLANK(Table1[[#This Row],[Date]]),"",DATE(Table1[[#This Row],[Date_Year]],Table1[[#This Row],[Date_Month]],1))</f>
        <v>43831</v>
      </c>
    </row>
    <row r="1236" spans="2:19" ht="15.75" x14ac:dyDescent="0.25">
      <c r="B1236" s="133">
        <v>43847</v>
      </c>
      <c r="C1236" s="128" t="s">
        <v>1181</v>
      </c>
      <c r="D1236" s="128" t="s">
        <v>59</v>
      </c>
      <c r="E1236" s="128" t="str" cm="1">
        <f t="array" ref="E1236">IFERROR(INDEX(SubcategoriesTable[Subcategory name],MATCH(Table1[[#This Row],[Category]],SubcategoriesTable[Category name],0),0),"")</f>
        <v>Fixed</v>
      </c>
      <c r="F1236" s="134">
        <v>1738.18</v>
      </c>
      <c r="G1236" s="167" t="str">
        <f>_xlfn.XLOOKUP(Table1[[#This Row],[Account_ID]], Accounts[ID], Accounts[Account nickname], "Unknown")</f>
        <v>EVERYDAY CHECKING</v>
      </c>
      <c r="H1236" s="137" t="str">
        <f>_xlfn.XLOOKUP(Table1[[#This Row],[Account_ID]], Accounts[ID], Accounts[Account'#], "Unknown")</f>
        <v>4636</v>
      </c>
      <c r="I1236" s="168" t="str">
        <f>_xlfn.XLOOKUP(Table1[[#This Row],[Institution_ID]], Institutions[ID], Institutions[Institution nickname], "Unknown")</f>
        <v>Wells Fargo</v>
      </c>
      <c r="J1236" s="139" t="s">
        <v>1939</v>
      </c>
      <c r="K1236" s="129" t="s">
        <v>1229</v>
      </c>
      <c r="L1236" s="129" t="s">
        <v>1228</v>
      </c>
      <c r="M1236" s="130" t="str" cm="1">
        <f t="array" ref="M1236">IFERROR(INDEX(CategoriesTable[Category type],MATCH(Table1[[#This Row],[Category]],CategoriesTable[Category name],0),0),"")</f>
        <v>Income</v>
      </c>
      <c r="N1236" s="130" t="str" cm="1">
        <f t="array" ref="N1236">IFERROR(INDEX(SubcategoriesTable[Subcategory name],MATCH(Table1[[#This Row],[Category]],SubcategoriesTable[Category name],0),0),"")</f>
        <v>Fixed</v>
      </c>
      <c r="O1236" s="130">
        <v>17</v>
      </c>
      <c r="P1236" s="130">
        <f>MONTH(Table1[[#This Row],[Date]])</f>
        <v>1</v>
      </c>
      <c r="Q1236" s="130">
        <v>2020</v>
      </c>
      <c r="R1236" s="166">
        <f>IF(ISBLANK(Table1[[#This Row],[Date]]),"",Table1[[#This Row],[Date]]-WEEKDAY(Table1[[#This Row],[Date]],2)+1)</f>
        <v>43843</v>
      </c>
      <c r="S1236" s="131">
        <f>IF(ISBLANK(Table1[[#This Row],[Date]]),"",DATE(Table1[[#This Row],[Date_Year]],Table1[[#This Row],[Date_Month]],1))</f>
        <v>43831</v>
      </c>
    </row>
    <row r="1237" spans="2:19" ht="15.75" x14ac:dyDescent="0.25">
      <c r="B1237" s="133">
        <v>43846</v>
      </c>
      <c r="C1237" s="128" t="s">
        <v>1022</v>
      </c>
      <c r="D1237" s="128" t="s">
        <v>45</v>
      </c>
      <c r="E1237" s="128" t="str" cm="1">
        <f t="array" ref="E1237">IFERROR(INDEX(SubcategoriesTable[Subcategory name],MATCH(Table1[[#This Row],[Category]],SubcategoriesTable[Category name],0),0),"")</f>
        <v>Variable</v>
      </c>
      <c r="F1237" s="134">
        <v>-12</v>
      </c>
      <c r="G1237" s="167" t="str">
        <f>_xlfn.XLOOKUP(Table1[[#This Row],[Account_ID]], Accounts[ID], Accounts[Account nickname], "Unknown")</f>
        <v>Discover it chrome Card</v>
      </c>
      <c r="H1237" s="137" t="str">
        <f>_xlfn.XLOOKUP(Table1[[#This Row],[Account_ID]], Accounts[ID], Accounts[Account'#], "Unknown")</f>
        <v>7328</v>
      </c>
      <c r="I1237" s="168" t="str">
        <f>_xlfn.XLOOKUP(Table1[[#This Row],[Institution_ID]], Institutions[ID], Institutions[Institution nickname], "Unknown")</f>
        <v>Discover</v>
      </c>
      <c r="J1237" s="139" t="s">
        <v>1023</v>
      </c>
      <c r="K1237" s="129" t="s">
        <v>110</v>
      </c>
      <c r="L1237" s="129" t="s">
        <v>108</v>
      </c>
      <c r="M1237" s="130" t="str" cm="1">
        <f t="array" ref="M1237">IFERROR(INDEX(CategoriesTable[Category type],MATCH(Table1[[#This Row],[Category]],CategoriesTable[Category name],0),0),"")</f>
        <v>Expense</v>
      </c>
      <c r="N1237" s="130" t="str" cm="1">
        <f t="array" ref="N1237">IFERROR(INDEX(SubcategoriesTable[Subcategory name],MATCH(Table1[[#This Row],[Category]],SubcategoriesTable[Category name],0),0),"")</f>
        <v>Variable</v>
      </c>
      <c r="O1237" s="130">
        <v>16</v>
      </c>
      <c r="P1237" s="130">
        <f>MONTH(Table1[[#This Row],[Date]])</f>
        <v>1</v>
      </c>
      <c r="Q1237" s="130">
        <v>2020</v>
      </c>
      <c r="R1237" s="166">
        <f>IF(ISBLANK(Table1[[#This Row],[Date]]),"",Table1[[#This Row],[Date]]-WEEKDAY(Table1[[#This Row],[Date]],2)+1)</f>
        <v>43843</v>
      </c>
      <c r="S1237" s="131">
        <f>IF(ISBLANK(Table1[[#This Row],[Date]]),"",DATE(Table1[[#This Row],[Date_Year]],Table1[[#This Row],[Date_Month]],1))</f>
        <v>43831</v>
      </c>
    </row>
    <row r="1238" spans="2:19" ht="15.75" x14ac:dyDescent="0.25">
      <c r="B1238" s="133">
        <v>43846</v>
      </c>
      <c r="C1238" s="128" t="s">
        <v>1024</v>
      </c>
      <c r="D1238" s="128" t="s">
        <v>45</v>
      </c>
      <c r="E1238" s="128" t="str" cm="1">
        <f t="array" ref="E1238">IFERROR(INDEX(SubcategoriesTable[Subcategory name],MATCH(Table1[[#This Row],[Category]],SubcategoriesTable[Category name],0),0),"")</f>
        <v>Variable</v>
      </c>
      <c r="F1238" s="134">
        <v>-1.6</v>
      </c>
      <c r="G1238" s="167" t="str">
        <f>_xlfn.XLOOKUP(Table1[[#This Row],[Account_ID]], Accounts[ID], Accounts[Account nickname], "Unknown")</f>
        <v>Discover it chrome Card</v>
      </c>
      <c r="H1238" s="137" t="str">
        <f>_xlfn.XLOOKUP(Table1[[#This Row],[Account_ID]], Accounts[ID], Accounts[Account'#], "Unknown")</f>
        <v>7328</v>
      </c>
      <c r="I1238" s="168" t="str">
        <f>_xlfn.XLOOKUP(Table1[[#This Row],[Institution_ID]], Institutions[ID], Institutions[Institution nickname], "Unknown")</f>
        <v>Discover</v>
      </c>
      <c r="J1238" s="139" t="s">
        <v>1025</v>
      </c>
      <c r="K1238" s="129" t="s">
        <v>110</v>
      </c>
      <c r="L1238" s="129" t="s">
        <v>108</v>
      </c>
      <c r="M1238" s="130" t="str" cm="1">
        <f t="array" ref="M1238">IFERROR(INDEX(CategoriesTable[Category type],MATCH(Table1[[#This Row],[Category]],CategoriesTable[Category name],0),0),"")</f>
        <v>Expense</v>
      </c>
      <c r="N1238" s="130" t="str" cm="1">
        <f t="array" ref="N1238">IFERROR(INDEX(SubcategoriesTable[Subcategory name],MATCH(Table1[[#This Row],[Category]],SubcategoriesTable[Category name],0),0),"")</f>
        <v>Variable</v>
      </c>
      <c r="O1238" s="130">
        <v>16</v>
      </c>
      <c r="P1238" s="130">
        <f>MONTH(Table1[[#This Row],[Date]])</f>
        <v>1</v>
      </c>
      <c r="Q1238" s="130">
        <v>2020</v>
      </c>
      <c r="R1238" s="166">
        <f>IF(ISBLANK(Table1[[#This Row],[Date]]),"",Table1[[#This Row],[Date]]-WEEKDAY(Table1[[#This Row],[Date]],2)+1)</f>
        <v>43843</v>
      </c>
      <c r="S1238" s="131">
        <f>IF(ISBLANK(Table1[[#This Row],[Date]]),"",DATE(Table1[[#This Row],[Date_Year]],Table1[[#This Row],[Date_Month]],1))</f>
        <v>43831</v>
      </c>
    </row>
    <row r="1239" spans="2:19" ht="15.75" x14ac:dyDescent="0.25">
      <c r="B1239" s="133">
        <v>43846</v>
      </c>
      <c r="C1239" s="128" t="s">
        <v>427</v>
      </c>
      <c r="D1239" s="128" t="s">
        <v>52</v>
      </c>
      <c r="E1239" s="128" t="str" cm="1">
        <f t="array" ref="E1239">IFERROR(INDEX(SubcategoriesTable[Subcategory name],MATCH(Table1[[#This Row],[Category]],SubcategoriesTable[Category name],0),0),"")</f>
        <v>Variable</v>
      </c>
      <c r="F1239" s="134">
        <v>-24.2</v>
      </c>
      <c r="G1239" s="167" t="str">
        <f>_xlfn.XLOOKUP(Table1[[#This Row],[Account_ID]], Accounts[ID], Accounts[Account nickname], "Unknown")</f>
        <v>Discover it chrome Card</v>
      </c>
      <c r="H1239" s="137" t="str">
        <f>_xlfn.XLOOKUP(Table1[[#This Row],[Account_ID]], Accounts[ID], Accounts[Account'#], "Unknown")</f>
        <v>7328</v>
      </c>
      <c r="I1239" s="168" t="str">
        <f>_xlfn.XLOOKUP(Table1[[#This Row],[Institution_ID]], Institutions[ID], Institutions[Institution nickname], "Unknown")</f>
        <v>Discover</v>
      </c>
      <c r="J1239" s="139" t="s">
        <v>1026</v>
      </c>
      <c r="K1239" s="129" t="s">
        <v>110</v>
      </c>
      <c r="L1239" s="129" t="s">
        <v>108</v>
      </c>
      <c r="M1239" s="130" t="str" cm="1">
        <f t="array" ref="M1239">IFERROR(INDEX(CategoriesTable[Category type],MATCH(Table1[[#This Row],[Category]],CategoriesTable[Category name],0),0),"")</f>
        <v>Expense</v>
      </c>
      <c r="N1239" s="130" t="str" cm="1">
        <f t="array" ref="N1239">IFERROR(INDEX(SubcategoriesTable[Subcategory name],MATCH(Table1[[#This Row],[Category]],SubcategoriesTable[Category name],0),0),"")</f>
        <v>Variable</v>
      </c>
      <c r="O1239" s="130">
        <v>16</v>
      </c>
      <c r="P1239" s="130">
        <f>MONTH(Table1[[#This Row],[Date]])</f>
        <v>1</v>
      </c>
      <c r="Q1239" s="130">
        <v>2020</v>
      </c>
      <c r="R1239" s="166">
        <f>IF(ISBLANK(Table1[[#This Row],[Date]]),"",Table1[[#This Row],[Date]]-WEEKDAY(Table1[[#This Row],[Date]],2)+1)</f>
        <v>43843</v>
      </c>
      <c r="S1239" s="131">
        <f>IF(ISBLANK(Table1[[#This Row],[Date]]),"",DATE(Table1[[#This Row],[Date_Year]],Table1[[#This Row],[Date_Month]],1))</f>
        <v>43831</v>
      </c>
    </row>
    <row r="1240" spans="2:19" ht="15.75" x14ac:dyDescent="0.25">
      <c r="B1240" s="133">
        <v>43845</v>
      </c>
      <c r="C1240" s="128" t="s">
        <v>531</v>
      </c>
      <c r="D1240" s="128" t="s">
        <v>54</v>
      </c>
      <c r="E1240" s="128" t="str" cm="1">
        <f t="array" ref="E1240">IFERROR(INDEX(SubcategoriesTable[Subcategory name],MATCH(Table1[[#This Row],[Category]],SubcategoriesTable[Category name],0),0),"")</f>
        <v>Fixed</v>
      </c>
      <c r="F1240" s="134">
        <v>-6.98</v>
      </c>
      <c r="G1240" s="167" t="str">
        <f>_xlfn.XLOOKUP(Table1[[#This Row],[Account_ID]], Accounts[ID], Accounts[Account nickname], "Unknown")</f>
        <v>Discover it chrome Card</v>
      </c>
      <c r="H1240" s="137" t="str">
        <f>_xlfn.XLOOKUP(Table1[[#This Row],[Account_ID]], Accounts[ID], Accounts[Account'#], "Unknown")</f>
        <v>7328</v>
      </c>
      <c r="I1240" s="168" t="str">
        <f>_xlfn.XLOOKUP(Table1[[#This Row],[Institution_ID]], Institutions[ID], Institutions[Institution nickname], "Unknown")</f>
        <v>Discover</v>
      </c>
      <c r="J1240" s="139" t="s">
        <v>1027</v>
      </c>
      <c r="K1240" s="129" t="s">
        <v>110</v>
      </c>
      <c r="L1240" s="129" t="s">
        <v>108</v>
      </c>
      <c r="M1240" s="130" t="str" cm="1">
        <f t="array" ref="M1240">IFERROR(INDEX(CategoriesTable[Category type],MATCH(Table1[[#This Row],[Category]],CategoriesTable[Category name],0),0),"")</f>
        <v>Expense</v>
      </c>
      <c r="N1240" s="130" t="str" cm="1">
        <f t="array" ref="N1240">IFERROR(INDEX(SubcategoriesTable[Subcategory name],MATCH(Table1[[#This Row],[Category]],SubcategoriesTable[Category name],0),0),"")</f>
        <v>Fixed</v>
      </c>
      <c r="O1240" s="130">
        <v>15</v>
      </c>
      <c r="P1240" s="130">
        <f>MONTH(Table1[[#This Row],[Date]])</f>
        <v>1</v>
      </c>
      <c r="Q1240" s="130">
        <v>2020</v>
      </c>
      <c r="R1240" s="166">
        <f>IF(ISBLANK(Table1[[#This Row],[Date]]),"",Table1[[#This Row],[Date]]-WEEKDAY(Table1[[#This Row],[Date]],2)+1)</f>
        <v>43843</v>
      </c>
      <c r="S1240" s="131">
        <f>IF(ISBLANK(Table1[[#This Row],[Date]]),"",DATE(Table1[[#This Row],[Date_Year]],Table1[[#This Row],[Date_Month]],1))</f>
        <v>43831</v>
      </c>
    </row>
    <row r="1241" spans="2:19" ht="15.75" x14ac:dyDescent="0.25">
      <c r="B1241" s="133">
        <v>43845</v>
      </c>
      <c r="C1241" s="128" t="s">
        <v>1024</v>
      </c>
      <c r="D1241" s="128" t="s">
        <v>45</v>
      </c>
      <c r="E1241" s="128" t="str" cm="1">
        <f t="array" ref="E1241">IFERROR(INDEX(SubcategoriesTable[Subcategory name],MATCH(Table1[[#This Row],[Category]],SubcategoriesTable[Category name],0),0),"")</f>
        <v>Variable</v>
      </c>
      <c r="F1241" s="134">
        <v>-1.85</v>
      </c>
      <c r="G1241" s="167" t="str">
        <f>_xlfn.XLOOKUP(Table1[[#This Row],[Account_ID]], Accounts[ID], Accounts[Account nickname], "Unknown")</f>
        <v>Discover it chrome Card</v>
      </c>
      <c r="H1241" s="137" t="str">
        <f>_xlfn.XLOOKUP(Table1[[#This Row],[Account_ID]], Accounts[ID], Accounts[Account'#], "Unknown")</f>
        <v>7328</v>
      </c>
      <c r="I1241" s="168" t="str">
        <f>_xlfn.XLOOKUP(Table1[[#This Row],[Institution_ID]], Institutions[ID], Institutions[Institution nickname], "Unknown")</f>
        <v>Discover</v>
      </c>
      <c r="J1241" s="139" t="s">
        <v>1028</v>
      </c>
      <c r="K1241" s="129" t="s">
        <v>110</v>
      </c>
      <c r="L1241" s="129" t="s">
        <v>108</v>
      </c>
      <c r="M1241" s="130" t="str" cm="1">
        <f t="array" ref="M1241">IFERROR(INDEX(CategoriesTable[Category type],MATCH(Table1[[#This Row],[Category]],CategoriesTable[Category name],0),0),"")</f>
        <v>Expense</v>
      </c>
      <c r="N1241" s="130" t="str" cm="1">
        <f t="array" ref="N1241">IFERROR(INDEX(SubcategoriesTable[Subcategory name],MATCH(Table1[[#This Row],[Category]],SubcategoriesTable[Category name],0),0),"")</f>
        <v>Variable</v>
      </c>
      <c r="O1241" s="130">
        <v>15</v>
      </c>
      <c r="P1241" s="130">
        <f>MONTH(Table1[[#This Row],[Date]])</f>
        <v>1</v>
      </c>
      <c r="Q1241" s="130">
        <v>2020</v>
      </c>
      <c r="R1241" s="166">
        <f>IF(ISBLANK(Table1[[#This Row],[Date]]),"",Table1[[#This Row],[Date]]-WEEKDAY(Table1[[#This Row],[Date]],2)+1)</f>
        <v>43843</v>
      </c>
      <c r="S1241" s="131">
        <f>IF(ISBLANK(Table1[[#This Row],[Date]]),"",DATE(Table1[[#This Row],[Date_Year]],Table1[[#This Row],[Date_Month]],1))</f>
        <v>43831</v>
      </c>
    </row>
    <row r="1242" spans="2:19" ht="15.75" x14ac:dyDescent="0.25">
      <c r="B1242" s="133">
        <v>43845</v>
      </c>
      <c r="C1242" s="128" t="s">
        <v>1029</v>
      </c>
      <c r="D1242" s="128" t="s">
        <v>61</v>
      </c>
      <c r="E1242" s="128" t="str" cm="1">
        <f t="array" ref="E1242">IFERROR(INDEX(SubcategoriesTable[Subcategory name],MATCH(Table1[[#This Row],[Category]],SubcategoriesTable[Category name],0),0),"")</f>
        <v>Variable</v>
      </c>
      <c r="F1242" s="134">
        <v>-100</v>
      </c>
      <c r="G1242" s="167" t="str">
        <f>_xlfn.XLOOKUP(Table1[[#This Row],[Account_ID]], Accounts[ID], Accounts[Account nickname], "Unknown")</f>
        <v>Discover it chrome Card</v>
      </c>
      <c r="H1242" s="137" t="str">
        <f>_xlfn.XLOOKUP(Table1[[#This Row],[Account_ID]], Accounts[ID], Accounts[Account'#], "Unknown")</f>
        <v>7328</v>
      </c>
      <c r="I1242" s="168" t="str">
        <f>_xlfn.XLOOKUP(Table1[[#This Row],[Institution_ID]], Institutions[ID], Institutions[Institution nickname], "Unknown")</f>
        <v>Discover</v>
      </c>
      <c r="J1242" s="139" t="s">
        <v>1030</v>
      </c>
      <c r="K1242" s="129" t="s">
        <v>110</v>
      </c>
      <c r="L1242" s="129" t="s">
        <v>108</v>
      </c>
      <c r="M1242" s="130" t="str" cm="1">
        <f t="array" ref="M1242">IFERROR(INDEX(CategoriesTable[Category type],MATCH(Table1[[#This Row],[Category]],CategoriesTable[Category name],0),0),"")</f>
        <v>Expense</v>
      </c>
      <c r="N1242" s="130" t="str" cm="1">
        <f t="array" ref="N1242">IFERROR(INDEX(SubcategoriesTable[Subcategory name],MATCH(Table1[[#This Row],[Category]],SubcategoriesTable[Category name],0),0),"")</f>
        <v>Variable</v>
      </c>
      <c r="O1242" s="130">
        <v>15</v>
      </c>
      <c r="P1242" s="130">
        <f>MONTH(Table1[[#This Row],[Date]])</f>
        <v>1</v>
      </c>
      <c r="Q1242" s="130">
        <v>2020</v>
      </c>
      <c r="R1242" s="166">
        <f>IF(ISBLANK(Table1[[#This Row],[Date]]),"",Table1[[#This Row],[Date]]-WEEKDAY(Table1[[#This Row],[Date]],2)+1)</f>
        <v>43843</v>
      </c>
      <c r="S1242" s="131">
        <f>IF(ISBLANK(Table1[[#This Row],[Date]]),"",DATE(Table1[[#This Row],[Date_Year]],Table1[[#This Row],[Date_Month]],1))</f>
        <v>43831</v>
      </c>
    </row>
    <row r="1243" spans="2:19" ht="15.75" x14ac:dyDescent="0.25">
      <c r="B1243" s="133">
        <v>43844</v>
      </c>
      <c r="C1243" s="128" t="s">
        <v>1940</v>
      </c>
      <c r="D1243" s="128" t="s">
        <v>61</v>
      </c>
      <c r="E1243" s="128" t="str" cm="1">
        <f t="array" ref="E1243">IFERROR(INDEX(SubcategoriesTable[Subcategory name],MATCH(Table1[[#This Row],[Category]],SubcategoriesTable[Category name],0),0),"")</f>
        <v>Variable</v>
      </c>
      <c r="F1243" s="134">
        <v>-35</v>
      </c>
      <c r="G1243" s="167" t="str">
        <f>_xlfn.XLOOKUP(Table1[[#This Row],[Account_ID]], Accounts[ID], Accounts[Account nickname], "Unknown")</f>
        <v>EVERYDAY CHECKING</v>
      </c>
      <c r="H1243" s="137" t="str">
        <f>_xlfn.XLOOKUP(Table1[[#This Row],[Account_ID]], Accounts[ID], Accounts[Account'#], "Unknown")</f>
        <v>4636</v>
      </c>
      <c r="I1243" s="168" t="str">
        <f>_xlfn.XLOOKUP(Table1[[#This Row],[Institution_ID]], Institutions[ID], Institutions[Institution nickname], "Unknown")</f>
        <v>Wells Fargo</v>
      </c>
      <c r="J1243" s="139" t="s">
        <v>1941</v>
      </c>
      <c r="K1243" s="129" t="s">
        <v>1229</v>
      </c>
      <c r="L1243" s="129" t="s">
        <v>1228</v>
      </c>
      <c r="M1243" s="130" t="str" cm="1">
        <f t="array" ref="M1243">IFERROR(INDEX(CategoriesTable[Category type],MATCH(Table1[[#This Row],[Category]],CategoriesTable[Category name],0),0),"")</f>
        <v>Expense</v>
      </c>
      <c r="N1243" s="130" t="str" cm="1">
        <f t="array" ref="N1243">IFERROR(INDEX(SubcategoriesTable[Subcategory name],MATCH(Table1[[#This Row],[Category]],SubcategoriesTable[Category name],0),0),"")</f>
        <v>Variable</v>
      </c>
      <c r="O1243" s="130">
        <v>14</v>
      </c>
      <c r="P1243" s="130">
        <f>MONTH(Table1[[#This Row],[Date]])</f>
        <v>1</v>
      </c>
      <c r="Q1243" s="130">
        <v>2020</v>
      </c>
      <c r="R1243" s="166">
        <f>IF(ISBLANK(Table1[[#This Row],[Date]]),"",Table1[[#This Row],[Date]]-WEEKDAY(Table1[[#This Row],[Date]],2)+1)</f>
        <v>43843</v>
      </c>
      <c r="S1243" s="131">
        <f>IF(ISBLANK(Table1[[#This Row],[Date]]),"",DATE(Table1[[#This Row],[Date_Year]],Table1[[#This Row],[Date_Month]],1))</f>
        <v>43831</v>
      </c>
    </row>
    <row r="1244" spans="2:19" ht="15.75" x14ac:dyDescent="0.25">
      <c r="B1244" s="133">
        <v>43844</v>
      </c>
      <c r="C1244" s="128" t="s">
        <v>531</v>
      </c>
      <c r="D1244" s="128" t="s">
        <v>54</v>
      </c>
      <c r="E1244" s="128" t="str" cm="1">
        <f t="array" ref="E1244">IFERROR(INDEX(SubcategoriesTable[Subcategory name],MATCH(Table1[[#This Row],[Category]],SubcategoriesTable[Category name],0),0),"")</f>
        <v>Fixed</v>
      </c>
      <c r="F1244" s="134">
        <v>-7.31</v>
      </c>
      <c r="G1244" s="167" t="str">
        <f>_xlfn.XLOOKUP(Table1[[#This Row],[Account_ID]], Accounts[ID], Accounts[Account nickname], "Unknown")</f>
        <v>Discover it chrome Card</v>
      </c>
      <c r="H1244" s="137" t="str">
        <f>_xlfn.XLOOKUP(Table1[[#This Row],[Account_ID]], Accounts[ID], Accounts[Account'#], "Unknown")</f>
        <v>7328</v>
      </c>
      <c r="I1244" s="168" t="str">
        <f>_xlfn.XLOOKUP(Table1[[#This Row],[Institution_ID]], Institutions[ID], Institutions[Institution nickname], "Unknown")</f>
        <v>Discover</v>
      </c>
      <c r="J1244" s="139" t="s">
        <v>1031</v>
      </c>
      <c r="K1244" s="129" t="s">
        <v>110</v>
      </c>
      <c r="L1244" s="129" t="s">
        <v>108</v>
      </c>
      <c r="M1244" s="130" t="str" cm="1">
        <f t="array" ref="M1244">IFERROR(INDEX(CategoriesTable[Category type],MATCH(Table1[[#This Row],[Category]],CategoriesTable[Category name],0),0),"")</f>
        <v>Expense</v>
      </c>
      <c r="N1244" s="130" t="str" cm="1">
        <f t="array" ref="N1244">IFERROR(INDEX(SubcategoriesTable[Subcategory name],MATCH(Table1[[#This Row],[Category]],SubcategoriesTable[Category name],0),0),"")</f>
        <v>Fixed</v>
      </c>
      <c r="O1244" s="130">
        <v>14</v>
      </c>
      <c r="P1244" s="130">
        <f>MONTH(Table1[[#This Row],[Date]])</f>
        <v>1</v>
      </c>
      <c r="Q1244" s="130">
        <v>2020</v>
      </c>
      <c r="R1244" s="166">
        <f>IF(ISBLANK(Table1[[#This Row],[Date]]),"",Table1[[#This Row],[Date]]-WEEKDAY(Table1[[#This Row],[Date]],2)+1)</f>
        <v>43843</v>
      </c>
      <c r="S1244" s="131">
        <f>IF(ISBLANK(Table1[[#This Row],[Date]]),"",DATE(Table1[[#This Row],[Date_Year]],Table1[[#This Row],[Date_Month]],1))</f>
        <v>43831</v>
      </c>
    </row>
    <row r="1245" spans="2:19" ht="15.75" x14ac:dyDescent="0.25">
      <c r="B1245" s="133">
        <v>43844</v>
      </c>
      <c r="C1245" s="128" t="s">
        <v>661</v>
      </c>
      <c r="D1245" s="128" t="s">
        <v>45</v>
      </c>
      <c r="E1245" s="128" t="str" cm="1">
        <f t="array" ref="E1245">IFERROR(INDEX(SubcategoriesTable[Subcategory name],MATCH(Table1[[#This Row],[Category]],SubcategoriesTable[Category name],0),0),"")</f>
        <v>Variable</v>
      </c>
      <c r="F1245" s="134">
        <v>-13</v>
      </c>
      <c r="G1245" s="167" t="str">
        <f>_xlfn.XLOOKUP(Table1[[#This Row],[Account_ID]], Accounts[ID], Accounts[Account nickname], "Unknown")</f>
        <v>Discover it chrome Card</v>
      </c>
      <c r="H1245" s="137" t="str">
        <f>_xlfn.XLOOKUP(Table1[[#This Row],[Account_ID]], Accounts[ID], Accounts[Account'#], "Unknown")</f>
        <v>7328</v>
      </c>
      <c r="I1245" s="168" t="str">
        <f>_xlfn.XLOOKUP(Table1[[#This Row],[Institution_ID]], Institutions[ID], Institutions[Institution nickname], "Unknown")</f>
        <v>Discover</v>
      </c>
      <c r="J1245" s="139" t="s">
        <v>1032</v>
      </c>
      <c r="K1245" s="129" t="s">
        <v>110</v>
      </c>
      <c r="L1245" s="129" t="s">
        <v>108</v>
      </c>
      <c r="M1245" s="130" t="str" cm="1">
        <f t="array" ref="M1245">IFERROR(INDEX(CategoriesTable[Category type],MATCH(Table1[[#This Row],[Category]],CategoriesTable[Category name],0),0),"")</f>
        <v>Expense</v>
      </c>
      <c r="N1245" s="130" t="str" cm="1">
        <f t="array" ref="N1245">IFERROR(INDEX(SubcategoriesTable[Subcategory name],MATCH(Table1[[#This Row],[Category]],SubcategoriesTable[Category name],0),0),"")</f>
        <v>Variable</v>
      </c>
      <c r="O1245" s="130">
        <v>14</v>
      </c>
      <c r="P1245" s="130">
        <f>MONTH(Table1[[#This Row],[Date]])</f>
        <v>1</v>
      </c>
      <c r="Q1245" s="130">
        <v>2020</v>
      </c>
      <c r="R1245" s="166">
        <f>IF(ISBLANK(Table1[[#This Row],[Date]]),"",Table1[[#This Row],[Date]]-WEEKDAY(Table1[[#This Row],[Date]],2)+1)</f>
        <v>43843</v>
      </c>
      <c r="S1245" s="131">
        <f>IF(ISBLANK(Table1[[#This Row],[Date]]),"",DATE(Table1[[#This Row],[Date_Year]],Table1[[#This Row],[Date_Month]],1))</f>
        <v>43831</v>
      </c>
    </row>
    <row r="1246" spans="2:19" ht="15.75" x14ac:dyDescent="0.25">
      <c r="B1246" s="133">
        <v>43843</v>
      </c>
      <c r="C1246" s="128" t="s">
        <v>169</v>
      </c>
      <c r="D1246" s="128" t="s">
        <v>45</v>
      </c>
      <c r="E1246" s="128" t="str" cm="1">
        <f t="array" ref="E1246">IFERROR(INDEX(SubcategoriesTable[Subcategory name],MATCH(Table1[[#This Row],[Category]],SubcategoriesTable[Category name],0),0),"")</f>
        <v>Variable</v>
      </c>
      <c r="F1246" s="134">
        <v>-7.09</v>
      </c>
      <c r="G1246" s="167" t="str">
        <f>_xlfn.XLOOKUP(Table1[[#This Row],[Account_ID]], Accounts[ID], Accounts[Account nickname], "Unknown")</f>
        <v>EVERYDAY CHECKING</v>
      </c>
      <c r="H1246" s="137" t="str">
        <f>_xlfn.XLOOKUP(Table1[[#This Row],[Account_ID]], Accounts[ID], Accounts[Account'#], "Unknown")</f>
        <v>4636</v>
      </c>
      <c r="I1246" s="168" t="str">
        <f>_xlfn.XLOOKUP(Table1[[#This Row],[Institution_ID]], Institutions[ID], Institutions[Institution nickname], "Unknown")</f>
        <v>Wells Fargo</v>
      </c>
      <c r="J1246" s="139" t="s">
        <v>1942</v>
      </c>
      <c r="K1246" s="129" t="s">
        <v>1229</v>
      </c>
      <c r="L1246" s="129" t="s">
        <v>1228</v>
      </c>
      <c r="M1246" s="130" t="str" cm="1">
        <f t="array" ref="M1246">IFERROR(INDEX(CategoriesTable[Category type],MATCH(Table1[[#This Row],[Category]],CategoriesTable[Category name],0),0),"")</f>
        <v>Expense</v>
      </c>
      <c r="N1246" s="130" t="str" cm="1">
        <f t="array" ref="N1246">IFERROR(INDEX(SubcategoriesTable[Subcategory name],MATCH(Table1[[#This Row],[Category]],SubcategoriesTable[Category name],0),0),"")</f>
        <v>Variable</v>
      </c>
      <c r="O1246" s="130">
        <v>13</v>
      </c>
      <c r="P1246" s="130">
        <f>MONTH(Table1[[#This Row],[Date]])</f>
        <v>1</v>
      </c>
      <c r="Q1246" s="130">
        <v>2020</v>
      </c>
      <c r="R1246" s="166">
        <f>IF(ISBLANK(Table1[[#This Row],[Date]]),"",Table1[[#This Row],[Date]]-WEEKDAY(Table1[[#This Row],[Date]],2)+1)</f>
        <v>43843</v>
      </c>
      <c r="S1246" s="131">
        <f>IF(ISBLANK(Table1[[#This Row],[Date]]),"",DATE(Table1[[#This Row],[Date_Year]],Table1[[#This Row],[Date_Month]],1))</f>
        <v>43831</v>
      </c>
    </row>
    <row r="1247" spans="2:19" ht="15.75" x14ac:dyDescent="0.25">
      <c r="B1247" s="133">
        <v>43843</v>
      </c>
      <c r="C1247" s="128" t="s">
        <v>1943</v>
      </c>
      <c r="D1247" s="128" t="s">
        <v>50</v>
      </c>
      <c r="E1247" s="128" t="str" cm="1">
        <f t="array" ref="E1247">IFERROR(INDEX(SubcategoriesTable[Subcategory name],MATCH(Table1[[#This Row],[Category]],SubcategoriesTable[Category name],0),0),"")</f>
        <v>Variable</v>
      </c>
      <c r="F1247" s="134">
        <v>-20</v>
      </c>
      <c r="G1247" s="167" t="str">
        <f>_xlfn.XLOOKUP(Table1[[#This Row],[Account_ID]], Accounts[ID], Accounts[Account nickname], "Unknown")</f>
        <v>EVERYDAY CHECKING</v>
      </c>
      <c r="H1247" s="137" t="str">
        <f>_xlfn.XLOOKUP(Table1[[#This Row],[Account_ID]], Accounts[ID], Accounts[Account'#], "Unknown")</f>
        <v>4636</v>
      </c>
      <c r="I1247" s="168" t="str">
        <f>_xlfn.XLOOKUP(Table1[[#This Row],[Institution_ID]], Institutions[ID], Institutions[Institution nickname], "Unknown")</f>
        <v>Wells Fargo</v>
      </c>
      <c r="J1247" s="139" t="s">
        <v>1944</v>
      </c>
      <c r="K1247" s="129" t="s">
        <v>1229</v>
      </c>
      <c r="L1247" s="129" t="s">
        <v>1228</v>
      </c>
      <c r="M1247" s="130" t="str" cm="1">
        <f t="array" ref="M1247">IFERROR(INDEX(CategoriesTable[Category type],MATCH(Table1[[#This Row],[Category]],CategoriesTable[Category name],0),0),"")</f>
        <v>Transfer</v>
      </c>
      <c r="N1247" s="130" t="str" cm="1">
        <f t="array" ref="N1247">IFERROR(INDEX(SubcategoriesTable[Subcategory name],MATCH(Table1[[#This Row],[Category]],SubcategoriesTable[Category name],0),0),"")</f>
        <v>Variable</v>
      </c>
      <c r="O1247" s="130">
        <v>13</v>
      </c>
      <c r="P1247" s="130">
        <f>MONTH(Table1[[#This Row],[Date]])</f>
        <v>1</v>
      </c>
      <c r="Q1247" s="130">
        <v>2020</v>
      </c>
      <c r="R1247" s="166">
        <f>IF(ISBLANK(Table1[[#This Row],[Date]]),"",Table1[[#This Row],[Date]]-WEEKDAY(Table1[[#This Row],[Date]],2)+1)</f>
        <v>43843</v>
      </c>
      <c r="S1247" s="131">
        <f>IF(ISBLANK(Table1[[#This Row],[Date]]),"",DATE(Table1[[#This Row],[Date_Year]],Table1[[#This Row],[Date_Month]],1))</f>
        <v>43831</v>
      </c>
    </row>
    <row r="1248" spans="2:19" ht="15.75" x14ac:dyDescent="0.25">
      <c r="B1248" s="133">
        <v>43843</v>
      </c>
      <c r="C1248" s="128" t="s">
        <v>1943</v>
      </c>
      <c r="D1248" s="128" t="s">
        <v>50</v>
      </c>
      <c r="E1248" s="128" t="str" cm="1">
        <f t="array" ref="E1248">IFERROR(INDEX(SubcategoriesTable[Subcategory name],MATCH(Table1[[#This Row],[Category]],SubcategoriesTable[Category name],0),0),"")</f>
        <v>Variable</v>
      </c>
      <c r="F1248" s="134">
        <v>-20</v>
      </c>
      <c r="G1248" s="167" t="str">
        <f>_xlfn.XLOOKUP(Table1[[#This Row],[Account_ID]], Accounts[ID], Accounts[Account nickname], "Unknown")</f>
        <v>EVERYDAY CHECKING</v>
      </c>
      <c r="H1248" s="137" t="str">
        <f>_xlfn.XLOOKUP(Table1[[#This Row],[Account_ID]], Accounts[ID], Accounts[Account'#], "Unknown")</f>
        <v>4636</v>
      </c>
      <c r="I1248" s="168" t="str">
        <f>_xlfn.XLOOKUP(Table1[[#This Row],[Institution_ID]], Institutions[ID], Institutions[Institution nickname], "Unknown")</f>
        <v>Wells Fargo</v>
      </c>
      <c r="J1248" s="139" t="s">
        <v>1945</v>
      </c>
      <c r="K1248" s="129" t="s">
        <v>1229</v>
      </c>
      <c r="L1248" s="129" t="s">
        <v>1228</v>
      </c>
      <c r="M1248" s="130" t="str" cm="1">
        <f t="array" ref="M1248">IFERROR(INDEX(CategoriesTable[Category type],MATCH(Table1[[#This Row],[Category]],CategoriesTable[Category name],0),0),"")</f>
        <v>Transfer</v>
      </c>
      <c r="N1248" s="130" t="str" cm="1">
        <f t="array" ref="N1248">IFERROR(INDEX(SubcategoriesTable[Subcategory name],MATCH(Table1[[#This Row],[Category]],SubcategoriesTable[Category name],0),0),"")</f>
        <v>Variable</v>
      </c>
      <c r="O1248" s="130">
        <v>13</v>
      </c>
      <c r="P1248" s="130">
        <f>MONTH(Table1[[#This Row],[Date]])</f>
        <v>1</v>
      </c>
      <c r="Q1248" s="130">
        <v>2020</v>
      </c>
      <c r="R1248" s="166">
        <f>IF(ISBLANK(Table1[[#This Row],[Date]]),"",Table1[[#This Row],[Date]]-WEEKDAY(Table1[[#This Row],[Date]],2)+1)</f>
        <v>43843</v>
      </c>
      <c r="S1248" s="131">
        <f>IF(ISBLANK(Table1[[#This Row],[Date]]),"",DATE(Table1[[#This Row],[Date_Year]],Table1[[#This Row],[Date_Month]],1))</f>
        <v>43831</v>
      </c>
    </row>
    <row r="1249" spans="2:19" ht="15.75" x14ac:dyDescent="0.25">
      <c r="B1249" s="133">
        <v>43843</v>
      </c>
      <c r="C1249" s="128" t="s">
        <v>171</v>
      </c>
      <c r="D1249" s="128" t="s">
        <v>46</v>
      </c>
      <c r="E1249" s="128" t="str" cm="1">
        <f t="array" ref="E1249">IFERROR(INDEX(SubcategoriesTable[Subcategory name],MATCH(Table1[[#This Row],[Category]],SubcategoriesTable[Category name],0),0),"")</f>
        <v>Variable</v>
      </c>
      <c r="F1249" s="134">
        <v>-28.77</v>
      </c>
      <c r="G1249" s="167" t="str">
        <f>_xlfn.XLOOKUP(Table1[[#This Row],[Account_ID]], Accounts[ID], Accounts[Account nickname], "Unknown")</f>
        <v>EVERYDAY CHECKING</v>
      </c>
      <c r="H1249" s="137" t="str">
        <f>_xlfn.XLOOKUP(Table1[[#This Row],[Account_ID]], Accounts[ID], Accounts[Account'#], "Unknown")</f>
        <v>4636</v>
      </c>
      <c r="I1249" s="168" t="str">
        <f>_xlfn.XLOOKUP(Table1[[#This Row],[Institution_ID]], Institutions[ID], Institutions[Institution nickname], "Unknown")</f>
        <v>Wells Fargo</v>
      </c>
      <c r="J1249" s="139" t="s">
        <v>1946</v>
      </c>
      <c r="K1249" s="129" t="s">
        <v>1229</v>
      </c>
      <c r="L1249" s="129" t="s">
        <v>1228</v>
      </c>
      <c r="M1249" s="130" t="str" cm="1">
        <f t="array" ref="M1249">IFERROR(INDEX(CategoriesTable[Category type],MATCH(Table1[[#This Row],[Category]],CategoriesTable[Category name],0),0),"")</f>
        <v>Expense</v>
      </c>
      <c r="N1249" s="130" t="str" cm="1">
        <f t="array" ref="N1249">IFERROR(INDEX(SubcategoriesTable[Subcategory name],MATCH(Table1[[#This Row],[Category]],SubcategoriesTable[Category name],0),0),"")</f>
        <v>Variable</v>
      </c>
      <c r="O1249" s="130">
        <v>13</v>
      </c>
      <c r="P1249" s="130">
        <f>MONTH(Table1[[#This Row],[Date]])</f>
        <v>1</v>
      </c>
      <c r="Q1249" s="130">
        <v>2020</v>
      </c>
      <c r="R1249" s="166">
        <f>IF(ISBLANK(Table1[[#This Row],[Date]]),"",Table1[[#This Row],[Date]]-WEEKDAY(Table1[[#This Row],[Date]],2)+1)</f>
        <v>43843</v>
      </c>
      <c r="S1249" s="131">
        <f>IF(ISBLANK(Table1[[#This Row],[Date]]),"",DATE(Table1[[#This Row],[Date_Year]],Table1[[#This Row],[Date_Month]],1))</f>
        <v>43831</v>
      </c>
    </row>
    <row r="1250" spans="2:19" ht="15.75" x14ac:dyDescent="0.25">
      <c r="B1250" s="133">
        <v>43843</v>
      </c>
      <c r="C1250" s="128" t="s">
        <v>1033</v>
      </c>
      <c r="D1250" s="128" t="s">
        <v>61</v>
      </c>
      <c r="E1250" s="128" t="str" cm="1">
        <f t="array" ref="E1250">IFERROR(INDEX(SubcategoriesTable[Subcategory name],MATCH(Table1[[#This Row],[Category]],SubcategoriesTable[Category name],0),0),"")</f>
        <v>Variable</v>
      </c>
      <c r="F1250" s="134">
        <v>-20</v>
      </c>
      <c r="G1250" s="167" t="str">
        <f>_xlfn.XLOOKUP(Table1[[#This Row],[Account_ID]], Accounts[ID], Accounts[Account nickname], "Unknown")</f>
        <v>Discover it chrome Card</v>
      </c>
      <c r="H1250" s="137" t="str">
        <f>_xlfn.XLOOKUP(Table1[[#This Row],[Account_ID]], Accounts[ID], Accounts[Account'#], "Unknown")</f>
        <v>7328</v>
      </c>
      <c r="I1250" s="168" t="str">
        <f>_xlfn.XLOOKUP(Table1[[#This Row],[Institution_ID]], Institutions[ID], Institutions[Institution nickname], "Unknown")</f>
        <v>Discover</v>
      </c>
      <c r="J1250" s="139" t="s">
        <v>1034</v>
      </c>
      <c r="K1250" s="129" t="s">
        <v>110</v>
      </c>
      <c r="L1250" s="129" t="s">
        <v>108</v>
      </c>
      <c r="M1250" s="130" t="str" cm="1">
        <f t="array" ref="M1250">IFERROR(INDEX(CategoriesTable[Category type],MATCH(Table1[[#This Row],[Category]],CategoriesTable[Category name],0),0),"")</f>
        <v>Expense</v>
      </c>
      <c r="N1250" s="130" t="str" cm="1">
        <f t="array" ref="N1250">IFERROR(INDEX(SubcategoriesTable[Subcategory name],MATCH(Table1[[#This Row],[Category]],SubcategoriesTable[Category name],0),0),"")</f>
        <v>Variable</v>
      </c>
      <c r="O1250" s="130">
        <v>13</v>
      </c>
      <c r="P1250" s="130">
        <f>MONTH(Table1[[#This Row],[Date]])</f>
        <v>1</v>
      </c>
      <c r="Q1250" s="130">
        <v>2020</v>
      </c>
      <c r="R1250" s="166">
        <f>IF(ISBLANK(Table1[[#This Row],[Date]]),"",Table1[[#This Row],[Date]]-WEEKDAY(Table1[[#This Row],[Date]],2)+1)</f>
        <v>43843</v>
      </c>
      <c r="S1250" s="131">
        <f>IF(ISBLANK(Table1[[#This Row],[Date]]),"",DATE(Table1[[#This Row],[Date_Year]],Table1[[#This Row],[Date_Month]],1))</f>
        <v>43831</v>
      </c>
    </row>
    <row r="1251" spans="2:19" ht="15.75" x14ac:dyDescent="0.25">
      <c r="B1251" s="133">
        <v>43843</v>
      </c>
      <c r="C1251" s="128" t="s">
        <v>1035</v>
      </c>
      <c r="D1251" s="128" t="s">
        <v>50</v>
      </c>
      <c r="E1251" s="128" t="str" cm="1">
        <f t="array" ref="E1251">IFERROR(INDEX(SubcategoriesTable[Subcategory name],MATCH(Table1[[#This Row],[Category]],SubcategoriesTable[Category name],0),0),"")</f>
        <v>Variable</v>
      </c>
      <c r="F1251" s="134">
        <v>-400</v>
      </c>
      <c r="G1251" s="167" t="str">
        <f>_xlfn.XLOOKUP(Table1[[#This Row],[Account_ID]], Accounts[ID], Accounts[Account nickname], "Unknown")</f>
        <v>Discover it chrome Card</v>
      </c>
      <c r="H1251" s="137" t="str">
        <f>_xlfn.XLOOKUP(Table1[[#This Row],[Account_ID]], Accounts[ID], Accounts[Account'#], "Unknown")</f>
        <v>7328</v>
      </c>
      <c r="I1251" s="168" t="str">
        <f>_xlfn.XLOOKUP(Table1[[#This Row],[Institution_ID]], Institutions[ID], Institutions[Institution nickname], "Unknown")</f>
        <v>Discover</v>
      </c>
      <c r="J1251" s="139" t="s">
        <v>1036</v>
      </c>
      <c r="K1251" s="129" t="s">
        <v>110</v>
      </c>
      <c r="L1251" s="129" t="s">
        <v>108</v>
      </c>
      <c r="M1251" s="130" t="str" cm="1">
        <f t="array" ref="M1251">IFERROR(INDEX(CategoriesTable[Category type],MATCH(Table1[[#This Row],[Category]],CategoriesTable[Category name],0),0),"")</f>
        <v>Transfer</v>
      </c>
      <c r="N1251" s="130" t="str" cm="1">
        <f t="array" ref="N1251">IFERROR(INDEX(SubcategoriesTable[Subcategory name],MATCH(Table1[[#This Row],[Category]],SubcategoriesTable[Category name],0),0),"")</f>
        <v>Variable</v>
      </c>
      <c r="O1251" s="130">
        <v>13</v>
      </c>
      <c r="P1251" s="130">
        <f>MONTH(Table1[[#This Row],[Date]])</f>
        <v>1</v>
      </c>
      <c r="Q1251" s="130">
        <v>2020</v>
      </c>
      <c r="R1251" s="166">
        <f>IF(ISBLANK(Table1[[#This Row],[Date]]),"",Table1[[#This Row],[Date]]-WEEKDAY(Table1[[#This Row],[Date]],2)+1)</f>
        <v>43843</v>
      </c>
      <c r="S1251" s="131">
        <f>IF(ISBLANK(Table1[[#This Row],[Date]]),"",DATE(Table1[[#This Row],[Date_Year]],Table1[[#This Row],[Date_Month]],1))</f>
        <v>43831</v>
      </c>
    </row>
    <row r="1252" spans="2:19" ht="15.75" x14ac:dyDescent="0.25">
      <c r="B1252" s="133">
        <v>43843</v>
      </c>
      <c r="C1252" s="128" t="s">
        <v>1037</v>
      </c>
      <c r="D1252" s="128" t="s">
        <v>55</v>
      </c>
      <c r="E1252" s="128" t="str" cm="1">
        <f t="array" ref="E1252">IFERROR(INDEX(SubcategoriesTable[Subcategory name],MATCH(Table1[[#This Row],[Category]],SubcategoriesTable[Category name],0),0),"")</f>
        <v>Variable</v>
      </c>
      <c r="F1252" s="134">
        <v>-90</v>
      </c>
      <c r="G1252" s="167" t="str">
        <f>_xlfn.XLOOKUP(Table1[[#This Row],[Account_ID]], Accounts[ID], Accounts[Account nickname], "Unknown")</f>
        <v>Discover it chrome Card</v>
      </c>
      <c r="H1252" s="137" t="str">
        <f>_xlfn.XLOOKUP(Table1[[#This Row],[Account_ID]], Accounts[ID], Accounts[Account'#], "Unknown")</f>
        <v>7328</v>
      </c>
      <c r="I1252" s="168" t="str">
        <f>_xlfn.XLOOKUP(Table1[[#This Row],[Institution_ID]], Institutions[ID], Institutions[Institution nickname], "Unknown")</f>
        <v>Discover</v>
      </c>
      <c r="J1252" s="139" t="s">
        <v>1038</v>
      </c>
      <c r="K1252" s="129" t="s">
        <v>110</v>
      </c>
      <c r="L1252" s="129" t="s">
        <v>108</v>
      </c>
      <c r="M1252" s="130" t="str" cm="1">
        <f t="array" ref="M1252">IFERROR(INDEX(CategoriesTable[Category type],MATCH(Table1[[#This Row],[Category]],CategoriesTable[Category name],0),0),"")</f>
        <v>Expense</v>
      </c>
      <c r="N1252" s="130" t="str" cm="1">
        <f t="array" ref="N1252">IFERROR(INDEX(SubcategoriesTable[Subcategory name],MATCH(Table1[[#This Row],[Category]],SubcategoriesTable[Category name],0),0),"")</f>
        <v>Variable</v>
      </c>
      <c r="O1252" s="130">
        <v>13</v>
      </c>
      <c r="P1252" s="130">
        <f>MONTH(Table1[[#This Row],[Date]])</f>
        <v>1</v>
      </c>
      <c r="Q1252" s="130">
        <v>2020</v>
      </c>
      <c r="R1252" s="166">
        <f>IF(ISBLANK(Table1[[#This Row],[Date]]),"",Table1[[#This Row],[Date]]-WEEKDAY(Table1[[#This Row],[Date]],2)+1)</f>
        <v>43843</v>
      </c>
      <c r="S1252" s="131">
        <f>IF(ISBLANK(Table1[[#This Row],[Date]]),"",DATE(Table1[[#This Row],[Date_Year]],Table1[[#This Row],[Date_Month]],1))</f>
        <v>43831</v>
      </c>
    </row>
    <row r="1253" spans="2:19" ht="15.75" x14ac:dyDescent="0.25">
      <c r="B1253" s="133">
        <v>43842</v>
      </c>
      <c r="C1253" s="128" t="s">
        <v>996</v>
      </c>
      <c r="D1253" s="128" t="s">
        <v>48</v>
      </c>
      <c r="E1253" s="128" t="str" cm="1">
        <f t="array" ref="E1253">IFERROR(INDEX(SubcategoriesTable[Subcategory name],MATCH(Table1[[#This Row],[Category]],SubcategoriesTable[Category name],0),0),"")</f>
        <v>Variable</v>
      </c>
      <c r="F1253" s="134">
        <v>-15.32</v>
      </c>
      <c r="G1253" s="167" t="str">
        <f>_xlfn.XLOOKUP(Table1[[#This Row],[Account_ID]], Accounts[ID], Accounts[Account nickname], "Unknown")</f>
        <v>EVERYDAY CHECKING</v>
      </c>
      <c r="H1253" s="137" t="str">
        <f>_xlfn.XLOOKUP(Table1[[#This Row],[Account_ID]], Accounts[ID], Accounts[Account'#], "Unknown")</f>
        <v>4636</v>
      </c>
      <c r="I1253" s="168" t="str">
        <f>_xlfn.XLOOKUP(Table1[[#This Row],[Institution_ID]], Institutions[ID], Institutions[Institution nickname], "Unknown")</f>
        <v>Wells Fargo</v>
      </c>
      <c r="J1253" s="139" t="s">
        <v>1947</v>
      </c>
      <c r="K1253" s="129" t="s">
        <v>1229</v>
      </c>
      <c r="L1253" s="129" t="s">
        <v>1228</v>
      </c>
      <c r="M1253" s="130" t="str" cm="1">
        <f t="array" ref="M1253">IFERROR(INDEX(CategoriesTable[Category type],MATCH(Table1[[#This Row],[Category]],CategoriesTable[Category name],0),0),"")</f>
        <v>Expense</v>
      </c>
      <c r="N1253" s="130" t="str" cm="1">
        <f t="array" ref="N1253">IFERROR(INDEX(SubcategoriesTable[Subcategory name],MATCH(Table1[[#This Row],[Category]],SubcategoriesTable[Category name],0),0),"")</f>
        <v>Variable</v>
      </c>
      <c r="O1253" s="130">
        <v>12</v>
      </c>
      <c r="P1253" s="130">
        <f>MONTH(Table1[[#This Row],[Date]])</f>
        <v>1</v>
      </c>
      <c r="Q1253" s="130">
        <v>2020</v>
      </c>
      <c r="R1253" s="166">
        <f>IF(ISBLANK(Table1[[#This Row],[Date]]),"",Table1[[#This Row],[Date]]-WEEKDAY(Table1[[#This Row],[Date]],2)+1)</f>
        <v>43836</v>
      </c>
      <c r="S1253" s="131">
        <f>IF(ISBLANK(Table1[[#This Row],[Date]]),"",DATE(Table1[[#This Row],[Date_Year]],Table1[[#This Row],[Date_Month]],1))</f>
        <v>43831</v>
      </c>
    </row>
    <row r="1254" spans="2:19" ht="15.75" x14ac:dyDescent="0.25">
      <c r="B1254" s="133">
        <v>43842</v>
      </c>
      <c r="C1254" s="128" t="s">
        <v>115</v>
      </c>
      <c r="D1254" s="128" t="s">
        <v>48</v>
      </c>
      <c r="E1254" s="128" t="str" cm="1">
        <f t="array" ref="E1254">IFERROR(INDEX(SubcategoriesTable[Subcategory name],MATCH(Table1[[#This Row],[Category]],SubcategoriesTable[Category name],0),0),"")</f>
        <v>Variable</v>
      </c>
      <c r="F1254" s="134">
        <v>-1386</v>
      </c>
      <c r="G1254" s="167" t="str">
        <f>_xlfn.XLOOKUP(Table1[[#This Row],[Account_ID]], Accounts[ID], Accounts[Account nickname], "Unknown")</f>
        <v>EVERYDAY CHECKING</v>
      </c>
      <c r="H1254" s="137" t="str">
        <f>_xlfn.XLOOKUP(Table1[[#This Row],[Account_ID]], Accounts[ID], Accounts[Account'#], "Unknown")</f>
        <v>4636</v>
      </c>
      <c r="I1254" s="168" t="str">
        <f>_xlfn.XLOOKUP(Table1[[#This Row],[Institution_ID]], Institutions[ID], Institutions[Institution nickname], "Unknown")</f>
        <v>Wells Fargo</v>
      </c>
      <c r="J1254" s="139" t="s">
        <v>1948</v>
      </c>
      <c r="K1254" s="129" t="s">
        <v>1229</v>
      </c>
      <c r="L1254" s="129" t="s">
        <v>1228</v>
      </c>
      <c r="M1254" s="130" t="str" cm="1">
        <f t="array" ref="M1254">IFERROR(INDEX(CategoriesTable[Category type],MATCH(Table1[[#This Row],[Category]],CategoriesTable[Category name],0),0),"")</f>
        <v>Expense</v>
      </c>
      <c r="N1254" s="130" t="str" cm="1">
        <f t="array" ref="N1254">IFERROR(INDEX(SubcategoriesTable[Subcategory name],MATCH(Table1[[#This Row],[Category]],SubcategoriesTable[Category name],0),0),"")</f>
        <v>Variable</v>
      </c>
      <c r="O1254" s="130">
        <v>12</v>
      </c>
      <c r="P1254" s="130">
        <f>MONTH(Table1[[#This Row],[Date]])</f>
        <v>1</v>
      </c>
      <c r="Q1254" s="130">
        <v>2020</v>
      </c>
      <c r="R1254" s="166">
        <f>IF(ISBLANK(Table1[[#This Row],[Date]]),"",Table1[[#This Row],[Date]]-WEEKDAY(Table1[[#This Row],[Date]],2)+1)</f>
        <v>43836</v>
      </c>
      <c r="S1254" s="131">
        <f>IF(ISBLANK(Table1[[#This Row],[Date]]),"",DATE(Table1[[#This Row],[Date_Year]],Table1[[#This Row],[Date_Month]],1))</f>
        <v>43831</v>
      </c>
    </row>
    <row r="1255" spans="2:19" ht="15.75" x14ac:dyDescent="0.25">
      <c r="B1255" s="133">
        <v>43841</v>
      </c>
      <c r="C1255" s="128" t="s">
        <v>1949</v>
      </c>
      <c r="D1255" s="128" t="s">
        <v>52</v>
      </c>
      <c r="E1255" s="128" t="str" cm="1">
        <f t="array" ref="E1255">IFERROR(INDEX(SubcategoriesTable[Subcategory name],MATCH(Table1[[#This Row],[Category]],SubcategoriesTable[Category name],0),0),"")</f>
        <v>Variable</v>
      </c>
      <c r="F1255" s="134">
        <v>-37.01</v>
      </c>
      <c r="G1255" s="167" t="str">
        <f>_xlfn.XLOOKUP(Table1[[#This Row],[Account_ID]], Accounts[ID], Accounts[Account nickname], "Unknown")</f>
        <v>EVERYDAY CHECKING</v>
      </c>
      <c r="H1255" s="137" t="str">
        <f>_xlfn.XLOOKUP(Table1[[#This Row],[Account_ID]], Accounts[ID], Accounts[Account'#], "Unknown")</f>
        <v>4636</v>
      </c>
      <c r="I1255" s="168" t="str">
        <f>_xlfn.XLOOKUP(Table1[[#This Row],[Institution_ID]], Institutions[ID], Institutions[Institution nickname], "Unknown")</f>
        <v>Wells Fargo</v>
      </c>
      <c r="J1255" s="139" t="s">
        <v>1950</v>
      </c>
      <c r="K1255" s="129" t="s">
        <v>1229</v>
      </c>
      <c r="L1255" s="129" t="s">
        <v>1228</v>
      </c>
      <c r="M1255" s="130" t="str" cm="1">
        <f t="array" ref="M1255">IFERROR(INDEX(CategoriesTable[Category type],MATCH(Table1[[#This Row],[Category]],CategoriesTable[Category name],0),0),"")</f>
        <v>Expense</v>
      </c>
      <c r="N1255" s="130" t="str" cm="1">
        <f t="array" ref="N1255">IFERROR(INDEX(SubcategoriesTable[Subcategory name],MATCH(Table1[[#This Row],[Category]],SubcategoriesTable[Category name],0),0),"")</f>
        <v>Variable</v>
      </c>
      <c r="O1255" s="130">
        <v>11</v>
      </c>
      <c r="P1255" s="130">
        <f>MONTH(Table1[[#This Row],[Date]])</f>
        <v>1</v>
      </c>
      <c r="Q1255" s="130">
        <v>2020</v>
      </c>
      <c r="R1255" s="166">
        <f>IF(ISBLANK(Table1[[#This Row],[Date]]),"",Table1[[#This Row],[Date]]-WEEKDAY(Table1[[#This Row],[Date]],2)+1)</f>
        <v>43836</v>
      </c>
      <c r="S1255" s="131">
        <f>IF(ISBLANK(Table1[[#This Row],[Date]]),"",DATE(Table1[[#This Row],[Date_Year]],Table1[[#This Row],[Date_Month]],1))</f>
        <v>43831</v>
      </c>
    </row>
    <row r="1256" spans="2:19" ht="15.75" x14ac:dyDescent="0.25">
      <c r="B1256" s="133">
        <v>43841</v>
      </c>
      <c r="C1256" s="128" t="s">
        <v>125</v>
      </c>
      <c r="D1256" s="128" t="s">
        <v>45</v>
      </c>
      <c r="E1256" s="128" t="str" cm="1">
        <f t="array" ref="E1256">IFERROR(INDEX(SubcategoriesTable[Subcategory name],MATCH(Table1[[#This Row],[Category]],SubcategoriesTable[Category name],0),0),"")</f>
        <v>Variable</v>
      </c>
      <c r="F1256" s="134">
        <v>-7.76</v>
      </c>
      <c r="G1256" s="167" t="str">
        <f>_xlfn.XLOOKUP(Table1[[#This Row],[Account_ID]], Accounts[ID], Accounts[Account nickname], "Unknown")</f>
        <v>EVERYDAY CHECKING</v>
      </c>
      <c r="H1256" s="137" t="str">
        <f>_xlfn.XLOOKUP(Table1[[#This Row],[Account_ID]], Accounts[ID], Accounts[Account'#], "Unknown")</f>
        <v>4636</v>
      </c>
      <c r="I1256" s="168" t="str">
        <f>_xlfn.XLOOKUP(Table1[[#This Row],[Institution_ID]], Institutions[ID], Institutions[Institution nickname], "Unknown")</f>
        <v>Wells Fargo</v>
      </c>
      <c r="J1256" s="171" t="s">
        <v>1951</v>
      </c>
      <c r="K1256" s="129" t="s">
        <v>1229</v>
      </c>
      <c r="L1256" s="129" t="s">
        <v>1228</v>
      </c>
      <c r="M1256" s="130" t="str" cm="1">
        <f t="array" ref="M1256">IFERROR(INDEX(CategoriesTable[Category type],MATCH(Table1[[#This Row],[Category]],CategoriesTable[Category name],0),0),"")</f>
        <v>Expense</v>
      </c>
      <c r="N1256" s="130" t="str" cm="1">
        <f t="array" ref="N1256">IFERROR(INDEX(SubcategoriesTable[Subcategory name],MATCH(Table1[[#This Row],[Category]],SubcategoriesTable[Category name],0),0),"")</f>
        <v>Variable</v>
      </c>
      <c r="O1256" s="130">
        <v>11</v>
      </c>
      <c r="P1256" s="130">
        <f>MONTH(Table1[[#This Row],[Date]])</f>
        <v>1</v>
      </c>
      <c r="Q1256" s="130">
        <v>2020</v>
      </c>
      <c r="R1256" s="166">
        <f>IF(ISBLANK(Table1[[#This Row],[Date]]),"",Table1[[#This Row],[Date]]-WEEKDAY(Table1[[#This Row],[Date]],2)+1)</f>
        <v>43836</v>
      </c>
      <c r="S1256" s="131">
        <f>IF(ISBLANK(Table1[[#This Row],[Date]]),"",DATE(Table1[[#This Row],[Date_Year]],Table1[[#This Row],[Date_Month]],1))</f>
        <v>43831</v>
      </c>
    </row>
    <row r="1257" spans="2:19" ht="15.75" x14ac:dyDescent="0.25">
      <c r="B1257" s="133">
        <v>43841</v>
      </c>
      <c r="C1257" s="128" t="s">
        <v>206</v>
      </c>
      <c r="D1257" s="128" t="s">
        <v>57</v>
      </c>
      <c r="E1257" s="128" t="str" cm="1">
        <f t="array" ref="E1257">IFERROR(INDEX(SubcategoriesTable[Subcategory name],MATCH(Table1[[#This Row],[Category]],SubcategoriesTable[Category name],0),0),"")</f>
        <v>Variable</v>
      </c>
      <c r="F1257" s="134">
        <v>0.06</v>
      </c>
      <c r="G1257" s="167" t="str">
        <f>_xlfn.XLOOKUP(Table1[[#This Row],[Account_ID]], Accounts[ID], Accounts[Account nickname], "Unknown")</f>
        <v>Discover it chrome Card</v>
      </c>
      <c r="H1257" s="137" t="str">
        <f>_xlfn.XLOOKUP(Table1[[#This Row],[Account_ID]], Accounts[ID], Accounts[Account'#], "Unknown")</f>
        <v>7328</v>
      </c>
      <c r="I1257" s="168" t="str">
        <f>_xlfn.XLOOKUP(Table1[[#This Row],[Institution_ID]], Institutions[ID], Institutions[Institution nickname], "Unknown")</f>
        <v>Discover</v>
      </c>
      <c r="J1257" s="139" t="s">
        <v>1039</v>
      </c>
      <c r="K1257" s="129" t="s">
        <v>110</v>
      </c>
      <c r="L1257" s="129" t="s">
        <v>108</v>
      </c>
      <c r="M1257" s="130" t="str" cm="1">
        <f t="array" ref="M1257">IFERROR(INDEX(CategoriesTable[Category type],MATCH(Table1[[#This Row],[Category]],CategoriesTable[Category name],0),0),"")</f>
        <v>Transfer</v>
      </c>
      <c r="N1257" s="130" t="str" cm="1">
        <f t="array" ref="N1257">IFERROR(INDEX(SubcategoriesTable[Subcategory name],MATCH(Table1[[#This Row],[Category]],SubcategoriesTable[Category name],0),0),"")</f>
        <v>Variable</v>
      </c>
      <c r="O1257" s="130">
        <v>11</v>
      </c>
      <c r="P1257" s="130">
        <f>MONTH(Table1[[#This Row],[Date]])</f>
        <v>1</v>
      </c>
      <c r="Q1257" s="130">
        <v>2020</v>
      </c>
      <c r="R1257" s="166">
        <f>IF(ISBLANK(Table1[[#This Row],[Date]]),"",Table1[[#This Row],[Date]]-WEEKDAY(Table1[[#This Row],[Date]],2)+1)</f>
        <v>43836</v>
      </c>
      <c r="S1257" s="131">
        <f>IF(ISBLANK(Table1[[#This Row],[Date]]),"",DATE(Table1[[#This Row],[Date_Year]],Table1[[#This Row],[Date_Month]],1))</f>
        <v>43831</v>
      </c>
    </row>
    <row r="1258" spans="2:19" ht="15.75" x14ac:dyDescent="0.25">
      <c r="B1258" s="133">
        <v>43841</v>
      </c>
      <c r="C1258" s="128" t="s">
        <v>113</v>
      </c>
      <c r="D1258" s="128" t="s">
        <v>50</v>
      </c>
      <c r="E1258" s="128" t="str" cm="1">
        <f t="array" ref="E1258">IFERROR(INDEX(SubcategoriesTable[Subcategory name],MATCH(Table1[[#This Row],[Category]],SubcategoriesTable[Category name],0),0),"")</f>
        <v>Variable</v>
      </c>
      <c r="F1258" s="134">
        <v>885</v>
      </c>
      <c r="G1258" s="167" t="str">
        <f>_xlfn.XLOOKUP(Table1[[#This Row],[Account_ID]], Accounts[ID], Accounts[Account nickname], "Unknown")</f>
        <v>Discover it chrome Card</v>
      </c>
      <c r="H1258" s="137" t="str">
        <f>_xlfn.XLOOKUP(Table1[[#This Row],[Account_ID]], Accounts[ID], Accounts[Account'#], "Unknown")</f>
        <v>7328</v>
      </c>
      <c r="I1258" s="168" t="str">
        <f>_xlfn.XLOOKUP(Table1[[#This Row],[Institution_ID]], Institutions[ID], Institutions[Institution nickname], "Unknown")</f>
        <v>Discover</v>
      </c>
      <c r="J1258" s="139" t="s">
        <v>1040</v>
      </c>
      <c r="K1258" s="129" t="s">
        <v>110</v>
      </c>
      <c r="L1258" s="129" t="s">
        <v>108</v>
      </c>
      <c r="M1258" s="130" t="str" cm="1">
        <f t="array" ref="M1258">IFERROR(INDEX(CategoriesTable[Category type],MATCH(Table1[[#This Row],[Category]],CategoriesTable[Category name],0),0),"")</f>
        <v>Transfer</v>
      </c>
      <c r="N1258" s="130" t="str" cm="1">
        <f t="array" ref="N1258">IFERROR(INDEX(SubcategoriesTable[Subcategory name],MATCH(Table1[[#This Row],[Category]],SubcategoriesTable[Category name],0),0),"")</f>
        <v>Variable</v>
      </c>
      <c r="O1258" s="130">
        <v>11</v>
      </c>
      <c r="P1258" s="130">
        <f>MONTH(Table1[[#This Row],[Date]])</f>
        <v>1</v>
      </c>
      <c r="Q1258" s="130">
        <v>2020</v>
      </c>
      <c r="R1258" s="166">
        <f>IF(ISBLANK(Table1[[#This Row],[Date]]),"",Table1[[#This Row],[Date]]-WEEKDAY(Table1[[#This Row],[Date]],2)+1)</f>
        <v>43836</v>
      </c>
      <c r="S1258" s="131">
        <f>IF(ISBLANK(Table1[[#This Row],[Date]]),"",DATE(Table1[[#This Row],[Date_Year]],Table1[[#This Row],[Date_Month]],1))</f>
        <v>43831</v>
      </c>
    </row>
    <row r="1259" spans="2:19" ht="15.75" x14ac:dyDescent="0.25">
      <c r="B1259" s="133">
        <v>43840</v>
      </c>
      <c r="C1259" s="128" t="s">
        <v>531</v>
      </c>
      <c r="D1259" s="128" t="s">
        <v>54</v>
      </c>
      <c r="E1259" s="128" t="str" cm="1">
        <f t="array" ref="E1259">IFERROR(INDEX(SubcategoriesTable[Subcategory name],MATCH(Table1[[#This Row],[Category]],SubcategoriesTable[Category name],0),0),"")</f>
        <v>Fixed</v>
      </c>
      <c r="F1259" s="134">
        <v>-12.07</v>
      </c>
      <c r="G1259" s="167" t="str">
        <f>_xlfn.XLOOKUP(Table1[[#This Row],[Account_ID]], Accounts[ID], Accounts[Account nickname], "Unknown")</f>
        <v>EVERYDAY CHECKING</v>
      </c>
      <c r="H1259" s="137" t="str">
        <f>_xlfn.XLOOKUP(Table1[[#This Row],[Account_ID]], Accounts[ID], Accounts[Account'#], "Unknown")</f>
        <v>4636</v>
      </c>
      <c r="I1259" s="168" t="str">
        <f>_xlfn.XLOOKUP(Table1[[#This Row],[Institution_ID]], Institutions[ID], Institutions[Institution nickname], "Unknown")</f>
        <v>Wells Fargo</v>
      </c>
      <c r="J1259" s="139" t="s">
        <v>1952</v>
      </c>
      <c r="K1259" s="129" t="s">
        <v>1229</v>
      </c>
      <c r="L1259" s="129" t="s">
        <v>1228</v>
      </c>
      <c r="M1259" s="130" t="str" cm="1">
        <f t="array" ref="M1259">IFERROR(INDEX(CategoriesTable[Category type],MATCH(Table1[[#This Row],[Category]],CategoriesTable[Category name],0),0),"")</f>
        <v>Expense</v>
      </c>
      <c r="N1259" s="130" t="str" cm="1">
        <f t="array" ref="N1259">IFERROR(INDEX(SubcategoriesTable[Subcategory name],MATCH(Table1[[#This Row],[Category]],SubcategoriesTable[Category name],0),0),"")</f>
        <v>Fixed</v>
      </c>
      <c r="O1259" s="130">
        <v>10</v>
      </c>
      <c r="P1259" s="130">
        <f>MONTH(Table1[[#This Row],[Date]])</f>
        <v>1</v>
      </c>
      <c r="Q1259" s="130">
        <v>2020</v>
      </c>
      <c r="R1259" s="166">
        <f>IF(ISBLANK(Table1[[#This Row],[Date]]),"",Table1[[#This Row],[Date]]-WEEKDAY(Table1[[#This Row],[Date]],2)+1)</f>
        <v>43836</v>
      </c>
      <c r="S1259" s="131">
        <f>IF(ISBLANK(Table1[[#This Row],[Date]]),"",DATE(Table1[[#This Row],[Date_Year]],Table1[[#This Row],[Date_Month]],1))</f>
        <v>43831</v>
      </c>
    </row>
    <row r="1260" spans="2:19" ht="15.75" x14ac:dyDescent="0.25">
      <c r="B1260" s="133">
        <v>43840</v>
      </c>
      <c r="C1260" s="128" t="s">
        <v>730</v>
      </c>
      <c r="D1260" s="128" t="s">
        <v>46</v>
      </c>
      <c r="E1260" s="128" t="str" cm="1">
        <f t="array" ref="E1260">IFERROR(INDEX(SubcategoriesTable[Subcategory name],MATCH(Table1[[#This Row],[Category]],SubcategoriesTable[Category name],0),0),"")</f>
        <v>Variable</v>
      </c>
      <c r="F1260" s="134">
        <v>-14.99</v>
      </c>
      <c r="G1260" s="167" t="str">
        <f>_xlfn.XLOOKUP(Table1[[#This Row],[Account_ID]], Accounts[ID], Accounts[Account nickname], "Unknown")</f>
        <v>EVERYDAY CHECKING</v>
      </c>
      <c r="H1260" s="137" t="str">
        <f>_xlfn.XLOOKUP(Table1[[#This Row],[Account_ID]], Accounts[ID], Accounts[Account'#], "Unknown")</f>
        <v>4636</v>
      </c>
      <c r="I1260" s="168" t="str">
        <f>_xlfn.XLOOKUP(Table1[[#This Row],[Institution_ID]], Institutions[ID], Institutions[Institution nickname], "Unknown")</f>
        <v>Wells Fargo</v>
      </c>
      <c r="J1260" s="139" t="s">
        <v>1953</v>
      </c>
      <c r="K1260" s="129" t="s">
        <v>1229</v>
      </c>
      <c r="L1260" s="129" t="s">
        <v>1228</v>
      </c>
      <c r="M1260" s="130" t="str" cm="1">
        <f t="array" ref="M1260">IFERROR(INDEX(CategoriesTable[Category type],MATCH(Table1[[#This Row],[Category]],CategoriesTable[Category name],0),0),"")</f>
        <v>Expense</v>
      </c>
      <c r="N1260" s="130" t="str" cm="1">
        <f t="array" ref="N1260">IFERROR(INDEX(SubcategoriesTable[Subcategory name],MATCH(Table1[[#This Row],[Category]],SubcategoriesTable[Category name],0),0),"")</f>
        <v>Variable</v>
      </c>
      <c r="O1260" s="130">
        <v>10</v>
      </c>
      <c r="P1260" s="130">
        <f>MONTH(Table1[[#This Row],[Date]])</f>
        <v>1</v>
      </c>
      <c r="Q1260" s="130">
        <v>2020</v>
      </c>
      <c r="R1260" s="166">
        <f>IF(ISBLANK(Table1[[#This Row],[Date]]),"",Table1[[#This Row],[Date]]-WEEKDAY(Table1[[#This Row],[Date]],2)+1)</f>
        <v>43836</v>
      </c>
      <c r="S1260" s="131">
        <f>IF(ISBLANK(Table1[[#This Row],[Date]]),"",DATE(Table1[[#This Row],[Date_Year]],Table1[[#This Row],[Date_Month]],1))</f>
        <v>43831</v>
      </c>
    </row>
    <row r="1261" spans="2:19" ht="15.75" x14ac:dyDescent="0.25">
      <c r="B1261" s="133">
        <v>43840</v>
      </c>
      <c r="C1261" s="128" t="s">
        <v>1954</v>
      </c>
      <c r="D1261" s="128" t="s">
        <v>50</v>
      </c>
      <c r="E1261" s="128" t="str" cm="1">
        <f t="array" ref="E1261">IFERROR(INDEX(SubcategoriesTable[Subcategory name],MATCH(Table1[[#This Row],[Category]],SubcategoriesTable[Category name],0),0),"")</f>
        <v>Variable</v>
      </c>
      <c r="F1261" s="134">
        <v>1450</v>
      </c>
      <c r="G1261" s="167" t="str">
        <f>_xlfn.XLOOKUP(Table1[[#This Row],[Account_ID]], Accounts[ID], Accounts[Account nickname], "Unknown")</f>
        <v>EVERYDAY CHECKING</v>
      </c>
      <c r="H1261" s="137" t="str">
        <f>_xlfn.XLOOKUP(Table1[[#This Row],[Account_ID]], Accounts[ID], Accounts[Account'#], "Unknown")</f>
        <v>4636</v>
      </c>
      <c r="I1261" s="168" t="str">
        <f>_xlfn.XLOOKUP(Table1[[#This Row],[Institution_ID]], Institutions[ID], Institutions[Institution nickname], "Unknown")</f>
        <v>Wells Fargo</v>
      </c>
      <c r="J1261" s="139" t="s">
        <v>1955</v>
      </c>
      <c r="K1261" s="129" t="s">
        <v>1229</v>
      </c>
      <c r="L1261" s="129" t="s">
        <v>1228</v>
      </c>
      <c r="M1261" s="130" t="str" cm="1">
        <f t="array" ref="M1261">IFERROR(INDEX(CategoriesTable[Category type],MATCH(Table1[[#This Row],[Category]],CategoriesTable[Category name],0),0),"")</f>
        <v>Transfer</v>
      </c>
      <c r="N1261" s="130" t="str" cm="1">
        <f t="array" ref="N1261">IFERROR(INDEX(SubcategoriesTable[Subcategory name],MATCH(Table1[[#This Row],[Category]],SubcategoriesTable[Category name],0),0),"")</f>
        <v>Variable</v>
      </c>
      <c r="O1261" s="130">
        <v>10</v>
      </c>
      <c r="P1261" s="130">
        <f>MONTH(Table1[[#This Row],[Date]])</f>
        <v>1</v>
      </c>
      <c r="Q1261" s="130">
        <v>2020</v>
      </c>
      <c r="R1261" s="166">
        <f>IF(ISBLANK(Table1[[#This Row],[Date]]),"",Table1[[#This Row],[Date]]-WEEKDAY(Table1[[#This Row],[Date]],2)+1)</f>
        <v>43836</v>
      </c>
      <c r="S1261" s="131">
        <f>IF(ISBLANK(Table1[[#This Row],[Date]]),"",DATE(Table1[[#This Row],[Date_Year]],Table1[[#This Row],[Date_Month]],1))</f>
        <v>43831</v>
      </c>
    </row>
    <row r="1262" spans="2:19" ht="15.75" x14ac:dyDescent="0.25">
      <c r="B1262" s="133">
        <v>43839</v>
      </c>
      <c r="C1262" s="128" t="s">
        <v>531</v>
      </c>
      <c r="D1262" s="128" t="s">
        <v>54</v>
      </c>
      <c r="E1262" s="128" t="str" cm="1">
        <f t="array" ref="E1262">IFERROR(INDEX(SubcategoriesTable[Subcategory name],MATCH(Table1[[#This Row],[Category]],SubcategoriesTable[Category name],0),0),"")</f>
        <v>Fixed</v>
      </c>
      <c r="F1262" s="134">
        <v>-7.64</v>
      </c>
      <c r="G1262" s="167" t="str">
        <f>_xlfn.XLOOKUP(Table1[[#This Row],[Account_ID]], Accounts[ID], Accounts[Account nickname], "Unknown")</f>
        <v>EVERYDAY CHECKING</v>
      </c>
      <c r="H1262" s="137" t="str">
        <f>_xlfn.XLOOKUP(Table1[[#This Row],[Account_ID]], Accounts[ID], Accounts[Account'#], "Unknown")</f>
        <v>4636</v>
      </c>
      <c r="I1262" s="168" t="str">
        <f>_xlfn.XLOOKUP(Table1[[#This Row],[Institution_ID]], Institutions[ID], Institutions[Institution nickname], "Unknown")</f>
        <v>Wells Fargo</v>
      </c>
      <c r="J1262" s="139" t="s">
        <v>1956</v>
      </c>
      <c r="K1262" s="129" t="s">
        <v>1229</v>
      </c>
      <c r="L1262" s="129" t="s">
        <v>1228</v>
      </c>
      <c r="M1262" s="130" t="str" cm="1">
        <f t="array" ref="M1262">IFERROR(INDEX(CategoriesTable[Category type],MATCH(Table1[[#This Row],[Category]],CategoriesTable[Category name],0),0),"")</f>
        <v>Expense</v>
      </c>
      <c r="N1262" s="130" t="str" cm="1">
        <f t="array" ref="N1262">IFERROR(INDEX(SubcategoriesTable[Subcategory name],MATCH(Table1[[#This Row],[Category]],SubcategoriesTable[Category name],0),0),"")</f>
        <v>Fixed</v>
      </c>
      <c r="O1262" s="130">
        <v>9</v>
      </c>
      <c r="P1262" s="130">
        <f>MONTH(Table1[[#This Row],[Date]])</f>
        <v>1</v>
      </c>
      <c r="Q1262" s="130">
        <v>2020</v>
      </c>
      <c r="R1262" s="166">
        <f>IF(ISBLANK(Table1[[#This Row],[Date]]),"",Table1[[#This Row],[Date]]-WEEKDAY(Table1[[#This Row],[Date]],2)+1)</f>
        <v>43836</v>
      </c>
      <c r="S1262" s="131">
        <f>IF(ISBLANK(Table1[[#This Row],[Date]]),"",DATE(Table1[[#This Row],[Date_Year]],Table1[[#This Row],[Date_Month]],1))</f>
        <v>43831</v>
      </c>
    </row>
    <row r="1263" spans="2:19" ht="15.75" x14ac:dyDescent="0.25">
      <c r="B1263" s="133">
        <v>43839</v>
      </c>
      <c r="C1263" s="128" t="s">
        <v>1957</v>
      </c>
      <c r="D1263" s="128" t="s">
        <v>45</v>
      </c>
      <c r="E1263" s="128" t="str" cm="1">
        <f t="array" ref="E1263">IFERROR(INDEX(SubcategoriesTable[Subcategory name],MATCH(Table1[[#This Row],[Category]],SubcategoriesTable[Category name],0),0),"")</f>
        <v>Variable</v>
      </c>
      <c r="F1263" s="134">
        <v>-1.1000000000000001</v>
      </c>
      <c r="G1263" s="167" t="str">
        <f>_xlfn.XLOOKUP(Table1[[#This Row],[Account_ID]], Accounts[ID], Accounts[Account nickname], "Unknown")</f>
        <v>EVERYDAY CHECKING</v>
      </c>
      <c r="H1263" s="137" t="str">
        <f>_xlfn.XLOOKUP(Table1[[#This Row],[Account_ID]], Accounts[ID], Accounts[Account'#], "Unknown")</f>
        <v>4636</v>
      </c>
      <c r="I1263" s="168" t="str">
        <f>_xlfn.XLOOKUP(Table1[[#This Row],[Institution_ID]], Institutions[ID], Institutions[Institution nickname], "Unknown")</f>
        <v>Wells Fargo</v>
      </c>
      <c r="J1263" s="139" t="s">
        <v>1958</v>
      </c>
      <c r="K1263" s="129" t="s">
        <v>1229</v>
      </c>
      <c r="L1263" s="129" t="s">
        <v>1228</v>
      </c>
      <c r="M1263" s="130" t="str" cm="1">
        <f t="array" ref="M1263">IFERROR(INDEX(CategoriesTable[Category type],MATCH(Table1[[#This Row],[Category]],CategoriesTable[Category name],0),0),"")</f>
        <v>Expense</v>
      </c>
      <c r="N1263" s="130" t="str" cm="1">
        <f t="array" ref="N1263">IFERROR(INDEX(SubcategoriesTable[Subcategory name],MATCH(Table1[[#This Row],[Category]],SubcategoriesTable[Category name],0),0),"")</f>
        <v>Variable</v>
      </c>
      <c r="O1263" s="130">
        <v>9</v>
      </c>
      <c r="P1263" s="130">
        <f>MONTH(Table1[[#This Row],[Date]])</f>
        <v>1</v>
      </c>
      <c r="Q1263" s="130">
        <v>2020</v>
      </c>
      <c r="R1263" s="166">
        <f>IF(ISBLANK(Table1[[#This Row],[Date]]),"",Table1[[#This Row],[Date]]-WEEKDAY(Table1[[#This Row],[Date]],2)+1)</f>
        <v>43836</v>
      </c>
      <c r="S1263" s="131">
        <f>IF(ISBLANK(Table1[[#This Row],[Date]]),"",DATE(Table1[[#This Row],[Date_Year]],Table1[[#This Row],[Date_Month]],1))</f>
        <v>43831</v>
      </c>
    </row>
    <row r="1264" spans="2:19" ht="15.75" x14ac:dyDescent="0.25">
      <c r="B1264" s="133">
        <v>43839</v>
      </c>
      <c r="C1264" s="128" t="s">
        <v>1957</v>
      </c>
      <c r="D1264" s="128" t="s">
        <v>45</v>
      </c>
      <c r="E1264" s="128" t="str" cm="1">
        <f t="array" ref="E1264">IFERROR(INDEX(SubcategoriesTable[Subcategory name],MATCH(Table1[[#This Row],[Category]],SubcategoriesTable[Category name],0),0),"")</f>
        <v>Variable</v>
      </c>
      <c r="F1264" s="134">
        <v>-1.85</v>
      </c>
      <c r="G1264" s="167" t="str">
        <f>_xlfn.XLOOKUP(Table1[[#This Row],[Account_ID]], Accounts[ID], Accounts[Account nickname], "Unknown")</f>
        <v>EVERYDAY CHECKING</v>
      </c>
      <c r="H1264" s="137" t="str">
        <f>_xlfn.XLOOKUP(Table1[[#This Row],[Account_ID]], Accounts[ID], Accounts[Account'#], "Unknown")</f>
        <v>4636</v>
      </c>
      <c r="I1264" s="168" t="str">
        <f>_xlfn.XLOOKUP(Table1[[#This Row],[Institution_ID]], Institutions[ID], Institutions[Institution nickname], "Unknown")</f>
        <v>Wells Fargo</v>
      </c>
      <c r="J1264" s="139" t="s">
        <v>1959</v>
      </c>
      <c r="K1264" s="129" t="s">
        <v>1229</v>
      </c>
      <c r="L1264" s="129" t="s">
        <v>1228</v>
      </c>
      <c r="M1264" s="130" t="str" cm="1">
        <f t="array" ref="M1264">IFERROR(INDEX(CategoriesTable[Category type],MATCH(Table1[[#This Row],[Category]],CategoriesTable[Category name],0),0),"")</f>
        <v>Expense</v>
      </c>
      <c r="N1264" s="130" t="str" cm="1">
        <f t="array" ref="N1264">IFERROR(INDEX(SubcategoriesTable[Subcategory name],MATCH(Table1[[#This Row],[Category]],SubcategoriesTable[Category name],0),0),"")</f>
        <v>Variable</v>
      </c>
      <c r="O1264" s="130">
        <v>9</v>
      </c>
      <c r="P1264" s="130">
        <f>MONTH(Table1[[#This Row],[Date]])</f>
        <v>1</v>
      </c>
      <c r="Q1264" s="130">
        <v>2020</v>
      </c>
      <c r="R1264" s="166">
        <f>IF(ISBLANK(Table1[[#This Row],[Date]]),"",Table1[[#This Row],[Date]]-WEEKDAY(Table1[[#This Row],[Date]],2)+1)</f>
        <v>43836</v>
      </c>
      <c r="S1264" s="131">
        <f>IF(ISBLANK(Table1[[#This Row],[Date]]),"",DATE(Table1[[#This Row],[Date_Year]],Table1[[#This Row],[Date_Month]],1))</f>
        <v>43831</v>
      </c>
    </row>
    <row r="1265" spans="2:19" ht="15.75" x14ac:dyDescent="0.25">
      <c r="B1265" s="133">
        <v>43838</v>
      </c>
      <c r="C1265" s="128" t="s">
        <v>1897</v>
      </c>
      <c r="D1265" s="128" t="s">
        <v>46</v>
      </c>
      <c r="E1265" s="128" t="str" cm="1">
        <f t="array" ref="E1265">IFERROR(INDEX(SubcategoriesTable[Subcategory name],MATCH(Table1[[#This Row],[Category]],SubcategoriesTable[Category name],0),0),"")</f>
        <v>Variable</v>
      </c>
      <c r="F1265" s="134">
        <v>-14.99</v>
      </c>
      <c r="G1265" s="167" t="str">
        <f>_xlfn.XLOOKUP(Table1[[#This Row],[Account_ID]], Accounts[ID], Accounts[Account nickname], "Unknown")</f>
        <v>EVERYDAY CHECKING</v>
      </c>
      <c r="H1265" s="137" t="str">
        <f>_xlfn.XLOOKUP(Table1[[#This Row],[Account_ID]], Accounts[ID], Accounts[Account'#], "Unknown")</f>
        <v>4636</v>
      </c>
      <c r="I1265" s="168" t="str">
        <f>_xlfn.XLOOKUP(Table1[[#This Row],[Institution_ID]], Institutions[ID], Institutions[Institution nickname], "Unknown")</f>
        <v>Wells Fargo</v>
      </c>
      <c r="J1265" s="139" t="s">
        <v>1960</v>
      </c>
      <c r="K1265" s="129" t="s">
        <v>1229</v>
      </c>
      <c r="L1265" s="129" t="s">
        <v>1228</v>
      </c>
      <c r="M1265" s="130" t="str" cm="1">
        <f t="array" ref="M1265">IFERROR(INDEX(CategoriesTable[Category type],MATCH(Table1[[#This Row],[Category]],CategoriesTable[Category name],0),0),"")</f>
        <v>Expense</v>
      </c>
      <c r="N1265" s="130" t="str" cm="1">
        <f t="array" ref="N1265">IFERROR(INDEX(SubcategoriesTable[Subcategory name],MATCH(Table1[[#This Row],[Category]],SubcategoriesTable[Category name],0),0),"")</f>
        <v>Variable</v>
      </c>
      <c r="O1265" s="130">
        <v>8</v>
      </c>
      <c r="P1265" s="130">
        <f>MONTH(Table1[[#This Row],[Date]])</f>
        <v>1</v>
      </c>
      <c r="Q1265" s="130">
        <v>2020</v>
      </c>
      <c r="R1265" s="166">
        <f>IF(ISBLANK(Table1[[#This Row],[Date]]),"",Table1[[#This Row],[Date]]-WEEKDAY(Table1[[#This Row],[Date]],2)+1)</f>
        <v>43836</v>
      </c>
      <c r="S1265" s="131">
        <f>IF(ISBLANK(Table1[[#This Row],[Date]]),"",DATE(Table1[[#This Row],[Date_Year]],Table1[[#This Row],[Date_Month]],1))</f>
        <v>43831</v>
      </c>
    </row>
    <row r="1266" spans="2:19" ht="15.75" x14ac:dyDescent="0.25">
      <c r="B1266" s="133">
        <v>43838</v>
      </c>
      <c r="C1266" s="128" t="s">
        <v>115</v>
      </c>
      <c r="D1266" s="128" t="s">
        <v>48</v>
      </c>
      <c r="E1266" s="128" t="str" cm="1">
        <f t="array" ref="E1266">IFERROR(INDEX(SubcategoriesTable[Subcategory name],MATCH(Table1[[#This Row],[Category]],SubcategoriesTable[Category name],0),0),"")</f>
        <v>Variable</v>
      </c>
      <c r="F1266" s="134">
        <v>-10.46</v>
      </c>
      <c r="G1266" s="167" t="str">
        <f>_xlfn.XLOOKUP(Table1[[#This Row],[Account_ID]], Accounts[ID], Accounts[Account nickname], "Unknown")</f>
        <v>EVERYDAY CHECKING</v>
      </c>
      <c r="H1266" s="137" t="str">
        <f>_xlfn.XLOOKUP(Table1[[#This Row],[Account_ID]], Accounts[ID], Accounts[Account'#], "Unknown")</f>
        <v>4636</v>
      </c>
      <c r="I1266" s="168" t="str">
        <f>_xlfn.XLOOKUP(Table1[[#This Row],[Institution_ID]], Institutions[ID], Institutions[Institution nickname], "Unknown")</f>
        <v>Wells Fargo</v>
      </c>
      <c r="J1266" s="139" t="s">
        <v>1961</v>
      </c>
      <c r="K1266" s="129" t="s">
        <v>1229</v>
      </c>
      <c r="L1266" s="129" t="s">
        <v>1228</v>
      </c>
      <c r="M1266" s="130" t="str" cm="1">
        <f t="array" ref="M1266">IFERROR(INDEX(CategoriesTable[Category type],MATCH(Table1[[#This Row],[Category]],CategoriesTable[Category name],0),0),"")</f>
        <v>Expense</v>
      </c>
      <c r="N1266" s="130" t="str" cm="1">
        <f t="array" ref="N1266">IFERROR(INDEX(SubcategoriesTable[Subcategory name],MATCH(Table1[[#This Row],[Category]],SubcategoriesTable[Category name],0),0),"")</f>
        <v>Variable</v>
      </c>
      <c r="O1266" s="130">
        <v>8</v>
      </c>
      <c r="P1266" s="130">
        <f>MONTH(Table1[[#This Row],[Date]])</f>
        <v>1</v>
      </c>
      <c r="Q1266" s="130">
        <v>2020</v>
      </c>
      <c r="R1266" s="166">
        <f>IF(ISBLANK(Table1[[#This Row],[Date]]),"",Table1[[#This Row],[Date]]-WEEKDAY(Table1[[#This Row],[Date]],2)+1)</f>
        <v>43836</v>
      </c>
      <c r="S1266" s="131">
        <f>IF(ISBLANK(Table1[[#This Row],[Date]]),"",DATE(Table1[[#This Row],[Date_Year]],Table1[[#This Row],[Date_Month]],1))</f>
        <v>43831</v>
      </c>
    </row>
    <row r="1267" spans="2:19" ht="15.75" x14ac:dyDescent="0.25">
      <c r="B1267" s="133">
        <v>43838</v>
      </c>
      <c r="C1267" s="128" t="s">
        <v>239</v>
      </c>
      <c r="D1267" s="128" t="s">
        <v>52</v>
      </c>
      <c r="E1267" s="128" t="str" cm="1">
        <f t="array" ref="E1267">IFERROR(INDEX(SubcategoriesTable[Subcategory name],MATCH(Table1[[#This Row],[Category]],SubcategoriesTable[Category name],0),0),"")</f>
        <v>Variable</v>
      </c>
      <c r="F1267" s="134">
        <v>-25.4</v>
      </c>
      <c r="G1267" s="167" t="str">
        <f>_xlfn.XLOOKUP(Table1[[#This Row],[Account_ID]], Accounts[ID], Accounts[Account nickname], "Unknown")</f>
        <v>Discover it chrome Card</v>
      </c>
      <c r="H1267" s="137" t="str">
        <f>_xlfn.XLOOKUP(Table1[[#This Row],[Account_ID]], Accounts[ID], Accounts[Account'#], "Unknown")</f>
        <v>7328</v>
      </c>
      <c r="I1267" s="168" t="str">
        <f>_xlfn.XLOOKUP(Table1[[#This Row],[Institution_ID]], Institutions[ID], Institutions[Institution nickname], "Unknown")</f>
        <v>Discover</v>
      </c>
      <c r="J1267" s="139" t="s">
        <v>1041</v>
      </c>
      <c r="K1267" s="129" t="s">
        <v>110</v>
      </c>
      <c r="L1267" s="129" t="s">
        <v>108</v>
      </c>
      <c r="M1267" s="130" t="str" cm="1">
        <f t="array" ref="M1267">IFERROR(INDEX(CategoriesTable[Category type],MATCH(Table1[[#This Row],[Category]],CategoriesTable[Category name],0),0),"")</f>
        <v>Expense</v>
      </c>
      <c r="N1267" s="130" t="str" cm="1">
        <f t="array" ref="N1267">IFERROR(INDEX(SubcategoriesTable[Subcategory name],MATCH(Table1[[#This Row],[Category]],SubcategoriesTable[Category name],0),0),"")</f>
        <v>Variable</v>
      </c>
      <c r="O1267" s="130">
        <v>8</v>
      </c>
      <c r="P1267" s="130">
        <f>MONTH(Table1[[#This Row],[Date]])</f>
        <v>1</v>
      </c>
      <c r="Q1267" s="130">
        <v>2020</v>
      </c>
      <c r="R1267" s="166">
        <f>IF(ISBLANK(Table1[[#This Row],[Date]]),"",Table1[[#This Row],[Date]]-WEEKDAY(Table1[[#This Row],[Date]],2)+1)</f>
        <v>43836</v>
      </c>
      <c r="S1267" s="131">
        <f>IF(ISBLANK(Table1[[#This Row],[Date]]),"",DATE(Table1[[#This Row],[Date_Year]],Table1[[#This Row],[Date_Month]],1))</f>
        <v>43831</v>
      </c>
    </row>
    <row r="1268" spans="2:19" ht="15.75" x14ac:dyDescent="0.25">
      <c r="B1268" s="133">
        <v>43838</v>
      </c>
      <c r="C1268" s="128" t="s">
        <v>690</v>
      </c>
      <c r="D1268" s="128" t="s">
        <v>48</v>
      </c>
      <c r="E1268" s="128" t="str" cm="1">
        <f t="array" ref="E1268">IFERROR(INDEX(SubcategoriesTable[Subcategory name],MATCH(Table1[[#This Row],[Category]],SubcategoriesTable[Category name],0),0),"")</f>
        <v>Variable</v>
      </c>
      <c r="F1268" s="134">
        <v>-34.67</v>
      </c>
      <c r="G1268" s="167" t="str">
        <f>_xlfn.XLOOKUP(Table1[[#This Row],[Account_ID]], Accounts[ID], Accounts[Account nickname], "Unknown")</f>
        <v>Discover it chrome Card</v>
      </c>
      <c r="H1268" s="137" t="str">
        <f>_xlfn.XLOOKUP(Table1[[#This Row],[Account_ID]], Accounts[ID], Accounts[Account'#], "Unknown")</f>
        <v>7328</v>
      </c>
      <c r="I1268" s="168" t="str">
        <f>_xlfn.XLOOKUP(Table1[[#This Row],[Institution_ID]], Institutions[ID], Institutions[Institution nickname], "Unknown")</f>
        <v>Discover</v>
      </c>
      <c r="J1268" s="139" t="s">
        <v>1042</v>
      </c>
      <c r="K1268" s="129" t="s">
        <v>110</v>
      </c>
      <c r="L1268" s="129" t="s">
        <v>108</v>
      </c>
      <c r="M1268" s="130" t="str" cm="1">
        <f t="array" ref="M1268">IFERROR(INDEX(CategoriesTable[Category type],MATCH(Table1[[#This Row],[Category]],CategoriesTable[Category name],0),0),"")</f>
        <v>Expense</v>
      </c>
      <c r="N1268" s="130" t="str" cm="1">
        <f t="array" ref="N1268">IFERROR(INDEX(SubcategoriesTable[Subcategory name],MATCH(Table1[[#This Row],[Category]],SubcategoriesTable[Category name],0),0),"")</f>
        <v>Variable</v>
      </c>
      <c r="O1268" s="130">
        <v>8</v>
      </c>
      <c r="P1268" s="130">
        <f>MONTH(Table1[[#This Row],[Date]])</f>
        <v>1</v>
      </c>
      <c r="Q1268" s="130">
        <v>2020</v>
      </c>
      <c r="R1268" s="166">
        <f>IF(ISBLANK(Table1[[#This Row],[Date]]),"",Table1[[#This Row],[Date]]-WEEKDAY(Table1[[#This Row],[Date]],2)+1)</f>
        <v>43836</v>
      </c>
      <c r="S1268" s="131">
        <f>IF(ISBLANK(Table1[[#This Row],[Date]]),"",DATE(Table1[[#This Row],[Date_Year]],Table1[[#This Row],[Date_Month]],1))</f>
        <v>43831</v>
      </c>
    </row>
    <row r="1269" spans="2:19" ht="15.75" x14ac:dyDescent="0.25">
      <c r="B1269" s="133">
        <v>43837</v>
      </c>
      <c r="C1269" s="128" t="s">
        <v>531</v>
      </c>
      <c r="D1269" s="128" t="s">
        <v>54</v>
      </c>
      <c r="E1269" s="128" t="str" cm="1">
        <f t="array" ref="E1269">IFERROR(INDEX(SubcategoriesTable[Subcategory name],MATCH(Table1[[#This Row],[Category]],SubcategoriesTable[Category name],0),0),"")</f>
        <v>Fixed</v>
      </c>
      <c r="F1269" s="134">
        <v>-6.83</v>
      </c>
      <c r="G1269" s="167" t="str">
        <f>_xlfn.XLOOKUP(Table1[[#This Row],[Account_ID]], Accounts[ID], Accounts[Account nickname], "Unknown")</f>
        <v>EVERYDAY CHECKING</v>
      </c>
      <c r="H1269" s="137" t="str">
        <f>_xlfn.XLOOKUP(Table1[[#This Row],[Account_ID]], Accounts[ID], Accounts[Account'#], "Unknown")</f>
        <v>4636</v>
      </c>
      <c r="I1269" s="168" t="str">
        <f>_xlfn.XLOOKUP(Table1[[#This Row],[Institution_ID]], Institutions[ID], Institutions[Institution nickname], "Unknown")</f>
        <v>Wells Fargo</v>
      </c>
      <c r="J1269" s="139" t="s">
        <v>1962</v>
      </c>
      <c r="K1269" s="129" t="s">
        <v>1229</v>
      </c>
      <c r="L1269" s="129" t="s">
        <v>1228</v>
      </c>
      <c r="M1269" s="130" t="str" cm="1">
        <f t="array" ref="M1269">IFERROR(INDEX(CategoriesTable[Category type],MATCH(Table1[[#This Row],[Category]],CategoriesTable[Category name],0),0),"")</f>
        <v>Expense</v>
      </c>
      <c r="N1269" s="130" t="str" cm="1">
        <f t="array" ref="N1269">IFERROR(INDEX(SubcategoriesTable[Subcategory name],MATCH(Table1[[#This Row],[Category]],SubcategoriesTable[Category name],0),0),"")</f>
        <v>Fixed</v>
      </c>
      <c r="O1269" s="130">
        <v>7</v>
      </c>
      <c r="P1269" s="130">
        <f>MONTH(Table1[[#This Row],[Date]])</f>
        <v>1</v>
      </c>
      <c r="Q1269" s="130">
        <v>2020</v>
      </c>
      <c r="R1269" s="166">
        <f>IF(ISBLANK(Table1[[#This Row],[Date]]),"",Table1[[#This Row],[Date]]-WEEKDAY(Table1[[#This Row],[Date]],2)+1)</f>
        <v>43836</v>
      </c>
      <c r="S1269" s="131">
        <f>IF(ISBLANK(Table1[[#This Row],[Date]]),"",DATE(Table1[[#This Row],[Date_Year]],Table1[[#This Row],[Date_Month]],1))</f>
        <v>43831</v>
      </c>
    </row>
    <row r="1270" spans="2:19" ht="15.75" x14ac:dyDescent="0.25">
      <c r="B1270" s="133">
        <v>43837</v>
      </c>
      <c r="C1270" s="128" t="s">
        <v>1963</v>
      </c>
      <c r="D1270" s="128" t="s">
        <v>58</v>
      </c>
      <c r="E1270" s="128" t="str" cm="1">
        <f t="array" ref="E1270">IFERROR(INDEX(SubcategoriesTable[Subcategory name],MATCH(Table1[[#This Row],[Category]],SubcategoriesTable[Category name],0),0),"")</f>
        <v>Fixed</v>
      </c>
      <c r="F1270" s="134">
        <v>-15.1</v>
      </c>
      <c r="G1270" s="167" t="str">
        <f>_xlfn.XLOOKUP(Table1[[#This Row],[Account_ID]], Accounts[ID], Accounts[Account nickname], "Unknown")</f>
        <v>EVERYDAY CHECKING</v>
      </c>
      <c r="H1270" s="137" t="str">
        <f>_xlfn.XLOOKUP(Table1[[#This Row],[Account_ID]], Accounts[ID], Accounts[Account'#], "Unknown")</f>
        <v>4636</v>
      </c>
      <c r="I1270" s="168" t="str">
        <f>_xlfn.XLOOKUP(Table1[[#This Row],[Institution_ID]], Institutions[ID], Institutions[Institution nickname], "Unknown")</f>
        <v>Wells Fargo</v>
      </c>
      <c r="J1270" s="139" t="s">
        <v>1964</v>
      </c>
      <c r="K1270" s="129" t="s">
        <v>1229</v>
      </c>
      <c r="L1270" s="129" t="s">
        <v>1228</v>
      </c>
      <c r="M1270" s="130" t="str" cm="1">
        <f t="array" ref="M1270">IFERROR(INDEX(CategoriesTable[Category type],MATCH(Table1[[#This Row],[Category]],CategoriesTable[Category name],0),0),"")</f>
        <v>Expense</v>
      </c>
      <c r="N1270" s="130" t="str" cm="1">
        <f t="array" ref="N1270">IFERROR(INDEX(SubcategoriesTable[Subcategory name],MATCH(Table1[[#This Row],[Category]],SubcategoriesTable[Category name],0),0),"")</f>
        <v>Fixed</v>
      </c>
      <c r="O1270" s="130">
        <v>7</v>
      </c>
      <c r="P1270" s="130">
        <f>MONTH(Table1[[#This Row],[Date]])</f>
        <v>1</v>
      </c>
      <c r="Q1270" s="130">
        <v>2020</v>
      </c>
      <c r="R1270" s="166">
        <f>IF(ISBLANK(Table1[[#This Row],[Date]]),"",Table1[[#This Row],[Date]]-WEEKDAY(Table1[[#This Row],[Date]],2)+1)</f>
        <v>43836</v>
      </c>
      <c r="S1270" s="131">
        <f>IF(ISBLANK(Table1[[#This Row],[Date]]),"",DATE(Table1[[#This Row],[Date_Year]],Table1[[#This Row],[Date_Month]],1))</f>
        <v>43831</v>
      </c>
    </row>
    <row r="1271" spans="2:19" ht="15.75" x14ac:dyDescent="0.25">
      <c r="B1271" s="133">
        <v>43837</v>
      </c>
      <c r="C1271" s="128" t="s">
        <v>146</v>
      </c>
      <c r="D1271" s="128" t="s">
        <v>54</v>
      </c>
      <c r="E1271" s="128" t="str" cm="1">
        <f t="array" ref="E1271">IFERROR(INDEX(SubcategoriesTable[Subcategory name],MATCH(Table1[[#This Row],[Category]],SubcategoriesTable[Category name],0),0),"")</f>
        <v>Fixed</v>
      </c>
      <c r="F1271" s="134">
        <v>-149.11000000000001</v>
      </c>
      <c r="G1271" s="167" t="str">
        <f>_xlfn.XLOOKUP(Table1[[#This Row],[Account_ID]], Accounts[ID], Accounts[Account nickname], "Unknown")</f>
        <v>EVERYDAY CHECKING</v>
      </c>
      <c r="H1271" s="137" t="str">
        <f>_xlfn.XLOOKUP(Table1[[#This Row],[Account_ID]], Accounts[ID], Accounts[Account'#], "Unknown")</f>
        <v>4636</v>
      </c>
      <c r="I1271" s="168" t="str">
        <f>_xlfn.XLOOKUP(Table1[[#This Row],[Institution_ID]], Institutions[ID], Institutions[Institution nickname], "Unknown")</f>
        <v>Wells Fargo</v>
      </c>
      <c r="J1271" s="139" t="s">
        <v>1965</v>
      </c>
      <c r="K1271" s="129" t="s">
        <v>1229</v>
      </c>
      <c r="L1271" s="129" t="s">
        <v>1228</v>
      </c>
      <c r="M1271" s="130" t="str" cm="1">
        <f t="array" ref="M1271">IFERROR(INDEX(CategoriesTable[Category type],MATCH(Table1[[#This Row],[Category]],CategoriesTable[Category name],0),0),"")</f>
        <v>Expense</v>
      </c>
      <c r="N1271" s="130" t="str" cm="1">
        <f t="array" ref="N1271">IFERROR(INDEX(SubcategoriesTable[Subcategory name],MATCH(Table1[[#This Row],[Category]],SubcategoriesTable[Category name],0),0),"")</f>
        <v>Fixed</v>
      </c>
      <c r="O1271" s="130">
        <v>7</v>
      </c>
      <c r="P1271" s="130">
        <f>MONTH(Table1[[#This Row],[Date]])</f>
        <v>1</v>
      </c>
      <c r="Q1271" s="130">
        <v>2020</v>
      </c>
      <c r="R1271" s="166">
        <f>IF(ISBLANK(Table1[[#This Row],[Date]]),"",Table1[[#This Row],[Date]]-WEEKDAY(Table1[[#This Row],[Date]],2)+1)</f>
        <v>43836</v>
      </c>
      <c r="S1271" s="131">
        <f>IF(ISBLANK(Table1[[#This Row],[Date]]),"",DATE(Table1[[#This Row],[Date_Year]],Table1[[#This Row],[Date_Month]],1))</f>
        <v>43831</v>
      </c>
    </row>
    <row r="1272" spans="2:19" ht="15.75" x14ac:dyDescent="0.25">
      <c r="B1272" s="133">
        <v>43837</v>
      </c>
      <c r="C1272" s="128" t="s">
        <v>496</v>
      </c>
      <c r="D1272" s="128" t="s">
        <v>45</v>
      </c>
      <c r="E1272" s="128" t="str" cm="1">
        <f t="array" ref="E1272">IFERROR(INDEX(SubcategoriesTable[Subcategory name],MATCH(Table1[[#This Row],[Category]],SubcategoriesTable[Category name],0),0),"")</f>
        <v>Variable</v>
      </c>
      <c r="F1272" s="134">
        <v>-6.89</v>
      </c>
      <c r="G1272" s="167" t="str">
        <f>_xlfn.XLOOKUP(Table1[[#This Row],[Account_ID]], Accounts[ID], Accounts[Account nickname], "Unknown")</f>
        <v>EVERYDAY CHECKING</v>
      </c>
      <c r="H1272" s="137" t="str">
        <f>_xlfn.XLOOKUP(Table1[[#This Row],[Account_ID]], Accounts[ID], Accounts[Account'#], "Unknown")</f>
        <v>4636</v>
      </c>
      <c r="I1272" s="168" t="str">
        <f>_xlfn.XLOOKUP(Table1[[#This Row],[Institution_ID]], Institutions[ID], Institutions[Institution nickname], "Unknown")</f>
        <v>Wells Fargo</v>
      </c>
      <c r="J1272" s="139" t="s">
        <v>1966</v>
      </c>
      <c r="K1272" s="129" t="s">
        <v>1229</v>
      </c>
      <c r="L1272" s="129" t="s">
        <v>1228</v>
      </c>
      <c r="M1272" s="130" t="str" cm="1">
        <f t="array" ref="M1272">IFERROR(INDEX(CategoriesTable[Category type],MATCH(Table1[[#This Row],[Category]],CategoriesTable[Category name],0),0),"")</f>
        <v>Expense</v>
      </c>
      <c r="N1272" s="130" t="str" cm="1">
        <f t="array" ref="N1272">IFERROR(INDEX(SubcategoriesTable[Subcategory name],MATCH(Table1[[#This Row],[Category]],SubcategoriesTable[Category name],0),0),"")</f>
        <v>Variable</v>
      </c>
      <c r="O1272" s="130">
        <v>7</v>
      </c>
      <c r="P1272" s="130">
        <f>MONTH(Table1[[#This Row],[Date]])</f>
        <v>1</v>
      </c>
      <c r="Q1272" s="130">
        <v>2020</v>
      </c>
      <c r="R1272" s="166">
        <f>IF(ISBLANK(Table1[[#This Row],[Date]]),"",Table1[[#This Row],[Date]]-WEEKDAY(Table1[[#This Row],[Date]],2)+1)</f>
        <v>43836</v>
      </c>
      <c r="S1272" s="131">
        <f>IF(ISBLANK(Table1[[#This Row],[Date]]),"",DATE(Table1[[#This Row],[Date_Year]],Table1[[#This Row],[Date_Month]],1))</f>
        <v>43831</v>
      </c>
    </row>
    <row r="1273" spans="2:19" ht="15.75" x14ac:dyDescent="0.25">
      <c r="B1273" s="133">
        <v>43836</v>
      </c>
      <c r="C1273" s="128" t="s">
        <v>263</v>
      </c>
      <c r="D1273" s="128" t="s">
        <v>46</v>
      </c>
      <c r="E1273" s="128" t="str" cm="1">
        <f t="array" ref="E1273">IFERROR(INDEX(SubcategoriesTable[Subcategory name],MATCH(Table1[[#This Row],[Category]],SubcategoriesTable[Category name],0),0),"")</f>
        <v>Variable</v>
      </c>
      <c r="F1273" s="134">
        <v>-20.27</v>
      </c>
      <c r="G1273" s="167" t="str">
        <f>_xlfn.XLOOKUP(Table1[[#This Row],[Account_ID]], Accounts[ID], Accounts[Account nickname], "Unknown")</f>
        <v>EVERYDAY CHECKING</v>
      </c>
      <c r="H1273" s="137" t="str">
        <f>_xlfn.XLOOKUP(Table1[[#This Row],[Account_ID]], Accounts[ID], Accounts[Account'#], "Unknown")</f>
        <v>4636</v>
      </c>
      <c r="I1273" s="168" t="str">
        <f>_xlfn.XLOOKUP(Table1[[#This Row],[Institution_ID]], Institutions[ID], Institutions[Institution nickname], "Unknown")</f>
        <v>Wells Fargo</v>
      </c>
      <c r="J1273" s="139" t="s">
        <v>1968</v>
      </c>
      <c r="K1273" s="129" t="s">
        <v>1229</v>
      </c>
      <c r="L1273" s="129" t="s">
        <v>1228</v>
      </c>
      <c r="M1273" s="130" t="str" cm="1">
        <f t="array" ref="M1273">IFERROR(INDEX(CategoriesTable[Category type],MATCH(Table1[[#This Row],[Category]],CategoriesTable[Category name],0),0),"")</f>
        <v>Expense</v>
      </c>
      <c r="N1273" s="130" t="str" cm="1">
        <f t="array" ref="N1273">IFERROR(INDEX(SubcategoriesTable[Subcategory name],MATCH(Table1[[#This Row],[Category]],SubcategoriesTable[Category name],0),0),"")</f>
        <v>Variable</v>
      </c>
      <c r="O1273" s="130">
        <v>6</v>
      </c>
      <c r="P1273" s="130">
        <f>MONTH(Table1[[#This Row],[Date]])</f>
        <v>1</v>
      </c>
      <c r="Q1273" s="130">
        <v>2020</v>
      </c>
      <c r="R1273" s="166">
        <f>IF(ISBLANK(Table1[[#This Row],[Date]]),"",Table1[[#This Row],[Date]]-WEEKDAY(Table1[[#This Row],[Date]],2)+1)</f>
        <v>43836</v>
      </c>
      <c r="S1273" s="131">
        <f>IF(ISBLANK(Table1[[#This Row],[Date]]),"",DATE(Table1[[#This Row],[Date_Year]],Table1[[#This Row],[Date_Month]],1))</f>
        <v>43831</v>
      </c>
    </row>
    <row r="1274" spans="2:19" ht="15.75" x14ac:dyDescent="0.25">
      <c r="B1274" s="133">
        <v>43836</v>
      </c>
      <c r="C1274" s="128" t="s">
        <v>531</v>
      </c>
      <c r="D1274" s="128" t="s">
        <v>54</v>
      </c>
      <c r="E1274" s="128" t="str" cm="1">
        <f t="array" ref="E1274">IFERROR(INDEX(SubcategoriesTable[Subcategory name],MATCH(Table1[[#This Row],[Category]],SubcategoriesTable[Category name],0),0),"")</f>
        <v>Fixed</v>
      </c>
      <c r="F1274" s="134">
        <v>-7.31</v>
      </c>
      <c r="G1274" s="167" t="str">
        <f>_xlfn.XLOOKUP(Table1[[#This Row],[Account_ID]], Accounts[ID], Accounts[Account nickname], "Unknown")</f>
        <v>EVERYDAY CHECKING</v>
      </c>
      <c r="H1274" s="137" t="str">
        <f>_xlfn.XLOOKUP(Table1[[#This Row],[Account_ID]], Accounts[ID], Accounts[Account'#], "Unknown")</f>
        <v>4636</v>
      </c>
      <c r="I1274" s="168" t="str">
        <f>_xlfn.XLOOKUP(Table1[[#This Row],[Institution_ID]], Institutions[ID], Institutions[Institution nickname], "Unknown")</f>
        <v>Wells Fargo</v>
      </c>
      <c r="J1274" s="139" t="s">
        <v>1967</v>
      </c>
      <c r="K1274" s="129" t="s">
        <v>1229</v>
      </c>
      <c r="L1274" s="129" t="s">
        <v>1228</v>
      </c>
      <c r="M1274" s="130" t="str" cm="1">
        <f t="array" ref="M1274">IFERROR(INDEX(CategoriesTable[Category type],MATCH(Table1[[#This Row],[Category]],CategoriesTable[Category name],0),0),"")</f>
        <v>Expense</v>
      </c>
      <c r="N1274" s="130" t="str" cm="1">
        <f t="array" ref="N1274">IFERROR(INDEX(SubcategoriesTable[Subcategory name],MATCH(Table1[[#This Row],[Category]],SubcategoriesTable[Category name],0),0),"")</f>
        <v>Fixed</v>
      </c>
      <c r="O1274" s="130">
        <v>6</v>
      </c>
      <c r="P1274" s="130">
        <f>MONTH(Table1[[#This Row],[Date]])</f>
        <v>1</v>
      </c>
      <c r="Q1274" s="130">
        <v>2020</v>
      </c>
      <c r="R1274" s="166">
        <f>IF(ISBLANK(Table1[[#This Row],[Date]]),"",Table1[[#This Row],[Date]]-WEEKDAY(Table1[[#This Row],[Date]],2)+1)</f>
        <v>43836</v>
      </c>
      <c r="S1274" s="131">
        <f>IF(ISBLANK(Table1[[#This Row],[Date]]),"",DATE(Table1[[#This Row],[Date_Year]],Table1[[#This Row],[Date_Month]],1))</f>
        <v>43831</v>
      </c>
    </row>
    <row r="1275" spans="2:19" ht="15.75" x14ac:dyDescent="0.25">
      <c r="B1275" s="133">
        <v>43835</v>
      </c>
      <c r="C1275" s="128" t="s">
        <v>171</v>
      </c>
      <c r="D1275" s="128" t="s">
        <v>46</v>
      </c>
      <c r="E1275" s="128" t="str" cm="1">
        <f t="array" ref="E1275">IFERROR(INDEX(SubcategoriesTable[Subcategory name],MATCH(Table1[[#This Row],[Category]],SubcategoriesTable[Category name],0),0),"")</f>
        <v>Variable</v>
      </c>
      <c r="F1275" s="134">
        <v>-8.57</v>
      </c>
      <c r="G1275" s="167" t="str">
        <f>_xlfn.XLOOKUP(Table1[[#This Row],[Account_ID]], Accounts[ID], Accounts[Account nickname], "Unknown")</f>
        <v>EVERYDAY CHECKING</v>
      </c>
      <c r="H1275" s="137" t="str">
        <f>_xlfn.XLOOKUP(Table1[[#This Row],[Account_ID]], Accounts[ID], Accounts[Account'#], "Unknown")</f>
        <v>4636</v>
      </c>
      <c r="I1275" s="168" t="str">
        <f>_xlfn.XLOOKUP(Table1[[#This Row],[Institution_ID]], Institutions[ID], Institutions[Institution nickname], "Unknown")</f>
        <v>Wells Fargo</v>
      </c>
      <c r="J1275" s="139" t="s">
        <v>1970</v>
      </c>
      <c r="K1275" s="129" t="s">
        <v>1229</v>
      </c>
      <c r="L1275" s="129" t="s">
        <v>1228</v>
      </c>
      <c r="M1275" s="130" t="str" cm="1">
        <f t="array" ref="M1275">IFERROR(INDEX(CategoriesTable[Category type],MATCH(Table1[[#This Row],[Category]],CategoriesTable[Category name],0),0),"")</f>
        <v>Expense</v>
      </c>
      <c r="N1275" s="130" t="str" cm="1">
        <f t="array" ref="N1275">IFERROR(INDEX(SubcategoriesTable[Subcategory name],MATCH(Table1[[#This Row],[Category]],SubcategoriesTable[Category name],0),0),"")</f>
        <v>Variable</v>
      </c>
      <c r="O1275" s="130">
        <v>5</v>
      </c>
      <c r="P1275" s="130">
        <f>MONTH(Table1[[#This Row],[Date]])</f>
        <v>1</v>
      </c>
      <c r="Q1275" s="130">
        <v>2020</v>
      </c>
      <c r="R1275" s="166">
        <f>IF(ISBLANK(Table1[[#This Row],[Date]]),"",Table1[[#This Row],[Date]]-WEEKDAY(Table1[[#This Row],[Date]],2)+1)</f>
        <v>43829</v>
      </c>
      <c r="S1275" s="131">
        <f>IF(ISBLANK(Table1[[#This Row],[Date]]),"",DATE(Table1[[#This Row],[Date_Year]],Table1[[#This Row],[Date_Month]],1))</f>
        <v>43831</v>
      </c>
    </row>
    <row r="1276" spans="2:19" ht="15.75" x14ac:dyDescent="0.25">
      <c r="B1276" s="133">
        <v>43835</v>
      </c>
      <c r="C1276" s="128" t="s">
        <v>373</v>
      </c>
      <c r="D1276" s="128" t="s">
        <v>45</v>
      </c>
      <c r="E1276" s="128" t="str" cm="1">
        <f t="array" ref="E1276">IFERROR(INDEX(SubcategoriesTable[Subcategory name],MATCH(Table1[[#This Row],[Category]],SubcategoriesTable[Category name],0),0),"")</f>
        <v>Variable</v>
      </c>
      <c r="F1276" s="134">
        <v>-17.89</v>
      </c>
      <c r="G1276" s="167" t="str">
        <f>_xlfn.XLOOKUP(Table1[[#This Row],[Account_ID]], Accounts[ID], Accounts[Account nickname], "Unknown")</f>
        <v>EVERYDAY CHECKING</v>
      </c>
      <c r="H1276" s="137" t="str">
        <f>_xlfn.XLOOKUP(Table1[[#This Row],[Account_ID]], Accounts[ID], Accounts[Account'#], "Unknown")</f>
        <v>4636</v>
      </c>
      <c r="I1276" s="168" t="str">
        <f>_xlfn.XLOOKUP(Table1[[#This Row],[Institution_ID]], Institutions[ID], Institutions[Institution nickname], "Unknown")</f>
        <v>Wells Fargo</v>
      </c>
      <c r="J1276" s="139" t="s">
        <v>1969</v>
      </c>
      <c r="K1276" s="129" t="s">
        <v>1229</v>
      </c>
      <c r="L1276" s="129" t="s">
        <v>1228</v>
      </c>
      <c r="M1276" s="130" t="str" cm="1">
        <f t="array" ref="M1276">IFERROR(INDEX(CategoriesTable[Category type],MATCH(Table1[[#This Row],[Category]],CategoriesTable[Category name],0),0),"")</f>
        <v>Expense</v>
      </c>
      <c r="N1276" s="130" t="str" cm="1">
        <f t="array" ref="N1276">IFERROR(INDEX(SubcategoriesTable[Subcategory name],MATCH(Table1[[#This Row],[Category]],SubcategoriesTable[Category name],0),0),"")</f>
        <v>Variable</v>
      </c>
      <c r="O1276" s="130">
        <v>5</v>
      </c>
      <c r="P1276" s="130">
        <f>MONTH(Table1[[#This Row],[Date]])</f>
        <v>1</v>
      </c>
      <c r="Q1276" s="130">
        <v>2020</v>
      </c>
      <c r="R1276" s="166">
        <f>IF(ISBLANK(Table1[[#This Row],[Date]]),"",Table1[[#This Row],[Date]]-WEEKDAY(Table1[[#This Row],[Date]],2)+1)</f>
        <v>43829</v>
      </c>
      <c r="S1276" s="131">
        <f>IF(ISBLANK(Table1[[#This Row],[Date]]),"",DATE(Table1[[#This Row],[Date_Year]],Table1[[#This Row],[Date_Month]],1))</f>
        <v>43831</v>
      </c>
    </row>
    <row r="1277" spans="2:19" ht="15.75" x14ac:dyDescent="0.25">
      <c r="B1277" s="133">
        <v>43834</v>
      </c>
      <c r="C1277" s="128" t="s">
        <v>1971</v>
      </c>
      <c r="D1277" s="128" t="s">
        <v>45</v>
      </c>
      <c r="E1277" s="128" t="str" cm="1">
        <f t="array" ref="E1277">IFERROR(INDEX(SubcategoriesTable[Subcategory name],MATCH(Table1[[#This Row],[Category]],SubcategoriesTable[Category name],0),0),"")</f>
        <v>Variable</v>
      </c>
      <c r="F1277" s="134">
        <v>-18.12</v>
      </c>
      <c r="G1277" s="167" t="str">
        <f>_xlfn.XLOOKUP(Table1[[#This Row],[Account_ID]], Accounts[ID], Accounts[Account nickname], "Unknown")</f>
        <v>EVERYDAY CHECKING</v>
      </c>
      <c r="H1277" s="137" t="str">
        <f>_xlfn.XLOOKUP(Table1[[#This Row],[Account_ID]], Accounts[ID], Accounts[Account'#], "Unknown")</f>
        <v>4636</v>
      </c>
      <c r="I1277" s="168" t="str">
        <f>_xlfn.XLOOKUP(Table1[[#This Row],[Institution_ID]], Institutions[ID], Institutions[Institution nickname], "Unknown")</f>
        <v>Wells Fargo</v>
      </c>
      <c r="J1277" s="139" t="s">
        <v>1972</v>
      </c>
      <c r="K1277" s="129" t="s">
        <v>1229</v>
      </c>
      <c r="L1277" s="129" t="s">
        <v>1228</v>
      </c>
      <c r="M1277" s="130" t="str" cm="1">
        <f t="array" ref="M1277">IFERROR(INDEX(CategoriesTable[Category type],MATCH(Table1[[#This Row],[Category]],CategoriesTable[Category name],0),0),"")</f>
        <v>Expense</v>
      </c>
      <c r="N1277" s="130" t="str" cm="1">
        <f t="array" ref="N1277">IFERROR(INDEX(SubcategoriesTable[Subcategory name],MATCH(Table1[[#This Row],[Category]],SubcategoriesTable[Category name],0),0),"")</f>
        <v>Variable</v>
      </c>
      <c r="O1277" s="130">
        <v>4</v>
      </c>
      <c r="P1277" s="130">
        <f>MONTH(Table1[[#This Row],[Date]])</f>
        <v>1</v>
      </c>
      <c r="Q1277" s="130">
        <v>2020</v>
      </c>
      <c r="R1277" s="166">
        <f>IF(ISBLANK(Table1[[#This Row],[Date]]),"",Table1[[#This Row],[Date]]-WEEKDAY(Table1[[#This Row],[Date]],2)+1)</f>
        <v>43829</v>
      </c>
      <c r="S1277" s="131">
        <f>IF(ISBLANK(Table1[[#This Row],[Date]]),"",DATE(Table1[[#This Row],[Date_Year]],Table1[[#This Row],[Date_Month]],1))</f>
        <v>43831</v>
      </c>
    </row>
    <row r="1278" spans="2:19" ht="15.75" x14ac:dyDescent="0.25">
      <c r="B1278" s="133">
        <v>43834</v>
      </c>
      <c r="C1278" s="128" t="s">
        <v>201</v>
      </c>
      <c r="D1278" s="128" t="s">
        <v>48</v>
      </c>
      <c r="E1278" s="128" t="str" cm="1">
        <f t="array" ref="E1278">IFERROR(INDEX(SubcategoriesTable[Subcategory name],MATCH(Table1[[#This Row],[Category]],SubcategoriesTable[Category name],0),0),"")</f>
        <v>Variable</v>
      </c>
      <c r="F1278" s="134">
        <v>-68.92</v>
      </c>
      <c r="G1278" s="167" t="str">
        <f>_xlfn.XLOOKUP(Table1[[#This Row],[Account_ID]], Accounts[ID], Accounts[Account nickname], "Unknown")</f>
        <v>EVERYDAY CHECKING</v>
      </c>
      <c r="H1278" s="137" t="str">
        <f>_xlfn.XLOOKUP(Table1[[#This Row],[Account_ID]], Accounts[ID], Accounts[Account'#], "Unknown")</f>
        <v>4636</v>
      </c>
      <c r="I1278" s="168" t="str">
        <f>_xlfn.XLOOKUP(Table1[[#This Row],[Institution_ID]], Institutions[ID], Institutions[Institution nickname], "Unknown")</f>
        <v>Wells Fargo</v>
      </c>
      <c r="J1278" s="139" t="s">
        <v>1973</v>
      </c>
      <c r="K1278" s="129" t="s">
        <v>1229</v>
      </c>
      <c r="L1278" s="129" t="s">
        <v>1228</v>
      </c>
      <c r="M1278" s="130" t="str" cm="1">
        <f t="array" ref="M1278">IFERROR(INDEX(CategoriesTable[Category type],MATCH(Table1[[#This Row],[Category]],CategoriesTable[Category name],0),0),"")</f>
        <v>Expense</v>
      </c>
      <c r="N1278" s="130" t="str" cm="1">
        <f t="array" ref="N1278">IFERROR(INDEX(SubcategoriesTable[Subcategory name],MATCH(Table1[[#This Row],[Category]],SubcategoriesTable[Category name],0),0),"")</f>
        <v>Variable</v>
      </c>
      <c r="O1278" s="130">
        <v>4</v>
      </c>
      <c r="P1278" s="130">
        <f>MONTH(Table1[[#This Row],[Date]])</f>
        <v>1</v>
      </c>
      <c r="Q1278" s="130">
        <v>2020</v>
      </c>
      <c r="R1278" s="166">
        <f>IF(ISBLANK(Table1[[#This Row],[Date]]),"",Table1[[#This Row],[Date]]-WEEKDAY(Table1[[#This Row],[Date]],2)+1)</f>
        <v>43829</v>
      </c>
      <c r="S1278" s="131">
        <f>IF(ISBLANK(Table1[[#This Row],[Date]]),"",DATE(Table1[[#This Row],[Date_Year]],Table1[[#This Row],[Date_Month]],1))</f>
        <v>43831</v>
      </c>
    </row>
    <row r="1279" spans="2:19" ht="15.75" x14ac:dyDescent="0.25">
      <c r="B1279" s="133">
        <v>43834</v>
      </c>
      <c r="C1279" s="128" t="s">
        <v>1475</v>
      </c>
      <c r="D1279" s="128" t="s">
        <v>56</v>
      </c>
      <c r="E1279" s="128" t="str" cm="1">
        <f t="array" ref="E1279">IFERROR(INDEX(SubcategoriesTable[Subcategory name],MATCH(Table1[[#This Row],[Category]],SubcategoriesTable[Category name],0),0),"")</f>
        <v>Variable</v>
      </c>
      <c r="F1279" s="134">
        <v>-7.35</v>
      </c>
      <c r="G1279" s="167" t="str">
        <f>_xlfn.XLOOKUP(Table1[[#This Row],[Account_ID]], Accounts[ID], Accounts[Account nickname], "Unknown")</f>
        <v>EVERYDAY CHECKING</v>
      </c>
      <c r="H1279" s="137" t="str">
        <f>_xlfn.XLOOKUP(Table1[[#This Row],[Account_ID]], Accounts[ID], Accounts[Account'#], "Unknown")</f>
        <v>4636</v>
      </c>
      <c r="I1279" s="168" t="str">
        <f>_xlfn.XLOOKUP(Table1[[#This Row],[Institution_ID]], Institutions[ID], Institutions[Institution nickname], "Unknown")</f>
        <v>Wells Fargo</v>
      </c>
      <c r="J1279" s="139" t="s">
        <v>1974</v>
      </c>
      <c r="K1279" s="129" t="s">
        <v>1229</v>
      </c>
      <c r="L1279" s="129" t="s">
        <v>1228</v>
      </c>
      <c r="M1279" s="130" t="str" cm="1">
        <f t="array" ref="M1279">IFERROR(INDEX(CategoriesTable[Category type],MATCH(Table1[[#This Row],[Category]],CategoriesTable[Category name],0),0),"")</f>
        <v>Expense</v>
      </c>
      <c r="N1279" s="130" t="str" cm="1">
        <f t="array" ref="N1279">IFERROR(INDEX(SubcategoriesTable[Subcategory name],MATCH(Table1[[#This Row],[Category]],SubcategoriesTable[Category name],0),0),"")</f>
        <v>Variable</v>
      </c>
      <c r="O1279" s="130">
        <v>4</v>
      </c>
      <c r="P1279" s="130">
        <f>MONTH(Table1[[#This Row],[Date]])</f>
        <v>1</v>
      </c>
      <c r="Q1279" s="130">
        <v>2020</v>
      </c>
      <c r="R1279" s="166">
        <f>IF(ISBLANK(Table1[[#This Row],[Date]]),"",Table1[[#This Row],[Date]]-WEEKDAY(Table1[[#This Row],[Date]],2)+1)</f>
        <v>43829</v>
      </c>
      <c r="S1279" s="131">
        <f>IF(ISBLANK(Table1[[#This Row],[Date]]),"",DATE(Table1[[#This Row],[Date_Year]],Table1[[#This Row],[Date_Month]],1))</f>
        <v>43831</v>
      </c>
    </row>
    <row r="1280" spans="2:19" ht="15.75" x14ac:dyDescent="0.25">
      <c r="B1280" s="133">
        <v>43834</v>
      </c>
      <c r="C1280" s="128" t="s">
        <v>1043</v>
      </c>
      <c r="D1280" s="128" t="s">
        <v>52</v>
      </c>
      <c r="E1280" s="128" t="str" cm="1">
        <f t="array" ref="E1280">IFERROR(INDEX(SubcategoriesTable[Subcategory name],MATCH(Table1[[#This Row],[Category]],SubcategoriesTable[Category name],0),0),"")</f>
        <v>Variable</v>
      </c>
      <c r="F1280" s="134">
        <v>-151.85</v>
      </c>
      <c r="G1280" s="167" t="str">
        <f>_xlfn.XLOOKUP(Table1[[#This Row],[Account_ID]], Accounts[ID], Accounts[Account nickname], "Unknown")</f>
        <v>Discover it chrome Card</v>
      </c>
      <c r="H1280" s="137" t="str">
        <f>_xlfn.XLOOKUP(Table1[[#This Row],[Account_ID]], Accounts[ID], Accounts[Account'#], "Unknown")</f>
        <v>7328</v>
      </c>
      <c r="I1280" s="168" t="str">
        <f>_xlfn.XLOOKUP(Table1[[#This Row],[Institution_ID]], Institutions[ID], Institutions[Institution nickname], "Unknown")</f>
        <v>Discover</v>
      </c>
      <c r="J1280" s="139" t="s">
        <v>1044</v>
      </c>
      <c r="K1280" s="129" t="s">
        <v>110</v>
      </c>
      <c r="L1280" s="129" t="s">
        <v>108</v>
      </c>
      <c r="M1280" s="130" t="str" cm="1">
        <f t="array" ref="M1280">IFERROR(INDEX(CategoriesTable[Category type],MATCH(Table1[[#This Row],[Category]],CategoriesTable[Category name],0),0),"")</f>
        <v>Expense</v>
      </c>
      <c r="N1280" s="130" t="str" cm="1">
        <f t="array" ref="N1280">IFERROR(INDEX(SubcategoriesTable[Subcategory name],MATCH(Table1[[#This Row],[Category]],SubcategoriesTable[Category name],0),0),"")</f>
        <v>Variable</v>
      </c>
      <c r="O1280" s="130">
        <v>4</v>
      </c>
      <c r="P1280" s="130">
        <f>MONTH(Table1[[#This Row],[Date]])</f>
        <v>1</v>
      </c>
      <c r="Q1280" s="130">
        <v>2020</v>
      </c>
      <c r="R1280" s="166">
        <f>IF(ISBLANK(Table1[[#This Row],[Date]]),"",Table1[[#This Row],[Date]]-WEEKDAY(Table1[[#This Row],[Date]],2)+1)</f>
        <v>43829</v>
      </c>
      <c r="S1280" s="131">
        <f>IF(ISBLANK(Table1[[#This Row],[Date]]),"",DATE(Table1[[#This Row],[Date_Year]],Table1[[#This Row],[Date_Month]],1))</f>
        <v>43831</v>
      </c>
    </row>
    <row r="1281" spans="2:19" ht="15.75" x14ac:dyDescent="0.25">
      <c r="B1281" s="133">
        <v>43833</v>
      </c>
      <c r="C1281" s="128" t="s">
        <v>546</v>
      </c>
      <c r="D1281" s="128" t="s">
        <v>48</v>
      </c>
      <c r="E1281" s="128" t="str" cm="1">
        <f t="array" ref="E1281">IFERROR(INDEX(SubcategoriesTable[Subcategory name],MATCH(Table1[[#This Row],[Category]],SubcategoriesTable[Category name],0),0),"")</f>
        <v>Variable</v>
      </c>
      <c r="F1281" s="134">
        <v>-8.1199999999999992</v>
      </c>
      <c r="G1281" s="167" t="str">
        <f>_xlfn.XLOOKUP(Table1[[#This Row],[Account_ID]], Accounts[ID], Accounts[Account nickname], "Unknown")</f>
        <v>EVERYDAY CHECKING</v>
      </c>
      <c r="H1281" s="137" t="str">
        <f>_xlfn.XLOOKUP(Table1[[#This Row],[Account_ID]], Accounts[ID], Accounts[Account'#], "Unknown")</f>
        <v>4636</v>
      </c>
      <c r="I1281" s="168" t="str">
        <f>_xlfn.XLOOKUP(Table1[[#This Row],[Institution_ID]], Institutions[ID], Institutions[Institution nickname], "Unknown")</f>
        <v>Wells Fargo</v>
      </c>
      <c r="J1281" s="139" t="s">
        <v>1975</v>
      </c>
      <c r="K1281" s="129" t="s">
        <v>1229</v>
      </c>
      <c r="L1281" s="129" t="s">
        <v>1228</v>
      </c>
      <c r="M1281" s="130" t="str" cm="1">
        <f t="array" ref="M1281">IFERROR(INDEX(CategoriesTable[Category type],MATCH(Table1[[#This Row],[Category]],CategoriesTable[Category name],0),0),"")</f>
        <v>Expense</v>
      </c>
      <c r="N1281" s="130" t="str" cm="1">
        <f t="array" ref="N1281">IFERROR(INDEX(SubcategoriesTable[Subcategory name],MATCH(Table1[[#This Row],[Category]],SubcategoriesTable[Category name],0),0),"")</f>
        <v>Variable</v>
      </c>
      <c r="O1281" s="130">
        <v>3</v>
      </c>
      <c r="P1281" s="130">
        <f>MONTH(Table1[[#This Row],[Date]])</f>
        <v>1</v>
      </c>
      <c r="Q1281" s="130">
        <v>2020</v>
      </c>
      <c r="R1281" s="166">
        <f>IF(ISBLANK(Table1[[#This Row],[Date]]),"",Table1[[#This Row],[Date]]-WEEKDAY(Table1[[#This Row],[Date]],2)+1)</f>
        <v>43829</v>
      </c>
      <c r="S1281" s="131">
        <f>IF(ISBLANK(Table1[[#This Row],[Date]]),"",DATE(Table1[[#This Row],[Date_Year]],Table1[[#This Row],[Date_Month]],1))</f>
        <v>43831</v>
      </c>
    </row>
    <row r="1282" spans="2:19" ht="15.75" x14ac:dyDescent="0.25">
      <c r="B1282" s="133">
        <v>43833</v>
      </c>
      <c r="C1282" s="128" t="s">
        <v>1720</v>
      </c>
      <c r="D1282" s="128" t="s">
        <v>56</v>
      </c>
      <c r="E1282" s="128" t="str" cm="1">
        <f t="array" ref="E1282">IFERROR(INDEX(SubcategoriesTable[Subcategory name],MATCH(Table1[[#This Row],[Category]],SubcategoriesTable[Category name],0),0),"")</f>
        <v>Variable</v>
      </c>
      <c r="F1282" s="134">
        <v>-456.25</v>
      </c>
      <c r="G1282" s="167" t="str">
        <f>_xlfn.XLOOKUP(Table1[[#This Row],[Account_ID]], Accounts[ID], Accounts[Account nickname], "Unknown")</f>
        <v>EVERYDAY CHECKING</v>
      </c>
      <c r="H1282" s="137" t="str">
        <f>_xlfn.XLOOKUP(Table1[[#This Row],[Account_ID]], Accounts[ID], Accounts[Account'#], "Unknown")</f>
        <v>4636</v>
      </c>
      <c r="I1282" s="168" t="str">
        <f>_xlfn.XLOOKUP(Table1[[#This Row],[Institution_ID]], Institutions[ID], Institutions[Institution nickname], "Unknown")</f>
        <v>Wells Fargo</v>
      </c>
      <c r="J1282" s="139" t="s">
        <v>1976</v>
      </c>
      <c r="K1282" s="129" t="s">
        <v>1229</v>
      </c>
      <c r="L1282" s="129" t="s">
        <v>1228</v>
      </c>
      <c r="M1282" s="130" t="str" cm="1">
        <f t="array" ref="M1282">IFERROR(INDEX(CategoriesTable[Category type],MATCH(Table1[[#This Row],[Category]],CategoriesTable[Category name],0),0),"")</f>
        <v>Expense</v>
      </c>
      <c r="N1282" s="130" t="str" cm="1">
        <f t="array" ref="N1282">IFERROR(INDEX(SubcategoriesTable[Subcategory name],MATCH(Table1[[#This Row],[Category]],SubcategoriesTable[Category name],0),0),"")</f>
        <v>Variable</v>
      </c>
      <c r="O1282" s="130">
        <v>3</v>
      </c>
      <c r="P1282" s="130">
        <f>MONTH(Table1[[#This Row],[Date]])</f>
        <v>1</v>
      </c>
      <c r="Q1282" s="130">
        <v>2020</v>
      </c>
      <c r="R1282" s="166">
        <f>IF(ISBLANK(Table1[[#This Row],[Date]]),"",Table1[[#This Row],[Date]]-WEEKDAY(Table1[[#This Row],[Date]],2)+1)</f>
        <v>43829</v>
      </c>
      <c r="S1282" s="131">
        <f>IF(ISBLANK(Table1[[#This Row],[Date]]),"",DATE(Table1[[#This Row],[Date_Year]],Table1[[#This Row],[Date_Month]],1))</f>
        <v>43831</v>
      </c>
    </row>
    <row r="1283" spans="2:19" ht="15.75" x14ac:dyDescent="0.25">
      <c r="B1283" s="133">
        <v>43833</v>
      </c>
      <c r="C1283" s="128" t="s">
        <v>1195</v>
      </c>
      <c r="D1283" s="128" t="s">
        <v>2369</v>
      </c>
      <c r="E1283" s="128" t="str" cm="1">
        <f t="array" ref="E1283">IFERROR(INDEX(SubcategoriesTable[Subcategory name],MATCH(Table1[[#This Row],[Category]],SubcategoriesTable[Category name],0),0),"")</f>
        <v>Variable</v>
      </c>
      <c r="F1283" s="134">
        <v>-250</v>
      </c>
      <c r="G1283" s="167" t="str">
        <f>_xlfn.XLOOKUP(Table1[[#This Row],[Account_ID]], Accounts[ID], Accounts[Account nickname], "Unknown")</f>
        <v>EVERYDAY CHECKING</v>
      </c>
      <c r="H1283" s="137" t="str">
        <f>_xlfn.XLOOKUP(Table1[[#This Row],[Account_ID]], Accounts[ID], Accounts[Account'#], "Unknown")</f>
        <v>4636</v>
      </c>
      <c r="I1283" s="168" t="str">
        <f>_xlfn.XLOOKUP(Table1[[#This Row],[Institution_ID]], Institutions[ID], Institutions[Institution nickname], "Unknown")</f>
        <v>Wells Fargo</v>
      </c>
      <c r="J1283" s="139" t="s">
        <v>1977</v>
      </c>
      <c r="K1283" s="129" t="s">
        <v>1229</v>
      </c>
      <c r="L1283" s="129" t="s">
        <v>1228</v>
      </c>
      <c r="M1283" s="130" t="str" cm="1">
        <f t="array" ref="M1283">IFERROR(INDEX(CategoriesTable[Category type],MATCH(Table1[[#This Row],[Category]],CategoriesTable[Category name],0),0),"")</f>
        <v>Expense</v>
      </c>
      <c r="N1283" s="130" t="str" cm="1">
        <f t="array" ref="N1283">IFERROR(INDEX(SubcategoriesTable[Subcategory name],MATCH(Table1[[#This Row],[Category]],SubcategoriesTable[Category name],0),0),"")</f>
        <v>Variable</v>
      </c>
      <c r="O1283" s="130">
        <v>3</v>
      </c>
      <c r="P1283" s="130">
        <f>MONTH(Table1[[#This Row],[Date]])</f>
        <v>1</v>
      </c>
      <c r="Q1283" s="130">
        <v>2020</v>
      </c>
      <c r="R1283" s="166">
        <f>IF(ISBLANK(Table1[[#This Row],[Date]]),"",Table1[[#This Row],[Date]]-WEEKDAY(Table1[[#This Row],[Date]],2)+1)</f>
        <v>43829</v>
      </c>
      <c r="S1283" s="131">
        <f>IF(ISBLANK(Table1[[#This Row],[Date]]),"",DATE(Table1[[#This Row],[Date_Year]],Table1[[#This Row],[Date_Month]],1))</f>
        <v>43831</v>
      </c>
    </row>
    <row r="1284" spans="2:19" ht="15.75" x14ac:dyDescent="0.25">
      <c r="B1284" s="133">
        <v>43833</v>
      </c>
      <c r="C1284" s="128" t="s">
        <v>1978</v>
      </c>
      <c r="D1284" s="128" t="s">
        <v>45</v>
      </c>
      <c r="E1284" s="128" t="str" cm="1">
        <f t="array" ref="E1284">IFERROR(INDEX(SubcategoriesTable[Subcategory name],MATCH(Table1[[#This Row],[Category]],SubcategoriesTable[Category name],0),0),"")</f>
        <v>Variable</v>
      </c>
      <c r="F1284" s="134">
        <v>-17.75</v>
      </c>
      <c r="G1284" s="167" t="str">
        <f>_xlfn.XLOOKUP(Table1[[#This Row],[Account_ID]], Accounts[ID], Accounts[Account nickname], "Unknown")</f>
        <v>EVERYDAY CHECKING</v>
      </c>
      <c r="H1284" s="137" t="str">
        <f>_xlfn.XLOOKUP(Table1[[#This Row],[Account_ID]], Accounts[ID], Accounts[Account'#], "Unknown")</f>
        <v>4636</v>
      </c>
      <c r="I1284" s="168" t="str">
        <f>_xlfn.XLOOKUP(Table1[[#This Row],[Institution_ID]], Institutions[ID], Institutions[Institution nickname], "Unknown")</f>
        <v>Wells Fargo</v>
      </c>
      <c r="J1284" s="139" t="s">
        <v>1979</v>
      </c>
      <c r="K1284" s="129" t="s">
        <v>1229</v>
      </c>
      <c r="L1284" s="129" t="s">
        <v>1228</v>
      </c>
      <c r="M1284" s="130" t="str" cm="1">
        <f t="array" ref="M1284">IFERROR(INDEX(CategoriesTable[Category type],MATCH(Table1[[#This Row],[Category]],CategoriesTable[Category name],0),0),"")</f>
        <v>Expense</v>
      </c>
      <c r="N1284" s="130" t="str" cm="1">
        <f t="array" ref="N1284">IFERROR(INDEX(SubcategoriesTable[Subcategory name],MATCH(Table1[[#This Row],[Category]],SubcategoriesTable[Category name],0),0),"")</f>
        <v>Variable</v>
      </c>
      <c r="O1284" s="130">
        <v>3</v>
      </c>
      <c r="P1284" s="130">
        <f>MONTH(Table1[[#This Row],[Date]])</f>
        <v>1</v>
      </c>
      <c r="Q1284" s="130">
        <v>2020</v>
      </c>
      <c r="R1284" s="166">
        <f>IF(ISBLANK(Table1[[#This Row],[Date]]),"",Table1[[#This Row],[Date]]-WEEKDAY(Table1[[#This Row],[Date]],2)+1)</f>
        <v>43829</v>
      </c>
      <c r="S1284" s="131">
        <f>IF(ISBLANK(Table1[[#This Row],[Date]]),"",DATE(Table1[[#This Row],[Date_Year]],Table1[[#This Row],[Date_Month]],1))</f>
        <v>43831</v>
      </c>
    </row>
    <row r="1285" spans="2:19" ht="15.75" x14ac:dyDescent="0.25">
      <c r="B1285" s="133">
        <v>43833</v>
      </c>
      <c r="C1285" s="128" t="s">
        <v>1181</v>
      </c>
      <c r="D1285" s="128" t="s">
        <v>59</v>
      </c>
      <c r="E1285" s="128" t="str" cm="1">
        <f t="array" ref="E1285">IFERROR(INDEX(SubcategoriesTable[Subcategory name],MATCH(Table1[[#This Row],[Category]],SubcategoriesTable[Category name],0),0),"")</f>
        <v>Fixed</v>
      </c>
      <c r="F1285" s="134">
        <v>1503.46</v>
      </c>
      <c r="G1285" s="167" t="str">
        <f>_xlfn.XLOOKUP(Table1[[#This Row],[Account_ID]], Accounts[ID], Accounts[Account nickname], "Unknown")</f>
        <v>EVERYDAY CHECKING</v>
      </c>
      <c r="H1285" s="137" t="str">
        <f>_xlfn.XLOOKUP(Table1[[#This Row],[Account_ID]], Accounts[ID], Accounts[Account'#], "Unknown")</f>
        <v>4636</v>
      </c>
      <c r="I1285" s="168" t="str">
        <f>_xlfn.XLOOKUP(Table1[[#This Row],[Institution_ID]], Institutions[ID], Institutions[Institution nickname], "Unknown")</f>
        <v>Wells Fargo</v>
      </c>
      <c r="J1285" s="139" t="s">
        <v>1980</v>
      </c>
      <c r="K1285" s="129" t="s">
        <v>1229</v>
      </c>
      <c r="L1285" s="129" t="s">
        <v>1228</v>
      </c>
      <c r="M1285" s="130" t="str" cm="1">
        <f t="array" ref="M1285">IFERROR(INDEX(CategoriesTable[Category type],MATCH(Table1[[#This Row],[Category]],CategoriesTable[Category name],0),0),"")</f>
        <v>Income</v>
      </c>
      <c r="N1285" s="130" t="str" cm="1">
        <f t="array" ref="N1285">IFERROR(INDEX(SubcategoriesTable[Subcategory name],MATCH(Table1[[#This Row],[Category]],SubcategoriesTable[Category name],0),0),"")</f>
        <v>Fixed</v>
      </c>
      <c r="O1285" s="130">
        <v>3</v>
      </c>
      <c r="P1285" s="130">
        <f>MONTH(Table1[[#This Row],[Date]])</f>
        <v>1</v>
      </c>
      <c r="Q1285" s="130">
        <v>2020</v>
      </c>
      <c r="R1285" s="166">
        <f>IF(ISBLANK(Table1[[#This Row],[Date]]),"",Table1[[#This Row],[Date]]-WEEKDAY(Table1[[#This Row],[Date]],2)+1)</f>
        <v>43829</v>
      </c>
      <c r="S1285" s="131">
        <f>IF(ISBLANK(Table1[[#This Row],[Date]]),"",DATE(Table1[[#This Row],[Date_Year]],Table1[[#This Row],[Date_Month]],1))</f>
        <v>43831</v>
      </c>
    </row>
    <row r="1286" spans="2:19" ht="15.75" x14ac:dyDescent="0.25">
      <c r="B1286" s="133">
        <v>43833</v>
      </c>
      <c r="C1286" s="128" t="s">
        <v>690</v>
      </c>
      <c r="D1286" s="128" t="s">
        <v>48</v>
      </c>
      <c r="E1286" s="128" t="str" cm="1">
        <f t="array" ref="E1286">IFERROR(INDEX(SubcategoriesTable[Subcategory name],MATCH(Table1[[#This Row],[Category]],SubcategoriesTable[Category name],0),0),"")</f>
        <v>Variable</v>
      </c>
      <c r="F1286" s="134">
        <v>-291.76</v>
      </c>
      <c r="G1286" s="167" t="str">
        <f>_xlfn.XLOOKUP(Table1[[#This Row],[Account_ID]], Accounts[ID], Accounts[Account nickname], "Unknown")</f>
        <v>EVERYDAY CHECKING</v>
      </c>
      <c r="H1286" s="137" t="str">
        <f>_xlfn.XLOOKUP(Table1[[#This Row],[Account_ID]], Accounts[ID], Accounts[Account'#], "Unknown")</f>
        <v>4636</v>
      </c>
      <c r="I1286" s="168" t="str">
        <f>_xlfn.XLOOKUP(Table1[[#This Row],[Institution_ID]], Institutions[ID], Institutions[Institution nickname], "Unknown")</f>
        <v>Wells Fargo</v>
      </c>
      <c r="J1286" s="139" t="s">
        <v>1981</v>
      </c>
      <c r="K1286" s="129" t="s">
        <v>1229</v>
      </c>
      <c r="L1286" s="129" t="s">
        <v>1228</v>
      </c>
      <c r="M1286" s="130" t="str" cm="1">
        <f t="array" ref="M1286">IFERROR(INDEX(CategoriesTable[Category type],MATCH(Table1[[#This Row],[Category]],CategoriesTable[Category name],0),0),"")</f>
        <v>Expense</v>
      </c>
      <c r="N1286" s="130" t="str" cm="1">
        <f t="array" ref="N1286">IFERROR(INDEX(SubcategoriesTable[Subcategory name],MATCH(Table1[[#This Row],[Category]],SubcategoriesTable[Category name],0),0),"")</f>
        <v>Variable</v>
      </c>
      <c r="O1286" s="130">
        <v>3</v>
      </c>
      <c r="P1286" s="130">
        <f>MONTH(Table1[[#This Row],[Date]])</f>
        <v>1</v>
      </c>
      <c r="Q1286" s="130">
        <v>2020</v>
      </c>
      <c r="R1286" s="166">
        <f>IF(ISBLANK(Table1[[#This Row],[Date]]),"",Table1[[#This Row],[Date]]-WEEKDAY(Table1[[#This Row],[Date]],2)+1)</f>
        <v>43829</v>
      </c>
      <c r="S1286" s="131">
        <f>IF(ISBLANK(Table1[[#This Row],[Date]]),"",DATE(Table1[[#This Row],[Date_Year]],Table1[[#This Row],[Date_Month]],1))</f>
        <v>43831</v>
      </c>
    </row>
    <row r="1287" spans="2:19" ht="15.75" x14ac:dyDescent="0.25">
      <c r="B1287" s="133">
        <v>43833</v>
      </c>
      <c r="C1287" s="128" t="s">
        <v>115</v>
      </c>
      <c r="D1287" s="128" t="s">
        <v>48</v>
      </c>
      <c r="E1287" s="128" t="str" cm="1">
        <f t="array" ref="E1287">IFERROR(INDEX(SubcategoriesTable[Subcategory name],MATCH(Table1[[#This Row],[Category]],SubcategoriesTable[Category name],0),0),"")</f>
        <v>Variable</v>
      </c>
      <c r="F1287" s="134">
        <v>-11.2</v>
      </c>
      <c r="G1287" s="167" t="str">
        <f>_xlfn.XLOOKUP(Table1[[#This Row],[Account_ID]], Accounts[ID], Accounts[Account nickname], "Unknown")</f>
        <v>EVERYDAY CHECKING</v>
      </c>
      <c r="H1287" s="137" t="str">
        <f>_xlfn.XLOOKUP(Table1[[#This Row],[Account_ID]], Accounts[ID], Accounts[Account'#], "Unknown")</f>
        <v>4636</v>
      </c>
      <c r="I1287" s="168" t="str">
        <f>_xlfn.XLOOKUP(Table1[[#This Row],[Institution_ID]], Institutions[ID], Institutions[Institution nickname], "Unknown")</f>
        <v>Wells Fargo</v>
      </c>
      <c r="J1287" s="139" t="s">
        <v>1982</v>
      </c>
      <c r="K1287" s="129" t="s">
        <v>1229</v>
      </c>
      <c r="L1287" s="129" t="s">
        <v>1228</v>
      </c>
      <c r="M1287" s="130" t="str" cm="1">
        <f t="array" ref="M1287">IFERROR(INDEX(CategoriesTable[Category type],MATCH(Table1[[#This Row],[Category]],CategoriesTable[Category name],0),0),"")</f>
        <v>Expense</v>
      </c>
      <c r="N1287" s="130" t="str" cm="1">
        <f t="array" ref="N1287">IFERROR(INDEX(SubcategoriesTable[Subcategory name],MATCH(Table1[[#This Row],[Category]],SubcategoriesTable[Category name],0),0),"")</f>
        <v>Variable</v>
      </c>
      <c r="O1287" s="130">
        <v>3</v>
      </c>
      <c r="P1287" s="130">
        <f>MONTH(Table1[[#This Row],[Date]])</f>
        <v>1</v>
      </c>
      <c r="Q1287" s="130">
        <v>2020</v>
      </c>
      <c r="R1287" s="166">
        <f>IF(ISBLANK(Table1[[#This Row],[Date]]),"",Table1[[#This Row],[Date]]-WEEKDAY(Table1[[#This Row],[Date]],2)+1)</f>
        <v>43829</v>
      </c>
      <c r="S1287" s="131">
        <f>IF(ISBLANK(Table1[[#This Row],[Date]]),"",DATE(Table1[[#This Row],[Date_Year]],Table1[[#This Row],[Date_Month]],1))</f>
        <v>43831</v>
      </c>
    </row>
    <row r="1288" spans="2:19" ht="15.75" x14ac:dyDescent="0.25">
      <c r="B1288" s="133">
        <v>43832</v>
      </c>
      <c r="C1288" s="128" t="s">
        <v>180</v>
      </c>
      <c r="D1288" s="128" t="s">
        <v>45</v>
      </c>
      <c r="E1288" s="128" t="str" cm="1">
        <f t="array" ref="E1288">IFERROR(INDEX(SubcategoriesTable[Subcategory name],MATCH(Table1[[#This Row],[Category]],SubcategoriesTable[Category name],0),0),"")</f>
        <v>Variable</v>
      </c>
      <c r="F1288" s="134">
        <v>-10.27</v>
      </c>
      <c r="G1288" s="167" t="str">
        <f>_xlfn.XLOOKUP(Table1[[#This Row],[Account_ID]], Accounts[ID], Accounts[Account nickname], "Unknown")</f>
        <v>Discover it chrome Card</v>
      </c>
      <c r="H1288" s="137" t="str">
        <f>_xlfn.XLOOKUP(Table1[[#This Row],[Account_ID]], Accounts[ID], Accounts[Account'#], "Unknown")</f>
        <v>7328</v>
      </c>
      <c r="I1288" s="168" t="str">
        <f>_xlfn.XLOOKUP(Table1[[#This Row],[Institution_ID]], Institutions[ID], Institutions[Institution nickname], "Unknown")</f>
        <v>Discover</v>
      </c>
      <c r="J1288" s="139" t="s">
        <v>1045</v>
      </c>
      <c r="K1288" s="129" t="s">
        <v>110</v>
      </c>
      <c r="L1288" s="129" t="s">
        <v>108</v>
      </c>
      <c r="M1288" s="130" t="str" cm="1">
        <f t="array" ref="M1288">IFERROR(INDEX(CategoriesTable[Category type],MATCH(Table1[[#This Row],[Category]],CategoriesTable[Category name],0),0),"")</f>
        <v>Expense</v>
      </c>
      <c r="N1288" s="130" t="str" cm="1">
        <f t="array" ref="N1288">IFERROR(INDEX(SubcategoriesTable[Subcategory name],MATCH(Table1[[#This Row],[Category]],SubcategoriesTable[Category name],0),0),"")</f>
        <v>Variable</v>
      </c>
      <c r="O1288" s="130">
        <v>2</v>
      </c>
      <c r="P1288" s="130">
        <f>MONTH(Table1[[#This Row],[Date]])</f>
        <v>1</v>
      </c>
      <c r="Q1288" s="130">
        <v>2020</v>
      </c>
      <c r="R1288" s="166">
        <f>IF(ISBLANK(Table1[[#This Row],[Date]]),"",Table1[[#This Row],[Date]]-WEEKDAY(Table1[[#This Row],[Date]],2)+1)</f>
        <v>43829</v>
      </c>
      <c r="S1288" s="131">
        <f>IF(ISBLANK(Table1[[#This Row],[Date]]),"",DATE(Table1[[#This Row],[Date_Year]],Table1[[#This Row],[Date_Month]],1))</f>
        <v>43831</v>
      </c>
    </row>
    <row r="1289" spans="2:19" ht="15.75" x14ac:dyDescent="0.25">
      <c r="B1289" s="133">
        <v>43832</v>
      </c>
      <c r="C1289" s="128" t="s">
        <v>119</v>
      </c>
      <c r="D1289" s="128" t="s">
        <v>52</v>
      </c>
      <c r="E1289" s="128" t="str" cm="1">
        <f t="array" ref="E1289">IFERROR(INDEX(SubcategoriesTable[Subcategory name],MATCH(Table1[[#This Row],[Category]],SubcategoriesTable[Category name],0),0),"")</f>
        <v>Variable</v>
      </c>
      <c r="F1289" s="134">
        <v>-6.73</v>
      </c>
      <c r="G1289" s="167" t="str">
        <f>_xlfn.XLOOKUP(Table1[[#This Row],[Account_ID]], Accounts[ID], Accounts[Account nickname], "Unknown")</f>
        <v>Discover it chrome Card</v>
      </c>
      <c r="H1289" s="137" t="str">
        <f>_xlfn.XLOOKUP(Table1[[#This Row],[Account_ID]], Accounts[ID], Accounts[Account'#], "Unknown")</f>
        <v>7328</v>
      </c>
      <c r="I1289" s="168" t="str">
        <f>_xlfn.XLOOKUP(Table1[[#This Row],[Institution_ID]], Institutions[ID], Institutions[Institution nickname], "Unknown")</f>
        <v>Discover</v>
      </c>
      <c r="J1289" s="139" t="s">
        <v>1046</v>
      </c>
      <c r="K1289" s="129" t="s">
        <v>110</v>
      </c>
      <c r="L1289" s="129" t="s">
        <v>108</v>
      </c>
      <c r="M1289" s="130" t="str" cm="1">
        <f t="array" ref="M1289">IFERROR(INDEX(CategoriesTable[Category type],MATCH(Table1[[#This Row],[Category]],CategoriesTable[Category name],0),0),"")</f>
        <v>Expense</v>
      </c>
      <c r="N1289" s="130" t="str" cm="1">
        <f t="array" ref="N1289">IFERROR(INDEX(SubcategoriesTable[Subcategory name],MATCH(Table1[[#This Row],[Category]],SubcategoriesTable[Category name],0),0),"")</f>
        <v>Variable</v>
      </c>
      <c r="O1289" s="130">
        <v>2</v>
      </c>
      <c r="P1289" s="130">
        <f>MONTH(Table1[[#This Row],[Date]])</f>
        <v>1</v>
      </c>
      <c r="Q1289" s="130">
        <v>2020</v>
      </c>
      <c r="R1289" s="166">
        <f>IF(ISBLANK(Table1[[#This Row],[Date]]),"",Table1[[#This Row],[Date]]-WEEKDAY(Table1[[#This Row],[Date]],2)+1)</f>
        <v>43829</v>
      </c>
      <c r="S1289" s="131">
        <f>IF(ISBLANK(Table1[[#This Row],[Date]]),"",DATE(Table1[[#This Row],[Date_Year]],Table1[[#This Row],[Date_Month]],1))</f>
        <v>43831</v>
      </c>
    </row>
    <row r="1290" spans="2:19" ht="15.75" x14ac:dyDescent="0.25">
      <c r="B1290" s="133">
        <v>43831</v>
      </c>
      <c r="C1290" s="128" t="s">
        <v>1983</v>
      </c>
      <c r="D1290" s="128" t="s">
        <v>45</v>
      </c>
      <c r="E1290" s="128" t="str" cm="1">
        <f t="array" ref="E1290">IFERROR(INDEX(SubcategoriesTable[Subcategory name],MATCH(Table1[[#This Row],[Category]],SubcategoriesTable[Category name],0),0),"")</f>
        <v>Variable</v>
      </c>
      <c r="F1290" s="134">
        <v>-8.8000000000000007</v>
      </c>
      <c r="G1290" s="167" t="str">
        <f>_xlfn.XLOOKUP(Table1[[#This Row],[Account_ID]], Accounts[ID], Accounts[Account nickname], "Unknown")</f>
        <v>EVERYDAY CHECKING</v>
      </c>
      <c r="H1290" s="137" t="str">
        <f>_xlfn.XLOOKUP(Table1[[#This Row],[Account_ID]], Accounts[ID], Accounts[Account'#], "Unknown")</f>
        <v>4636</v>
      </c>
      <c r="I1290" s="168" t="str">
        <f>_xlfn.XLOOKUP(Table1[[#This Row],[Institution_ID]], Institutions[ID], Institutions[Institution nickname], "Unknown")</f>
        <v>Wells Fargo</v>
      </c>
      <c r="J1290" s="139" t="s">
        <v>1984</v>
      </c>
      <c r="K1290" s="129" t="s">
        <v>1229</v>
      </c>
      <c r="L1290" s="129" t="s">
        <v>1228</v>
      </c>
      <c r="M1290" s="130" t="str" cm="1">
        <f t="array" ref="M1290">IFERROR(INDEX(CategoriesTable[Category type],MATCH(Table1[[#This Row],[Category]],CategoriesTable[Category name],0),0),"")</f>
        <v>Expense</v>
      </c>
      <c r="N1290" s="130" t="str" cm="1">
        <f t="array" ref="N1290">IFERROR(INDEX(SubcategoriesTable[Subcategory name],MATCH(Table1[[#This Row],[Category]],SubcategoriesTable[Category name],0),0),"")</f>
        <v>Variable</v>
      </c>
      <c r="O1290" s="130">
        <v>1</v>
      </c>
      <c r="P1290" s="130">
        <f>MONTH(Table1[[#This Row],[Date]])</f>
        <v>1</v>
      </c>
      <c r="Q1290" s="130">
        <v>2020</v>
      </c>
      <c r="R1290" s="166">
        <f>IF(ISBLANK(Table1[[#This Row],[Date]]),"",Table1[[#This Row],[Date]]-WEEKDAY(Table1[[#This Row],[Date]],2)+1)</f>
        <v>43829</v>
      </c>
      <c r="S1290" s="131">
        <f>IF(ISBLANK(Table1[[#This Row],[Date]]),"",DATE(Table1[[#This Row],[Date_Year]],Table1[[#This Row],[Date_Month]],1))</f>
        <v>43831</v>
      </c>
    </row>
    <row r="1291" spans="2:19" ht="15.75" x14ac:dyDescent="0.25">
      <c r="B1291" s="133">
        <v>43831</v>
      </c>
      <c r="C1291" s="128" t="s">
        <v>1985</v>
      </c>
      <c r="D1291" s="128" t="s">
        <v>49</v>
      </c>
      <c r="E1291" s="128" t="str" cm="1">
        <f t="array" ref="E1291">IFERROR(INDEX(SubcategoriesTable[Subcategory name],MATCH(Table1[[#This Row],[Category]],SubcategoriesTable[Category name],0),0),"")</f>
        <v>Variable</v>
      </c>
      <c r="F1291" s="134">
        <v>-0.45</v>
      </c>
      <c r="G1291" s="167" t="str">
        <f>_xlfn.XLOOKUP(Table1[[#This Row],[Account_ID]], Accounts[ID], Accounts[Account nickname], "Unknown")</f>
        <v>EVERYDAY CHECKING</v>
      </c>
      <c r="H1291" s="137" t="str">
        <f>_xlfn.XLOOKUP(Table1[[#This Row],[Account_ID]], Accounts[ID], Accounts[Account'#], "Unknown")</f>
        <v>4636</v>
      </c>
      <c r="I1291" s="168" t="str">
        <f>_xlfn.XLOOKUP(Table1[[#This Row],[Institution_ID]], Institutions[ID], Institutions[Institution nickname], "Unknown")</f>
        <v>Wells Fargo</v>
      </c>
      <c r="J1291" s="139" t="s">
        <v>1986</v>
      </c>
      <c r="K1291" s="129" t="s">
        <v>1229</v>
      </c>
      <c r="L1291" s="129" t="s">
        <v>1228</v>
      </c>
      <c r="M1291" s="130" t="str" cm="1">
        <f t="array" ref="M1291">IFERROR(INDEX(CategoriesTable[Category type],MATCH(Table1[[#This Row],[Category]],CategoriesTable[Category name],0),0),"")</f>
        <v>Expense</v>
      </c>
      <c r="N1291" s="130" t="str" cm="1">
        <f t="array" ref="N1291">IFERROR(INDEX(SubcategoriesTable[Subcategory name],MATCH(Table1[[#This Row],[Category]],SubcategoriesTable[Category name],0),0),"")</f>
        <v>Variable</v>
      </c>
      <c r="O1291" s="130">
        <v>1</v>
      </c>
      <c r="P1291" s="130">
        <f>MONTH(Table1[[#This Row],[Date]])</f>
        <v>1</v>
      </c>
      <c r="Q1291" s="130">
        <v>2020</v>
      </c>
      <c r="R1291" s="166">
        <f>IF(ISBLANK(Table1[[#This Row],[Date]]),"",Table1[[#This Row],[Date]]-WEEKDAY(Table1[[#This Row],[Date]],2)+1)</f>
        <v>43829</v>
      </c>
      <c r="S1291" s="131">
        <f>IF(ISBLANK(Table1[[#This Row],[Date]]),"",DATE(Table1[[#This Row],[Date_Year]],Table1[[#This Row],[Date_Month]],1))</f>
        <v>43831</v>
      </c>
    </row>
    <row r="1292" spans="2:19" ht="15.75" x14ac:dyDescent="0.25">
      <c r="B1292" s="133">
        <v>43831</v>
      </c>
      <c r="C1292" s="128" t="s">
        <v>1985</v>
      </c>
      <c r="D1292" s="128" t="s">
        <v>49</v>
      </c>
      <c r="E1292" s="128" t="str" cm="1">
        <f t="array" ref="E1292">IFERROR(INDEX(SubcategoriesTable[Subcategory name],MATCH(Table1[[#This Row],[Category]],SubcategoriesTable[Category name],0),0),"")</f>
        <v>Variable</v>
      </c>
      <c r="F1292" s="134">
        <v>-0.45</v>
      </c>
      <c r="G1292" s="167" t="str">
        <f>_xlfn.XLOOKUP(Table1[[#This Row],[Account_ID]], Accounts[ID], Accounts[Account nickname], "Unknown")</f>
        <v>EVERYDAY CHECKING</v>
      </c>
      <c r="H1292" s="137" t="str">
        <f>_xlfn.XLOOKUP(Table1[[#This Row],[Account_ID]], Accounts[ID], Accounts[Account'#], "Unknown")</f>
        <v>4636</v>
      </c>
      <c r="I1292" s="168" t="str">
        <f>_xlfn.XLOOKUP(Table1[[#This Row],[Institution_ID]], Institutions[ID], Institutions[Institution nickname], "Unknown")</f>
        <v>Wells Fargo</v>
      </c>
      <c r="J1292" s="139" t="s">
        <v>1987</v>
      </c>
      <c r="K1292" s="129" t="s">
        <v>1229</v>
      </c>
      <c r="L1292" s="129" t="s">
        <v>1228</v>
      </c>
      <c r="M1292" s="130" t="str" cm="1">
        <f t="array" ref="M1292">IFERROR(INDEX(CategoriesTable[Category type],MATCH(Table1[[#This Row],[Category]],CategoriesTable[Category name],0),0),"")</f>
        <v>Expense</v>
      </c>
      <c r="N1292" s="130" t="str" cm="1">
        <f t="array" ref="N1292">IFERROR(INDEX(SubcategoriesTable[Subcategory name],MATCH(Table1[[#This Row],[Category]],SubcategoriesTable[Category name],0),0),"")</f>
        <v>Variable</v>
      </c>
      <c r="O1292" s="130">
        <v>1</v>
      </c>
      <c r="P1292" s="130">
        <f>MONTH(Table1[[#This Row],[Date]])</f>
        <v>1</v>
      </c>
      <c r="Q1292" s="130">
        <v>2020</v>
      </c>
      <c r="R1292" s="166">
        <f>IF(ISBLANK(Table1[[#This Row],[Date]]),"",Table1[[#This Row],[Date]]-WEEKDAY(Table1[[#This Row],[Date]],2)+1)</f>
        <v>43829</v>
      </c>
      <c r="S1292" s="131">
        <f>IF(ISBLANK(Table1[[#This Row],[Date]]),"",DATE(Table1[[#This Row],[Date_Year]],Table1[[#This Row],[Date_Month]],1))</f>
        <v>43831</v>
      </c>
    </row>
    <row r="1293" spans="2:19" ht="15.75" x14ac:dyDescent="0.25">
      <c r="B1293" s="133">
        <v>43831</v>
      </c>
      <c r="C1293" s="128" t="s">
        <v>757</v>
      </c>
      <c r="D1293" s="128" t="s">
        <v>45</v>
      </c>
      <c r="E1293" s="128" t="str" cm="1">
        <f t="array" ref="E1293">IFERROR(INDEX(SubcategoriesTable[Subcategory name],MATCH(Table1[[#This Row],[Category]],SubcategoriesTable[Category name],0),0),"")</f>
        <v>Variable</v>
      </c>
      <c r="F1293" s="134">
        <v>-20</v>
      </c>
      <c r="G1293" s="167" t="str">
        <f>_xlfn.XLOOKUP(Table1[[#This Row],[Account_ID]], Accounts[ID], Accounts[Account nickname], "Unknown")</f>
        <v>Discover it chrome Card</v>
      </c>
      <c r="H1293" s="137" t="str">
        <f>_xlfn.XLOOKUP(Table1[[#This Row],[Account_ID]], Accounts[ID], Accounts[Account'#], "Unknown")</f>
        <v>7328</v>
      </c>
      <c r="I1293" s="168" t="str">
        <f>_xlfn.XLOOKUP(Table1[[#This Row],[Institution_ID]], Institutions[ID], Institutions[Institution nickname], "Unknown")</f>
        <v>Discover</v>
      </c>
      <c r="J1293" s="139" t="s">
        <v>1047</v>
      </c>
      <c r="K1293" s="129" t="s">
        <v>110</v>
      </c>
      <c r="L1293" s="129" t="s">
        <v>108</v>
      </c>
      <c r="M1293" s="130" t="str" cm="1">
        <f t="array" ref="M1293">IFERROR(INDEX(CategoriesTable[Category type],MATCH(Table1[[#This Row],[Category]],CategoriesTable[Category name],0),0),"")</f>
        <v>Expense</v>
      </c>
      <c r="N1293" s="130" t="str" cm="1">
        <f t="array" ref="N1293">IFERROR(INDEX(SubcategoriesTable[Subcategory name],MATCH(Table1[[#This Row],[Category]],SubcategoriesTable[Category name],0),0),"")</f>
        <v>Variable</v>
      </c>
      <c r="O1293" s="130">
        <v>1</v>
      </c>
      <c r="P1293" s="130">
        <f>MONTH(Table1[[#This Row],[Date]])</f>
        <v>1</v>
      </c>
      <c r="Q1293" s="130">
        <v>2020</v>
      </c>
      <c r="R1293" s="166">
        <f>IF(ISBLANK(Table1[[#This Row],[Date]]),"",Table1[[#This Row],[Date]]-WEEKDAY(Table1[[#This Row],[Date]],2)+1)</f>
        <v>43829</v>
      </c>
      <c r="S1293" s="131">
        <f>IF(ISBLANK(Table1[[#This Row],[Date]]),"",DATE(Table1[[#This Row],[Date_Year]],Table1[[#This Row],[Date_Month]],1))</f>
        <v>43831</v>
      </c>
    </row>
    <row r="1294" spans="2:19" ht="15.75" x14ac:dyDescent="0.25">
      <c r="B1294" s="133">
        <v>43831</v>
      </c>
      <c r="C1294" s="128" t="s">
        <v>1048</v>
      </c>
      <c r="D1294" s="128" t="s">
        <v>60</v>
      </c>
      <c r="E1294" s="128" t="str" cm="1">
        <f t="array" ref="E1294">IFERROR(INDEX(SubcategoriesTable[Subcategory name],MATCH(Table1[[#This Row],[Category]],SubcategoriesTable[Category name],0),0),"")</f>
        <v>Variable</v>
      </c>
      <c r="F1294" s="134">
        <v>-12.25</v>
      </c>
      <c r="G1294" s="167" t="str">
        <f>_xlfn.XLOOKUP(Table1[[#This Row],[Account_ID]], Accounts[ID], Accounts[Account nickname], "Unknown")</f>
        <v>Discover it chrome Card</v>
      </c>
      <c r="H1294" s="137" t="str">
        <f>_xlfn.XLOOKUP(Table1[[#This Row],[Account_ID]], Accounts[ID], Accounts[Account'#], "Unknown")</f>
        <v>7328</v>
      </c>
      <c r="I1294" s="168" t="str">
        <f>_xlfn.XLOOKUP(Table1[[#This Row],[Institution_ID]], Institutions[ID], Institutions[Institution nickname], "Unknown")</f>
        <v>Discover</v>
      </c>
      <c r="J1294" s="139" t="s">
        <v>1049</v>
      </c>
      <c r="K1294" s="129" t="s">
        <v>110</v>
      </c>
      <c r="L1294" s="129" t="s">
        <v>108</v>
      </c>
      <c r="M1294" s="130" t="str" cm="1">
        <f t="array" ref="M1294">IFERROR(INDEX(CategoriesTable[Category type],MATCH(Table1[[#This Row],[Category]],CategoriesTable[Category name],0),0),"")</f>
        <v>Expense</v>
      </c>
      <c r="N1294" s="130" t="str" cm="1">
        <f t="array" ref="N1294">IFERROR(INDEX(SubcategoriesTable[Subcategory name],MATCH(Table1[[#This Row],[Category]],SubcategoriesTable[Category name],0),0),"")</f>
        <v>Variable</v>
      </c>
      <c r="O1294" s="130">
        <v>1</v>
      </c>
      <c r="P1294" s="130">
        <f>MONTH(Table1[[#This Row],[Date]])</f>
        <v>1</v>
      </c>
      <c r="Q1294" s="130">
        <v>2020</v>
      </c>
      <c r="R1294" s="166">
        <f>IF(ISBLANK(Table1[[#This Row],[Date]]),"",Table1[[#This Row],[Date]]-WEEKDAY(Table1[[#This Row],[Date]],2)+1)</f>
        <v>43829</v>
      </c>
      <c r="S1294" s="131">
        <f>IF(ISBLANK(Table1[[#This Row],[Date]]),"",DATE(Table1[[#This Row],[Date_Year]],Table1[[#This Row],[Date_Month]],1))</f>
        <v>43831</v>
      </c>
    </row>
    <row r="1295" spans="2:19" ht="15.75" x14ac:dyDescent="0.25">
      <c r="B1295" s="133">
        <v>43831</v>
      </c>
      <c r="C1295" s="128" t="s">
        <v>1050</v>
      </c>
      <c r="D1295" s="128" t="s">
        <v>45</v>
      </c>
      <c r="E1295" s="128" t="str" cm="1">
        <f t="array" ref="E1295">IFERROR(INDEX(SubcategoriesTable[Subcategory name],MATCH(Table1[[#This Row],[Category]],SubcategoriesTable[Category name],0),0),"")</f>
        <v>Variable</v>
      </c>
      <c r="F1295" s="134">
        <v>-16.57</v>
      </c>
      <c r="G1295" s="167" t="str">
        <f>_xlfn.XLOOKUP(Table1[[#This Row],[Account_ID]], Accounts[ID], Accounts[Account nickname], "Unknown")</f>
        <v>Discover it chrome Card</v>
      </c>
      <c r="H1295" s="137" t="str">
        <f>_xlfn.XLOOKUP(Table1[[#This Row],[Account_ID]], Accounts[ID], Accounts[Account'#], "Unknown")</f>
        <v>7328</v>
      </c>
      <c r="I1295" s="168" t="str">
        <f>_xlfn.XLOOKUP(Table1[[#This Row],[Institution_ID]], Institutions[ID], Institutions[Institution nickname], "Unknown")</f>
        <v>Discover</v>
      </c>
      <c r="J1295" s="171" t="s">
        <v>1051</v>
      </c>
      <c r="K1295" s="129" t="s">
        <v>110</v>
      </c>
      <c r="L1295" s="129" t="s">
        <v>108</v>
      </c>
      <c r="M1295" s="130" t="str" cm="1">
        <f t="array" ref="M1295">IFERROR(INDEX(CategoriesTable[Category type],MATCH(Table1[[#This Row],[Category]],CategoriesTable[Category name],0),0),"")</f>
        <v>Expense</v>
      </c>
      <c r="N1295" s="130" t="str" cm="1">
        <f t="array" ref="N1295">IFERROR(INDEX(SubcategoriesTable[Subcategory name],MATCH(Table1[[#This Row],[Category]],SubcategoriesTable[Category name],0),0),"")</f>
        <v>Variable</v>
      </c>
      <c r="O1295" s="130">
        <v>1</v>
      </c>
      <c r="P1295" s="130">
        <f>MONTH(Table1[[#This Row],[Date]])</f>
        <v>1</v>
      </c>
      <c r="Q1295" s="130">
        <v>2020</v>
      </c>
      <c r="R1295" s="166">
        <f>IF(ISBLANK(Table1[[#This Row],[Date]]),"",Table1[[#This Row],[Date]]-WEEKDAY(Table1[[#This Row],[Date]],2)+1)</f>
        <v>43829</v>
      </c>
      <c r="S1295" s="131">
        <f>IF(ISBLANK(Table1[[#This Row],[Date]]),"",DATE(Table1[[#This Row],[Date_Year]],Table1[[#This Row],[Date_Month]],1))</f>
        <v>43831</v>
      </c>
    </row>
    <row r="1296" spans="2:19" ht="15.75" x14ac:dyDescent="0.25">
      <c r="B1296" s="133">
        <v>43831</v>
      </c>
      <c r="C1296" s="128" t="s">
        <v>119</v>
      </c>
      <c r="D1296" s="128" t="s">
        <v>52</v>
      </c>
      <c r="E1296" s="128" t="str" cm="1">
        <f t="array" ref="E1296">IFERROR(INDEX(SubcategoriesTable[Subcategory name],MATCH(Table1[[#This Row],[Category]],SubcategoriesTable[Category name],0),0),"")</f>
        <v>Variable</v>
      </c>
      <c r="F1296" s="134">
        <v>-5</v>
      </c>
      <c r="G1296" s="167" t="str">
        <f>_xlfn.XLOOKUP(Table1[[#This Row],[Account_ID]], Accounts[ID], Accounts[Account nickname], "Unknown")</f>
        <v>Discover it chrome Card</v>
      </c>
      <c r="H1296" s="137" t="str">
        <f>_xlfn.XLOOKUP(Table1[[#This Row],[Account_ID]], Accounts[ID], Accounts[Account'#], "Unknown")</f>
        <v>7328</v>
      </c>
      <c r="I1296" s="168" t="str">
        <f>_xlfn.XLOOKUP(Table1[[#This Row],[Institution_ID]], Institutions[ID], Institutions[Institution nickname], "Unknown")</f>
        <v>Discover</v>
      </c>
      <c r="J1296" s="139" t="s">
        <v>1052</v>
      </c>
      <c r="K1296" s="129" t="s">
        <v>110</v>
      </c>
      <c r="L1296" s="129" t="s">
        <v>108</v>
      </c>
      <c r="M1296" s="130" t="str" cm="1">
        <f t="array" ref="M1296">IFERROR(INDEX(CategoriesTable[Category type],MATCH(Table1[[#This Row],[Category]],CategoriesTable[Category name],0),0),"")</f>
        <v>Expense</v>
      </c>
      <c r="N1296" s="130" t="str" cm="1">
        <f t="array" ref="N1296">IFERROR(INDEX(SubcategoriesTable[Subcategory name],MATCH(Table1[[#This Row],[Category]],SubcategoriesTable[Category name],0),0),"")</f>
        <v>Variable</v>
      </c>
      <c r="O1296" s="130">
        <v>1</v>
      </c>
      <c r="P1296" s="130">
        <f>MONTH(Table1[[#This Row],[Date]])</f>
        <v>1</v>
      </c>
      <c r="Q1296" s="130">
        <v>2020</v>
      </c>
      <c r="R1296" s="166">
        <f>IF(ISBLANK(Table1[[#This Row],[Date]]),"",Table1[[#This Row],[Date]]-WEEKDAY(Table1[[#This Row],[Date]],2)+1)</f>
        <v>43829</v>
      </c>
      <c r="S1296" s="131">
        <f>IF(ISBLANK(Table1[[#This Row],[Date]]),"",DATE(Table1[[#This Row],[Date_Year]],Table1[[#This Row],[Date_Month]],1))</f>
        <v>43831</v>
      </c>
    </row>
    <row r="1297" spans="2:19" ht="15.75" x14ac:dyDescent="0.25">
      <c r="B1297" s="133">
        <v>43831</v>
      </c>
      <c r="C1297" s="128" t="s">
        <v>119</v>
      </c>
      <c r="D1297" s="128" t="s">
        <v>52</v>
      </c>
      <c r="E1297" s="128" t="str" cm="1">
        <f t="array" ref="E1297">IFERROR(INDEX(SubcategoriesTable[Subcategory name],MATCH(Table1[[#This Row],[Category]],SubcategoriesTable[Category name],0),0),"")</f>
        <v>Variable</v>
      </c>
      <c r="F1297" s="134">
        <v>-5.86</v>
      </c>
      <c r="G1297" s="167" t="str">
        <f>_xlfn.XLOOKUP(Table1[[#This Row],[Account_ID]], Accounts[ID], Accounts[Account nickname], "Unknown")</f>
        <v>Discover it chrome Card</v>
      </c>
      <c r="H1297" s="137" t="str">
        <f>_xlfn.XLOOKUP(Table1[[#This Row],[Account_ID]], Accounts[ID], Accounts[Account'#], "Unknown")</f>
        <v>7328</v>
      </c>
      <c r="I1297" s="168" t="str">
        <f>_xlfn.XLOOKUP(Table1[[#This Row],[Institution_ID]], Institutions[ID], Institutions[Institution nickname], "Unknown")</f>
        <v>Discover</v>
      </c>
      <c r="J1297" s="139" t="s">
        <v>1053</v>
      </c>
      <c r="K1297" s="129" t="s">
        <v>110</v>
      </c>
      <c r="L1297" s="129" t="s">
        <v>108</v>
      </c>
      <c r="M1297" s="130" t="str" cm="1">
        <f t="array" ref="M1297">IFERROR(INDEX(CategoriesTable[Category type],MATCH(Table1[[#This Row],[Category]],CategoriesTable[Category name],0),0),"")</f>
        <v>Expense</v>
      </c>
      <c r="N1297" s="130" t="str" cm="1">
        <f t="array" ref="N1297">IFERROR(INDEX(SubcategoriesTable[Subcategory name],MATCH(Table1[[#This Row],[Category]],SubcategoriesTable[Category name],0),0),"")</f>
        <v>Variable</v>
      </c>
      <c r="O1297" s="130">
        <v>1</v>
      </c>
      <c r="P1297" s="130">
        <f>MONTH(Table1[[#This Row],[Date]])</f>
        <v>1</v>
      </c>
      <c r="Q1297" s="130">
        <v>2020</v>
      </c>
      <c r="R1297" s="166">
        <f>IF(ISBLANK(Table1[[#This Row],[Date]]),"",Table1[[#This Row],[Date]]-WEEKDAY(Table1[[#This Row],[Date]],2)+1)</f>
        <v>43829</v>
      </c>
      <c r="S1297" s="131">
        <f>IF(ISBLANK(Table1[[#This Row],[Date]]),"",DATE(Table1[[#This Row],[Date_Year]],Table1[[#This Row],[Date_Month]],1))</f>
        <v>43831</v>
      </c>
    </row>
    <row r="1298" spans="2:19" ht="15.75" x14ac:dyDescent="0.25">
      <c r="B1298" s="133">
        <v>43831</v>
      </c>
      <c r="C1298" s="128" t="s">
        <v>427</v>
      </c>
      <c r="D1298" s="128" t="s">
        <v>52</v>
      </c>
      <c r="E1298" s="128" t="str" cm="1">
        <f t="array" ref="E1298">IFERROR(INDEX(SubcategoriesTable[Subcategory name],MATCH(Table1[[#This Row],[Category]],SubcategoriesTable[Category name],0),0),"")</f>
        <v>Variable</v>
      </c>
      <c r="F1298" s="134">
        <v>-24.57</v>
      </c>
      <c r="G1298" s="167" t="str">
        <f>_xlfn.XLOOKUP(Table1[[#This Row],[Account_ID]], Accounts[ID], Accounts[Account nickname], "Unknown")</f>
        <v>Discover it chrome Card</v>
      </c>
      <c r="H1298" s="137" t="str">
        <f>_xlfn.XLOOKUP(Table1[[#This Row],[Account_ID]], Accounts[ID], Accounts[Account'#], "Unknown")</f>
        <v>7328</v>
      </c>
      <c r="I1298" s="168" t="str">
        <f>_xlfn.XLOOKUP(Table1[[#This Row],[Institution_ID]], Institutions[ID], Institutions[Institution nickname], "Unknown")</f>
        <v>Discover</v>
      </c>
      <c r="J1298" s="139" t="s">
        <v>1054</v>
      </c>
      <c r="K1298" s="129" t="s">
        <v>110</v>
      </c>
      <c r="L1298" s="129" t="s">
        <v>108</v>
      </c>
      <c r="M1298" s="130" t="str" cm="1">
        <f t="array" ref="M1298">IFERROR(INDEX(CategoriesTable[Category type],MATCH(Table1[[#This Row],[Category]],CategoriesTable[Category name],0),0),"")</f>
        <v>Expense</v>
      </c>
      <c r="N1298" s="130" t="str" cm="1">
        <f t="array" ref="N1298">IFERROR(INDEX(SubcategoriesTable[Subcategory name],MATCH(Table1[[#This Row],[Category]],SubcategoriesTable[Category name],0),0),"")</f>
        <v>Variable</v>
      </c>
      <c r="O1298" s="130">
        <v>1</v>
      </c>
      <c r="P1298" s="130">
        <f>MONTH(Table1[[#This Row],[Date]])</f>
        <v>1</v>
      </c>
      <c r="Q1298" s="130">
        <v>2020</v>
      </c>
      <c r="R1298" s="166">
        <f>IF(ISBLANK(Table1[[#This Row],[Date]]),"",Table1[[#This Row],[Date]]-WEEKDAY(Table1[[#This Row],[Date]],2)+1)</f>
        <v>43829</v>
      </c>
      <c r="S1298" s="131">
        <f>IF(ISBLANK(Table1[[#This Row],[Date]]),"",DATE(Table1[[#This Row],[Date_Year]],Table1[[#This Row],[Date_Month]],1))</f>
        <v>43831</v>
      </c>
    </row>
    <row r="1299" spans="2:19" ht="15.75" x14ac:dyDescent="0.25">
      <c r="B1299" s="133">
        <v>43830</v>
      </c>
      <c r="C1299" s="128" t="s">
        <v>1055</v>
      </c>
      <c r="D1299" s="128" t="s">
        <v>60</v>
      </c>
      <c r="E1299" s="128" t="str" cm="1">
        <f t="array" ref="E1299">IFERROR(INDEX(SubcategoriesTable[Subcategory name],MATCH(Table1[[#This Row],[Category]],SubcategoriesTable[Category name],0),0),"")</f>
        <v>Variable</v>
      </c>
      <c r="F1299" s="134">
        <v>-38.770000000000003</v>
      </c>
      <c r="G1299" s="167" t="str">
        <f>_xlfn.XLOOKUP(Table1[[#This Row],[Account_ID]], Accounts[ID], Accounts[Account nickname], "Unknown")</f>
        <v>Discover it chrome Card</v>
      </c>
      <c r="H1299" s="137" t="str">
        <f>_xlfn.XLOOKUP(Table1[[#This Row],[Account_ID]], Accounts[ID], Accounts[Account'#], "Unknown")</f>
        <v>7328</v>
      </c>
      <c r="I1299" s="168" t="str">
        <f>_xlfn.XLOOKUP(Table1[[#This Row],[Institution_ID]], Institutions[ID], Institutions[Institution nickname], "Unknown")</f>
        <v>Discover</v>
      </c>
      <c r="J1299" s="139" t="s">
        <v>1056</v>
      </c>
      <c r="K1299" s="129" t="s">
        <v>110</v>
      </c>
      <c r="L1299" s="129" t="s">
        <v>108</v>
      </c>
      <c r="M1299" s="130" t="str" cm="1">
        <f t="array" ref="M1299">IFERROR(INDEX(CategoriesTable[Category type],MATCH(Table1[[#This Row],[Category]],CategoriesTable[Category name],0),0),"")</f>
        <v>Expense</v>
      </c>
      <c r="N1299" s="130" t="str" cm="1">
        <f t="array" ref="N1299">IFERROR(INDEX(SubcategoriesTable[Subcategory name],MATCH(Table1[[#This Row],[Category]],SubcategoriesTable[Category name],0),0),"")</f>
        <v>Variable</v>
      </c>
      <c r="O1299" s="130">
        <v>31</v>
      </c>
      <c r="P1299" s="130">
        <f>MONTH(Table1[[#This Row],[Date]])</f>
        <v>12</v>
      </c>
      <c r="Q1299" s="130">
        <v>2019</v>
      </c>
      <c r="R1299" s="166">
        <f>IF(ISBLANK(Table1[[#This Row],[Date]]),"",Table1[[#This Row],[Date]]-WEEKDAY(Table1[[#This Row],[Date]],2)+1)</f>
        <v>43829</v>
      </c>
      <c r="S1299" s="131">
        <f>IF(ISBLANK(Table1[[#This Row],[Date]]),"",DATE(Table1[[#This Row],[Date_Year]],Table1[[#This Row],[Date_Month]],1))</f>
        <v>43800</v>
      </c>
    </row>
    <row r="1300" spans="2:19" ht="15.75" x14ac:dyDescent="0.25">
      <c r="B1300" s="133">
        <v>43829</v>
      </c>
      <c r="C1300" s="128" t="s">
        <v>531</v>
      </c>
      <c r="D1300" s="128" t="s">
        <v>54</v>
      </c>
      <c r="E1300" s="128" t="str" cm="1">
        <f t="array" ref="E1300">IFERROR(INDEX(SubcategoriesTable[Subcategory name],MATCH(Table1[[#This Row],[Category]],SubcategoriesTable[Category name],0),0),"")</f>
        <v>Fixed</v>
      </c>
      <c r="F1300" s="134">
        <v>-1.37</v>
      </c>
      <c r="G1300" s="167" t="str">
        <f>_xlfn.XLOOKUP(Table1[[#This Row],[Account_ID]], Accounts[ID], Accounts[Account nickname], "Unknown")</f>
        <v>EVERYDAY CHECKING</v>
      </c>
      <c r="H1300" s="137" t="str">
        <f>_xlfn.XLOOKUP(Table1[[#This Row],[Account_ID]], Accounts[ID], Accounts[Account'#], "Unknown")</f>
        <v>4636</v>
      </c>
      <c r="I1300" s="168" t="str">
        <f>_xlfn.XLOOKUP(Table1[[#This Row],[Institution_ID]], Institutions[ID], Institutions[Institution nickname], "Unknown")</f>
        <v>Wells Fargo</v>
      </c>
      <c r="J1300" s="139" t="s">
        <v>1988</v>
      </c>
      <c r="K1300" s="129" t="s">
        <v>1229</v>
      </c>
      <c r="L1300" s="129" t="s">
        <v>1228</v>
      </c>
      <c r="M1300" s="130" t="str" cm="1">
        <f t="array" ref="M1300">IFERROR(INDEX(CategoriesTable[Category type],MATCH(Table1[[#This Row],[Category]],CategoriesTable[Category name],0),0),"")</f>
        <v>Expense</v>
      </c>
      <c r="N1300" s="130" t="str" cm="1">
        <f t="array" ref="N1300">IFERROR(INDEX(SubcategoriesTable[Subcategory name],MATCH(Table1[[#This Row],[Category]],SubcategoriesTable[Category name],0),0),"")</f>
        <v>Fixed</v>
      </c>
      <c r="O1300" s="130">
        <v>30</v>
      </c>
      <c r="P1300" s="130">
        <f>MONTH(Table1[[#This Row],[Date]])</f>
        <v>12</v>
      </c>
      <c r="Q1300" s="130">
        <v>2019</v>
      </c>
      <c r="R1300" s="166">
        <f>IF(ISBLANK(Table1[[#This Row],[Date]]),"",Table1[[#This Row],[Date]]-WEEKDAY(Table1[[#This Row],[Date]],2)+1)</f>
        <v>43829</v>
      </c>
      <c r="S1300" s="131">
        <f>IF(ISBLANK(Table1[[#This Row],[Date]]),"",DATE(Table1[[#This Row],[Date_Year]],Table1[[#This Row],[Date_Month]],1))</f>
        <v>43800</v>
      </c>
    </row>
    <row r="1301" spans="2:19" ht="15.75" x14ac:dyDescent="0.25">
      <c r="B1301" s="133">
        <v>43827</v>
      </c>
      <c r="C1301" s="128" t="s">
        <v>1989</v>
      </c>
      <c r="D1301" s="128" t="s">
        <v>52</v>
      </c>
      <c r="E1301" s="128" t="str" cm="1">
        <f t="array" ref="E1301">IFERROR(INDEX(SubcategoriesTable[Subcategory name],MATCH(Table1[[#This Row],[Category]],SubcategoriesTable[Category name],0),0),"")</f>
        <v>Variable</v>
      </c>
      <c r="F1301" s="134">
        <v>-20.03</v>
      </c>
      <c r="G1301" s="167" t="str">
        <f>_xlfn.XLOOKUP(Table1[[#This Row],[Account_ID]], Accounts[ID], Accounts[Account nickname], "Unknown")</f>
        <v>EVERYDAY CHECKING</v>
      </c>
      <c r="H1301" s="137" t="str">
        <f>_xlfn.XLOOKUP(Table1[[#This Row],[Account_ID]], Accounts[ID], Accounts[Account'#], "Unknown")</f>
        <v>4636</v>
      </c>
      <c r="I1301" s="168" t="str">
        <f>_xlfn.XLOOKUP(Table1[[#This Row],[Institution_ID]], Institutions[ID], Institutions[Institution nickname], "Unknown")</f>
        <v>Wells Fargo</v>
      </c>
      <c r="J1301" s="139" t="s">
        <v>1990</v>
      </c>
      <c r="K1301" s="129" t="s">
        <v>1229</v>
      </c>
      <c r="L1301" s="129" t="s">
        <v>1228</v>
      </c>
      <c r="M1301" s="130" t="str" cm="1">
        <f t="array" ref="M1301">IFERROR(INDEX(CategoriesTable[Category type],MATCH(Table1[[#This Row],[Category]],CategoriesTable[Category name],0),0),"")</f>
        <v>Expense</v>
      </c>
      <c r="N1301" s="130" t="str" cm="1">
        <f t="array" ref="N1301">IFERROR(INDEX(SubcategoriesTable[Subcategory name],MATCH(Table1[[#This Row],[Category]],SubcategoriesTable[Category name],0),0),"")</f>
        <v>Variable</v>
      </c>
      <c r="O1301" s="130">
        <v>28</v>
      </c>
      <c r="P1301" s="130">
        <f>MONTH(Table1[[#This Row],[Date]])</f>
        <v>12</v>
      </c>
      <c r="Q1301" s="130">
        <v>2019</v>
      </c>
      <c r="R1301" s="166">
        <f>IF(ISBLANK(Table1[[#This Row],[Date]]),"",Table1[[#This Row],[Date]]-WEEKDAY(Table1[[#This Row],[Date]],2)+1)</f>
        <v>43822</v>
      </c>
      <c r="S1301" s="131">
        <f>IF(ISBLANK(Table1[[#This Row],[Date]]),"",DATE(Table1[[#This Row],[Date_Year]],Table1[[#This Row],[Date_Month]],1))</f>
        <v>43800</v>
      </c>
    </row>
    <row r="1302" spans="2:19" ht="15.75" x14ac:dyDescent="0.25">
      <c r="B1302" s="133">
        <v>43827</v>
      </c>
      <c r="C1302" s="128" t="s">
        <v>1991</v>
      </c>
      <c r="D1302" s="128" t="s">
        <v>45</v>
      </c>
      <c r="E1302" s="128" t="str" cm="1">
        <f t="array" ref="E1302">IFERROR(INDEX(SubcategoriesTable[Subcategory name],MATCH(Table1[[#This Row],[Category]],SubcategoriesTable[Category name],0),0),"")</f>
        <v>Variable</v>
      </c>
      <c r="F1302" s="134">
        <v>-13.46</v>
      </c>
      <c r="G1302" s="167" t="str">
        <f>_xlfn.XLOOKUP(Table1[[#This Row],[Account_ID]], Accounts[ID], Accounts[Account nickname], "Unknown")</f>
        <v>EVERYDAY CHECKING</v>
      </c>
      <c r="H1302" s="137" t="str">
        <f>_xlfn.XLOOKUP(Table1[[#This Row],[Account_ID]], Accounts[ID], Accounts[Account'#], "Unknown")</f>
        <v>4636</v>
      </c>
      <c r="I1302" s="168" t="str">
        <f>_xlfn.XLOOKUP(Table1[[#This Row],[Institution_ID]], Institutions[ID], Institutions[Institution nickname], "Unknown")</f>
        <v>Wells Fargo</v>
      </c>
      <c r="J1302" s="139" t="s">
        <v>1992</v>
      </c>
      <c r="K1302" s="129" t="s">
        <v>1229</v>
      </c>
      <c r="L1302" s="129" t="s">
        <v>1228</v>
      </c>
      <c r="M1302" s="130" t="str" cm="1">
        <f t="array" ref="M1302">IFERROR(INDEX(CategoriesTable[Category type],MATCH(Table1[[#This Row],[Category]],CategoriesTable[Category name],0),0),"")</f>
        <v>Expense</v>
      </c>
      <c r="N1302" s="130" t="str" cm="1">
        <f t="array" ref="N1302">IFERROR(INDEX(SubcategoriesTable[Subcategory name],MATCH(Table1[[#This Row],[Category]],SubcategoriesTable[Category name],0),0),"")</f>
        <v>Variable</v>
      </c>
      <c r="O1302" s="130">
        <v>28</v>
      </c>
      <c r="P1302" s="130">
        <f>MONTH(Table1[[#This Row],[Date]])</f>
        <v>12</v>
      </c>
      <c r="Q1302" s="130">
        <v>2019</v>
      </c>
      <c r="R1302" s="166">
        <f>IF(ISBLANK(Table1[[#This Row],[Date]]),"",Table1[[#This Row],[Date]]-WEEKDAY(Table1[[#This Row],[Date]],2)+1)</f>
        <v>43822</v>
      </c>
      <c r="S1302" s="131">
        <f>IF(ISBLANK(Table1[[#This Row],[Date]]),"",DATE(Table1[[#This Row],[Date_Year]],Table1[[#This Row],[Date_Month]],1))</f>
        <v>43800</v>
      </c>
    </row>
    <row r="1303" spans="2:19" ht="15.75" x14ac:dyDescent="0.25">
      <c r="B1303" s="133">
        <v>43827</v>
      </c>
      <c r="C1303" s="128" t="s">
        <v>1503</v>
      </c>
      <c r="D1303" s="128" t="s">
        <v>51</v>
      </c>
      <c r="E1303" s="128" t="str" cm="1">
        <f t="array" ref="E1303">IFERROR(INDEX(SubcategoriesTable[Subcategory name],MATCH(Table1[[#This Row],[Category]],SubcategoriesTable[Category name],0),0),"")</f>
        <v>Variable</v>
      </c>
      <c r="F1303" s="134">
        <v>-9.9499999999999993</v>
      </c>
      <c r="G1303" s="167" t="str">
        <f>_xlfn.XLOOKUP(Table1[[#This Row],[Account_ID]], Accounts[ID], Accounts[Account nickname], "Unknown")</f>
        <v>EVERYDAY CHECKING</v>
      </c>
      <c r="H1303" s="137" t="str">
        <f>_xlfn.XLOOKUP(Table1[[#This Row],[Account_ID]], Accounts[ID], Accounts[Account'#], "Unknown")</f>
        <v>4636</v>
      </c>
      <c r="I1303" s="168" t="str">
        <f>_xlfn.XLOOKUP(Table1[[#This Row],[Institution_ID]], Institutions[ID], Institutions[Institution nickname], "Unknown")</f>
        <v>Wells Fargo</v>
      </c>
      <c r="J1303" s="139" t="s">
        <v>1993</v>
      </c>
      <c r="K1303" s="129" t="s">
        <v>1229</v>
      </c>
      <c r="L1303" s="129" t="s">
        <v>1228</v>
      </c>
      <c r="M1303" s="130" t="str" cm="1">
        <f t="array" ref="M1303">IFERROR(INDEX(CategoriesTable[Category type],MATCH(Table1[[#This Row],[Category]],CategoriesTable[Category name],0),0),"")</f>
        <v>Expense</v>
      </c>
      <c r="N1303" s="130" t="str" cm="1">
        <f t="array" ref="N1303">IFERROR(INDEX(SubcategoriesTable[Subcategory name],MATCH(Table1[[#This Row],[Category]],SubcategoriesTable[Category name],0),0),"")</f>
        <v>Variable</v>
      </c>
      <c r="O1303" s="130">
        <v>28</v>
      </c>
      <c r="P1303" s="130">
        <f>MONTH(Table1[[#This Row],[Date]])</f>
        <v>12</v>
      </c>
      <c r="Q1303" s="130">
        <v>2019</v>
      </c>
      <c r="R1303" s="166">
        <f>IF(ISBLANK(Table1[[#This Row],[Date]]),"",Table1[[#This Row],[Date]]-WEEKDAY(Table1[[#This Row],[Date]],2)+1)</f>
        <v>43822</v>
      </c>
      <c r="S1303" s="131">
        <f>IF(ISBLANK(Table1[[#This Row],[Date]]),"",DATE(Table1[[#This Row],[Date_Year]],Table1[[#This Row],[Date_Month]],1))</f>
        <v>43800</v>
      </c>
    </row>
    <row r="1304" spans="2:19" ht="15.75" x14ac:dyDescent="0.25">
      <c r="B1304" s="133">
        <v>43826</v>
      </c>
      <c r="C1304" s="128" t="s">
        <v>1840</v>
      </c>
      <c r="D1304" s="128" t="s">
        <v>48</v>
      </c>
      <c r="E1304" s="128" t="str" cm="1">
        <f t="array" ref="E1304">IFERROR(INDEX(SubcategoriesTable[Subcategory name],MATCH(Table1[[#This Row],[Category]],SubcategoriesTable[Category name],0),0),"")</f>
        <v>Variable</v>
      </c>
      <c r="F1304" s="134">
        <v>-49.4</v>
      </c>
      <c r="G1304" s="167" t="str">
        <f>_xlfn.XLOOKUP(Table1[[#This Row],[Account_ID]], Accounts[ID], Accounts[Account nickname], "Unknown")</f>
        <v>EVERYDAY CHECKING</v>
      </c>
      <c r="H1304" s="137" t="str">
        <f>_xlfn.XLOOKUP(Table1[[#This Row],[Account_ID]], Accounts[ID], Accounts[Account'#], "Unknown")</f>
        <v>4636</v>
      </c>
      <c r="I1304" s="168" t="str">
        <f>_xlfn.XLOOKUP(Table1[[#This Row],[Institution_ID]], Institutions[ID], Institutions[Institution nickname], "Unknown")</f>
        <v>Wells Fargo</v>
      </c>
      <c r="J1304" s="139" t="s">
        <v>1994</v>
      </c>
      <c r="K1304" s="129" t="s">
        <v>1229</v>
      </c>
      <c r="L1304" s="129" t="s">
        <v>1228</v>
      </c>
      <c r="M1304" s="130" t="str" cm="1">
        <f t="array" ref="M1304">IFERROR(INDEX(CategoriesTable[Category type],MATCH(Table1[[#This Row],[Category]],CategoriesTable[Category name],0),0),"")</f>
        <v>Expense</v>
      </c>
      <c r="N1304" s="130" t="str" cm="1">
        <f t="array" ref="N1304">IFERROR(INDEX(SubcategoriesTable[Subcategory name],MATCH(Table1[[#This Row],[Category]],SubcategoriesTable[Category name],0),0),"")</f>
        <v>Variable</v>
      </c>
      <c r="O1304" s="130">
        <v>27</v>
      </c>
      <c r="P1304" s="130">
        <f>MONTH(Table1[[#This Row],[Date]])</f>
        <v>12</v>
      </c>
      <c r="Q1304" s="130">
        <v>2019</v>
      </c>
      <c r="R1304" s="166">
        <f>IF(ISBLANK(Table1[[#This Row],[Date]]),"",Table1[[#This Row],[Date]]-WEEKDAY(Table1[[#This Row],[Date]],2)+1)</f>
        <v>43822</v>
      </c>
      <c r="S1304" s="131">
        <f>IF(ISBLANK(Table1[[#This Row],[Date]]),"",DATE(Table1[[#This Row],[Date_Year]],Table1[[#This Row],[Date_Month]],1))</f>
        <v>43800</v>
      </c>
    </row>
    <row r="1305" spans="2:19" ht="15.75" x14ac:dyDescent="0.25">
      <c r="B1305" s="133">
        <v>43826</v>
      </c>
      <c r="C1305" s="128" t="s">
        <v>1033</v>
      </c>
      <c r="D1305" s="128" t="s">
        <v>61</v>
      </c>
      <c r="E1305" s="128" t="str" cm="1">
        <f t="array" ref="E1305">IFERROR(INDEX(SubcategoriesTable[Subcategory name],MATCH(Table1[[#This Row],[Category]],SubcategoriesTable[Category name],0),0),"")</f>
        <v>Variable</v>
      </c>
      <c r="F1305" s="134">
        <v>-15</v>
      </c>
      <c r="G1305" s="167" t="str">
        <f>_xlfn.XLOOKUP(Table1[[#This Row],[Account_ID]], Accounts[ID], Accounts[Account nickname], "Unknown")</f>
        <v>Discover it chrome Card</v>
      </c>
      <c r="H1305" s="137" t="str">
        <f>_xlfn.XLOOKUP(Table1[[#This Row],[Account_ID]], Accounts[ID], Accounts[Account'#], "Unknown")</f>
        <v>7328</v>
      </c>
      <c r="I1305" s="168" t="str">
        <f>_xlfn.XLOOKUP(Table1[[#This Row],[Institution_ID]], Institutions[ID], Institutions[Institution nickname], "Unknown")</f>
        <v>Discover</v>
      </c>
      <c r="J1305" s="139" t="s">
        <v>1057</v>
      </c>
      <c r="K1305" s="129" t="s">
        <v>110</v>
      </c>
      <c r="L1305" s="129" t="s">
        <v>108</v>
      </c>
      <c r="M1305" s="130" t="str" cm="1">
        <f t="array" ref="M1305">IFERROR(INDEX(CategoriesTable[Category type],MATCH(Table1[[#This Row],[Category]],CategoriesTable[Category name],0),0),"")</f>
        <v>Expense</v>
      </c>
      <c r="N1305" s="130" t="str" cm="1">
        <f t="array" ref="N1305">IFERROR(INDEX(SubcategoriesTable[Subcategory name],MATCH(Table1[[#This Row],[Category]],SubcategoriesTable[Category name],0),0),"")</f>
        <v>Variable</v>
      </c>
      <c r="O1305" s="130">
        <v>27</v>
      </c>
      <c r="P1305" s="130">
        <f>MONTH(Table1[[#This Row],[Date]])</f>
        <v>12</v>
      </c>
      <c r="Q1305" s="130">
        <v>2019</v>
      </c>
      <c r="R1305" s="166">
        <f>IF(ISBLANK(Table1[[#This Row],[Date]]),"",Table1[[#This Row],[Date]]-WEEKDAY(Table1[[#This Row],[Date]],2)+1)</f>
        <v>43822</v>
      </c>
      <c r="S1305" s="131">
        <f>IF(ISBLANK(Table1[[#This Row],[Date]]),"",DATE(Table1[[#This Row],[Date_Year]],Table1[[#This Row],[Date_Month]],1))</f>
        <v>43800</v>
      </c>
    </row>
    <row r="1306" spans="2:19" ht="15.75" x14ac:dyDescent="0.25">
      <c r="B1306" s="133">
        <v>43826</v>
      </c>
      <c r="C1306" s="128" t="s">
        <v>201</v>
      </c>
      <c r="D1306" s="128" t="s">
        <v>48</v>
      </c>
      <c r="E1306" s="128" t="str" cm="1">
        <f t="array" ref="E1306">IFERROR(INDEX(SubcategoriesTable[Subcategory name],MATCH(Table1[[#This Row],[Category]],SubcategoriesTable[Category name],0),0),"")</f>
        <v>Variable</v>
      </c>
      <c r="F1306" s="134">
        <v>-37.659999999999997</v>
      </c>
      <c r="G1306" s="167" t="str">
        <f>_xlfn.XLOOKUP(Table1[[#This Row],[Account_ID]], Accounts[ID], Accounts[Account nickname], "Unknown")</f>
        <v>Discover it chrome Card</v>
      </c>
      <c r="H1306" s="137" t="str">
        <f>_xlfn.XLOOKUP(Table1[[#This Row],[Account_ID]], Accounts[ID], Accounts[Account'#], "Unknown")</f>
        <v>7328</v>
      </c>
      <c r="I1306" s="168" t="str">
        <f>_xlfn.XLOOKUP(Table1[[#This Row],[Institution_ID]], Institutions[ID], Institutions[Institution nickname], "Unknown")</f>
        <v>Discover</v>
      </c>
      <c r="J1306" s="139" t="s">
        <v>1058</v>
      </c>
      <c r="K1306" s="129" t="s">
        <v>110</v>
      </c>
      <c r="L1306" s="129" t="s">
        <v>108</v>
      </c>
      <c r="M1306" s="130" t="str" cm="1">
        <f t="array" ref="M1306">IFERROR(INDEX(CategoriesTable[Category type],MATCH(Table1[[#This Row],[Category]],CategoriesTable[Category name],0),0),"")</f>
        <v>Expense</v>
      </c>
      <c r="N1306" s="130" t="str" cm="1">
        <f t="array" ref="N1306">IFERROR(INDEX(SubcategoriesTable[Subcategory name],MATCH(Table1[[#This Row],[Category]],SubcategoriesTable[Category name],0),0),"")</f>
        <v>Variable</v>
      </c>
      <c r="O1306" s="130">
        <v>27</v>
      </c>
      <c r="P1306" s="130">
        <f>MONTH(Table1[[#This Row],[Date]])</f>
        <v>12</v>
      </c>
      <c r="Q1306" s="130">
        <v>2019</v>
      </c>
      <c r="R1306" s="166">
        <f>IF(ISBLANK(Table1[[#This Row],[Date]]),"",Table1[[#This Row],[Date]]-WEEKDAY(Table1[[#This Row],[Date]],2)+1)</f>
        <v>43822</v>
      </c>
      <c r="S1306" s="131">
        <f>IF(ISBLANK(Table1[[#This Row],[Date]]),"",DATE(Table1[[#This Row],[Date_Year]],Table1[[#This Row],[Date_Month]],1))</f>
        <v>43800</v>
      </c>
    </row>
    <row r="1307" spans="2:19" ht="15.75" x14ac:dyDescent="0.25">
      <c r="B1307" s="133">
        <v>43826</v>
      </c>
      <c r="C1307" s="128" t="s">
        <v>1059</v>
      </c>
      <c r="D1307" s="128" t="s">
        <v>45</v>
      </c>
      <c r="E1307" s="128" t="str" cm="1">
        <f t="array" ref="E1307">IFERROR(INDEX(SubcategoriesTable[Subcategory name],MATCH(Table1[[#This Row],[Category]],SubcategoriesTable[Category name],0),0),"")</f>
        <v>Variable</v>
      </c>
      <c r="F1307" s="134">
        <v>-300</v>
      </c>
      <c r="G1307" s="167" t="str">
        <f>_xlfn.XLOOKUP(Table1[[#This Row],[Account_ID]], Accounts[ID], Accounts[Account nickname], "Unknown")</f>
        <v>Discover it chrome Card</v>
      </c>
      <c r="H1307" s="137" t="str">
        <f>_xlfn.XLOOKUP(Table1[[#This Row],[Account_ID]], Accounts[ID], Accounts[Account'#], "Unknown")</f>
        <v>7328</v>
      </c>
      <c r="I1307" s="168" t="str">
        <f>_xlfn.XLOOKUP(Table1[[#This Row],[Institution_ID]], Institutions[ID], Institutions[Institution nickname], "Unknown")</f>
        <v>Discover</v>
      </c>
      <c r="J1307" s="139" t="s">
        <v>1060</v>
      </c>
      <c r="K1307" s="129" t="s">
        <v>110</v>
      </c>
      <c r="L1307" s="129" t="s">
        <v>108</v>
      </c>
      <c r="M1307" s="130" t="str" cm="1">
        <f t="array" ref="M1307">IFERROR(INDEX(CategoriesTable[Category type],MATCH(Table1[[#This Row],[Category]],CategoriesTable[Category name],0),0),"")</f>
        <v>Expense</v>
      </c>
      <c r="N1307" s="130" t="str" cm="1">
        <f t="array" ref="N1307">IFERROR(INDEX(SubcategoriesTable[Subcategory name],MATCH(Table1[[#This Row],[Category]],SubcategoriesTable[Category name],0),0),"")</f>
        <v>Variable</v>
      </c>
      <c r="O1307" s="130">
        <v>27</v>
      </c>
      <c r="P1307" s="130">
        <f>MONTH(Table1[[#This Row],[Date]])</f>
        <v>12</v>
      </c>
      <c r="Q1307" s="130">
        <v>2019</v>
      </c>
      <c r="R1307" s="166">
        <f>IF(ISBLANK(Table1[[#This Row],[Date]]),"",Table1[[#This Row],[Date]]-WEEKDAY(Table1[[#This Row],[Date]],2)+1)</f>
        <v>43822</v>
      </c>
      <c r="S1307" s="131">
        <f>IF(ISBLANK(Table1[[#This Row],[Date]]),"",DATE(Table1[[#This Row],[Date_Year]],Table1[[#This Row],[Date_Month]],1))</f>
        <v>43800</v>
      </c>
    </row>
    <row r="1308" spans="2:19" ht="15.75" x14ac:dyDescent="0.25">
      <c r="B1308" s="133">
        <v>43825</v>
      </c>
      <c r="C1308" s="128" t="s">
        <v>441</v>
      </c>
      <c r="D1308" s="128" t="s">
        <v>56</v>
      </c>
      <c r="E1308" s="128" t="str" cm="1">
        <f t="array" ref="E1308">IFERROR(INDEX(SubcategoriesTable[Subcategory name],MATCH(Table1[[#This Row],[Category]],SubcategoriesTable[Category name],0),0),"")</f>
        <v>Variable</v>
      </c>
      <c r="F1308" s="134">
        <v>-30</v>
      </c>
      <c r="G1308" s="167" t="str">
        <f>_xlfn.XLOOKUP(Table1[[#This Row],[Account_ID]], Accounts[ID], Accounts[Account nickname], "Unknown")</f>
        <v>EVERYDAY CHECKING</v>
      </c>
      <c r="H1308" s="137" t="str">
        <f>_xlfn.XLOOKUP(Table1[[#This Row],[Account_ID]], Accounts[ID], Accounts[Account'#], "Unknown")</f>
        <v>4636</v>
      </c>
      <c r="I1308" s="168" t="str">
        <f>_xlfn.XLOOKUP(Table1[[#This Row],[Institution_ID]], Institutions[ID], Institutions[Institution nickname], "Unknown")</f>
        <v>Wells Fargo</v>
      </c>
      <c r="J1308" s="139" t="s">
        <v>1995</v>
      </c>
      <c r="K1308" s="129" t="s">
        <v>1229</v>
      </c>
      <c r="L1308" s="129" t="s">
        <v>1228</v>
      </c>
      <c r="M1308" s="130" t="str" cm="1">
        <f t="array" ref="M1308">IFERROR(INDEX(CategoriesTable[Category type],MATCH(Table1[[#This Row],[Category]],CategoriesTable[Category name],0),0),"")</f>
        <v>Expense</v>
      </c>
      <c r="N1308" s="130" t="str" cm="1">
        <f t="array" ref="N1308">IFERROR(INDEX(SubcategoriesTable[Subcategory name],MATCH(Table1[[#This Row],[Category]],SubcategoriesTable[Category name],0),0),"")</f>
        <v>Variable</v>
      </c>
      <c r="O1308" s="130">
        <v>26</v>
      </c>
      <c r="P1308" s="130">
        <f>MONTH(Table1[[#This Row],[Date]])</f>
        <v>12</v>
      </c>
      <c r="Q1308" s="130">
        <v>2019</v>
      </c>
      <c r="R1308" s="166">
        <f>IF(ISBLANK(Table1[[#This Row],[Date]]),"",Table1[[#This Row],[Date]]-WEEKDAY(Table1[[#This Row],[Date]],2)+1)</f>
        <v>43822</v>
      </c>
      <c r="S1308" s="131">
        <f>IF(ISBLANK(Table1[[#This Row],[Date]]),"",DATE(Table1[[#This Row],[Date_Year]],Table1[[#This Row],[Date_Month]],1))</f>
        <v>43800</v>
      </c>
    </row>
    <row r="1309" spans="2:19" ht="15.75" x14ac:dyDescent="0.25">
      <c r="B1309" s="133">
        <v>43825</v>
      </c>
      <c r="C1309" s="128" t="s">
        <v>1996</v>
      </c>
      <c r="D1309" s="128" t="s">
        <v>48</v>
      </c>
      <c r="E1309" s="128" t="str" cm="1">
        <f t="array" ref="E1309">IFERROR(INDEX(SubcategoriesTable[Subcategory name],MATCH(Table1[[#This Row],[Category]],SubcategoriesTable[Category name],0),0),"")</f>
        <v>Variable</v>
      </c>
      <c r="F1309" s="134">
        <v>-39.9</v>
      </c>
      <c r="G1309" s="167" t="str">
        <f>_xlfn.XLOOKUP(Table1[[#This Row],[Account_ID]], Accounts[ID], Accounts[Account nickname], "Unknown")</f>
        <v>EVERYDAY CHECKING</v>
      </c>
      <c r="H1309" s="137" t="str">
        <f>_xlfn.XLOOKUP(Table1[[#This Row],[Account_ID]], Accounts[ID], Accounts[Account'#], "Unknown")</f>
        <v>4636</v>
      </c>
      <c r="I1309" s="168" t="str">
        <f>_xlfn.XLOOKUP(Table1[[#This Row],[Institution_ID]], Institutions[ID], Institutions[Institution nickname], "Unknown")</f>
        <v>Wells Fargo</v>
      </c>
      <c r="J1309" s="139" t="s">
        <v>1997</v>
      </c>
      <c r="K1309" s="129" t="s">
        <v>1229</v>
      </c>
      <c r="L1309" s="129" t="s">
        <v>1228</v>
      </c>
      <c r="M1309" s="130" t="str" cm="1">
        <f t="array" ref="M1309">IFERROR(INDEX(CategoriesTable[Category type],MATCH(Table1[[#This Row],[Category]],CategoriesTable[Category name],0),0),"")</f>
        <v>Expense</v>
      </c>
      <c r="N1309" s="130" t="str" cm="1">
        <f t="array" ref="N1309">IFERROR(INDEX(SubcategoriesTable[Subcategory name],MATCH(Table1[[#This Row],[Category]],SubcategoriesTable[Category name],0),0),"")</f>
        <v>Variable</v>
      </c>
      <c r="O1309" s="130">
        <v>26</v>
      </c>
      <c r="P1309" s="130">
        <f>MONTH(Table1[[#This Row],[Date]])</f>
        <v>12</v>
      </c>
      <c r="Q1309" s="130">
        <v>2019</v>
      </c>
      <c r="R1309" s="166">
        <f>IF(ISBLANK(Table1[[#This Row],[Date]]),"",Table1[[#This Row],[Date]]-WEEKDAY(Table1[[#This Row],[Date]],2)+1)</f>
        <v>43822</v>
      </c>
      <c r="S1309" s="131">
        <f>IF(ISBLANK(Table1[[#This Row],[Date]]),"",DATE(Table1[[#This Row],[Date_Year]],Table1[[#This Row],[Date_Month]],1))</f>
        <v>43800</v>
      </c>
    </row>
    <row r="1310" spans="2:19" ht="15.75" x14ac:dyDescent="0.25">
      <c r="B1310" s="133">
        <v>43825</v>
      </c>
      <c r="C1310" s="128" t="s">
        <v>690</v>
      </c>
      <c r="D1310" s="128" t="s">
        <v>48</v>
      </c>
      <c r="E1310" s="128" t="str" cm="1">
        <f t="array" ref="E1310">IFERROR(INDEX(SubcategoriesTable[Subcategory name],MATCH(Table1[[#This Row],[Category]],SubcategoriesTable[Category name],0),0),"")</f>
        <v>Variable</v>
      </c>
      <c r="F1310" s="134">
        <v>-91.22</v>
      </c>
      <c r="G1310" s="167" t="str">
        <f>_xlfn.XLOOKUP(Table1[[#This Row],[Account_ID]], Accounts[ID], Accounts[Account nickname], "Unknown")</f>
        <v>EVERYDAY CHECKING</v>
      </c>
      <c r="H1310" s="137" t="str">
        <f>_xlfn.XLOOKUP(Table1[[#This Row],[Account_ID]], Accounts[ID], Accounts[Account'#], "Unknown")</f>
        <v>4636</v>
      </c>
      <c r="I1310" s="168" t="str">
        <f>_xlfn.XLOOKUP(Table1[[#This Row],[Institution_ID]], Institutions[ID], Institutions[Institution nickname], "Unknown")</f>
        <v>Wells Fargo</v>
      </c>
      <c r="J1310" s="139" t="s">
        <v>1998</v>
      </c>
      <c r="K1310" s="129" t="s">
        <v>1229</v>
      </c>
      <c r="L1310" s="129" t="s">
        <v>1228</v>
      </c>
      <c r="M1310" s="130" t="str" cm="1">
        <f t="array" ref="M1310">IFERROR(INDEX(CategoriesTable[Category type],MATCH(Table1[[#This Row],[Category]],CategoriesTable[Category name],0),0),"")</f>
        <v>Expense</v>
      </c>
      <c r="N1310" s="130" t="str" cm="1">
        <f t="array" ref="N1310">IFERROR(INDEX(SubcategoriesTable[Subcategory name],MATCH(Table1[[#This Row],[Category]],SubcategoriesTable[Category name],0),0),"")</f>
        <v>Variable</v>
      </c>
      <c r="O1310" s="130">
        <v>26</v>
      </c>
      <c r="P1310" s="130">
        <f>MONTH(Table1[[#This Row],[Date]])</f>
        <v>12</v>
      </c>
      <c r="Q1310" s="130">
        <v>2019</v>
      </c>
      <c r="R1310" s="166">
        <f>IF(ISBLANK(Table1[[#This Row],[Date]]),"",Table1[[#This Row],[Date]]-WEEKDAY(Table1[[#This Row],[Date]],2)+1)</f>
        <v>43822</v>
      </c>
      <c r="S1310" s="131">
        <f>IF(ISBLANK(Table1[[#This Row],[Date]]),"",DATE(Table1[[#This Row],[Date_Year]],Table1[[#This Row],[Date_Month]],1))</f>
        <v>43800</v>
      </c>
    </row>
    <row r="1311" spans="2:19" ht="15.75" x14ac:dyDescent="0.25">
      <c r="B1311" s="133">
        <v>43824</v>
      </c>
      <c r="C1311" s="128" t="s">
        <v>256</v>
      </c>
      <c r="D1311" s="128" t="s">
        <v>46</v>
      </c>
      <c r="E1311" s="128" t="str" cm="1">
        <f t="array" ref="E1311">IFERROR(INDEX(SubcategoriesTable[Subcategory name],MATCH(Table1[[#This Row],[Category]],SubcategoriesTable[Category name],0),0),"")</f>
        <v>Variable</v>
      </c>
      <c r="F1311" s="134">
        <v>-47.37</v>
      </c>
      <c r="G1311" s="167" t="str">
        <f>_xlfn.XLOOKUP(Table1[[#This Row],[Account_ID]], Accounts[ID], Accounts[Account nickname], "Unknown")</f>
        <v>EVERYDAY CHECKING</v>
      </c>
      <c r="H1311" s="137" t="str">
        <f>_xlfn.XLOOKUP(Table1[[#This Row],[Account_ID]], Accounts[ID], Accounts[Account'#], "Unknown")</f>
        <v>4636</v>
      </c>
      <c r="I1311" s="168" t="str">
        <f>_xlfn.XLOOKUP(Table1[[#This Row],[Institution_ID]], Institutions[ID], Institutions[Institution nickname], "Unknown")</f>
        <v>Wells Fargo</v>
      </c>
      <c r="J1311" s="139" t="s">
        <v>1999</v>
      </c>
      <c r="K1311" s="129" t="s">
        <v>1229</v>
      </c>
      <c r="L1311" s="129" t="s">
        <v>1228</v>
      </c>
      <c r="M1311" s="130" t="str" cm="1">
        <f t="array" ref="M1311">IFERROR(INDEX(CategoriesTable[Category type],MATCH(Table1[[#This Row],[Category]],CategoriesTable[Category name],0),0),"")</f>
        <v>Expense</v>
      </c>
      <c r="N1311" s="130" t="str" cm="1">
        <f t="array" ref="N1311">IFERROR(INDEX(SubcategoriesTable[Subcategory name],MATCH(Table1[[#This Row],[Category]],SubcategoriesTable[Category name],0),0),"")</f>
        <v>Variable</v>
      </c>
      <c r="O1311" s="130">
        <v>25</v>
      </c>
      <c r="P1311" s="130">
        <f>MONTH(Table1[[#This Row],[Date]])</f>
        <v>12</v>
      </c>
      <c r="Q1311" s="130">
        <v>2019</v>
      </c>
      <c r="R1311" s="166">
        <f>IF(ISBLANK(Table1[[#This Row],[Date]]),"",Table1[[#This Row],[Date]]-WEEKDAY(Table1[[#This Row],[Date]],2)+1)</f>
        <v>43822</v>
      </c>
      <c r="S1311" s="131">
        <f>IF(ISBLANK(Table1[[#This Row],[Date]]),"",DATE(Table1[[#This Row],[Date_Year]],Table1[[#This Row],[Date_Month]],1))</f>
        <v>43800</v>
      </c>
    </row>
    <row r="1312" spans="2:19" ht="15.75" x14ac:dyDescent="0.25">
      <c r="B1312" s="133">
        <v>43824</v>
      </c>
      <c r="C1312" s="128" t="s">
        <v>2000</v>
      </c>
      <c r="D1312" s="128" t="s">
        <v>52</v>
      </c>
      <c r="E1312" s="128" t="str" cm="1">
        <f t="array" ref="E1312">IFERROR(INDEX(SubcategoriesTable[Subcategory name],MATCH(Table1[[#This Row],[Category]],SubcategoriesTable[Category name],0),0),"")</f>
        <v>Variable</v>
      </c>
      <c r="F1312" s="134">
        <v>-11.26</v>
      </c>
      <c r="G1312" s="167" t="str">
        <f>_xlfn.XLOOKUP(Table1[[#This Row],[Account_ID]], Accounts[ID], Accounts[Account nickname], "Unknown")</f>
        <v>EVERYDAY CHECKING</v>
      </c>
      <c r="H1312" s="137" t="str">
        <f>_xlfn.XLOOKUP(Table1[[#This Row],[Account_ID]], Accounts[ID], Accounts[Account'#], "Unknown")</f>
        <v>4636</v>
      </c>
      <c r="I1312" s="168" t="str">
        <f>_xlfn.XLOOKUP(Table1[[#This Row],[Institution_ID]], Institutions[ID], Institutions[Institution nickname], "Unknown")</f>
        <v>Wells Fargo</v>
      </c>
      <c r="J1312" s="139" t="s">
        <v>2001</v>
      </c>
      <c r="K1312" s="129" t="s">
        <v>1229</v>
      </c>
      <c r="L1312" s="129" t="s">
        <v>1228</v>
      </c>
      <c r="M1312" s="130" t="str" cm="1">
        <f t="array" ref="M1312">IFERROR(INDEX(CategoriesTable[Category type],MATCH(Table1[[#This Row],[Category]],CategoriesTable[Category name],0),0),"")</f>
        <v>Expense</v>
      </c>
      <c r="N1312" s="130" t="str" cm="1">
        <f t="array" ref="N1312">IFERROR(INDEX(SubcategoriesTable[Subcategory name],MATCH(Table1[[#This Row],[Category]],SubcategoriesTable[Category name],0),0),"")</f>
        <v>Variable</v>
      </c>
      <c r="O1312" s="130">
        <v>25</v>
      </c>
      <c r="P1312" s="130">
        <f>MONTH(Table1[[#This Row],[Date]])</f>
        <v>12</v>
      </c>
      <c r="Q1312" s="130">
        <v>2019</v>
      </c>
      <c r="R1312" s="166">
        <f>IF(ISBLANK(Table1[[#This Row],[Date]]),"",Table1[[#This Row],[Date]]-WEEKDAY(Table1[[#This Row],[Date]],2)+1)</f>
        <v>43822</v>
      </c>
      <c r="S1312" s="131">
        <f>IF(ISBLANK(Table1[[#This Row],[Date]]),"",DATE(Table1[[#This Row],[Date_Year]],Table1[[#This Row],[Date_Month]],1))</f>
        <v>43800</v>
      </c>
    </row>
    <row r="1313" spans="2:19" ht="15.75" x14ac:dyDescent="0.25">
      <c r="B1313" s="133">
        <v>43824</v>
      </c>
      <c r="C1313" s="128" t="s">
        <v>2000</v>
      </c>
      <c r="D1313" s="128" t="s">
        <v>52</v>
      </c>
      <c r="E1313" s="128" t="str" cm="1">
        <f t="array" ref="E1313">IFERROR(INDEX(SubcategoriesTable[Subcategory name],MATCH(Table1[[#This Row],[Category]],SubcategoriesTable[Category name],0),0),"")</f>
        <v>Variable</v>
      </c>
      <c r="F1313" s="134">
        <v>-27.06</v>
      </c>
      <c r="G1313" s="167" t="str">
        <f>_xlfn.XLOOKUP(Table1[[#This Row],[Account_ID]], Accounts[ID], Accounts[Account nickname], "Unknown")</f>
        <v>EVERYDAY CHECKING</v>
      </c>
      <c r="H1313" s="137" t="str">
        <f>_xlfn.XLOOKUP(Table1[[#This Row],[Account_ID]], Accounts[ID], Accounts[Account'#], "Unknown")</f>
        <v>4636</v>
      </c>
      <c r="I1313" s="168" t="str">
        <f>_xlfn.XLOOKUP(Table1[[#This Row],[Institution_ID]], Institutions[ID], Institutions[Institution nickname], "Unknown")</f>
        <v>Wells Fargo</v>
      </c>
      <c r="J1313" s="139" t="s">
        <v>2002</v>
      </c>
      <c r="K1313" s="129" t="s">
        <v>1229</v>
      </c>
      <c r="L1313" s="129" t="s">
        <v>1228</v>
      </c>
      <c r="M1313" s="130" t="str" cm="1">
        <f t="array" ref="M1313">IFERROR(INDEX(CategoriesTable[Category type],MATCH(Table1[[#This Row],[Category]],CategoriesTable[Category name],0),0),"")</f>
        <v>Expense</v>
      </c>
      <c r="N1313" s="130" t="str" cm="1">
        <f t="array" ref="N1313">IFERROR(INDEX(SubcategoriesTable[Subcategory name],MATCH(Table1[[#This Row],[Category]],SubcategoriesTable[Category name],0),0),"")</f>
        <v>Variable</v>
      </c>
      <c r="O1313" s="130">
        <v>25</v>
      </c>
      <c r="P1313" s="130">
        <f>MONTH(Table1[[#This Row],[Date]])</f>
        <v>12</v>
      </c>
      <c r="Q1313" s="130">
        <v>2019</v>
      </c>
      <c r="R1313" s="166">
        <f>IF(ISBLANK(Table1[[#This Row],[Date]]),"",Table1[[#This Row],[Date]]-WEEKDAY(Table1[[#This Row],[Date]],2)+1)</f>
        <v>43822</v>
      </c>
      <c r="S1313" s="131">
        <f>IF(ISBLANK(Table1[[#This Row],[Date]]),"",DATE(Table1[[#This Row],[Date_Year]],Table1[[#This Row],[Date_Month]],1))</f>
        <v>43800</v>
      </c>
    </row>
    <row r="1314" spans="2:19" ht="15.75" x14ac:dyDescent="0.25">
      <c r="B1314" s="133">
        <v>43824</v>
      </c>
      <c r="C1314" s="128" t="s">
        <v>152</v>
      </c>
      <c r="D1314" s="128" t="s">
        <v>54</v>
      </c>
      <c r="E1314" s="128" t="str" cm="1">
        <f t="array" ref="E1314">IFERROR(INDEX(SubcategoriesTable[Subcategory name],MATCH(Table1[[#This Row],[Category]],SubcategoriesTable[Category name],0),0),"")</f>
        <v>Fixed</v>
      </c>
      <c r="F1314" s="134">
        <v>-15.99</v>
      </c>
      <c r="G1314" s="167" t="str">
        <f>_xlfn.XLOOKUP(Table1[[#This Row],[Account_ID]], Accounts[ID], Accounts[Account nickname], "Unknown")</f>
        <v>EVERYDAY CHECKING</v>
      </c>
      <c r="H1314" s="137" t="str">
        <f>_xlfn.XLOOKUP(Table1[[#This Row],[Account_ID]], Accounts[ID], Accounts[Account'#], "Unknown")</f>
        <v>4636</v>
      </c>
      <c r="I1314" s="168" t="str">
        <f>_xlfn.XLOOKUP(Table1[[#This Row],[Institution_ID]], Institutions[ID], Institutions[Institution nickname], "Unknown")</f>
        <v>Wells Fargo</v>
      </c>
      <c r="J1314" s="139" t="s">
        <v>2003</v>
      </c>
      <c r="K1314" s="129" t="s">
        <v>1229</v>
      </c>
      <c r="L1314" s="129" t="s">
        <v>1228</v>
      </c>
      <c r="M1314" s="130" t="str" cm="1">
        <f t="array" ref="M1314">IFERROR(INDEX(CategoriesTable[Category type],MATCH(Table1[[#This Row],[Category]],CategoriesTable[Category name],0),0),"")</f>
        <v>Expense</v>
      </c>
      <c r="N1314" s="130" t="str" cm="1">
        <f t="array" ref="N1314">IFERROR(INDEX(SubcategoriesTable[Subcategory name],MATCH(Table1[[#This Row],[Category]],SubcategoriesTable[Category name],0),0),"")</f>
        <v>Fixed</v>
      </c>
      <c r="O1314" s="130">
        <v>25</v>
      </c>
      <c r="P1314" s="130">
        <f>MONTH(Table1[[#This Row],[Date]])</f>
        <v>12</v>
      </c>
      <c r="Q1314" s="130">
        <v>2019</v>
      </c>
      <c r="R1314" s="166">
        <f>IF(ISBLANK(Table1[[#This Row],[Date]]),"",Table1[[#This Row],[Date]]-WEEKDAY(Table1[[#This Row],[Date]],2)+1)</f>
        <v>43822</v>
      </c>
      <c r="S1314" s="131">
        <f>IF(ISBLANK(Table1[[#This Row],[Date]]),"",DATE(Table1[[#This Row],[Date_Year]],Table1[[#This Row],[Date_Month]],1))</f>
        <v>43800</v>
      </c>
    </row>
    <row r="1315" spans="2:19" ht="15.75" x14ac:dyDescent="0.25">
      <c r="B1315" s="133">
        <v>43824</v>
      </c>
      <c r="C1315" s="128" t="s">
        <v>2004</v>
      </c>
      <c r="D1315" s="128" t="s">
        <v>54</v>
      </c>
      <c r="E1315" s="128" t="str" cm="1">
        <f t="array" ref="E1315">IFERROR(INDEX(SubcategoriesTable[Subcategory name],MATCH(Table1[[#This Row],[Category]],SubcategoriesTable[Category name],0),0),"")</f>
        <v>Fixed</v>
      </c>
      <c r="F1315" s="134">
        <v>-2.99</v>
      </c>
      <c r="G1315" s="167" t="str">
        <f>_xlfn.XLOOKUP(Table1[[#This Row],[Account_ID]], Accounts[ID], Accounts[Account nickname], "Unknown")</f>
        <v>EVERYDAY CHECKING</v>
      </c>
      <c r="H1315" s="137" t="str">
        <f>_xlfn.XLOOKUP(Table1[[#This Row],[Account_ID]], Accounts[ID], Accounts[Account'#], "Unknown")</f>
        <v>4636</v>
      </c>
      <c r="I1315" s="168" t="str">
        <f>_xlfn.XLOOKUP(Table1[[#This Row],[Institution_ID]], Institutions[ID], Institutions[Institution nickname], "Unknown")</f>
        <v>Wells Fargo</v>
      </c>
      <c r="J1315" s="139" t="s">
        <v>2005</v>
      </c>
      <c r="K1315" s="129" t="s">
        <v>1229</v>
      </c>
      <c r="L1315" s="129" t="s">
        <v>1228</v>
      </c>
      <c r="M1315" s="130" t="str" cm="1">
        <f t="array" ref="M1315">IFERROR(INDEX(CategoriesTable[Category type],MATCH(Table1[[#This Row],[Category]],CategoriesTable[Category name],0),0),"")</f>
        <v>Expense</v>
      </c>
      <c r="N1315" s="130" t="str" cm="1">
        <f t="array" ref="N1315">IFERROR(INDEX(SubcategoriesTable[Subcategory name],MATCH(Table1[[#This Row],[Category]],SubcategoriesTable[Category name],0),0),"")</f>
        <v>Fixed</v>
      </c>
      <c r="O1315" s="130">
        <v>25</v>
      </c>
      <c r="P1315" s="130">
        <f>MONTH(Table1[[#This Row],[Date]])</f>
        <v>12</v>
      </c>
      <c r="Q1315" s="130">
        <v>2019</v>
      </c>
      <c r="R1315" s="166">
        <f>IF(ISBLANK(Table1[[#This Row],[Date]]),"",Table1[[#This Row],[Date]]-WEEKDAY(Table1[[#This Row],[Date]],2)+1)</f>
        <v>43822</v>
      </c>
      <c r="S1315" s="131">
        <f>IF(ISBLANK(Table1[[#This Row],[Date]]),"",DATE(Table1[[#This Row],[Date_Year]],Table1[[#This Row],[Date_Month]],1))</f>
        <v>43800</v>
      </c>
    </row>
    <row r="1316" spans="2:19" ht="15.75" x14ac:dyDescent="0.25">
      <c r="B1316" s="133">
        <v>43823</v>
      </c>
      <c r="C1316" s="128" t="s">
        <v>1623</v>
      </c>
      <c r="D1316" s="128" t="s">
        <v>56</v>
      </c>
      <c r="E1316" s="128" t="str" cm="1">
        <f t="array" ref="E1316">IFERROR(INDEX(SubcategoriesTable[Subcategory name],MATCH(Table1[[#This Row],[Category]],SubcategoriesTable[Category name],0),0),"")</f>
        <v>Variable</v>
      </c>
      <c r="F1316" s="134">
        <v>-39.270000000000003</v>
      </c>
      <c r="G1316" s="167" t="str">
        <f>_xlfn.XLOOKUP(Table1[[#This Row],[Account_ID]], Accounts[ID], Accounts[Account nickname], "Unknown")</f>
        <v>EVERYDAY CHECKING</v>
      </c>
      <c r="H1316" s="137" t="str">
        <f>_xlfn.XLOOKUP(Table1[[#This Row],[Account_ID]], Accounts[ID], Accounts[Account'#], "Unknown")</f>
        <v>4636</v>
      </c>
      <c r="I1316" s="168" t="str">
        <f>_xlfn.XLOOKUP(Table1[[#This Row],[Institution_ID]], Institutions[ID], Institutions[Institution nickname], "Unknown")</f>
        <v>Wells Fargo</v>
      </c>
      <c r="J1316" s="139" t="s">
        <v>2006</v>
      </c>
      <c r="K1316" s="129" t="s">
        <v>1229</v>
      </c>
      <c r="L1316" s="129" t="s">
        <v>1228</v>
      </c>
      <c r="M1316" s="130" t="str" cm="1">
        <f t="array" ref="M1316">IFERROR(INDEX(CategoriesTable[Category type],MATCH(Table1[[#This Row],[Category]],CategoriesTable[Category name],0),0),"")</f>
        <v>Expense</v>
      </c>
      <c r="N1316" s="130" t="str" cm="1">
        <f t="array" ref="N1316">IFERROR(INDEX(SubcategoriesTable[Subcategory name],MATCH(Table1[[#This Row],[Category]],SubcategoriesTable[Category name],0),0),"")</f>
        <v>Variable</v>
      </c>
      <c r="O1316" s="130">
        <v>24</v>
      </c>
      <c r="P1316" s="130">
        <f>MONTH(Table1[[#This Row],[Date]])</f>
        <v>12</v>
      </c>
      <c r="Q1316" s="130">
        <v>2019</v>
      </c>
      <c r="R1316" s="166">
        <f>IF(ISBLANK(Table1[[#This Row],[Date]]),"",Table1[[#This Row],[Date]]-WEEKDAY(Table1[[#This Row],[Date]],2)+1)</f>
        <v>43822</v>
      </c>
      <c r="S1316" s="131">
        <f>IF(ISBLANK(Table1[[#This Row],[Date]]),"",DATE(Table1[[#This Row],[Date_Year]],Table1[[#This Row],[Date_Month]],1))</f>
        <v>43800</v>
      </c>
    </row>
    <row r="1317" spans="2:19" ht="15.75" x14ac:dyDescent="0.25">
      <c r="B1317" s="133">
        <v>43823</v>
      </c>
      <c r="C1317" s="128" t="s">
        <v>1185</v>
      </c>
      <c r="D1317" s="128" t="s">
        <v>59</v>
      </c>
      <c r="E1317" s="128" t="str" cm="1">
        <f t="array" ref="E1317">IFERROR(INDEX(SubcategoriesTable[Subcategory name],MATCH(Table1[[#This Row],[Category]],SubcategoriesTable[Category name],0),0),"")</f>
        <v>Fixed</v>
      </c>
      <c r="F1317" s="134">
        <v>0.17</v>
      </c>
      <c r="G1317" s="167" t="str">
        <f>_xlfn.XLOOKUP(Table1[[#This Row],[Account_ID]], Accounts[ID], Accounts[Account nickname], "Unknown")</f>
        <v>EVERYDAY CHECKING</v>
      </c>
      <c r="H1317" s="137" t="str">
        <f>_xlfn.XLOOKUP(Table1[[#This Row],[Account_ID]], Accounts[ID], Accounts[Account'#], "Unknown")</f>
        <v>4636</v>
      </c>
      <c r="I1317" s="168" t="str">
        <f>_xlfn.XLOOKUP(Table1[[#This Row],[Institution_ID]], Institutions[ID], Institutions[Institution nickname], "Unknown")</f>
        <v>Wells Fargo</v>
      </c>
      <c r="J1317" s="139" t="s">
        <v>2007</v>
      </c>
      <c r="K1317" s="129" t="s">
        <v>1229</v>
      </c>
      <c r="L1317" s="129" t="s">
        <v>1228</v>
      </c>
      <c r="M1317" s="130" t="str" cm="1">
        <f t="array" ref="M1317">IFERROR(INDEX(CategoriesTable[Category type],MATCH(Table1[[#This Row],[Category]],CategoriesTable[Category name],0),0),"")</f>
        <v>Income</v>
      </c>
      <c r="N1317" s="130" t="str" cm="1">
        <f t="array" ref="N1317">IFERROR(INDEX(SubcategoriesTable[Subcategory name],MATCH(Table1[[#This Row],[Category]],SubcategoriesTable[Category name],0),0),"")</f>
        <v>Fixed</v>
      </c>
      <c r="O1317" s="130">
        <v>24</v>
      </c>
      <c r="P1317" s="130">
        <f>MONTH(Table1[[#This Row],[Date]])</f>
        <v>12</v>
      </c>
      <c r="Q1317" s="130">
        <v>2019</v>
      </c>
      <c r="R1317" s="166">
        <f>IF(ISBLANK(Table1[[#This Row],[Date]]),"",Table1[[#This Row],[Date]]-WEEKDAY(Table1[[#This Row],[Date]],2)+1)</f>
        <v>43822</v>
      </c>
      <c r="S1317" s="131">
        <f>IF(ISBLANK(Table1[[#This Row],[Date]]),"",DATE(Table1[[#This Row],[Date_Year]],Table1[[#This Row],[Date_Month]],1))</f>
        <v>43800</v>
      </c>
    </row>
    <row r="1318" spans="2:19" ht="15.75" x14ac:dyDescent="0.25">
      <c r="B1318" s="133">
        <v>43823</v>
      </c>
      <c r="C1318" s="128" t="s">
        <v>1185</v>
      </c>
      <c r="D1318" s="128" t="s">
        <v>59</v>
      </c>
      <c r="E1318" s="128" t="str" cm="1">
        <f t="array" ref="E1318">IFERROR(INDEX(SubcategoriesTable[Subcategory name],MATCH(Table1[[#This Row],[Category]],SubcategoriesTable[Category name],0),0),"")</f>
        <v>Fixed</v>
      </c>
      <c r="F1318" s="134">
        <v>0.09</v>
      </c>
      <c r="G1318" s="167" t="str">
        <f>_xlfn.XLOOKUP(Table1[[#This Row],[Account_ID]], Accounts[ID], Accounts[Account nickname], "Unknown")</f>
        <v>EVERYDAY CHECKING</v>
      </c>
      <c r="H1318" s="137" t="str">
        <f>_xlfn.XLOOKUP(Table1[[#This Row],[Account_ID]], Accounts[ID], Accounts[Account'#], "Unknown")</f>
        <v>4636</v>
      </c>
      <c r="I1318" s="168" t="str">
        <f>_xlfn.XLOOKUP(Table1[[#This Row],[Institution_ID]], Institutions[ID], Institutions[Institution nickname], "Unknown")</f>
        <v>Wells Fargo</v>
      </c>
      <c r="J1318" s="139" t="s">
        <v>2008</v>
      </c>
      <c r="K1318" s="129" t="s">
        <v>1229</v>
      </c>
      <c r="L1318" s="129" t="s">
        <v>1228</v>
      </c>
      <c r="M1318" s="130" t="str" cm="1">
        <f t="array" ref="M1318">IFERROR(INDEX(CategoriesTable[Category type],MATCH(Table1[[#This Row],[Category]],CategoriesTable[Category name],0),0),"")</f>
        <v>Income</v>
      </c>
      <c r="N1318" s="130" t="str" cm="1">
        <f t="array" ref="N1318">IFERROR(INDEX(SubcategoriesTable[Subcategory name],MATCH(Table1[[#This Row],[Category]],SubcategoriesTable[Category name],0),0),"")</f>
        <v>Fixed</v>
      </c>
      <c r="O1318" s="130">
        <v>24</v>
      </c>
      <c r="P1318" s="130">
        <f>MONTH(Table1[[#This Row],[Date]])</f>
        <v>12</v>
      </c>
      <c r="Q1318" s="130">
        <v>2019</v>
      </c>
      <c r="R1318" s="166">
        <f>IF(ISBLANK(Table1[[#This Row],[Date]]),"",Table1[[#This Row],[Date]]-WEEKDAY(Table1[[#This Row],[Date]],2)+1)</f>
        <v>43822</v>
      </c>
      <c r="S1318" s="131">
        <f>IF(ISBLANK(Table1[[#This Row],[Date]]),"",DATE(Table1[[#This Row],[Date_Year]],Table1[[#This Row],[Date_Month]],1))</f>
        <v>43800</v>
      </c>
    </row>
    <row r="1319" spans="2:19" ht="15.75" x14ac:dyDescent="0.25">
      <c r="B1319" s="133">
        <v>43823</v>
      </c>
      <c r="C1319" s="128" t="s">
        <v>1185</v>
      </c>
      <c r="D1319" s="128" t="s">
        <v>58</v>
      </c>
      <c r="E1319" s="128" t="str" cm="1">
        <f t="array" ref="E1319">IFERROR(INDEX(SubcategoriesTable[Subcategory name],MATCH(Table1[[#This Row],[Category]],SubcategoriesTable[Category name],0),0),"")</f>
        <v>Fixed</v>
      </c>
      <c r="F1319" s="134">
        <v>-0.26</v>
      </c>
      <c r="G1319" s="167" t="str">
        <f>_xlfn.XLOOKUP(Table1[[#This Row],[Account_ID]], Accounts[ID], Accounts[Account nickname], "Unknown")</f>
        <v>EVERYDAY CHECKING</v>
      </c>
      <c r="H1319" s="137" t="str">
        <f>_xlfn.XLOOKUP(Table1[[#This Row],[Account_ID]], Accounts[ID], Accounts[Account'#], "Unknown")</f>
        <v>4636</v>
      </c>
      <c r="I1319" s="168" t="str">
        <f>_xlfn.XLOOKUP(Table1[[#This Row],[Institution_ID]], Institutions[ID], Institutions[Institution nickname], "Unknown")</f>
        <v>Wells Fargo</v>
      </c>
      <c r="J1319" s="139" t="s">
        <v>2009</v>
      </c>
      <c r="K1319" s="129" t="s">
        <v>1229</v>
      </c>
      <c r="L1319" s="129" t="s">
        <v>1228</v>
      </c>
      <c r="M1319" s="130" t="str" cm="1">
        <f t="array" ref="M1319">IFERROR(INDEX(CategoriesTable[Category type],MATCH(Table1[[#This Row],[Category]],CategoriesTable[Category name],0),0),"")</f>
        <v>Expense</v>
      </c>
      <c r="N1319" s="130" t="str" cm="1">
        <f t="array" ref="N1319">IFERROR(INDEX(SubcategoriesTable[Subcategory name],MATCH(Table1[[#This Row],[Category]],SubcategoriesTable[Category name],0),0),"")</f>
        <v>Fixed</v>
      </c>
      <c r="O1319" s="130">
        <v>24</v>
      </c>
      <c r="P1319" s="130">
        <f>MONTH(Table1[[#This Row],[Date]])</f>
        <v>12</v>
      </c>
      <c r="Q1319" s="130">
        <v>2019</v>
      </c>
      <c r="R1319" s="166">
        <f>IF(ISBLANK(Table1[[#This Row],[Date]]),"",Table1[[#This Row],[Date]]-WEEKDAY(Table1[[#This Row],[Date]],2)+1)</f>
        <v>43822</v>
      </c>
      <c r="S1319" s="131">
        <f>IF(ISBLANK(Table1[[#This Row],[Date]]),"",DATE(Table1[[#This Row],[Date_Year]],Table1[[#This Row],[Date_Month]],1))</f>
        <v>43800</v>
      </c>
    </row>
    <row r="1320" spans="2:19" ht="15.75" x14ac:dyDescent="0.25">
      <c r="B1320" s="133">
        <v>43823</v>
      </c>
      <c r="C1320" s="128" t="s">
        <v>2010</v>
      </c>
      <c r="D1320" s="128" t="s">
        <v>56</v>
      </c>
      <c r="E1320" s="128" t="str" cm="1">
        <f t="array" ref="E1320">IFERROR(INDEX(SubcategoriesTable[Subcategory name],MATCH(Table1[[#This Row],[Category]],SubcategoriesTable[Category name],0),0),"")</f>
        <v>Variable</v>
      </c>
      <c r="F1320" s="134">
        <v>0.18</v>
      </c>
      <c r="G1320" s="167" t="str">
        <f>_xlfn.XLOOKUP(Table1[[#This Row],[Account_ID]], Accounts[ID], Accounts[Account nickname], "Unknown")</f>
        <v>EVERYDAY CHECKING</v>
      </c>
      <c r="H1320" s="137" t="str">
        <f>_xlfn.XLOOKUP(Table1[[#This Row],[Account_ID]], Accounts[ID], Accounts[Account'#], "Unknown")</f>
        <v>4636</v>
      </c>
      <c r="I1320" s="168" t="str">
        <f>_xlfn.XLOOKUP(Table1[[#This Row],[Institution_ID]], Institutions[ID], Institutions[Institution nickname], "Unknown")</f>
        <v>Wells Fargo</v>
      </c>
      <c r="J1320" s="139" t="s">
        <v>2011</v>
      </c>
      <c r="K1320" s="129" t="s">
        <v>1229</v>
      </c>
      <c r="L1320" s="129" t="s">
        <v>1228</v>
      </c>
      <c r="M1320" s="130" t="str" cm="1">
        <f t="array" ref="M1320">IFERROR(INDEX(CategoriesTable[Category type],MATCH(Table1[[#This Row],[Category]],CategoriesTable[Category name],0),0),"")</f>
        <v>Expense</v>
      </c>
      <c r="N1320" s="130" t="str" cm="1">
        <f t="array" ref="N1320">IFERROR(INDEX(SubcategoriesTable[Subcategory name],MATCH(Table1[[#This Row],[Category]],SubcategoriesTable[Category name],0),0),"")</f>
        <v>Variable</v>
      </c>
      <c r="O1320" s="130">
        <v>24</v>
      </c>
      <c r="P1320" s="130">
        <f>MONTH(Table1[[#This Row],[Date]])</f>
        <v>12</v>
      </c>
      <c r="Q1320" s="130">
        <v>2019</v>
      </c>
      <c r="R1320" s="166">
        <f>IF(ISBLANK(Table1[[#This Row],[Date]]),"",Table1[[#This Row],[Date]]-WEEKDAY(Table1[[#This Row],[Date]],2)+1)</f>
        <v>43822</v>
      </c>
      <c r="S1320" s="131">
        <f>IF(ISBLANK(Table1[[#This Row],[Date]]),"",DATE(Table1[[#This Row],[Date_Year]],Table1[[#This Row],[Date_Month]],1))</f>
        <v>43800</v>
      </c>
    </row>
    <row r="1321" spans="2:19" ht="15.75" x14ac:dyDescent="0.25">
      <c r="B1321" s="133">
        <v>43823</v>
      </c>
      <c r="C1321" s="128" t="s">
        <v>2010</v>
      </c>
      <c r="D1321" s="128" t="s">
        <v>56</v>
      </c>
      <c r="E1321" s="128" t="str" cm="1">
        <f t="array" ref="E1321">IFERROR(INDEX(SubcategoriesTable[Subcategory name],MATCH(Table1[[#This Row],[Category]],SubcategoriesTable[Category name],0),0),"")</f>
        <v>Variable</v>
      </c>
      <c r="F1321" s="134">
        <v>0.11</v>
      </c>
      <c r="G1321" s="167" t="str">
        <f>_xlfn.XLOOKUP(Table1[[#This Row],[Account_ID]], Accounts[ID], Accounts[Account nickname], "Unknown")</f>
        <v>EVERYDAY CHECKING</v>
      </c>
      <c r="H1321" s="137" t="str">
        <f>_xlfn.XLOOKUP(Table1[[#This Row],[Account_ID]], Accounts[ID], Accounts[Account'#], "Unknown")</f>
        <v>4636</v>
      </c>
      <c r="I1321" s="168" t="str">
        <f>_xlfn.XLOOKUP(Table1[[#This Row],[Institution_ID]], Institutions[ID], Institutions[Institution nickname], "Unknown")</f>
        <v>Wells Fargo</v>
      </c>
      <c r="J1321" s="139" t="s">
        <v>2012</v>
      </c>
      <c r="K1321" s="129" t="s">
        <v>1229</v>
      </c>
      <c r="L1321" s="129" t="s">
        <v>1228</v>
      </c>
      <c r="M1321" s="130" t="str" cm="1">
        <f t="array" ref="M1321">IFERROR(INDEX(CategoriesTable[Category type],MATCH(Table1[[#This Row],[Category]],CategoriesTable[Category name],0),0),"")</f>
        <v>Expense</v>
      </c>
      <c r="N1321" s="130" t="str" cm="1">
        <f t="array" ref="N1321">IFERROR(INDEX(SubcategoriesTable[Subcategory name],MATCH(Table1[[#This Row],[Category]],SubcategoriesTable[Category name],0),0),"")</f>
        <v>Variable</v>
      </c>
      <c r="O1321" s="130">
        <v>24</v>
      </c>
      <c r="P1321" s="130">
        <f>MONTH(Table1[[#This Row],[Date]])</f>
        <v>12</v>
      </c>
      <c r="Q1321" s="130">
        <v>2019</v>
      </c>
      <c r="R1321" s="166">
        <f>IF(ISBLANK(Table1[[#This Row],[Date]]),"",Table1[[#This Row],[Date]]-WEEKDAY(Table1[[#This Row],[Date]],2)+1)</f>
        <v>43822</v>
      </c>
      <c r="S1321" s="131">
        <f>IF(ISBLANK(Table1[[#This Row],[Date]]),"",DATE(Table1[[#This Row],[Date_Year]],Table1[[#This Row],[Date_Month]],1))</f>
        <v>43800</v>
      </c>
    </row>
    <row r="1322" spans="2:19" ht="15.75" x14ac:dyDescent="0.25">
      <c r="B1322" s="133">
        <v>43823</v>
      </c>
      <c r="C1322" s="128" t="s">
        <v>2010</v>
      </c>
      <c r="D1322" s="128" t="s">
        <v>56</v>
      </c>
      <c r="E1322" s="128" t="str" cm="1">
        <f t="array" ref="E1322">IFERROR(INDEX(SubcategoriesTable[Subcategory name],MATCH(Table1[[#This Row],[Category]],SubcategoriesTable[Category name],0),0),"")</f>
        <v>Variable</v>
      </c>
      <c r="F1322" s="134">
        <v>-0.28999999999999998</v>
      </c>
      <c r="G1322" s="167" t="str">
        <f>_xlfn.XLOOKUP(Table1[[#This Row],[Account_ID]], Accounts[ID], Accounts[Account nickname], "Unknown")</f>
        <v>EVERYDAY CHECKING</v>
      </c>
      <c r="H1322" s="137" t="str">
        <f>_xlfn.XLOOKUP(Table1[[#This Row],[Account_ID]], Accounts[ID], Accounts[Account'#], "Unknown")</f>
        <v>4636</v>
      </c>
      <c r="I1322" s="168" t="str">
        <f>_xlfn.XLOOKUP(Table1[[#This Row],[Institution_ID]], Institutions[ID], Institutions[Institution nickname], "Unknown")</f>
        <v>Wells Fargo</v>
      </c>
      <c r="J1322" s="139" t="s">
        <v>2013</v>
      </c>
      <c r="K1322" s="129" t="s">
        <v>1229</v>
      </c>
      <c r="L1322" s="129" t="s">
        <v>1228</v>
      </c>
      <c r="M1322" s="130" t="str" cm="1">
        <f t="array" ref="M1322">IFERROR(INDEX(CategoriesTable[Category type],MATCH(Table1[[#This Row],[Category]],CategoriesTable[Category name],0),0),"")</f>
        <v>Expense</v>
      </c>
      <c r="N1322" s="130" t="str" cm="1">
        <f t="array" ref="N1322">IFERROR(INDEX(SubcategoriesTable[Subcategory name],MATCH(Table1[[#This Row],[Category]],SubcategoriesTable[Category name],0),0),"")</f>
        <v>Variable</v>
      </c>
      <c r="O1322" s="130">
        <v>24</v>
      </c>
      <c r="P1322" s="130">
        <f>MONTH(Table1[[#This Row],[Date]])</f>
        <v>12</v>
      </c>
      <c r="Q1322" s="130">
        <v>2019</v>
      </c>
      <c r="R1322" s="166">
        <f>IF(ISBLANK(Table1[[#This Row],[Date]]),"",Table1[[#This Row],[Date]]-WEEKDAY(Table1[[#This Row],[Date]],2)+1)</f>
        <v>43822</v>
      </c>
      <c r="S1322" s="131">
        <f>IF(ISBLANK(Table1[[#This Row],[Date]]),"",DATE(Table1[[#This Row],[Date_Year]],Table1[[#This Row],[Date_Month]],1))</f>
        <v>43800</v>
      </c>
    </row>
    <row r="1323" spans="2:19" ht="15.75" x14ac:dyDescent="0.25">
      <c r="B1323" s="133">
        <v>43823</v>
      </c>
      <c r="C1323" s="128" t="s">
        <v>2014</v>
      </c>
      <c r="D1323" s="128" t="s">
        <v>46</v>
      </c>
      <c r="E1323" s="128" t="str" cm="1">
        <f t="array" ref="E1323">IFERROR(INDEX(SubcategoriesTable[Subcategory name],MATCH(Table1[[#This Row],[Category]],SubcategoriesTable[Category name],0),0),"")</f>
        <v>Variable</v>
      </c>
      <c r="F1323" s="134">
        <v>-16.2</v>
      </c>
      <c r="G1323" s="167" t="str">
        <f>_xlfn.XLOOKUP(Table1[[#This Row],[Account_ID]], Accounts[ID], Accounts[Account nickname], "Unknown")</f>
        <v>EVERYDAY CHECKING</v>
      </c>
      <c r="H1323" s="137" t="str">
        <f>_xlfn.XLOOKUP(Table1[[#This Row],[Account_ID]], Accounts[ID], Accounts[Account'#], "Unknown")</f>
        <v>4636</v>
      </c>
      <c r="I1323" s="168" t="str">
        <f>_xlfn.XLOOKUP(Table1[[#This Row],[Institution_ID]], Institutions[ID], Institutions[Institution nickname], "Unknown")</f>
        <v>Wells Fargo</v>
      </c>
      <c r="J1323" s="139" t="s">
        <v>2015</v>
      </c>
      <c r="K1323" s="129" t="s">
        <v>1229</v>
      </c>
      <c r="L1323" s="129" t="s">
        <v>1228</v>
      </c>
      <c r="M1323" s="130" t="str" cm="1">
        <f t="array" ref="M1323">IFERROR(INDEX(CategoriesTable[Category type],MATCH(Table1[[#This Row],[Category]],CategoriesTable[Category name],0),0),"")</f>
        <v>Expense</v>
      </c>
      <c r="N1323" s="130" t="str" cm="1">
        <f t="array" ref="N1323">IFERROR(INDEX(SubcategoriesTable[Subcategory name],MATCH(Table1[[#This Row],[Category]],SubcategoriesTable[Category name],0),0),"")</f>
        <v>Variable</v>
      </c>
      <c r="O1323" s="130">
        <v>24</v>
      </c>
      <c r="P1323" s="130">
        <f>MONTH(Table1[[#This Row],[Date]])</f>
        <v>12</v>
      </c>
      <c r="Q1323" s="130">
        <v>2019</v>
      </c>
      <c r="R1323" s="166">
        <f>IF(ISBLANK(Table1[[#This Row],[Date]]),"",Table1[[#This Row],[Date]]-WEEKDAY(Table1[[#This Row],[Date]],2)+1)</f>
        <v>43822</v>
      </c>
      <c r="S1323" s="131">
        <f>IF(ISBLANK(Table1[[#This Row],[Date]]),"",DATE(Table1[[#This Row],[Date_Year]],Table1[[#This Row],[Date_Month]],1))</f>
        <v>43800</v>
      </c>
    </row>
    <row r="1324" spans="2:19" ht="15.75" x14ac:dyDescent="0.25">
      <c r="B1324" s="133">
        <v>43822</v>
      </c>
      <c r="C1324" s="128" t="s">
        <v>1911</v>
      </c>
      <c r="D1324" s="128" t="s">
        <v>45</v>
      </c>
      <c r="E1324" s="128" t="str" cm="1">
        <f t="array" ref="E1324">IFERROR(INDEX(SubcategoriesTable[Subcategory name],MATCH(Table1[[#This Row],[Category]],SubcategoriesTable[Category name],0),0),"")</f>
        <v>Variable</v>
      </c>
      <c r="F1324" s="134">
        <v>-15.19</v>
      </c>
      <c r="G1324" s="167" t="str">
        <f>_xlfn.XLOOKUP(Table1[[#This Row],[Account_ID]], Accounts[ID], Accounts[Account nickname], "Unknown")</f>
        <v>EVERYDAY CHECKING</v>
      </c>
      <c r="H1324" s="137" t="str">
        <f>_xlfn.XLOOKUP(Table1[[#This Row],[Account_ID]], Accounts[ID], Accounts[Account'#], "Unknown")</f>
        <v>4636</v>
      </c>
      <c r="I1324" s="168" t="str">
        <f>_xlfn.XLOOKUP(Table1[[#This Row],[Institution_ID]], Institutions[ID], Institutions[Institution nickname], "Unknown")</f>
        <v>Wells Fargo</v>
      </c>
      <c r="J1324" s="139" t="s">
        <v>2016</v>
      </c>
      <c r="K1324" s="129" t="s">
        <v>1229</v>
      </c>
      <c r="L1324" s="129" t="s">
        <v>1228</v>
      </c>
      <c r="M1324" s="130" t="str" cm="1">
        <f t="array" ref="M1324">IFERROR(INDEX(CategoriesTable[Category type],MATCH(Table1[[#This Row],[Category]],CategoriesTable[Category name],0),0),"")</f>
        <v>Expense</v>
      </c>
      <c r="N1324" s="130" t="str" cm="1">
        <f t="array" ref="N1324">IFERROR(INDEX(SubcategoriesTable[Subcategory name],MATCH(Table1[[#This Row],[Category]],SubcategoriesTable[Category name],0),0),"")</f>
        <v>Variable</v>
      </c>
      <c r="O1324" s="130">
        <v>23</v>
      </c>
      <c r="P1324" s="130">
        <f>MONTH(Table1[[#This Row],[Date]])</f>
        <v>12</v>
      </c>
      <c r="Q1324" s="130">
        <v>2019</v>
      </c>
      <c r="R1324" s="166">
        <f>IF(ISBLANK(Table1[[#This Row],[Date]]),"",Table1[[#This Row],[Date]]-WEEKDAY(Table1[[#This Row],[Date]],2)+1)</f>
        <v>43822</v>
      </c>
      <c r="S1324" s="131">
        <f>IF(ISBLANK(Table1[[#This Row],[Date]]),"",DATE(Table1[[#This Row],[Date_Year]],Table1[[#This Row],[Date_Month]],1))</f>
        <v>43800</v>
      </c>
    </row>
    <row r="1325" spans="2:19" ht="15.75" x14ac:dyDescent="0.25">
      <c r="B1325" s="133">
        <v>43822</v>
      </c>
      <c r="C1325" s="128" t="s">
        <v>508</v>
      </c>
      <c r="D1325" s="128" t="s">
        <v>50</v>
      </c>
      <c r="E1325" s="128" t="str" cm="1">
        <f t="array" ref="E1325">IFERROR(INDEX(SubcategoriesTable[Subcategory name],MATCH(Table1[[#This Row],[Category]],SubcategoriesTable[Category name],0),0),"")</f>
        <v>Variable</v>
      </c>
      <c r="F1325" s="134">
        <v>-890</v>
      </c>
      <c r="G1325" s="167" t="str">
        <f>_xlfn.XLOOKUP(Table1[[#This Row],[Account_ID]], Accounts[ID], Accounts[Account nickname], "Unknown")</f>
        <v>EVERYDAY CHECKING</v>
      </c>
      <c r="H1325" s="137" t="str">
        <f>_xlfn.XLOOKUP(Table1[[#This Row],[Account_ID]], Accounts[ID], Accounts[Account'#], "Unknown")</f>
        <v>4636</v>
      </c>
      <c r="I1325" s="168" t="str">
        <f>_xlfn.XLOOKUP(Table1[[#This Row],[Institution_ID]], Institutions[ID], Institutions[Institution nickname], "Unknown")</f>
        <v>Wells Fargo</v>
      </c>
      <c r="J1325" s="139" t="s">
        <v>2017</v>
      </c>
      <c r="K1325" s="129" t="s">
        <v>1229</v>
      </c>
      <c r="L1325" s="129" t="s">
        <v>1228</v>
      </c>
      <c r="M1325" s="130" t="str" cm="1">
        <f t="array" ref="M1325">IFERROR(INDEX(CategoriesTable[Category type],MATCH(Table1[[#This Row],[Category]],CategoriesTable[Category name],0),0),"")</f>
        <v>Transfer</v>
      </c>
      <c r="N1325" s="130" t="str" cm="1">
        <f t="array" ref="N1325">IFERROR(INDEX(SubcategoriesTable[Subcategory name],MATCH(Table1[[#This Row],[Category]],SubcategoriesTable[Category name],0),0),"")</f>
        <v>Variable</v>
      </c>
      <c r="O1325" s="130">
        <v>23</v>
      </c>
      <c r="P1325" s="130">
        <f>MONTH(Table1[[#This Row],[Date]])</f>
        <v>12</v>
      </c>
      <c r="Q1325" s="130">
        <v>2019</v>
      </c>
      <c r="R1325" s="166">
        <f>IF(ISBLANK(Table1[[#This Row],[Date]]),"",Table1[[#This Row],[Date]]-WEEKDAY(Table1[[#This Row],[Date]],2)+1)</f>
        <v>43822</v>
      </c>
      <c r="S1325" s="131">
        <f>IF(ISBLANK(Table1[[#This Row],[Date]]),"",DATE(Table1[[#This Row],[Date_Year]],Table1[[#This Row],[Date_Month]],1))</f>
        <v>43800</v>
      </c>
    </row>
    <row r="1326" spans="2:19" ht="15.75" x14ac:dyDescent="0.25">
      <c r="B1326" s="133">
        <v>43821</v>
      </c>
      <c r="C1326" s="128" t="s">
        <v>2018</v>
      </c>
      <c r="D1326" s="128" t="s">
        <v>45</v>
      </c>
      <c r="E1326" s="128" t="str" cm="1">
        <f t="array" ref="E1326">IFERROR(INDEX(SubcategoriesTable[Subcategory name],MATCH(Table1[[#This Row],[Category]],SubcategoriesTable[Category name],0),0),"")</f>
        <v>Variable</v>
      </c>
      <c r="F1326" s="134">
        <v>-23.38</v>
      </c>
      <c r="G1326" s="167" t="str">
        <f>_xlfn.XLOOKUP(Table1[[#This Row],[Account_ID]], Accounts[ID], Accounts[Account nickname], "Unknown")</f>
        <v>EVERYDAY CHECKING</v>
      </c>
      <c r="H1326" s="137" t="str">
        <f>_xlfn.XLOOKUP(Table1[[#This Row],[Account_ID]], Accounts[ID], Accounts[Account'#], "Unknown")</f>
        <v>4636</v>
      </c>
      <c r="I1326" s="168" t="str">
        <f>_xlfn.XLOOKUP(Table1[[#This Row],[Institution_ID]], Institutions[ID], Institutions[Institution nickname], "Unknown")</f>
        <v>Wells Fargo</v>
      </c>
      <c r="J1326" s="139" t="s">
        <v>2019</v>
      </c>
      <c r="K1326" s="129" t="s">
        <v>1229</v>
      </c>
      <c r="L1326" s="129" t="s">
        <v>1228</v>
      </c>
      <c r="M1326" s="130" t="str" cm="1">
        <f t="array" ref="M1326">IFERROR(INDEX(CategoriesTable[Category type],MATCH(Table1[[#This Row],[Category]],CategoriesTable[Category name],0),0),"")</f>
        <v>Expense</v>
      </c>
      <c r="N1326" s="130" t="str" cm="1">
        <f t="array" ref="N1326">IFERROR(INDEX(SubcategoriesTable[Subcategory name],MATCH(Table1[[#This Row],[Category]],SubcategoriesTable[Category name],0),0),"")</f>
        <v>Variable</v>
      </c>
      <c r="O1326" s="130">
        <v>22</v>
      </c>
      <c r="P1326" s="130">
        <f>MONTH(Table1[[#This Row],[Date]])</f>
        <v>12</v>
      </c>
      <c r="Q1326" s="130">
        <v>2019</v>
      </c>
      <c r="R1326" s="166">
        <f>IF(ISBLANK(Table1[[#This Row],[Date]]),"",Table1[[#This Row],[Date]]-WEEKDAY(Table1[[#This Row],[Date]],2)+1)</f>
        <v>43815</v>
      </c>
      <c r="S1326" s="131">
        <f>IF(ISBLANK(Table1[[#This Row],[Date]]),"",DATE(Table1[[#This Row],[Date_Year]],Table1[[#This Row],[Date_Month]],1))</f>
        <v>43800</v>
      </c>
    </row>
    <row r="1327" spans="2:19" ht="15.75" x14ac:dyDescent="0.25">
      <c r="B1327" s="133">
        <v>43821</v>
      </c>
      <c r="C1327" s="128" t="s">
        <v>2020</v>
      </c>
      <c r="D1327" s="128" t="s">
        <v>45</v>
      </c>
      <c r="E1327" s="128" t="str" cm="1">
        <f t="array" ref="E1327">IFERROR(INDEX(SubcategoriesTable[Subcategory name],MATCH(Table1[[#This Row],[Category]],SubcategoriesTable[Category name],0),0),"")</f>
        <v>Variable</v>
      </c>
      <c r="F1327" s="134">
        <v>-80</v>
      </c>
      <c r="G1327" s="167" t="str">
        <f>_xlfn.XLOOKUP(Table1[[#This Row],[Account_ID]], Accounts[ID], Accounts[Account nickname], "Unknown")</f>
        <v>EVERYDAY CHECKING</v>
      </c>
      <c r="H1327" s="137" t="str">
        <f>_xlfn.XLOOKUP(Table1[[#This Row],[Account_ID]], Accounts[ID], Accounts[Account'#], "Unknown")</f>
        <v>4636</v>
      </c>
      <c r="I1327" s="168" t="str">
        <f>_xlfn.XLOOKUP(Table1[[#This Row],[Institution_ID]], Institutions[ID], Institutions[Institution nickname], "Unknown")</f>
        <v>Wells Fargo</v>
      </c>
      <c r="J1327" s="139" t="s">
        <v>2021</v>
      </c>
      <c r="K1327" s="129" t="s">
        <v>1229</v>
      </c>
      <c r="L1327" s="129" t="s">
        <v>1228</v>
      </c>
      <c r="M1327" s="130" t="str" cm="1">
        <f t="array" ref="M1327">IFERROR(INDEX(CategoriesTable[Category type],MATCH(Table1[[#This Row],[Category]],CategoriesTable[Category name],0),0),"")</f>
        <v>Expense</v>
      </c>
      <c r="N1327" s="130" t="str" cm="1">
        <f t="array" ref="N1327">IFERROR(INDEX(SubcategoriesTable[Subcategory name],MATCH(Table1[[#This Row],[Category]],SubcategoriesTable[Category name],0),0),"")</f>
        <v>Variable</v>
      </c>
      <c r="O1327" s="130">
        <v>22</v>
      </c>
      <c r="P1327" s="130">
        <f>MONTH(Table1[[#This Row],[Date]])</f>
        <v>12</v>
      </c>
      <c r="Q1327" s="130">
        <v>2019</v>
      </c>
      <c r="R1327" s="166">
        <f>IF(ISBLANK(Table1[[#This Row],[Date]]),"",Table1[[#This Row],[Date]]-WEEKDAY(Table1[[#This Row],[Date]],2)+1)</f>
        <v>43815</v>
      </c>
      <c r="S1327" s="131">
        <f>IF(ISBLANK(Table1[[#This Row],[Date]]),"",DATE(Table1[[#This Row],[Date_Year]],Table1[[#This Row],[Date_Month]],1))</f>
        <v>43800</v>
      </c>
    </row>
    <row r="1328" spans="2:19" ht="15.75" x14ac:dyDescent="0.25">
      <c r="B1328" s="133">
        <v>43821</v>
      </c>
      <c r="C1328" s="128" t="s">
        <v>2022</v>
      </c>
      <c r="D1328" s="128" t="s">
        <v>45</v>
      </c>
      <c r="E1328" s="128" t="str" cm="1">
        <f t="array" ref="E1328">IFERROR(INDEX(SubcategoriesTable[Subcategory name],MATCH(Table1[[#This Row],[Category]],SubcategoriesTable[Category name],0),0),"")</f>
        <v>Variable</v>
      </c>
      <c r="F1328" s="134">
        <v>-11.19</v>
      </c>
      <c r="G1328" s="167" t="str">
        <f>_xlfn.XLOOKUP(Table1[[#This Row],[Account_ID]], Accounts[ID], Accounts[Account nickname], "Unknown")</f>
        <v>EVERYDAY CHECKING</v>
      </c>
      <c r="H1328" s="137" t="str">
        <f>_xlfn.XLOOKUP(Table1[[#This Row],[Account_ID]], Accounts[ID], Accounts[Account'#], "Unknown")</f>
        <v>4636</v>
      </c>
      <c r="I1328" s="168" t="str">
        <f>_xlfn.XLOOKUP(Table1[[#This Row],[Institution_ID]], Institutions[ID], Institutions[Institution nickname], "Unknown")</f>
        <v>Wells Fargo</v>
      </c>
      <c r="J1328" s="139" t="s">
        <v>2023</v>
      </c>
      <c r="K1328" s="129" t="s">
        <v>1229</v>
      </c>
      <c r="L1328" s="129" t="s">
        <v>1228</v>
      </c>
      <c r="M1328" s="130" t="str" cm="1">
        <f t="array" ref="M1328">IFERROR(INDEX(CategoriesTable[Category type],MATCH(Table1[[#This Row],[Category]],CategoriesTable[Category name],0),0),"")</f>
        <v>Expense</v>
      </c>
      <c r="N1328" s="130" t="str" cm="1">
        <f t="array" ref="N1328">IFERROR(INDEX(SubcategoriesTable[Subcategory name],MATCH(Table1[[#This Row],[Category]],SubcategoriesTable[Category name],0),0),"")</f>
        <v>Variable</v>
      </c>
      <c r="O1328" s="130">
        <v>22</v>
      </c>
      <c r="P1328" s="130">
        <f>MONTH(Table1[[#This Row],[Date]])</f>
        <v>12</v>
      </c>
      <c r="Q1328" s="130">
        <v>2019</v>
      </c>
      <c r="R1328" s="166">
        <f>IF(ISBLANK(Table1[[#This Row],[Date]]),"",Table1[[#This Row],[Date]]-WEEKDAY(Table1[[#This Row],[Date]],2)+1)</f>
        <v>43815</v>
      </c>
      <c r="S1328" s="131">
        <f>IF(ISBLANK(Table1[[#This Row],[Date]]),"",DATE(Table1[[#This Row],[Date_Year]],Table1[[#This Row],[Date_Month]],1))</f>
        <v>43800</v>
      </c>
    </row>
    <row r="1329" spans="2:19" ht="15.75" x14ac:dyDescent="0.25">
      <c r="B1329" s="133">
        <v>43821</v>
      </c>
      <c r="C1329" s="128" t="s">
        <v>763</v>
      </c>
      <c r="D1329" s="128" t="s">
        <v>52</v>
      </c>
      <c r="E1329" s="128" t="str" cm="1">
        <f t="array" ref="E1329">IFERROR(INDEX(SubcategoriesTable[Subcategory name],MATCH(Table1[[#This Row],[Category]],SubcategoriesTable[Category name],0),0),"")</f>
        <v>Variable</v>
      </c>
      <c r="F1329" s="134">
        <v>-24.61</v>
      </c>
      <c r="G1329" s="167" t="str">
        <f>_xlfn.XLOOKUP(Table1[[#This Row],[Account_ID]], Accounts[ID], Accounts[Account nickname], "Unknown")</f>
        <v>EVERYDAY CHECKING</v>
      </c>
      <c r="H1329" s="137" t="str">
        <f>_xlfn.XLOOKUP(Table1[[#This Row],[Account_ID]], Accounts[ID], Accounts[Account'#], "Unknown")</f>
        <v>4636</v>
      </c>
      <c r="I1329" s="168" t="str">
        <f>_xlfn.XLOOKUP(Table1[[#This Row],[Institution_ID]], Institutions[ID], Institutions[Institution nickname], "Unknown")</f>
        <v>Wells Fargo</v>
      </c>
      <c r="J1329" s="139" t="s">
        <v>2024</v>
      </c>
      <c r="K1329" s="129" t="s">
        <v>1229</v>
      </c>
      <c r="L1329" s="129" t="s">
        <v>1228</v>
      </c>
      <c r="M1329" s="130" t="str" cm="1">
        <f t="array" ref="M1329">IFERROR(INDEX(CategoriesTable[Category type],MATCH(Table1[[#This Row],[Category]],CategoriesTable[Category name],0),0),"")</f>
        <v>Expense</v>
      </c>
      <c r="N1329" s="130" t="str" cm="1">
        <f t="array" ref="N1329">IFERROR(INDEX(SubcategoriesTable[Subcategory name],MATCH(Table1[[#This Row],[Category]],SubcategoriesTable[Category name],0),0),"")</f>
        <v>Variable</v>
      </c>
      <c r="O1329" s="130">
        <v>22</v>
      </c>
      <c r="P1329" s="130">
        <f>MONTH(Table1[[#This Row],[Date]])</f>
        <v>12</v>
      </c>
      <c r="Q1329" s="130">
        <v>2019</v>
      </c>
      <c r="R1329" s="166">
        <f>IF(ISBLANK(Table1[[#This Row],[Date]]),"",Table1[[#This Row],[Date]]-WEEKDAY(Table1[[#This Row],[Date]],2)+1)</f>
        <v>43815</v>
      </c>
      <c r="S1329" s="131">
        <f>IF(ISBLANK(Table1[[#This Row],[Date]]),"",DATE(Table1[[#This Row],[Date_Year]],Table1[[#This Row],[Date_Month]],1))</f>
        <v>43800</v>
      </c>
    </row>
    <row r="1330" spans="2:19" ht="15.75" x14ac:dyDescent="0.25">
      <c r="B1330" s="133">
        <v>43821</v>
      </c>
      <c r="C1330" s="128" t="s">
        <v>148</v>
      </c>
      <c r="D1330" s="128" t="s">
        <v>54</v>
      </c>
      <c r="E1330" s="128" t="str" cm="1">
        <f t="array" ref="E1330">IFERROR(INDEX(SubcategoriesTable[Subcategory name],MATCH(Table1[[#This Row],[Category]],SubcategoriesTable[Category name],0),0),"")</f>
        <v>Fixed</v>
      </c>
      <c r="F1330" s="134">
        <v>-9.99</v>
      </c>
      <c r="G1330" s="167" t="str">
        <f>_xlfn.XLOOKUP(Table1[[#This Row],[Account_ID]], Accounts[ID], Accounts[Account nickname], "Unknown")</f>
        <v>EVERYDAY CHECKING</v>
      </c>
      <c r="H1330" s="137" t="str">
        <f>_xlfn.XLOOKUP(Table1[[#This Row],[Account_ID]], Accounts[ID], Accounts[Account'#], "Unknown")</f>
        <v>4636</v>
      </c>
      <c r="I1330" s="168" t="str">
        <f>_xlfn.XLOOKUP(Table1[[#This Row],[Institution_ID]], Institutions[ID], Institutions[Institution nickname], "Unknown")</f>
        <v>Wells Fargo</v>
      </c>
      <c r="J1330" s="139" t="s">
        <v>2025</v>
      </c>
      <c r="K1330" s="129" t="s">
        <v>1229</v>
      </c>
      <c r="L1330" s="129" t="s">
        <v>1228</v>
      </c>
      <c r="M1330" s="130" t="str" cm="1">
        <f t="array" ref="M1330">IFERROR(INDEX(CategoriesTable[Category type],MATCH(Table1[[#This Row],[Category]],CategoriesTable[Category name],0),0),"")</f>
        <v>Expense</v>
      </c>
      <c r="N1330" s="130" t="str" cm="1">
        <f t="array" ref="N1330">IFERROR(INDEX(SubcategoriesTable[Subcategory name],MATCH(Table1[[#This Row],[Category]],SubcategoriesTable[Category name],0),0),"")</f>
        <v>Fixed</v>
      </c>
      <c r="O1330" s="130">
        <v>22</v>
      </c>
      <c r="P1330" s="130">
        <f>MONTH(Table1[[#This Row],[Date]])</f>
        <v>12</v>
      </c>
      <c r="Q1330" s="130">
        <v>2019</v>
      </c>
      <c r="R1330" s="166">
        <f>IF(ISBLANK(Table1[[#This Row],[Date]]),"",Table1[[#This Row],[Date]]-WEEKDAY(Table1[[#This Row],[Date]],2)+1)</f>
        <v>43815</v>
      </c>
      <c r="S1330" s="131">
        <f>IF(ISBLANK(Table1[[#This Row],[Date]]),"",DATE(Table1[[#This Row],[Date_Year]],Table1[[#This Row],[Date_Month]],1))</f>
        <v>43800</v>
      </c>
    </row>
    <row r="1331" spans="2:19" ht="15.75" x14ac:dyDescent="0.25">
      <c r="B1331" s="133">
        <v>43820</v>
      </c>
      <c r="C1331" s="128" t="s">
        <v>169</v>
      </c>
      <c r="D1331" s="128" t="s">
        <v>45</v>
      </c>
      <c r="E1331" s="128" t="str" cm="1">
        <f t="array" ref="E1331">IFERROR(INDEX(SubcategoriesTable[Subcategory name],MATCH(Table1[[#This Row],[Category]],SubcategoriesTable[Category name],0),0),"")</f>
        <v>Variable</v>
      </c>
      <c r="F1331" s="134">
        <v>-17.79</v>
      </c>
      <c r="G1331" s="167" t="str">
        <f>_xlfn.XLOOKUP(Table1[[#This Row],[Account_ID]], Accounts[ID], Accounts[Account nickname], "Unknown")</f>
        <v>EVERYDAY CHECKING</v>
      </c>
      <c r="H1331" s="137" t="str">
        <f>_xlfn.XLOOKUP(Table1[[#This Row],[Account_ID]], Accounts[ID], Accounts[Account'#], "Unknown")</f>
        <v>4636</v>
      </c>
      <c r="I1331" s="168" t="str">
        <f>_xlfn.XLOOKUP(Table1[[#This Row],[Institution_ID]], Institutions[ID], Institutions[Institution nickname], "Unknown")</f>
        <v>Wells Fargo</v>
      </c>
      <c r="J1331" s="139" t="s">
        <v>2026</v>
      </c>
      <c r="K1331" s="129" t="s">
        <v>1229</v>
      </c>
      <c r="L1331" s="129" t="s">
        <v>1228</v>
      </c>
      <c r="M1331" s="130" t="str" cm="1">
        <f t="array" ref="M1331">IFERROR(INDEX(CategoriesTable[Category type],MATCH(Table1[[#This Row],[Category]],CategoriesTable[Category name],0),0),"")</f>
        <v>Expense</v>
      </c>
      <c r="N1331" s="130" t="str" cm="1">
        <f t="array" ref="N1331">IFERROR(INDEX(SubcategoriesTable[Subcategory name],MATCH(Table1[[#This Row],[Category]],SubcategoriesTable[Category name],0),0),"")</f>
        <v>Variable</v>
      </c>
      <c r="O1331" s="130">
        <v>21</v>
      </c>
      <c r="P1331" s="130">
        <f>MONTH(Table1[[#This Row],[Date]])</f>
        <v>12</v>
      </c>
      <c r="Q1331" s="130">
        <v>2019</v>
      </c>
      <c r="R1331" s="166">
        <f>IF(ISBLANK(Table1[[#This Row],[Date]]),"",Table1[[#This Row],[Date]]-WEEKDAY(Table1[[#This Row],[Date]],2)+1)</f>
        <v>43815</v>
      </c>
      <c r="S1331" s="131">
        <f>IF(ISBLANK(Table1[[#This Row],[Date]]),"",DATE(Table1[[#This Row],[Date_Year]],Table1[[#This Row],[Date_Month]],1))</f>
        <v>43800</v>
      </c>
    </row>
    <row r="1332" spans="2:19" ht="15.75" x14ac:dyDescent="0.25">
      <c r="B1332" s="133">
        <v>43820</v>
      </c>
      <c r="C1332" s="128" t="s">
        <v>201</v>
      </c>
      <c r="D1332" s="128" t="s">
        <v>48</v>
      </c>
      <c r="E1332" s="128" t="str" cm="1">
        <f t="array" ref="E1332">IFERROR(INDEX(SubcategoriesTable[Subcategory name],MATCH(Table1[[#This Row],[Category]],SubcategoriesTable[Category name],0),0),"")</f>
        <v>Variable</v>
      </c>
      <c r="F1332" s="134">
        <v>-11.65</v>
      </c>
      <c r="G1332" s="167" t="str">
        <f>_xlfn.XLOOKUP(Table1[[#This Row],[Account_ID]], Accounts[ID], Accounts[Account nickname], "Unknown")</f>
        <v>EVERYDAY CHECKING</v>
      </c>
      <c r="H1332" s="137" t="str">
        <f>_xlfn.XLOOKUP(Table1[[#This Row],[Account_ID]], Accounts[ID], Accounts[Account'#], "Unknown")</f>
        <v>4636</v>
      </c>
      <c r="I1332" s="168" t="str">
        <f>_xlfn.XLOOKUP(Table1[[#This Row],[Institution_ID]], Institutions[ID], Institutions[Institution nickname], "Unknown")</f>
        <v>Wells Fargo</v>
      </c>
      <c r="J1332" s="139" t="s">
        <v>2027</v>
      </c>
      <c r="K1332" s="129" t="s">
        <v>1229</v>
      </c>
      <c r="L1332" s="129" t="s">
        <v>1228</v>
      </c>
      <c r="M1332" s="130" t="str" cm="1">
        <f t="array" ref="M1332">IFERROR(INDEX(CategoriesTable[Category type],MATCH(Table1[[#This Row],[Category]],CategoriesTable[Category name],0),0),"")</f>
        <v>Expense</v>
      </c>
      <c r="N1332" s="130" t="str" cm="1">
        <f t="array" ref="N1332">IFERROR(INDEX(SubcategoriesTable[Subcategory name],MATCH(Table1[[#This Row],[Category]],SubcategoriesTable[Category name],0),0),"")</f>
        <v>Variable</v>
      </c>
      <c r="O1332" s="130">
        <v>21</v>
      </c>
      <c r="P1332" s="130">
        <f>MONTH(Table1[[#This Row],[Date]])</f>
        <v>12</v>
      </c>
      <c r="Q1332" s="130">
        <v>2019</v>
      </c>
      <c r="R1332" s="166">
        <f>IF(ISBLANK(Table1[[#This Row],[Date]]),"",Table1[[#This Row],[Date]]-WEEKDAY(Table1[[#This Row],[Date]],2)+1)</f>
        <v>43815</v>
      </c>
      <c r="S1332" s="131">
        <f>IF(ISBLANK(Table1[[#This Row],[Date]]),"",DATE(Table1[[#This Row],[Date_Year]],Table1[[#This Row],[Date_Month]],1))</f>
        <v>43800</v>
      </c>
    </row>
    <row r="1333" spans="2:19" ht="15.75" x14ac:dyDescent="0.25">
      <c r="B1333" s="133">
        <v>43820</v>
      </c>
      <c r="C1333" s="128" t="s">
        <v>201</v>
      </c>
      <c r="D1333" s="128" t="s">
        <v>48</v>
      </c>
      <c r="E1333" s="128" t="str" cm="1">
        <f t="array" ref="E1333">IFERROR(INDEX(SubcategoriesTable[Subcategory name],MATCH(Table1[[#This Row],[Category]],SubcategoriesTable[Category name],0),0),"")</f>
        <v>Variable</v>
      </c>
      <c r="F1333" s="134">
        <v>-26.49</v>
      </c>
      <c r="G1333" s="167" t="str">
        <f>_xlfn.XLOOKUP(Table1[[#This Row],[Account_ID]], Accounts[ID], Accounts[Account nickname], "Unknown")</f>
        <v>EVERYDAY CHECKING</v>
      </c>
      <c r="H1333" s="137" t="str">
        <f>_xlfn.XLOOKUP(Table1[[#This Row],[Account_ID]], Accounts[ID], Accounts[Account'#], "Unknown")</f>
        <v>4636</v>
      </c>
      <c r="I1333" s="168" t="str">
        <f>_xlfn.XLOOKUP(Table1[[#This Row],[Institution_ID]], Institutions[ID], Institutions[Institution nickname], "Unknown")</f>
        <v>Wells Fargo</v>
      </c>
      <c r="J1333" s="139" t="s">
        <v>2028</v>
      </c>
      <c r="K1333" s="129" t="s">
        <v>1229</v>
      </c>
      <c r="L1333" s="129" t="s">
        <v>1228</v>
      </c>
      <c r="M1333" s="130" t="str" cm="1">
        <f t="array" ref="M1333">IFERROR(INDEX(CategoriesTable[Category type],MATCH(Table1[[#This Row],[Category]],CategoriesTable[Category name],0),0),"")</f>
        <v>Expense</v>
      </c>
      <c r="N1333" s="130" t="str" cm="1">
        <f t="array" ref="N1333">IFERROR(INDEX(SubcategoriesTable[Subcategory name],MATCH(Table1[[#This Row],[Category]],SubcategoriesTable[Category name],0),0),"")</f>
        <v>Variable</v>
      </c>
      <c r="O1333" s="130">
        <v>21</v>
      </c>
      <c r="P1333" s="130">
        <f>MONTH(Table1[[#This Row],[Date]])</f>
        <v>12</v>
      </c>
      <c r="Q1333" s="130">
        <v>2019</v>
      </c>
      <c r="R1333" s="166">
        <f>IF(ISBLANK(Table1[[#This Row],[Date]]),"",Table1[[#This Row],[Date]]-WEEKDAY(Table1[[#This Row],[Date]],2)+1)</f>
        <v>43815</v>
      </c>
      <c r="S1333" s="131">
        <f>IF(ISBLANK(Table1[[#This Row],[Date]]),"",DATE(Table1[[#This Row],[Date_Year]],Table1[[#This Row],[Date_Month]],1))</f>
        <v>43800</v>
      </c>
    </row>
    <row r="1334" spans="2:19" ht="15.75" x14ac:dyDescent="0.25">
      <c r="B1334" s="133">
        <v>43819</v>
      </c>
      <c r="C1334" s="128" t="s">
        <v>256</v>
      </c>
      <c r="D1334" s="128" t="s">
        <v>46</v>
      </c>
      <c r="E1334" s="128" t="str" cm="1">
        <f t="array" ref="E1334">IFERROR(INDEX(SubcategoriesTable[Subcategory name],MATCH(Table1[[#This Row],[Category]],SubcategoriesTable[Category name],0),0),"")</f>
        <v>Variable</v>
      </c>
      <c r="F1334" s="134">
        <v>-27.37</v>
      </c>
      <c r="G1334" s="167" t="str">
        <f>_xlfn.XLOOKUP(Table1[[#This Row],[Account_ID]], Accounts[ID], Accounts[Account nickname], "Unknown")</f>
        <v>EVERYDAY CHECKING</v>
      </c>
      <c r="H1334" s="137" t="str">
        <f>_xlfn.XLOOKUP(Table1[[#This Row],[Account_ID]], Accounts[ID], Accounts[Account'#], "Unknown")</f>
        <v>4636</v>
      </c>
      <c r="I1334" s="168" t="str">
        <f>_xlfn.XLOOKUP(Table1[[#This Row],[Institution_ID]], Institutions[ID], Institutions[Institution nickname], "Unknown")</f>
        <v>Wells Fargo</v>
      </c>
      <c r="J1334" s="139" t="s">
        <v>2029</v>
      </c>
      <c r="K1334" s="129" t="s">
        <v>1229</v>
      </c>
      <c r="L1334" s="129" t="s">
        <v>1228</v>
      </c>
      <c r="M1334" s="130" t="str" cm="1">
        <f t="array" ref="M1334">IFERROR(INDEX(CategoriesTable[Category type],MATCH(Table1[[#This Row],[Category]],CategoriesTable[Category name],0),0),"")</f>
        <v>Expense</v>
      </c>
      <c r="N1334" s="130" t="str" cm="1">
        <f t="array" ref="N1334">IFERROR(INDEX(SubcategoriesTable[Subcategory name],MATCH(Table1[[#This Row],[Category]],SubcategoriesTable[Category name],0),0),"")</f>
        <v>Variable</v>
      </c>
      <c r="O1334" s="130">
        <v>20</v>
      </c>
      <c r="P1334" s="130">
        <f>MONTH(Table1[[#This Row],[Date]])</f>
        <v>12</v>
      </c>
      <c r="Q1334" s="130">
        <v>2019</v>
      </c>
      <c r="R1334" s="166">
        <f>IF(ISBLANK(Table1[[#This Row],[Date]]),"",Table1[[#This Row],[Date]]-WEEKDAY(Table1[[#This Row],[Date]],2)+1)</f>
        <v>43815</v>
      </c>
      <c r="S1334" s="131">
        <f>IF(ISBLANK(Table1[[#This Row],[Date]]),"",DATE(Table1[[#This Row],[Date_Year]],Table1[[#This Row],[Date_Month]],1))</f>
        <v>43800</v>
      </c>
    </row>
    <row r="1335" spans="2:19" ht="15.75" x14ac:dyDescent="0.25">
      <c r="B1335" s="133">
        <v>43819</v>
      </c>
      <c r="C1335" s="128" t="s">
        <v>531</v>
      </c>
      <c r="D1335" s="128" t="s">
        <v>54</v>
      </c>
      <c r="E1335" s="128" t="str" cm="1">
        <f t="array" ref="E1335">IFERROR(INDEX(SubcategoriesTable[Subcategory name],MATCH(Table1[[#This Row],[Category]],SubcategoriesTable[Category name],0),0),"")</f>
        <v>Fixed</v>
      </c>
      <c r="F1335" s="134">
        <v>-2.04</v>
      </c>
      <c r="G1335" s="167" t="str">
        <f>_xlfn.XLOOKUP(Table1[[#This Row],[Account_ID]], Accounts[ID], Accounts[Account nickname], "Unknown")</f>
        <v>EVERYDAY CHECKING</v>
      </c>
      <c r="H1335" s="137" t="str">
        <f>_xlfn.XLOOKUP(Table1[[#This Row],[Account_ID]], Accounts[ID], Accounts[Account'#], "Unknown")</f>
        <v>4636</v>
      </c>
      <c r="I1335" s="168" t="str">
        <f>_xlfn.XLOOKUP(Table1[[#This Row],[Institution_ID]], Institutions[ID], Institutions[Institution nickname], "Unknown")</f>
        <v>Wells Fargo</v>
      </c>
      <c r="J1335" s="139" t="s">
        <v>2030</v>
      </c>
      <c r="K1335" s="129" t="s">
        <v>1229</v>
      </c>
      <c r="L1335" s="129" t="s">
        <v>1228</v>
      </c>
      <c r="M1335" s="130" t="str" cm="1">
        <f t="array" ref="M1335">IFERROR(INDEX(CategoriesTable[Category type],MATCH(Table1[[#This Row],[Category]],CategoriesTable[Category name],0),0),"")</f>
        <v>Expense</v>
      </c>
      <c r="N1335" s="130" t="str" cm="1">
        <f t="array" ref="N1335">IFERROR(INDEX(SubcategoriesTable[Subcategory name],MATCH(Table1[[#This Row],[Category]],SubcategoriesTable[Category name],0),0),"")</f>
        <v>Fixed</v>
      </c>
      <c r="O1335" s="130">
        <v>20</v>
      </c>
      <c r="P1335" s="130">
        <f>MONTH(Table1[[#This Row],[Date]])</f>
        <v>12</v>
      </c>
      <c r="Q1335" s="130">
        <v>2019</v>
      </c>
      <c r="R1335" s="166">
        <f>IF(ISBLANK(Table1[[#This Row],[Date]]),"",Table1[[#This Row],[Date]]-WEEKDAY(Table1[[#This Row],[Date]],2)+1)</f>
        <v>43815</v>
      </c>
      <c r="S1335" s="131">
        <f>IF(ISBLANK(Table1[[#This Row],[Date]]),"",DATE(Table1[[#This Row],[Date_Year]],Table1[[#This Row],[Date_Month]],1))</f>
        <v>43800</v>
      </c>
    </row>
    <row r="1336" spans="2:19" ht="15.75" x14ac:dyDescent="0.25">
      <c r="B1336" s="133">
        <v>43819</v>
      </c>
      <c r="C1336" s="128" t="s">
        <v>2031</v>
      </c>
      <c r="D1336" s="128" t="s">
        <v>45</v>
      </c>
      <c r="E1336" s="128" t="str" cm="1">
        <f t="array" ref="E1336">IFERROR(INDEX(SubcategoriesTable[Subcategory name],MATCH(Table1[[#This Row],[Category]],SubcategoriesTable[Category name],0),0),"")</f>
        <v>Variable</v>
      </c>
      <c r="F1336" s="134">
        <v>-50.1</v>
      </c>
      <c r="G1336" s="167" t="str">
        <f>_xlfn.XLOOKUP(Table1[[#This Row],[Account_ID]], Accounts[ID], Accounts[Account nickname], "Unknown")</f>
        <v>EVERYDAY CHECKING</v>
      </c>
      <c r="H1336" s="137" t="str">
        <f>_xlfn.XLOOKUP(Table1[[#This Row],[Account_ID]], Accounts[ID], Accounts[Account'#], "Unknown")</f>
        <v>4636</v>
      </c>
      <c r="I1336" s="168" t="str">
        <f>_xlfn.XLOOKUP(Table1[[#This Row],[Institution_ID]], Institutions[ID], Institutions[Institution nickname], "Unknown")</f>
        <v>Wells Fargo</v>
      </c>
      <c r="J1336" s="139" t="s">
        <v>2032</v>
      </c>
      <c r="K1336" s="129" t="s">
        <v>1229</v>
      </c>
      <c r="L1336" s="129" t="s">
        <v>1228</v>
      </c>
      <c r="M1336" s="130" t="str" cm="1">
        <f t="array" ref="M1336">IFERROR(INDEX(CategoriesTable[Category type],MATCH(Table1[[#This Row],[Category]],CategoriesTable[Category name],0),0),"")</f>
        <v>Expense</v>
      </c>
      <c r="N1336" s="130" t="str" cm="1">
        <f t="array" ref="N1336">IFERROR(INDEX(SubcategoriesTable[Subcategory name],MATCH(Table1[[#This Row],[Category]],SubcategoriesTable[Category name],0),0),"")</f>
        <v>Variable</v>
      </c>
      <c r="O1336" s="130">
        <v>20</v>
      </c>
      <c r="P1336" s="130">
        <f>MONTH(Table1[[#This Row],[Date]])</f>
        <v>12</v>
      </c>
      <c r="Q1336" s="130">
        <v>2019</v>
      </c>
      <c r="R1336" s="166">
        <f>IF(ISBLANK(Table1[[#This Row],[Date]]),"",Table1[[#This Row],[Date]]-WEEKDAY(Table1[[#This Row],[Date]],2)+1)</f>
        <v>43815</v>
      </c>
      <c r="S1336" s="131">
        <f>IF(ISBLANK(Table1[[#This Row],[Date]]),"",DATE(Table1[[#This Row],[Date_Year]],Table1[[#This Row],[Date_Month]],1))</f>
        <v>43800</v>
      </c>
    </row>
    <row r="1337" spans="2:19" ht="15.75" x14ac:dyDescent="0.25">
      <c r="B1337" s="133">
        <v>43819</v>
      </c>
      <c r="C1337" s="128" t="s">
        <v>2033</v>
      </c>
      <c r="D1337" s="128" t="s">
        <v>45</v>
      </c>
      <c r="E1337" s="128" t="str" cm="1">
        <f t="array" ref="E1337">IFERROR(INDEX(SubcategoriesTable[Subcategory name],MATCH(Table1[[#This Row],[Category]],SubcategoriesTable[Category name],0),0),"")</f>
        <v>Variable</v>
      </c>
      <c r="F1337" s="134">
        <v>-19.760000000000002</v>
      </c>
      <c r="G1337" s="167" t="str">
        <f>_xlfn.XLOOKUP(Table1[[#This Row],[Account_ID]], Accounts[ID], Accounts[Account nickname], "Unknown")</f>
        <v>EVERYDAY CHECKING</v>
      </c>
      <c r="H1337" s="137" t="str">
        <f>_xlfn.XLOOKUP(Table1[[#This Row],[Account_ID]], Accounts[ID], Accounts[Account'#], "Unknown")</f>
        <v>4636</v>
      </c>
      <c r="I1337" s="168" t="str">
        <f>_xlfn.XLOOKUP(Table1[[#This Row],[Institution_ID]], Institutions[ID], Institutions[Institution nickname], "Unknown")</f>
        <v>Wells Fargo</v>
      </c>
      <c r="J1337" s="139" t="s">
        <v>2034</v>
      </c>
      <c r="K1337" s="129" t="s">
        <v>1229</v>
      </c>
      <c r="L1337" s="129" t="s">
        <v>1228</v>
      </c>
      <c r="M1337" s="130" t="str" cm="1">
        <f t="array" ref="M1337">IFERROR(INDEX(CategoriesTable[Category type],MATCH(Table1[[#This Row],[Category]],CategoriesTable[Category name],0),0),"")</f>
        <v>Expense</v>
      </c>
      <c r="N1337" s="130" t="str" cm="1">
        <f t="array" ref="N1337">IFERROR(INDEX(SubcategoriesTable[Subcategory name],MATCH(Table1[[#This Row],[Category]],SubcategoriesTable[Category name],0),0),"")</f>
        <v>Variable</v>
      </c>
      <c r="O1337" s="130">
        <v>20</v>
      </c>
      <c r="P1337" s="130">
        <f>MONTH(Table1[[#This Row],[Date]])</f>
        <v>12</v>
      </c>
      <c r="Q1337" s="130">
        <v>2019</v>
      </c>
      <c r="R1337" s="166">
        <f>IF(ISBLANK(Table1[[#This Row],[Date]]),"",Table1[[#This Row],[Date]]-WEEKDAY(Table1[[#This Row],[Date]],2)+1)</f>
        <v>43815</v>
      </c>
      <c r="S1337" s="131">
        <f>IF(ISBLANK(Table1[[#This Row],[Date]]),"",DATE(Table1[[#This Row],[Date_Year]],Table1[[#This Row],[Date_Month]],1))</f>
        <v>43800</v>
      </c>
    </row>
    <row r="1338" spans="2:19" ht="15.75" x14ac:dyDescent="0.25">
      <c r="B1338" s="133">
        <v>43819</v>
      </c>
      <c r="C1338" s="128" t="s">
        <v>2035</v>
      </c>
      <c r="D1338" s="128" t="s">
        <v>48</v>
      </c>
      <c r="E1338" s="128" t="str" cm="1">
        <f t="array" ref="E1338">IFERROR(INDEX(SubcategoriesTable[Subcategory name],MATCH(Table1[[#This Row],[Category]],SubcategoriesTable[Category name],0),0),"")</f>
        <v>Variable</v>
      </c>
      <c r="F1338" s="134">
        <v>-204.96</v>
      </c>
      <c r="G1338" s="167" t="str">
        <f>_xlfn.XLOOKUP(Table1[[#This Row],[Account_ID]], Accounts[ID], Accounts[Account nickname], "Unknown")</f>
        <v>EVERYDAY CHECKING</v>
      </c>
      <c r="H1338" s="137" t="str">
        <f>_xlfn.XLOOKUP(Table1[[#This Row],[Account_ID]], Accounts[ID], Accounts[Account'#], "Unknown")</f>
        <v>4636</v>
      </c>
      <c r="I1338" s="168" t="str">
        <f>_xlfn.XLOOKUP(Table1[[#This Row],[Institution_ID]], Institutions[ID], Institutions[Institution nickname], "Unknown")</f>
        <v>Wells Fargo</v>
      </c>
      <c r="J1338" s="139" t="s">
        <v>2036</v>
      </c>
      <c r="K1338" s="129" t="s">
        <v>1229</v>
      </c>
      <c r="L1338" s="129" t="s">
        <v>1228</v>
      </c>
      <c r="M1338" s="130" t="str" cm="1">
        <f t="array" ref="M1338">IFERROR(INDEX(CategoriesTable[Category type],MATCH(Table1[[#This Row],[Category]],CategoriesTable[Category name],0),0),"")</f>
        <v>Expense</v>
      </c>
      <c r="N1338" s="130" t="str" cm="1">
        <f t="array" ref="N1338">IFERROR(INDEX(SubcategoriesTable[Subcategory name],MATCH(Table1[[#This Row],[Category]],SubcategoriesTable[Category name],0),0),"")</f>
        <v>Variable</v>
      </c>
      <c r="O1338" s="130">
        <v>20</v>
      </c>
      <c r="P1338" s="130">
        <f>MONTH(Table1[[#This Row],[Date]])</f>
        <v>12</v>
      </c>
      <c r="Q1338" s="130">
        <v>2019</v>
      </c>
      <c r="R1338" s="166">
        <f>IF(ISBLANK(Table1[[#This Row],[Date]]),"",Table1[[#This Row],[Date]]-WEEKDAY(Table1[[#This Row],[Date]],2)+1)</f>
        <v>43815</v>
      </c>
      <c r="S1338" s="131">
        <f>IF(ISBLANK(Table1[[#This Row],[Date]]),"",DATE(Table1[[#This Row],[Date_Year]],Table1[[#This Row],[Date_Month]],1))</f>
        <v>43800</v>
      </c>
    </row>
    <row r="1339" spans="2:19" ht="15.75" x14ac:dyDescent="0.25">
      <c r="B1339" s="133">
        <v>43819</v>
      </c>
      <c r="C1339" s="128" t="s">
        <v>1181</v>
      </c>
      <c r="D1339" s="128" t="s">
        <v>59</v>
      </c>
      <c r="E1339" s="128" t="str" cm="1">
        <f t="array" ref="E1339">IFERROR(INDEX(SubcategoriesTable[Subcategory name],MATCH(Table1[[#This Row],[Category]],SubcategoriesTable[Category name],0),0),"")</f>
        <v>Fixed</v>
      </c>
      <c r="F1339" s="134">
        <v>1412.53</v>
      </c>
      <c r="G1339" s="167" t="str">
        <f>_xlfn.XLOOKUP(Table1[[#This Row],[Account_ID]], Accounts[ID], Accounts[Account nickname], "Unknown")</f>
        <v>EVERYDAY CHECKING</v>
      </c>
      <c r="H1339" s="137" t="str">
        <f>_xlfn.XLOOKUP(Table1[[#This Row],[Account_ID]], Accounts[ID], Accounts[Account'#], "Unknown")</f>
        <v>4636</v>
      </c>
      <c r="I1339" s="168" t="str">
        <f>_xlfn.XLOOKUP(Table1[[#This Row],[Institution_ID]], Institutions[ID], Institutions[Institution nickname], "Unknown")</f>
        <v>Wells Fargo</v>
      </c>
      <c r="J1339" s="139" t="s">
        <v>2037</v>
      </c>
      <c r="K1339" s="129" t="s">
        <v>1229</v>
      </c>
      <c r="L1339" s="129" t="s">
        <v>1228</v>
      </c>
      <c r="M1339" s="130" t="str" cm="1">
        <f t="array" ref="M1339">IFERROR(INDEX(CategoriesTable[Category type],MATCH(Table1[[#This Row],[Category]],CategoriesTable[Category name],0),0),"")</f>
        <v>Income</v>
      </c>
      <c r="N1339" s="130" t="str" cm="1">
        <f t="array" ref="N1339">IFERROR(INDEX(SubcategoriesTable[Subcategory name],MATCH(Table1[[#This Row],[Category]],SubcategoriesTable[Category name],0),0),"")</f>
        <v>Fixed</v>
      </c>
      <c r="O1339" s="130">
        <v>20</v>
      </c>
      <c r="P1339" s="130">
        <f>MONTH(Table1[[#This Row],[Date]])</f>
        <v>12</v>
      </c>
      <c r="Q1339" s="130">
        <v>2019</v>
      </c>
      <c r="R1339" s="166">
        <f>IF(ISBLANK(Table1[[#This Row],[Date]]),"",Table1[[#This Row],[Date]]-WEEKDAY(Table1[[#This Row],[Date]],2)+1)</f>
        <v>43815</v>
      </c>
      <c r="S1339" s="131">
        <f>IF(ISBLANK(Table1[[#This Row],[Date]]),"",DATE(Table1[[#This Row],[Date_Year]],Table1[[#This Row],[Date_Month]],1))</f>
        <v>43800</v>
      </c>
    </row>
    <row r="1340" spans="2:19" ht="15.75" x14ac:dyDescent="0.25">
      <c r="B1340" s="133">
        <v>43818</v>
      </c>
      <c r="C1340" s="128" t="s">
        <v>531</v>
      </c>
      <c r="D1340" s="128" t="s">
        <v>54</v>
      </c>
      <c r="E1340" s="128" t="str" cm="1">
        <f t="array" ref="E1340">IFERROR(INDEX(SubcategoriesTable[Subcategory name],MATCH(Table1[[#This Row],[Category]],SubcategoriesTable[Category name],0),0),"")</f>
        <v>Fixed</v>
      </c>
      <c r="F1340" s="134">
        <v>-4.5199999999999996</v>
      </c>
      <c r="G1340" s="167" t="str">
        <f>_xlfn.XLOOKUP(Table1[[#This Row],[Account_ID]], Accounts[ID], Accounts[Account nickname], "Unknown")</f>
        <v>EVERYDAY CHECKING</v>
      </c>
      <c r="H1340" s="137" t="str">
        <f>_xlfn.XLOOKUP(Table1[[#This Row],[Account_ID]], Accounts[ID], Accounts[Account'#], "Unknown")</f>
        <v>4636</v>
      </c>
      <c r="I1340" s="168" t="str">
        <f>_xlfn.XLOOKUP(Table1[[#This Row],[Institution_ID]], Institutions[ID], Institutions[Institution nickname], "Unknown")</f>
        <v>Wells Fargo</v>
      </c>
      <c r="J1340" s="139" t="s">
        <v>2038</v>
      </c>
      <c r="K1340" s="129" t="s">
        <v>1229</v>
      </c>
      <c r="L1340" s="129" t="s">
        <v>1228</v>
      </c>
      <c r="M1340" s="130" t="str" cm="1">
        <f t="array" ref="M1340">IFERROR(INDEX(CategoriesTable[Category type],MATCH(Table1[[#This Row],[Category]],CategoriesTable[Category name],0),0),"")</f>
        <v>Expense</v>
      </c>
      <c r="N1340" s="130" t="str" cm="1">
        <f t="array" ref="N1340">IFERROR(INDEX(SubcategoriesTable[Subcategory name],MATCH(Table1[[#This Row],[Category]],SubcategoriesTable[Category name],0),0),"")</f>
        <v>Fixed</v>
      </c>
      <c r="O1340" s="130">
        <v>19</v>
      </c>
      <c r="P1340" s="130">
        <f>MONTH(Table1[[#This Row],[Date]])</f>
        <v>12</v>
      </c>
      <c r="Q1340" s="130">
        <v>2019</v>
      </c>
      <c r="R1340" s="166">
        <f>IF(ISBLANK(Table1[[#This Row],[Date]]),"",Table1[[#This Row],[Date]]-WEEKDAY(Table1[[#This Row],[Date]],2)+1)</f>
        <v>43815</v>
      </c>
      <c r="S1340" s="131">
        <f>IF(ISBLANK(Table1[[#This Row],[Date]]),"",DATE(Table1[[#This Row],[Date_Year]],Table1[[#This Row],[Date_Month]],1))</f>
        <v>43800</v>
      </c>
    </row>
    <row r="1341" spans="2:19" ht="15.75" x14ac:dyDescent="0.25">
      <c r="B1341" s="133">
        <v>43818</v>
      </c>
      <c r="C1341" s="128" t="s">
        <v>167</v>
      </c>
      <c r="D1341" s="128" t="s">
        <v>52</v>
      </c>
      <c r="E1341" s="128" t="str" cm="1">
        <f t="array" ref="E1341">IFERROR(INDEX(SubcategoriesTable[Subcategory name],MATCH(Table1[[#This Row],[Category]],SubcategoriesTable[Category name],0),0),"")</f>
        <v>Variable</v>
      </c>
      <c r="F1341" s="134">
        <v>-23.43</v>
      </c>
      <c r="G1341" s="167" t="str">
        <f>_xlfn.XLOOKUP(Table1[[#This Row],[Account_ID]], Accounts[ID], Accounts[Account nickname], "Unknown")</f>
        <v>EVERYDAY CHECKING</v>
      </c>
      <c r="H1341" s="137" t="str">
        <f>_xlfn.XLOOKUP(Table1[[#This Row],[Account_ID]], Accounts[ID], Accounts[Account'#], "Unknown")</f>
        <v>4636</v>
      </c>
      <c r="I1341" s="168" t="str">
        <f>_xlfn.XLOOKUP(Table1[[#This Row],[Institution_ID]], Institutions[ID], Institutions[Institution nickname], "Unknown")</f>
        <v>Wells Fargo</v>
      </c>
      <c r="J1341" s="139" t="s">
        <v>2039</v>
      </c>
      <c r="K1341" s="129" t="s">
        <v>1229</v>
      </c>
      <c r="L1341" s="129" t="s">
        <v>1228</v>
      </c>
      <c r="M1341" s="130" t="str" cm="1">
        <f t="array" ref="M1341">IFERROR(INDEX(CategoriesTable[Category type],MATCH(Table1[[#This Row],[Category]],CategoriesTable[Category name],0),0),"")</f>
        <v>Expense</v>
      </c>
      <c r="N1341" s="130" t="str" cm="1">
        <f t="array" ref="N1341">IFERROR(INDEX(SubcategoriesTable[Subcategory name],MATCH(Table1[[#This Row],[Category]],SubcategoriesTable[Category name],0),0),"")</f>
        <v>Variable</v>
      </c>
      <c r="O1341" s="130">
        <v>19</v>
      </c>
      <c r="P1341" s="130">
        <f>MONTH(Table1[[#This Row],[Date]])</f>
        <v>12</v>
      </c>
      <c r="Q1341" s="130">
        <v>2019</v>
      </c>
      <c r="R1341" s="166">
        <f>IF(ISBLANK(Table1[[#This Row],[Date]]),"",Table1[[#This Row],[Date]]-WEEKDAY(Table1[[#This Row],[Date]],2)+1)</f>
        <v>43815</v>
      </c>
      <c r="S1341" s="131">
        <f>IF(ISBLANK(Table1[[#This Row],[Date]]),"",DATE(Table1[[#This Row],[Date_Year]],Table1[[#This Row],[Date_Month]],1))</f>
        <v>43800</v>
      </c>
    </row>
    <row r="1342" spans="2:19" ht="15.75" x14ac:dyDescent="0.25">
      <c r="B1342" s="133">
        <v>43818</v>
      </c>
      <c r="C1342" s="128" t="s">
        <v>242</v>
      </c>
      <c r="D1342" s="128" t="s">
        <v>46</v>
      </c>
      <c r="E1342" s="128" t="str" cm="1">
        <f t="array" ref="E1342">IFERROR(INDEX(SubcategoriesTable[Subcategory name],MATCH(Table1[[#This Row],[Category]],SubcategoriesTable[Category name],0),0),"")</f>
        <v>Variable</v>
      </c>
      <c r="F1342" s="134">
        <v>-76.27</v>
      </c>
      <c r="G1342" s="167" t="str">
        <f>_xlfn.XLOOKUP(Table1[[#This Row],[Account_ID]], Accounts[ID], Accounts[Account nickname], "Unknown")</f>
        <v>EVERYDAY CHECKING</v>
      </c>
      <c r="H1342" s="137" t="str">
        <f>_xlfn.XLOOKUP(Table1[[#This Row],[Account_ID]], Accounts[ID], Accounts[Account'#], "Unknown")</f>
        <v>4636</v>
      </c>
      <c r="I1342" s="168" t="str">
        <f>_xlfn.XLOOKUP(Table1[[#This Row],[Institution_ID]], Institutions[ID], Institutions[Institution nickname], "Unknown")</f>
        <v>Wells Fargo</v>
      </c>
      <c r="J1342" s="139" t="s">
        <v>2040</v>
      </c>
      <c r="K1342" s="129" t="s">
        <v>1229</v>
      </c>
      <c r="L1342" s="129" t="s">
        <v>1228</v>
      </c>
      <c r="M1342" s="130" t="str" cm="1">
        <f t="array" ref="M1342">IFERROR(INDEX(CategoriesTable[Category type],MATCH(Table1[[#This Row],[Category]],CategoriesTable[Category name],0),0),"")</f>
        <v>Expense</v>
      </c>
      <c r="N1342" s="130" t="str" cm="1">
        <f t="array" ref="N1342">IFERROR(INDEX(SubcategoriesTable[Subcategory name],MATCH(Table1[[#This Row],[Category]],SubcategoriesTable[Category name],0),0),"")</f>
        <v>Variable</v>
      </c>
      <c r="O1342" s="130">
        <v>19</v>
      </c>
      <c r="P1342" s="130">
        <f>MONTH(Table1[[#This Row],[Date]])</f>
        <v>12</v>
      </c>
      <c r="Q1342" s="130">
        <v>2019</v>
      </c>
      <c r="R1342" s="166">
        <f>IF(ISBLANK(Table1[[#This Row],[Date]]),"",Table1[[#This Row],[Date]]-WEEKDAY(Table1[[#This Row],[Date]],2)+1)</f>
        <v>43815</v>
      </c>
      <c r="S1342" s="131">
        <f>IF(ISBLANK(Table1[[#This Row],[Date]]),"",DATE(Table1[[#This Row],[Date_Year]],Table1[[#This Row],[Date_Month]],1))</f>
        <v>43800</v>
      </c>
    </row>
    <row r="1343" spans="2:19" ht="15.75" x14ac:dyDescent="0.25">
      <c r="B1343" s="133">
        <v>43817</v>
      </c>
      <c r="C1343" s="128" t="s">
        <v>496</v>
      </c>
      <c r="D1343" s="128" t="s">
        <v>45</v>
      </c>
      <c r="E1343" s="128" t="str" cm="1">
        <f t="array" ref="E1343">IFERROR(INDEX(SubcategoriesTable[Subcategory name],MATCH(Table1[[#This Row],[Category]],SubcategoriesTable[Category name],0),0),"")</f>
        <v>Variable</v>
      </c>
      <c r="F1343" s="134">
        <v>-7.09</v>
      </c>
      <c r="G1343" s="167" t="str">
        <f>_xlfn.XLOOKUP(Table1[[#This Row],[Account_ID]], Accounts[ID], Accounts[Account nickname], "Unknown")</f>
        <v>EVERYDAY CHECKING</v>
      </c>
      <c r="H1343" s="137" t="str">
        <f>_xlfn.XLOOKUP(Table1[[#This Row],[Account_ID]], Accounts[ID], Accounts[Account'#], "Unknown")</f>
        <v>4636</v>
      </c>
      <c r="I1343" s="168" t="str">
        <f>_xlfn.XLOOKUP(Table1[[#This Row],[Institution_ID]], Institutions[ID], Institutions[Institution nickname], "Unknown")</f>
        <v>Wells Fargo</v>
      </c>
      <c r="J1343" s="139" t="s">
        <v>2041</v>
      </c>
      <c r="K1343" s="129" t="s">
        <v>1229</v>
      </c>
      <c r="L1343" s="129" t="s">
        <v>1228</v>
      </c>
      <c r="M1343" s="130" t="str" cm="1">
        <f t="array" ref="M1343">IFERROR(INDEX(CategoriesTable[Category type],MATCH(Table1[[#This Row],[Category]],CategoriesTable[Category name],0),0),"")</f>
        <v>Expense</v>
      </c>
      <c r="N1343" s="130" t="str" cm="1">
        <f t="array" ref="N1343">IFERROR(INDEX(SubcategoriesTable[Subcategory name],MATCH(Table1[[#This Row],[Category]],SubcategoriesTable[Category name],0),0),"")</f>
        <v>Variable</v>
      </c>
      <c r="O1343" s="130">
        <v>18</v>
      </c>
      <c r="P1343" s="130">
        <f>MONTH(Table1[[#This Row],[Date]])</f>
        <v>12</v>
      </c>
      <c r="Q1343" s="130">
        <v>2019</v>
      </c>
      <c r="R1343" s="166">
        <f>IF(ISBLANK(Table1[[#This Row],[Date]]),"",Table1[[#This Row],[Date]]-WEEKDAY(Table1[[#This Row],[Date]],2)+1)</f>
        <v>43815</v>
      </c>
      <c r="S1343" s="131">
        <f>IF(ISBLANK(Table1[[#This Row],[Date]]),"",DATE(Table1[[#This Row],[Date_Year]],Table1[[#This Row],[Date_Month]],1))</f>
        <v>43800</v>
      </c>
    </row>
    <row r="1344" spans="2:19" ht="15.75" x14ac:dyDescent="0.25">
      <c r="B1344" s="133">
        <v>43817</v>
      </c>
      <c r="C1344" s="128" t="s">
        <v>2042</v>
      </c>
      <c r="D1344" s="128" t="s">
        <v>59</v>
      </c>
      <c r="E1344" s="128" t="str" cm="1">
        <f t="array" ref="E1344">IFERROR(INDEX(SubcategoriesTable[Subcategory name],MATCH(Table1[[#This Row],[Category]],SubcategoriesTable[Category name],0),0),"")</f>
        <v>Fixed</v>
      </c>
      <c r="F1344" s="134">
        <v>540</v>
      </c>
      <c r="G1344" s="167" t="str">
        <f>_xlfn.XLOOKUP(Table1[[#This Row],[Account_ID]], Accounts[ID], Accounts[Account nickname], "Unknown")</f>
        <v>EVERYDAY CHECKING</v>
      </c>
      <c r="H1344" s="137" t="str">
        <f>_xlfn.XLOOKUP(Table1[[#This Row],[Account_ID]], Accounts[ID], Accounts[Account'#], "Unknown")</f>
        <v>4636</v>
      </c>
      <c r="I1344" s="168" t="str">
        <f>_xlfn.XLOOKUP(Table1[[#This Row],[Institution_ID]], Institutions[ID], Institutions[Institution nickname], "Unknown")</f>
        <v>Wells Fargo</v>
      </c>
      <c r="J1344" s="139" t="s">
        <v>2043</v>
      </c>
      <c r="K1344" s="129" t="s">
        <v>1229</v>
      </c>
      <c r="L1344" s="129" t="s">
        <v>1228</v>
      </c>
      <c r="M1344" s="130" t="str" cm="1">
        <f t="array" ref="M1344">IFERROR(INDEX(CategoriesTable[Category type],MATCH(Table1[[#This Row],[Category]],CategoriesTable[Category name],0),0),"")</f>
        <v>Income</v>
      </c>
      <c r="N1344" s="130" t="str" cm="1">
        <f t="array" ref="N1344">IFERROR(INDEX(SubcategoriesTable[Subcategory name],MATCH(Table1[[#This Row],[Category]],SubcategoriesTable[Category name],0),0),"")</f>
        <v>Fixed</v>
      </c>
      <c r="O1344" s="130">
        <v>18</v>
      </c>
      <c r="P1344" s="130">
        <f>MONTH(Table1[[#This Row],[Date]])</f>
        <v>12</v>
      </c>
      <c r="Q1344" s="130">
        <v>2019</v>
      </c>
      <c r="R1344" s="166">
        <f>IF(ISBLANK(Table1[[#This Row],[Date]]),"",Table1[[#This Row],[Date]]-WEEKDAY(Table1[[#This Row],[Date]],2)+1)</f>
        <v>43815</v>
      </c>
      <c r="S1344" s="131">
        <f>IF(ISBLANK(Table1[[#This Row],[Date]]),"",DATE(Table1[[#This Row],[Date_Year]],Table1[[#This Row],[Date_Month]],1))</f>
        <v>43800</v>
      </c>
    </row>
    <row r="1345" spans="2:19" ht="15.75" x14ac:dyDescent="0.25">
      <c r="B1345" s="133">
        <v>43816</v>
      </c>
      <c r="C1345" s="128" t="s">
        <v>115</v>
      </c>
      <c r="D1345" s="128" t="s">
        <v>48</v>
      </c>
      <c r="E1345" s="128" t="str" cm="1">
        <f t="array" ref="E1345">IFERROR(INDEX(SubcategoriesTable[Subcategory name],MATCH(Table1[[#This Row],[Category]],SubcategoriesTable[Category name],0),0),"")</f>
        <v>Variable</v>
      </c>
      <c r="F1345" s="134">
        <v>-5.39</v>
      </c>
      <c r="G1345" s="167" t="str">
        <f>_xlfn.XLOOKUP(Table1[[#This Row],[Account_ID]], Accounts[ID], Accounts[Account nickname], "Unknown")</f>
        <v>EVERYDAY CHECKING</v>
      </c>
      <c r="H1345" s="137" t="str">
        <f>_xlfn.XLOOKUP(Table1[[#This Row],[Account_ID]], Accounts[ID], Accounts[Account'#], "Unknown")</f>
        <v>4636</v>
      </c>
      <c r="I1345" s="168" t="str">
        <f>_xlfn.XLOOKUP(Table1[[#This Row],[Institution_ID]], Institutions[ID], Institutions[Institution nickname], "Unknown")</f>
        <v>Wells Fargo</v>
      </c>
      <c r="J1345" s="139" t="s">
        <v>2044</v>
      </c>
      <c r="K1345" s="129" t="s">
        <v>1229</v>
      </c>
      <c r="L1345" s="129" t="s">
        <v>1228</v>
      </c>
      <c r="M1345" s="130" t="str" cm="1">
        <f t="array" ref="M1345">IFERROR(INDEX(CategoriesTable[Category type],MATCH(Table1[[#This Row],[Category]],CategoriesTable[Category name],0),0),"")</f>
        <v>Expense</v>
      </c>
      <c r="N1345" s="130" t="str" cm="1">
        <f t="array" ref="N1345">IFERROR(INDEX(SubcategoriesTable[Subcategory name],MATCH(Table1[[#This Row],[Category]],SubcategoriesTable[Category name],0),0),"")</f>
        <v>Variable</v>
      </c>
      <c r="O1345" s="130">
        <v>17</v>
      </c>
      <c r="P1345" s="130">
        <f>MONTH(Table1[[#This Row],[Date]])</f>
        <v>12</v>
      </c>
      <c r="Q1345" s="130">
        <v>2019</v>
      </c>
      <c r="R1345" s="166">
        <f>IF(ISBLANK(Table1[[#This Row],[Date]]),"",Table1[[#This Row],[Date]]-WEEKDAY(Table1[[#This Row],[Date]],2)+1)</f>
        <v>43815</v>
      </c>
      <c r="S1345" s="131">
        <f>IF(ISBLANK(Table1[[#This Row],[Date]]),"",DATE(Table1[[#This Row],[Date_Year]],Table1[[#This Row],[Date_Month]],1))</f>
        <v>43800</v>
      </c>
    </row>
    <row r="1346" spans="2:19" ht="15.75" x14ac:dyDescent="0.25">
      <c r="B1346" s="133">
        <v>43814</v>
      </c>
      <c r="C1346" s="128" t="s">
        <v>304</v>
      </c>
      <c r="D1346" s="128" t="s">
        <v>46</v>
      </c>
      <c r="E1346" s="128" t="str" cm="1">
        <f t="array" ref="E1346">IFERROR(INDEX(SubcategoriesTable[Subcategory name],MATCH(Table1[[#This Row],[Category]],SubcategoriesTable[Category name],0),0),"")</f>
        <v>Variable</v>
      </c>
      <c r="F1346" s="134">
        <v>-12.99</v>
      </c>
      <c r="G1346" s="167" t="str">
        <f>_xlfn.XLOOKUP(Table1[[#This Row],[Account_ID]], Accounts[ID], Accounts[Account nickname], "Unknown")</f>
        <v>EVERYDAY CHECKING</v>
      </c>
      <c r="H1346" s="137" t="str">
        <f>_xlfn.XLOOKUP(Table1[[#This Row],[Account_ID]], Accounts[ID], Accounts[Account'#], "Unknown")</f>
        <v>4636</v>
      </c>
      <c r="I1346" s="168" t="str">
        <f>_xlfn.XLOOKUP(Table1[[#This Row],[Institution_ID]], Institutions[ID], Institutions[Institution nickname], "Unknown")</f>
        <v>Wells Fargo</v>
      </c>
      <c r="J1346" s="139" t="s">
        <v>2045</v>
      </c>
      <c r="K1346" s="129" t="s">
        <v>1229</v>
      </c>
      <c r="L1346" s="129" t="s">
        <v>1228</v>
      </c>
      <c r="M1346" s="130" t="str" cm="1">
        <f t="array" ref="M1346">IFERROR(INDEX(CategoriesTable[Category type],MATCH(Table1[[#This Row],[Category]],CategoriesTable[Category name],0),0),"")</f>
        <v>Expense</v>
      </c>
      <c r="N1346" s="130" t="str" cm="1">
        <f t="array" ref="N1346">IFERROR(INDEX(SubcategoriesTable[Subcategory name],MATCH(Table1[[#This Row],[Category]],SubcategoriesTable[Category name],0),0),"")</f>
        <v>Variable</v>
      </c>
      <c r="O1346" s="130">
        <v>15</v>
      </c>
      <c r="P1346" s="130">
        <f>MONTH(Table1[[#This Row],[Date]])</f>
        <v>12</v>
      </c>
      <c r="Q1346" s="130">
        <v>2019</v>
      </c>
      <c r="R1346" s="166">
        <f>IF(ISBLANK(Table1[[#This Row],[Date]]),"",Table1[[#This Row],[Date]]-WEEKDAY(Table1[[#This Row],[Date]],2)+1)</f>
        <v>43808</v>
      </c>
      <c r="S1346" s="131">
        <f>IF(ISBLANK(Table1[[#This Row],[Date]]),"",DATE(Table1[[#This Row],[Date_Year]],Table1[[#This Row],[Date_Month]],1))</f>
        <v>43800</v>
      </c>
    </row>
    <row r="1347" spans="2:19" ht="15.75" x14ac:dyDescent="0.25">
      <c r="B1347" s="133">
        <v>43812</v>
      </c>
      <c r="C1347" s="128" t="s">
        <v>996</v>
      </c>
      <c r="D1347" s="128" t="s">
        <v>48</v>
      </c>
      <c r="E1347" s="128" t="str" cm="1">
        <f t="array" ref="E1347">IFERROR(INDEX(SubcategoriesTable[Subcategory name],MATCH(Table1[[#This Row],[Category]],SubcategoriesTable[Category name],0),0),"")</f>
        <v>Variable</v>
      </c>
      <c r="F1347" s="134">
        <v>-9.58</v>
      </c>
      <c r="G1347" s="167" t="str">
        <f>_xlfn.XLOOKUP(Table1[[#This Row],[Account_ID]], Accounts[ID], Accounts[Account nickname], "Unknown")</f>
        <v>EVERYDAY CHECKING</v>
      </c>
      <c r="H1347" s="137" t="str">
        <f>_xlfn.XLOOKUP(Table1[[#This Row],[Account_ID]], Accounts[ID], Accounts[Account'#], "Unknown")</f>
        <v>4636</v>
      </c>
      <c r="I1347" s="168" t="str">
        <f>_xlfn.XLOOKUP(Table1[[#This Row],[Institution_ID]], Institutions[ID], Institutions[Institution nickname], "Unknown")</f>
        <v>Wells Fargo</v>
      </c>
      <c r="J1347" s="139" t="s">
        <v>2046</v>
      </c>
      <c r="K1347" s="129" t="s">
        <v>1229</v>
      </c>
      <c r="L1347" s="129" t="s">
        <v>1228</v>
      </c>
      <c r="M1347" s="130" t="str" cm="1">
        <f t="array" ref="M1347">IFERROR(INDEX(CategoriesTable[Category type],MATCH(Table1[[#This Row],[Category]],CategoriesTable[Category name],0),0),"")</f>
        <v>Expense</v>
      </c>
      <c r="N1347" s="130" t="str" cm="1">
        <f t="array" ref="N1347">IFERROR(INDEX(SubcategoriesTable[Subcategory name],MATCH(Table1[[#This Row],[Category]],SubcategoriesTable[Category name],0),0),"")</f>
        <v>Variable</v>
      </c>
      <c r="O1347" s="130">
        <v>13</v>
      </c>
      <c r="P1347" s="130">
        <f>MONTH(Table1[[#This Row],[Date]])</f>
        <v>12</v>
      </c>
      <c r="Q1347" s="130">
        <v>2019</v>
      </c>
      <c r="R1347" s="166">
        <f>IF(ISBLANK(Table1[[#This Row],[Date]]),"",Table1[[#This Row],[Date]]-WEEKDAY(Table1[[#This Row],[Date]],2)+1)</f>
        <v>43808</v>
      </c>
      <c r="S1347" s="131">
        <f>IF(ISBLANK(Table1[[#This Row],[Date]]),"",DATE(Table1[[#This Row],[Date_Year]],Table1[[#This Row],[Date_Month]],1))</f>
        <v>43800</v>
      </c>
    </row>
    <row r="1348" spans="2:19" ht="15.75" x14ac:dyDescent="0.25">
      <c r="B1348" s="133">
        <v>43812</v>
      </c>
      <c r="C1348" s="128" t="s">
        <v>842</v>
      </c>
      <c r="D1348" s="128" t="s">
        <v>51</v>
      </c>
      <c r="E1348" s="128" t="str" cm="1">
        <f t="array" ref="E1348">IFERROR(INDEX(SubcategoriesTable[Subcategory name],MATCH(Table1[[#This Row],[Category]],SubcategoriesTable[Category name],0),0),"")</f>
        <v>Variable</v>
      </c>
      <c r="F1348" s="134">
        <v>-165</v>
      </c>
      <c r="G1348" s="167" t="str">
        <f>_xlfn.XLOOKUP(Table1[[#This Row],[Account_ID]], Accounts[ID], Accounts[Account nickname], "Unknown")</f>
        <v>Discover it chrome Card</v>
      </c>
      <c r="H1348" s="137" t="str">
        <f>_xlfn.XLOOKUP(Table1[[#This Row],[Account_ID]], Accounts[ID], Accounts[Account'#], "Unknown")</f>
        <v>7328</v>
      </c>
      <c r="I1348" s="168" t="str">
        <f>_xlfn.XLOOKUP(Table1[[#This Row],[Institution_ID]], Institutions[ID], Institutions[Institution nickname], "Unknown")</f>
        <v>Discover</v>
      </c>
      <c r="J1348" s="139" t="s">
        <v>1061</v>
      </c>
      <c r="K1348" s="129" t="s">
        <v>110</v>
      </c>
      <c r="L1348" s="129" t="s">
        <v>108</v>
      </c>
      <c r="M1348" s="130" t="str" cm="1">
        <f t="array" ref="M1348">IFERROR(INDEX(CategoriesTable[Category type],MATCH(Table1[[#This Row],[Category]],CategoriesTable[Category name],0),0),"")</f>
        <v>Expense</v>
      </c>
      <c r="N1348" s="130" t="str" cm="1">
        <f t="array" ref="N1348">IFERROR(INDEX(SubcategoriesTable[Subcategory name],MATCH(Table1[[#This Row],[Category]],SubcategoriesTable[Category name],0),0),"")</f>
        <v>Variable</v>
      </c>
      <c r="O1348" s="130">
        <v>13</v>
      </c>
      <c r="P1348" s="130">
        <f>MONTH(Table1[[#This Row],[Date]])</f>
        <v>12</v>
      </c>
      <c r="Q1348" s="130">
        <v>2019</v>
      </c>
      <c r="R1348" s="166">
        <f>IF(ISBLANK(Table1[[#This Row],[Date]]),"",Table1[[#This Row],[Date]]-WEEKDAY(Table1[[#This Row],[Date]],2)+1)</f>
        <v>43808</v>
      </c>
      <c r="S1348" s="131">
        <f>IF(ISBLANK(Table1[[#This Row],[Date]]),"",DATE(Table1[[#This Row],[Date_Year]],Table1[[#This Row],[Date_Month]],1))</f>
        <v>43800</v>
      </c>
    </row>
    <row r="1349" spans="2:19" ht="15.75" x14ac:dyDescent="0.25">
      <c r="B1349" s="133">
        <v>43811</v>
      </c>
      <c r="C1349" s="128" t="s">
        <v>531</v>
      </c>
      <c r="D1349" s="128" t="s">
        <v>54</v>
      </c>
      <c r="E1349" s="128" t="str" cm="1">
        <f t="array" ref="E1349">IFERROR(INDEX(SubcategoriesTable[Subcategory name],MATCH(Table1[[#This Row],[Category]],SubcategoriesTable[Category name],0),0),"")</f>
        <v>Fixed</v>
      </c>
      <c r="F1349" s="134">
        <v>-8.68</v>
      </c>
      <c r="G1349" s="167" t="str">
        <f>_xlfn.XLOOKUP(Table1[[#This Row],[Account_ID]], Accounts[ID], Accounts[Account nickname], "Unknown")</f>
        <v>EVERYDAY CHECKING</v>
      </c>
      <c r="H1349" s="137" t="str">
        <f>_xlfn.XLOOKUP(Table1[[#This Row],[Account_ID]], Accounts[ID], Accounts[Account'#], "Unknown")</f>
        <v>4636</v>
      </c>
      <c r="I1349" s="168" t="str">
        <f>_xlfn.XLOOKUP(Table1[[#This Row],[Institution_ID]], Institutions[ID], Institutions[Institution nickname], "Unknown")</f>
        <v>Wells Fargo</v>
      </c>
      <c r="J1349" s="139" t="s">
        <v>2047</v>
      </c>
      <c r="K1349" s="129" t="s">
        <v>1229</v>
      </c>
      <c r="L1349" s="129" t="s">
        <v>1228</v>
      </c>
      <c r="M1349" s="130" t="str" cm="1">
        <f t="array" ref="M1349">IFERROR(INDEX(CategoriesTable[Category type],MATCH(Table1[[#This Row],[Category]],CategoriesTable[Category name],0),0),"")</f>
        <v>Expense</v>
      </c>
      <c r="N1349" s="130" t="str" cm="1">
        <f t="array" ref="N1349">IFERROR(INDEX(SubcategoriesTable[Subcategory name],MATCH(Table1[[#This Row],[Category]],SubcategoriesTable[Category name],0),0),"")</f>
        <v>Fixed</v>
      </c>
      <c r="O1349" s="130">
        <v>12</v>
      </c>
      <c r="P1349" s="130">
        <f>MONTH(Table1[[#This Row],[Date]])</f>
        <v>12</v>
      </c>
      <c r="Q1349" s="130">
        <v>2019</v>
      </c>
      <c r="R1349" s="166">
        <f>IF(ISBLANK(Table1[[#This Row],[Date]]),"",Table1[[#This Row],[Date]]-WEEKDAY(Table1[[#This Row],[Date]],2)+1)</f>
        <v>43808</v>
      </c>
      <c r="S1349" s="131">
        <f>IF(ISBLANK(Table1[[#This Row],[Date]]),"",DATE(Table1[[#This Row],[Date_Year]],Table1[[#This Row],[Date_Month]],1))</f>
        <v>43800</v>
      </c>
    </row>
    <row r="1350" spans="2:19" ht="15.75" x14ac:dyDescent="0.25">
      <c r="B1350" s="133">
        <v>43811</v>
      </c>
      <c r="C1350" s="128" t="s">
        <v>125</v>
      </c>
      <c r="D1350" s="128" t="s">
        <v>45</v>
      </c>
      <c r="E1350" s="128" t="str" cm="1">
        <f t="array" ref="E1350">IFERROR(INDEX(SubcategoriesTable[Subcategory name],MATCH(Table1[[#This Row],[Category]],SubcategoriesTable[Category name],0),0),"")</f>
        <v>Variable</v>
      </c>
      <c r="F1350" s="134">
        <v>-10.47</v>
      </c>
      <c r="G1350" s="167" t="str">
        <f>_xlfn.XLOOKUP(Table1[[#This Row],[Account_ID]], Accounts[ID], Accounts[Account nickname], "Unknown")</f>
        <v>EVERYDAY CHECKING</v>
      </c>
      <c r="H1350" s="137" t="str">
        <f>_xlfn.XLOOKUP(Table1[[#This Row],[Account_ID]], Accounts[ID], Accounts[Account'#], "Unknown")</f>
        <v>4636</v>
      </c>
      <c r="I1350" s="168" t="str">
        <f>_xlfn.XLOOKUP(Table1[[#This Row],[Institution_ID]], Institutions[ID], Institutions[Institution nickname], "Unknown")</f>
        <v>Wells Fargo</v>
      </c>
      <c r="J1350" s="139" t="s">
        <v>2048</v>
      </c>
      <c r="K1350" s="129" t="s">
        <v>1229</v>
      </c>
      <c r="L1350" s="129" t="s">
        <v>1228</v>
      </c>
      <c r="M1350" s="130" t="str" cm="1">
        <f t="array" ref="M1350">IFERROR(INDEX(CategoriesTable[Category type],MATCH(Table1[[#This Row],[Category]],CategoriesTable[Category name],0),0),"")</f>
        <v>Expense</v>
      </c>
      <c r="N1350" s="130" t="str" cm="1">
        <f t="array" ref="N1350">IFERROR(INDEX(SubcategoriesTable[Subcategory name],MATCH(Table1[[#This Row],[Category]],SubcategoriesTable[Category name],0),0),"")</f>
        <v>Variable</v>
      </c>
      <c r="O1350" s="130">
        <v>12</v>
      </c>
      <c r="P1350" s="130">
        <f>MONTH(Table1[[#This Row],[Date]])</f>
        <v>12</v>
      </c>
      <c r="Q1350" s="130">
        <v>2019</v>
      </c>
      <c r="R1350" s="166">
        <f>IF(ISBLANK(Table1[[#This Row],[Date]]),"",Table1[[#This Row],[Date]]-WEEKDAY(Table1[[#This Row],[Date]],2)+1)</f>
        <v>43808</v>
      </c>
      <c r="S1350" s="131">
        <f>IF(ISBLANK(Table1[[#This Row],[Date]]),"",DATE(Table1[[#This Row],[Date_Year]],Table1[[#This Row],[Date_Month]],1))</f>
        <v>43800</v>
      </c>
    </row>
    <row r="1351" spans="2:19" ht="15.75" x14ac:dyDescent="0.25">
      <c r="B1351" s="133">
        <v>43810</v>
      </c>
      <c r="C1351" s="128" t="s">
        <v>2049</v>
      </c>
      <c r="D1351" s="128" t="s">
        <v>54</v>
      </c>
      <c r="E1351" s="128" t="str" cm="1">
        <f t="array" ref="E1351">IFERROR(INDEX(SubcategoriesTable[Subcategory name],MATCH(Table1[[#This Row],[Category]],SubcategoriesTable[Category name],0),0),"")</f>
        <v>Fixed</v>
      </c>
      <c r="F1351" s="134">
        <v>-3.72</v>
      </c>
      <c r="G1351" s="167" t="str">
        <f>_xlfn.XLOOKUP(Table1[[#This Row],[Account_ID]], Accounts[ID], Accounts[Account nickname], "Unknown")</f>
        <v>EVERYDAY CHECKING</v>
      </c>
      <c r="H1351" s="137" t="str">
        <f>_xlfn.XLOOKUP(Table1[[#This Row],[Account_ID]], Accounts[ID], Accounts[Account'#], "Unknown")</f>
        <v>4636</v>
      </c>
      <c r="I1351" s="168" t="str">
        <f>_xlfn.XLOOKUP(Table1[[#This Row],[Institution_ID]], Institutions[ID], Institutions[Institution nickname], "Unknown")</f>
        <v>Wells Fargo</v>
      </c>
      <c r="J1351" s="139" t="s">
        <v>2050</v>
      </c>
      <c r="K1351" s="129" t="s">
        <v>1229</v>
      </c>
      <c r="L1351" s="129" t="s">
        <v>1228</v>
      </c>
      <c r="M1351" s="130" t="str" cm="1">
        <f t="array" ref="M1351">IFERROR(INDEX(CategoriesTable[Category type],MATCH(Table1[[#This Row],[Category]],CategoriesTable[Category name],0),0),"")</f>
        <v>Expense</v>
      </c>
      <c r="N1351" s="130" t="str" cm="1">
        <f t="array" ref="N1351">IFERROR(INDEX(SubcategoriesTable[Subcategory name],MATCH(Table1[[#This Row],[Category]],SubcategoriesTable[Category name],0),0),"")</f>
        <v>Fixed</v>
      </c>
      <c r="O1351" s="130">
        <v>11</v>
      </c>
      <c r="P1351" s="130">
        <f>MONTH(Table1[[#This Row],[Date]])</f>
        <v>12</v>
      </c>
      <c r="Q1351" s="130">
        <v>2019</v>
      </c>
      <c r="R1351" s="166">
        <f>IF(ISBLANK(Table1[[#This Row],[Date]]),"",Table1[[#This Row],[Date]]-WEEKDAY(Table1[[#This Row],[Date]],2)+1)</f>
        <v>43808</v>
      </c>
      <c r="S1351" s="131">
        <f>IF(ISBLANK(Table1[[#This Row],[Date]]),"",DATE(Table1[[#This Row],[Date_Year]],Table1[[#This Row],[Date_Month]],1))</f>
        <v>43800</v>
      </c>
    </row>
    <row r="1352" spans="2:19" ht="15.75" x14ac:dyDescent="0.25">
      <c r="B1352" s="133">
        <v>43810</v>
      </c>
      <c r="C1352" s="128" t="s">
        <v>805</v>
      </c>
      <c r="D1352" s="128" t="s">
        <v>45</v>
      </c>
      <c r="E1352" s="128" t="str" cm="1">
        <f t="array" ref="E1352">IFERROR(INDEX(SubcategoriesTable[Subcategory name],MATCH(Table1[[#This Row],[Category]],SubcategoriesTable[Category name],0),0),"")</f>
        <v>Variable</v>
      </c>
      <c r="F1352" s="134">
        <v>-6.99</v>
      </c>
      <c r="G1352" s="167" t="str">
        <f>_xlfn.XLOOKUP(Table1[[#This Row],[Account_ID]], Accounts[ID], Accounts[Account nickname], "Unknown")</f>
        <v>EVERYDAY CHECKING</v>
      </c>
      <c r="H1352" s="137" t="str">
        <f>_xlfn.XLOOKUP(Table1[[#This Row],[Account_ID]], Accounts[ID], Accounts[Account'#], "Unknown")</f>
        <v>4636</v>
      </c>
      <c r="I1352" s="168" t="str">
        <f>_xlfn.XLOOKUP(Table1[[#This Row],[Institution_ID]], Institutions[ID], Institutions[Institution nickname], "Unknown")</f>
        <v>Wells Fargo</v>
      </c>
      <c r="J1352" s="139" t="s">
        <v>2051</v>
      </c>
      <c r="K1352" s="129" t="s">
        <v>1229</v>
      </c>
      <c r="L1352" s="129" t="s">
        <v>1228</v>
      </c>
      <c r="M1352" s="130" t="str" cm="1">
        <f t="array" ref="M1352">IFERROR(INDEX(CategoriesTable[Category type],MATCH(Table1[[#This Row],[Category]],CategoriesTable[Category name],0),0),"")</f>
        <v>Expense</v>
      </c>
      <c r="N1352" s="130" t="str" cm="1">
        <f t="array" ref="N1352">IFERROR(INDEX(SubcategoriesTable[Subcategory name],MATCH(Table1[[#This Row],[Category]],SubcategoriesTable[Category name],0),0),"")</f>
        <v>Variable</v>
      </c>
      <c r="O1352" s="130">
        <v>11</v>
      </c>
      <c r="P1352" s="130">
        <f>MONTH(Table1[[#This Row],[Date]])</f>
        <v>12</v>
      </c>
      <c r="Q1352" s="130">
        <v>2019</v>
      </c>
      <c r="R1352" s="166">
        <f>IF(ISBLANK(Table1[[#This Row],[Date]]),"",Table1[[#This Row],[Date]]-WEEKDAY(Table1[[#This Row],[Date]],2)+1)</f>
        <v>43808</v>
      </c>
      <c r="S1352" s="131">
        <f>IF(ISBLANK(Table1[[#This Row],[Date]]),"",DATE(Table1[[#This Row],[Date_Year]],Table1[[#This Row],[Date_Month]],1))</f>
        <v>43800</v>
      </c>
    </row>
    <row r="1353" spans="2:19" ht="15.75" x14ac:dyDescent="0.25">
      <c r="B1353" s="133">
        <v>43810</v>
      </c>
      <c r="C1353" s="128" t="s">
        <v>2033</v>
      </c>
      <c r="D1353" s="128" t="s">
        <v>45</v>
      </c>
      <c r="E1353" s="128" t="str" cm="1">
        <f t="array" ref="E1353">IFERROR(INDEX(SubcategoriesTable[Subcategory name],MATCH(Table1[[#This Row],[Category]],SubcategoriesTable[Category name],0),0),"")</f>
        <v>Variable</v>
      </c>
      <c r="F1353" s="134">
        <v>-22.5</v>
      </c>
      <c r="G1353" s="167" t="str">
        <f>_xlfn.XLOOKUP(Table1[[#This Row],[Account_ID]], Accounts[ID], Accounts[Account nickname], "Unknown")</f>
        <v>EVERYDAY CHECKING</v>
      </c>
      <c r="H1353" s="137" t="str">
        <f>_xlfn.XLOOKUP(Table1[[#This Row],[Account_ID]], Accounts[ID], Accounts[Account'#], "Unknown")</f>
        <v>4636</v>
      </c>
      <c r="I1353" s="168" t="str">
        <f>_xlfn.XLOOKUP(Table1[[#This Row],[Institution_ID]], Institutions[ID], Institutions[Institution nickname], "Unknown")</f>
        <v>Wells Fargo</v>
      </c>
      <c r="J1353" s="139" t="s">
        <v>2052</v>
      </c>
      <c r="K1353" s="129" t="s">
        <v>1229</v>
      </c>
      <c r="L1353" s="129" t="s">
        <v>1228</v>
      </c>
      <c r="M1353" s="130" t="str" cm="1">
        <f t="array" ref="M1353">IFERROR(INDEX(CategoriesTable[Category type],MATCH(Table1[[#This Row],[Category]],CategoriesTable[Category name],0),0),"")</f>
        <v>Expense</v>
      </c>
      <c r="N1353" s="130" t="str" cm="1">
        <f t="array" ref="N1353">IFERROR(INDEX(SubcategoriesTable[Subcategory name],MATCH(Table1[[#This Row],[Category]],SubcategoriesTable[Category name],0),0),"")</f>
        <v>Variable</v>
      </c>
      <c r="O1353" s="130">
        <v>11</v>
      </c>
      <c r="P1353" s="130">
        <f>MONTH(Table1[[#This Row],[Date]])</f>
        <v>12</v>
      </c>
      <c r="Q1353" s="130">
        <v>2019</v>
      </c>
      <c r="R1353" s="166">
        <f>IF(ISBLANK(Table1[[#This Row],[Date]]),"",Table1[[#This Row],[Date]]-WEEKDAY(Table1[[#This Row],[Date]],2)+1)</f>
        <v>43808</v>
      </c>
      <c r="S1353" s="131">
        <f>IF(ISBLANK(Table1[[#This Row],[Date]]),"",DATE(Table1[[#This Row],[Date_Year]],Table1[[#This Row],[Date_Month]],1))</f>
        <v>43800</v>
      </c>
    </row>
    <row r="1354" spans="2:19" ht="15.75" x14ac:dyDescent="0.25">
      <c r="B1354" s="133">
        <v>43810</v>
      </c>
      <c r="C1354" s="128" t="s">
        <v>206</v>
      </c>
      <c r="D1354" s="128" t="s">
        <v>57</v>
      </c>
      <c r="E1354" s="128" t="str" cm="1">
        <f t="array" ref="E1354">IFERROR(INDEX(SubcategoriesTable[Subcategory name],MATCH(Table1[[#This Row],[Category]],SubcategoriesTable[Category name],0),0),"")</f>
        <v>Variable</v>
      </c>
      <c r="F1354" s="134">
        <v>4.1100000000000003</v>
      </c>
      <c r="G1354" s="167" t="str">
        <f>_xlfn.XLOOKUP(Table1[[#This Row],[Account_ID]], Accounts[ID], Accounts[Account nickname], "Unknown")</f>
        <v>Discover it chrome Card</v>
      </c>
      <c r="H1354" s="137" t="str">
        <f>_xlfn.XLOOKUP(Table1[[#This Row],[Account_ID]], Accounts[ID], Accounts[Account'#], "Unknown")</f>
        <v>7328</v>
      </c>
      <c r="I1354" s="168" t="str">
        <f>_xlfn.XLOOKUP(Table1[[#This Row],[Institution_ID]], Institutions[ID], Institutions[Institution nickname], "Unknown")</f>
        <v>Discover</v>
      </c>
      <c r="J1354" s="139" t="s">
        <v>1062</v>
      </c>
      <c r="K1354" s="129" t="s">
        <v>110</v>
      </c>
      <c r="L1354" s="129" t="s">
        <v>108</v>
      </c>
      <c r="M1354" s="130" t="str" cm="1">
        <f t="array" ref="M1354">IFERROR(INDEX(CategoriesTable[Category type],MATCH(Table1[[#This Row],[Category]],CategoriesTable[Category name],0),0),"")</f>
        <v>Transfer</v>
      </c>
      <c r="N1354" s="130" t="str" cm="1">
        <f t="array" ref="N1354">IFERROR(INDEX(SubcategoriesTable[Subcategory name],MATCH(Table1[[#This Row],[Category]],SubcategoriesTable[Category name],0),0),"")</f>
        <v>Variable</v>
      </c>
      <c r="O1354" s="130">
        <v>11</v>
      </c>
      <c r="P1354" s="130">
        <f>MONTH(Table1[[#This Row],[Date]])</f>
        <v>12</v>
      </c>
      <c r="Q1354" s="130">
        <v>2019</v>
      </c>
      <c r="R1354" s="166">
        <f>IF(ISBLANK(Table1[[#This Row],[Date]]),"",Table1[[#This Row],[Date]]-WEEKDAY(Table1[[#This Row],[Date]],2)+1)</f>
        <v>43808</v>
      </c>
      <c r="S1354" s="131">
        <f>IF(ISBLANK(Table1[[#This Row],[Date]]),"",DATE(Table1[[#This Row],[Date_Year]],Table1[[#This Row],[Date_Month]],1))</f>
        <v>43800</v>
      </c>
    </row>
    <row r="1355" spans="2:19" ht="15.75" x14ac:dyDescent="0.25">
      <c r="B1355" s="133">
        <v>43810</v>
      </c>
      <c r="C1355" s="128" t="s">
        <v>113</v>
      </c>
      <c r="D1355" s="128" t="s">
        <v>50</v>
      </c>
      <c r="E1355" s="128" t="str" cm="1">
        <f t="array" ref="E1355">IFERROR(INDEX(SubcategoriesTable[Subcategory name],MATCH(Table1[[#This Row],[Category]],SubcategoriesTable[Category name],0),0),"")</f>
        <v>Variable</v>
      </c>
      <c r="F1355" s="134">
        <v>878.95</v>
      </c>
      <c r="G1355" s="167" t="str">
        <f>_xlfn.XLOOKUP(Table1[[#This Row],[Account_ID]], Accounts[ID], Accounts[Account nickname], "Unknown")</f>
        <v>Discover it chrome Card</v>
      </c>
      <c r="H1355" s="137" t="str">
        <f>_xlfn.XLOOKUP(Table1[[#This Row],[Account_ID]], Accounts[ID], Accounts[Account'#], "Unknown")</f>
        <v>7328</v>
      </c>
      <c r="I1355" s="168" t="str">
        <f>_xlfn.XLOOKUP(Table1[[#This Row],[Institution_ID]], Institutions[ID], Institutions[Institution nickname], "Unknown")</f>
        <v>Discover</v>
      </c>
      <c r="J1355" s="139" t="s">
        <v>1063</v>
      </c>
      <c r="K1355" s="129" t="s">
        <v>110</v>
      </c>
      <c r="L1355" s="129" t="s">
        <v>108</v>
      </c>
      <c r="M1355" s="130" t="str" cm="1">
        <f t="array" ref="M1355">IFERROR(INDEX(CategoriesTable[Category type],MATCH(Table1[[#This Row],[Category]],CategoriesTable[Category name],0),0),"")</f>
        <v>Transfer</v>
      </c>
      <c r="N1355" s="130" t="str" cm="1">
        <f t="array" ref="N1355">IFERROR(INDEX(SubcategoriesTable[Subcategory name],MATCH(Table1[[#This Row],[Category]],SubcategoriesTable[Category name],0),0),"")</f>
        <v>Variable</v>
      </c>
      <c r="O1355" s="130">
        <v>11</v>
      </c>
      <c r="P1355" s="130">
        <f>MONTH(Table1[[#This Row],[Date]])</f>
        <v>12</v>
      </c>
      <c r="Q1355" s="130">
        <v>2019</v>
      </c>
      <c r="R1355" s="166">
        <f>IF(ISBLANK(Table1[[#This Row],[Date]]),"",Table1[[#This Row],[Date]]-WEEKDAY(Table1[[#This Row],[Date]],2)+1)</f>
        <v>43808</v>
      </c>
      <c r="S1355" s="131">
        <f>IF(ISBLANK(Table1[[#This Row],[Date]]),"",DATE(Table1[[#This Row],[Date_Year]],Table1[[#This Row],[Date_Month]],1))</f>
        <v>43800</v>
      </c>
    </row>
    <row r="1356" spans="2:19" ht="15.75" x14ac:dyDescent="0.25">
      <c r="B1356" s="133">
        <v>43809</v>
      </c>
      <c r="C1356" s="128" t="s">
        <v>531</v>
      </c>
      <c r="D1356" s="128" t="s">
        <v>54</v>
      </c>
      <c r="E1356" s="128" t="str" cm="1">
        <f t="array" ref="E1356">IFERROR(INDEX(SubcategoriesTable[Subcategory name],MATCH(Table1[[#This Row],[Category]],SubcategoriesTable[Category name],0),0),"")</f>
        <v>Fixed</v>
      </c>
      <c r="F1356" s="134">
        <v>-12.21</v>
      </c>
      <c r="G1356" s="167" t="str">
        <f>_xlfn.XLOOKUP(Table1[[#This Row],[Account_ID]], Accounts[ID], Accounts[Account nickname], "Unknown")</f>
        <v>EVERYDAY CHECKING</v>
      </c>
      <c r="H1356" s="137" t="str">
        <f>_xlfn.XLOOKUP(Table1[[#This Row],[Account_ID]], Accounts[ID], Accounts[Account'#], "Unknown")</f>
        <v>4636</v>
      </c>
      <c r="I1356" s="168" t="str">
        <f>_xlfn.XLOOKUP(Table1[[#This Row],[Institution_ID]], Institutions[ID], Institutions[Institution nickname], "Unknown")</f>
        <v>Wells Fargo</v>
      </c>
      <c r="J1356" s="139" t="s">
        <v>2053</v>
      </c>
      <c r="K1356" s="129" t="s">
        <v>1229</v>
      </c>
      <c r="L1356" s="129" t="s">
        <v>1228</v>
      </c>
      <c r="M1356" s="130" t="str" cm="1">
        <f t="array" ref="M1356">IFERROR(INDEX(CategoriesTable[Category type],MATCH(Table1[[#This Row],[Category]],CategoriesTable[Category name],0),0),"")</f>
        <v>Expense</v>
      </c>
      <c r="N1356" s="130" t="str" cm="1">
        <f t="array" ref="N1356">IFERROR(INDEX(SubcategoriesTable[Subcategory name],MATCH(Table1[[#This Row],[Category]],SubcategoriesTable[Category name],0),0),"")</f>
        <v>Fixed</v>
      </c>
      <c r="O1356" s="130">
        <v>10</v>
      </c>
      <c r="P1356" s="130">
        <f>MONTH(Table1[[#This Row],[Date]])</f>
        <v>12</v>
      </c>
      <c r="Q1356" s="130">
        <v>2019</v>
      </c>
      <c r="R1356" s="166">
        <f>IF(ISBLANK(Table1[[#This Row],[Date]]),"",Table1[[#This Row],[Date]]-WEEKDAY(Table1[[#This Row],[Date]],2)+1)</f>
        <v>43808</v>
      </c>
      <c r="S1356" s="131">
        <f>IF(ISBLANK(Table1[[#This Row],[Date]]),"",DATE(Table1[[#This Row],[Date_Year]],Table1[[#This Row],[Date_Month]],1))</f>
        <v>43800</v>
      </c>
    </row>
    <row r="1357" spans="2:19" ht="15.75" x14ac:dyDescent="0.25">
      <c r="B1357" s="133">
        <v>43809</v>
      </c>
      <c r="C1357" s="128" t="s">
        <v>730</v>
      </c>
      <c r="D1357" s="128" t="s">
        <v>46</v>
      </c>
      <c r="E1357" s="128" t="str" cm="1">
        <f t="array" ref="E1357">IFERROR(INDEX(SubcategoriesTable[Subcategory name],MATCH(Table1[[#This Row],[Category]],SubcategoriesTable[Category name],0),0),"")</f>
        <v>Variable</v>
      </c>
      <c r="F1357" s="134">
        <v>-14.99</v>
      </c>
      <c r="G1357" s="167" t="str">
        <f>_xlfn.XLOOKUP(Table1[[#This Row],[Account_ID]], Accounts[ID], Accounts[Account nickname], "Unknown")</f>
        <v>EVERYDAY CHECKING</v>
      </c>
      <c r="H1357" s="137" t="str">
        <f>_xlfn.XLOOKUP(Table1[[#This Row],[Account_ID]], Accounts[ID], Accounts[Account'#], "Unknown")</f>
        <v>4636</v>
      </c>
      <c r="I1357" s="168" t="str">
        <f>_xlfn.XLOOKUP(Table1[[#This Row],[Institution_ID]], Institutions[ID], Institutions[Institution nickname], "Unknown")</f>
        <v>Wells Fargo</v>
      </c>
      <c r="J1357" s="139" t="s">
        <v>2054</v>
      </c>
      <c r="K1357" s="129" t="s">
        <v>1229</v>
      </c>
      <c r="L1357" s="129" t="s">
        <v>1228</v>
      </c>
      <c r="M1357" s="130" t="str" cm="1">
        <f t="array" ref="M1357">IFERROR(INDEX(CategoriesTable[Category type],MATCH(Table1[[#This Row],[Category]],CategoriesTable[Category name],0),0),"")</f>
        <v>Expense</v>
      </c>
      <c r="N1357" s="130" t="str" cm="1">
        <f t="array" ref="N1357">IFERROR(INDEX(SubcategoriesTable[Subcategory name],MATCH(Table1[[#This Row],[Category]],SubcategoriesTable[Category name],0),0),"")</f>
        <v>Variable</v>
      </c>
      <c r="O1357" s="130">
        <v>10</v>
      </c>
      <c r="P1357" s="130">
        <f>MONTH(Table1[[#This Row],[Date]])</f>
        <v>12</v>
      </c>
      <c r="Q1357" s="130">
        <v>2019</v>
      </c>
      <c r="R1357" s="166">
        <f>IF(ISBLANK(Table1[[#This Row],[Date]]),"",Table1[[#This Row],[Date]]-WEEKDAY(Table1[[#This Row],[Date]],2)+1)</f>
        <v>43808</v>
      </c>
      <c r="S1357" s="131">
        <f>IF(ISBLANK(Table1[[#This Row],[Date]]),"",DATE(Table1[[#This Row],[Date_Year]],Table1[[#This Row],[Date_Month]],1))</f>
        <v>43800</v>
      </c>
    </row>
    <row r="1358" spans="2:19" ht="15.75" x14ac:dyDescent="0.25">
      <c r="B1358" s="133">
        <v>43809</v>
      </c>
      <c r="C1358" s="128" t="s">
        <v>1202</v>
      </c>
      <c r="D1358" s="128" t="s">
        <v>50</v>
      </c>
      <c r="E1358" s="128" t="str" cm="1">
        <f t="array" ref="E1358">IFERROR(INDEX(SubcategoriesTable[Subcategory name],MATCH(Table1[[#This Row],[Category]],SubcategoriesTable[Category name],0),0),"")</f>
        <v>Variable</v>
      </c>
      <c r="F1358" s="134">
        <v>300</v>
      </c>
      <c r="G1358" s="167" t="str">
        <f>_xlfn.XLOOKUP(Table1[[#This Row],[Account_ID]], Accounts[ID], Accounts[Account nickname], "Unknown")</f>
        <v>EVERYDAY CHECKING</v>
      </c>
      <c r="H1358" s="137" t="str">
        <f>_xlfn.XLOOKUP(Table1[[#This Row],[Account_ID]], Accounts[ID], Accounts[Account'#], "Unknown")</f>
        <v>4636</v>
      </c>
      <c r="I1358" s="168" t="str">
        <f>_xlfn.XLOOKUP(Table1[[#This Row],[Institution_ID]], Institutions[ID], Institutions[Institution nickname], "Unknown")</f>
        <v>Wells Fargo</v>
      </c>
      <c r="J1358" s="139" t="s">
        <v>2055</v>
      </c>
      <c r="K1358" s="129" t="s">
        <v>1229</v>
      </c>
      <c r="L1358" s="129" t="s">
        <v>1228</v>
      </c>
      <c r="M1358" s="130" t="str" cm="1">
        <f t="array" ref="M1358">IFERROR(INDEX(CategoriesTable[Category type],MATCH(Table1[[#This Row],[Category]],CategoriesTable[Category name],0),0),"")</f>
        <v>Transfer</v>
      </c>
      <c r="N1358" s="130" t="str" cm="1">
        <f t="array" ref="N1358">IFERROR(INDEX(SubcategoriesTable[Subcategory name],MATCH(Table1[[#This Row],[Category]],SubcategoriesTable[Category name],0),0),"")</f>
        <v>Variable</v>
      </c>
      <c r="O1358" s="130">
        <v>10</v>
      </c>
      <c r="P1358" s="130">
        <f>MONTH(Table1[[#This Row],[Date]])</f>
        <v>12</v>
      </c>
      <c r="Q1358" s="130">
        <v>2019</v>
      </c>
      <c r="R1358" s="166">
        <f>IF(ISBLANK(Table1[[#This Row],[Date]]),"",Table1[[#This Row],[Date]]-WEEKDAY(Table1[[#This Row],[Date]],2)+1)</f>
        <v>43808</v>
      </c>
      <c r="S1358" s="131">
        <f>IF(ISBLANK(Table1[[#This Row],[Date]]),"",DATE(Table1[[#This Row],[Date_Year]],Table1[[#This Row],[Date_Month]],1))</f>
        <v>43800</v>
      </c>
    </row>
    <row r="1359" spans="2:19" ht="15.75" x14ac:dyDescent="0.25">
      <c r="B1359" s="133">
        <v>43808</v>
      </c>
      <c r="C1359" s="128" t="s">
        <v>1628</v>
      </c>
      <c r="D1359" s="128" t="s">
        <v>50</v>
      </c>
      <c r="E1359" s="128" t="str" cm="1">
        <f t="array" ref="E1359">IFERROR(INDEX(SubcategoriesTable[Subcategory name],MATCH(Table1[[#This Row],[Category]],SubcategoriesTable[Category name],0),0),"")</f>
        <v>Variable</v>
      </c>
      <c r="F1359" s="134">
        <v>-297.33</v>
      </c>
      <c r="G1359" s="167" t="str">
        <f>_xlfn.XLOOKUP(Table1[[#This Row],[Account_ID]], Accounts[ID], Accounts[Account nickname], "Unknown")</f>
        <v>EVERYDAY CHECKING</v>
      </c>
      <c r="H1359" s="137" t="str">
        <f>_xlfn.XLOOKUP(Table1[[#This Row],[Account_ID]], Accounts[ID], Accounts[Account'#], "Unknown")</f>
        <v>4636</v>
      </c>
      <c r="I1359" s="168" t="str">
        <f>_xlfn.XLOOKUP(Table1[[#This Row],[Institution_ID]], Institutions[ID], Institutions[Institution nickname], "Unknown")</f>
        <v>Wells Fargo</v>
      </c>
      <c r="J1359" s="139" t="s">
        <v>2056</v>
      </c>
      <c r="K1359" s="129" t="s">
        <v>1229</v>
      </c>
      <c r="L1359" s="129" t="s">
        <v>1228</v>
      </c>
      <c r="M1359" s="130" t="str" cm="1">
        <f t="array" ref="M1359">IFERROR(INDEX(CategoriesTable[Category type],MATCH(Table1[[#This Row],[Category]],CategoriesTable[Category name],0),0),"")</f>
        <v>Transfer</v>
      </c>
      <c r="N1359" s="130" t="str" cm="1">
        <f t="array" ref="N1359">IFERROR(INDEX(SubcategoriesTable[Subcategory name],MATCH(Table1[[#This Row],[Category]],SubcategoriesTable[Category name],0),0),"")</f>
        <v>Variable</v>
      </c>
      <c r="O1359" s="130">
        <v>9</v>
      </c>
      <c r="P1359" s="130">
        <f>MONTH(Table1[[#This Row],[Date]])</f>
        <v>12</v>
      </c>
      <c r="Q1359" s="130">
        <v>2019</v>
      </c>
      <c r="R1359" s="166">
        <f>IF(ISBLANK(Table1[[#This Row],[Date]]),"",Table1[[#This Row],[Date]]-WEEKDAY(Table1[[#This Row],[Date]],2)+1)</f>
        <v>43808</v>
      </c>
      <c r="S1359" s="131">
        <f>IF(ISBLANK(Table1[[#This Row],[Date]]),"",DATE(Table1[[#This Row],[Date_Year]],Table1[[#This Row],[Date_Month]],1))</f>
        <v>43800</v>
      </c>
    </row>
    <row r="1360" spans="2:19" ht="15.75" x14ac:dyDescent="0.25">
      <c r="B1360" s="133">
        <v>43808</v>
      </c>
      <c r="C1360" s="128" t="s">
        <v>1652</v>
      </c>
      <c r="D1360" s="128" t="s">
        <v>2369</v>
      </c>
      <c r="E1360" s="128" t="str" cm="1">
        <f t="array" ref="E1360">IFERROR(INDEX(SubcategoriesTable[Subcategory name],MATCH(Table1[[#This Row],[Category]],SubcategoriesTable[Category name],0),0),"")</f>
        <v>Variable</v>
      </c>
      <c r="F1360" s="134">
        <v>-542.64</v>
      </c>
      <c r="G1360" s="167" t="str">
        <f>_xlfn.XLOOKUP(Table1[[#This Row],[Account_ID]], Accounts[ID], Accounts[Account nickname], "Unknown")</f>
        <v>EVERYDAY CHECKING</v>
      </c>
      <c r="H1360" s="137" t="str">
        <f>_xlfn.XLOOKUP(Table1[[#This Row],[Account_ID]], Accounts[ID], Accounts[Account'#], "Unknown")</f>
        <v>4636</v>
      </c>
      <c r="I1360" s="168" t="str">
        <f>_xlfn.XLOOKUP(Table1[[#This Row],[Institution_ID]], Institutions[ID], Institutions[Institution nickname], "Unknown")</f>
        <v>Wells Fargo</v>
      </c>
      <c r="J1360" s="139" t="s">
        <v>2057</v>
      </c>
      <c r="K1360" s="129" t="s">
        <v>1229</v>
      </c>
      <c r="L1360" s="129" t="s">
        <v>1228</v>
      </c>
      <c r="M1360" s="130" t="str" cm="1">
        <f t="array" ref="M1360">IFERROR(INDEX(CategoriesTable[Category type],MATCH(Table1[[#This Row],[Category]],CategoriesTable[Category name],0),0),"")</f>
        <v>Expense</v>
      </c>
      <c r="N1360" s="130" t="str" cm="1">
        <f t="array" ref="N1360">IFERROR(INDEX(SubcategoriesTable[Subcategory name],MATCH(Table1[[#This Row],[Category]],SubcategoriesTable[Category name],0),0),"")</f>
        <v>Variable</v>
      </c>
      <c r="O1360" s="130">
        <v>9</v>
      </c>
      <c r="P1360" s="130">
        <f>MONTH(Table1[[#This Row],[Date]])</f>
        <v>12</v>
      </c>
      <c r="Q1360" s="130">
        <v>2019</v>
      </c>
      <c r="R1360" s="166">
        <f>IF(ISBLANK(Table1[[#This Row],[Date]]),"",Table1[[#This Row],[Date]]-WEEKDAY(Table1[[#This Row],[Date]],2)+1)</f>
        <v>43808</v>
      </c>
      <c r="S1360" s="131">
        <f>IF(ISBLANK(Table1[[#This Row],[Date]]),"",DATE(Table1[[#This Row],[Date_Year]],Table1[[#This Row],[Date_Month]],1))</f>
        <v>43800</v>
      </c>
    </row>
    <row r="1361" spans="2:19" ht="15.75" x14ac:dyDescent="0.25">
      <c r="B1361" s="133">
        <v>43807</v>
      </c>
      <c r="C1361" s="128" t="s">
        <v>304</v>
      </c>
      <c r="D1361" s="128" t="s">
        <v>46</v>
      </c>
      <c r="E1361" s="128" t="str" cm="1">
        <f t="array" ref="E1361">IFERROR(INDEX(SubcategoriesTable[Subcategory name],MATCH(Table1[[#This Row],[Category]],SubcategoriesTable[Category name],0),0),"")</f>
        <v>Variable</v>
      </c>
      <c r="F1361" s="134">
        <v>-1.99</v>
      </c>
      <c r="G1361" s="167" t="str">
        <f>_xlfn.XLOOKUP(Table1[[#This Row],[Account_ID]], Accounts[ID], Accounts[Account nickname], "Unknown")</f>
        <v>EVERYDAY CHECKING</v>
      </c>
      <c r="H1361" s="137" t="str">
        <f>_xlfn.XLOOKUP(Table1[[#This Row],[Account_ID]], Accounts[ID], Accounts[Account'#], "Unknown")</f>
        <v>4636</v>
      </c>
      <c r="I1361" s="168" t="str">
        <f>_xlfn.XLOOKUP(Table1[[#This Row],[Institution_ID]], Institutions[ID], Institutions[Institution nickname], "Unknown")</f>
        <v>Wells Fargo</v>
      </c>
      <c r="J1361" s="139" t="s">
        <v>2058</v>
      </c>
      <c r="K1361" s="129" t="s">
        <v>1229</v>
      </c>
      <c r="L1361" s="129" t="s">
        <v>1228</v>
      </c>
      <c r="M1361" s="130" t="str" cm="1">
        <f t="array" ref="M1361">IFERROR(INDEX(CategoriesTable[Category type],MATCH(Table1[[#This Row],[Category]],CategoriesTable[Category name],0),0),"")</f>
        <v>Expense</v>
      </c>
      <c r="N1361" s="130" t="str" cm="1">
        <f t="array" ref="N1361">IFERROR(INDEX(SubcategoriesTable[Subcategory name],MATCH(Table1[[#This Row],[Category]],SubcategoriesTable[Category name],0),0),"")</f>
        <v>Variable</v>
      </c>
      <c r="O1361" s="130">
        <v>8</v>
      </c>
      <c r="P1361" s="130">
        <f>MONTH(Table1[[#This Row],[Date]])</f>
        <v>12</v>
      </c>
      <c r="Q1361" s="130">
        <v>2019</v>
      </c>
      <c r="R1361" s="166">
        <f>IF(ISBLANK(Table1[[#This Row],[Date]]),"",Table1[[#This Row],[Date]]-WEEKDAY(Table1[[#This Row],[Date]],2)+1)</f>
        <v>43801</v>
      </c>
      <c r="S1361" s="131">
        <f>IF(ISBLANK(Table1[[#This Row],[Date]]),"",DATE(Table1[[#This Row],[Date_Year]],Table1[[#This Row],[Date_Month]],1))</f>
        <v>43800</v>
      </c>
    </row>
    <row r="1362" spans="2:19" ht="15.75" x14ac:dyDescent="0.25">
      <c r="B1362" s="133">
        <v>43807</v>
      </c>
      <c r="C1362" s="128" t="s">
        <v>1897</v>
      </c>
      <c r="D1362" s="128" t="s">
        <v>46</v>
      </c>
      <c r="E1362" s="128" t="str" cm="1">
        <f t="array" ref="E1362">IFERROR(INDEX(SubcategoriesTable[Subcategory name],MATCH(Table1[[#This Row],[Category]],SubcategoriesTable[Category name],0),0),"")</f>
        <v>Variable</v>
      </c>
      <c r="F1362" s="134">
        <v>-14.99</v>
      </c>
      <c r="G1362" s="167" t="str">
        <f>_xlfn.XLOOKUP(Table1[[#This Row],[Account_ID]], Accounts[ID], Accounts[Account nickname], "Unknown")</f>
        <v>EVERYDAY CHECKING</v>
      </c>
      <c r="H1362" s="137" t="str">
        <f>_xlfn.XLOOKUP(Table1[[#This Row],[Account_ID]], Accounts[ID], Accounts[Account'#], "Unknown")</f>
        <v>4636</v>
      </c>
      <c r="I1362" s="168" t="str">
        <f>_xlfn.XLOOKUP(Table1[[#This Row],[Institution_ID]], Institutions[ID], Institutions[Institution nickname], "Unknown")</f>
        <v>Wells Fargo</v>
      </c>
      <c r="J1362" s="139" t="s">
        <v>2059</v>
      </c>
      <c r="K1362" s="129" t="s">
        <v>1229</v>
      </c>
      <c r="L1362" s="129" t="s">
        <v>1228</v>
      </c>
      <c r="M1362" s="130" t="str" cm="1">
        <f t="array" ref="M1362">IFERROR(INDEX(CategoriesTable[Category type],MATCH(Table1[[#This Row],[Category]],CategoriesTable[Category name],0),0),"")</f>
        <v>Expense</v>
      </c>
      <c r="N1362" s="130" t="str" cm="1">
        <f t="array" ref="N1362">IFERROR(INDEX(SubcategoriesTable[Subcategory name],MATCH(Table1[[#This Row],[Category]],SubcategoriesTable[Category name],0),0),"")</f>
        <v>Variable</v>
      </c>
      <c r="O1362" s="130">
        <v>8</v>
      </c>
      <c r="P1362" s="130">
        <f>MONTH(Table1[[#This Row],[Date]])</f>
        <v>12</v>
      </c>
      <c r="Q1362" s="130">
        <v>2019</v>
      </c>
      <c r="R1362" s="166">
        <f>IF(ISBLANK(Table1[[#This Row],[Date]]),"",Table1[[#This Row],[Date]]-WEEKDAY(Table1[[#This Row],[Date]],2)+1)</f>
        <v>43801</v>
      </c>
      <c r="S1362" s="131">
        <f>IF(ISBLANK(Table1[[#This Row],[Date]]),"",DATE(Table1[[#This Row],[Date_Year]],Table1[[#This Row],[Date_Month]],1))</f>
        <v>43800</v>
      </c>
    </row>
    <row r="1363" spans="2:19" ht="15.75" x14ac:dyDescent="0.25">
      <c r="B1363" s="133">
        <v>43807</v>
      </c>
      <c r="C1363" s="128" t="s">
        <v>1902</v>
      </c>
      <c r="D1363" s="128" t="s">
        <v>45</v>
      </c>
      <c r="E1363" s="128" t="str" cm="1">
        <f t="array" ref="E1363">IFERROR(INDEX(SubcategoriesTable[Subcategory name],MATCH(Table1[[#This Row],[Category]],SubcategoriesTable[Category name],0),0),"")</f>
        <v>Variable</v>
      </c>
      <c r="F1363" s="134">
        <v>-30</v>
      </c>
      <c r="G1363" s="167" t="str">
        <f>_xlfn.XLOOKUP(Table1[[#This Row],[Account_ID]], Accounts[ID], Accounts[Account nickname], "Unknown")</f>
        <v>EVERYDAY CHECKING</v>
      </c>
      <c r="H1363" s="137" t="str">
        <f>_xlfn.XLOOKUP(Table1[[#This Row],[Account_ID]], Accounts[ID], Accounts[Account'#], "Unknown")</f>
        <v>4636</v>
      </c>
      <c r="I1363" s="168" t="str">
        <f>_xlfn.XLOOKUP(Table1[[#This Row],[Institution_ID]], Institutions[ID], Institutions[Institution nickname], "Unknown")</f>
        <v>Wells Fargo</v>
      </c>
      <c r="J1363" s="139" t="s">
        <v>2060</v>
      </c>
      <c r="K1363" s="129" t="s">
        <v>1229</v>
      </c>
      <c r="L1363" s="129" t="s">
        <v>1228</v>
      </c>
      <c r="M1363" s="130" t="str" cm="1">
        <f t="array" ref="M1363">IFERROR(INDEX(CategoriesTable[Category type],MATCH(Table1[[#This Row],[Category]],CategoriesTable[Category name],0),0),"")</f>
        <v>Expense</v>
      </c>
      <c r="N1363" s="130" t="str" cm="1">
        <f t="array" ref="N1363">IFERROR(INDEX(SubcategoriesTable[Subcategory name],MATCH(Table1[[#This Row],[Category]],SubcategoriesTable[Category name],0),0),"")</f>
        <v>Variable</v>
      </c>
      <c r="O1363" s="130">
        <v>8</v>
      </c>
      <c r="P1363" s="130">
        <f>MONTH(Table1[[#This Row],[Date]])</f>
        <v>12</v>
      </c>
      <c r="Q1363" s="130">
        <v>2019</v>
      </c>
      <c r="R1363" s="166">
        <f>IF(ISBLANK(Table1[[#This Row],[Date]]),"",Table1[[#This Row],[Date]]-WEEKDAY(Table1[[#This Row],[Date]],2)+1)</f>
        <v>43801</v>
      </c>
      <c r="S1363" s="131">
        <f>IF(ISBLANK(Table1[[#This Row],[Date]]),"",DATE(Table1[[#This Row],[Date_Year]],Table1[[#This Row],[Date_Month]],1))</f>
        <v>43800</v>
      </c>
    </row>
    <row r="1364" spans="2:19" ht="15.75" x14ac:dyDescent="0.25">
      <c r="B1364" s="133">
        <v>43807</v>
      </c>
      <c r="C1364" s="128" t="s">
        <v>2061</v>
      </c>
      <c r="D1364" s="128" t="s">
        <v>45</v>
      </c>
      <c r="E1364" s="128" t="str" cm="1">
        <f t="array" ref="E1364">IFERROR(INDEX(SubcategoriesTable[Subcategory name],MATCH(Table1[[#This Row],[Category]],SubcategoriesTable[Category name],0),0),"")</f>
        <v>Variable</v>
      </c>
      <c r="F1364" s="134">
        <v>-17.190000000000001</v>
      </c>
      <c r="G1364" s="167" t="str">
        <f>_xlfn.XLOOKUP(Table1[[#This Row],[Account_ID]], Accounts[ID], Accounts[Account nickname], "Unknown")</f>
        <v>EVERYDAY CHECKING</v>
      </c>
      <c r="H1364" s="137" t="str">
        <f>_xlfn.XLOOKUP(Table1[[#This Row],[Account_ID]], Accounts[ID], Accounts[Account'#], "Unknown")</f>
        <v>4636</v>
      </c>
      <c r="I1364" s="168" t="str">
        <f>_xlfn.XLOOKUP(Table1[[#This Row],[Institution_ID]], Institutions[ID], Institutions[Institution nickname], "Unknown")</f>
        <v>Wells Fargo</v>
      </c>
      <c r="J1364" s="139" t="s">
        <v>2062</v>
      </c>
      <c r="K1364" s="129" t="s">
        <v>1229</v>
      </c>
      <c r="L1364" s="129" t="s">
        <v>1228</v>
      </c>
      <c r="M1364" s="130" t="str" cm="1">
        <f t="array" ref="M1364">IFERROR(INDEX(CategoriesTable[Category type],MATCH(Table1[[#This Row],[Category]],CategoriesTable[Category name],0),0),"")</f>
        <v>Expense</v>
      </c>
      <c r="N1364" s="130" t="str" cm="1">
        <f t="array" ref="N1364">IFERROR(INDEX(SubcategoriesTable[Subcategory name],MATCH(Table1[[#This Row],[Category]],SubcategoriesTable[Category name],0),0),"")</f>
        <v>Variable</v>
      </c>
      <c r="O1364" s="130">
        <v>8</v>
      </c>
      <c r="P1364" s="130">
        <f>MONTH(Table1[[#This Row],[Date]])</f>
        <v>12</v>
      </c>
      <c r="Q1364" s="130">
        <v>2019</v>
      </c>
      <c r="R1364" s="166">
        <f>IF(ISBLANK(Table1[[#This Row],[Date]]),"",Table1[[#This Row],[Date]]-WEEKDAY(Table1[[#This Row],[Date]],2)+1)</f>
        <v>43801</v>
      </c>
      <c r="S1364" s="131">
        <f>IF(ISBLANK(Table1[[#This Row],[Date]]),"",DATE(Table1[[#This Row],[Date_Year]],Table1[[#This Row],[Date_Month]],1))</f>
        <v>43800</v>
      </c>
    </row>
    <row r="1365" spans="2:19" ht="15.75" x14ac:dyDescent="0.25">
      <c r="B1365" s="133">
        <v>43807</v>
      </c>
      <c r="C1365" s="128" t="s">
        <v>427</v>
      </c>
      <c r="D1365" s="128" t="s">
        <v>52</v>
      </c>
      <c r="E1365" s="128" t="str" cm="1">
        <f t="array" ref="E1365">IFERROR(INDEX(SubcategoriesTable[Subcategory name],MATCH(Table1[[#This Row],[Category]],SubcategoriesTable[Category name],0),0),"")</f>
        <v>Variable</v>
      </c>
      <c r="F1365" s="134">
        <v>-21.87</v>
      </c>
      <c r="G1365" s="167" t="str">
        <f>_xlfn.XLOOKUP(Table1[[#This Row],[Account_ID]], Accounts[ID], Accounts[Account nickname], "Unknown")</f>
        <v>EVERYDAY CHECKING</v>
      </c>
      <c r="H1365" s="137" t="str">
        <f>_xlfn.XLOOKUP(Table1[[#This Row],[Account_ID]], Accounts[ID], Accounts[Account'#], "Unknown")</f>
        <v>4636</v>
      </c>
      <c r="I1365" s="168" t="str">
        <f>_xlfn.XLOOKUP(Table1[[#This Row],[Institution_ID]], Institutions[ID], Institutions[Institution nickname], "Unknown")</f>
        <v>Wells Fargo</v>
      </c>
      <c r="J1365" s="171" t="s">
        <v>2063</v>
      </c>
      <c r="K1365" s="129" t="s">
        <v>1229</v>
      </c>
      <c r="L1365" s="129" t="s">
        <v>1228</v>
      </c>
      <c r="M1365" s="130" t="str" cm="1">
        <f t="array" ref="M1365">IFERROR(INDEX(CategoriesTable[Category type],MATCH(Table1[[#This Row],[Category]],CategoriesTable[Category name],0),0),"")</f>
        <v>Expense</v>
      </c>
      <c r="N1365" s="130" t="str" cm="1">
        <f t="array" ref="N1365">IFERROR(INDEX(SubcategoriesTable[Subcategory name],MATCH(Table1[[#This Row],[Category]],SubcategoriesTable[Category name],0),0),"")</f>
        <v>Variable</v>
      </c>
      <c r="O1365" s="130">
        <v>8</v>
      </c>
      <c r="P1365" s="130">
        <f>MONTH(Table1[[#This Row],[Date]])</f>
        <v>12</v>
      </c>
      <c r="Q1365" s="130">
        <v>2019</v>
      </c>
      <c r="R1365" s="166">
        <f>IF(ISBLANK(Table1[[#This Row],[Date]]),"",Table1[[#This Row],[Date]]-WEEKDAY(Table1[[#This Row],[Date]],2)+1)</f>
        <v>43801</v>
      </c>
      <c r="S1365" s="131">
        <f>IF(ISBLANK(Table1[[#This Row],[Date]]),"",DATE(Table1[[#This Row],[Date_Year]],Table1[[#This Row],[Date_Month]],1))</f>
        <v>43800</v>
      </c>
    </row>
    <row r="1366" spans="2:19" ht="15.75" x14ac:dyDescent="0.25">
      <c r="B1366" s="133">
        <v>43807</v>
      </c>
      <c r="C1366" s="128" t="s">
        <v>427</v>
      </c>
      <c r="D1366" s="128" t="s">
        <v>52</v>
      </c>
      <c r="E1366" s="128" t="str" cm="1">
        <f t="array" ref="E1366">IFERROR(INDEX(SubcategoriesTable[Subcategory name],MATCH(Table1[[#This Row],[Category]],SubcategoriesTable[Category name],0),0),"")</f>
        <v>Variable</v>
      </c>
      <c r="F1366" s="134">
        <v>-42.1</v>
      </c>
      <c r="G1366" s="167" t="str">
        <f>_xlfn.XLOOKUP(Table1[[#This Row],[Account_ID]], Accounts[ID], Accounts[Account nickname], "Unknown")</f>
        <v>EVERYDAY CHECKING</v>
      </c>
      <c r="H1366" s="137" t="str">
        <f>_xlfn.XLOOKUP(Table1[[#This Row],[Account_ID]], Accounts[ID], Accounts[Account'#], "Unknown")</f>
        <v>4636</v>
      </c>
      <c r="I1366" s="168" t="str">
        <f>_xlfn.XLOOKUP(Table1[[#This Row],[Institution_ID]], Institutions[ID], Institutions[Institution nickname], "Unknown")</f>
        <v>Wells Fargo</v>
      </c>
      <c r="J1366" s="139" t="s">
        <v>2064</v>
      </c>
      <c r="K1366" s="129" t="s">
        <v>1229</v>
      </c>
      <c r="L1366" s="129" t="s">
        <v>1228</v>
      </c>
      <c r="M1366" s="130" t="str" cm="1">
        <f t="array" ref="M1366">IFERROR(INDEX(CategoriesTable[Category type],MATCH(Table1[[#This Row],[Category]],CategoriesTable[Category name],0),0),"")</f>
        <v>Expense</v>
      </c>
      <c r="N1366" s="130" t="str" cm="1">
        <f t="array" ref="N1366">IFERROR(INDEX(SubcategoriesTable[Subcategory name],MATCH(Table1[[#This Row],[Category]],SubcategoriesTable[Category name],0),0),"")</f>
        <v>Variable</v>
      </c>
      <c r="O1366" s="130">
        <v>8</v>
      </c>
      <c r="P1366" s="130">
        <f>MONTH(Table1[[#This Row],[Date]])</f>
        <v>12</v>
      </c>
      <c r="Q1366" s="130">
        <v>2019</v>
      </c>
      <c r="R1366" s="166">
        <f>IF(ISBLANK(Table1[[#This Row],[Date]]),"",Table1[[#This Row],[Date]]-WEEKDAY(Table1[[#This Row],[Date]],2)+1)</f>
        <v>43801</v>
      </c>
      <c r="S1366" s="131">
        <f>IF(ISBLANK(Table1[[#This Row],[Date]]),"",DATE(Table1[[#This Row],[Date_Year]],Table1[[#This Row],[Date_Month]],1))</f>
        <v>43800</v>
      </c>
    </row>
    <row r="1367" spans="2:19" ht="15.75" x14ac:dyDescent="0.25">
      <c r="B1367" s="133">
        <v>43807</v>
      </c>
      <c r="C1367" s="128" t="s">
        <v>1937</v>
      </c>
      <c r="D1367" s="128" t="s">
        <v>54</v>
      </c>
      <c r="E1367" s="128" t="str" cm="1">
        <f t="array" ref="E1367">IFERROR(INDEX(SubcategoriesTable[Subcategory name],MATCH(Table1[[#This Row],[Category]],SubcategoriesTable[Category name],0),0),"")</f>
        <v>Fixed</v>
      </c>
      <c r="F1367" s="134">
        <v>-54.95</v>
      </c>
      <c r="G1367" s="167" t="str">
        <f>_xlfn.XLOOKUP(Table1[[#This Row],[Account_ID]], Accounts[ID], Accounts[Account nickname], "Unknown")</f>
        <v>EVERYDAY CHECKING</v>
      </c>
      <c r="H1367" s="137" t="str">
        <f>_xlfn.XLOOKUP(Table1[[#This Row],[Account_ID]], Accounts[ID], Accounts[Account'#], "Unknown")</f>
        <v>4636</v>
      </c>
      <c r="I1367" s="168" t="str">
        <f>_xlfn.XLOOKUP(Table1[[#This Row],[Institution_ID]], Institutions[ID], Institutions[Institution nickname], "Unknown")</f>
        <v>Wells Fargo</v>
      </c>
      <c r="J1367" s="139" t="s">
        <v>2065</v>
      </c>
      <c r="K1367" s="129" t="s">
        <v>1229</v>
      </c>
      <c r="L1367" s="129" t="s">
        <v>1228</v>
      </c>
      <c r="M1367" s="130" t="str" cm="1">
        <f t="array" ref="M1367">IFERROR(INDEX(CategoriesTable[Category type],MATCH(Table1[[#This Row],[Category]],CategoriesTable[Category name],0),0),"")</f>
        <v>Expense</v>
      </c>
      <c r="N1367" s="130" t="str" cm="1">
        <f t="array" ref="N1367">IFERROR(INDEX(SubcategoriesTable[Subcategory name],MATCH(Table1[[#This Row],[Category]],SubcategoriesTable[Category name],0),0),"")</f>
        <v>Fixed</v>
      </c>
      <c r="O1367" s="130">
        <v>8</v>
      </c>
      <c r="P1367" s="130">
        <f>MONTH(Table1[[#This Row],[Date]])</f>
        <v>12</v>
      </c>
      <c r="Q1367" s="130">
        <v>2019</v>
      </c>
      <c r="R1367" s="166">
        <f>IF(ISBLANK(Table1[[#This Row],[Date]]),"",Table1[[#This Row],[Date]]-WEEKDAY(Table1[[#This Row],[Date]],2)+1)</f>
        <v>43801</v>
      </c>
      <c r="S1367" s="131">
        <f>IF(ISBLANK(Table1[[#This Row],[Date]]),"",DATE(Table1[[#This Row],[Date_Year]],Table1[[#This Row],[Date_Month]],1))</f>
        <v>43800</v>
      </c>
    </row>
    <row r="1368" spans="2:19" ht="15.75" x14ac:dyDescent="0.25">
      <c r="B1368" s="133">
        <v>43806</v>
      </c>
      <c r="C1368" s="128" t="s">
        <v>2066</v>
      </c>
      <c r="D1368" s="128" t="s">
        <v>52</v>
      </c>
      <c r="E1368" s="128" t="str" cm="1">
        <f t="array" ref="E1368">IFERROR(INDEX(SubcategoriesTable[Subcategory name],MATCH(Table1[[#This Row],[Category]],SubcategoriesTable[Category name],0),0),"")</f>
        <v>Variable</v>
      </c>
      <c r="F1368" s="134">
        <v>-65.38</v>
      </c>
      <c r="G1368" s="167" t="str">
        <f>_xlfn.XLOOKUP(Table1[[#This Row],[Account_ID]], Accounts[ID], Accounts[Account nickname], "Unknown")</f>
        <v>EVERYDAY CHECKING</v>
      </c>
      <c r="H1368" s="137" t="str">
        <f>_xlfn.XLOOKUP(Table1[[#This Row],[Account_ID]], Accounts[ID], Accounts[Account'#], "Unknown")</f>
        <v>4636</v>
      </c>
      <c r="I1368" s="168" t="str">
        <f>_xlfn.XLOOKUP(Table1[[#This Row],[Institution_ID]], Institutions[ID], Institutions[Institution nickname], "Unknown")</f>
        <v>Wells Fargo</v>
      </c>
      <c r="J1368" s="139" t="s">
        <v>2067</v>
      </c>
      <c r="K1368" s="129" t="s">
        <v>1229</v>
      </c>
      <c r="L1368" s="129" t="s">
        <v>1228</v>
      </c>
      <c r="M1368" s="130" t="str" cm="1">
        <f t="array" ref="M1368">IFERROR(INDEX(CategoriesTable[Category type],MATCH(Table1[[#This Row],[Category]],CategoriesTable[Category name],0),0),"")</f>
        <v>Expense</v>
      </c>
      <c r="N1368" s="130" t="str" cm="1">
        <f t="array" ref="N1368">IFERROR(INDEX(SubcategoriesTable[Subcategory name],MATCH(Table1[[#This Row],[Category]],SubcategoriesTable[Category name],0),0),"")</f>
        <v>Variable</v>
      </c>
      <c r="O1368" s="130">
        <v>7</v>
      </c>
      <c r="P1368" s="130">
        <f>MONTH(Table1[[#This Row],[Date]])</f>
        <v>12</v>
      </c>
      <c r="Q1368" s="130">
        <v>2019</v>
      </c>
      <c r="R1368" s="166">
        <f>IF(ISBLANK(Table1[[#This Row],[Date]]),"",Table1[[#This Row],[Date]]-WEEKDAY(Table1[[#This Row],[Date]],2)+1)</f>
        <v>43801</v>
      </c>
      <c r="S1368" s="131">
        <f>IF(ISBLANK(Table1[[#This Row],[Date]]),"",DATE(Table1[[#This Row],[Date_Year]],Table1[[#This Row],[Date_Month]],1))</f>
        <v>43800</v>
      </c>
    </row>
    <row r="1369" spans="2:19" ht="15.75" x14ac:dyDescent="0.25">
      <c r="B1369" s="133">
        <v>43806</v>
      </c>
      <c r="C1369" s="128" t="s">
        <v>2068</v>
      </c>
      <c r="D1369" s="128" t="s">
        <v>52</v>
      </c>
      <c r="E1369" s="128" t="str" cm="1">
        <f t="array" ref="E1369">IFERROR(INDEX(SubcategoriesTable[Subcategory name],MATCH(Table1[[#This Row],[Category]],SubcategoriesTable[Category name],0),0),"")</f>
        <v>Variable</v>
      </c>
      <c r="F1369" s="134">
        <v>-20.96</v>
      </c>
      <c r="G1369" s="167" t="str">
        <f>_xlfn.XLOOKUP(Table1[[#This Row],[Account_ID]], Accounts[ID], Accounts[Account nickname], "Unknown")</f>
        <v>EVERYDAY CHECKING</v>
      </c>
      <c r="H1369" s="137" t="str">
        <f>_xlfn.XLOOKUP(Table1[[#This Row],[Account_ID]], Accounts[ID], Accounts[Account'#], "Unknown")</f>
        <v>4636</v>
      </c>
      <c r="I1369" s="168" t="str">
        <f>_xlfn.XLOOKUP(Table1[[#This Row],[Institution_ID]], Institutions[ID], Institutions[Institution nickname], "Unknown")</f>
        <v>Wells Fargo</v>
      </c>
      <c r="J1369" s="139" t="s">
        <v>2069</v>
      </c>
      <c r="K1369" s="129" t="s">
        <v>1229</v>
      </c>
      <c r="L1369" s="129" t="s">
        <v>1228</v>
      </c>
      <c r="M1369" s="130" t="str" cm="1">
        <f t="array" ref="M1369">IFERROR(INDEX(CategoriesTable[Category type],MATCH(Table1[[#This Row],[Category]],CategoriesTable[Category name],0),0),"")</f>
        <v>Expense</v>
      </c>
      <c r="N1369" s="130" t="str" cm="1">
        <f t="array" ref="N1369">IFERROR(INDEX(SubcategoriesTable[Subcategory name],MATCH(Table1[[#This Row],[Category]],SubcategoriesTable[Category name],0),0),"")</f>
        <v>Variable</v>
      </c>
      <c r="O1369" s="130">
        <v>7</v>
      </c>
      <c r="P1369" s="130">
        <f>MONTH(Table1[[#This Row],[Date]])</f>
        <v>12</v>
      </c>
      <c r="Q1369" s="130">
        <v>2019</v>
      </c>
      <c r="R1369" s="166">
        <f>IF(ISBLANK(Table1[[#This Row],[Date]]),"",Table1[[#This Row],[Date]]-WEEKDAY(Table1[[#This Row],[Date]],2)+1)</f>
        <v>43801</v>
      </c>
      <c r="S1369" s="131">
        <f>IF(ISBLANK(Table1[[#This Row],[Date]]),"",DATE(Table1[[#This Row],[Date_Year]],Table1[[#This Row],[Date_Month]],1))</f>
        <v>43800</v>
      </c>
    </row>
    <row r="1370" spans="2:19" ht="15.75" x14ac:dyDescent="0.25">
      <c r="B1370" s="133">
        <v>43806</v>
      </c>
      <c r="C1370" s="128" t="s">
        <v>2070</v>
      </c>
      <c r="D1370" s="128" t="s">
        <v>52</v>
      </c>
      <c r="E1370" s="128" t="str" cm="1">
        <f t="array" ref="E1370">IFERROR(INDEX(SubcategoriesTable[Subcategory name],MATCH(Table1[[#This Row],[Category]],SubcategoriesTable[Category name],0),0),"")</f>
        <v>Variable</v>
      </c>
      <c r="F1370" s="134">
        <v>-24</v>
      </c>
      <c r="G1370" s="167" t="str">
        <f>_xlfn.XLOOKUP(Table1[[#This Row],[Account_ID]], Accounts[ID], Accounts[Account nickname], "Unknown")</f>
        <v>EVERYDAY CHECKING</v>
      </c>
      <c r="H1370" s="137" t="str">
        <f>_xlfn.XLOOKUP(Table1[[#This Row],[Account_ID]], Accounts[ID], Accounts[Account'#], "Unknown")</f>
        <v>4636</v>
      </c>
      <c r="I1370" s="168" t="str">
        <f>_xlfn.XLOOKUP(Table1[[#This Row],[Institution_ID]], Institutions[ID], Institutions[Institution nickname], "Unknown")</f>
        <v>Wells Fargo</v>
      </c>
      <c r="J1370" s="139" t="s">
        <v>2071</v>
      </c>
      <c r="K1370" s="129" t="s">
        <v>1229</v>
      </c>
      <c r="L1370" s="129" t="s">
        <v>1228</v>
      </c>
      <c r="M1370" s="130" t="str" cm="1">
        <f t="array" ref="M1370">IFERROR(INDEX(CategoriesTable[Category type],MATCH(Table1[[#This Row],[Category]],CategoriesTable[Category name],0),0),"")</f>
        <v>Expense</v>
      </c>
      <c r="N1370" s="130" t="str" cm="1">
        <f t="array" ref="N1370">IFERROR(INDEX(SubcategoriesTable[Subcategory name],MATCH(Table1[[#This Row],[Category]],SubcategoriesTable[Category name],0),0),"")</f>
        <v>Variable</v>
      </c>
      <c r="O1370" s="130">
        <v>7</v>
      </c>
      <c r="P1370" s="130">
        <f>MONTH(Table1[[#This Row],[Date]])</f>
        <v>12</v>
      </c>
      <c r="Q1370" s="130">
        <v>2019</v>
      </c>
      <c r="R1370" s="166">
        <f>IF(ISBLANK(Table1[[#This Row],[Date]]),"",Table1[[#This Row],[Date]]-WEEKDAY(Table1[[#This Row],[Date]],2)+1)</f>
        <v>43801</v>
      </c>
      <c r="S1370" s="131">
        <f>IF(ISBLANK(Table1[[#This Row],[Date]]),"",DATE(Table1[[#This Row],[Date_Year]],Table1[[#This Row],[Date_Month]],1))</f>
        <v>43800</v>
      </c>
    </row>
    <row r="1371" spans="2:19" ht="15.75" x14ac:dyDescent="0.25">
      <c r="B1371" s="133">
        <v>43806</v>
      </c>
      <c r="C1371" s="128" t="s">
        <v>1985</v>
      </c>
      <c r="D1371" s="128" t="s">
        <v>49</v>
      </c>
      <c r="E1371" s="128" t="str" cm="1">
        <f t="array" ref="E1371">IFERROR(INDEX(SubcategoriesTable[Subcategory name],MATCH(Table1[[#This Row],[Category]],SubcategoriesTable[Category name],0),0),"")</f>
        <v>Variable</v>
      </c>
      <c r="F1371" s="134">
        <v>-3.88</v>
      </c>
      <c r="G1371" s="167" t="str">
        <f>_xlfn.XLOOKUP(Table1[[#This Row],[Account_ID]], Accounts[ID], Accounts[Account nickname], "Unknown")</f>
        <v>EVERYDAY CHECKING</v>
      </c>
      <c r="H1371" s="137" t="str">
        <f>_xlfn.XLOOKUP(Table1[[#This Row],[Account_ID]], Accounts[ID], Accounts[Account'#], "Unknown")</f>
        <v>4636</v>
      </c>
      <c r="I1371" s="168" t="str">
        <f>_xlfn.XLOOKUP(Table1[[#This Row],[Institution_ID]], Institutions[ID], Institutions[Institution nickname], "Unknown")</f>
        <v>Wells Fargo</v>
      </c>
      <c r="J1371" s="139" t="s">
        <v>2072</v>
      </c>
      <c r="K1371" s="129" t="s">
        <v>1229</v>
      </c>
      <c r="L1371" s="129" t="s">
        <v>1228</v>
      </c>
      <c r="M1371" s="130" t="str" cm="1">
        <f t="array" ref="M1371">IFERROR(INDEX(CategoriesTable[Category type],MATCH(Table1[[#This Row],[Category]],CategoriesTable[Category name],0),0),"")</f>
        <v>Expense</v>
      </c>
      <c r="N1371" s="130" t="str" cm="1">
        <f t="array" ref="N1371">IFERROR(INDEX(SubcategoriesTable[Subcategory name],MATCH(Table1[[#This Row],[Category]],SubcategoriesTable[Category name],0),0),"")</f>
        <v>Variable</v>
      </c>
      <c r="O1371" s="130">
        <v>7</v>
      </c>
      <c r="P1371" s="130">
        <f>MONTH(Table1[[#This Row],[Date]])</f>
        <v>12</v>
      </c>
      <c r="Q1371" s="130">
        <v>2019</v>
      </c>
      <c r="R1371" s="166">
        <f>IF(ISBLANK(Table1[[#This Row],[Date]]),"",Table1[[#This Row],[Date]]-WEEKDAY(Table1[[#This Row],[Date]],2)+1)</f>
        <v>43801</v>
      </c>
      <c r="S1371" s="131">
        <f>IF(ISBLANK(Table1[[#This Row],[Date]]),"",DATE(Table1[[#This Row],[Date_Year]],Table1[[#This Row],[Date_Month]],1))</f>
        <v>43800</v>
      </c>
    </row>
    <row r="1372" spans="2:19" ht="15.75" x14ac:dyDescent="0.25">
      <c r="B1372" s="133">
        <v>43806</v>
      </c>
      <c r="C1372" s="128" t="s">
        <v>2073</v>
      </c>
      <c r="D1372" s="128" t="s">
        <v>45</v>
      </c>
      <c r="E1372" s="128" t="str" cm="1">
        <f t="array" ref="E1372">IFERROR(INDEX(SubcategoriesTable[Subcategory name],MATCH(Table1[[#This Row],[Category]],SubcategoriesTable[Category name],0),0),"")</f>
        <v>Variable</v>
      </c>
      <c r="F1372" s="134">
        <v>-55.62</v>
      </c>
      <c r="G1372" s="167" t="str">
        <f>_xlfn.XLOOKUP(Table1[[#This Row],[Account_ID]], Accounts[ID], Accounts[Account nickname], "Unknown")</f>
        <v>EVERYDAY CHECKING</v>
      </c>
      <c r="H1372" s="137" t="str">
        <f>_xlfn.XLOOKUP(Table1[[#This Row],[Account_ID]], Accounts[ID], Accounts[Account'#], "Unknown")</f>
        <v>4636</v>
      </c>
      <c r="I1372" s="168" t="str">
        <f>_xlfn.XLOOKUP(Table1[[#This Row],[Institution_ID]], Institutions[ID], Institutions[Institution nickname], "Unknown")</f>
        <v>Wells Fargo</v>
      </c>
      <c r="J1372" s="139" t="s">
        <v>2074</v>
      </c>
      <c r="K1372" s="129" t="s">
        <v>1229</v>
      </c>
      <c r="L1372" s="129" t="s">
        <v>1228</v>
      </c>
      <c r="M1372" s="130" t="str" cm="1">
        <f t="array" ref="M1372">IFERROR(INDEX(CategoriesTable[Category type],MATCH(Table1[[#This Row],[Category]],CategoriesTable[Category name],0),0),"")</f>
        <v>Expense</v>
      </c>
      <c r="N1372" s="130" t="str" cm="1">
        <f t="array" ref="N1372">IFERROR(INDEX(SubcategoriesTable[Subcategory name],MATCH(Table1[[#This Row],[Category]],SubcategoriesTable[Category name],0),0),"")</f>
        <v>Variable</v>
      </c>
      <c r="O1372" s="130">
        <v>7</v>
      </c>
      <c r="P1372" s="130">
        <f>MONTH(Table1[[#This Row],[Date]])</f>
        <v>12</v>
      </c>
      <c r="Q1372" s="130">
        <v>2019</v>
      </c>
      <c r="R1372" s="166">
        <f>IF(ISBLANK(Table1[[#This Row],[Date]]),"",Table1[[#This Row],[Date]]-WEEKDAY(Table1[[#This Row],[Date]],2)+1)</f>
        <v>43801</v>
      </c>
      <c r="S1372" s="131">
        <f>IF(ISBLANK(Table1[[#This Row],[Date]]),"",DATE(Table1[[#This Row],[Date_Year]],Table1[[#This Row],[Date_Month]],1))</f>
        <v>43800</v>
      </c>
    </row>
    <row r="1373" spans="2:19" ht="15.75" x14ac:dyDescent="0.25">
      <c r="B1373" s="133">
        <v>43806</v>
      </c>
      <c r="C1373" s="128" t="s">
        <v>2075</v>
      </c>
      <c r="D1373" s="128" t="s">
        <v>45</v>
      </c>
      <c r="E1373" s="128" t="str" cm="1">
        <f t="array" ref="E1373">IFERROR(INDEX(SubcategoriesTable[Subcategory name],MATCH(Table1[[#This Row],[Category]],SubcategoriesTable[Category name],0),0),"")</f>
        <v>Variable</v>
      </c>
      <c r="F1373" s="134">
        <v>-61.3</v>
      </c>
      <c r="G1373" s="167" t="str">
        <f>_xlfn.XLOOKUP(Table1[[#This Row],[Account_ID]], Accounts[ID], Accounts[Account nickname], "Unknown")</f>
        <v>EVERYDAY CHECKING</v>
      </c>
      <c r="H1373" s="137" t="str">
        <f>_xlfn.XLOOKUP(Table1[[#This Row],[Account_ID]], Accounts[ID], Accounts[Account'#], "Unknown")</f>
        <v>4636</v>
      </c>
      <c r="I1373" s="168" t="str">
        <f>_xlfn.XLOOKUP(Table1[[#This Row],[Institution_ID]], Institutions[ID], Institutions[Institution nickname], "Unknown")</f>
        <v>Wells Fargo</v>
      </c>
      <c r="J1373" s="139" t="s">
        <v>2076</v>
      </c>
      <c r="K1373" s="129" t="s">
        <v>1229</v>
      </c>
      <c r="L1373" s="129" t="s">
        <v>1228</v>
      </c>
      <c r="M1373" s="130" t="str" cm="1">
        <f t="array" ref="M1373">IFERROR(INDEX(CategoriesTable[Category type],MATCH(Table1[[#This Row],[Category]],CategoriesTable[Category name],0),0),"")</f>
        <v>Expense</v>
      </c>
      <c r="N1373" s="130" t="str" cm="1">
        <f t="array" ref="N1373">IFERROR(INDEX(SubcategoriesTable[Subcategory name],MATCH(Table1[[#This Row],[Category]],SubcategoriesTable[Category name],0),0),"")</f>
        <v>Variable</v>
      </c>
      <c r="O1373" s="130">
        <v>7</v>
      </c>
      <c r="P1373" s="130">
        <f>MONTH(Table1[[#This Row],[Date]])</f>
        <v>12</v>
      </c>
      <c r="Q1373" s="130">
        <v>2019</v>
      </c>
      <c r="R1373" s="166">
        <f>IF(ISBLANK(Table1[[#This Row],[Date]]),"",Table1[[#This Row],[Date]]-WEEKDAY(Table1[[#This Row],[Date]],2)+1)</f>
        <v>43801</v>
      </c>
      <c r="S1373" s="131">
        <f>IF(ISBLANK(Table1[[#This Row],[Date]]),"",DATE(Table1[[#This Row],[Date_Year]],Table1[[#This Row],[Date_Month]],1))</f>
        <v>43800</v>
      </c>
    </row>
    <row r="1374" spans="2:19" ht="15.75" x14ac:dyDescent="0.25">
      <c r="B1374" s="133">
        <v>43806</v>
      </c>
      <c r="C1374" s="128" t="s">
        <v>201</v>
      </c>
      <c r="D1374" s="128" t="s">
        <v>48</v>
      </c>
      <c r="E1374" s="128" t="str" cm="1">
        <f t="array" ref="E1374">IFERROR(INDEX(SubcategoriesTable[Subcategory name],MATCH(Table1[[#This Row],[Category]],SubcategoriesTable[Category name],0),0),"")</f>
        <v>Variable</v>
      </c>
      <c r="F1374" s="134">
        <v>-32.630000000000003</v>
      </c>
      <c r="G1374" s="167" t="str">
        <f>_xlfn.XLOOKUP(Table1[[#This Row],[Account_ID]], Accounts[ID], Accounts[Account nickname], "Unknown")</f>
        <v>EVERYDAY CHECKING</v>
      </c>
      <c r="H1374" s="137" t="str">
        <f>_xlfn.XLOOKUP(Table1[[#This Row],[Account_ID]], Accounts[ID], Accounts[Account'#], "Unknown")</f>
        <v>4636</v>
      </c>
      <c r="I1374" s="168" t="str">
        <f>_xlfn.XLOOKUP(Table1[[#This Row],[Institution_ID]], Institutions[ID], Institutions[Institution nickname], "Unknown")</f>
        <v>Wells Fargo</v>
      </c>
      <c r="J1374" s="139" t="s">
        <v>2077</v>
      </c>
      <c r="K1374" s="129" t="s">
        <v>1229</v>
      </c>
      <c r="L1374" s="129" t="s">
        <v>1228</v>
      </c>
      <c r="M1374" s="130" t="str" cm="1">
        <f t="array" ref="M1374">IFERROR(INDEX(CategoriesTable[Category type],MATCH(Table1[[#This Row],[Category]],CategoriesTable[Category name],0),0),"")</f>
        <v>Expense</v>
      </c>
      <c r="N1374" s="130" t="str" cm="1">
        <f t="array" ref="N1374">IFERROR(INDEX(SubcategoriesTable[Subcategory name],MATCH(Table1[[#This Row],[Category]],SubcategoriesTable[Category name],0),0),"")</f>
        <v>Variable</v>
      </c>
      <c r="O1374" s="130">
        <v>7</v>
      </c>
      <c r="P1374" s="130">
        <f>MONTH(Table1[[#This Row],[Date]])</f>
        <v>12</v>
      </c>
      <c r="Q1374" s="130">
        <v>2019</v>
      </c>
      <c r="R1374" s="166">
        <f>IF(ISBLANK(Table1[[#This Row],[Date]]),"",Table1[[#This Row],[Date]]-WEEKDAY(Table1[[#This Row],[Date]],2)+1)</f>
        <v>43801</v>
      </c>
      <c r="S1374" s="131">
        <f>IF(ISBLANK(Table1[[#This Row],[Date]]),"",DATE(Table1[[#This Row],[Date_Year]],Table1[[#This Row],[Date_Month]],1))</f>
        <v>43800</v>
      </c>
    </row>
    <row r="1375" spans="2:19" ht="15.75" x14ac:dyDescent="0.25">
      <c r="B1375" s="133">
        <v>43806</v>
      </c>
      <c r="C1375" s="128" t="s">
        <v>302</v>
      </c>
      <c r="D1375" s="128" t="s">
        <v>52</v>
      </c>
      <c r="E1375" s="128" t="str" cm="1">
        <f t="array" ref="E1375">IFERROR(INDEX(SubcategoriesTable[Subcategory name],MATCH(Table1[[#This Row],[Category]],SubcategoriesTable[Category name],0),0),"")</f>
        <v>Variable</v>
      </c>
      <c r="F1375" s="134">
        <v>-6.96</v>
      </c>
      <c r="G1375" s="167" t="str">
        <f>_xlfn.XLOOKUP(Table1[[#This Row],[Account_ID]], Accounts[ID], Accounts[Account nickname], "Unknown")</f>
        <v>EVERYDAY CHECKING</v>
      </c>
      <c r="H1375" s="137" t="str">
        <f>_xlfn.XLOOKUP(Table1[[#This Row],[Account_ID]], Accounts[ID], Accounts[Account'#], "Unknown")</f>
        <v>4636</v>
      </c>
      <c r="I1375" s="168" t="str">
        <f>_xlfn.XLOOKUP(Table1[[#This Row],[Institution_ID]], Institutions[ID], Institutions[Institution nickname], "Unknown")</f>
        <v>Wells Fargo</v>
      </c>
      <c r="J1375" s="139" t="s">
        <v>2078</v>
      </c>
      <c r="K1375" s="129" t="s">
        <v>1229</v>
      </c>
      <c r="L1375" s="129" t="s">
        <v>1228</v>
      </c>
      <c r="M1375" s="130" t="str" cm="1">
        <f t="array" ref="M1375">IFERROR(INDEX(CategoriesTable[Category type],MATCH(Table1[[#This Row],[Category]],CategoriesTable[Category name],0),0),"")</f>
        <v>Expense</v>
      </c>
      <c r="N1375" s="130" t="str" cm="1">
        <f t="array" ref="N1375">IFERROR(INDEX(SubcategoriesTable[Subcategory name],MATCH(Table1[[#This Row],[Category]],SubcategoriesTable[Category name],0),0),"")</f>
        <v>Variable</v>
      </c>
      <c r="O1375" s="130">
        <v>7</v>
      </c>
      <c r="P1375" s="130">
        <f>MONTH(Table1[[#This Row],[Date]])</f>
        <v>12</v>
      </c>
      <c r="Q1375" s="130">
        <v>2019</v>
      </c>
      <c r="R1375" s="166">
        <f>IF(ISBLANK(Table1[[#This Row],[Date]]),"",Table1[[#This Row],[Date]]-WEEKDAY(Table1[[#This Row],[Date]],2)+1)</f>
        <v>43801</v>
      </c>
      <c r="S1375" s="131">
        <f>IF(ISBLANK(Table1[[#This Row],[Date]]),"",DATE(Table1[[#This Row],[Date_Year]],Table1[[#This Row],[Date_Month]],1))</f>
        <v>43800</v>
      </c>
    </row>
    <row r="1376" spans="2:19" ht="15.75" x14ac:dyDescent="0.25">
      <c r="B1376" s="133">
        <v>43806</v>
      </c>
      <c r="C1376" s="128" t="s">
        <v>302</v>
      </c>
      <c r="D1376" s="128" t="s">
        <v>52</v>
      </c>
      <c r="E1376" s="128" t="str" cm="1">
        <f t="array" ref="E1376">IFERROR(INDEX(SubcategoriesTable[Subcategory name],MATCH(Table1[[#This Row],[Category]],SubcategoriesTable[Category name],0),0),"")</f>
        <v>Variable</v>
      </c>
      <c r="F1376" s="134">
        <v>-19.059999999999999</v>
      </c>
      <c r="G1376" s="167" t="str">
        <f>_xlfn.XLOOKUP(Table1[[#This Row],[Account_ID]], Accounts[ID], Accounts[Account nickname], "Unknown")</f>
        <v>EVERYDAY CHECKING</v>
      </c>
      <c r="H1376" s="137" t="str">
        <f>_xlfn.XLOOKUP(Table1[[#This Row],[Account_ID]], Accounts[ID], Accounts[Account'#], "Unknown")</f>
        <v>4636</v>
      </c>
      <c r="I1376" s="168" t="str">
        <f>_xlfn.XLOOKUP(Table1[[#This Row],[Institution_ID]], Institutions[ID], Institutions[Institution nickname], "Unknown")</f>
        <v>Wells Fargo</v>
      </c>
      <c r="J1376" s="139" t="s">
        <v>2079</v>
      </c>
      <c r="K1376" s="129" t="s">
        <v>1229</v>
      </c>
      <c r="L1376" s="129" t="s">
        <v>1228</v>
      </c>
      <c r="M1376" s="130" t="str" cm="1">
        <f t="array" ref="M1376">IFERROR(INDEX(CategoriesTable[Category type],MATCH(Table1[[#This Row],[Category]],CategoriesTable[Category name],0),0),"")</f>
        <v>Expense</v>
      </c>
      <c r="N1376" s="130" t="str" cm="1">
        <f t="array" ref="N1376">IFERROR(INDEX(SubcategoriesTable[Subcategory name],MATCH(Table1[[#This Row],[Category]],SubcategoriesTable[Category name],0),0),"")</f>
        <v>Variable</v>
      </c>
      <c r="O1376" s="130">
        <v>7</v>
      </c>
      <c r="P1376" s="130">
        <f>MONTH(Table1[[#This Row],[Date]])</f>
        <v>12</v>
      </c>
      <c r="Q1376" s="130">
        <v>2019</v>
      </c>
      <c r="R1376" s="166">
        <f>IF(ISBLANK(Table1[[#This Row],[Date]]),"",Table1[[#This Row],[Date]]-WEEKDAY(Table1[[#This Row],[Date]],2)+1)</f>
        <v>43801</v>
      </c>
      <c r="S1376" s="131">
        <f>IF(ISBLANK(Table1[[#This Row],[Date]]),"",DATE(Table1[[#This Row],[Date_Year]],Table1[[#This Row],[Date_Month]],1))</f>
        <v>43800</v>
      </c>
    </row>
    <row r="1377" spans="2:19" ht="15.75" x14ac:dyDescent="0.25">
      <c r="B1377" s="133">
        <v>43805</v>
      </c>
      <c r="C1377" s="128" t="s">
        <v>2080</v>
      </c>
      <c r="D1377" s="128" t="s">
        <v>56</v>
      </c>
      <c r="E1377" s="128" t="str" cm="1">
        <f t="array" ref="E1377">IFERROR(INDEX(SubcategoriesTable[Subcategory name],MATCH(Table1[[#This Row],[Category]],SubcategoriesTable[Category name],0),0),"")</f>
        <v>Variable</v>
      </c>
      <c r="F1377" s="134">
        <v>-456.25</v>
      </c>
      <c r="G1377" s="167" t="str">
        <f>_xlfn.XLOOKUP(Table1[[#This Row],[Account_ID]], Accounts[ID], Accounts[Account nickname], "Unknown")</f>
        <v>EVERYDAY CHECKING</v>
      </c>
      <c r="H1377" s="137" t="str">
        <f>_xlfn.XLOOKUP(Table1[[#This Row],[Account_ID]], Accounts[ID], Accounts[Account'#], "Unknown")</f>
        <v>4636</v>
      </c>
      <c r="I1377" s="168" t="str">
        <f>_xlfn.XLOOKUP(Table1[[#This Row],[Institution_ID]], Institutions[ID], Institutions[Institution nickname], "Unknown")</f>
        <v>Wells Fargo</v>
      </c>
      <c r="J1377" s="139" t="s">
        <v>2081</v>
      </c>
      <c r="K1377" s="129" t="s">
        <v>1229</v>
      </c>
      <c r="L1377" s="129" t="s">
        <v>1228</v>
      </c>
      <c r="M1377" s="130" t="str" cm="1">
        <f t="array" ref="M1377">IFERROR(INDEX(CategoriesTable[Category type],MATCH(Table1[[#This Row],[Category]],CategoriesTable[Category name],0),0),"")</f>
        <v>Expense</v>
      </c>
      <c r="N1377" s="130" t="str" cm="1">
        <f t="array" ref="N1377">IFERROR(INDEX(SubcategoriesTable[Subcategory name],MATCH(Table1[[#This Row],[Category]],SubcategoriesTable[Category name],0),0),"")</f>
        <v>Variable</v>
      </c>
      <c r="O1377" s="130">
        <v>6</v>
      </c>
      <c r="P1377" s="130">
        <f>MONTH(Table1[[#This Row],[Date]])</f>
        <v>12</v>
      </c>
      <c r="Q1377" s="130">
        <v>2019</v>
      </c>
      <c r="R1377" s="166">
        <f>IF(ISBLANK(Table1[[#This Row],[Date]]),"",Table1[[#This Row],[Date]]-WEEKDAY(Table1[[#This Row],[Date]],2)+1)</f>
        <v>43801</v>
      </c>
      <c r="S1377" s="131">
        <f>IF(ISBLANK(Table1[[#This Row],[Date]]),"",DATE(Table1[[#This Row],[Date_Year]],Table1[[#This Row],[Date_Month]],1))</f>
        <v>43800</v>
      </c>
    </row>
    <row r="1378" spans="2:19" ht="15.75" x14ac:dyDescent="0.25">
      <c r="B1378" s="133">
        <v>43805</v>
      </c>
      <c r="C1378" s="128" t="s">
        <v>441</v>
      </c>
      <c r="D1378" s="128" t="s">
        <v>56</v>
      </c>
      <c r="E1378" s="128" t="str" cm="1">
        <f t="array" ref="E1378">IFERROR(INDEX(SubcategoriesTable[Subcategory name],MATCH(Table1[[#This Row],[Category]],SubcategoriesTable[Category name],0),0),"")</f>
        <v>Variable</v>
      </c>
      <c r="F1378" s="134">
        <v>-50</v>
      </c>
      <c r="G1378" s="167" t="str">
        <f>_xlfn.XLOOKUP(Table1[[#This Row],[Account_ID]], Accounts[ID], Accounts[Account nickname], "Unknown")</f>
        <v>EVERYDAY CHECKING</v>
      </c>
      <c r="H1378" s="137" t="str">
        <f>_xlfn.XLOOKUP(Table1[[#This Row],[Account_ID]], Accounts[ID], Accounts[Account'#], "Unknown")</f>
        <v>4636</v>
      </c>
      <c r="I1378" s="168" t="str">
        <f>_xlfn.XLOOKUP(Table1[[#This Row],[Institution_ID]], Institutions[ID], Institutions[Institution nickname], "Unknown")</f>
        <v>Wells Fargo</v>
      </c>
      <c r="J1378" s="139" t="s">
        <v>2082</v>
      </c>
      <c r="K1378" s="129" t="s">
        <v>1229</v>
      </c>
      <c r="L1378" s="129" t="s">
        <v>1228</v>
      </c>
      <c r="M1378" s="130" t="str" cm="1">
        <f t="array" ref="M1378">IFERROR(INDEX(CategoriesTable[Category type],MATCH(Table1[[#This Row],[Category]],CategoriesTable[Category name],0),0),"")</f>
        <v>Expense</v>
      </c>
      <c r="N1378" s="130" t="str" cm="1">
        <f t="array" ref="N1378">IFERROR(INDEX(SubcategoriesTable[Subcategory name],MATCH(Table1[[#This Row],[Category]],SubcategoriesTable[Category name],0),0),"")</f>
        <v>Variable</v>
      </c>
      <c r="O1378" s="130">
        <v>6</v>
      </c>
      <c r="P1378" s="130">
        <f>MONTH(Table1[[#This Row],[Date]])</f>
        <v>12</v>
      </c>
      <c r="Q1378" s="130">
        <v>2019</v>
      </c>
      <c r="R1378" s="166">
        <f>IF(ISBLANK(Table1[[#This Row],[Date]]),"",Table1[[#This Row],[Date]]-WEEKDAY(Table1[[#This Row],[Date]],2)+1)</f>
        <v>43801</v>
      </c>
      <c r="S1378" s="131">
        <f>IF(ISBLANK(Table1[[#This Row],[Date]]),"",DATE(Table1[[#This Row],[Date_Year]],Table1[[#This Row],[Date_Month]],1))</f>
        <v>43800</v>
      </c>
    </row>
    <row r="1379" spans="2:19" ht="15.75" x14ac:dyDescent="0.25">
      <c r="B1379" s="133">
        <v>43805</v>
      </c>
      <c r="C1379" s="128" t="s">
        <v>2083</v>
      </c>
      <c r="D1379" s="128" t="s">
        <v>56</v>
      </c>
      <c r="E1379" s="128" t="str" cm="1">
        <f t="array" ref="E1379">IFERROR(INDEX(SubcategoriesTable[Subcategory name],MATCH(Table1[[#This Row],[Category]],SubcategoriesTable[Category name],0),0),"")</f>
        <v>Variable</v>
      </c>
      <c r="F1379" s="134">
        <v>-100</v>
      </c>
      <c r="G1379" s="167" t="str">
        <f>_xlfn.XLOOKUP(Table1[[#This Row],[Account_ID]], Accounts[ID], Accounts[Account nickname], "Unknown")</f>
        <v>EVERYDAY CHECKING</v>
      </c>
      <c r="H1379" s="137" t="str">
        <f>_xlfn.XLOOKUP(Table1[[#This Row],[Account_ID]], Accounts[ID], Accounts[Account'#], "Unknown")</f>
        <v>4636</v>
      </c>
      <c r="I1379" s="168" t="str">
        <f>_xlfn.XLOOKUP(Table1[[#This Row],[Institution_ID]], Institutions[ID], Institutions[Institution nickname], "Unknown")</f>
        <v>Wells Fargo</v>
      </c>
      <c r="J1379" s="139" t="s">
        <v>2084</v>
      </c>
      <c r="K1379" s="129" t="s">
        <v>1229</v>
      </c>
      <c r="L1379" s="129" t="s">
        <v>1228</v>
      </c>
      <c r="M1379" s="130" t="str" cm="1">
        <f t="array" ref="M1379">IFERROR(INDEX(CategoriesTable[Category type],MATCH(Table1[[#This Row],[Category]],CategoriesTable[Category name],0),0),"")</f>
        <v>Expense</v>
      </c>
      <c r="N1379" s="130" t="str" cm="1">
        <f t="array" ref="N1379">IFERROR(INDEX(SubcategoriesTable[Subcategory name],MATCH(Table1[[#This Row],[Category]],SubcategoriesTable[Category name],0),0),"")</f>
        <v>Variable</v>
      </c>
      <c r="O1379" s="130">
        <v>6</v>
      </c>
      <c r="P1379" s="130">
        <f>MONTH(Table1[[#This Row],[Date]])</f>
        <v>12</v>
      </c>
      <c r="Q1379" s="130">
        <v>2019</v>
      </c>
      <c r="R1379" s="166">
        <f>IF(ISBLANK(Table1[[#This Row],[Date]]),"",Table1[[#This Row],[Date]]-WEEKDAY(Table1[[#This Row],[Date]],2)+1)</f>
        <v>43801</v>
      </c>
      <c r="S1379" s="131">
        <f>IF(ISBLANK(Table1[[#This Row],[Date]]),"",DATE(Table1[[#This Row],[Date_Year]],Table1[[#This Row],[Date_Month]],1))</f>
        <v>43800</v>
      </c>
    </row>
    <row r="1380" spans="2:19" ht="15.75" x14ac:dyDescent="0.25">
      <c r="B1380" s="133">
        <v>43805</v>
      </c>
      <c r="C1380" s="128" t="s">
        <v>1181</v>
      </c>
      <c r="D1380" s="128" t="s">
        <v>59</v>
      </c>
      <c r="E1380" s="128" t="str" cm="1">
        <f t="array" ref="E1380">IFERROR(INDEX(SubcategoriesTable[Subcategory name],MATCH(Table1[[#This Row],[Category]],SubcategoriesTable[Category name],0),0),"")</f>
        <v>Fixed</v>
      </c>
      <c r="F1380" s="134">
        <v>1753.06</v>
      </c>
      <c r="G1380" s="167" t="str">
        <f>_xlfn.XLOOKUP(Table1[[#This Row],[Account_ID]], Accounts[ID], Accounts[Account nickname], "Unknown")</f>
        <v>EVERYDAY CHECKING</v>
      </c>
      <c r="H1380" s="137" t="str">
        <f>_xlfn.XLOOKUP(Table1[[#This Row],[Account_ID]], Accounts[ID], Accounts[Account'#], "Unknown")</f>
        <v>4636</v>
      </c>
      <c r="I1380" s="168" t="str">
        <f>_xlfn.XLOOKUP(Table1[[#This Row],[Institution_ID]], Institutions[ID], Institutions[Institution nickname], "Unknown")</f>
        <v>Wells Fargo</v>
      </c>
      <c r="J1380" s="139" t="s">
        <v>2085</v>
      </c>
      <c r="K1380" s="129" t="s">
        <v>1229</v>
      </c>
      <c r="L1380" s="129" t="s">
        <v>1228</v>
      </c>
      <c r="M1380" s="130" t="str" cm="1">
        <f t="array" ref="M1380">IFERROR(INDEX(CategoriesTable[Category type],MATCH(Table1[[#This Row],[Category]],CategoriesTable[Category name],0),0),"")</f>
        <v>Income</v>
      </c>
      <c r="N1380" s="130" t="str" cm="1">
        <f t="array" ref="N1380">IFERROR(INDEX(SubcategoriesTable[Subcategory name],MATCH(Table1[[#This Row],[Category]],SubcategoriesTable[Category name],0),0),"")</f>
        <v>Fixed</v>
      </c>
      <c r="O1380" s="130">
        <v>6</v>
      </c>
      <c r="P1380" s="130">
        <f>MONTH(Table1[[#This Row],[Date]])</f>
        <v>12</v>
      </c>
      <c r="Q1380" s="130">
        <v>2019</v>
      </c>
      <c r="R1380" s="166">
        <f>IF(ISBLANK(Table1[[#This Row],[Date]]),"",Table1[[#This Row],[Date]]-WEEKDAY(Table1[[#This Row],[Date]],2)+1)</f>
        <v>43801</v>
      </c>
      <c r="S1380" s="131">
        <f>IF(ISBLANK(Table1[[#This Row],[Date]]),"",DATE(Table1[[#This Row],[Date_Year]],Table1[[#This Row],[Date_Month]],1))</f>
        <v>43800</v>
      </c>
    </row>
    <row r="1381" spans="2:19" ht="15.75" x14ac:dyDescent="0.25">
      <c r="B1381" s="133">
        <v>43801</v>
      </c>
      <c r="C1381" s="128" t="s">
        <v>531</v>
      </c>
      <c r="D1381" s="128" t="s">
        <v>54</v>
      </c>
      <c r="E1381" s="128" t="str" cm="1">
        <f t="array" ref="E1381">IFERROR(INDEX(SubcategoriesTable[Subcategory name],MATCH(Table1[[#This Row],[Category]],SubcategoriesTable[Category name],0),0),"")</f>
        <v>Fixed</v>
      </c>
      <c r="F1381" s="134">
        <v>-8.68</v>
      </c>
      <c r="G1381" s="167" t="str">
        <f>_xlfn.XLOOKUP(Table1[[#This Row],[Account_ID]], Accounts[ID], Accounts[Account nickname], "Unknown")</f>
        <v>EVERYDAY CHECKING</v>
      </c>
      <c r="H1381" s="137" t="str">
        <f>_xlfn.XLOOKUP(Table1[[#This Row],[Account_ID]], Accounts[ID], Accounts[Account'#], "Unknown")</f>
        <v>4636</v>
      </c>
      <c r="I1381" s="168" t="str">
        <f>_xlfn.XLOOKUP(Table1[[#This Row],[Institution_ID]], Institutions[ID], Institutions[Institution nickname], "Unknown")</f>
        <v>Wells Fargo</v>
      </c>
      <c r="J1381" s="139" t="s">
        <v>2086</v>
      </c>
      <c r="K1381" s="129" t="s">
        <v>1229</v>
      </c>
      <c r="L1381" s="129" t="s">
        <v>1228</v>
      </c>
      <c r="M1381" s="130" t="str" cm="1">
        <f t="array" ref="M1381">IFERROR(INDEX(CategoriesTable[Category type],MATCH(Table1[[#This Row],[Category]],CategoriesTable[Category name],0),0),"")</f>
        <v>Expense</v>
      </c>
      <c r="N1381" s="130" t="str" cm="1">
        <f t="array" ref="N1381">IFERROR(INDEX(SubcategoriesTable[Subcategory name],MATCH(Table1[[#This Row],[Category]],SubcategoriesTable[Category name],0),0),"")</f>
        <v>Fixed</v>
      </c>
      <c r="O1381" s="130">
        <v>2</v>
      </c>
      <c r="P1381" s="130">
        <f>MONTH(Table1[[#This Row],[Date]])</f>
        <v>12</v>
      </c>
      <c r="Q1381" s="130">
        <v>2019</v>
      </c>
      <c r="R1381" s="166">
        <f>IF(ISBLANK(Table1[[#This Row],[Date]]),"",Table1[[#This Row],[Date]]-WEEKDAY(Table1[[#This Row],[Date]],2)+1)</f>
        <v>43801</v>
      </c>
      <c r="S1381" s="131">
        <f>IF(ISBLANK(Table1[[#This Row],[Date]]),"",DATE(Table1[[#This Row],[Date_Year]],Table1[[#This Row],[Date_Month]],1))</f>
        <v>43800</v>
      </c>
    </row>
    <row r="1382" spans="2:19" ht="15.75" x14ac:dyDescent="0.25">
      <c r="B1382" s="133">
        <v>43801</v>
      </c>
      <c r="C1382" s="128" t="s">
        <v>508</v>
      </c>
      <c r="D1382" s="128" t="s">
        <v>50</v>
      </c>
      <c r="E1382" s="128" t="str" cm="1">
        <f t="array" ref="E1382">IFERROR(INDEX(SubcategoriesTable[Subcategory name],MATCH(Table1[[#This Row],[Category]],SubcategoriesTable[Category name],0),0),"")</f>
        <v>Variable</v>
      </c>
      <c r="F1382" s="134">
        <v>15.65</v>
      </c>
      <c r="G1382" s="167" t="str">
        <f>_xlfn.XLOOKUP(Table1[[#This Row],[Account_ID]], Accounts[ID], Accounts[Account nickname], "Unknown")</f>
        <v>EVERYDAY CHECKING</v>
      </c>
      <c r="H1382" s="137" t="str">
        <f>_xlfn.XLOOKUP(Table1[[#This Row],[Account_ID]], Accounts[ID], Accounts[Account'#], "Unknown")</f>
        <v>4636</v>
      </c>
      <c r="I1382" s="168" t="str">
        <f>_xlfn.XLOOKUP(Table1[[#This Row],[Institution_ID]], Institutions[ID], Institutions[Institution nickname], "Unknown")</f>
        <v>Wells Fargo</v>
      </c>
      <c r="J1382" s="139" t="s">
        <v>2087</v>
      </c>
      <c r="K1382" s="129" t="s">
        <v>1229</v>
      </c>
      <c r="L1382" s="129" t="s">
        <v>1228</v>
      </c>
      <c r="M1382" s="130" t="str" cm="1">
        <f t="array" ref="M1382">IFERROR(INDEX(CategoriesTable[Category type],MATCH(Table1[[#This Row],[Category]],CategoriesTable[Category name],0),0),"")</f>
        <v>Transfer</v>
      </c>
      <c r="N1382" s="130" t="str" cm="1">
        <f t="array" ref="N1382">IFERROR(INDEX(SubcategoriesTable[Subcategory name],MATCH(Table1[[#This Row],[Category]],SubcategoriesTable[Category name],0),0),"")</f>
        <v>Variable</v>
      </c>
      <c r="O1382" s="130">
        <v>2</v>
      </c>
      <c r="P1382" s="130">
        <f>MONTH(Table1[[#This Row],[Date]])</f>
        <v>12</v>
      </c>
      <c r="Q1382" s="130">
        <v>2019</v>
      </c>
      <c r="R1382" s="166">
        <f>IF(ISBLANK(Table1[[#This Row],[Date]]),"",Table1[[#This Row],[Date]]-WEEKDAY(Table1[[#This Row],[Date]],2)+1)</f>
        <v>43801</v>
      </c>
      <c r="S1382" s="131">
        <f>IF(ISBLANK(Table1[[#This Row],[Date]]),"",DATE(Table1[[#This Row],[Date_Year]],Table1[[#This Row],[Date_Month]],1))</f>
        <v>43800</v>
      </c>
    </row>
    <row r="1383" spans="2:19" ht="15.75" x14ac:dyDescent="0.25">
      <c r="B1383" s="133">
        <v>43800</v>
      </c>
      <c r="C1383" s="128" t="s">
        <v>2088</v>
      </c>
      <c r="D1383" s="128" t="s">
        <v>58</v>
      </c>
      <c r="E1383" s="128" t="str" cm="1">
        <f t="array" ref="E1383">IFERROR(INDEX(SubcategoriesTable[Subcategory name],MATCH(Table1[[#This Row],[Category]],SubcategoriesTable[Category name],0),0),"")</f>
        <v>Fixed</v>
      </c>
      <c r="F1383" s="134">
        <v>-40</v>
      </c>
      <c r="G1383" s="167" t="str">
        <f>_xlfn.XLOOKUP(Table1[[#This Row],[Account_ID]], Accounts[ID], Accounts[Account nickname], "Unknown")</f>
        <v>EVERYDAY CHECKING</v>
      </c>
      <c r="H1383" s="137" t="str">
        <f>_xlfn.XLOOKUP(Table1[[#This Row],[Account_ID]], Accounts[ID], Accounts[Account'#], "Unknown")</f>
        <v>4636</v>
      </c>
      <c r="I1383" s="168" t="str">
        <f>_xlfn.XLOOKUP(Table1[[#This Row],[Institution_ID]], Institutions[ID], Institutions[Institution nickname], "Unknown")</f>
        <v>Wells Fargo</v>
      </c>
      <c r="J1383" s="139" t="s">
        <v>2089</v>
      </c>
      <c r="K1383" s="129" t="s">
        <v>1229</v>
      </c>
      <c r="L1383" s="129" t="s">
        <v>1228</v>
      </c>
      <c r="M1383" s="130" t="str" cm="1">
        <f t="array" ref="M1383">IFERROR(INDEX(CategoriesTable[Category type],MATCH(Table1[[#This Row],[Category]],CategoriesTable[Category name],0),0),"")</f>
        <v>Expense</v>
      </c>
      <c r="N1383" s="130" t="str" cm="1">
        <f t="array" ref="N1383">IFERROR(INDEX(SubcategoriesTable[Subcategory name],MATCH(Table1[[#This Row],[Category]],SubcategoriesTable[Category name],0),0),"")</f>
        <v>Fixed</v>
      </c>
      <c r="O1383" s="130">
        <v>1</v>
      </c>
      <c r="P1383" s="130">
        <f>MONTH(Table1[[#This Row],[Date]])</f>
        <v>12</v>
      </c>
      <c r="Q1383" s="130">
        <v>2019</v>
      </c>
      <c r="R1383" s="166">
        <f>IF(ISBLANK(Table1[[#This Row],[Date]]),"",Table1[[#This Row],[Date]]-WEEKDAY(Table1[[#This Row],[Date]],2)+1)</f>
        <v>43794</v>
      </c>
      <c r="S1383" s="131">
        <f>IF(ISBLANK(Table1[[#This Row],[Date]]),"",DATE(Table1[[#This Row],[Date_Year]],Table1[[#This Row],[Date_Month]],1))</f>
        <v>43800</v>
      </c>
    </row>
    <row r="1384" spans="2:19" ht="15.75" x14ac:dyDescent="0.25">
      <c r="B1384" s="133">
        <v>43799</v>
      </c>
      <c r="C1384" s="128" t="s">
        <v>2090</v>
      </c>
      <c r="D1384" s="128" t="s">
        <v>45</v>
      </c>
      <c r="E1384" s="128" t="str" cm="1">
        <f t="array" ref="E1384">IFERROR(INDEX(SubcategoriesTable[Subcategory name],MATCH(Table1[[#This Row],[Category]],SubcategoriesTable[Category name],0),0),"")</f>
        <v>Variable</v>
      </c>
      <c r="F1384" s="134">
        <v>-40</v>
      </c>
      <c r="G1384" s="167" t="str">
        <f>_xlfn.XLOOKUP(Table1[[#This Row],[Account_ID]], Accounts[ID], Accounts[Account nickname], "Unknown")</f>
        <v>EVERYDAY CHECKING</v>
      </c>
      <c r="H1384" s="137" t="str">
        <f>_xlfn.XLOOKUP(Table1[[#This Row],[Account_ID]], Accounts[ID], Accounts[Account'#], "Unknown")</f>
        <v>4636</v>
      </c>
      <c r="I1384" s="168" t="str">
        <f>_xlfn.XLOOKUP(Table1[[#This Row],[Institution_ID]], Institutions[ID], Institutions[Institution nickname], "Unknown")</f>
        <v>Wells Fargo</v>
      </c>
      <c r="J1384" s="139" t="s">
        <v>2091</v>
      </c>
      <c r="K1384" s="129" t="s">
        <v>1229</v>
      </c>
      <c r="L1384" s="129" t="s">
        <v>1228</v>
      </c>
      <c r="M1384" s="130" t="str" cm="1">
        <f t="array" ref="M1384">IFERROR(INDEX(CategoriesTable[Category type],MATCH(Table1[[#This Row],[Category]],CategoriesTable[Category name],0),0),"")</f>
        <v>Expense</v>
      </c>
      <c r="N1384" s="130" t="str" cm="1">
        <f t="array" ref="N1384">IFERROR(INDEX(SubcategoriesTable[Subcategory name],MATCH(Table1[[#This Row],[Category]],SubcategoriesTable[Category name],0),0),"")</f>
        <v>Variable</v>
      </c>
      <c r="O1384" s="130">
        <v>30</v>
      </c>
      <c r="P1384" s="130">
        <f>MONTH(Table1[[#This Row],[Date]])</f>
        <v>11</v>
      </c>
      <c r="Q1384" s="130">
        <v>2019</v>
      </c>
      <c r="R1384" s="166">
        <f>IF(ISBLANK(Table1[[#This Row],[Date]]),"",Table1[[#This Row],[Date]]-WEEKDAY(Table1[[#This Row],[Date]],2)+1)</f>
        <v>43794</v>
      </c>
      <c r="S1384" s="131">
        <f>IF(ISBLANK(Table1[[#This Row],[Date]]),"",DATE(Table1[[#This Row],[Date_Year]],Table1[[#This Row],[Date_Month]],1))</f>
        <v>43770</v>
      </c>
    </row>
    <row r="1385" spans="2:19" ht="15.75" x14ac:dyDescent="0.25">
      <c r="B1385" s="133">
        <v>43799</v>
      </c>
      <c r="C1385" s="128" t="s">
        <v>1064</v>
      </c>
      <c r="D1385" s="128" t="s">
        <v>52</v>
      </c>
      <c r="E1385" s="128" t="str" cm="1">
        <f t="array" ref="E1385">IFERROR(INDEX(SubcategoriesTable[Subcategory name],MATCH(Table1[[#This Row],[Category]],SubcategoriesTable[Category name],0),0),"")</f>
        <v>Variable</v>
      </c>
      <c r="F1385" s="134">
        <v>-17.079999999999998</v>
      </c>
      <c r="G1385" s="167" t="str">
        <f>_xlfn.XLOOKUP(Table1[[#This Row],[Account_ID]], Accounts[ID], Accounts[Account nickname], "Unknown")</f>
        <v>Discover it chrome Card</v>
      </c>
      <c r="H1385" s="137" t="str">
        <f>_xlfn.XLOOKUP(Table1[[#This Row],[Account_ID]], Accounts[ID], Accounts[Account'#], "Unknown")</f>
        <v>7328</v>
      </c>
      <c r="I1385" s="168" t="str">
        <f>_xlfn.XLOOKUP(Table1[[#This Row],[Institution_ID]], Institutions[ID], Institutions[Institution nickname], "Unknown")</f>
        <v>Discover</v>
      </c>
      <c r="J1385" s="139" t="s">
        <v>1065</v>
      </c>
      <c r="K1385" s="129" t="s">
        <v>110</v>
      </c>
      <c r="L1385" s="129" t="s">
        <v>108</v>
      </c>
      <c r="M1385" s="130" t="str" cm="1">
        <f t="array" ref="M1385">IFERROR(INDEX(CategoriesTable[Category type],MATCH(Table1[[#This Row],[Category]],CategoriesTable[Category name],0),0),"")</f>
        <v>Expense</v>
      </c>
      <c r="N1385" s="130" t="str" cm="1">
        <f t="array" ref="N1385">IFERROR(INDEX(SubcategoriesTable[Subcategory name],MATCH(Table1[[#This Row],[Category]],SubcategoriesTable[Category name],0),0),"")</f>
        <v>Variable</v>
      </c>
      <c r="O1385" s="130">
        <v>30</v>
      </c>
      <c r="P1385" s="130">
        <f>MONTH(Table1[[#This Row],[Date]])</f>
        <v>11</v>
      </c>
      <c r="Q1385" s="130">
        <v>2019</v>
      </c>
      <c r="R1385" s="166">
        <f>IF(ISBLANK(Table1[[#This Row],[Date]]),"",Table1[[#This Row],[Date]]-WEEKDAY(Table1[[#This Row],[Date]],2)+1)</f>
        <v>43794</v>
      </c>
      <c r="S1385" s="131">
        <f>IF(ISBLANK(Table1[[#This Row],[Date]]),"",DATE(Table1[[#This Row],[Date_Year]],Table1[[#This Row],[Date_Month]],1))</f>
        <v>43770</v>
      </c>
    </row>
    <row r="1386" spans="2:19" ht="15.75" x14ac:dyDescent="0.25">
      <c r="B1386" s="133">
        <v>43798</v>
      </c>
      <c r="C1386" s="128" t="s">
        <v>142</v>
      </c>
      <c r="D1386" s="128" t="s">
        <v>45</v>
      </c>
      <c r="E1386" s="128" t="str" cm="1">
        <f t="array" ref="E1386">IFERROR(INDEX(SubcategoriesTable[Subcategory name],MATCH(Table1[[#This Row],[Category]],SubcategoriesTable[Category name],0),0),"")</f>
        <v>Variable</v>
      </c>
      <c r="F1386" s="134">
        <v>-15</v>
      </c>
      <c r="G1386" s="167" t="str">
        <f>_xlfn.XLOOKUP(Table1[[#This Row],[Account_ID]], Accounts[ID], Accounts[Account nickname], "Unknown")</f>
        <v>EVERYDAY CHECKING</v>
      </c>
      <c r="H1386" s="137" t="str">
        <f>_xlfn.XLOOKUP(Table1[[#This Row],[Account_ID]], Accounts[ID], Accounts[Account'#], "Unknown")</f>
        <v>4636</v>
      </c>
      <c r="I1386" s="168" t="str">
        <f>_xlfn.XLOOKUP(Table1[[#This Row],[Institution_ID]], Institutions[ID], Institutions[Institution nickname], "Unknown")</f>
        <v>Wells Fargo</v>
      </c>
      <c r="J1386" s="139" t="s">
        <v>2092</v>
      </c>
      <c r="K1386" s="129" t="s">
        <v>1229</v>
      </c>
      <c r="L1386" s="129" t="s">
        <v>1228</v>
      </c>
      <c r="M1386" s="130" t="str" cm="1">
        <f t="array" ref="M1386">IFERROR(INDEX(CategoriesTable[Category type],MATCH(Table1[[#This Row],[Category]],CategoriesTable[Category name],0),0),"")</f>
        <v>Expense</v>
      </c>
      <c r="N1386" s="130" t="str" cm="1">
        <f t="array" ref="N1386">IFERROR(INDEX(SubcategoriesTable[Subcategory name],MATCH(Table1[[#This Row],[Category]],SubcategoriesTable[Category name],0),0),"")</f>
        <v>Variable</v>
      </c>
      <c r="O1386" s="130">
        <v>29</v>
      </c>
      <c r="P1386" s="130">
        <f>MONTH(Table1[[#This Row],[Date]])</f>
        <v>11</v>
      </c>
      <c r="Q1386" s="130">
        <v>2019</v>
      </c>
      <c r="R1386" s="166">
        <f>IF(ISBLANK(Table1[[#This Row],[Date]]),"",Table1[[#This Row],[Date]]-WEEKDAY(Table1[[#This Row],[Date]],2)+1)</f>
        <v>43794</v>
      </c>
      <c r="S1386" s="131">
        <f>IF(ISBLANK(Table1[[#This Row],[Date]]),"",DATE(Table1[[#This Row],[Date_Year]],Table1[[#This Row],[Date_Month]],1))</f>
        <v>43770</v>
      </c>
    </row>
    <row r="1387" spans="2:19" ht="15.75" x14ac:dyDescent="0.25">
      <c r="B1387" s="133">
        <v>43798</v>
      </c>
      <c r="C1387" s="128" t="s">
        <v>142</v>
      </c>
      <c r="D1387" s="128" t="s">
        <v>45</v>
      </c>
      <c r="E1387" s="128" t="str" cm="1">
        <f t="array" ref="E1387">IFERROR(INDEX(SubcategoriesTable[Subcategory name],MATCH(Table1[[#This Row],[Category]],SubcategoriesTable[Category name],0),0),"")</f>
        <v>Variable</v>
      </c>
      <c r="F1387" s="134">
        <v>-30</v>
      </c>
      <c r="G1387" s="167" t="str">
        <f>_xlfn.XLOOKUP(Table1[[#This Row],[Account_ID]], Accounts[ID], Accounts[Account nickname], "Unknown")</f>
        <v>EVERYDAY CHECKING</v>
      </c>
      <c r="H1387" s="137" t="str">
        <f>_xlfn.XLOOKUP(Table1[[#This Row],[Account_ID]], Accounts[ID], Accounts[Account'#], "Unknown")</f>
        <v>4636</v>
      </c>
      <c r="I1387" s="168" t="str">
        <f>_xlfn.XLOOKUP(Table1[[#This Row],[Institution_ID]], Institutions[ID], Institutions[Institution nickname], "Unknown")</f>
        <v>Wells Fargo</v>
      </c>
      <c r="J1387" s="139" t="s">
        <v>2093</v>
      </c>
      <c r="K1387" s="129" t="s">
        <v>1229</v>
      </c>
      <c r="L1387" s="129" t="s">
        <v>1228</v>
      </c>
      <c r="M1387" s="130" t="str" cm="1">
        <f t="array" ref="M1387">IFERROR(INDEX(CategoriesTable[Category type],MATCH(Table1[[#This Row],[Category]],CategoriesTable[Category name],0),0),"")</f>
        <v>Expense</v>
      </c>
      <c r="N1387" s="130" t="str" cm="1">
        <f t="array" ref="N1387">IFERROR(INDEX(SubcategoriesTable[Subcategory name],MATCH(Table1[[#This Row],[Category]],SubcategoriesTable[Category name],0),0),"")</f>
        <v>Variable</v>
      </c>
      <c r="O1387" s="130">
        <v>29</v>
      </c>
      <c r="P1387" s="130">
        <f>MONTH(Table1[[#This Row],[Date]])</f>
        <v>11</v>
      </c>
      <c r="Q1387" s="130">
        <v>2019</v>
      </c>
      <c r="R1387" s="166">
        <f>IF(ISBLANK(Table1[[#This Row],[Date]]),"",Table1[[#This Row],[Date]]-WEEKDAY(Table1[[#This Row],[Date]],2)+1)</f>
        <v>43794</v>
      </c>
      <c r="S1387" s="131">
        <f>IF(ISBLANK(Table1[[#This Row],[Date]]),"",DATE(Table1[[#This Row],[Date_Year]],Table1[[#This Row],[Date_Month]],1))</f>
        <v>43770</v>
      </c>
    </row>
    <row r="1388" spans="2:19" ht="15.75" x14ac:dyDescent="0.25">
      <c r="B1388" s="133">
        <v>43798</v>
      </c>
      <c r="C1388" s="128" t="s">
        <v>2094</v>
      </c>
      <c r="D1388" s="128" t="s">
        <v>56</v>
      </c>
      <c r="E1388" s="128" t="str" cm="1">
        <f t="array" ref="E1388">IFERROR(INDEX(SubcategoriesTable[Subcategory name],MATCH(Table1[[#This Row],[Category]],SubcategoriesTable[Category name],0),0),"")</f>
        <v>Variable</v>
      </c>
      <c r="F1388" s="134">
        <v>100</v>
      </c>
      <c r="G1388" s="167" t="str">
        <f>_xlfn.XLOOKUP(Table1[[#This Row],[Account_ID]], Accounts[ID], Accounts[Account nickname], "Unknown")</f>
        <v>EVERYDAY CHECKING</v>
      </c>
      <c r="H1388" s="137" t="str">
        <f>_xlfn.XLOOKUP(Table1[[#This Row],[Account_ID]], Accounts[ID], Accounts[Account'#], "Unknown")</f>
        <v>4636</v>
      </c>
      <c r="I1388" s="168" t="str">
        <f>_xlfn.XLOOKUP(Table1[[#This Row],[Institution_ID]], Institutions[ID], Institutions[Institution nickname], "Unknown")</f>
        <v>Wells Fargo</v>
      </c>
      <c r="J1388" s="139" t="s">
        <v>2095</v>
      </c>
      <c r="K1388" s="129" t="s">
        <v>1229</v>
      </c>
      <c r="L1388" s="129" t="s">
        <v>1228</v>
      </c>
      <c r="M1388" s="130" t="str" cm="1">
        <f t="array" ref="M1388">IFERROR(INDEX(CategoriesTable[Category type],MATCH(Table1[[#This Row],[Category]],CategoriesTable[Category name],0),0),"")</f>
        <v>Expense</v>
      </c>
      <c r="N1388" s="130" t="str" cm="1">
        <f t="array" ref="N1388">IFERROR(INDEX(SubcategoriesTable[Subcategory name],MATCH(Table1[[#This Row],[Category]],SubcategoriesTable[Category name],0),0),"")</f>
        <v>Variable</v>
      </c>
      <c r="O1388" s="130">
        <v>29</v>
      </c>
      <c r="P1388" s="130">
        <f>MONTH(Table1[[#This Row],[Date]])</f>
        <v>11</v>
      </c>
      <c r="Q1388" s="130">
        <v>2019</v>
      </c>
      <c r="R1388" s="166">
        <f>IF(ISBLANK(Table1[[#This Row],[Date]]),"",Table1[[#This Row],[Date]]-WEEKDAY(Table1[[#This Row],[Date]],2)+1)</f>
        <v>43794</v>
      </c>
      <c r="S1388" s="131">
        <f>IF(ISBLANK(Table1[[#This Row],[Date]]),"",DATE(Table1[[#This Row],[Date_Year]],Table1[[#This Row],[Date_Month]],1))</f>
        <v>43770</v>
      </c>
    </row>
    <row r="1389" spans="2:19" ht="15.75" x14ac:dyDescent="0.25">
      <c r="B1389" s="133">
        <v>43797</v>
      </c>
      <c r="C1389" s="128" t="s">
        <v>1503</v>
      </c>
      <c r="D1389" s="128" t="s">
        <v>51</v>
      </c>
      <c r="E1389" s="128" t="str" cm="1">
        <f t="array" ref="E1389">IFERROR(INDEX(SubcategoriesTable[Subcategory name],MATCH(Table1[[#This Row],[Category]],SubcategoriesTable[Category name],0),0),"")</f>
        <v>Variable</v>
      </c>
      <c r="F1389" s="134">
        <v>-9.9499999999999993</v>
      </c>
      <c r="G1389" s="167" t="str">
        <f>_xlfn.XLOOKUP(Table1[[#This Row],[Account_ID]], Accounts[ID], Accounts[Account nickname], "Unknown")</f>
        <v>EVERYDAY CHECKING</v>
      </c>
      <c r="H1389" s="137" t="str">
        <f>_xlfn.XLOOKUP(Table1[[#This Row],[Account_ID]], Accounts[ID], Accounts[Account'#], "Unknown")</f>
        <v>4636</v>
      </c>
      <c r="I1389" s="168" t="str">
        <f>_xlfn.XLOOKUP(Table1[[#This Row],[Institution_ID]], Institutions[ID], Institutions[Institution nickname], "Unknown")</f>
        <v>Wells Fargo</v>
      </c>
      <c r="J1389" s="139" t="s">
        <v>2096</v>
      </c>
      <c r="K1389" s="129" t="s">
        <v>1229</v>
      </c>
      <c r="L1389" s="129" t="s">
        <v>1228</v>
      </c>
      <c r="M1389" s="130" t="str" cm="1">
        <f t="array" ref="M1389">IFERROR(INDEX(CategoriesTable[Category type],MATCH(Table1[[#This Row],[Category]],CategoriesTable[Category name],0),0),"")</f>
        <v>Expense</v>
      </c>
      <c r="N1389" s="130" t="str" cm="1">
        <f t="array" ref="N1389">IFERROR(INDEX(SubcategoriesTable[Subcategory name],MATCH(Table1[[#This Row],[Category]],SubcategoriesTable[Category name],0),0),"")</f>
        <v>Variable</v>
      </c>
      <c r="O1389" s="130">
        <v>28</v>
      </c>
      <c r="P1389" s="130">
        <f>MONTH(Table1[[#This Row],[Date]])</f>
        <v>11</v>
      </c>
      <c r="Q1389" s="130">
        <v>2019</v>
      </c>
      <c r="R1389" s="166">
        <f>IF(ISBLANK(Table1[[#This Row],[Date]]),"",Table1[[#This Row],[Date]]-WEEKDAY(Table1[[#This Row],[Date]],2)+1)</f>
        <v>43794</v>
      </c>
      <c r="S1389" s="131">
        <f>IF(ISBLANK(Table1[[#This Row],[Date]]),"",DATE(Table1[[#This Row],[Date_Year]],Table1[[#This Row],[Date_Month]],1))</f>
        <v>43770</v>
      </c>
    </row>
    <row r="1390" spans="2:19" ht="15.75" x14ac:dyDescent="0.25">
      <c r="B1390" s="133">
        <v>43795</v>
      </c>
      <c r="C1390" s="128" t="s">
        <v>531</v>
      </c>
      <c r="D1390" s="128" t="s">
        <v>54</v>
      </c>
      <c r="E1390" s="128" t="str" cm="1">
        <f t="array" ref="E1390">IFERROR(INDEX(SubcategoriesTable[Subcategory name],MATCH(Table1[[#This Row],[Category]],SubcategoriesTable[Category name],0),0),"")</f>
        <v>Fixed</v>
      </c>
      <c r="F1390" s="134">
        <v>-5.53</v>
      </c>
      <c r="G1390" s="167" t="str">
        <f>_xlfn.XLOOKUP(Table1[[#This Row],[Account_ID]], Accounts[ID], Accounts[Account nickname], "Unknown")</f>
        <v>EVERYDAY CHECKING</v>
      </c>
      <c r="H1390" s="137" t="str">
        <f>_xlfn.XLOOKUP(Table1[[#This Row],[Account_ID]], Accounts[ID], Accounts[Account'#], "Unknown")</f>
        <v>4636</v>
      </c>
      <c r="I1390" s="168" t="str">
        <f>_xlfn.XLOOKUP(Table1[[#This Row],[Institution_ID]], Institutions[ID], Institutions[Institution nickname], "Unknown")</f>
        <v>Wells Fargo</v>
      </c>
      <c r="J1390" s="139" t="s">
        <v>2097</v>
      </c>
      <c r="K1390" s="129" t="s">
        <v>1229</v>
      </c>
      <c r="L1390" s="129" t="s">
        <v>1228</v>
      </c>
      <c r="M1390" s="130" t="str" cm="1">
        <f t="array" ref="M1390">IFERROR(INDEX(CategoriesTable[Category type],MATCH(Table1[[#This Row],[Category]],CategoriesTable[Category name],0),0),"")</f>
        <v>Expense</v>
      </c>
      <c r="N1390" s="130" t="str" cm="1">
        <f t="array" ref="N1390">IFERROR(INDEX(SubcategoriesTable[Subcategory name],MATCH(Table1[[#This Row],[Category]],SubcategoriesTable[Category name],0),0),"")</f>
        <v>Fixed</v>
      </c>
      <c r="O1390" s="130">
        <v>26</v>
      </c>
      <c r="P1390" s="130">
        <f>MONTH(Table1[[#This Row],[Date]])</f>
        <v>11</v>
      </c>
      <c r="Q1390" s="130">
        <v>2019</v>
      </c>
      <c r="R1390" s="166">
        <f>IF(ISBLANK(Table1[[#This Row],[Date]]),"",Table1[[#This Row],[Date]]-WEEKDAY(Table1[[#This Row],[Date]],2)+1)</f>
        <v>43794</v>
      </c>
      <c r="S1390" s="131">
        <f>IF(ISBLANK(Table1[[#This Row],[Date]]),"",DATE(Table1[[#This Row],[Date_Year]],Table1[[#This Row],[Date_Month]],1))</f>
        <v>43770</v>
      </c>
    </row>
    <row r="1391" spans="2:19" ht="15.75" x14ac:dyDescent="0.25">
      <c r="B1391" s="133">
        <v>43795</v>
      </c>
      <c r="C1391" s="128" t="s">
        <v>2098</v>
      </c>
      <c r="D1391" s="128" t="s">
        <v>45</v>
      </c>
      <c r="E1391" s="128" t="str" cm="1">
        <f t="array" ref="E1391">IFERROR(INDEX(SubcategoriesTable[Subcategory name],MATCH(Table1[[#This Row],[Category]],SubcategoriesTable[Category name],0),0),"")</f>
        <v>Variable</v>
      </c>
      <c r="F1391" s="134">
        <v>-20.67</v>
      </c>
      <c r="G1391" s="167" t="str">
        <f>_xlfn.XLOOKUP(Table1[[#This Row],[Account_ID]], Accounts[ID], Accounts[Account nickname], "Unknown")</f>
        <v>EVERYDAY CHECKING</v>
      </c>
      <c r="H1391" s="137" t="str">
        <f>_xlfn.XLOOKUP(Table1[[#This Row],[Account_ID]], Accounts[ID], Accounts[Account'#], "Unknown")</f>
        <v>4636</v>
      </c>
      <c r="I1391" s="168" t="str">
        <f>_xlfn.XLOOKUP(Table1[[#This Row],[Institution_ID]], Institutions[ID], Institutions[Institution nickname], "Unknown")</f>
        <v>Wells Fargo</v>
      </c>
      <c r="J1391" s="139" t="s">
        <v>2099</v>
      </c>
      <c r="K1391" s="129" t="s">
        <v>1229</v>
      </c>
      <c r="L1391" s="129" t="s">
        <v>1228</v>
      </c>
      <c r="M1391" s="130" t="str" cm="1">
        <f t="array" ref="M1391">IFERROR(INDEX(CategoriesTable[Category type],MATCH(Table1[[#This Row],[Category]],CategoriesTable[Category name],0),0),"")</f>
        <v>Expense</v>
      </c>
      <c r="N1391" s="130" t="str" cm="1">
        <f t="array" ref="N1391">IFERROR(INDEX(SubcategoriesTable[Subcategory name],MATCH(Table1[[#This Row],[Category]],SubcategoriesTable[Category name],0),0),"")</f>
        <v>Variable</v>
      </c>
      <c r="O1391" s="130">
        <v>26</v>
      </c>
      <c r="P1391" s="130">
        <f>MONTH(Table1[[#This Row],[Date]])</f>
        <v>11</v>
      </c>
      <c r="Q1391" s="130">
        <v>2019</v>
      </c>
      <c r="R1391" s="166">
        <f>IF(ISBLANK(Table1[[#This Row],[Date]]),"",Table1[[#This Row],[Date]]-WEEKDAY(Table1[[#This Row],[Date]],2)+1)</f>
        <v>43794</v>
      </c>
      <c r="S1391" s="131">
        <f>IF(ISBLANK(Table1[[#This Row],[Date]]),"",DATE(Table1[[#This Row],[Date_Year]],Table1[[#This Row],[Date_Month]],1))</f>
        <v>43770</v>
      </c>
    </row>
    <row r="1392" spans="2:19" ht="15.75" x14ac:dyDescent="0.25">
      <c r="B1392" s="133">
        <v>43795</v>
      </c>
      <c r="C1392" s="128" t="s">
        <v>2100</v>
      </c>
      <c r="D1392" s="128" t="s">
        <v>45</v>
      </c>
      <c r="E1392" s="128" t="str" cm="1">
        <f t="array" ref="E1392">IFERROR(INDEX(SubcategoriesTable[Subcategory name],MATCH(Table1[[#This Row],[Category]],SubcategoriesTable[Category name],0),0),"")</f>
        <v>Variable</v>
      </c>
      <c r="F1392" s="134">
        <v>-50</v>
      </c>
      <c r="G1392" s="167" t="str">
        <f>_xlfn.XLOOKUP(Table1[[#This Row],[Account_ID]], Accounts[ID], Accounts[Account nickname], "Unknown")</f>
        <v>EVERYDAY CHECKING</v>
      </c>
      <c r="H1392" s="137" t="str">
        <f>_xlfn.XLOOKUP(Table1[[#This Row],[Account_ID]], Accounts[ID], Accounts[Account'#], "Unknown")</f>
        <v>4636</v>
      </c>
      <c r="I1392" s="168" t="str">
        <f>_xlfn.XLOOKUP(Table1[[#This Row],[Institution_ID]], Institutions[ID], Institutions[Institution nickname], "Unknown")</f>
        <v>Wells Fargo</v>
      </c>
      <c r="J1392" s="139" t="s">
        <v>2101</v>
      </c>
      <c r="K1392" s="129" t="s">
        <v>1229</v>
      </c>
      <c r="L1392" s="129" t="s">
        <v>1228</v>
      </c>
      <c r="M1392" s="130" t="str" cm="1">
        <f t="array" ref="M1392">IFERROR(INDEX(CategoriesTable[Category type],MATCH(Table1[[#This Row],[Category]],CategoriesTable[Category name],0),0),"")</f>
        <v>Expense</v>
      </c>
      <c r="N1392" s="130" t="str" cm="1">
        <f t="array" ref="N1392">IFERROR(INDEX(SubcategoriesTable[Subcategory name],MATCH(Table1[[#This Row],[Category]],SubcategoriesTable[Category name],0),0),"")</f>
        <v>Variable</v>
      </c>
      <c r="O1392" s="130">
        <v>26</v>
      </c>
      <c r="P1392" s="130">
        <f>MONTH(Table1[[#This Row],[Date]])</f>
        <v>11</v>
      </c>
      <c r="Q1392" s="130">
        <v>2019</v>
      </c>
      <c r="R1392" s="166">
        <f>IF(ISBLANK(Table1[[#This Row],[Date]]),"",Table1[[#This Row],[Date]]-WEEKDAY(Table1[[#This Row],[Date]],2)+1)</f>
        <v>43794</v>
      </c>
      <c r="S1392" s="131">
        <f>IF(ISBLANK(Table1[[#This Row],[Date]]),"",DATE(Table1[[#This Row],[Date_Year]],Table1[[#This Row],[Date_Month]],1))</f>
        <v>43770</v>
      </c>
    </row>
    <row r="1393" spans="2:19" ht="15.75" x14ac:dyDescent="0.25">
      <c r="B1393" s="133">
        <v>43795</v>
      </c>
      <c r="C1393" s="128" t="s">
        <v>441</v>
      </c>
      <c r="D1393" s="128" t="s">
        <v>56</v>
      </c>
      <c r="E1393" s="128" t="str" cm="1">
        <f t="array" ref="E1393">IFERROR(INDEX(SubcategoriesTable[Subcategory name],MATCH(Table1[[#This Row],[Category]],SubcategoriesTable[Category name],0),0),"")</f>
        <v>Variable</v>
      </c>
      <c r="F1393" s="134">
        <v>-200</v>
      </c>
      <c r="G1393" s="167" t="str">
        <f>_xlfn.XLOOKUP(Table1[[#This Row],[Account_ID]], Accounts[ID], Accounts[Account nickname], "Unknown")</f>
        <v>EVERYDAY CHECKING</v>
      </c>
      <c r="H1393" s="137" t="str">
        <f>_xlfn.XLOOKUP(Table1[[#This Row],[Account_ID]], Accounts[ID], Accounts[Account'#], "Unknown")</f>
        <v>4636</v>
      </c>
      <c r="I1393" s="168" t="str">
        <f>_xlfn.XLOOKUP(Table1[[#This Row],[Institution_ID]], Institutions[ID], Institutions[Institution nickname], "Unknown")</f>
        <v>Wells Fargo</v>
      </c>
      <c r="J1393" s="139" t="s">
        <v>2102</v>
      </c>
      <c r="K1393" s="129" t="s">
        <v>1229</v>
      </c>
      <c r="L1393" s="129" t="s">
        <v>1228</v>
      </c>
      <c r="M1393" s="130" t="str" cm="1">
        <f t="array" ref="M1393">IFERROR(INDEX(CategoriesTable[Category type],MATCH(Table1[[#This Row],[Category]],CategoriesTable[Category name],0),0),"")</f>
        <v>Expense</v>
      </c>
      <c r="N1393" s="130" t="str" cm="1">
        <f t="array" ref="N1393">IFERROR(INDEX(SubcategoriesTable[Subcategory name],MATCH(Table1[[#This Row],[Category]],SubcategoriesTable[Category name],0),0),"")</f>
        <v>Variable</v>
      </c>
      <c r="O1393" s="130">
        <v>26</v>
      </c>
      <c r="P1393" s="130">
        <f>MONTH(Table1[[#This Row],[Date]])</f>
        <v>11</v>
      </c>
      <c r="Q1393" s="130">
        <v>2019</v>
      </c>
      <c r="R1393" s="166">
        <f>IF(ISBLANK(Table1[[#This Row],[Date]]),"",Table1[[#This Row],[Date]]-WEEKDAY(Table1[[#This Row],[Date]],2)+1)</f>
        <v>43794</v>
      </c>
      <c r="S1393" s="131">
        <f>IF(ISBLANK(Table1[[#This Row],[Date]]),"",DATE(Table1[[#This Row],[Date_Year]],Table1[[#This Row],[Date_Month]],1))</f>
        <v>43770</v>
      </c>
    </row>
    <row r="1394" spans="2:19" ht="15.75" x14ac:dyDescent="0.25">
      <c r="B1394" s="133">
        <v>43795</v>
      </c>
      <c r="C1394" s="128" t="s">
        <v>1652</v>
      </c>
      <c r="D1394" s="128" t="s">
        <v>2369</v>
      </c>
      <c r="E1394" s="128" t="str" cm="1">
        <f t="array" ref="E1394">IFERROR(INDEX(SubcategoriesTable[Subcategory name],MATCH(Table1[[#This Row],[Category]],SubcategoriesTable[Category name],0),0),"")</f>
        <v>Variable</v>
      </c>
      <c r="F1394" s="134">
        <v>-347.1</v>
      </c>
      <c r="G1394" s="167" t="str">
        <f>_xlfn.XLOOKUP(Table1[[#This Row],[Account_ID]], Accounts[ID], Accounts[Account nickname], "Unknown")</f>
        <v>EVERYDAY CHECKING</v>
      </c>
      <c r="H1394" s="137" t="str">
        <f>_xlfn.XLOOKUP(Table1[[#This Row],[Account_ID]], Accounts[ID], Accounts[Account'#], "Unknown")</f>
        <v>4636</v>
      </c>
      <c r="I1394" s="168" t="str">
        <f>_xlfn.XLOOKUP(Table1[[#This Row],[Institution_ID]], Institutions[ID], Institutions[Institution nickname], "Unknown")</f>
        <v>Wells Fargo</v>
      </c>
      <c r="J1394" s="139" t="s">
        <v>2103</v>
      </c>
      <c r="K1394" s="129" t="s">
        <v>1229</v>
      </c>
      <c r="L1394" s="129" t="s">
        <v>1228</v>
      </c>
      <c r="M1394" s="130" t="str" cm="1">
        <f t="array" ref="M1394">IFERROR(INDEX(CategoriesTable[Category type],MATCH(Table1[[#This Row],[Category]],CategoriesTable[Category name],0),0),"")</f>
        <v>Expense</v>
      </c>
      <c r="N1394" s="130" t="str" cm="1">
        <f t="array" ref="N1394">IFERROR(INDEX(SubcategoriesTable[Subcategory name],MATCH(Table1[[#This Row],[Category]],SubcategoriesTable[Category name],0),0),"")</f>
        <v>Variable</v>
      </c>
      <c r="O1394" s="130">
        <v>26</v>
      </c>
      <c r="P1394" s="130">
        <f>MONTH(Table1[[#This Row],[Date]])</f>
        <v>11</v>
      </c>
      <c r="Q1394" s="130">
        <v>2019</v>
      </c>
      <c r="R1394" s="166">
        <f>IF(ISBLANK(Table1[[#This Row],[Date]]),"",Table1[[#This Row],[Date]]-WEEKDAY(Table1[[#This Row],[Date]],2)+1)</f>
        <v>43794</v>
      </c>
      <c r="S1394" s="131">
        <f>IF(ISBLANK(Table1[[#This Row],[Date]]),"",DATE(Table1[[#This Row],[Date_Year]],Table1[[#This Row],[Date_Month]],1))</f>
        <v>43770</v>
      </c>
    </row>
    <row r="1395" spans="2:19" ht="15.75" x14ac:dyDescent="0.25">
      <c r="B1395" s="133">
        <v>43794</v>
      </c>
      <c r="C1395" s="128" t="s">
        <v>180</v>
      </c>
      <c r="D1395" s="128" t="s">
        <v>45</v>
      </c>
      <c r="E1395" s="128" t="str" cm="1">
        <f t="array" ref="E1395">IFERROR(INDEX(SubcategoriesTable[Subcategory name],MATCH(Table1[[#This Row],[Category]],SubcategoriesTable[Category name],0),0),"")</f>
        <v>Variable</v>
      </c>
      <c r="F1395" s="134">
        <v>-13.33</v>
      </c>
      <c r="G1395" s="167" t="str">
        <f>_xlfn.XLOOKUP(Table1[[#This Row],[Account_ID]], Accounts[ID], Accounts[Account nickname], "Unknown")</f>
        <v>EVERYDAY CHECKING</v>
      </c>
      <c r="H1395" s="137" t="str">
        <f>_xlfn.XLOOKUP(Table1[[#This Row],[Account_ID]], Accounts[ID], Accounts[Account'#], "Unknown")</f>
        <v>4636</v>
      </c>
      <c r="I1395" s="168" t="str">
        <f>_xlfn.XLOOKUP(Table1[[#This Row],[Institution_ID]], Institutions[ID], Institutions[Institution nickname], "Unknown")</f>
        <v>Wells Fargo</v>
      </c>
      <c r="J1395" s="139" t="s">
        <v>2104</v>
      </c>
      <c r="K1395" s="129" t="s">
        <v>1229</v>
      </c>
      <c r="L1395" s="129" t="s">
        <v>1228</v>
      </c>
      <c r="M1395" s="130" t="str" cm="1">
        <f t="array" ref="M1395">IFERROR(INDEX(CategoriesTable[Category type],MATCH(Table1[[#This Row],[Category]],CategoriesTable[Category name],0),0),"")</f>
        <v>Expense</v>
      </c>
      <c r="N1395" s="130" t="str" cm="1">
        <f t="array" ref="N1395">IFERROR(INDEX(SubcategoriesTable[Subcategory name],MATCH(Table1[[#This Row],[Category]],SubcategoriesTable[Category name],0),0),"")</f>
        <v>Variable</v>
      </c>
      <c r="O1395" s="130">
        <v>25</v>
      </c>
      <c r="P1395" s="130">
        <f>MONTH(Table1[[#This Row],[Date]])</f>
        <v>11</v>
      </c>
      <c r="Q1395" s="130">
        <v>2019</v>
      </c>
      <c r="R1395" s="166">
        <f>IF(ISBLANK(Table1[[#This Row],[Date]]),"",Table1[[#This Row],[Date]]-WEEKDAY(Table1[[#This Row],[Date]],2)+1)</f>
        <v>43794</v>
      </c>
      <c r="S1395" s="131">
        <f>IF(ISBLANK(Table1[[#This Row],[Date]]),"",DATE(Table1[[#This Row],[Date_Year]],Table1[[#This Row],[Date_Month]],1))</f>
        <v>43770</v>
      </c>
    </row>
    <row r="1396" spans="2:19" ht="15.75" x14ac:dyDescent="0.25">
      <c r="B1396" s="133">
        <v>43794</v>
      </c>
      <c r="C1396" s="128" t="s">
        <v>2105</v>
      </c>
      <c r="D1396" s="128" t="s">
        <v>52</v>
      </c>
      <c r="E1396" s="128" t="str" cm="1">
        <f t="array" ref="E1396">IFERROR(INDEX(SubcategoriesTable[Subcategory name],MATCH(Table1[[#This Row],[Category]],SubcategoriesTable[Category name],0),0),"")</f>
        <v>Variable</v>
      </c>
      <c r="F1396" s="134">
        <v>-14.39</v>
      </c>
      <c r="G1396" s="167" t="str">
        <f>_xlfn.XLOOKUP(Table1[[#This Row],[Account_ID]], Accounts[ID], Accounts[Account nickname], "Unknown")</f>
        <v>EVERYDAY CHECKING</v>
      </c>
      <c r="H1396" s="137" t="str">
        <f>_xlfn.XLOOKUP(Table1[[#This Row],[Account_ID]], Accounts[ID], Accounts[Account'#], "Unknown")</f>
        <v>4636</v>
      </c>
      <c r="I1396" s="168" t="str">
        <f>_xlfn.XLOOKUP(Table1[[#This Row],[Institution_ID]], Institutions[ID], Institutions[Institution nickname], "Unknown")</f>
        <v>Wells Fargo</v>
      </c>
      <c r="J1396" s="139" t="s">
        <v>2106</v>
      </c>
      <c r="K1396" s="129" t="s">
        <v>1229</v>
      </c>
      <c r="L1396" s="129" t="s">
        <v>1228</v>
      </c>
      <c r="M1396" s="130" t="str" cm="1">
        <f t="array" ref="M1396">IFERROR(INDEX(CategoriesTable[Category type],MATCH(Table1[[#This Row],[Category]],CategoriesTable[Category name],0),0),"")</f>
        <v>Expense</v>
      </c>
      <c r="N1396" s="130" t="str" cm="1">
        <f t="array" ref="N1396">IFERROR(INDEX(SubcategoriesTable[Subcategory name],MATCH(Table1[[#This Row],[Category]],SubcategoriesTable[Category name],0),0),"")</f>
        <v>Variable</v>
      </c>
      <c r="O1396" s="130">
        <v>25</v>
      </c>
      <c r="P1396" s="130">
        <f>MONTH(Table1[[#This Row],[Date]])</f>
        <v>11</v>
      </c>
      <c r="Q1396" s="130">
        <v>2019</v>
      </c>
      <c r="R1396" s="166">
        <f>IF(ISBLANK(Table1[[#This Row],[Date]]),"",Table1[[#This Row],[Date]]-WEEKDAY(Table1[[#This Row],[Date]],2)+1)</f>
        <v>43794</v>
      </c>
      <c r="S1396" s="131">
        <f>IF(ISBLANK(Table1[[#This Row],[Date]]),"",DATE(Table1[[#This Row],[Date_Year]],Table1[[#This Row],[Date_Month]],1))</f>
        <v>43770</v>
      </c>
    </row>
    <row r="1397" spans="2:19" ht="15.75" x14ac:dyDescent="0.25">
      <c r="B1397" s="133">
        <v>43794</v>
      </c>
      <c r="C1397" s="128" t="s">
        <v>152</v>
      </c>
      <c r="D1397" s="128" t="s">
        <v>54</v>
      </c>
      <c r="E1397" s="128" t="str" cm="1">
        <f t="array" ref="E1397">IFERROR(INDEX(SubcategoriesTable[Subcategory name],MATCH(Table1[[#This Row],[Category]],SubcategoriesTable[Category name],0),0),"")</f>
        <v>Fixed</v>
      </c>
      <c r="F1397" s="134">
        <v>-15.99</v>
      </c>
      <c r="G1397" s="167" t="str">
        <f>_xlfn.XLOOKUP(Table1[[#This Row],[Account_ID]], Accounts[ID], Accounts[Account nickname], "Unknown")</f>
        <v>EVERYDAY CHECKING</v>
      </c>
      <c r="H1397" s="137" t="str">
        <f>_xlfn.XLOOKUP(Table1[[#This Row],[Account_ID]], Accounts[ID], Accounts[Account'#], "Unknown")</f>
        <v>4636</v>
      </c>
      <c r="I1397" s="168" t="str">
        <f>_xlfn.XLOOKUP(Table1[[#This Row],[Institution_ID]], Institutions[ID], Institutions[Institution nickname], "Unknown")</f>
        <v>Wells Fargo</v>
      </c>
      <c r="J1397" s="139" t="s">
        <v>2107</v>
      </c>
      <c r="K1397" s="129" t="s">
        <v>1229</v>
      </c>
      <c r="L1397" s="129" t="s">
        <v>1228</v>
      </c>
      <c r="M1397" s="130" t="str" cm="1">
        <f t="array" ref="M1397">IFERROR(INDEX(CategoriesTable[Category type],MATCH(Table1[[#This Row],[Category]],CategoriesTable[Category name],0),0),"")</f>
        <v>Expense</v>
      </c>
      <c r="N1397" s="130" t="str" cm="1">
        <f t="array" ref="N1397">IFERROR(INDEX(SubcategoriesTable[Subcategory name],MATCH(Table1[[#This Row],[Category]],SubcategoriesTable[Category name],0),0),"")</f>
        <v>Fixed</v>
      </c>
      <c r="O1397" s="130">
        <v>25</v>
      </c>
      <c r="P1397" s="130">
        <f>MONTH(Table1[[#This Row],[Date]])</f>
        <v>11</v>
      </c>
      <c r="Q1397" s="130">
        <v>2019</v>
      </c>
      <c r="R1397" s="166">
        <f>IF(ISBLANK(Table1[[#This Row],[Date]]),"",Table1[[#This Row],[Date]]-WEEKDAY(Table1[[#This Row],[Date]],2)+1)</f>
        <v>43794</v>
      </c>
      <c r="S1397" s="131">
        <f>IF(ISBLANK(Table1[[#This Row],[Date]]),"",DATE(Table1[[#This Row],[Date_Year]],Table1[[#This Row],[Date_Month]],1))</f>
        <v>43770</v>
      </c>
    </row>
    <row r="1398" spans="2:19" ht="15.75" x14ac:dyDescent="0.25">
      <c r="B1398" s="133">
        <v>43794</v>
      </c>
      <c r="C1398" s="128" t="s">
        <v>2035</v>
      </c>
      <c r="D1398" s="128" t="s">
        <v>48</v>
      </c>
      <c r="E1398" s="128" t="str" cm="1">
        <f t="array" ref="E1398">IFERROR(INDEX(SubcategoriesTable[Subcategory name],MATCH(Table1[[#This Row],[Category]],SubcategoriesTable[Category name],0),0),"")</f>
        <v>Variable</v>
      </c>
      <c r="F1398" s="134">
        <v>-49.99</v>
      </c>
      <c r="G1398" s="167" t="str">
        <f>_xlfn.XLOOKUP(Table1[[#This Row],[Account_ID]], Accounts[ID], Accounts[Account nickname], "Unknown")</f>
        <v>EVERYDAY CHECKING</v>
      </c>
      <c r="H1398" s="137" t="str">
        <f>_xlfn.XLOOKUP(Table1[[#This Row],[Account_ID]], Accounts[ID], Accounts[Account'#], "Unknown")</f>
        <v>4636</v>
      </c>
      <c r="I1398" s="168" t="str">
        <f>_xlfn.XLOOKUP(Table1[[#This Row],[Institution_ID]], Institutions[ID], Institutions[Institution nickname], "Unknown")</f>
        <v>Wells Fargo</v>
      </c>
      <c r="J1398" s="139" t="s">
        <v>2108</v>
      </c>
      <c r="K1398" s="129" t="s">
        <v>1229</v>
      </c>
      <c r="L1398" s="129" t="s">
        <v>1228</v>
      </c>
      <c r="M1398" s="130" t="str" cm="1">
        <f t="array" ref="M1398">IFERROR(INDEX(CategoriesTable[Category type],MATCH(Table1[[#This Row],[Category]],CategoriesTable[Category name],0),0),"")</f>
        <v>Expense</v>
      </c>
      <c r="N1398" s="130" t="str" cm="1">
        <f t="array" ref="N1398">IFERROR(INDEX(SubcategoriesTable[Subcategory name],MATCH(Table1[[#This Row],[Category]],SubcategoriesTable[Category name],0),0),"")</f>
        <v>Variable</v>
      </c>
      <c r="O1398" s="130">
        <v>25</v>
      </c>
      <c r="P1398" s="130">
        <f>MONTH(Table1[[#This Row],[Date]])</f>
        <v>11</v>
      </c>
      <c r="Q1398" s="130">
        <v>2019</v>
      </c>
      <c r="R1398" s="166">
        <f>IF(ISBLANK(Table1[[#This Row],[Date]]),"",Table1[[#This Row],[Date]]-WEEKDAY(Table1[[#This Row],[Date]],2)+1)</f>
        <v>43794</v>
      </c>
      <c r="S1398" s="131">
        <f>IF(ISBLANK(Table1[[#This Row],[Date]]),"",DATE(Table1[[#This Row],[Date_Year]],Table1[[#This Row],[Date_Month]],1))</f>
        <v>43770</v>
      </c>
    </row>
    <row r="1399" spans="2:19" ht="15.75" x14ac:dyDescent="0.25">
      <c r="B1399" s="133">
        <v>43794</v>
      </c>
      <c r="C1399" s="128" t="s">
        <v>690</v>
      </c>
      <c r="D1399" s="128" t="s">
        <v>48</v>
      </c>
      <c r="E1399" s="128" t="str" cm="1">
        <f t="array" ref="E1399">IFERROR(INDEX(SubcategoriesTable[Subcategory name],MATCH(Table1[[#This Row],[Category]],SubcategoriesTable[Category name],0),0),"")</f>
        <v>Variable</v>
      </c>
      <c r="F1399" s="134">
        <v>-10.69</v>
      </c>
      <c r="G1399" s="167" t="str">
        <f>_xlfn.XLOOKUP(Table1[[#This Row],[Account_ID]], Accounts[ID], Accounts[Account nickname], "Unknown")</f>
        <v>EVERYDAY CHECKING</v>
      </c>
      <c r="H1399" s="137" t="str">
        <f>_xlfn.XLOOKUP(Table1[[#This Row],[Account_ID]], Accounts[ID], Accounts[Account'#], "Unknown")</f>
        <v>4636</v>
      </c>
      <c r="I1399" s="168" t="str">
        <f>_xlfn.XLOOKUP(Table1[[#This Row],[Institution_ID]], Institutions[ID], Institutions[Institution nickname], "Unknown")</f>
        <v>Wells Fargo</v>
      </c>
      <c r="J1399" s="139" t="s">
        <v>2109</v>
      </c>
      <c r="K1399" s="129" t="s">
        <v>1229</v>
      </c>
      <c r="L1399" s="129" t="s">
        <v>1228</v>
      </c>
      <c r="M1399" s="130" t="str" cm="1">
        <f t="array" ref="M1399">IFERROR(INDEX(CategoriesTable[Category type],MATCH(Table1[[#This Row],[Category]],CategoriesTable[Category name],0),0),"")</f>
        <v>Expense</v>
      </c>
      <c r="N1399" s="130" t="str" cm="1">
        <f t="array" ref="N1399">IFERROR(INDEX(SubcategoriesTable[Subcategory name],MATCH(Table1[[#This Row],[Category]],SubcategoriesTable[Category name],0),0),"")</f>
        <v>Variable</v>
      </c>
      <c r="O1399" s="130">
        <v>25</v>
      </c>
      <c r="P1399" s="130">
        <f>MONTH(Table1[[#This Row],[Date]])</f>
        <v>11</v>
      </c>
      <c r="Q1399" s="130">
        <v>2019</v>
      </c>
      <c r="R1399" s="166">
        <f>IF(ISBLANK(Table1[[#This Row],[Date]]),"",Table1[[#This Row],[Date]]-WEEKDAY(Table1[[#This Row],[Date]],2)+1)</f>
        <v>43794</v>
      </c>
      <c r="S1399" s="131">
        <f>IF(ISBLANK(Table1[[#This Row],[Date]]),"",DATE(Table1[[#This Row],[Date_Year]],Table1[[#This Row],[Date_Month]],1))</f>
        <v>43770</v>
      </c>
    </row>
    <row r="1400" spans="2:19" ht="15.75" x14ac:dyDescent="0.25">
      <c r="B1400" s="133">
        <v>43794</v>
      </c>
      <c r="C1400" s="128" t="s">
        <v>2110</v>
      </c>
      <c r="D1400" s="128" t="s">
        <v>56</v>
      </c>
      <c r="E1400" s="128" t="str" cm="1">
        <f t="array" ref="E1400">IFERROR(INDEX(SubcategoriesTable[Subcategory name],MATCH(Table1[[#This Row],[Category]],SubcategoriesTable[Category name],0),0),"")</f>
        <v>Variable</v>
      </c>
      <c r="F1400" s="134">
        <v>-25.5</v>
      </c>
      <c r="G1400" s="167" t="str">
        <f>_xlfn.XLOOKUP(Table1[[#This Row],[Account_ID]], Accounts[ID], Accounts[Account nickname], "Unknown")</f>
        <v>EVERYDAY CHECKING</v>
      </c>
      <c r="H1400" s="137" t="str">
        <f>_xlfn.XLOOKUP(Table1[[#This Row],[Account_ID]], Accounts[ID], Accounts[Account'#], "Unknown")</f>
        <v>4636</v>
      </c>
      <c r="I1400" s="168" t="str">
        <f>_xlfn.XLOOKUP(Table1[[#This Row],[Institution_ID]], Institutions[ID], Institutions[Institution nickname], "Unknown")</f>
        <v>Wells Fargo</v>
      </c>
      <c r="J1400" s="139" t="s">
        <v>2111</v>
      </c>
      <c r="K1400" s="129" t="s">
        <v>1229</v>
      </c>
      <c r="L1400" s="129" t="s">
        <v>1228</v>
      </c>
      <c r="M1400" s="130" t="str" cm="1">
        <f t="array" ref="M1400">IFERROR(INDEX(CategoriesTable[Category type],MATCH(Table1[[#This Row],[Category]],CategoriesTable[Category name],0),0),"")</f>
        <v>Expense</v>
      </c>
      <c r="N1400" s="130" t="str" cm="1">
        <f t="array" ref="N1400">IFERROR(INDEX(SubcategoriesTable[Subcategory name],MATCH(Table1[[#This Row],[Category]],SubcategoriesTable[Category name],0),0),"")</f>
        <v>Variable</v>
      </c>
      <c r="O1400" s="130">
        <v>25</v>
      </c>
      <c r="P1400" s="130">
        <f>MONTH(Table1[[#This Row],[Date]])</f>
        <v>11</v>
      </c>
      <c r="Q1400" s="130">
        <v>2019</v>
      </c>
      <c r="R1400" s="166">
        <f>IF(ISBLANK(Table1[[#This Row],[Date]]),"",Table1[[#This Row],[Date]]-WEEKDAY(Table1[[#This Row],[Date]],2)+1)</f>
        <v>43794</v>
      </c>
      <c r="S1400" s="131">
        <f>IF(ISBLANK(Table1[[#This Row],[Date]]),"",DATE(Table1[[#This Row],[Date_Year]],Table1[[#This Row],[Date_Month]],1))</f>
        <v>43770</v>
      </c>
    </row>
    <row r="1401" spans="2:19" ht="15.75" x14ac:dyDescent="0.25">
      <c r="B1401" s="133">
        <v>43792</v>
      </c>
      <c r="C1401" s="128" t="s">
        <v>2112</v>
      </c>
      <c r="D1401" s="128" t="s">
        <v>48</v>
      </c>
      <c r="E1401" s="128" t="str" cm="1">
        <f t="array" ref="E1401">IFERROR(INDEX(SubcategoriesTable[Subcategory name],MATCH(Table1[[#This Row],[Category]],SubcategoriesTable[Category name],0),0),"")</f>
        <v>Variable</v>
      </c>
      <c r="F1401" s="134">
        <v>-25</v>
      </c>
      <c r="G1401" s="167" t="str">
        <f>_xlfn.XLOOKUP(Table1[[#This Row],[Account_ID]], Accounts[ID], Accounts[Account nickname], "Unknown")</f>
        <v>EVERYDAY CHECKING</v>
      </c>
      <c r="H1401" s="137" t="str">
        <f>_xlfn.XLOOKUP(Table1[[#This Row],[Account_ID]], Accounts[ID], Accounts[Account'#], "Unknown")</f>
        <v>4636</v>
      </c>
      <c r="I1401" s="168" t="str">
        <f>_xlfn.XLOOKUP(Table1[[#This Row],[Institution_ID]], Institutions[ID], Institutions[Institution nickname], "Unknown")</f>
        <v>Wells Fargo</v>
      </c>
      <c r="J1401" s="139" t="s">
        <v>2113</v>
      </c>
      <c r="K1401" s="129" t="s">
        <v>1229</v>
      </c>
      <c r="L1401" s="129" t="s">
        <v>1228</v>
      </c>
      <c r="M1401" s="130" t="str" cm="1">
        <f t="array" ref="M1401">IFERROR(INDEX(CategoriesTable[Category type],MATCH(Table1[[#This Row],[Category]],CategoriesTable[Category name],0),0),"")</f>
        <v>Expense</v>
      </c>
      <c r="N1401" s="130" t="str" cm="1">
        <f t="array" ref="N1401">IFERROR(INDEX(SubcategoriesTable[Subcategory name],MATCH(Table1[[#This Row],[Category]],SubcategoriesTable[Category name],0),0),"")</f>
        <v>Variable</v>
      </c>
      <c r="O1401" s="130">
        <v>23</v>
      </c>
      <c r="P1401" s="130">
        <f>MONTH(Table1[[#This Row],[Date]])</f>
        <v>11</v>
      </c>
      <c r="Q1401" s="130">
        <v>2019</v>
      </c>
      <c r="R1401" s="166">
        <f>IF(ISBLANK(Table1[[#This Row],[Date]]),"",Table1[[#This Row],[Date]]-WEEKDAY(Table1[[#This Row],[Date]],2)+1)</f>
        <v>43787</v>
      </c>
      <c r="S1401" s="131">
        <f>IF(ISBLANK(Table1[[#This Row],[Date]]),"",DATE(Table1[[#This Row],[Date_Year]],Table1[[#This Row],[Date_Month]],1))</f>
        <v>43770</v>
      </c>
    </row>
    <row r="1402" spans="2:19" ht="15.75" x14ac:dyDescent="0.25">
      <c r="B1402" s="133">
        <v>43791</v>
      </c>
      <c r="C1402" s="128" t="s">
        <v>2098</v>
      </c>
      <c r="D1402" s="128" t="s">
        <v>45</v>
      </c>
      <c r="E1402" s="128" t="str" cm="1">
        <f t="array" ref="E1402">IFERROR(INDEX(SubcategoriesTable[Subcategory name],MATCH(Table1[[#This Row],[Category]],SubcategoriesTable[Category name],0),0),"")</f>
        <v>Variable</v>
      </c>
      <c r="F1402" s="134">
        <v>-17.489999999999998</v>
      </c>
      <c r="G1402" s="167" t="str">
        <f>_xlfn.XLOOKUP(Table1[[#This Row],[Account_ID]], Accounts[ID], Accounts[Account nickname], "Unknown")</f>
        <v>EVERYDAY CHECKING</v>
      </c>
      <c r="H1402" s="137" t="str">
        <f>_xlfn.XLOOKUP(Table1[[#This Row],[Account_ID]], Accounts[ID], Accounts[Account'#], "Unknown")</f>
        <v>4636</v>
      </c>
      <c r="I1402" s="168" t="str">
        <f>_xlfn.XLOOKUP(Table1[[#This Row],[Institution_ID]], Institutions[ID], Institutions[Institution nickname], "Unknown")</f>
        <v>Wells Fargo</v>
      </c>
      <c r="J1402" s="139" t="s">
        <v>2114</v>
      </c>
      <c r="K1402" s="129" t="s">
        <v>1229</v>
      </c>
      <c r="L1402" s="129" t="s">
        <v>1228</v>
      </c>
      <c r="M1402" s="130" t="str" cm="1">
        <f t="array" ref="M1402">IFERROR(INDEX(CategoriesTable[Category type],MATCH(Table1[[#This Row],[Category]],CategoriesTable[Category name],0),0),"")</f>
        <v>Expense</v>
      </c>
      <c r="N1402" s="130" t="str" cm="1">
        <f t="array" ref="N1402">IFERROR(INDEX(SubcategoriesTable[Subcategory name],MATCH(Table1[[#This Row],[Category]],SubcategoriesTable[Category name],0),0),"")</f>
        <v>Variable</v>
      </c>
      <c r="O1402" s="130">
        <v>22</v>
      </c>
      <c r="P1402" s="130">
        <f>MONTH(Table1[[#This Row],[Date]])</f>
        <v>11</v>
      </c>
      <c r="Q1402" s="130">
        <v>2019</v>
      </c>
      <c r="R1402" s="166">
        <f>IF(ISBLANK(Table1[[#This Row],[Date]]),"",Table1[[#This Row],[Date]]-WEEKDAY(Table1[[#This Row],[Date]],2)+1)</f>
        <v>43787</v>
      </c>
      <c r="S1402" s="131">
        <f>IF(ISBLANK(Table1[[#This Row],[Date]]),"",DATE(Table1[[#This Row],[Date_Year]],Table1[[#This Row],[Date_Month]],1))</f>
        <v>43770</v>
      </c>
    </row>
    <row r="1403" spans="2:19" ht="15.75" x14ac:dyDescent="0.25">
      <c r="B1403" s="133">
        <v>43791</v>
      </c>
      <c r="C1403" s="128" t="s">
        <v>191</v>
      </c>
      <c r="D1403" s="128" t="s">
        <v>48</v>
      </c>
      <c r="E1403" s="128" t="str" cm="1">
        <f t="array" ref="E1403">IFERROR(INDEX(SubcategoriesTable[Subcategory name],MATCH(Table1[[#This Row],[Category]],SubcategoriesTable[Category name],0),0),"")</f>
        <v>Variable</v>
      </c>
      <c r="F1403" s="134">
        <v>-125.41</v>
      </c>
      <c r="G1403" s="167" t="str">
        <f>_xlfn.XLOOKUP(Table1[[#This Row],[Account_ID]], Accounts[ID], Accounts[Account nickname], "Unknown")</f>
        <v>EVERYDAY CHECKING</v>
      </c>
      <c r="H1403" s="137" t="str">
        <f>_xlfn.XLOOKUP(Table1[[#This Row],[Account_ID]], Accounts[ID], Accounts[Account'#], "Unknown")</f>
        <v>4636</v>
      </c>
      <c r="I1403" s="168" t="str">
        <f>_xlfn.XLOOKUP(Table1[[#This Row],[Institution_ID]], Institutions[ID], Institutions[Institution nickname], "Unknown")</f>
        <v>Wells Fargo</v>
      </c>
      <c r="J1403" s="139" t="s">
        <v>2115</v>
      </c>
      <c r="K1403" s="129" t="s">
        <v>1229</v>
      </c>
      <c r="L1403" s="129" t="s">
        <v>1228</v>
      </c>
      <c r="M1403" s="130" t="str" cm="1">
        <f t="array" ref="M1403">IFERROR(INDEX(CategoriesTable[Category type],MATCH(Table1[[#This Row],[Category]],CategoriesTable[Category name],0),0),"")</f>
        <v>Expense</v>
      </c>
      <c r="N1403" s="130" t="str" cm="1">
        <f t="array" ref="N1403">IFERROR(INDEX(SubcategoriesTable[Subcategory name],MATCH(Table1[[#This Row],[Category]],SubcategoriesTable[Category name],0),0),"")</f>
        <v>Variable</v>
      </c>
      <c r="O1403" s="130">
        <v>22</v>
      </c>
      <c r="P1403" s="130">
        <f>MONTH(Table1[[#This Row],[Date]])</f>
        <v>11</v>
      </c>
      <c r="Q1403" s="130">
        <v>2019</v>
      </c>
      <c r="R1403" s="166">
        <f>IF(ISBLANK(Table1[[#This Row],[Date]]),"",Table1[[#This Row],[Date]]-WEEKDAY(Table1[[#This Row],[Date]],2)+1)</f>
        <v>43787</v>
      </c>
      <c r="S1403" s="131">
        <f>IF(ISBLANK(Table1[[#This Row],[Date]]),"",DATE(Table1[[#This Row],[Date_Year]],Table1[[#This Row],[Date_Month]],1))</f>
        <v>43770</v>
      </c>
    </row>
    <row r="1404" spans="2:19" ht="15.75" x14ac:dyDescent="0.25">
      <c r="B1404" s="133">
        <v>43791</v>
      </c>
      <c r="C1404" s="128" t="s">
        <v>1181</v>
      </c>
      <c r="D1404" s="128" t="s">
        <v>59</v>
      </c>
      <c r="E1404" s="128" t="str" cm="1">
        <f t="array" ref="E1404">IFERROR(INDEX(SubcategoriesTable[Subcategory name],MATCH(Table1[[#This Row],[Category]],SubcategoriesTable[Category name],0),0),"")</f>
        <v>Fixed</v>
      </c>
      <c r="F1404" s="134">
        <v>1545.91</v>
      </c>
      <c r="G1404" s="167" t="str">
        <f>_xlfn.XLOOKUP(Table1[[#This Row],[Account_ID]], Accounts[ID], Accounts[Account nickname], "Unknown")</f>
        <v>EVERYDAY CHECKING</v>
      </c>
      <c r="H1404" s="137" t="str">
        <f>_xlfn.XLOOKUP(Table1[[#This Row],[Account_ID]], Accounts[ID], Accounts[Account'#], "Unknown")</f>
        <v>4636</v>
      </c>
      <c r="I1404" s="168" t="str">
        <f>_xlfn.XLOOKUP(Table1[[#This Row],[Institution_ID]], Institutions[ID], Institutions[Institution nickname], "Unknown")</f>
        <v>Wells Fargo</v>
      </c>
      <c r="J1404" s="139" t="s">
        <v>2116</v>
      </c>
      <c r="K1404" s="129" t="s">
        <v>1229</v>
      </c>
      <c r="L1404" s="129" t="s">
        <v>1228</v>
      </c>
      <c r="M1404" s="130" t="str" cm="1">
        <f t="array" ref="M1404">IFERROR(INDEX(CategoriesTable[Category type],MATCH(Table1[[#This Row],[Category]],CategoriesTable[Category name],0),0),"")</f>
        <v>Income</v>
      </c>
      <c r="N1404" s="130" t="str" cm="1">
        <f t="array" ref="N1404">IFERROR(INDEX(SubcategoriesTable[Subcategory name],MATCH(Table1[[#This Row],[Category]],SubcategoriesTable[Category name],0),0),"")</f>
        <v>Fixed</v>
      </c>
      <c r="O1404" s="130">
        <v>22</v>
      </c>
      <c r="P1404" s="130">
        <f>MONTH(Table1[[#This Row],[Date]])</f>
        <v>11</v>
      </c>
      <c r="Q1404" s="130">
        <v>2019</v>
      </c>
      <c r="R1404" s="166">
        <f>IF(ISBLANK(Table1[[#This Row],[Date]]),"",Table1[[#This Row],[Date]]-WEEKDAY(Table1[[#This Row],[Date]],2)+1)</f>
        <v>43787</v>
      </c>
      <c r="S1404" s="131">
        <f>IF(ISBLANK(Table1[[#This Row],[Date]]),"",DATE(Table1[[#This Row],[Date_Year]],Table1[[#This Row],[Date_Month]],1))</f>
        <v>43770</v>
      </c>
    </row>
    <row r="1405" spans="2:19" ht="15.75" x14ac:dyDescent="0.25">
      <c r="B1405" s="133">
        <v>43791</v>
      </c>
      <c r="C1405" s="128" t="s">
        <v>148</v>
      </c>
      <c r="D1405" s="128" t="s">
        <v>54</v>
      </c>
      <c r="E1405" s="128" t="str" cm="1">
        <f t="array" ref="E1405">IFERROR(INDEX(SubcategoriesTable[Subcategory name],MATCH(Table1[[#This Row],[Category]],SubcategoriesTable[Category name],0),0),"")</f>
        <v>Fixed</v>
      </c>
      <c r="F1405" s="134">
        <v>-9.99</v>
      </c>
      <c r="G1405" s="167" t="str">
        <f>_xlfn.XLOOKUP(Table1[[#This Row],[Account_ID]], Accounts[ID], Accounts[Account nickname], "Unknown")</f>
        <v>EVERYDAY CHECKING</v>
      </c>
      <c r="H1405" s="137" t="str">
        <f>_xlfn.XLOOKUP(Table1[[#This Row],[Account_ID]], Accounts[ID], Accounts[Account'#], "Unknown")</f>
        <v>4636</v>
      </c>
      <c r="I1405" s="168" t="str">
        <f>_xlfn.XLOOKUP(Table1[[#This Row],[Institution_ID]], Institutions[ID], Institutions[Institution nickname], "Unknown")</f>
        <v>Wells Fargo</v>
      </c>
      <c r="J1405" s="139" t="s">
        <v>2117</v>
      </c>
      <c r="K1405" s="129" t="s">
        <v>1229</v>
      </c>
      <c r="L1405" s="129" t="s">
        <v>1228</v>
      </c>
      <c r="M1405" s="130" t="str" cm="1">
        <f t="array" ref="M1405">IFERROR(INDEX(CategoriesTable[Category type],MATCH(Table1[[#This Row],[Category]],CategoriesTable[Category name],0),0),"")</f>
        <v>Expense</v>
      </c>
      <c r="N1405" s="130" t="str" cm="1">
        <f t="array" ref="N1405">IFERROR(INDEX(SubcategoriesTable[Subcategory name],MATCH(Table1[[#This Row],[Category]],SubcategoriesTable[Category name],0),0),"")</f>
        <v>Fixed</v>
      </c>
      <c r="O1405" s="130">
        <v>22</v>
      </c>
      <c r="P1405" s="130">
        <f>MONTH(Table1[[#This Row],[Date]])</f>
        <v>11</v>
      </c>
      <c r="Q1405" s="130">
        <v>2019</v>
      </c>
      <c r="R1405" s="166">
        <f>IF(ISBLANK(Table1[[#This Row],[Date]]),"",Table1[[#This Row],[Date]]-WEEKDAY(Table1[[#This Row],[Date]],2)+1)</f>
        <v>43787</v>
      </c>
      <c r="S1405" s="131">
        <f>IF(ISBLANK(Table1[[#This Row],[Date]]),"",DATE(Table1[[#This Row],[Date_Year]],Table1[[#This Row],[Date_Month]],1))</f>
        <v>43770</v>
      </c>
    </row>
    <row r="1406" spans="2:19" ht="15.75" x14ac:dyDescent="0.25">
      <c r="B1406" s="133">
        <v>43791</v>
      </c>
      <c r="C1406" s="128" t="s">
        <v>115</v>
      </c>
      <c r="D1406" s="128" t="s">
        <v>48</v>
      </c>
      <c r="E1406" s="128" t="str" cm="1">
        <f t="array" ref="E1406">IFERROR(INDEX(SubcategoriesTable[Subcategory name],MATCH(Table1[[#This Row],[Category]],SubcategoriesTable[Category name],0),0),"")</f>
        <v>Variable</v>
      </c>
      <c r="F1406" s="134">
        <v>-580.88</v>
      </c>
      <c r="G1406" s="167" t="str">
        <f>_xlfn.XLOOKUP(Table1[[#This Row],[Account_ID]], Accounts[ID], Accounts[Account nickname], "Unknown")</f>
        <v>EVERYDAY CHECKING</v>
      </c>
      <c r="H1406" s="137" t="str">
        <f>_xlfn.XLOOKUP(Table1[[#This Row],[Account_ID]], Accounts[ID], Accounts[Account'#], "Unknown")</f>
        <v>4636</v>
      </c>
      <c r="I1406" s="168" t="str">
        <f>_xlfn.XLOOKUP(Table1[[#This Row],[Institution_ID]], Institutions[ID], Institutions[Institution nickname], "Unknown")</f>
        <v>Wells Fargo</v>
      </c>
      <c r="J1406" s="139" t="s">
        <v>2118</v>
      </c>
      <c r="K1406" s="129" t="s">
        <v>1229</v>
      </c>
      <c r="L1406" s="129" t="s">
        <v>1228</v>
      </c>
      <c r="M1406" s="130" t="str" cm="1">
        <f t="array" ref="M1406">IFERROR(INDEX(CategoriesTable[Category type],MATCH(Table1[[#This Row],[Category]],CategoriesTable[Category name],0),0),"")</f>
        <v>Expense</v>
      </c>
      <c r="N1406" s="130" t="str" cm="1">
        <f t="array" ref="N1406">IFERROR(INDEX(SubcategoriesTable[Subcategory name],MATCH(Table1[[#This Row],[Category]],SubcategoriesTable[Category name],0),0),"")</f>
        <v>Variable</v>
      </c>
      <c r="O1406" s="130">
        <v>22</v>
      </c>
      <c r="P1406" s="130">
        <f>MONTH(Table1[[#This Row],[Date]])</f>
        <v>11</v>
      </c>
      <c r="Q1406" s="130">
        <v>2019</v>
      </c>
      <c r="R1406" s="166">
        <f>IF(ISBLANK(Table1[[#This Row],[Date]]),"",Table1[[#This Row],[Date]]-WEEKDAY(Table1[[#This Row],[Date]],2)+1)</f>
        <v>43787</v>
      </c>
      <c r="S1406" s="131">
        <f>IF(ISBLANK(Table1[[#This Row],[Date]]),"",DATE(Table1[[#This Row],[Date_Year]],Table1[[#This Row],[Date_Month]],1))</f>
        <v>43770</v>
      </c>
    </row>
    <row r="1407" spans="2:19" ht="15.75" x14ac:dyDescent="0.25">
      <c r="B1407" s="133">
        <v>43791</v>
      </c>
      <c r="C1407" s="128" t="s">
        <v>302</v>
      </c>
      <c r="D1407" s="128" t="s">
        <v>52</v>
      </c>
      <c r="E1407" s="128" t="str" cm="1">
        <f t="array" ref="E1407">IFERROR(INDEX(SubcategoriesTable[Subcategory name],MATCH(Table1[[#This Row],[Category]],SubcategoriesTable[Category name],0),0),"")</f>
        <v>Variable</v>
      </c>
      <c r="F1407" s="134">
        <v>-22.71</v>
      </c>
      <c r="G1407" s="167" t="str">
        <f>_xlfn.XLOOKUP(Table1[[#This Row],[Account_ID]], Accounts[ID], Accounts[Account nickname], "Unknown")</f>
        <v>EVERYDAY CHECKING</v>
      </c>
      <c r="H1407" s="137" t="str">
        <f>_xlfn.XLOOKUP(Table1[[#This Row],[Account_ID]], Accounts[ID], Accounts[Account'#], "Unknown")</f>
        <v>4636</v>
      </c>
      <c r="I1407" s="168" t="str">
        <f>_xlfn.XLOOKUP(Table1[[#This Row],[Institution_ID]], Institutions[ID], Institutions[Institution nickname], "Unknown")</f>
        <v>Wells Fargo</v>
      </c>
      <c r="J1407" s="139" t="s">
        <v>2119</v>
      </c>
      <c r="K1407" s="129" t="s">
        <v>1229</v>
      </c>
      <c r="L1407" s="129" t="s">
        <v>1228</v>
      </c>
      <c r="M1407" s="130" t="str" cm="1">
        <f t="array" ref="M1407">IFERROR(INDEX(CategoriesTable[Category type],MATCH(Table1[[#This Row],[Category]],CategoriesTable[Category name],0),0),"")</f>
        <v>Expense</v>
      </c>
      <c r="N1407" s="130" t="str" cm="1">
        <f t="array" ref="N1407">IFERROR(INDEX(SubcategoriesTable[Subcategory name],MATCH(Table1[[#This Row],[Category]],SubcategoriesTable[Category name],0),0),"")</f>
        <v>Variable</v>
      </c>
      <c r="O1407" s="130">
        <v>22</v>
      </c>
      <c r="P1407" s="130">
        <f>MONTH(Table1[[#This Row],[Date]])</f>
        <v>11</v>
      </c>
      <c r="Q1407" s="130">
        <v>2019</v>
      </c>
      <c r="R1407" s="166">
        <f>IF(ISBLANK(Table1[[#This Row],[Date]]),"",Table1[[#This Row],[Date]]-WEEKDAY(Table1[[#This Row],[Date]],2)+1)</f>
        <v>43787</v>
      </c>
      <c r="S1407" s="131">
        <f>IF(ISBLANK(Table1[[#This Row],[Date]]),"",DATE(Table1[[#This Row],[Date_Year]],Table1[[#This Row],[Date_Month]],1))</f>
        <v>43770</v>
      </c>
    </row>
    <row r="1408" spans="2:19" ht="15.75" x14ac:dyDescent="0.25">
      <c r="B1408" s="133">
        <v>43789</v>
      </c>
      <c r="C1408" s="128" t="s">
        <v>1066</v>
      </c>
      <c r="D1408" s="128" t="s">
        <v>61</v>
      </c>
      <c r="E1408" s="128" t="str" cm="1">
        <f t="array" ref="E1408">IFERROR(INDEX(SubcategoriesTable[Subcategory name],MATCH(Table1[[#This Row],[Category]],SubcategoriesTable[Category name],0),0),"")</f>
        <v>Variable</v>
      </c>
      <c r="F1408" s="134">
        <v>-15.57</v>
      </c>
      <c r="G1408" s="167" t="str">
        <f>_xlfn.XLOOKUP(Table1[[#This Row],[Account_ID]], Accounts[ID], Accounts[Account nickname], "Unknown")</f>
        <v>Discover it chrome Card</v>
      </c>
      <c r="H1408" s="137" t="str">
        <f>_xlfn.XLOOKUP(Table1[[#This Row],[Account_ID]], Accounts[ID], Accounts[Account'#], "Unknown")</f>
        <v>7328</v>
      </c>
      <c r="I1408" s="168" t="str">
        <f>_xlfn.XLOOKUP(Table1[[#This Row],[Institution_ID]], Institutions[ID], Institutions[Institution nickname], "Unknown")</f>
        <v>Discover</v>
      </c>
      <c r="J1408" s="171" t="s">
        <v>1067</v>
      </c>
      <c r="K1408" s="129" t="s">
        <v>110</v>
      </c>
      <c r="L1408" s="129" t="s">
        <v>108</v>
      </c>
      <c r="M1408" s="130" t="str" cm="1">
        <f t="array" ref="M1408">IFERROR(INDEX(CategoriesTable[Category type],MATCH(Table1[[#This Row],[Category]],CategoriesTable[Category name],0),0),"")</f>
        <v>Expense</v>
      </c>
      <c r="N1408" s="130" t="str" cm="1">
        <f t="array" ref="N1408">IFERROR(INDEX(SubcategoriesTable[Subcategory name],MATCH(Table1[[#This Row],[Category]],SubcategoriesTable[Category name],0),0),"")</f>
        <v>Variable</v>
      </c>
      <c r="O1408" s="130">
        <v>20</v>
      </c>
      <c r="P1408" s="130">
        <f>MONTH(Table1[[#This Row],[Date]])</f>
        <v>11</v>
      </c>
      <c r="Q1408" s="130">
        <v>2019</v>
      </c>
      <c r="R1408" s="166">
        <f>IF(ISBLANK(Table1[[#This Row],[Date]]),"",Table1[[#This Row],[Date]]-WEEKDAY(Table1[[#This Row],[Date]],2)+1)</f>
        <v>43787</v>
      </c>
      <c r="S1408" s="131">
        <f>IF(ISBLANK(Table1[[#This Row],[Date]]),"",DATE(Table1[[#This Row],[Date_Year]],Table1[[#This Row],[Date_Month]],1))</f>
        <v>43770</v>
      </c>
    </row>
    <row r="1409" spans="2:19" ht="15.75" x14ac:dyDescent="0.25">
      <c r="B1409" s="133">
        <v>43785</v>
      </c>
      <c r="C1409" s="128" t="s">
        <v>2031</v>
      </c>
      <c r="D1409" s="128" t="s">
        <v>45</v>
      </c>
      <c r="E1409" s="128" t="str" cm="1">
        <f t="array" ref="E1409">IFERROR(INDEX(SubcategoriesTable[Subcategory name],MATCH(Table1[[#This Row],[Category]],SubcategoriesTable[Category name],0),0),"")</f>
        <v>Variable</v>
      </c>
      <c r="F1409" s="134">
        <v>-48.22</v>
      </c>
      <c r="G1409" s="167" t="str">
        <f>_xlfn.XLOOKUP(Table1[[#This Row],[Account_ID]], Accounts[ID], Accounts[Account nickname], "Unknown")</f>
        <v>EVERYDAY CHECKING</v>
      </c>
      <c r="H1409" s="137" t="str">
        <f>_xlfn.XLOOKUP(Table1[[#This Row],[Account_ID]], Accounts[ID], Accounts[Account'#], "Unknown")</f>
        <v>4636</v>
      </c>
      <c r="I1409" s="168" t="str">
        <f>_xlfn.XLOOKUP(Table1[[#This Row],[Institution_ID]], Institutions[ID], Institutions[Institution nickname], "Unknown")</f>
        <v>Wells Fargo</v>
      </c>
      <c r="J1409" s="139" t="s">
        <v>2120</v>
      </c>
      <c r="K1409" s="129" t="s">
        <v>1229</v>
      </c>
      <c r="L1409" s="129" t="s">
        <v>1228</v>
      </c>
      <c r="M1409" s="130" t="str" cm="1">
        <f t="array" ref="M1409">IFERROR(INDEX(CategoriesTable[Category type],MATCH(Table1[[#This Row],[Category]],CategoriesTable[Category name],0),0),"")</f>
        <v>Expense</v>
      </c>
      <c r="N1409" s="130" t="str" cm="1">
        <f t="array" ref="N1409">IFERROR(INDEX(SubcategoriesTable[Subcategory name],MATCH(Table1[[#This Row],[Category]],SubcategoriesTable[Category name],0),0),"")</f>
        <v>Variable</v>
      </c>
      <c r="O1409" s="130">
        <v>16</v>
      </c>
      <c r="P1409" s="130">
        <f>MONTH(Table1[[#This Row],[Date]])</f>
        <v>11</v>
      </c>
      <c r="Q1409" s="130">
        <v>2019</v>
      </c>
      <c r="R1409" s="166">
        <f>IF(ISBLANK(Table1[[#This Row],[Date]]),"",Table1[[#This Row],[Date]]-WEEKDAY(Table1[[#This Row],[Date]],2)+1)</f>
        <v>43780</v>
      </c>
      <c r="S1409" s="131">
        <f>IF(ISBLANK(Table1[[#This Row],[Date]]),"",DATE(Table1[[#This Row],[Date_Year]],Table1[[#This Row],[Date_Month]],1))</f>
        <v>43770</v>
      </c>
    </row>
    <row r="1410" spans="2:19" ht="15.75" x14ac:dyDescent="0.25">
      <c r="B1410" s="133">
        <v>43784</v>
      </c>
      <c r="C1410" s="128" t="s">
        <v>2121</v>
      </c>
      <c r="D1410" s="128" t="s">
        <v>50</v>
      </c>
      <c r="E1410" s="128" t="str" cm="1">
        <f t="array" ref="E1410">IFERROR(INDEX(SubcategoriesTable[Subcategory name],MATCH(Table1[[#This Row],[Category]],SubcategoriesTable[Category name],0),0),"")</f>
        <v>Variable</v>
      </c>
      <c r="F1410" s="134">
        <v>-26.5</v>
      </c>
      <c r="G1410" s="167" t="str">
        <f>_xlfn.XLOOKUP(Table1[[#This Row],[Account_ID]], Accounts[ID], Accounts[Account nickname], "Unknown")</f>
        <v>EVERYDAY CHECKING</v>
      </c>
      <c r="H1410" s="137" t="str">
        <f>_xlfn.XLOOKUP(Table1[[#This Row],[Account_ID]], Accounts[ID], Accounts[Account'#], "Unknown")</f>
        <v>4636</v>
      </c>
      <c r="I1410" s="168" t="str">
        <f>_xlfn.XLOOKUP(Table1[[#This Row],[Institution_ID]], Institutions[ID], Institutions[Institution nickname], "Unknown")</f>
        <v>Wells Fargo</v>
      </c>
      <c r="J1410" s="139" t="s">
        <v>2122</v>
      </c>
      <c r="K1410" s="129" t="s">
        <v>1229</v>
      </c>
      <c r="L1410" s="129" t="s">
        <v>1228</v>
      </c>
      <c r="M1410" s="130" t="str" cm="1">
        <f t="array" ref="M1410">IFERROR(INDEX(CategoriesTable[Category type],MATCH(Table1[[#This Row],[Category]],CategoriesTable[Category name],0),0),"")</f>
        <v>Transfer</v>
      </c>
      <c r="N1410" s="130" t="str" cm="1">
        <f t="array" ref="N1410">IFERROR(INDEX(SubcategoriesTable[Subcategory name],MATCH(Table1[[#This Row],[Category]],SubcategoriesTable[Category name],0),0),"")</f>
        <v>Variable</v>
      </c>
      <c r="O1410" s="130">
        <v>15</v>
      </c>
      <c r="P1410" s="130">
        <f>MONTH(Table1[[#This Row],[Date]])</f>
        <v>11</v>
      </c>
      <c r="Q1410" s="130">
        <v>2019</v>
      </c>
      <c r="R1410" s="166">
        <f>IF(ISBLANK(Table1[[#This Row],[Date]]),"",Table1[[#This Row],[Date]]-WEEKDAY(Table1[[#This Row],[Date]],2)+1)</f>
        <v>43780</v>
      </c>
      <c r="S1410" s="131">
        <f>IF(ISBLANK(Table1[[#This Row],[Date]]),"",DATE(Table1[[#This Row],[Date_Year]],Table1[[#This Row],[Date_Month]],1))</f>
        <v>43770</v>
      </c>
    </row>
    <row r="1411" spans="2:19" ht="15.75" x14ac:dyDescent="0.25">
      <c r="B1411" s="133">
        <v>43783</v>
      </c>
      <c r="C1411" s="128" t="s">
        <v>531</v>
      </c>
      <c r="D1411" s="128" t="s">
        <v>54</v>
      </c>
      <c r="E1411" s="128" t="str" cm="1">
        <f t="array" ref="E1411">IFERROR(INDEX(SubcategoriesTable[Subcategory name],MATCH(Table1[[#This Row],[Category]],SubcategoriesTable[Category name],0),0),"")</f>
        <v>Fixed</v>
      </c>
      <c r="F1411" s="134">
        <v>-3.27</v>
      </c>
      <c r="G1411" s="167" t="str">
        <f>_xlfn.XLOOKUP(Table1[[#This Row],[Account_ID]], Accounts[ID], Accounts[Account nickname], "Unknown")</f>
        <v>EVERYDAY CHECKING</v>
      </c>
      <c r="H1411" s="137" t="str">
        <f>_xlfn.XLOOKUP(Table1[[#This Row],[Account_ID]], Accounts[ID], Accounts[Account'#], "Unknown")</f>
        <v>4636</v>
      </c>
      <c r="I1411" s="168" t="str">
        <f>_xlfn.XLOOKUP(Table1[[#This Row],[Institution_ID]], Institutions[ID], Institutions[Institution nickname], "Unknown")</f>
        <v>Wells Fargo</v>
      </c>
      <c r="J1411" s="139" t="s">
        <v>2123</v>
      </c>
      <c r="K1411" s="129" t="s">
        <v>1229</v>
      </c>
      <c r="L1411" s="129" t="s">
        <v>1228</v>
      </c>
      <c r="M1411" s="130" t="str" cm="1">
        <f t="array" ref="M1411">IFERROR(INDEX(CategoriesTable[Category type],MATCH(Table1[[#This Row],[Category]],CategoriesTable[Category name],0),0),"")</f>
        <v>Expense</v>
      </c>
      <c r="N1411" s="130" t="str" cm="1">
        <f t="array" ref="N1411">IFERROR(INDEX(SubcategoriesTable[Subcategory name],MATCH(Table1[[#This Row],[Category]],SubcategoriesTable[Category name],0),0),"")</f>
        <v>Fixed</v>
      </c>
      <c r="O1411" s="130">
        <v>14</v>
      </c>
      <c r="P1411" s="130">
        <f>MONTH(Table1[[#This Row],[Date]])</f>
        <v>11</v>
      </c>
      <c r="Q1411" s="130">
        <v>2019</v>
      </c>
      <c r="R1411" s="166">
        <f>IF(ISBLANK(Table1[[#This Row],[Date]]),"",Table1[[#This Row],[Date]]-WEEKDAY(Table1[[#This Row],[Date]],2)+1)</f>
        <v>43780</v>
      </c>
      <c r="S1411" s="131">
        <f>IF(ISBLANK(Table1[[#This Row],[Date]]),"",DATE(Table1[[#This Row],[Date_Year]],Table1[[#This Row],[Date_Month]],1))</f>
        <v>43770</v>
      </c>
    </row>
    <row r="1412" spans="2:19" ht="15.75" x14ac:dyDescent="0.25">
      <c r="B1412" s="133">
        <v>43782</v>
      </c>
      <c r="C1412" s="128" t="s">
        <v>2124</v>
      </c>
      <c r="D1412" s="128" t="s">
        <v>45</v>
      </c>
      <c r="E1412" s="128" t="str" cm="1">
        <f t="array" ref="E1412">IFERROR(INDEX(SubcategoriesTable[Subcategory name],MATCH(Table1[[#This Row],[Category]],SubcategoriesTable[Category name],0),0),"")</f>
        <v>Variable</v>
      </c>
      <c r="F1412" s="134">
        <v>-26.45</v>
      </c>
      <c r="G1412" s="167" t="str">
        <f>_xlfn.XLOOKUP(Table1[[#This Row],[Account_ID]], Accounts[ID], Accounts[Account nickname], "Unknown")</f>
        <v>EVERYDAY CHECKING</v>
      </c>
      <c r="H1412" s="137" t="str">
        <f>_xlfn.XLOOKUP(Table1[[#This Row],[Account_ID]], Accounts[ID], Accounts[Account'#], "Unknown")</f>
        <v>4636</v>
      </c>
      <c r="I1412" s="168" t="str">
        <f>_xlfn.XLOOKUP(Table1[[#This Row],[Institution_ID]], Institutions[ID], Institutions[Institution nickname], "Unknown")</f>
        <v>Wells Fargo</v>
      </c>
      <c r="J1412" s="139" t="s">
        <v>2125</v>
      </c>
      <c r="K1412" s="129" t="s">
        <v>1229</v>
      </c>
      <c r="L1412" s="129" t="s">
        <v>1228</v>
      </c>
      <c r="M1412" s="130" t="str" cm="1">
        <f t="array" ref="M1412">IFERROR(INDEX(CategoriesTable[Category type],MATCH(Table1[[#This Row],[Category]],CategoriesTable[Category name],0),0),"")</f>
        <v>Expense</v>
      </c>
      <c r="N1412" s="130" t="str" cm="1">
        <f t="array" ref="N1412">IFERROR(INDEX(SubcategoriesTable[Subcategory name],MATCH(Table1[[#This Row],[Category]],SubcategoriesTable[Category name],0),0),"")</f>
        <v>Variable</v>
      </c>
      <c r="O1412" s="130">
        <v>13</v>
      </c>
      <c r="P1412" s="130">
        <f>MONTH(Table1[[#This Row],[Date]])</f>
        <v>11</v>
      </c>
      <c r="Q1412" s="130">
        <v>2019</v>
      </c>
      <c r="R1412" s="166">
        <f>IF(ISBLANK(Table1[[#This Row],[Date]]),"",Table1[[#This Row],[Date]]-WEEKDAY(Table1[[#This Row],[Date]],2)+1)</f>
        <v>43780</v>
      </c>
      <c r="S1412" s="131">
        <f>IF(ISBLANK(Table1[[#This Row],[Date]]),"",DATE(Table1[[#This Row],[Date_Year]],Table1[[#This Row],[Date_Month]],1))</f>
        <v>43770</v>
      </c>
    </row>
    <row r="1413" spans="2:19" ht="15.75" x14ac:dyDescent="0.25">
      <c r="B1413" s="133">
        <v>43782</v>
      </c>
      <c r="C1413" s="128" t="s">
        <v>2126</v>
      </c>
      <c r="D1413" s="128" t="s">
        <v>50</v>
      </c>
      <c r="E1413" s="128" t="str" cm="1">
        <f t="array" ref="E1413">IFERROR(INDEX(SubcategoriesTable[Subcategory name],MATCH(Table1[[#This Row],[Category]],SubcategoriesTable[Category name],0),0),"")</f>
        <v>Variable</v>
      </c>
      <c r="F1413" s="134">
        <v>-25</v>
      </c>
      <c r="G1413" s="167" t="str">
        <f>_xlfn.XLOOKUP(Table1[[#This Row],[Account_ID]], Accounts[ID], Accounts[Account nickname], "Unknown")</f>
        <v>EVERYDAY CHECKING</v>
      </c>
      <c r="H1413" s="137" t="str">
        <f>_xlfn.XLOOKUP(Table1[[#This Row],[Account_ID]], Accounts[ID], Accounts[Account'#], "Unknown")</f>
        <v>4636</v>
      </c>
      <c r="I1413" s="168" t="str">
        <f>_xlfn.XLOOKUP(Table1[[#This Row],[Institution_ID]], Institutions[ID], Institutions[Institution nickname], "Unknown")</f>
        <v>Wells Fargo</v>
      </c>
      <c r="J1413" s="139" t="s">
        <v>2127</v>
      </c>
      <c r="K1413" s="129" t="s">
        <v>1229</v>
      </c>
      <c r="L1413" s="129" t="s">
        <v>1228</v>
      </c>
      <c r="M1413" s="130" t="str" cm="1">
        <f t="array" ref="M1413">IFERROR(INDEX(CategoriesTable[Category type],MATCH(Table1[[#This Row],[Category]],CategoriesTable[Category name],0),0),"")</f>
        <v>Transfer</v>
      </c>
      <c r="N1413" s="130" t="str" cm="1">
        <f t="array" ref="N1413">IFERROR(INDEX(SubcategoriesTable[Subcategory name],MATCH(Table1[[#This Row],[Category]],SubcategoriesTable[Category name],0),0),"")</f>
        <v>Variable</v>
      </c>
      <c r="O1413" s="130">
        <v>13</v>
      </c>
      <c r="P1413" s="130">
        <f>MONTH(Table1[[#This Row],[Date]])</f>
        <v>11</v>
      </c>
      <c r="Q1413" s="130">
        <v>2019</v>
      </c>
      <c r="R1413" s="166">
        <f>IF(ISBLANK(Table1[[#This Row],[Date]]),"",Table1[[#This Row],[Date]]-WEEKDAY(Table1[[#This Row],[Date]],2)+1)</f>
        <v>43780</v>
      </c>
      <c r="S1413" s="131">
        <f>IF(ISBLANK(Table1[[#This Row],[Date]]),"",DATE(Table1[[#This Row],[Date_Year]],Table1[[#This Row],[Date_Month]],1))</f>
        <v>43770</v>
      </c>
    </row>
    <row r="1414" spans="2:19" ht="15.75" x14ac:dyDescent="0.25">
      <c r="B1414" s="133">
        <v>43782</v>
      </c>
      <c r="C1414" s="128" t="s">
        <v>125</v>
      </c>
      <c r="D1414" s="128" t="s">
        <v>45</v>
      </c>
      <c r="E1414" s="128" t="str" cm="1">
        <f t="array" ref="E1414">IFERROR(INDEX(SubcategoriesTable[Subcategory name],MATCH(Table1[[#This Row],[Category]],SubcategoriesTable[Category name],0),0),"")</f>
        <v>Variable</v>
      </c>
      <c r="F1414" s="134">
        <v>-4.9400000000000004</v>
      </c>
      <c r="G1414" s="167" t="str">
        <f>_xlfn.XLOOKUP(Table1[[#This Row],[Account_ID]], Accounts[ID], Accounts[Account nickname], "Unknown")</f>
        <v>EVERYDAY CHECKING</v>
      </c>
      <c r="H1414" s="137" t="str">
        <f>_xlfn.XLOOKUP(Table1[[#This Row],[Account_ID]], Accounts[ID], Accounts[Account'#], "Unknown")</f>
        <v>4636</v>
      </c>
      <c r="I1414" s="168" t="str">
        <f>_xlfn.XLOOKUP(Table1[[#This Row],[Institution_ID]], Institutions[ID], Institutions[Institution nickname], "Unknown")</f>
        <v>Wells Fargo</v>
      </c>
      <c r="J1414" s="139" t="s">
        <v>2128</v>
      </c>
      <c r="K1414" s="129" t="s">
        <v>1229</v>
      </c>
      <c r="L1414" s="129" t="s">
        <v>1228</v>
      </c>
      <c r="M1414" s="130" t="str" cm="1">
        <f t="array" ref="M1414">IFERROR(INDEX(CategoriesTable[Category type],MATCH(Table1[[#This Row],[Category]],CategoriesTable[Category name],0),0),"")</f>
        <v>Expense</v>
      </c>
      <c r="N1414" s="130" t="str" cm="1">
        <f t="array" ref="N1414">IFERROR(INDEX(SubcategoriesTable[Subcategory name],MATCH(Table1[[#This Row],[Category]],SubcategoriesTable[Category name],0),0),"")</f>
        <v>Variable</v>
      </c>
      <c r="O1414" s="130">
        <v>13</v>
      </c>
      <c r="P1414" s="130">
        <f>MONTH(Table1[[#This Row],[Date]])</f>
        <v>11</v>
      </c>
      <c r="Q1414" s="130">
        <v>2019</v>
      </c>
      <c r="R1414" s="166">
        <f>IF(ISBLANK(Table1[[#This Row],[Date]]),"",Table1[[#This Row],[Date]]-WEEKDAY(Table1[[#This Row],[Date]],2)+1)</f>
        <v>43780</v>
      </c>
      <c r="S1414" s="131">
        <f>IF(ISBLANK(Table1[[#This Row],[Date]]),"",DATE(Table1[[#This Row],[Date_Year]],Table1[[#This Row],[Date_Month]],1))</f>
        <v>43770</v>
      </c>
    </row>
    <row r="1415" spans="2:19" ht="15.75" x14ac:dyDescent="0.25">
      <c r="B1415" s="133">
        <v>43782</v>
      </c>
      <c r="C1415" s="128" t="s">
        <v>1769</v>
      </c>
      <c r="D1415" s="128" t="s">
        <v>56</v>
      </c>
      <c r="E1415" s="128" t="str" cm="1">
        <f t="array" ref="E1415">IFERROR(INDEX(SubcategoriesTable[Subcategory name],MATCH(Table1[[#This Row],[Category]],SubcategoriesTable[Category name],0),0),"")</f>
        <v>Variable</v>
      </c>
      <c r="F1415" s="134">
        <v>-512.03</v>
      </c>
      <c r="G1415" s="167" t="str">
        <f>_xlfn.XLOOKUP(Table1[[#This Row],[Account_ID]], Accounts[ID], Accounts[Account nickname], "Unknown")</f>
        <v>EVERYDAY CHECKING</v>
      </c>
      <c r="H1415" s="137" t="str">
        <f>_xlfn.XLOOKUP(Table1[[#This Row],[Account_ID]], Accounts[ID], Accounts[Account'#], "Unknown")</f>
        <v>4636</v>
      </c>
      <c r="I1415" s="168" t="str">
        <f>_xlfn.XLOOKUP(Table1[[#This Row],[Institution_ID]], Institutions[ID], Institutions[Institution nickname], "Unknown")</f>
        <v>Wells Fargo</v>
      </c>
      <c r="J1415" s="139" t="s">
        <v>2129</v>
      </c>
      <c r="K1415" s="129" t="s">
        <v>1229</v>
      </c>
      <c r="L1415" s="129" t="s">
        <v>1228</v>
      </c>
      <c r="M1415" s="130" t="str" cm="1">
        <f t="array" ref="M1415">IFERROR(INDEX(CategoriesTable[Category type],MATCH(Table1[[#This Row],[Category]],CategoriesTable[Category name],0),0),"")</f>
        <v>Expense</v>
      </c>
      <c r="N1415" s="130" t="str" cm="1">
        <f t="array" ref="N1415">IFERROR(INDEX(SubcategoriesTable[Subcategory name],MATCH(Table1[[#This Row],[Category]],SubcategoriesTable[Category name],0),0),"")</f>
        <v>Variable</v>
      </c>
      <c r="O1415" s="130">
        <v>13</v>
      </c>
      <c r="P1415" s="130">
        <f>MONTH(Table1[[#This Row],[Date]])</f>
        <v>11</v>
      </c>
      <c r="Q1415" s="130">
        <v>2019</v>
      </c>
      <c r="R1415" s="166">
        <f>IF(ISBLANK(Table1[[#This Row],[Date]]),"",Table1[[#This Row],[Date]]-WEEKDAY(Table1[[#This Row],[Date]],2)+1)</f>
        <v>43780</v>
      </c>
      <c r="S1415" s="131">
        <f>IF(ISBLANK(Table1[[#This Row],[Date]]),"",DATE(Table1[[#This Row],[Date_Year]],Table1[[#This Row],[Date_Month]],1))</f>
        <v>43770</v>
      </c>
    </row>
    <row r="1416" spans="2:19" ht="15.75" x14ac:dyDescent="0.25">
      <c r="B1416" s="133">
        <v>43782</v>
      </c>
      <c r="C1416" s="128" t="s">
        <v>2130</v>
      </c>
      <c r="D1416" s="128" t="s">
        <v>45</v>
      </c>
      <c r="E1416" s="128" t="str" cm="1">
        <f t="array" ref="E1416">IFERROR(INDEX(SubcategoriesTable[Subcategory name],MATCH(Table1[[#This Row],[Category]],SubcategoriesTable[Category name],0),0),"")</f>
        <v>Variable</v>
      </c>
      <c r="F1416" s="134">
        <v>-5</v>
      </c>
      <c r="G1416" s="167" t="str">
        <f>_xlfn.XLOOKUP(Table1[[#This Row],[Account_ID]], Accounts[ID], Accounts[Account nickname], "Unknown")</f>
        <v>EVERYDAY CHECKING</v>
      </c>
      <c r="H1416" s="137" t="str">
        <f>_xlfn.XLOOKUP(Table1[[#This Row],[Account_ID]], Accounts[ID], Accounts[Account'#], "Unknown")</f>
        <v>4636</v>
      </c>
      <c r="I1416" s="168" t="str">
        <f>_xlfn.XLOOKUP(Table1[[#This Row],[Institution_ID]], Institutions[ID], Institutions[Institution nickname], "Unknown")</f>
        <v>Wells Fargo</v>
      </c>
      <c r="J1416" s="139" t="s">
        <v>2131</v>
      </c>
      <c r="K1416" s="129" t="s">
        <v>1229</v>
      </c>
      <c r="L1416" s="129" t="s">
        <v>1228</v>
      </c>
      <c r="M1416" s="130" t="str" cm="1">
        <f t="array" ref="M1416">IFERROR(INDEX(CategoriesTable[Category type],MATCH(Table1[[#This Row],[Category]],CategoriesTable[Category name],0),0),"")</f>
        <v>Expense</v>
      </c>
      <c r="N1416" s="130" t="str" cm="1">
        <f t="array" ref="N1416">IFERROR(INDEX(SubcategoriesTable[Subcategory name],MATCH(Table1[[#This Row],[Category]],SubcategoriesTable[Category name],0),0),"")</f>
        <v>Variable</v>
      </c>
      <c r="O1416" s="130">
        <v>13</v>
      </c>
      <c r="P1416" s="130">
        <f>MONTH(Table1[[#This Row],[Date]])</f>
        <v>11</v>
      </c>
      <c r="Q1416" s="130">
        <v>2019</v>
      </c>
      <c r="R1416" s="166">
        <f>IF(ISBLANK(Table1[[#This Row],[Date]]),"",Table1[[#This Row],[Date]]-WEEKDAY(Table1[[#This Row],[Date]],2)+1)</f>
        <v>43780</v>
      </c>
      <c r="S1416" s="131">
        <f>IF(ISBLANK(Table1[[#This Row],[Date]]),"",DATE(Table1[[#This Row],[Date_Year]],Table1[[#This Row],[Date_Month]],1))</f>
        <v>43770</v>
      </c>
    </row>
    <row r="1417" spans="2:19" ht="15.75" x14ac:dyDescent="0.25">
      <c r="B1417" s="133">
        <v>43782</v>
      </c>
      <c r="C1417" s="128" t="s">
        <v>1180</v>
      </c>
      <c r="D1417" s="128" t="s">
        <v>50</v>
      </c>
      <c r="E1417" s="128" t="str" cm="1">
        <f t="array" ref="E1417">IFERROR(INDEX(SubcategoriesTable[Subcategory name],MATCH(Table1[[#This Row],[Category]],SubcategoriesTable[Category name],0),0),"")</f>
        <v>Variable</v>
      </c>
      <c r="F1417" s="134">
        <v>-50</v>
      </c>
      <c r="G1417" s="167" t="str">
        <f>_xlfn.XLOOKUP(Table1[[#This Row],[Account_ID]], Accounts[ID], Accounts[Account nickname], "Unknown")</f>
        <v>EVERYDAY CHECKING</v>
      </c>
      <c r="H1417" s="137" t="str">
        <f>_xlfn.XLOOKUP(Table1[[#This Row],[Account_ID]], Accounts[ID], Accounts[Account'#], "Unknown")</f>
        <v>4636</v>
      </c>
      <c r="I1417" s="168" t="str">
        <f>_xlfn.XLOOKUP(Table1[[#This Row],[Institution_ID]], Institutions[ID], Institutions[Institution nickname], "Unknown")</f>
        <v>Wells Fargo</v>
      </c>
      <c r="J1417" s="139" t="s">
        <v>2132</v>
      </c>
      <c r="K1417" s="129" t="s">
        <v>1229</v>
      </c>
      <c r="L1417" s="129" t="s">
        <v>1228</v>
      </c>
      <c r="M1417" s="130" t="str" cm="1">
        <f t="array" ref="M1417">IFERROR(INDEX(CategoriesTable[Category type],MATCH(Table1[[#This Row],[Category]],CategoriesTable[Category name],0),0),"")</f>
        <v>Transfer</v>
      </c>
      <c r="N1417" s="130" t="str" cm="1">
        <f t="array" ref="N1417">IFERROR(INDEX(SubcategoriesTable[Subcategory name],MATCH(Table1[[#This Row],[Category]],SubcategoriesTable[Category name],0),0),"")</f>
        <v>Variable</v>
      </c>
      <c r="O1417" s="130">
        <v>13</v>
      </c>
      <c r="P1417" s="130">
        <f>MONTH(Table1[[#This Row],[Date]])</f>
        <v>11</v>
      </c>
      <c r="Q1417" s="130">
        <v>2019</v>
      </c>
      <c r="R1417" s="166">
        <f>IF(ISBLANK(Table1[[#This Row],[Date]]),"",Table1[[#This Row],[Date]]-WEEKDAY(Table1[[#This Row],[Date]],2)+1)</f>
        <v>43780</v>
      </c>
      <c r="S1417" s="131">
        <f>IF(ISBLANK(Table1[[#This Row],[Date]]),"",DATE(Table1[[#This Row],[Date_Year]],Table1[[#This Row],[Date_Month]],1))</f>
        <v>43770</v>
      </c>
    </row>
    <row r="1418" spans="2:19" ht="15.75" x14ac:dyDescent="0.25">
      <c r="B1418" s="133">
        <v>43782</v>
      </c>
      <c r="C1418" s="128" t="s">
        <v>113</v>
      </c>
      <c r="D1418" s="128" t="s">
        <v>50</v>
      </c>
      <c r="E1418" s="128" t="str" cm="1">
        <f t="array" ref="E1418">IFERROR(INDEX(SubcategoriesTable[Subcategory name],MATCH(Table1[[#This Row],[Category]],SubcategoriesTable[Category name],0),0),"")</f>
        <v>Variable</v>
      </c>
      <c r="F1418" s="134">
        <v>50</v>
      </c>
      <c r="G1418" s="167" t="str">
        <f>_xlfn.XLOOKUP(Table1[[#This Row],[Account_ID]], Accounts[ID], Accounts[Account nickname], "Unknown")</f>
        <v>Discover it chrome Card</v>
      </c>
      <c r="H1418" s="137" t="str">
        <f>_xlfn.XLOOKUP(Table1[[#This Row],[Account_ID]], Accounts[ID], Accounts[Account'#], "Unknown")</f>
        <v>7328</v>
      </c>
      <c r="I1418" s="168" t="str">
        <f>_xlfn.XLOOKUP(Table1[[#This Row],[Institution_ID]], Institutions[ID], Institutions[Institution nickname], "Unknown")</f>
        <v>Discover</v>
      </c>
      <c r="J1418" s="139" t="s">
        <v>1068</v>
      </c>
      <c r="K1418" s="129" t="s">
        <v>110</v>
      </c>
      <c r="L1418" s="129" t="s">
        <v>108</v>
      </c>
      <c r="M1418" s="130" t="str" cm="1">
        <f t="array" ref="M1418">IFERROR(INDEX(CategoriesTable[Category type],MATCH(Table1[[#This Row],[Category]],CategoriesTable[Category name],0),0),"")</f>
        <v>Transfer</v>
      </c>
      <c r="N1418" s="130" t="str" cm="1">
        <f t="array" ref="N1418">IFERROR(INDEX(SubcategoriesTable[Subcategory name],MATCH(Table1[[#This Row],[Category]],SubcategoriesTable[Category name],0),0),"")</f>
        <v>Variable</v>
      </c>
      <c r="O1418" s="130">
        <v>13</v>
      </c>
      <c r="P1418" s="130">
        <f>MONTH(Table1[[#This Row],[Date]])</f>
        <v>11</v>
      </c>
      <c r="Q1418" s="130">
        <v>2019</v>
      </c>
      <c r="R1418" s="166">
        <f>IF(ISBLANK(Table1[[#This Row],[Date]]),"",Table1[[#This Row],[Date]]-WEEKDAY(Table1[[#This Row],[Date]],2)+1)</f>
        <v>43780</v>
      </c>
      <c r="S1418" s="131">
        <f>IF(ISBLANK(Table1[[#This Row],[Date]]),"",DATE(Table1[[#This Row],[Date_Year]],Table1[[#This Row],[Date_Month]],1))</f>
        <v>43770</v>
      </c>
    </row>
    <row r="1419" spans="2:19" ht="15.75" x14ac:dyDescent="0.25">
      <c r="B1419" s="133">
        <v>43781</v>
      </c>
      <c r="C1419" s="128" t="s">
        <v>2133</v>
      </c>
      <c r="D1419" s="128" t="s">
        <v>45</v>
      </c>
      <c r="E1419" s="128" t="str" cm="1">
        <f t="array" ref="E1419">IFERROR(INDEX(SubcategoriesTable[Subcategory name],MATCH(Table1[[#This Row],[Category]],SubcategoriesTable[Category name],0),0),"")</f>
        <v>Variable</v>
      </c>
      <c r="F1419" s="134">
        <v>-12.3</v>
      </c>
      <c r="G1419" s="167" t="str">
        <f>_xlfn.XLOOKUP(Table1[[#This Row],[Account_ID]], Accounts[ID], Accounts[Account nickname], "Unknown")</f>
        <v>EVERYDAY CHECKING</v>
      </c>
      <c r="H1419" s="137" t="str">
        <f>_xlfn.XLOOKUP(Table1[[#This Row],[Account_ID]], Accounts[ID], Accounts[Account'#], "Unknown")</f>
        <v>4636</v>
      </c>
      <c r="I1419" s="168" t="str">
        <f>_xlfn.XLOOKUP(Table1[[#This Row],[Institution_ID]], Institutions[ID], Institutions[Institution nickname], "Unknown")</f>
        <v>Wells Fargo</v>
      </c>
      <c r="J1419" s="139" t="s">
        <v>2134</v>
      </c>
      <c r="K1419" s="129" t="s">
        <v>1229</v>
      </c>
      <c r="L1419" s="129" t="s">
        <v>1228</v>
      </c>
      <c r="M1419" s="130" t="str" cm="1">
        <f t="array" ref="M1419">IFERROR(INDEX(CategoriesTable[Category type],MATCH(Table1[[#This Row],[Category]],CategoriesTable[Category name],0),0),"")</f>
        <v>Expense</v>
      </c>
      <c r="N1419" s="130" t="str" cm="1">
        <f t="array" ref="N1419">IFERROR(INDEX(SubcategoriesTable[Subcategory name],MATCH(Table1[[#This Row],[Category]],SubcategoriesTable[Category name],0),0),"")</f>
        <v>Variable</v>
      </c>
      <c r="O1419" s="130">
        <v>12</v>
      </c>
      <c r="P1419" s="130">
        <f>MONTH(Table1[[#This Row],[Date]])</f>
        <v>11</v>
      </c>
      <c r="Q1419" s="130">
        <v>2019</v>
      </c>
      <c r="R1419" s="166">
        <f>IF(ISBLANK(Table1[[#This Row],[Date]]),"",Table1[[#This Row],[Date]]-WEEKDAY(Table1[[#This Row],[Date]],2)+1)</f>
        <v>43780</v>
      </c>
      <c r="S1419" s="131">
        <f>IF(ISBLANK(Table1[[#This Row],[Date]]),"",DATE(Table1[[#This Row],[Date_Year]],Table1[[#This Row],[Date_Month]],1))</f>
        <v>43770</v>
      </c>
    </row>
    <row r="1420" spans="2:19" ht="15.75" x14ac:dyDescent="0.25">
      <c r="B1420" s="133">
        <v>43781</v>
      </c>
      <c r="C1420" s="128" t="s">
        <v>508</v>
      </c>
      <c r="D1420" s="128" t="s">
        <v>50</v>
      </c>
      <c r="E1420" s="128" t="str" cm="1">
        <f t="array" ref="E1420">IFERROR(INDEX(SubcategoriesTable[Subcategory name],MATCH(Table1[[#This Row],[Category]],SubcategoriesTable[Category name],0),0),"")</f>
        <v>Variable</v>
      </c>
      <c r="F1420" s="134">
        <v>-50</v>
      </c>
      <c r="G1420" s="167" t="str">
        <f>_xlfn.XLOOKUP(Table1[[#This Row],[Account_ID]], Accounts[ID], Accounts[Account nickname], "Unknown")</f>
        <v>EVERYDAY CHECKING</v>
      </c>
      <c r="H1420" s="137" t="str">
        <f>_xlfn.XLOOKUP(Table1[[#This Row],[Account_ID]], Accounts[ID], Accounts[Account'#], "Unknown")</f>
        <v>4636</v>
      </c>
      <c r="I1420" s="168" t="str">
        <f>_xlfn.XLOOKUP(Table1[[#This Row],[Institution_ID]], Institutions[ID], Institutions[Institution nickname], "Unknown")</f>
        <v>Wells Fargo</v>
      </c>
      <c r="J1420" s="139" t="s">
        <v>2135</v>
      </c>
      <c r="K1420" s="129" t="s">
        <v>1229</v>
      </c>
      <c r="L1420" s="129" t="s">
        <v>1228</v>
      </c>
      <c r="M1420" s="130" t="str" cm="1">
        <f t="array" ref="M1420">IFERROR(INDEX(CategoriesTable[Category type],MATCH(Table1[[#This Row],[Category]],CategoriesTable[Category name],0),0),"")</f>
        <v>Transfer</v>
      </c>
      <c r="N1420" s="130" t="str" cm="1">
        <f t="array" ref="N1420">IFERROR(INDEX(SubcategoriesTable[Subcategory name],MATCH(Table1[[#This Row],[Category]],SubcategoriesTable[Category name],0),0),"")</f>
        <v>Variable</v>
      </c>
      <c r="O1420" s="130">
        <v>12</v>
      </c>
      <c r="P1420" s="130">
        <f>MONTH(Table1[[#This Row],[Date]])</f>
        <v>11</v>
      </c>
      <c r="Q1420" s="130">
        <v>2019</v>
      </c>
      <c r="R1420" s="166">
        <f>IF(ISBLANK(Table1[[#This Row],[Date]]),"",Table1[[#This Row],[Date]]-WEEKDAY(Table1[[#This Row],[Date]],2)+1)</f>
        <v>43780</v>
      </c>
      <c r="S1420" s="131">
        <f>IF(ISBLANK(Table1[[#This Row],[Date]]),"",DATE(Table1[[#This Row],[Date_Year]],Table1[[#This Row],[Date_Month]],1))</f>
        <v>43770</v>
      </c>
    </row>
    <row r="1421" spans="2:19" ht="15.75" x14ac:dyDescent="0.25">
      <c r="B1421" s="133">
        <v>43781</v>
      </c>
      <c r="C1421" s="128" t="s">
        <v>115</v>
      </c>
      <c r="D1421" s="128" t="s">
        <v>48</v>
      </c>
      <c r="E1421" s="128" t="str" cm="1">
        <f t="array" ref="E1421">IFERROR(INDEX(SubcategoriesTable[Subcategory name],MATCH(Table1[[#This Row],[Category]],SubcategoriesTable[Category name],0),0),"")</f>
        <v>Variable</v>
      </c>
      <c r="F1421" s="134">
        <v>-54.17</v>
      </c>
      <c r="G1421" s="167" t="str">
        <f>_xlfn.XLOOKUP(Table1[[#This Row],[Account_ID]], Accounts[ID], Accounts[Account nickname], "Unknown")</f>
        <v>EVERYDAY CHECKING</v>
      </c>
      <c r="H1421" s="137" t="str">
        <f>_xlfn.XLOOKUP(Table1[[#This Row],[Account_ID]], Accounts[ID], Accounts[Account'#], "Unknown")</f>
        <v>4636</v>
      </c>
      <c r="I1421" s="168" t="str">
        <f>_xlfn.XLOOKUP(Table1[[#This Row],[Institution_ID]], Institutions[ID], Institutions[Institution nickname], "Unknown")</f>
        <v>Wells Fargo</v>
      </c>
      <c r="J1421" s="139" t="s">
        <v>2136</v>
      </c>
      <c r="K1421" s="129" t="s">
        <v>1229</v>
      </c>
      <c r="L1421" s="129" t="s">
        <v>1228</v>
      </c>
      <c r="M1421" s="130" t="str" cm="1">
        <f t="array" ref="M1421">IFERROR(INDEX(CategoriesTable[Category type],MATCH(Table1[[#This Row],[Category]],CategoriesTable[Category name],0),0),"")</f>
        <v>Expense</v>
      </c>
      <c r="N1421" s="130" t="str" cm="1">
        <f t="array" ref="N1421">IFERROR(INDEX(SubcategoriesTable[Subcategory name],MATCH(Table1[[#This Row],[Category]],SubcategoriesTable[Category name],0),0),"")</f>
        <v>Variable</v>
      </c>
      <c r="O1421" s="130">
        <v>12</v>
      </c>
      <c r="P1421" s="130">
        <f>MONTH(Table1[[#This Row],[Date]])</f>
        <v>11</v>
      </c>
      <c r="Q1421" s="130">
        <v>2019</v>
      </c>
      <c r="R1421" s="166">
        <f>IF(ISBLANK(Table1[[#This Row],[Date]]),"",Table1[[#This Row],[Date]]-WEEKDAY(Table1[[#This Row],[Date]],2)+1)</f>
        <v>43780</v>
      </c>
      <c r="S1421" s="131">
        <f>IF(ISBLANK(Table1[[#This Row],[Date]]),"",DATE(Table1[[#This Row],[Date_Year]],Table1[[#This Row],[Date_Month]],1))</f>
        <v>43770</v>
      </c>
    </row>
    <row r="1422" spans="2:19" ht="15.75" x14ac:dyDescent="0.25">
      <c r="B1422" s="133">
        <v>43780</v>
      </c>
      <c r="C1422" s="128" t="s">
        <v>115</v>
      </c>
      <c r="D1422" s="128" t="s">
        <v>48</v>
      </c>
      <c r="E1422" s="128" t="str" cm="1">
        <f t="array" ref="E1422">IFERROR(INDEX(SubcategoriesTable[Subcategory name],MATCH(Table1[[#This Row],[Category]],SubcategoriesTable[Category name],0),0),"")</f>
        <v>Variable</v>
      </c>
      <c r="F1422" s="134">
        <v>-4.71</v>
      </c>
      <c r="G1422" s="167" t="str">
        <f>_xlfn.XLOOKUP(Table1[[#This Row],[Account_ID]], Accounts[ID], Accounts[Account nickname], "Unknown")</f>
        <v>EVERYDAY CHECKING</v>
      </c>
      <c r="H1422" s="137" t="str">
        <f>_xlfn.XLOOKUP(Table1[[#This Row],[Account_ID]], Accounts[ID], Accounts[Account'#], "Unknown")</f>
        <v>4636</v>
      </c>
      <c r="I1422" s="168" t="str">
        <f>_xlfn.XLOOKUP(Table1[[#This Row],[Institution_ID]], Institutions[ID], Institutions[Institution nickname], "Unknown")</f>
        <v>Wells Fargo</v>
      </c>
      <c r="J1422" s="139" t="s">
        <v>2137</v>
      </c>
      <c r="K1422" s="129" t="s">
        <v>1229</v>
      </c>
      <c r="L1422" s="129" t="s">
        <v>1228</v>
      </c>
      <c r="M1422" s="130" t="str" cm="1">
        <f t="array" ref="M1422">IFERROR(INDEX(CategoriesTable[Category type],MATCH(Table1[[#This Row],[Category]],CategoriesTable[Category name],0),0),"")</f>
        <v>Expense</v>
      </c>
      <c r="N1422" s="130" t="str" cm="1">
        <f t="array" ref="N1422">IFERROR(INDEX(SubcategoriesTable[Subcategory name],MATCH(Table1[[#This Row],[Category]],SubcategoriesTable[Category name],0),0),"")</f>
        <v>Variable</v>
      </c>
      <c r="O1422" s="130">
        <v>11</v>
      </c>
      <c r="P1422" s="130">
        <f>MONTH(Table1[[#This Row],[Date]])</f>
        <v>11</v>
      </c>
      <c r="Q1422" s="130">
        <v>2019</v>
      </c>
      <c r="R1422" s="166">
        <f>IF(ISBLANK(Table1[[#This Row],[Date]]),"",Table1[[#This Row],[Date]]-WEEKDAY(Table1[[#This Row],[Date]],2)+1)</f>
        <v>43780</v>
      </c>
      <c r="S1422" s="131">
        <f>IF(ISBLANK(Table1[[#This Row],[Date]]),"",DATE(Table1[[#This Row],[Date_Year]],Table1[[#This Row],[Date_Month]],1))</f>
        <v>43770</v>
      </c>
    </row>
    <row r="1423" spans="2:19" ht="15.75" x14ac:dyDescent="0.25">
      <c r="B1423" s="133">
        <v>43780</v>
      </c>
      <c r="C1423" s="128" t="s">
        <v>115</v>
      </c>
      <c r="D1423" s="128" t="s">
        <v>48</v>
      </c>
      <c r="E1423" s="128" t="str" cm="1">
        <f t="array" ref="E1423">IFERROR(INDEX(SubcategoriesTable[Subcategory name],MATCH(Table1[[#This Row],[Category]],SubcategoriesTable[Category name],0),0),"")</f>
        <v>Variable</v>
      </c>
      <c r="F1423" s="134">
        <v>-10.97</v>
      </c>
      <c r="G1423" s="167" t="str">
        <f>_xlfn.XLOOKUP(Table1[[#This Row],[Account_ID]], Accounts[ID], Accounts[Account nickname], "Unknown")</f>
        <v>EVERYDAY CHECKING</v>
      </c>
      <c r="H1423" s="137" t="str">
        <f>_xlfn.XLOOKUP(Table1[[#This Row],[Account_ID]], Accounts[ID], Accounts[Account'#], "Unknown")</f>
        <v>4636</v>
      </c>
      <c r="I1423" s="168" t="str">
        <f>_xlfn.XLOOKUP(Table1[[#This Row],[Institution_ID]], Institutions[ID], Institutions[Institution nickname], "Unknown")</f>
        <v>Wells Fargo</v>
      </c>
      <c r="J1423" s="139" t="s">
        <v>2138</v>
      </c>
      <c r="K1423" s="129" t="s">
        <v>1229</v>
      </c>
      <c r="L1423" s="129" t="s">
        <v>1228</v>
      </c>
      <c r="M1423" s="130" t="str" cm="1">
        <f t="array" ref="M1423">IFERROR(INDEX(CategoriesTable[Category type],MATCH(Table1[[#This Row],[Category]],CategoriesTable[Category name],0),0),"")</f>
        <v>Expense</v>
      </c>
      <c r="N1423" s="130" t="str" cm="1">
        <f t="array" ref="N1423">IFERROR(INDEX(SubcategoriesTable[Subcategory name],MATCH(Table1[[#This Row],[Category]],SubcategoriesTable[Category name],0),0),"")</f>
        <v>Variable</v>
      </c>
      <c r="O1423" s="130">
        <v>11</v>
      </c>
      <c r="P1423" s="130">
        <f>MONTH(Table1[[#This Row],[Date]])</f>
        <v>11</v>
      </c>
      <c r="Q1423" s="130">
        <v>2019</v>
      </c>
      <c r="R1423" s="166">
        <f>IF(ISBLANK(Table1[[#This Row],[Date]]),"",Table1[[#This Row],[Date]]-WEEKDAY(Table1[[#This Row],[Date]],2)+1)</f>
        <v>43780</v>
      </c>
      <c r="S1423" s="131">
        <f>IF(ISBLANK(Table1[[#This Row],[Date]]),"",DATE(Table1[[#This Row],[Date_Year]],Table1[[#This Row],[Date_Month]],1))</f>
        <v>43770</v>
      </c>
    </row>
    <row r="1424" spans="2:19" ht="15.75" x14ac:dyDescent="0.25">
      <c r="B1424" s="133">
        <v>43780</v>
      </c>
      <c r="C1424" s="128" t="s">
        <v>302</v>
      </c>
      <c r="D1424" s="128" t="s">
        <v>52</v>
      </c>
      <c r="E1424" s="128" t="str" cm="1">
        <f t="array" ref="E1424">IFERROR(INDEX(SubcategoriesTable[Subcategory name],MATCH(Table1[[#This Row],[Category]],SubcategoriesTable[Category name],0),0),"")</f>
        <v>Variable</v>
      </c>
      <c r="F1424" s="134">
        <v>-23.44</v>
      </c>
      <c r="G1424" s="167" t="str">
        <f>_xlfn.XLOOKUP(Table1[[#This Row],[Account_ID]], Accounts[ID], Accounts[Account nickname], "Unknown")</f>
        <v>EVERYDAY CHECKING</v>
      </c>
      <c r="H1424" s="137" t="str">
        <f>_xlfn.XLOOKUP(Table1[[#This Row],[Account_ID]], Accounts[ID], Accounts[Account'#], "Unknown")</f>
        <v>4636</v>
      </c>
      <c r="I1424" s="168" t="str">
        <f>_xlfn.XLOOKUP(Table1[[#This Row],[Institution_ID]], Institutions[ID], Institutions[Institution nickname], "Unknown")</f>
        <v>Wells Fargo</v>
      </c>
      <c r="J1424" s="139" t="s">
        <v>2139</v>
      </c>
      <c r="K1424" s="129" t="s">
        <v>1229</v>
      </c>
      <c r="L1424" s="129" t="s">
        <v>1228</v>
      </c>
      <c r="M1424" s="130" t="str" cm="1">
        <f t="array" ref="M1424">IFERROR(INDEX(CategoriesTable[Category type],MATCH(Table1[[#This Row],[Category]],CategoriesTable[Category name],0),0),"")</f>
        <v>Expense</v>
      </c>
      <c r="N1424" s="130" t="str" cm="1">
        <f t="array" ref="N1424">IFERROR(INDEX(SubcategoriesTable[Subcategory name],MATCH(Table1[[#This Row],[Category]],SubcategoriesTable[Category name],0),0),"")</f>
        <v>Variable</v>
      </c>
      <c r="O1424" s="130">
        <v>11</v>
      </c>
      <c r="P1424" s="130">
        <f>MONTH(Table1[[#This Row],[Date]])</f>
        <v>11</v>
      </c>
      <c r="Q1424" s="130">
        <v>2019</v>
      </c>
      <c r="R1424" s="166">
        <f>IF(ISBLANK(Table1[[#This Row],[Date]]),"",Table1[[#This Row],[Date]]-WEEKDAY(Table1[[#This Row],[Date]],2)+1)</f>
        <v>43780</v>
      </c>
      <c r="S1424" s="131">
        <f>IF(ISBLANK(Table1[[#This Row],[Date]]),"",DATE(Table1[[#This Row],[Date_Year]],Table1[[#This Row],[Date_Month]],1))</f>
        <v>43770</v>
      </c>
    </row>
    <row r="1425" spans="2:19" ht="15.75" x14ac:dyDescent="0.25">
      <c r="B1425" s="133">
        <v>43779</v>
      </c>
      <c r="C1425" s="128" t="s">
        <v>191</v>
      </c>
      <c r="D1425" s="128" t="s">
        <v>48</v>
      </c>
      <c r="E1425" s="128" t="str" cm="1">
        <f t="array" ref="E1425">IFERROR(INDEX(SubcategoriesTable[Subcategory name],MATCH(Table1[[#This Row],[Category]],SubcategoriesTable[Category name],0),0),"")</f>
        <v>Variable</v>
      </c>
      <c r="F1425" s="134">
        <v>-81.430000000000007</v>
      </c>
      <c r="G1425" s="167" t="str">
        <f>_xlfn.XLOOKUP(Table1[[#This Row],[Account_ID]], Accounts[ID], Accounts[Account nickname], "Unknown")</f>
        <v>EVERYDAY CHECKING</v>
      </c>
      <c r="H1425" s="137" t="str">
        <f>_xlfn.XLOOKUP(Table1[[#This Row],[Account_ID]], Accounts[ID], Accounts[Account'#], "Unknown")</f>
        <v>4636</v>
      </c>
      <c r="I1425" s="168" t="str">
        <f>_xlfn.XLOOKUP(Table1[[#This Row],[Institution_ID]], Institutions[ID], Institutions[Institution nickname], "Unknown")</f>
        <v>Wells Fargo</v>
      </c>
      <c r="J1425" s="139" t="s">
        <v>2140</v>
      </c>
      <c r="K1425" s="129" t="s">
        <v>1229</v>
      </c>
      <c r="L1425" s="129" t="s">
        <v>1228</v>
      </c>
      <c r="M1425" s="130" t="str" cm="1">
        <f t="array" ref="M1425">IFERROR(INDEX(CategoriesTable[Category type],MATCH(Table1[[#This Row],[Category]],CategoriesTable[Category name],0),0),"")</f>
        <v>Expense</v>
      </c>
      <c r="N1425" s="130" t="str" cm="1">
        <f t="array" ref="N1425">IFERROR(INDEX(SubcategoriesTable[Subcategory name],MATCH(Table1[[#This Row],[Category]],SubcategoriesTable[Category name],0),0),"")</f>
        <v>Variable</v>
      </c>
      <c r="O1425" s="130">
        <v>10</v>
      </c>
      <c r="P1425" s="130">
        <f>MONTH(Table1[[#This Row],[Date]])</f>
        <v>11</v>
      </c>
      <c r="Q1425" s="130">
        <v>2019</v>
      </c>
      <c r="R1425" s="166">
        <f>IF(ISBLANK(Table1[[#This Row],[Date]]),"",Table1[[#This Row],[Date]]-WEEKDAY(Table1[[#This Row],[Date]],2)+1)</f>
        <v>43773</v>
      </c>
      <c r="S1425" s="131">
        <f>IF(ISBLANK(Table1[[#This Row],[Date]]),"",DATE(Table1[[#This Row],[Date_Year]],Table1[[#This Row],[Date_Month]],1))</f>
        <v>43770</v>
      </c>
    </row>
    <row r="1426" spans="2:19" ht="15.75" x14ac:dyDescent="0.25">
      <c r="B1426" s="133">
        <v>43779</v>
      </c>
      <c r="C1426" s="128" t="s">
        <v>2141</v>
      </c>
      <c r="D1426" s="128" t="s">
        <v>48</v>
      </c>
      <c r="E1426" s="128" t="str" cm="1">
        <f t="array" ref="E1426">IFERROR(INDEX(SubcategoriesTable[Subcategory name],MATCH(Table1[[#This Row],[Category]],SubcategoriesTable[Category name],0),0),"")</f>
        <v>Variable</v>
      </c>
      <c r="F1426" s="134">
        <v>-15.89</v>
      </c>
      <c r="G1426" s="167" t="str">
        <f>_xlfn.XLOOKUP(Table1[[#This Row],[Account_ID]], Accounts[ID], Accounts[Account nickname], "Unknown")</f>
        <v>EVERYDAY CHECKING</v>
      </c>
      <c r="H1426" s="137" t="str">
        <f>_xlfn.XLOOKUP(Table1[[#This Row],[Account_ID]], Accounts[ID], Accounts[Account'#], "Unknown")</f>
        <v>4636</v>
      </c>
      <c r="I1426" s="168" t="str">
        <f>_xlfn.XLOOKUP(Table1[[#This Row],[Institution_ID]], Institutions[ID], Institutions[Institution nickname], "Unknown")</f>
        <v>Wells Fargo</v>
      </c>
      <c r="J1426" s="139" t="s">
        <v>2142</v>
      </c>
      <c r="K1426" s="129" t="s">
        <v>1229</v>
      </c>
      <c r="L1426" s="129" t="s">
        <v>1228</v>
      </c>
      <c r="M1426" s="130" t="str" cm="1">
        <f t="array" ref="M1426">IFERROR(INDEX(CategoriesTable[Category type],MATCH(Table1[[#This Row],[Category]],CategoriesTable[Category name],0),0),"")</f>
        <v>Expense</v>
      </c>
      <c r="N1426" s="130" t="str" cm="1">
        <f t="array" ref="N1426">IFERROR(INDEX(SubcategoriesTable[Subcategory name],MATCH(Table1[[#This Row],[Category]],SubcategoriesTable[Category name],0),0),"")</f>
        <v>Variable</v>
      </c>
      <c r="O1426" s="130">
        <v>10</v>
      </c>
      <c r="P1426" s="130">
        <f>MONTH(Table1[[#This Row],[Date]])</f>
        <v>11</v>
      </c>
      <c r="Q1426" s="130">
        <v>2019</v>
      </c>
      <c r="R1426" s="166">
        <f>IF(ISBLANK(Table1[[#This Row],[Date]]),"",Table1[[#This Row],[Date]]-WEEKDAY(Table1[[#This Row],[Date]],2)+1)</f>
        <v>43773</v>
      </c>
      <c r="S1426" s="131">
        <f>IF(ISBLANK(Table1[[#This Row],[Date]]),"",DATE(Table1[[#This Row],[Date_Year]],Table1[[#This Row],[Date_Month]],1))</f>
        <v>43770</v>
      </c>
    </row>
    <row r="1427" spans="2:19" ht="15.75" x14ac:dyDescent="0.25">
      <c r="B1427" s="133">
        <v>43779</v>
      </c>
      <c r="C1427" s="128" t="s">
        <v>201</v>
      </c>
      <c r="D1427" s="128" t="s">
        <v>48</v>
      </c>
      <c r="E1427" s="128" t="str" cm="1">
        <f t="array" ref="E1427">IFERROR(INDEX(SubcategoriesTable[Subcategory name],MATCH(Table1[[#This Row],[Category]],SubcategoriesTable[Category name],0),0),"")</f>
        <v>Variable</v>
      </c>
      <c r="F1427" s="134">
        <v>-21.19</v>
      </c>
      <c r="G1427" s="167" t="str">
        <f>_xlfn.XLOOKUP(Table1[[#This Row],[Account_ID]], Accounts[ID], Accounts[Account nickname], "Unknown")</f>
        <v>EVERYDAY CHECKING</v>
      </c>
      <c r="H1427" s="137" t="str">
        <f>_xlfn.XLOOKUP(Table1[[#This Row],[Account_ID]], Accounts[ID], Accounts[Account'#], "Unknown")</f>
        <v>4636</v>
      </c>
      <c r="I1427" s="168" t="str">
        <f>_xlfn.XLOOKUP(Table1[[#This Row],[Institution_ID]], Institutions[ID], Institutions[Institution nickname], "Unknown")</f>
        <v>Wells Fargo</v>
      </c>
      <c r="J1427" s="139" t="s">
        <v>2143</v>
      </c>
      <c r="K1427" s="129" t="s">
        <v>1229</v>
      </c>
      <c r="L1427" s="129" t="s">
        <v>1228</v>
      </c>
      <c r="M1427" s="130" t="str" cm="1">
        <f t="array" ref="M1427">IFERROR(INDEX(CategoriesTable[Category type],MATCH(Table1[[#This Row],[Category]],CategoriesTable[Category name],0),0),"")</f>
        <v>Expense</v>
      </c>
      <c r="N1427" s="130" t="str" cm="1">
        <f t="array" ref="N1427">IFERROR(INDEX(SubcategoriesTable[Subcategory name],MATCH(Table1[[#This Row],[Category]],SubcategoriesTable[Category name],0),0),"")</f>
        <v>Variable</v>
      </c>
      <c r="O1427" s="130">
        <v>10</v>
      </c>
      <c r="P1427" s="130">
        <f>MONTH(Table1[[#This Row],[Date]])</f>
        <v>11</v>
      </c>
      <c r="Q1427" s="130">
        <v>2019</v>
      </c>
      <c r="R1427" s="166">
        <f>IF(ISBLANK(Table1[[#This Row],[Date]]),"",Table1[[#This Row],[Date]]-WEEKDAY(Table1[[#This Row],[Date]],2)+1)</f>
        <v>43773</v>
      </c>
      <c r="S1427" s="131">
        <f>IF(ISBLANK(Table1[[#This Row],[Date]]),"",DATE(Table1[[#This Row],[Date_Year]],Table1[[#This Row],[Date_Month]],1))</f>
        <v>43770</v>
      </c>
    </row>
    <row r="1428" spans="2:19" ht="15.75" x14ac:dyDescent="0.25">
      <c r="B1428" s="133">
        <v>43779</v>
      </c>
      <c r="C1428" s="128" t="s">
        <v>2144</v>
      </c>
      <c r="D1428" s="128" t="s">
        <v>45</v>
      </c>
      <c r="E1428" s="128" t="str" cm="1">
        <f t="array" ref="E1428">IFERROR(INDEX(SubcategoriesTable[Subcategory name],MATCH(Table1[[#This Row],[Category]],SubcategoriesTable[Category name],0),0),"")</f>
        <v>Variable</v>
      </c>
      <c r="F1428" s="134">
        <v>-40</v>
      </c>
      <c r="G1428" s="167" t="str">
        <f>_xlfn.XLOOKUP(Table1[[#This Row],[Account_ID]], Accounts[ID], Accounts[Account nickname], "Unknown")</f>
        <v>EVERYDAY CHECKING</v>
      </c>
      <c r="H1428" s="137" t="str">
        <f>_xlfn.XLOOKUP(Table1[[#This Row],[Account_ID]], Accounts[ID], Accounts[Account'#], "Unknown")</f>
        <v>4636</v>
      </c>
      <c r="I1428" s="168" t="str">
        <f>_xlfn.XLOOKUP(Table1[[#This Row],[Institution_ID]], Institutions[ID], Institutions[Institution nickname], "Unknown")</f>
        <v>Wells Fargo</v>
      </c>
      <c r="J1428" s="139" t="s">
        <v>2145</v>
      </c>
      <c r="K1428" s="129" t="s">
        <v>1229</v>
      </c>
      <c r="L1428" s="129" t="s">
        <v>1228</v>
      </c>
      <c r="M1428" s="130" t="str" cm="1">
        <f t="array" ref="M1428">IFERROR(INDEX(CategoriesTable[Category type],MATCH(Table1[[#This Row],[Category]],CategoriesTable[Category name],0),0),"")</f>
        <v>Expense</v>
      </c>
      <c r="N1428" s="130" t="str" cm="1">
        <f t="array" ref="N1428">IFERROR(INDEX(SubcategoriesTable[Subcategory name],MATCH(Table1[[#This Row],[Category]],SubcategoriesTable[Category name],0),0),"")</f>
        <v>Variable</v>
      </c>
      <c r="O1428" s="130">
        <v>10</v>
      </c>
      <c r="P1428" s="130">
        <f>MONTH(Table1[[#This Row],[Date]])</f>
        <v>11</v>
      </c>
      <c r="Q1428" s="130">
        <v>2019</v>
      </c>
      <c r="R1428" s="166">
        <f>IF(ISBLANK(Table1[[#This Row],[Date]]),"",Table1[[#This Row],[Date]]-WEEKDAY(Table1[[#This Row],[Date]],2)+1)</f>
        <v>43773</v>
      </c>
      <c r="S1428" s="131">
        <f>IF(ISBLANK(Table1[[#This Row],[Date]]),"",DATE(Table1[[#This Row],[Date_Year]],Table1[[#This Row],[Date_Month]],1))</f>
        <v>43770</v>
      </c>
    </row>
    <row r="1429" spans="2:19" ht="15.75" x14ac:dyDescent="0.25">
      <c r="B1429" s="133">
        <v>43778</v>
      </c>
      <c r="C1429" s="128" t="s">
        <v>1791</v>
      </c>
      <c r="D1429" s="128" t="s">
        <v>54</v>
      </c>
      <c r="E1429" s="128" t="str" cm="1">
        <f t="array" ref="E1429">IFERROR(INDEX(SubcategoriesTable[Subcategory name],MATCH(Table1[[#This Row],[Category]],SubcategoriesTable[Category name],0),0),"")</f>
        <v>Fixed</v>
      </c>
      <c r="F1429" s="134">
        <v>-50</v>
      </c>
      <c r="G1429" s="167" t="str">
        <f>_xlfn.XLOOKUP(Table1[[#This Row],[Account_ID]], Accounts[ID], Accounts[Account nickname], "Unknown")</f>
        <v>EVERYDAY CHECKING</v>
      </c>
      <c r="H1429" s="137" t="str">
        <f>_xlfn.XLOOKUP(Table1[[#This Row],[Account_ID]], Accounts[ID], Accounts[Account'#], "Unknown")</f>
        <v>4636</v>
      </c>
      <c r="I1429" s="168" t="str">
        <f>_xlfn.XLOOKUP(Table1[[#This Row],[Institution_ID]], Institutions[ID], Institutions[Institution nickname], "Unknown")</f>
        <v>Wells Fargo</v>
      </c>
      <c r="J1429" s="139" t="s">
        <v>2146</v>
      </c>
      <c r="K1429" s="129" t="s">
        <v>1229</v>
      </c>
      <c r="L1429" s="129" t="s">
        <v>1228</v>
      </c>
      <c r="M1429" s="130" t="str" cm="1">
        <f t="array" ref="M1429">IFERROR(INDEX(CategoriesTable[Category type],MATCH(Table1[[#This Row],[Category]],CategoriesTable[Category name],0),0),"")</f>
        <v>Expense</v>
      </c>
      <c r="N1429" s="130" t="str" cm="1">
        <f t="array" ref="N1429">IFERROR(INDEX(SubcategoriesTable[Subcategory name],MATCH(Table1[[#This Row],[Category]],SubcategoriesTable[Category name],0),0),"")</f>
        <v>Fixed</v>
      </c>
      <c r="O1429" s="130">
        <v>9</v>
      </c>
      <c r="P1429" s="130">
        <f>MONTH(Table1[[#This Row],[Date]])</f>
        <v>11</v>
      </c>
      <c r="Q1429" s="130">
        <v>2019</v>
      </c>
      <c r="R1429" s="166">
        <f>IF(ISBLANK(Table1[[#This Row],[Date]]),"",Table1[[#This Row],[Date]]-WEEKDAY(Table1[[#This Row],[Date]],2)+1)</f>
        <v>43773</v>
      </c>
      <c r="S1429" s="131">
        <f>IF(ISBLANK(Table1[[#This Row],[Date]]),"",DATE(Table1[[#This Row],[Date_Year]],Table1[[#This Row],[Date_Month]],1))</f>
        <v>43770</v>
      </c>
    </row>
    <row r="1430" spans="2:19" ht="15.75" x14ac:dyDescent="0.25">
      <c r="B1430" s="133">
        <v>43778</v>
      </c>
      <c r="C1430" s="128" t="s">
        <v>201</v>
      </c>
      <c r="D1430" s="128" t="s">
        <v>48</v>
      </c>
      <c r="E1430" s="128" t="str" cm="1">
        <f t="array" ref="E1430">IFERROR(INDEX(SubcategoriesTable[Subcategory name],MATCH(Table1[[#This Row],[Category]],SubcategoriesTable[Category name],0),0),"")</f>
        <v>Variable</v>
      </c>
      <c r="F1430" s="134">
        <v>-116.85</v>
      </c>
      <c r="G1430" s="167" t="str">
        <f>_xlfn.XLOOKUP(Table1[[#This Row],[Account_ID]], Accounts[ID], Accounts[Account nickname], "Unknown")</f>
        <v>EVERYDAY CHECKING</v>
      </c>
      <c r="H1430" s="137" t="str">
        <f>_xlfn.XLOOKUP(Table1[[#This Row],[Account_ID]], Accounts[ID], Accounts[Account'#], "Unknown")</f>
        <v>4636</v>
      </c>
      <c r="I1430" s="168" t="str">
        <f>_xlfn.XLOOKUP(Table1[[#This Row],[Institution_ID]], Institutions[ID], Institutions[Institution nickname], "Unknown")</f>
        <v>Wells Fargo</v>
      </c>
      <c r="J1430" s="139" t="s">
        <v>2147</v>
      </c>
      <c r="K1430" s="129" t="s">
        <v>1229</v>
      </c>
      <c r="L1430" s="129" t="s">
        <v>1228</v>
      </c>
      <c r="M1430" s="130" t="str" cm="1">
        <f t="array" ref="M1430">IFERROR(INDEX(CategoriesTable[Category type],MATCH(Table1[[#This Row],[Category]],CategoriesTable[Category name],0),0),"")</f>
        <v>Expense</v>
      </c>
      <c r="N1430" s="130" t="str" cm="1">
        <f t="array" ref="N1430">IFERROR(INDEX(SubcategoriesTable[Subcategory name],MATCH(Table1[[#This Row],[Category]],SubcategoriesTable[Category name],0),0),"")</f>
        <v>Variable</v>
      </c>
      <c r="O1430" s="130">
        <v>9</v>
      </c>
      <c r="P1430" s="130">
        <f>MONTH(Table1[[#This Row],[Date]])</f>
        <v>11</v>
      </c>
      <c r="Q1430" s="130">
        <v>2019</v>
      </c>
      <c r="R1430" s="166">
        <f>IF(ISBLANK(Table1[[#This Row],[Date]]),"",Table1[[#This Row],[Date]]-WEEKDAY(Table1[[#This Row],[Date]],2)+1)</f>
        <v>43773</v>
      </c>
      <c r="S1430" s="131">
        <f>IF(ISBLANK(Table1[[#This Row],[Date]]),"",DATE(Table1[[#This Row],[Date_Year]],Table1[[#This Row],[Date_Month]],1))</f>
        <v>43770</v>
      </c>
    </row>
    <row r="1431" spans="2:19" ht="15.75" x14ac:dyDescent="0.25">
      <c r="B1431" s="133">
        <v>43778</v>
      </c>
      <c r="C1431" s="128" t="s">
        <v>115</v>
      </c>
      <c r="D1431" s="128" t="s">
        <v>48</v>
      </c>
      <c r="E1431" s="128" t="str" cm="1">
        <f t="array" ref="E1431">IFERROR(INDEX(SubcategoriesTable[Subcategory name],MATCH(Table1[[#This Row],[Category]],SubcategoriesTable[Category name],0),0),"")</f>
        <v>Variable</v>
      </c>
      <c r="F1431" s="134">
        <v>-126.95</v>
      </c>
      <c r="G1431" s="167" t="str">
        <f>_xlfn.XLOOKUP(Table1[[#This Row],[Account_ID]], Accounts[ID], Accounts[Account nickname], "Unknown")</f>
        <v>EVERYDAY CHECKING</v>
      </c>
      <c r="H1431" s="137" t="str">
        <f>_xlfn.XLOOKUP(Table1[[#This Row],[Account_ID]], Accounts[ID], Accounts[Account'#], "Unknown")</f>
        <v>4636</v>
      </c>
      <c r="I1431" s="168" t="str">
        <f>_xlfn.XLOOKUP(Table1[[#This Row],[Institution_ID]], Institutions[ID], Institutions[Institution nickname], "Unknown")</f>
        <v>Wells Fargo</v>
      </c>
      <c r="J1431" s="139" t="s">
        <v>2148</v>
      </c>
      <c r="K1431" s="129" t="s">
        <v>1229</v>
      </c>
      <c r="L1431" s="129" t="s">
        <v>1228</v>
      </c>
      <c r="M1431" s="130" t="str" cm="1">
        <f t="array" ref="M1431">IFERROR(INDEX(CategoriesTable[Category type],MATCH(Table1[[#This Row],[Category]],CategoriesTable[Category name],0),0),"")</f>
        <v>Expense</v>
      </c>
      <c r="N1431" s="130" t="str" cm="1">
        <f t="array" ref="N1431">IFERROR(INDEX(SubcategoriesTable[Subcategory name],MATCH(Table1[[#This Row],[Category]],SubcategoriesTable[Category name],0),0),"")</f>
        <v>Variable</v>
      </c>
      <c r="O1431" s="130">
        <v>9</v>
      </c>
      <c r="P1431" s="130">
        <f>MONTH(Table1[[#This Row],[Date]])</f>
        <v>11</v>
      </c>
      <c r="Q1431" s="130">
        <v>2019</v>
      </c>
      <c r="R1431" s="166">
        <f>IF(ISBLANK(Table1[[#This Row],[Date]]),"",Table1[[#This Row],[Date]]-WEEKDAY(Table1[[#This Row],[Date]],2)+1)</f>
        <v>43773</v>
      </c>
      <c r="S1431" s="131">
        <f>IF(ISBLANK(Table1[[#This Row],[Date]]),"",DATE(Table1[[#This Row],[Date_Year]],Table1[[#This Row],[Date_Month]],1))</f>
        <v>43770</v>
      </c>
    </row>
    <row r="1432" spans="2:19" ht="15.75" x14ac:dyDescent="0.25">
      <c r="B1432" s="133">
        <v>43777</v>
      </c>
      <c r="C1432" s="128" t="s">
        <v>1897</v>
      </c>
      <c r="D1432" s="128" t="s">
        <v>46</v>
      </c>
      <c r="E1432" s="128" t="str" cm="1">
        <f t="array" ref="E1432">IFERROR(INDEX(SubcategoriesTable[Subcategory name],MATCH(Table1[[#This Row],[Category]],SubcategoriesTable[Category name],0),0),"")</f>
        <v>Variable</v>
      </c>
      <c r="F1432" s="134">
        <v>-14.99</v>
      </c>
      <c r="G1432" s="167" t="str">
        <f>_xlfn.XLOOKUP(Table1[[#This Row],[Account_ID]], Accounts[ID], Accounts[Account nickname], "Unknown")</f>
        <v>EVERYDAY CHECKING</v>
      </c>
      <c r="H1432" s="137" t="str">
        <f>_xlfn.XLOOKUP(Table1[[#This Row],[Account_ID]], Accounts[ID], Accounts[Account'#], "Unknown")</f>
        <v>4636</v>
      </c>
      <c r="I1432" s="168" t="str">
        <f>_xlfn.XLOOKUP(Table1[[#This Row],[Institution_ID]], Institutions[ID], Institutions[Institution nickname], "Unknown")</f>
        <v>Wells Fargo</v>
      </c>
      <c r="J1432" s="139" t="s">
        <v>2149</v>
      </c>
      <c r="K1432" s="129" t="s">
        <v>1229</v>
      </c>
      <c r="L1432" s="129" t="s">
        <v>1228</v>
      </c>
      <c r="M1432" s="130" t="str" cm="1">
        <f t="array" ref="M1432">IFERROR(INDEX(CategoriesTable[Category type],MATCH(Table1[[#This Row],[Category]],CategoriesTable[Category name],0),0),"")</f>
        <v>Expense</v>
      </c>
      <c r="N1432" s="130" t="str" cm="1">
        <f t="array" ref="N1432">IFERROR(INDEX(SubcategoriesTable[Subcategory name],MATCH(Table1[[#This Row],[Category]],SubcategoriesTable[Category name],0),0),"")</f>
        <v>Variable</v>
      </c>
      <c r="O1432" s="130">
        <v>8</v>
      </c>
      <c r="P1432" s="130">
        <f>MONTH(Table1[[#This Row],[Date]])</f>
        <v>11</v>
      </c>
      <c r="Q1432" s="130">
        <v>2019</v>
      </c>
      <c r="R1432" s="166">
        <f>IF(ISBLANK(Table1[[#This Row],[Date]]),"",Table1[[#This Row],[Date]]-WEEKDAY(Table1[[#This Row],[Date]],2)+1)</f>
        <v>43773</v>
      </c>
      <c r="S1432" s="131">
        <f>IF(ISBLANK(Table1[[#This Row],[Date]]),"",DATE(Table1[[#This Row],[Date_Year]],Table1[[#This Row],[Date_Month]],1))</f>
        <v>43770</v>
      </c>
    </row>
    <row r="1433" spans="2:19" ht="15.75" x14ac:dyDescent="0.25">
      <c r="B1433" s="133">
        <v>43777</v>
      </c>
      <c r="C1433" s="128" t="s">
        <v>531</v>
      </c>
      <c r="D1433" s="128" t="s">
        <v>54</v>
      </c>
      <c r="E1433" s="128" t="str" cm="1">
        <f t="array" ref="E1433">IFERROR(INDEX(SubcategoriesTable[Subcategory name],MATCH(Table1[[#This Row],[Category]],SubcategoriesTable[Category name],0),0),"")</f>
        <v>Fixed</v>
      </c>
      <c r="F1433" s="134">
        <v>-8.7899999999999991</v>
      </c>
      <c r="G1433" s="167" t="str">
        <f>_xlfn.XLOOKUP(Table1[[#This Row],[Account_ID]], Accounts[ID], Accounts[Account nickname], "Unknown")</f>
        <v>EVERYDAY CHECKING</v>
      </c>
      <c r="H1433" s="137" t="str">
        <f>_xlfn.XLOOKUP(Table1[[#This Row],[Account_ID]], Accounts[ID], Accounts[Account'#], "Unknown")</f>
        <v>4636</v>
      </c>
      <c r="I1433" s="168" t="str">
        <f>_xlfn.XLOOKUP(Table1[[#This Row],[Institution_ID]], Institutions[ID], Institutions[Institution nickname], "Unknown")</f>
        <v>Wells Fargo</v>
      </c>
      <c r="J1433" s="139" t="s">
        <v>2150</v>
      </c>
      <c r="K1433" s="129" t="s">
        <v>1229</v>
      </c>
      <c r="L1433" s="129" t="s">
        <v>1228</v>
      </c>
      <c r="M1433" s="130" t="str" cm="1">
        <f t="array" ref="M1433">IFERROR(INDEX(CategoriesTable[Category type],MATCH(Table1[[#This Row],[Category]],CategoriesTable[Category name],0),0),"")</f>
        <v>Expense</v>
      </c>
      <c r="N1433" s="130" t="str" cm="1">
        <f t="array" ref="N1433">IFERROR(INDEX(SubcategoriesTable[Subcategory name],MATCH(Table1[[#This Row],[Category]],SubcategoriesTable[Category name],0),0),"")</f>
        <v>Fixed</v>
      </c>
      <c r="O1433" s="130">
        <v>8</v>
      </c>
      <c r="P1433" s="130">
        <f>MONTH(Table1[[#This Row],[Date]])</f>
        <v>11</v>
      </c>
      <c r="Q1433" s="130">
        <v>2019</v>
      </c>
      <c r="R1433" s="166">
        <f>IF(ISBLANK(Table1[[#This Row],[Date]]),"",Table1[[#This Row],[Date]]-WEEKDAY(Table1[[#This Row],[Date]],2)+1)</f>
        <v>43773</v>
      </c>
      <c r="S1433" s="131">
        <f>IF(ISBLANK(Table1[[#This Row],[Date]]),"",DATE(Table1[[#This Row],[Date_Year]],Table1[[#This Row],[Date_Month]],1))</f>
        <v>43770</v>
      </c>
    </row>
    <row r="1434" spans="2:19" ht="15.75" x14ac:dyDescent="0.25">
      <c r="B1434" s="133">
        <v>43777</v>
      </c>
      <c r="C1434" s="128" t="s">
        <v>1181</v>
      </c>
      <c r="D1434" s="128" t="s">
        <v>59</v>
      </c>
      <c r="E1434" s="128" t="str" cm="1">
        <f t="array" ref="E1434">IFERROR(INDEX(SubcategoriesTable[Subcategory name],MATCH(Table1[[#This Row],[Category]],SubcategoriesTable[Category name],0),0),"")</f>
        <v>Fixed</v>
      </c>
      <c r="F1434" s="134">
        <v>1516.23</v>
      </c>
      <c r="G1434" s="167" t="str">
        <f>_xlfn.XLOOKUP(Table1[[#This Row],[Account_ID]], Accounts[ID], Accounts[Account nickname], "Unknown")</f>
        <v>EVERYDAY CHECKING</v>
      </c>
      <c r="H1434" s="137" t="str">
        <f>_xlfn.XLOOKUP(Table1[[#This Row],[Account_ID]], Accounts[ID], Accounts[Account'#], "Unknown")</f>
        <v>4636</v>
      </c>
      <c r="I1434" s="168" t="str">
        <f>_xlfn.XLOOKUP(Table1[[#This Row],[Institution_ID]], Institutions[ID], Institutions[Institution nickname], "Unknown")</f>
        <v>Wells Fargo</v>
      </c>
      <c r="J1434" s="139" t="s">
        <v>2151</v>
      </c>
      <c r="K1434" s="129" t="s">
        <v>1229</v>
      </c>
      <c r="L1434" s="129" t="s">
        <v>1228</v>
      </c>
      <c r="M1434" s="130" t="str" cm="1">
        <f t="array" ref="M1434">IFERROR(INDEX(CategoriesTable[Category type],MATCH(Table1[[#This Row],[Category]],CategoriesTable[Category name],0),0),"")</f>
        <v>Income</v>
      </c>
      <c r="N1434" s="130" t="str" cm="1">
        <f t="array" ref="N1434">IFERROR(INDEX(SubcategoriesTable[Subcategory name],MATCH(Table1[[#This Row],[Category]],SubcategoriesTable[Category name],0),0),"")</f>
        <v>Fixed</v>
      </c>
      <c r="O1434" s="130">
        <v>8</v>
      </c>
      <c r="P1434" s="130">
        <f>MONTH(Table1[[#This Row],[Date]])</f>
        <v>11</v>
      </c>
      <c r="Q1434" s="130">
        <v>2019</v>
      </c>
      <c r="R1434" s="166">
        <f>IF(ISBLANK(Table1[[#This Row],[Date]]),"",Table1[[#This Row],[Date]]-WEEKDAY(Table1[[#This Row],[Date]],2)+1)</f>
        <v>43773</v>
      </c>
      <c r="S1434" s="131">
        <f>IF(ISBLANK(Table1[[#This Row],[Date]]),"",DATE(Table1[[#This Row],[Date_Year]],Table1[[#This Row],[Date_Month]],1))</f>
        <v>43770</v>
      </c>
    </row>
    <row r="1435" spans="2:19" ht="15.75" x14ac:dyDescent="0.25">
      <c r="B1435" s="133">
        <v>43777</v>
      </c>
      <c r="C1435" s="128" t="s">
        <v>2152</v>
      </c>
      <c r="D1435" s="128" t="s">
        <v>46</v>
      </c>
      <c r="E1435" s="128" t="str" cm="1">
        <f t="array" ref="E1435">IFERROR(INDEX(SubcategoriesTable[Subcategory name],MATCH(Table1[[#This Row],[Category]],SubcategoriesTable[Category name],0),0),"")</f>
        <v>Variable</v>
      </c>
      <c r="F1435" s="134">
        <v>-115.83</v>
      </c>
      <c r="G1435" s="167" t="str">
        <f>_xlfn.XLOOKUP(Table1[[#This Row],[Account_ID]], Accounts[ID], Accounts[Account nickname], "Unknown")</f>
        <v>EVERYDAY CHECKING</v>
      </c>
      <c r="H1435" s="137" t="str">
        <f>_xlfn.XLOOKUP(Table1[[#This Row],[Account_ID]], Accounts[ID], Accounts[Account'#], "Unknown")</f>
        <v>4636</v>
      </c>
      <c r="I1435" s="168" t="str">
        <f>_xlfn.XLOOKUP(Table1[[#This Row],[Institution_ID]], Institutions[ID], Institutions[Institution nickname], "Unknown")</f>
        <v>Wells Fargo</v>
      </c>
      <c r="J1435" s="139" t="s">
        <v>2153</v>
      </c>
      <c r="K1435" s="129" t="s">
        <v>1229</v>
      </c>
      <c r="L1435" s="129" t="s">
        <v>1228</v>
      </c>
      <c r="M1435" s="130" t="str" cm="1">
        <f t="array" ref="M1435">IFERROR(INDEX(CategoriesTable[Category type],MATCH(Table1[[#This Row],[Category]],CategoriesTable[Category name],0),0),"")</f>
        <v>Expense</v>
      </c>
      <c r="N1435" s="130" t="str" cm="1">
        <f t="array" ref="N1435">IFERROR(INDEX(SubcategoriesTable[Subcategory name],MATCH(Table1[[#This Row],[Category]],SubcategoriesTable[Category name],0),0),"")</f>
        <v>Variable</v>
      </c>
      <c r="O1435" s="130">
        <v>8</v>
      </c>
      <c r="P1435" s="130">
        <f>MONTH(Table1[[#This Row],[Date]])</f>
        <v>11</v>
      </c>
      <c r="Q1435" s="130">
        <v>2019</v>
      </c>
      <c r="R1435" s="166">
        <f>IF(ISBLANK(Table1[[#This Row],[Date]]),"",Table1[[#This Row],[Date]]-WEEKDAY(Table1[[#This Row],[Date]],2)+1)</f>
        <v>43773</v>
      </c>
      <c r="S1435" s="131">
        <f>IF(ISBLANK(Table1[[#This Row],[Date]]),"",DATE(Table1[[#This Row],[Date_Year]],Table1[[#This Row],[Date_Month]],1))</f>
        <v>43770</v>
      </c>
    </row>
    <row r="1436" spans="2:19" ht="15.75" x14ac:dyDescent="0.25">
      <c r="B1436" s="133">
        <v>43777</v>
      </c>
      <c r="C1436" s="128" t="s">
        <v>115</v>
      </c>
      <c r="D1436" s="128" t="s">
        <v>48</v>
      </c>
      <c r="E1436" s="128" t="str" cm="1">
        <f t="array" ref="E1436">IFERROR(INDEX(SubcategoriesTable[Subcategory name],MATCH(Table1[[#This Row],[Category]],SubcategoriesTable[Category name],0),0),"")</f>
        <v>Variable</v>
      </c>
      <c r="F1436" s="134">
        <v>-55.55</v>
      </c>
      <c r="G1436" s="167" t="str">
        <f>_xlfn.XLOOKUP(Table1[[#This Row],[Account_ID]], Accounts[ID], Accounts[Account nickname], "Unknown")</f>
        <v>EVERYDAY CHECKING</v>
      </c>
      <c r="H1436" s="137" t="str">
        <f>_xlfn.XLOOKUP(Table1[[#This Row],[Account_ID]], Accounts[ID], Accounts[Account'#], "Unknown")</f>
        <v>4636</v>
      </c>
      <c r="I1436" s="168" t="str">
        <f>_xlfn.XLOOKUP(Table1[[#This Row],[Institution_ID]], Institutions[ID], Institutions[Institution nickname], "Unknown")</f>
        <v>Wells Fargo</v>
      </c>
      <c r="J1436" s="171" t="s">
        <v>2154</v>
      </c>
      <c r="K1436" s="129" t="s">
        <v>1229</v>
      </c>
      <c r="L1436" s="129" t="s">
        <v>1228</v>
      </c>
      <c r="M1436" s="130" t="str" cm="1">
        <f t="array" ref="M1436">IFERROR(INDEX(CategoriesTable[Category type],MATCH(Table1[[#This Row],[Category]],CategoriesTable[Category name],0),0),"")</f>
        <v>Expense</v>
      </c>
      <c r="N1436" s="130" t="str" cm="1">
        <f t="array" ref="N1436">IFERROR(INDEX(SubcategoriesTable[Subcategory name],MATCH(Table1[[#This Row],[Category]],SubcategoriesTable[Category name],0),0),"")</f>
        <v>Variable</v>
      </c>
      <c r="O1436" s="130">
        <v>8</v>
      </c>
      <c r="P1436" s="130">
        <f>MONTH(Table1[[#This Row],[Date]])</f>
        <v>11</v>
      </c>
      <c r="Q1436" s="130">
        <v>2019</v>
      </c>
      <c r="R1436" s="166">
        <f>IF(ISBLANK(Table1[[#This Row],[Date]]),"",Table1[[#This Row],[Date]]-WEEKDAY(Table1[[#This Row],[Date]],2)+1)</f>
        <v>43773</v>
      </c>
      <c r="S1436" s="131">
        <f>IF(ISBLANK(Table1[[#This Row],[Date]]),"",DATE(Table1[[#This Row],[Date_Year]],Table1[[#This Row],[Date_Month]],1))</f>
        <v>43770</v>
      </c>
    </row>
    <row r="1437" spans="2:19" ht="15.75" x14ac:dyDescent="0.25">
      <c r="B1437" s="133">
        <v>43776</v>
      </c>
      <c r="C1437" s="128" t="s">
        <v>531</v>
      </c>
      <c r="D1437" s="128" t="s">
        <v>54</v>
      </c>
      <c r="E1437" s="128" t="str" cm="1">
        <f t="array" ref="E1437">IFERROR(INDEX(SubcategoriesTable[Subcategory name],MATCH(Table1[[#This Row],[Category]],SubcategoriesTable[Category name],0),0),"")</f>
        <v>Fixed</v>
      </c>
      <c r="F1437" s="134">
        <v>-11.09</v>
      </c>
      <c r="G1437" s="167" t="str">
        <f>_xlfn.XLOOKUP(Table1[[#This Row],[Account_ID]], Accounts[ID], Accounts[Account nickname], "Unknown")</f>
        <v>EVERYDAY CHECKING</v>
      </c>
      <c r="H1437" s="137" t="str">
        <f>_xlfn.XLOOKUP(Table1[[#This Row],[Account_ID]], Accounts[ID], Accounts[Account'#], "Unknown")</f>
        <v>4636</v>
      </c>
      <c r="I1437" s="168" t="str">
        <f>_xlfn.XLOOKUP(Table1[[#This Row],[Institution_ID]], Institutions[ID], Institutions[Institution nickname], "Unknown")</f>
        <v>Wells Fargo</v>
      </c>
      <c r="J1437" s="139" t="s">
        <v>2155</v>
      </c>
      <c r="K1437" s="129" t="s">
        <v>1229</v>
      </c>
      <c r="L1437" s="129" t="s">
        <v>1228</v>
      </c>
      <c r="M1437" s="130" t="str" cm="1">
        <f t="array" ref="M1437">IFERROR(INDEX(CategoriesTable[Category type],MATCH(Table1[[#This Row],[Category]],CategoriesTable[Category name],0),0),"")</f>
        <v>Expense</v>
      </c>
      <c r="N1437" s="130" t="str" cm="1">
        <f t="array" ref="N1437">IFERROR(INDEX(SubcategoriesTable[Subcategory name],MATCH(Table1[[#This Row],[Category]],SubcategoriesTable[Category name],0),0),"")</f>
        <v>Fixed</v>
      </c>
      <c r="O1437" s="130">
        <v>7</v>
      </c>
      <c r="P1437" s="130">
        <f>MONTH(Table1[[#This Row],[Date]])</f>
        <v>11</v>
      </c>
      <c r="Q1437" s="130">
        <v>2019</v>
      </c>
      <c r="R1437" s="166">
        <f>IF(ISBLANK(Table1[[#This Row],[Date]]),"",Table1[[#This Row],[Date]]-WEEKDAY(Table1[[#This Row],[Date]],2)+1)</f>
        <v>43773</v>
      </c>
      <c r="S1437" s="131">
        <f>IF(ISBLANK(Table1[[#This Row],[Date]]),"",DATE(Table1[[#This Row],[Date_Year]],Table1[[#This Row],[Date_Month]],1))</f>
        <v>43770</v>
      </c>
    </row>
    <row r="1438" spans="2:19" ht="15.75" x14ac:dyDescent="0.25">
      <c r="B1438" s="133">
        <v>43776</v>
      </c>
      <c r="C1438" s="128" t="s">
        <v>2156</v>
      </c>
      <c r="D1438" s="128" t="s">
        <v>45</v>
      </c>
      <c r="E1438" s="128" t="str" cm="1">
        <f t="array" ref="E1438">IFERROR(INDEX(SubcategoriesTable[Subcategory name],MATCH(Table1[[#This Row],[Category]],SubcategoriesTable[Category name],0),0),"")</f>
        <v>Variable</v>
      </c>
      <c r="F1438" s="134">
        <v>-36.229999999999997</v>
      </c>
      <c r="G1438" s="167" t="str">
        <f>_xlfn.XLOOKUP(Table1[[#This Row],[Account_ID]], Accounts[ID], Accounts[Account nickname], "Unknown")</f>
        <v>EVERYDAY CHECKING</v>
      </c>
      <c r="H1438" s="137" t="str">
        <f>_xlfn.XLOOKUP(Table1[[#This Row],[Account_ID]], Accounts[ID], Accounts[Account'#], "Unknown")</f>
        <v>4636</v>
      </c>
      <c r="I1438" s="168" t="str">
        <f>_xlfn.XLOOKUP(Table1[[#This Row],[Institution_ID]], Institutions[ID], Institutions[Institution nickname], "Unknown")</f>
        <v>Wells Fargo</v>
      </c>
      <c r="J1438" s="139" t="s">
        <v>2157</v>
      </c>
      <c r="K1438" s="129" t="s">
        <v>1229</v>
      </c>
      <c r="L1438" s="129" t="s">
        <v>1228</v>
      </c>
      <c r="M1438" s="130" t="str" cm="1">
        <f t="array" ref="M1438">IFERROR(INDEX(CategoriesTable[Category type],MATCH(Table1[[#This Row],[Category]],CategoriesTable[Category name],0),0),"")</f>
        <v>Expense</v>
      </c>
      <c r="N1438" s="130" t="str" cm="1">
        <f t="array" ref="N1438">IFERROR(INDEX(SubcategoriesTable[Subcategory name],MATCH(Table1[[#This Row],[Category]],SubcategoriesTable[Category name],0),0),"")</f>
        <v>Variable</v>
      </c>
      <c r="O1438" s="130">
        <v>7</v>
      </c>
      <c r="P1438" s="130">
        <f>MONTH(Table1[[#This Row],[Date]])</f>
        <v>11</v>
      </c>
      <c r="Q1438" s="130">
        <v>2019</v>
      </c>
      <c r="R1438" s="166">
        <f>IF(ISBLANK(Table1[[#This Row],[Date]]),"",Table1[[#This Row],[Date]]-WEEKDAY(Table1[[#This Row],[Date]],2)+1)</f>
        <v>43773</v>
      </c>
      <c r="S1438" s="131">
        <f>IF(ISBLANK(Table1[[#This Row],[Date]]),"",DATE(Table1[[#This Row],[Date_Year]],Table1[[#This Row],[Date_Month]],1))</f>
        <v>43770</v>
      </c>
    </row>
    <row r="1439" spans="2:19" ht="15.75" x14ac:dyDescent="0.25">
      <c r="B1439" s="133">
        <v>43776</v>
      </c>
      <c r="C1439" s="128" t="s">
        <v>2158</v>
      </c>
      <c r="D1439" s="128" t="s">
        <v>60</v>
      </c>
      <c r="E1439" s="128" t="str" cm="1">
        <f t="array" ref="E1439">IFERROR(INDEX(SubcategoriesTable[Subcategory name],MATCH(Table1[[#This Row],[Category]],SubcategoriesTable[Category name],0),0),"")</f>
        <v>Variable</v>
      </c>
      <c r="F1439" s="134">
        <v>-24.75</v>
      </c>
      <c r="G1439" s="167" t="str">
        <f>_xlfn.XLOOKUP(Table1[[#This Row],[Account_ID]], Accounts[ID], Accounts[Account nickname], "Unknown")</f>
        <v>EVERYDAY CHECKING</v>
      </c>
      <c r="H1439" s="137" t="str">
        <f>_xlfn.XLOOKUP(Table1[[#This Row],[Account_ID]], Accounts[ID], Accounts[Account'#], "Unknown")</f>
        <v>4636</v>
      </c>
      <c r="I1439" s="168" t="str">
        <f>_xlfn.XLOOKUP(Table1[[#This Row],[Institution_ID]], Institutions[ID], Institutions[Institution nickname], "Unknown")</f>
        <v>Wells Fargo</v>
      </c>
      <c r="J1439" s="139" t="s">
        <v>2159</v>
      </c>
      <c r="K1439" s="129" t="s">
        <v>1229</v>
      </c>
      <c r="L1439" s="129" t="s">
        <v>1228</v>
      </c>
      <c r="M1439" s="130" t="str" cm="1">
        <f t="array" ref="M1439">IFERROR(INDEX(CategoriesTable[Category type],MATCH(Table1[[#This Row],[Category]],CategoriesTable[Category name],0),0),"")</f>
        <v>Expense</v>
      </c>
      <c r="N1439" s="130" t="str" cm="1">
        <f t="array" ref="N1439">IFERROR(INDEX(SubcategoriesTable[Subcategory name],MATCH(Table1[[#This Row],[Category]],SubcategoriesTable[Category name],0),0),"")</f>
        <v>Variable</v>
      </c>
      <c r="O1439" s="130">
        <v>7</v>
      </c>
      <c r="P1439" s="130">
        <f>MONTH(Table1[[#This Row],[Date]])</f>
        <v>11</v>
      </c>
      <c r="Q1439" s="130">
        <v>2019</v>
      </c>
      <c r="R1439" s="166">
        <f>IF(ISBLANK(Table1[[#This Row],[Date]]),"",Table1[[#This Row],[Date]]-WEEKDAY(Table1[[#This Row],[Date]],2)+1)</f>
        <v>43773</v>
      </c>
      <c r="S1439" s="131">
        <f>IF(ISBLANK(Table1[[#This Row],[Date]]),"",DATE(Table1[[#This Row],[Date_Year]],Table1[[#This Row],[Date_Month]],1))</f>
        <v>43770</v>
      </c>
    </row>
    <row r="1440" spans="2:19" ht="15.75" x14ac:dyDescent="0.25">
      <c r="B1440" s="133">
        <v>43776</v>
      </c>
      <c r="C1440" s="128" t="s">
        <v>1609</v>
      </c>
      <c r="D1440" s="128" t="s">
        <v>46</v>
      </c>
      <c r="E1440" s="128" t="str" cm="1">
        <f t="array" ref="E1440">IFERROR(INDEX(SubcategoriesTable[Subcategory name],MATCH(Table1[[#This Row],[Category]],SubcategoriesTable[Category name],0),0),"")</f>
        <v>Variable</v>
      </c>
      <c r="F1440" s="134">
        <v>-14.95</v>
      </c>
      <c r="G1440" s="167" t="str">
        <f>_xlfn.XLOOKUP(Table1[[#This Row],[Account_ID]], Accounts[ID], Accounts[Account nickname], "Unknown")</f>
        <v>EVERYDAY CHECKING</v>
      </c>
      <c r="H1440" s="137" t="str">
        <f>_xlfn.XLOOKUP(Table1[[#This Row],[Account_ID]], Accounts[ID], Accounts[Account'#], "Unknown")</f>
        <v>4636</v>
      </c>
      <c r="I1440" s="168" t="str">
        <f>_xlfn.XLOOKUP(Table1[[#This Row],[Institution_ID]], Institutions[ID], Institutions[Institution nickname], "Unknown")</f>
        <v>Wells Fargo</v>
      </c>
      <c r="J1440" s="139" t="s">
        <v>2160</v>
      </c>
      <c r="K1440" s="129" t="s">
        <v>1229</v>
      </c>
      <c r="L1440" s="129" t="s">
        <v>1228</v>
      </c>
      <c r="M1440" s="130" t="str" cm="1">
        <f t="array" ref="M1440">IFERROR(INDEX(CategoriesTable[Category type],MATCH(Table1[[#This Row],[Category]],CategoriesTable[Category name],0),0),"")</f>
        <v>Expense</v>
      </c>
      <c r="N1440" s="130" t="str" cm="1">
        <f t="array" ref="N1440">IFERROR(INDEX(SubcategoriesTable[Subcategory name],MATCH(Table1[[#This Row],[Category]],SubcategoriesTable[Category name],0),0),"")</f>
        <v>Variable</v>
      </c>
      <c r="O1440" s="130">
        <v>7</v>
      </c>
      <c r="P1440" s="130">
        <f>MONTH(Table1[[#This Row],[Date]])</f>
        <v>11</v>
      </c>
      <c r="Q1440" s="130">
        <v>2019</v>
      </c>
      <c r="R1440" s="166">
        <f>IF(ISBLANK(Table1[[#This Row],[Date]]),"",Table1[[#This Row],[Date]]-WEEKDAY(Table1[[#This Row],[Date]],2)+1)</f>
        <v>43773</v>
      </c>
      <c r="S1440" s="131">
        <f>IF(ISBLANK(Table1[[#This Row],[Date]]),"",DATE(Table1[[#This Row],[Date_Year]],Table1[[#This Row],[Date_Month]],1))</f>
        <v>43770</v>
      </c>
    </row>
    <row r="1441" spans="2:19" ht="15.75" x14ac:dyDescent="0.25">
      <c r="B1441" s="133">
        <v>43776</v>
      </c>
      <c r="C1441" s="128" t="s">
        <v>803</v>
      </c>
      <c r="D1441" s="128" t="s">
        <v>48</v>
      </c>
      <c r="E1441" s="128" t="str" cm="1">
        <f t="array" ref="E1441">IFERROR(INDEX(SubcategoriesTable[Subcategory name],MATCH(Table1[[#This Row],[Category]],SubcategoriesTable[Category name],0),0),"")</f>
        <v>Variable</v>
      </c>
      <c r="F1441" s="134">
        <v>-24.09</v>
      </c>
      <c r="G1441" s="167" t="str">
        <f>_xlfn.XLOOKUP(Table1[[#This Row],[Account_ID]], Accounts[ID], Accounts[Account nickname], "Unknown")</f>
        <v>EVERYDAY CHECKING</v>
      </c>
      <c r="H1441" s="137" t="str">
        <f>_xlfn.XLOOKUP(Table1[[#This Row],[Account_ID]], Accounts[ID], Accounts[Account'#], "Unknown")</f>
        <v>4636</v>
      </c>
      <c r="I1441" s="168" t="str">
        <f>_xlfn.XLOOKUP(Table1[[#This Row],[Institution_ID]], Institutions[ID], Institutions[Institution nickname], "Unknown")</f>
        <v>Wells Fargo</v>
      </c>
      <c r="J1441" s="139" t="s">
        <v>2161</v>
      </c>
      <c r="K1441" s="129" t="s">
        <v>1229</v>
      </c>
      <c r="L1441" s="129" t="s">
        <v>1228</v>
      </c>
      <c r="M1441" s="130" t="str" cm="1">
        <f t="array" ref="M1441">IFERROR(INDEX(CategoriesTable[Category type],MATCH(Table1[[#This Row],[Category]],CategoriesTable[Category name],0),0),"")</f>
        <v>Expense</v>
      </c>
      <c r="N1441" s="130" t="str" cm="1">
        <f t="array" ref="N1441">IFERROR(INDEX(SubcategoriesTable[Subcategory name],MATCH(Table1[[#This Row],[Category]],SubcategoriesTable[Category name],0),0),"")</f>
        <v>Variable</v>
      </c>
      <c r="O1441" s="130">
        <v>7</v>
      </c>
      <c r="P1441" s="130">
        <f>MONTH(Table1[[#This Row],[Date]])</f>
        <v>11</v>
      </c>
      <c r="Q1441" s="130">
        <v>2019</v>
      </c>
      <c r="R1441" s="166">
        <f>IF(ISBLANK(Table1[[#This Row],[Date]]),"",Table1[[#This Row],[Date]]-WEEKDAY(Table1[[#This Row],[Date]],2)+1)</f>
        <v>43773</v>
      </c>
      <c r="S1441" s="131">
        <f>IF(ISBLANK(Table1[[#This Row],[Date]]),"",DATE(Table1[[#This Row],[Date_Year]],Table1[[#This Row],[Date_Month]],1))</f>
        <v>43770</v>
      </c>
    </row>
    <row r="1442" spans="2:19" ht="15.75" x14ac:dyDescent="0.25">
      <c r="B1442" s="133">
        <v>43775</v>
      </c>
      <c r="C1442" s="128" t="s">
        <v>531</v>
      </c>
      <c r="D1442" s="128" t="s">
        <v>54</v>
      </c>
      <c r="E1442" s="128" t="str" cm="1">
        <f t="array" ref="E1442">IFERROR(INDEX(SubcategoriesTable[Subcategory name],MATCH(Table1[[#This Row],[Category]],SubcategoriesTable[Category name],0),0),"")</f>
        <v>Fixed</v>
      </c>
      <c r="F1442" s="134">
        <v>-7.31</v>
      </c>
      <c r="G1442" s="167" t="str">
        <f>_xlfn.XLOOKUP(Table1[[#This Row],[Account_ID]], Accounts[ID], Accounts[Account nickname], "Unknown")</f>
        <v>EVERYDAY CHECKING</v>
      </c>
      <c r="H1442" s="137" t="str">
        <f>_xlfn.XLOOKUP(Table1[[#This Row],[Account_ID]], Accounts[ID], Accounts[Account'#], "Unknown")</f>
        <v>4636</v>
      </c>
      <c r="I1442" s="168" t="str">
        <f>_xlfn.XLOOKUP(Table1[[#This Row],[Institution_ID]], Institutions[ID], Institutions[Institution nickname], "Unknown")</f>
        <v>Wells Fargo</v>
      </c>
      <c r="J1442" s="139" t="s">
        <v>2162</v>
      </c>
      <c r="K1442" s="129" t="s">
        <v>1229</v>
      </c>
      <c r="L1442" s="129" t="s">
        <v>1228</v>
      </c>
      <c r="M1442" s="130" t="str" cm="1">
        <f t="array" ref="M1442">IFERROR(INDEX(CategoriesTable[Category type],MATCH(Table1[[#This Row],[Category]],CategoriesTable[Category name],0),0),"")</f>
        <v>Expense</v>
      </c>
      <c r="N1442" s="130" t="str" cm="1">
        <f t="array" ref="N1442">IFERROR(INDEX(SubcategoriesTable[Subcategory name],MATCH(Table1[[#This Row],[Category]],SubcategoriesTable[Category name],0),0),"")</f>
        <v>Fixed</v>
      </c>
      <c r="O1442" s="130">
        <v>6</v>
      </c>
      <c r="P1442" s="130">
        <f>MONTH(Table1[[#This Row],[Date]])</f>
        <v>11</v>
      </c>
      <c r="Q1442" s="130">
        <v>2019</v>
      </c>
      <c r="R1442" s="166">
        <f>IF(ISBLANK(Table1[[#This Row],[Date]]),"",Table1[[#This Row],[Date]]-WEEKDAY(Table1[[#This Row],[Date]],2)+1)</f>
        <v>43773</v>
      </c>
      <c r="S1442" s="131">
        <f>IF(ISBLANK(Table1[[#This Row],[Date]]),"",DATE(Table1[[#This Row],[Date_Year]],Table1[[#This Row],[Date_Month]],1))</f>
        <v>43770</v>
      </c>
    </row>
    <row r="1443" spans="2:19" ht="15.75" x14ac:dyDescent="0.25">
      <c r="B1443" s="133">
        <v>43775</v>
      </c>
      <c r="C1443" s="128" t="s">
        <v>1957</v>
      </c>
      <c r="D1443" s="128" t="s">
        <v>45</v>
      </c>
      <c r="E1443" s="128" t="str" cm="1">
        <f t="array" ref="E1443">IFERROR(INDEX(SubcategoriesTable[Subcategory name],MATCH(Table1[[#This Row],[Category]],SubcategoriesTable[Category name],0),0),"")</f>
        <v>Variable</v>
      </c>
      <c r="F1443" s="134">
        <v>-1.35</v>
      </c>
      <c r="G1443" s="167" t="str">
        <f>_xlfn.XLOOKUP(Table1[[#This Row],[Account_ID]], Accounts[ID], Accounts[Account nickname], "Unknown")</f>
        <v>EVERYDAY CHECKING</v>
      </c>
      <c r="H1443" s="137" t="str">
        <f>_xlfn.XLOOKUP(Table1[[#This Row],[Account_ID]], Accounts[ID], Accounts[Account'#], "Unknown")</f>
        <v>4636</v>
      </c>
      <c r="I1443" s="168" t="str">
        <f>_xlfn.XLOOKUP(Table1[[#This Row],[Institution_ID]], Institutions[ID], Institutions[Institution nickname], "Unknown")</f>
        <v>Wells Fargo</v>
      </c>
      <c r="J1443" s="139" t="s">
        <v>2163</v>
      </c>
      <c r="K1443" s="129" t="s">
        <v>1229</v>
      </c>
      <c r="L1443" s="129" t="s">
        <v>1228</v>
      </c>
      <c r="M1443" s="130" t="str" cm="1">
        <f t="array" ref="M1443">IFERROR(INDEX(CategoriesTable[Category type],MATCH(Table1[[#This Row],[Category]],CategoriesTable[Category name],0),0),"")</f>
        <v>Expense</v>
      </c>
      <c r="N1443" s="130" t="str" cm="1">
        <f t="array" ref="N1443">IFERROR(INDEX(SubcategoriesTable[Subcategory name],MATCH(Table1[[#This Row],[Category]],SubcategoriesTable[Category name],0),0),"")</f>
        <v>Variable</v>
      </c>
      <c r="O1443" s="130">
        <v>6</v>
      </c>
      <c r="P1443" s="130">
        <f>MONTH(Table1[[#This Row],[Date]])</f>
        <v>11</v>
      </c>
      <c r="Q1443" s="130">
        <v>2019</v>
      </c>
      <c r="R1443" s="166">
        <f>IF(ISBLANK(Table1[[#This Row],[Date]]),"",Table1[[#This Row],[Date]]-WEEKDAY(Table1[[#This Row],[Date]],2)+1)</f>
        <v>43773</v>
      </c>
      <c r="S1443" s="131">
        <f>IF(ISBLANK(Table1[[#This Row],[Date]]),"",DATE(Table1[[#This Row],[Date_Year]],Table1[[#This Row],[Date_Month]],1))</f>
        <v>43770</v>
      </c>
    </row>
    <row r="1444" spans="2:19" ht="15.75" x14ac:dyDescent="0.25">
      <c r="B1444" s="133">
        <v>43775</v>
      </c>
      <c r="C1444" s="128" t="s">
        <v>1957</v>
      </c>
      <c r="D1444" s="128" t="s">
        <v>45</v>
      </c>
      <c r="E1444" s="128" t="str" cm="1">
        <f t="array" ref="E1444">IFERROR(INDEX(SubcategoriesTable[Subcategory name],MATCH(Table1[[#This Row],[Category]],SubcategoriesTable[Category name],0),0),"")</f>
        <v>Variable</v>
      </c>
      <c r="F1444" s="134">
        <v>-1.6</v>
      </c>
      <c r="G1444" s="167" t="str">
        <f>_xlfn.XLOOKUP(Table1[[#This Row],[Account_ID]], Accounts[ID], Accounts[Account nickname], "Unknown")</f>
        <v>EVERYDAY CHECKING</v>
      </c>
      <c r="H1444" s="137" t="str">
        <f>_xlfn.XLOOKUP(Table1[[#This Row],[Account_ID]], Accounts[ID], Accounts[Account'#], "Unknown")</f>
        <v>4636</v>
      </c>
      <c r="I1444" s="168" t="str">
        <f>_xlfn.XLOOKUP(Table1[[#This Row],[Institution_ID]], Institutions[ID], Institutions[Institution nickname], "Unknown")</f>
        <v>Wells Fargo</v>
      </c>
      <c r="J1444" s="139" t="s">
        <v>2164</v>
      </c>
      <c r="K1444" s="129" t="s">
        <v>1229</v>
      </c>
      <c r="L1444" s="129" t="s">
        <v>1228</v>
      </c>
      <c r="M1444" s="130" t="str" cm="1">
        <f t="array" ref="M1444">IFERROR(INDEX(CategoriesTable[Category type],MATCH(Table1[[#This Row],[Category]],CategoriesTable[Category name],0),0),"")</f>
        <v>Expense</v>
      </c>
      <c r="N1444" s="130" t="str" cm="1">
        <f t="array" ref="N1444">IFERROR(INDEX(SubcategoriesTable[Subcategory name],MATCH(Table1[[#This Row],[Category]],SubcategoriesTable[Category name],0),0),"")</f>
        <v>Variable</v>
      </c>
      <c r="O1444" s="130">
        <v>6</v>
      </c>
      <c r="P1444" s="130">
        <f>MONTH(Table1[[#This Row],[Date]])</f>
        <v>11</v>
      </c>
      <c r="Q1444" s="130">
        <v>2019</v>
      </c>
      <c r="R1444" s="166">
        <f>IF(ISBLANK(Table1[[#This Row],[Date]]),"",Table1[[#This Row],[Date]]-WEEKDAY(Table1[[#This Row],[Date]],2)+1)</f>
        <v>43773</v>
      </c>
      <c r="S1444" s="131">
        <f>IF(ISBLANK(Table1[[#This Row],[Date]]),"",DATE(Table1[[#This Row],[Date_Year]],Table1[[#This Row],[Date_Month]],1))</f>
        <v>43770</v>
      </c>
    </row>
    <row r="1445" spans="2:19" ht="15.75" x14ac:dyDescent="0.25">
      <c r="B1445" s="133">
        <v>43775</v>
      </c>
      <c r="C1445" s="128" t="s">
        <v>1957</v>
      </c>
      <c r="D1445" s="128" t="s">
        <v>45</v>
      </c>
      <c r="E1445" s="128" t="str" cm="1">
        <f t="array" ref="E1445">IFERROR(INDEX(SubcategoriesTable[Subcategory name],MATCH(Table1[[#This Row],[Category]],SubcategoriesTable[Category name],0),0),"")</f>
        <v>Variable</v>
      </c>
      <c r="F1445" s="134">
        <v>-3.1</v>
      </c>
      <c r="G1445" s="167" t="str">
        <f>_xlfn.XLOOKUP(Table1[[#This Row],[Account_ID]], Accounts[ID], Accounts[Account nickname], "Unknown")</f>
        <v>EVERYDAY CHECKING</v>
      </c>
      <c r="H1445" s="137" t="str">
        <f>_xlfn.XLOOKUP(Table1[[#This Row],[Account_ID]], Accounts[ID], Accounts[Account'#], "Unknown")</f>
        <v>4636</v>
      </c>
      <c r="I1445" s="168" t="str">
        <f>_xlfn.XLOOKUP(Table1[[#This Row],[Institution_ID]], Institutions[ID], Institutions[Institution nickname], "Unknown")</f>
        <v>Wells Fargo</v>
      </c>
      <c r="J1445" s="139" t="s">
        <v>2165</v>
      </c>
      <c r="K1445" s="129" t="s">
        <v>1229</v>
      </c>
      <c r="L1445" s="129" t="s">
        <v>1228</v>
      </c>
      <c r="M1445" s="130" t="str" cm="1">
        <f t="array" ref="M1445">IFERROR(INDEX(CategoriesTable[Category type],MATCH(Table1[[#This Row],[Category]],CategoriesTable[Category name],0),0),"")</f>
        <v>Expense</v>
      </c>
      <c r="N1445" s="130" t="str" cm="1">
        <f t="array" ref="N1445">IFERROR(INDEX(SubcategoriesTable[Subcategory name],MATCH(Table1[[#This Row],[Category]],SubcategoriesTable[Category name],0),0),"")</f>
        <v>Variable</v>
      </c>
      <c r="O1445" s="130">
        <v>6</v>
      </c>
      <c r="P1445" s="130">
        <f>MONTH(Table1[[#This Row],[Date]])</f>
        <v>11</v>
      </c>
      <c r="Q1445" s="130">
        <v>2019</v>
      </c>
      <c r="R1445" s="166">
        <f>IF(ISBLANK(Table1[[#This Row],[Date]]),"",Table1[[#This Row],[Date]]-WEEKDAY(Table1[[#This Row],[Date]],2)+1)</f>
        <v>43773</v>
      </c>
      <c r="S1445" s="131">
        <f>IF(ISBLANK(Table1[[#This Row],[Date]]),"",DATE(Table1[[#This Row],[Date_Year]],Table1[[#This Row],[Date_Month]],1))</f>
        <v>43770</v>
      </c>
    </row>
    <row r="1446" spans="2:19" ht="15.75" x14ac:dyDescent="0.25">
      <c r="B1446" s="133">
        <v>43774</v>
      </c>
      <c r="C1446" s="128" t="s">
        <v>115</v>
      </c>
      <c r="D1446" s="128" t="s">
        <v>48</v>
      </c>
      <c r="E1446" s="128" t="str" cm="1">
        <f t="array" ref="E1446">IFERROR(INDEX(SubcategoriesTable[Subcategory name],MATCH(Table1[[#This Row],[Category]],SubcategoriesTable[Category name],0),0),"")</f>
        <v>Variable</v>
      </c>
      <c r="F1446" s="134">
        <v>-13.6</v>
      </c>
      <c r="G1446" s="167" t="str">
        <f>_xlfn.XLOOKUP(Table1[[#This Row],[Account_ID]], Accounts[ID], Accounts[Account nickname], "Unknown")</f>
        <v>EVERYDAY CHECKING</v>
      </c>
      <c r="H1446" s="137" t="str">
        <f>_xlfn.XLOOKUP(Table1[[#This Row],[Account_ID]], Accounts[ID], Accounts[Account'#], "Unknown")</f>
        <v>4636</v>
      </c>
      <c r="I1446" s="168" t="str">
        <f>_xlfn.XLOOKUP(Table1[[#This Row],[Institution_ID]], Institutions[ID], Institutions[Institution nickname], "Unknown")</f>
        <v>Wells Fargo</v>
      </c>
      <c r="J1446" s="139" t="s">
        <v>2166</v>
      </c>
      <c r="K1446" s="129" t="s">
        <v>1229</v>
      </c>
      <c r="L1446" s="129" t="s">
        <v>1228</v>
      </c>
      <c r="M1446" s="130" t="str" cm="1">
        <f t="array" ref="M1446">IFERROR(INDEX(CategoriesTable[Category type],MATCH(Table1[[#This Row],[Category]],CategoriesTable[Category name],0),0),"")</f>
        <v>Expense</v>
      </c>
      <c r="N1446" s="130" t="str" cm="1">
        <f t="array" ref="N1446">IFERROR(INDEX(SubcategoriesTable[Subcategory name],MATCH(Table1[[#This Row],[Category]],SubcategoriesTable[Category name],0),0),"")</f>
        <v>Variable</v>
      </c>
      <c r="O1446" s="130">
        <v>5</v>
      </c>
      <c r="P1446" s="130">
        <f>MONTH(Table1[[#This Row],[Date]])</f>
        <v>11</v>
      </c>
      <c r="Q1446" s="130">
        <v>2019</v>
      </c>
      <c r="R1446" s="166">
        <f>IF(ISBLANK(Table1[[#This Row],[Date]]),"",Table1[[#This Row],[Date]]-WEEKDAY(Table1[[#This Row],[Date]],2)+1)</f>
        <v>43773</v>
      </c>
      <c r="S1446" s="131">
        <f>IF(ISBLANK(Table1[[#This Row],[Date]]),"",DATE(Table1[[#This Row],[Date_Year]],Table1[[#This Row],[Date_Month]],1))</f>
        <v>43770</v>
      </c>
    </row>
    <row r="1447" spans="2:19" ht="15.75" x14ac:dyDescent="0.25">
      <c r="B1447" s="133">
        <v>43773</v>
      </c>
      <c r="C1447" s="128" t="s">
        <v>531</v>
      </c>
      <c r="D1447" s="128" t="s">
        <v>54</v>
      </c>
      <c r="E1447" s="128" t="str" cm="1">
        <f t="array" ref="E1447">IFERROR(INDEX(SubcategoriesTable[Subcategory name],MATCH(Table1[[#This Row],[Category]],SubcategoriesTable[Category name],0),0),"")</f>
        <v>Fixed</v>
      </c>
      <c r="F1447" s="134">
        <v>-20.88</v>
      </c>
      <c r="G1447" s="167" t="str">
        <f>_xlfn.XLOOKUP(Table1[[#This Row],[Account_ID]], Accounts[ID], Accounts[Account nickname], "Unknown")</f>
        <v>EVERYDAY CHECKING</v>
      </c>
      <c r="H1447" s="137" t="str">
        <f>_xlfn.XLOOKUP(Table1[[#This Row],[Account_ID]], Accounts[ID], Accounts[Account'#], "Unknown")</f>
        <v>4636</v>
      </c>
      <c r="I1447" s="168" t="str">
        <f>_xlfn.XLOOKUP(Table1[[#This Row],[Institution_ID]], Institutions[ID], Institutions[Institution nickname], "Unknown")</f>
        <v>Wells Fargo</v>
      </c>
      <c r="J1447" s="139" t="s">
        <v>2167</v>
      </c>
      <c r="K1447" s="129" t="s">
        <v>1229</v>
      </c>
      <c r="L1447" s="129" t="s">
        <v>1228</v>
      </c>
      <c r="M1447" s="130" t="str" cm="1">
        <f t="array" ref="M1447">IFERROR(INDEX(CategoriesTable[Category type],MATCH(Table1[[#This Row],[Category]],CategoriesTable[Category name],0),0),"")</f>
        <v>Expense</v>
      </c>
      <c r="N1447" s="130" t="str" cm="1">
        <f t="array" ref="N1447">IFERROR(INDEX(SubcategoriesTable[Subcategory name],MATCH(Table1[[#This Row],[Category]],SubcategoriesTable[Category name],0),0),"")</f>
        <v>Fixed</v>
      </c>
      <c r="O1447" s="130">
        <v>4</v>
      </c>
      <c r="P1447" s="130">
        <f>MONTH(Table1[[#This Row],[Date]])</f>
        <v>11</v>
      </c>
      <c r="Q1447" s="130">
        <v>2019</v>
      </c>
      <c r="R1447" s="166">
        <f>IF(ISBLANK(Table1[[#This Row],[Date]]),"",Table1[[#This Row],[Date]]-WEEKDAY(Table1[[#This Row],[Date]],2)+1)</f>
        <v>43773</v>
      </c>
      <c r="S1447" s="131">
        <f>IF(ISBLANK(Table1[[#This Row],[Date]]),"",DATE(Table1[[#This Row],[Date_Year]],Table1[[#This Row],[Date_Month]],1))</f>
        <v>43770</v>
      </c>
    </row>
    <row r="1448" spans="2:19" ht="15.75" x14ac:dyDescent="0.25">
      <c r="B1448" s="133">
        <v>43773</v>
      </c>
      <c r="C1448" s="128" t="s">
        <v>531</v>
      </c>
      <c r="D1448" s="128" t="s">
        <v>45</v>
      </c>
      <c r="E1448" s="128" t="str" cm="1">
        <f t="array" ref="E1448">IFERROR(INDEX(SubcategoriesTable[Subcategory name],MATCH(Table1[[#This Row],[Category]],SubcategoriesTable[Category name],0),0),"")</f>
        <v>Variable</v>
      </c>
      <c r="F1448" s="134">
        <v>-1.85</v>
      </c>
      <c r="G1448" s="167" t="str">
        <f>_xlfn.XLOOKUP(Table1[[#This Row],[Account_ID]], Accounts[ID], Accounts[Account nickname], "Unknown")</f>
        <v>EVERYDAY CHECKING</v>
      </c>
      <c r="H1448" s="137" t="str">
        <f>_xlfn.XLOOKUP(Table1[[#This Row],[Account_ID]], Accounts[ID], Accounts[Account'#], "Unknown")</f>
        <v>4636</v>
      </c>
      <c r="I1448" s="168" t="str">
        <f>_xlfn.XLOOKUP(Table1[[#This Row],[Institution_ID]], Institutions[ID], Institutions[Institution nickname], "Unknown")</f>
        <v>Wells Fargo</v>
      </c>
      <c r="J1448" s="139" t="s">
        <v>2168</v>
      </c>
      <c r="K1448" s="129" t="s">
        <v>1229</v>
      </c>
      <c r="L1448" s="129" t="s">
        <v>1228</v>
      </c>
      <c r="M1448" s="130" t="str" cm="1">
        <f t="array" ref="M1448">IFERROR(INDEX(CategoriesTable[Category type],MATCH(Table1[[#This Row],[Category]],CategoriesTable[Category name],0),0),"")</f>
        <v>Expense</v>
      </c>
      <c r="N1448" s="130" t="str" cm="1">
        <f t="array" ref="N1448">IFERROR(INDEX(SubcategoriesTable[Subcategory name],MATCH(Table1[[#This Row],[Category]],SubcategoriesTable[Category name],0),0),"")</f>
        <v>Variable</v>
      </c>
      <c r="O1448" s="130">
        <v>4</v>
      </c>
      <c r="P1448" s="130">
        <f>MONTH(Table1[[#This Row],[Date]])</f>
        <v>11</v>
      </c>
      <c r="Q1448" s="130">
        <v>2019</v>
      </c>
      <c r="R1448" s="166">
        <f>IF(ISBLANK(Table1[[#This Row],[Date]]),"",Table1[[#This Row],[Date]]-WEEKDAY(Table1[[#This Row],[Date]],2)+1)</f>
        <v>43773</v>
      </c>
      <c r="S1448" s="131">
        <f>IF(ISBLANK(Table1[[#This Row],[Date]]),"",DATE(Table1[[#This Row],[Date_Year]],Table1[[#This Row],[Date_Month]],1))</f>
        <v>43770</v>
      </c>
    </row>
    <row r="1449" spans="2:19" ht="15.75" x14ac:dyDescent="0.25">
      <c r="B1449" s="133">
        <v>43773</v>
      </c>
      <c r="C1449" s="128" t="s">
        <v>2169</v>
      </c>
      <c r="D1449" s="128" t="s">
        <v>46</v>
      </c>
      <c r="E1449" s="128" t="str" cm="1">
        <f t="array" ref="E1449">IFERROR(INDEX(SubcategoriesTable[Subcategory name],MATCH(Table1[[#This Row],[Category]],SubcategoriesTable[Category name],0),0),"")</f>
        <v>Variable</v>
      </c>
      <c r="F1449" s="134">
        <v>-33.68</v>
      </c>
      <c r="G1449" s="167" t="str">
        <f>_xlfn.XLOOKUP(Table1[[#This Row],[Account_ID]], Accounts[ID], Accounts[Account nickname], "Unknown")</f>
        <v>EVERYDAY CHECKING</v>
      </c>
      <c r="H1449" s="137" t="str">
        <f>_xlfn.XLOOKUP(Table1[[#This Row],[Account_ID]], Accounts[ID], Accounts[Account'#], "Unknown")</f>
        <v>4636</v>
      </c>
      <c r="I1449" s="168" t="str">
        <f>_xlfn.XLOOKUP(Table1[[#This Row],[Institution_ID]], Institutions[ID], Institutions[Institution nickname], "Unknown")</f>
        <v>Wells Fargo</v>
      </c>
      <c r="J1449" s="139" t="s">
        <v>2170</v>
      </c>
      <c r="K1449" s="129" t="s">
        <v>1229</v>
      </c>
      <c r="L1449" s="129" t="s">
        <v>1228</v>
      </c>
      <c r="M1449" s="130" t="str" cm="1">
        <f t="array" ref="M1449">IFERROR(INDEX(CategoriesTable[Category type],MATCH(Table1[[#This Row],[Category]],CategoriesTable[Category name],0),0),"")</f>
        <v>Expense</v>
      </c>
      <c r="N1449" s="130" t="str" cm="1">
        <f t="array" ref="N1449">IFERROR(INDEX(SubcategoriesTable[Subcategory name],MATCH(Table1[[#This Row],[Category]],SubcategoriesTable[Category name],0),0),"")</f>
        <v>Variable</v>
      </c>
      <c r="O1449" s="130">
        <v>4</v>
      </c>
      <c r="P1449" s="130">
        <f>MONTH(Table1[[#This Row],[Date]])</f>
        <v>11</v>
      </c>
      <c r="Q1449" s="130">
        <v>2019</v>
      </c>
      <c r="R1449" s="166">
        <f>IF(ISBLANK(Table1[[#This Row],[Date]]),"",Table1[[#This Row],[Date]]-WEEKDAY(Table1[[#This Row],[Date]],2)+1)</f>
        <v>43773</v>
      </c>
      <c r="S1449" s="131">
        <f>IF(ISBLANK(Table1[[#This Row],[Date]]),"",DATE(Table1[[#This Row],[Date_Year]],Table1[[#This Row],[Date_Month]],1))</f>
        <v>43770</v>
      </c>
    </row>
    <row r="1450" spans="2:19" ht="15.75" x14ac:dyDescent="0.25">
      <c r="B1450" s="133">
        <v>43773</v>
      </c>
      <c r="C1450" s="128" t="s">
        <v>318</v>
      </c>
      <c r="D1450" s="128" t="s">
        <v>46</v>
      </c>
      <c r="E1450" s="128" t="str" cm="1">
        <f t="array" ref="E1450">IFERROR(INDEX(SubcategoriesTable[Subcategory name],MATCH(Table1[[#This Row],[Category]],SubcategoriesTable[Category name],0),0),"")</f>
        <v>Variable</v>
      </c>
      <c r="F1450" s="134">
        <v>-51.58</v>
      </c>
      <c r="G1450" s="167" t="str">
        <f>_xlfn.XLOOKUP(Table1[[#This Row],[Account_ID]], Accounts[ID], Accounts[Account nickname], "Unknown")</f>
        <v>EVERYDAY CHECKING</v>
      </c>
      <c r="H1450" s="137" t="str">
        <f>_xlfn.XLOOKUP(Table1[[#This Row],[Account_ID]], Accounts[ID], Accounts[Account'#], "Unknown")</f>
        <v>4636</v>
      </c>
      <c r="I1450" s="168" t="str">
        <f>_xlfn.XLOOKUP(Table1[[#This Row],[Institution_ID]], Institutions[ID], Institutions[Institution nickname], "Unknown")</f>
        <v>Wells Fargo</v>
      </c>
      <c r="J1450" s="139" t="s">
        <v>2171</v>
      </c>
      <c r="K1450" s="129" t="s">
        <v>1229</v>
      </c>
      <c r="L1450" s="129" t="s">
        <v>1228</v>
      </c>
      <c r="M1450" s="130" t="str" cm="1">
        <f t="array" ref="M1450">IFERROR(INDEX(CategoriesTable[Category type],MATCH(Table1[[#This Row],[Category]],CategoriesTable[Category name],0),0),"")</f>
        <v>Expense</v>
      </c>
      <c r="N1450" s="130" t="str" cm="1">
        <f t="array" ref="N1450">IFERROR(INDEX(SubcategoriesTable[Subcategory name],MATCH(Table1[[#This Row],[Category]],SubcategoriesTable[Category name],0),0),"")</f>
        <v>Variable</v>
      </c>
      <c r="O1450" s="130">
        <v>4</v>
      </c>
      <c r="P1450" s="130">
        <f>MONTH(Table1[[#This Row],[Date]])</f>
        <v>11</v>
      </c>
      <c r="Q1450" s="130">
        <v>2019</v>
      </c>
      <c r="R1450" s="166">
        <f>IF(ISBLANK(Table1[[#This Row],[Date]]),"",Table1[[#This Row],[Date]]-WEEKDAY(Table1[[#This Row],[Date]],2)+1)</f>
        <v>43773</v>
      </c>
      <c r="S1450" s="131">
        <f>IF(ISBLANK(Table1[[#This Row],[Date]]),"",DATE(Table1[[#This Row],[Date_Year]],Table1[[#This Row],[Date_Month]],1))</f>
        <v>43770</v>
      </c>
    </row>
    <row r="1451" spans="2:19" ht="15.75" x14ac:dyDescent="0.25">
      <c r="B1451" s="133">
        <v>43773</v>
      </c>
      <c r="C1451" s="128" t="s">
        <v>2172</v>
      </c>
      <c r="D1451" s="128" t="s">
        <v>56</v>
      </c>
      <c r="E1451" s="128" t="str" cm="1">
        <f t="array" ref="E1451">IFERROR(INDEX(SubcategoriesTable[Subcategory name],MATCH(Table1[[#This Row],[Category]],SubcategoriesTable[Category name],0),0),"")</f>
        <v>Variable</v>
      </c>
      <c r="F1451" s="134">
        <v>-45.19</v>
      </c>
      <c r="G1451" s="167" t="str">
        <f>_xlfn.XLOOKUP(Table1[[#This Row],[Account_ID]], Accounts[ID], Accounts[Account nickname], "Unknown")</f>
        <v>EVERYDAY CHECKING</v>
      </c>
      <c r="H1451" s="137" t="str">
        <f>_xlfn.XLOOKUP(Table1[[#This Row],[Account_ID]], Accounts[ID], Accounts[Account'#], "Unknown")</f>
        <v>4636</v>
      </c>
      <c r="I1451" s="168" t="str">
        <f>_xlfn.XLOOKUP(Table1[[#This Row],[Institution_ID]], Institutions[ID], Institutions[Institution nickname], "Unknown")</f>
        <v>Wells Fargo</v>
      </c>
      <c r="J1451" s="139" t="s">
        <v>2173</v>
      </c>
      <c r="K1451" s="129" t="s">
        <v>1229</v>
      </c>
      <c r="L1451" s="129" t="s">
        <v>1228</v>
      </c>
      <c r="M1451" s="130" t="str" cm="1">
        <f t="array" ref="M1451">IFERROR(INDEX(CategoriesTable[Category type],MATCH(Table1[[#This Row],[Category]],CategoriesTable[Category name],0),0),"")</f>
        <v>Expense</v>
      </c>
      <c r="N1451" s="130" t="str" cm="1">
        <f t="array" ref="N1451">IFERROR(INDEX(SubcategoriesTable[Subcategory name],MATCH(Table1[[#This Row],[Category]],SubcategoriesTable[Category name],0),0),"")</f>
        <v>Variable</v>
      </c>
      <c r="O1451" s="130">
        <v>4</v>
      </c>
      <c r="P1451" s="130">
        <f>MONTH(Table1[[#This Row],[Date]])</f>
        <v>11</v>
      </c>
      <c r="Q1451" s="130">
        <v>2019</v>
      </c>
      <c r="R1451" s="166">
        <f>IF(ISBLANK(Table1[[#This Row],[Date]]),"",Table1[[#This Row],[Date]]-WEEKDAY(Table1[[#This Row],[Date]],2)+1)</f>
        <v>43773</v>
      </c>
      <c r="S1451" s="131">
        <f>IF(ISBLANK(Table1[[#This Row],[Date]]),"",DATE(Table1[[#This Row],[Date_Year]],Table1[[#This Row],[Date_Month]],1))</f>
        <v>43770</v>
      </c>
    </row>
    <row r="1452" spans="2:19" ht="15.75" x14ac:dyDescent="0.25">
      <c r="B1452" s="133">
        <v>43773</v>
      </c>
      <c r="C1452" s="128" t="s">
        <v>508</v>
      </c>
      <c r="D1452" s="128" t="s">
        <v>50</v>
      </c>
      <c r="E1452" s="128" t="str" cm="1">
        <f t="array" ref="E1452">IFERROR(INDEX(SubcategoriesTable[Subcategory name],MATCH(Table1[[#This Row],[Category]],SubcategoriesTable[Category name],0),0),"")</f>
        <v>Variable</v>
      </c>
      <c r="F1452" s="134">
        <v>120</v>
      </c>
      <c r="G1452" s="167" t="str">
        <f>_xlfn.XLOOKUP(Table1[[#This Row],[Account_ID]], Accounts[ID], Accounts[Account nickname], "Unknown")</f>
        <v>EVERYDAY CHECKING</v>
      </c>
      <c r="H1452" s="137" t="str">
        <f>_xlfn.XLOOKUP(Table1[[#This Row],[Account_ID]], Accounts[ID], Accounts[Account'#], "Unknown")</f>
        <v>4636</v>
      </c>
      <c r="I1452" s="168" t="str">
        <f>_xlfn.XLOOKUP(Table1[[#This Row],[Institution_ID]], Institutions[ID], Institutions[Institution nickname], "Unknown")</f>
        <v>Wells Fargo</v>
      </c>
      <c r="J1452" s="139" t="s">
        <v>2174</v>
      </c>
      <c r="K1452" s="129" t="s">
        <v>1229</v>
      </c>
      <c r="L1452" s="129" t="s">
        <v>1228</v>
      </c>
      <c r="M1452" s="130" t="str" cm="1">
        <f t="array" ref="M1452">IFERROR(INDEX(CategoriesTable[Category type],MATCH(Table1[[#This Row],[Category]],CategoriesTable[Category name],0),0),"")</f>
        <v>Transfer</v>
      </c>
      <c r="N1452" s="130" t="str" cm="1">
        <f t="array" ref="N1452">IFERROR(INDEX(SubcategoriesTable[Subcategory name],MATCH(Table1[[#This Row],[Category]],SubcategoriesTable[Category name],0),0),"")</f>
        <v>Variable</v>
      </c>
      <c r="O1452" s="130">
        <v>4</v>
      </c>
      <c r="P1452" s="130">
        <f>MONTH(Table1[[#This Row],[Date]])</f>
        <v>11</v>
      </c>
      <c r="Q1452" s="130">
        <v>2019</v>
      </c>
      <c r="R1452" s="166">
        <f>IF(ISBLANK(Table1[[#This Row],[Date]]),"",Table1[[#This Row],[Date]]-WEEKDAY(Table1[[#This Row],[Date]],2)+1)</f>
        <v>43773</v>
      </c>
      <c r="S1452" s="131">
        <f>IF(ISBLANK(Table1[[#This Row],[Date]]),"",DATE(Table1[[#This Row],[Date_Year]],Table1[[#This Row],[Date_Month]],1))</f>
        <v>43770</v>
      </c>
    </row>
    <row r="1453" spans="2:19" ht="15.75" x14ac:dyDescent="0.25">
      <c r="B1453" s="133">
        <v>43773</v>
      </c>
      <c r="C1453" s="128" t="s">
        <v>115</v>
      </c>
      <c r="D1453" s="128" t="s">
        <v>48</v>
      </c>
      <c r="E1453" s="128" t="str" cm="1">
        <f t="array" ref="E1453">IFERROR(INDEX(SubcategoriesTable[Subcategory name],MATCH(Table1[[#This Row],[Category]],SubcategoriesTable[Category name],0),0),"")</f>
        <v>Variable</v>
      </c>
      <c r="F1453" s="134">
        <v>-19.88</v>
      </c>
      <c r="G1453" s="167" t="str">
        <f>_xlfn.XLOOKUP(Table1[[#This Row],[Account_ID]], Accounts[ID], Accounts[Account nickname], "Unknown")</f>
        <v>EVERYDAY CHECKING</v>
      </c>
      <c r="H1453" s="137" t="str">
        <f>_xlfn.XLOOKUP(Table1[[#This Row],[Account_ID]], Accounts[ID], Accounts[Account'#], "Unknown")</f>
        <v>4636</v>
      </c>
      <c r="I1453" s="168" t="str">
        <f>_xlfn.XLOOKUP(Table1[[#This Row],[Institution_ID]], Institutions[ID], Institutions[Institution nickname], "Unknown")</f>
        <v>Wells Fargo</v>
      </c>
      <c r="J1453" s="139" t="s">
        <v>2175</v>
      </c>
      <c r="K1453" s="129" t="s">
        <v>1229</v>
      </c>
      <c r="L1453" s="129" t="s">
        <v>1228</v>
      </c>
      <c r="M1453" s="130" t="str" cm="1">
        <f t="array" ref="M1453">IFERROR(INDEX(CategoriesTable[Category type],MATCH(Table1[[#This Row],[Category]],CategoriesTable[Category name],0),0),"")</f>
        <v>Expense</v>
      </c>
      <c r="N1453" s="130" t="str" cm="1">
        <f t="array" ref="N1453">IFERROR(INDEX(SubcategoriesTable[Subcategory name],MATCH(Table1[[#This Row],[Category]],SubcategoriesTable[Category name],0),0),"")</f>
        <v>Variable</v>
      </c>
      <c r="O1453" s="130">
        <v>4</v>
      </c>
      <c r="P1453" s="130">
        <f>MONTH(Table1[[#This Row],[Date]])</f>
        <v>11</v>
      </c>
      <c r="Q1453" s="130">
        <v>2019</v>
      </c>
      <c r="R1453" s="166">
        <f>IF(ISBLANK(Table1[[#This Row],[Date]]),"",Table1[[#This Row],[Date]]-WEEKDAY(Table1[[#This Row],[Date]],2)+1)</f>
        <v>43773</v>
      </c>
      <c r="S1453" s="131">
        <f>IF(ISBLANK(Table1[[#This Row],[Date]]),"",DATE(Table1[[#This Row],[Date_Year]],Table1[[#This Row],[Date_Month]],1))</f>
        <v>43770</v>
      </c>
    </row>
    <row r="1454" spans="2:19" ht="15.75" x14ac:dyDescent="0.25">
      <c r="B1454" s="133">
        <v>43772</v>
      </c>
      <c r="C1454" s="128" t="s">
        <v>2176</v>
      </c>
      <c r="D1454" s="128" t="s">
        <v>45</v>
      </c>
      <c r="E1454" s="128" t="str" cm="1">
        <f t="array" ref="E1454">IFERROR(INDEX(SubcategoriesTable[Subcategory name],MATCH(Table1[[#This Row],[Category]],SubcategoriesTable[Category name],0),0),"")</f>
        <v>Variable</v>
      </c>
      <c r="F1454" s="134">
        <v>-17.48</v>
      </c>
      <c r="G1454" s="167" t="str">
        <f>_xlfn.XLOOKUP(Table1[[#This Row],[Account_ID]], Accounts[ID], Accounts[Account nickname], "Unknown")</f>
        <v>EVERYDAY CHECKING</v>
      </c>
      <c r="H1454" s="137" t="str">
        <f>_xlfn.XLOOKUP(Table1[[#This Row],[Account_ID]], Accounts[ID], Accounts[Account'#], "Unknown")</f>
        <v>4636</v>
      </c>
      <c r="I1454" s="168" t="str">
        <f>_xlfn.XLOOKUP(Table1[[#This Row],[Institution_ID]], Institutions[ID], Institutions[Institution nickname], "Unknown")</f>
        <v>Wells Fargo</v>
      </c>
      <c r="J1454" s="139" t="s">
        <v>2177</v>
      </c>
      <c r="K1454" s="129" t="s">
        <v>1229</v>
      </c>
      <c r="L1454" s="129" t="s">
        <v>1228</v>
      </c>
      <c r="M1454" s="130" t="str" cm="1">
        <f t="array" ref="M1454">IFERROR(INDEX(CategoriesTable[Category type],MATCH(Table1[[#This Row],[Category]],CategoriesTable[Category name],0),0),"")</f>
        <v>Expense</v>
      </c>
      <c r="N1454" s="130" t="str" cm="1">
        <f t="array" ref="N1454">IFERROR(INDEX(SubcategoriesTable[Subcategory name],MATCH(Table1[[#This Row],[Category]],SubcategoriesTable[Category name],0),0),"")</f>
        <v>Variable</v>
      </c>
      <c r="O1454" s="130">
        <v>3</v>
      </c>
      <c r="P1454" s="130">
        <f>MONTH(Table1[[#This Row],[Date]])</f>
        <v>11</v>
      </c>
      <c r="Q1454" s="130">
        <v>2019</v>
      </c>
      <c r="R1454" s="166">
        <f>IF(ISBLANK(Table1[[#This Row],[Date]]),"",Table1[[#This Row],[Date]]-WEEKDAY(Table1[[#This Row],[Date]],2)+1)</f>
        <v>43766</v>
      </c>
      <c r="S1454" s="131">
        <f>IF(ISBLANK(Table1[[#This Row],[Date]]),"",DATE(Table1[[#This Row],[Date_Year]],Table1[[#This Row],[Date_Month]],1))</f>
        <v>43770</v>
      </c>
    </row>
    <row r="1455" spans="2:19" ht="15.75" x14ac:dyDescent="0.25">
      <c r="B1455" s="133">
        <v>43772</v>
      </c>
      <c r="C1455" s="128" t="s">
        <v>2178</v>
      </c>
      <c r="D1455" s="128" t="s">
        <v>46</v>
      </c>
      <c r="E1455" s="128" t="str" cm="1">
        <f t="array" ref="E1455">IFERROR(INDEX(SubcategoriesTable[Subcategory name],MATCH(Table1[[#This Row],[Category]],SubcategoriesTable[Category name],0),0),"")</f>
        <v>Variable</v>
      </c>
      <c r="F1455" s="134">
        <v>-48.86</v>
      </c>
      <c r="G1455" s="167" t="str">
        <f>_xlfn.XLOOKUP(Table1[[#This Row],[Account_ID]], Accounts[ID], Accounts[Account nickname], "Unknown")</f>
        <v>EVERYDAY CHECKING</v>
      </c>
      <c r="H1455" s="137" t="str">
        <f>_xlfn.XLOOKUP(Table1[[#This Row],[Account_ID]], Accounts[ID], Accounts[Account'#], "Unknown")</f>
        <v>4636</v>
      </c>
      <c r="I1455" s="168" t="str">
        <f>_xlfn.XLOOKUP(Table1[[#This Row],[Institution_ID]], Institutions[ID], Institutions[Institution nickname], "Unknown")</f>
        <v>Wells Fargo</v>
      </c>
      <c r="J1455" s="139" t="s">
        <v>2179</v>
      </c>
      <c r="K1455" s="129" t="s">
        <v>1229</v>
      </c>
      <c r="L1455" s="129" t="s">
        <v>1228</v>
      </c>
      <c r="M1455" s="130" t="str" cm="1">
        <f t="array" ref="M1455">IFERROR(INDEX(CategoriesTable[Category type],MATCH(Table1[[#This Row],[Category]],CategoriesTable[Category name],0),0),"")</f>
        <v>Expense</v>
      </c>
      <c r="N1455" s="130" t="str" cm="1">
        <f t="array" ref="N1455">IFERROR(INDEX(SubcategoriesTable[Subcategory name],MATCH(Table1[[#This Row],[Category]],SubcategoriesTable[Category name],0),0),"")</f>
        <v>Variable</v>
      </c>
      <c r="O1455" s="130">
        <v>3</v>
      </c>
      <c r="P1455" s="130">
        <f>MONTH(Table1[[#This Row],[Date]])</f>
        <v>11</v>
      </c>
      <c r="Q1455" s="130">
        <v>2019</v>
      </c>
      <c r="R1455" s="166">
        <f>IF(ISBLANK(Table1[[#This Row],[Date]]),"",Table1[[#This Row],[Date]]-WEEKDAY(Table1[[#This Row],[Date]],2)+1)</f>
        <v>43766</v>
      </c>
      <c r="S1455" s="131">
        <f>IF(ISBLANK(Table1[[#This Row],[Date]]),"",DATE(Table1[[#This Row],[Date_Year]],Table1[[#This Row],[Date_Month]],1))</f>
        <v>43770</v>
      </c>
    </row>
    <row r="1456" spans="2:19" ht="15.75" x14ac:dyDescent="0.25">
      <c r="B1456" s="133">
        <v>43772</v>
      </c>
      <c r="C1456" s="128" t="s">
        <v>1050</v>
      </c>
      <c r="D1456" s="128" t="s">
        <v>45</v>
      </c>
      <c r="E1456" s="128" t="str" cm="1">
        <f t="array" ref="E1456">IFERROR(INDEX(SubcategoriesTable[Subcategory name],MATCH(Table1[[#This Row],[Category]],SubcategoriesTable[Category name],0),0),"")</f>
        <v>Variable</v>
      </c>
      <c r="F1456" s="134">
        <v>-12.07</v>
      </c>
      <c r="G1456" s="167" t="str">
        <f>_xlfn.XLOOKUP(Table1[[#This Row],[Account_ID]], Accounts[ID], Accounts[Account nickname], "Unknown")</f>
        <v>EVERYDAY CHECKING</v>
      </c>
      <c r="H1456" s="137" t="str">
        <f>_xlfn.XLOOKUP(Table1[[#This Row],[Account_ID]], Accounts[ID], Accounts[Account'#], "Unknown")</f>
        <v>4636</v>
      </c>
      <c r="I1456" s="168" t="str">
        <f>_xlfn.XLOOKUP(Table1[[#This Row],[Institution_ID]], Institutions[ID], Institutions[Institution nickname], "Unknown")</f>
        <v>Wells Fargo</v>
      </c>
      <c r="J1456" s="139" t="s">
        <v>2180</v>
      </c>
      <c r="K1456" s="129" t="s">
        <v>1229</v>
      </c>
      <c r="L1456" s="129" t="s">
        <v>1228</v>
      </c>
      <c r="M1456" s="130" t="str" cm="1">
        <f t="array" ref="M1456">IFERROR(INDEX(CategoriesTable[Category type],MATCH(Table1[[#This Row],[Category]],CategoriesTable[Category name],0),0),"")</f>
        <v>Expense</v>
      </c>
      <c r="N1456" s="130" t="str" cm="1">
        <f t="array" ref="N1456">IFERROR(INDEX(SubcategoriesTable[Subcategory name],MATCH(Table1[[#This Row],[Category]],SubcategoriesTable[Category name],0),0),"")</f>
        <v>Variable</v>
      </c>
      <c r="O1456" s="130">
        <v>3</v>
      </c>
      <c r="P1456" s="130">
        <f>MONTH(Table1[[#This Row],[Date]])</f>
        <v>11</v>
      </c>
      <c r="Q1456" s="130">
        <v>2019</v>
      </c>
      <c r="R1456" s="166">
        <f>IF(ISBLANK(Table1[[#This Row],[Date]]),"",Table1[[#This Row],[Date]]-WEEKDAY(Table1[[#This Row],[Date]],2)+1)</f>
        <v>43766</v>
      </c>
      <c r="S1456" s="131">
        <f>IF(ISBLANK(Table1[[#This Row],[Date]]),"",DATE(Table1[[#This Row],[Date_Year]],Table1[[#This Row],[Date_Month]],1))</f>
        <v>43770</v>
      </c>
    </row>
    <row r="1457" spans="2:19" ht="15.75" x14ac:dyDescent="0.25">
      <c r="B1457" s="133">
        <v>43772</v>
      </c>
      <c r="C1457" s="128" t="s">
        <v>2181</v>
      </c>
      <c r="D1457" s="128" t="s">
        <v>50</v>
      </c>
      <c r="E1457" s="128" t="str" cm="1">
        <f t="array" ref="E1457">IFERROR(INDEX(SubcategoriesTable[Subcategory name],MATCH(Table1[[#This Row],[Category]],SubcategoriesTable[Category name],0),0),"")</f>
        <v>Variable</v>
      </c>
      <c r="F1457" s="134">
        <v>-50</v>
      </c>
      <c r="G1457" s="167" t="str">
        <f>_xlfn.XLOOKUP(Table1[[#This Row],[Account_ID]], Accounts[ID], Accounts[Account nickname], "Unknown")</f>
        <v>EVERYDAY CHECKING</v>
      </c>
      <c r="H1457" s="137" t="str">
        <f>_xlfn.XLOOKUP(Table1[[#This Row],[Account_ID]], Accounts[ID], Accounts[Account'#], "Unknown")</f>
        <v>4636</v>
      </c>
      <c r="I1457" s="168" t="str">
        <f>_xlfn.XLOOKUP(Table1[[#This Row],[Institution_ID]], Institutions[ID], Institutions[Institution nickname], "Unknown")</f>
        <v>Wells Fargo</v>
      </c>
      <c r="J1457" s="139" t="s">
        <v>2182</v>
      </c>
      <c r="K1457" s="129" t="s">
        <v>1229</v>
      </c>
      <c r="L1457" s="129" t="s">
        <v>1228</v>
      </c>
      <c r="M1457" s="130" t="str" cm="1">
        <f t="array" ref="M1457">IFERROR(INDEX(CategoriesTable[Category type],MATCH(Table1[[#This Row],[Category]],CategoriesTable[Category name],0),0),"")</f>
        <v>Transfer</v>
      </c>
      <c r="N1457" s="130" t="str" cm="1">
        <f t="array" ref="N1457">IFERROR(INDEX(SubcategoriesTable[Subcategory name],MATCH(Table1[[#This Row],[Category]],SubcategoriesTable[Category name],0),0),"")</f>
        <v>Variable</v>
      </c>
      <c r="O1457" s="130">
        <v>3</v>
      </c>
      <c r="P1457" s="130">
        <f>MONTH(Table1[[#This Row],[Date]])</f>
        <v>11</v>
      </c>
      <c r="Q1457" s="130">
        <v>2019</v>
      </c>
      <c r="R1457" s="166">
        <f>IF(ISBLANK(Table1[[#This Row],[Date]]),"",Table1[[#This Row],[Date]]-WEEKDAY(Table1[[#This Row],[Date]],2)+1)</f>
        <v>43766</v>
      </c>
      <c r="S1457" s="131">
        <f>IF(ISBLANK(Table1[[#This Row],[Date]]),"",DATE(Table1[[#This Row],[Date_Year]],Table1[[#This Row],[Date_Month]],1))</f>
        <v>43770</v>
      </c>
    </row>
    <row r="1458" spans="2:19" ht="15.75" x14ac:dyDescent="0.25">
      <c r="B1458" s="133">
        <v>43772</v>
      </c>
      <c r="C1458" s="128" t="s">
        <v>427</v>
      </c>
      <c r="D1458" s="128" t="s">
        <v>52</v>
      </c>
      <c r="E1458" s="128" t="str" cm="1">
        <f t="array" ref="E1458">IFERROR(INDEX(SubcategoriesTable[Subcategory name],MATCH(Table1[[#This Row],[Category]],SubcategoriesTable[Category name],0),0),"")</f>
        <v>Variable</v>
      </c>
      <c r="F1458" s="134">
        <v>-21.24</v>
      </c>
      <c r="G1458" s="167" t="str">
        <f>_xlfn.XLOOKUP(Table1[[#This Row],[Account_ID]], Accounts[ID], Accounts[Account nickname], "Unknown")</f>
        <v>EVERYDAY CHECKING</v>
      </c>
      <c r="H1458" s="137" t="str">
        <f>_xlfn.XLOOKUP(Table1[[#This Row],[Account_ID]], Accounts[ID], Accounts[Account'#], "Unknown")</f>
        <v>4636</v>
      </c>
      <c r="I1458" s="168" t="str">
        <f>_xlfn.XLOOKUP(Table1[[#This Row],[Institution_ID]], Institutions[ID], Institutions[Institution nickname], "Unknown")</f>
        <v>Wells Fargo</v>
      </c>
      <c r="J1458" s="139" t="s">
        <v>2183</v>
      </c>
      <c r="K1458" s="129" t="s">
        <v>1229</v>
      </c>
      <c r="L1458" s="129" t="s">
        <v>1228</v>
      </c>
      <c r="M1458" s="130" t="str" cm="1">
        <f t="array" ref="M1458">IFERROR(INDEX(CategoriesTable[Category type],MATCH(Table1[[#This Row],[Category]],CategoriesTable[Category name],0),0),"")</f>
        <v>Expense</v>
      </c>
      <c r="N1458" s="130" t="str" cm="1">
        <f t="array" ref="N1458">IFERROR(INDEX(SubcategoriesTable[Subcategory name],MATCH(Table1[[#This Row],[Category]],SubcategoriesTable[Category name],0),0),"")</f>
        <v>Variable</v>
      </c>
      <c r="O1458" s="130">
        <v>3</v>
      </c>
      <c r="P1458" s="130">
        <f>MONTH(Table1[[#This Row],[Date]])</f>
        <v>11</v>
      </c>
      <c r="Q1458" s="130">
        <v>2019</v>
      </c>
      <c r="R1458" s="166">
        <f>IF(ISBLANK(Table1[[#This Row],[Date]]),"",Table1[[#This Row],[Date]]-WEEKDAY(Table1[[#This Row],[Date]],2)+1)</f>
        <v>43766</v>
      </c>
      <c r="S1458" s="131">
        <f>IF(ISBLANK(Table1[[#This Row],[Date]]),"",DATE(Table1[[#This Row],[Date_Year]],Table1[[#This Row],[Date_Month]],1))</f>
        <v>43770</v>
      </c>
    </row>
    <row r="1459" spans="2:19" ht="15.75" x14ac:dyDescent="0.25">
      <c r="B1459" s="133">
        <v>43771</v>
      </c>
      <c r="C1459" s="128" t="s">
        <v>2184</v>
      </c>
      <c r="D1459" s="128" t="s">
        <v>45</v>
      </c>
      <c r="E1459" s="128" t="str" cm="1">
        <f t="array" ref="E1459">IFERROR(INDEX(SubcategoriesTable[Subcategory name],MATCH(Table1[[#This Row],[Category]],SubcategoriesTable[Category name],0),0),"")</f>
        <v>Variable</v>
      </c>
      <c r="F1459" s="134">
        <v>-35.44</v>
      </c>
      <c r="G1459" s="167" t="str">
        <f>_xlfn.XLOOKUP(Table1[[#This Row],[Account_ID]], Accounts[ID], Accounts[Account nickname], "Unknown")</f>
        <v>EVERYDAY CHECKING</v>
      </c>
      <c r="H1459" s="137" t="str">
        <f>_xlfn.XLOOKUP(Table1[[#This Row],[Account_ID]], Accounts[ID], Accounts[Account'#], "Unknown")</f>
        <v>4636</v>
      </c>
      <c r="I1459" s="168" t="str">
        <f>_xlfn.XLOOKUP(Table1[[#This Row],[Institution_ID]], Institutions[ID], Institutions[Institution nickname], "Unknown")</f>
        <v>Wells Fargo</v>
      </c>
      <c r="J1459" s="139" t="s">
        <v>2185</v>
      </c>
      <c r="K1459" s="129" t="s">
        <v>1229</v>
      </c>
      <c r="L1459" s="129" t="s">
        <v>1228</v>
      </c>
      <c r="M1459" s="130" t="str" cm="1">
        <f t="array" ref="M1459">IFERROR(INDEX(CategoriesTable[Category type],MATCH(Table1[[#This Row],[Category]],CategoriesTable[Category name],0),0),"")</f>
        <v>Expense</v>
      </c>
      <c r="N1459" s="130" t="str" cm="1">
        <f t="array" ref="N1459">IFERROR(INDEX(SubcategoriesTable[Subcategory name],MATCH(Table1[[#This Row],[Category]],SubcategoriesTable[Category name],0),0),"")</f>
        <v>Variable</v>
      </c>
      <c r="O1459" s="130">
        <v>2</v>
      </c>
      <c r="P1459" s="130">
        <f>MONTH(Table1[[#This Row],[Date]])</f>
        <v>11</v>
      </c>
      <c r="Q1459" s="130">
        <v>2019</v>
      </c>
      <c r="R1459" s="166">
        <f>IF(ISBLANK(Table1[[#This Row],[Date]]),"",Table1[[#This Row],[Date]]-WEEKDAY(Table1[[#This Row],[Date]],2)+1)</f>
        <v>43766</v>
      </c>
      <c r="S1459" s="131">
        <f>IF(ISBLANK(Table1[[#This Row],[Date]]),"",DATE(Table1[[#This Row],[Date_Year]],Table1[[#This Row],[Date_Month]],1))</f>
        <v>43770</v>
      </c>
    </row>
    <row r="1460" spans="2:19" ht="15.75" x14ac:dyDescent="0.25">
      <c r="B1460" s="133">
        <v>43771</v>
      </c>
      <c r="C1460" s="128" t="s">
        <v>2186</v>
      </c>
      <c r="D1460" s="128" t="s">
        <v>60</v>
      </c>
      <c r="E1460" s="128" t="str" cm="1">
        <f t="array" ref="E1460">IFERROR(INDEX(SubcategoriesTable[Subcategory name],MATCH(Table1[[#This Row],[Category]],SubcategoriesTable[Category name],0),0),"")</f>
        <v>Variable</v>
      </c>
      <c r="F1460" s="134">
        <v>-59.98</v>
      </c>
      <c r="G1460" s="167" t="str">
        <f>_xlfn.XLOOKUP(Table1[[#This Row],[Account_ID]], Accounts[ID], Accounts[Account nickname], "Unknown")</f>
        <v>EVERYDAY CHECKING</v>
      </c>
      <c r="H1460" s="137" t="str">
        <f>_xlfn.XLOOKUP(Table1[[#This Row],[Account_ID]], Accounts[ID], Accounts[Account'#], "Unknown")</f>
        <v>4636</v>
      </c>
      <c r="I1460" s="168" t="str">
        <f>_xlfn.XLOOKUP(Table1[[#This Row],[Institution_ID]], Institutions[ID], Institutions[Institution nickname], "Unknown")</f>
        <v>Wells Fargo</v>
      </c>
      <c r="J1460" s="139" t="s">
        <v>2187</v>
      </c>
      <c r="K1460" s="129" t="s">
        <v>1229</v>
      </c>
      <c r="L1460" s="129" t="s">
        <v>1228</v>
      </c>
      <c r="M1460" s="130" t="str" cm="1">
        <f t="array" ref="M1460">IFERROR(INDEX(CategoriesTable[Category type],MATCH(Table1[[#This Row],[Category]],CategoriesTable[Category name],0),0),"")</f>
        <v>Expense</v>
      </c>
      <c r="N1460" s="130" t="str" cm="1">
        <f t="array" ref="N1460">IFERROR(INDEX(SubcategoriesTable[Subcategory name],MATCH(Table1[[#This Row],[Category]],SubcategoriesTable[Category name],0),0),"")</f>
        <v>Variable</v>
      </c>
      <c r="O1460" s="130">
        <v>2</v>
      </c>
      <c r="P1460" s="130">
        <f>MONTH(Table1[[#This Row],[Date]])</f>
        <v>11</v>
      </c>
      <c r="Q1460" s="130">
        <v>2019</v>
      </c>
      <c r="R1460" s="166">
        <f>IF(ISBLANK(Table1[[#This Row],[Date]]),"",Table1[[#This Row],[Date]]-WEEKDAY(Table1[[#This Row],[Date]],2)+1)</f>
        <v>43766</v>
      </c>
      <c r="S1460" s="131">
        <f>IF(ISBLANK(Table1[[#This Row],[Date]]),"",DATE(Table1[[#This Row],[Date_Year]],Table1[[#This Row],[Date_Month]],1))</f>
        <v>43770</v>
      </c>
    </row>
    <row r="1461" spans="2:19" ht="15.75" x14ac:dyDescent="0.25">
      <c r="B1461" s="133">
        <v>43771</v>
      </c>
      <c r="C1461" s="128" t="s">
        <v>2188</v>
      </c>
      <c r="D1461" s="128" t="s">
        <v>60</v>
      </c>
      <c r="E1461" s="128" t="str" cm="1">
        <f t="array" ref="E1461">IFERROR(INDEX(SubcategoriesTable[Subcategory name],MATCH(Table1[[#This Row],[Category]],SubcategoriesTable[Category name],0),0),"")</f>
        <v>Variable</v>
      </c>
      <c r="F1461" s="134">
        <v>-22</v>
      </c>
      <c r="G1461" s="167" t="str">
        <f>_xlfn.XLOOKUP(Table1[[#This Row],[Account_ID]], Accounts[ID], Accounts[Account nickname], "Unknown")</f>
        <v>EVERYDAY CHECKING</v>
      </c>
      <c r="H1461" s="137" t="str">
        <f>_xlfn.XLOOKUP(Table1[[#This Row],[Account_ID]], Accounts[ID], Accounts[Account'#], "Unknown")</f>
        <v>4636</v>
      </c>
      <c r="I1461" s="168" t="str">
        <f>_xlfn.XLOOKUP(Table1[[#This Row],[Institution_ID]], Institutions[ID], Institutions[Institution nickname], "Unknown")</f>
        <v>Wells Fargo</v>
      </c>
      <c r="J1461" s="139" t="s">
        <v>2189</v>
      </c>
      <c r="K1461" s="129" t="s">
        <v>1229</v>
      </c>
      <c r="L1461" s="129" t="s">
        <v>1228</v>
      </c>
      <c r="M1461" s="130" t="str" cm="1">
        <f t="array" ref="M1461">IFERROR(INDEX(CategoriesTable[Category type],MATCH(Table1[[#This Row],[Category]],CategoriesTable[Category name],0),0),"")</f>
        <v>Expense</v>
      </c>
      <c r="N1461" s="130" t="str" cm="1">
        <f t="array" ref="N1461">IFERROR(INDEX(SubcategoriesTable[Subcategory name],MATCH(Table1[[#This Row],[Category]],SubcategoriesTable[Category name],0),0),"")</f>
        <v>Variable</v>
      </c>
      <c r="O1461" s="130">
        <v>2</v>
      </c>
      <c r="P1461" s="130">
        <f>MONTH(Table1[[#This Row],[Date]])</f>
        <v>11</v>
      </c>
      <c r="Q1461" s="130">
        <v>2019</v>
      </c>
      <c r="R1461" s="166">
        <f>IF(ISBLANK(Table1[[#This Row],[Date]]),"",Table1[[#This Row],[Date]]-WEEKDAY(Table1[[#This Row],[Date]],2)+1)</f>
        <v>43766</v>
      </c>
      <c r="S1461" s="131">
        <f>IF(ISBLANK(Table1[[#This Row],[Date]]),"",DATE(Table1[[#This Row],[Date_Year]],Table1[[#This Row],[Date_Month]],1))</f>
        <v>43770</v>
      </c>
    </row>
    <row r="1462" spans="2:19" ht="15.75" x14ac:dyDescent="0.25">
      <c r="B1462" s="133">
        <v>43771</v>
      </c>
      <c r="C1462" s="128" t="s">
        <v>2190</v>
      </c>
      <c r="D1462" s="128" t="s">
        <v>46</v>
      </c>
      <c r="E1462" s="128" t="str" cm="1">
        <f t="array" ref="E1462">IFERROR(INDEX(SubcategoriesTable[Subcategory name],MATCH(Table1[[#This Row],[Category]],SubcategoriesTable[Category name],0),0),"")</f>
        <v>Variable</v>
      </c>
      <c r="F1462" s="134">
        <v>-150</v>
      </c>
      <c r="G1462" s="167" t="str">
        <f>_xlfn.XLOOKUP(Table1[[#This Row],[Account_ID]], Accounts[ID], Accounts[Account nickname], "Unknown")</f>
        <v>EVERYDAY CHECKING</v>
      </c>
      <c r="H1462" s="137" t="str">
        <f>_xlfn.XLOOKUP(Table1[[#This Row],[Account_ID]], Accounts[ID], Accounts[Account'#], "Unknown")</f>
        <v>4636</v>
      </c>
      <c r="I1462" s="168" t="str">
        <f>_xlfn.XLOOKUP(Table1[[#This Row],[Institution_ID]], Institutions[ID], Institutions[Institution nickname], "Unknown")</f>
        <v>Wells Fargo</v>
      </c>
      <c r="J1462" s="139" t="s">
        <v>2191</v>
      </c>
      <c r="K1462" s="129" t="s">
        <v>1229</v>
      </c>
      <c r="L1462" s="129" t="s">
        <v>1228</v>
      </c>
      <c r="M1462" s="130" t="str" cm="1">
        <f t="array" ref="M1462">IFERROR(INDEX(CategoriesTable[Category type],MATCH(Table1[[#This Row],[Category]],CategoriesTable[Category name],0),0),"")</f>
        <v>Expense</v>
      </c>
      <c r="N1462" s="130" t="str" cm="1">
        <f t="array" ref="N1462">IFERROR(INDEX(SubcategoriesTable[Subcategory name],MATCH(Table1[[#This Row],[Category]],SubcategoriesTable[Category name],0),0),"")</f>
        <v>Variable</v>
      </c>
      <c r="O1462" s="130">
        <v>2</v>
      </c>
      <c r="P1462" s="130">
        <f>MONTH(Table1[[#This Row],[Date]])</f>
        <v>11</v>
      </c>
      <c r="Q1462" s="130">
        <v>2019</v>
      </c>
      <c r="R1462" s="166">
        <f>IF(ISBLANK(Table1[[#This Row],[Date]]),"",Table1[[#This Row],[Date]]-WEEKDAY(Table1[[#This Row],[Date]],2)+1)</f>
        <v>43766</v>
      </c>
      <c r="S1462" s="131">
        <f>IF(ISBLANK(Table1[[#This Row],[Date]]),"",DATE(Table1[[#This Row],[Date_Year]],Table1[[#This Row],[Date_Month]],1))</f>
        <v>43770</v>
      </c>
    </row>
    <row r="1463" spans="2:19" ht="15.75" x14ac:dyDescent="0.25">
      <c r="B1463" s="133">
        <v>43771</v>
      </c>
      <c r="C1463" s="128" t="s">
        <v>2192</v>
      </c>
      <c r="D1463" s="128" t="s">
        <v>48</v>
      </c>
      <c r="E1463" s="128" t="str" cm="1">
        <f t="array" ref="E1463">IFERROR(INDEX(SubcategoriesTable[Subcategory name],MATCH(Table1[[#This Row],[Category]],SubcategoriesTable[Category name],0),0),"")</f>
        <v>Variable</v>
      </c>
      <c r="F1463" s="134">
        <v>-25.41</v>
      </c>
      <c r="G1463" s="167" t="str">
        <f>_xlfn.XLOOKUP(Table1[[#This Row],[Account_ID]], Accounts[ID], Accounts[Account nickname], "Unknown")</f>
        <v>EVERYDAY CHECKING</v>
      </c>
      <c r="H1463" s="137" t="str">
        <f>_xlfn.XLOOKUP(Table1[[#This Row],[Account_ID]], Accounts[ID], Accounts[Account'#], "Unknown")</f>
        <v>4636</v>
      </c>
      <c r="I1463" s="168" t="str">
        <f>_xlfn.XLOOKUP(Table1[[#This Row],[Institution_ID]], Institutions[ID], Institutions[Institution nickname], "Unknown")</f>
        <v>Wells Fargo</v>
      </c>
      <c r="J1463" s="139" t="s">
        <v>2193</v>
      </c>
      <c r="K1463" s="129" t="s">
        <v>1229</v>
      </c>
      <c r="L1463" s="129" t="s">
        <v>1228</v>
      </c>
      <c r="M1463" s="130" t="str" cm="1">
        <f t="array" ref="M1463">IFERROR(INDEX(CategoriesTable[Category type],MATCH(Table1[[#This Row],[Category]],CategoriesTable[Category name],0),0),"")</f>
        <v>Expense</v>
      </c>
      <c r="N1463" s="130" t="str" cm="1">
        <f t="array" ref="N1463">IFERROR(INDEX(SubcategoriesTable[Subcategory name],MATCH(Table1[[#This Row],[Category]],SubcategoriesTable[Category name],0),0),"")</f>
        <v>Variable</v>
      </c>
      <c r="O1463" s="130">
        <v>2</v>
      </c>
      <c r="P1463" s="130">
        <f>MONTH(Table1[[#This Row],[Date]])</f>
        <v>11</v>
      </c>
      <c r="Q1463" s="130">
        <v>2019</v>
      </c>
      <c r="R1463" s="166">
        <f>IF(ISBLANK(Table1[[#This Row],[Date]]),"",Table1[[#This Row],[Date]]-WEEKDAY(Table1[[#This Row],[Date]],2)+1)</f>
        <v>43766</v>
      </c>
      <c r="S1463" s="131">
        <f>IF(ISBLANK(Table1[[#This Row],[Date]]),"",DATE(Table1[[#This Row],[Date_Year]],Table1[[#This Row],[Date_Month]],1))</f>
        <v>43770</v>
      </c>
    </row>
    <row r="1464" spans="2:19" ht="15.75" x14ac:dyDescent="0.25">
      <c r="B1464" s="133">
        <v>43770</v>
      </c>
      <c r="C1464" s="128" t="s">
        <v>531</v>
      </c>
      <c r="D1464" s="128" t="s">
        <v>54</v>
      </c>
      <c r="E1464" s="128" t="str" cm="1">
        <f t="array" ref="E1464">IFERROR(INDEX(SubcategoriesTable[Subcategory name],MATCH(Table1[[#This Row],[Category]],SubcategoriesTable[Category name],0),0),"")</f>
        <v>Fixed</v>
      </c>
      <c r="F1464" s="134">
        <v>-2.93</v>
      </c>
      <c r="G1464" s="167" t="str">
        <f>_xlfn.XLOOKUP(Table1[[#This Row],[Account_ID]], Accounts[ID], Accounts[Account nickname], "Unknown")</f>
        <v>EVERYDAY CHECKING</v>
      </c>
      <c r="H1464" s="137" t="str">
        <f>_xlfn.XLOOKUP(Table1[[#This Row],[Account_ID]], Accounts[ID], Accounts[Account'#], "Unknown")</f>
        <v>4636</v>
      </c>
      <c r="I1464" s="168" t="str">
        <f>_xlfn.XLOOKUP(Table1[[#This Row],[Institution_ID]], Institutions[ID], Institutions[Institution nickname], "Unknown")</f>
        <v>Wells Fargo</v>
      </c>
      <c r="J1464" s="139" t="s">
        <v>2194</v>
      </c>
      <c r="K1464" s="129" t="s">
        <v>1229</v>
      </c>
      <c r="L1464" s="129" t="s">
        <v>1228</v>
      </c>
      <c r="M1464" s="130" t="str" cm="1">
        <f t="array" ref="M1464">IFERROR(INDEX(CategoriesTable[Category type],MATCH(Table1[[#This Row],[Category]],CategoriesTable[Category name],0),0),"")</f>
        <v>Expense</v>
      </c>
      <c r="N1464" s="130" t="str" cm="1">
        <f t="array" ref="N1464">IFERROR(INDEX(SubcategoriesTable[Subcategory name],MATCH(Table1[[#This Row],[Category]],SubcategoriesTable[Category name],0),0),"")</f>
        <v>Fixed</v>
      </c>
      <c r="O1464" s="130">
        <v>1</v>
      </c>
      <c r="P1464" s="130">
        <f>MONTH(Table1[[#This Row],[Date]])</f>
        <v>11</v>
      </c>
      <c r="Q1464" s="130">
        <v>2019</v>
      </c>
      <c r="R1464" s="166">
        <f>IF(ISBLANK(Table1[[#This Row],[Date]]),"",Table1[[#This Row],[Date]]-WEEKDAY(Table1[[#This Row],[Date]],2)+1)</f>
        <v>43766</v>
      </c>
      <c r="S1464" s="131">
        <f>IF(ISBLANK(Table1[[#This Row],[Date]]),"",DATE(Table1[[#This Row],[Date_Year]],Table1[[#This Row],[Date_Month]],1))</f>
        <v>43770</v>
      </c>
    </row>
    <row r="1465" spans="2:19" ht="15.75" x14ac:dyDescent="0.25">
      <c r="B1465" s="133">
        <v>43770</v>
      </c>
      <c r="C1465" s="128" t="s">
        <v>2195</v>
      </c>
      <c r="D1465" s="128" t="s">
        <v>56</v>
      </c>
      <c r="E1465" s="128" t="str" cm="1">
        <f t="array" ref="E1465">IFERROR(INDEX(SubcategoriesTable[Subcategory name],MATCH(Table1[[#This Row],[Category]],SubcategoriesTable[Category name],0),0),"")</f>
        <v>Variable</v>
      </c>
      <c r="F1465" s="134">
        <v>-1.5</v>
      </c>
      <c r="G1465" s="167" t="str">
        <f>_xlfn.XLOOKUP(Table1[[#This Row],[Account_ID]], Accounts[ID], Accounts[Account nickname], "Unknown")</f>
        <v>EVERYDAY CHECKING</v>
      </c>
      <c r="H1465" s="137" t="str">
        <f>_xlfn.XLOOKUP(Table1[[#This Row],[Account_ID]], Accounts[ID], Accounts[Account'#], "Unknown")</f>
        <v>4636</v>
      </c>
      <c r="I1465" s="168" t="str">
        <f>_xlfn.XLOOKUP(Table1[[#This Row],[Institution_ID]], Institutions[ID], Institutions[Institution nickname], "Unknown")</f>
        <v>Wells Fargo</v>
      </c>
      <c r="J1465" s="139" t="s">
        <v>2196</v>
      </c>
      <c r="K1465" s="129" t="s">
        <v>1229</v>
      </c>
      <c r="L1465" s="129" t="s">
        <v>1228</v>
      </c>
      <c r="M1465" s="130" t="str" cm="1">
        <f t="array" ref="M1465">IFERROR(INDEX(CategoriesTable[Category type],MATCH(Table1[[#This Row],[Category]],CategoriesTable[Category name],0),0),"")</f>
        <v>Expense</v>
      </c>
      <c r="N1465" s="130" t="str" cm="1">
        <f t="array" ref="N1465">IFERROR(INDEX(SubcategoriesTable[Subcategory name],MATCH(Table1[[#This Row],[Category]],SubcategoriesTable[Category name],0),0),"")</f>
        <v>Variable</v>
      </c>
      <c r="O1465" s="130">
        <v>1</v>
      </c>
      <c r="P1465" s="130">
        <f>MONTH(Table1[[#This Row],[Date]])</f>
        <v>11</v>
      </c>
      <c r="Q1465" s="130">
        <v>2019</v>
      </c>
      <c r="R1465" s="166">
        <f>IF(ISBLANK(Table1[[#This Row],[Date]]),"",Table1[[#This Row],[Date]]-WEEKDAY(Table1[[#This Row],[Date]],2)+1)</f>
        <v>43766</v>
      </c>
      <c r="S1465" s="131">
        <f>IF(ISBLANK(Table1[[#This Row],[Date]]),"",DATE(Table1[[#This Row],[Date_Year]],Table1[[#This Row],[Date_Month]],1))</f>
        <v>43770</v>
      </c>
    </row>
    <row r="1466" spans="2:19" ht="15.75" x14ac:dyDescent="0.25">
      <c r="B1466" s="133">
        <v>43770</v>
      </c>
      <c r="C1466" s="128" t="s">
        <v>146</v>
      </c>
      <c r="D1466" s="128" t="s">
        <v>54</v>
      </c>
      <c r="E1466" s="128" t="str" cm="1">
        <f t="array" ref="E1466">IFERROR(INDEX(SubcategoriesTable[Subcategory name],MATCH(Table1[[#This Row],[Category]],SubcategoriesTable[Category name],0),0),"")</f>
        <v>Fixed</v>
      </c>
      <c r="F1466" s="134">
        <v>-150.11000000000001</v>
      </c>
      <c r="G1466" s="167" t="str">
        <f>_xlfn.XLOOKUP(Table1[[#This Row],[Account_ID]], Accounts[ID], Accounts[Account nickname], "Unknown")</f>
        <v>EVERYDAY CHECKING</v>
      </c>
      <c r="H1466" s="137" t="str">
        <f>_xlfn.XLOOKUP(Table1[[#This Row],[Account_ID]], Accounts[ID], Accounts[Account'#], "Unknown")</f>
        <v>4636</v>
      </c>
      <c r="I1466" s="168" t="str">
        <f>_xlfn.XLOOKUP(Table1[[#This Row],[Institution_ID]], Institutions[ID], Institutions[Institution nickname], "Unknown")</f>
        <v>Wells Fargo</v>
      </c>
      <c r="J1466" s="139" t="s">
        <v>2197</v>
      </c>
      <c r="K1466" s="129" t="s">
        <v>1229</v>
      </c>
      <c r="L1466" s="129" t="s">
        <v>1228</v>
      </c>
      <c r="M1466" s="130" t="str" cm="1">
        <f t="array" ref="M1466">IFERROR(INDEX(CategoriesTable[Category type],MATCH(Table1[[#This Row],[Category]],CategoriesTable[Category name],0),0),"")</f>
        <v>Expense</v>
      </c>
      <c r="N1466" s="130" t="str" cm="1">
        <f t="array" ref="N1466">IFERROR(INDEX(SubcategoriesTable[Subcategory name],MATCH(Table1[[#This Row],[Category]],SubcategoriesTable[Category name],0),0),"")</f>
        <v>Fixed</v>
      </c>
      <c r="O1466" s="130">
        <v>1</v>
      </c>
      <c r="P1466" s="130">
        <f>MONTH(Table1[[#This Row],[Date]])</f>
        <v>11</v>
      </c>
      <c r="Q1466" s="130">
        <v>2019</v>
      </c>
      <c r="R1466" s="166">
        <f>IF(ISBLANK(Table1[[#This Row],[Date]]),"",Table1[[#This Row],[Date]]-WEEKDAY(Table1[[#This Row],[Date]],2)+1)</f>
        <v>43766</v>
      </c>
      <c r="S1466" s="131">
        <f>IF(ISBLANK(Table1[[#This Row],[Date]]),"",DATE(Table1[[#This Row],[Date_Year]],Table1[[#This Row],[Date_Month]],1))</f>
        <v>43770</v>
      </c>
    </row>
    <row r="1467" spans="2:19" ht="15.75" x14ac:dyDescent="0.25">
      <c r="B1467" s="133">
        <v>43769</v>
      </c>
      <c r="C1467" s="128" t="s">
        <v>531</v>
      </c>
      <c r="D1467" s="128" t="s">
        <v>54</v>
      </c>
      <c r="E1467" s="128" t="str" cm="1">
        <f t="array" ref="E1467">IFERROR(INDEX(SubcategoriesTable[Subcategory name],MATCH(Table1[[#This Row],[Category]],SubcategoriesTable[Category name],0),0),"")</f>
        <v>Fixed</v>
      </c>
      <c r="F1467" s="134">
        <v>-12.33</v>
      </c>
      <c r="G1467" s="167" t="str">
        <f>_xlfn.XLOOKUP(Table1[[#This Row],[Account_ID]], Accounts[ID], Accounts[Account nickname], "Unknown")</f>
        <v>EVERYDAY CHECKING</v>
      </c>
      <c r="H1467" s="137" t="str">
        <f>_xlfn.XLOOKUP(Table1[[#This Row],[Account_ID]], Accounts[ID], Accounts[Account'#], "Unknown")</f>
        <v>4636</v>
      </c>
      <c r="I1467" s="168" t="str">
        <f>_xlfn.XLOOKUP(Table1[[#This Row],[Institution_ID]], Institutions[ID], Institutions[Institution nickname], "Unknown")</f>
        <v>Wells Fargo</v>
      </c>
      <c r="J1467" s="139" t="s">
        <v>2198</v>
      </c>
      <c r="K1467" s="129" t="s">
        <v>1229</v>
      </c>
      <c r="L1467" s="129" t="s">
        <v>1228</v>
      </c>
      <c r="M1467" s="130" t="str" cm="1">
        <f t="array" ref="M1467">IFERROR(INDEX(CategoriesTable[Category type],MATCH(Table1[[#This Row],[Category]],CategoriesTable[Category name],0),0),"")</f>
        <v>Expense</v>
      </c>
      <c r="N1467" s="130" t="str" cm="1">
        <f t="array" ref="N1467">IFERROR(INDEX(SubcategoriesTable[Subcategory name],MATCH(Table1[[#This Row],[Category]],SubcategoriesTable[Category name],0),0),"")</f>
        <v>Fixed</v>
      </c>
      <c r="O1467" s="130">
        <v>31</v>
      </c>
      <c r="P1467" s="130">
        <f>MONTH(Table1[[#This Row],[Date]])</f>
        <v>10</v>
      </c>
      <c r="Q1467" s="130">
        <v>2019</v>
      </c>
      <c r="R1467" s="166">
        <f>IF(ISBLANK(Table1[[#This Row],[Date]]),"",Table1[[#This Row],[Date]]-WEEKDAY(Table1[[#This Row],[Date]],2)+1)</f>
        <v>43766</v>
      </c>
      <c r="S1467" s="131">
        <f>IF(ISBLANK(Table1[[#This Row],[Date]]),"",DATE(Table1[[#This Row],[Date_Year]],Table1[[#This Row],[Date_Month]],1))</f>
        <v>43739</v>
      </c>
    </row>
    <row r="1468" spans="2:19" ht="15.75" x14ac:dyDescent="0.25">
      <c r="B1468" s="133">
        <v>43769</v>
      </c>
      <c r="C1468" s="128" t="s">
        <v>2199</v>
      </c>
      <c r="D1468" s="128" t="s">
        <v>46</v>
      </c>
      <c r="E1468" s="128" t="str" cm="1">
        <f t="array" ref="E1468">IFERROR(INDEX(SubcategoriesTable[Subcategory name],MATCH(Table1[[#This Row],[Category]],SubcategoriesTable[Category name],0),0),"")</f>
        <v>Variable</v>
      </c>
      <c r="F1468" s="134">
        <v>-20.73</v>
      </c>
      <c r="G1468" s="167" t="str">
        <f>_xlfn.XLOOKUP(Table1[[#This Row],[Account_ID]], Accounts[ID], Accounts[Account nickname], "Unknown")</f>
        <v>EVERYDAY CHECKING</v>
      </c>
      <c r="H1468" s="137" t="str">
        <f>_xlfn.XLOOKUP(Table1[[#This Row],[Account_ID]], Accounts[ID], Accounts[Account'#], "Unknown")</f>
        <v>4636</v>
      </c>
      <c r="I1468" s="168" t="str">
        <f>_xlfn.XLOOKUP(Table1[[#This Row],[Institution_ID]], Institutions[ID], Institutions[Institution nickname], "Unknown")</f>
        <v>Wells Fargo</v>
      </c>
      <c r="J1468" s="139" t="s">
        <v>2200</v>
      </c>
      <c r="K1468" s="129" t="s">
        <v>1229</v>
      </c>
      <c r="L1468" s="129" t="s">
        <v>1228</v>
      </c>
      <c r="M1468" s="130" t="str" cm="1">
        <f t="array" ref="M1468">IFERROR(INDEX(CategoriesTable[Category type],MATCH(Table1[[#This Row],[Category]],CategoriesTable[Category name],0),0),"")</f>
        <v>Expense</v>
      </c>
      <c r="N1468" s="130" t="str" cm="1">
        <f t="array" ref="N1468">IFERROR(INDEX(SubcategoriesTable[Subcategory name],MATCH(Table1[[#This Row],[Category]],SubcategoriesTable[Category name],0),0),"")</f>
        <v>Variable</v>
      </c>
      <c r="O1468" s="130">
        <v>31</v>
      </c>
      <c r="P1468" s="130">
        <f>MONTH(Table1[[#This Row],[Date]])</f>
        <v>10</v>
      </c>
      <c r="Q1468" s="130">
        <v>2019</v>
      </c>
      <c r="R1468" s="166">
        <f>IF(ISBLANK(Table1[[#This Row],[Date]]),"",Table1[[#This Row],[Date]]-WEEKDAY(Table1[[#This Row],[Date]],2)+1)</f>
        <v>43766</v>
      </c>
      <c r="S1468" s="131">
        <f>IF(ISBLANK(Table1[[#This Row],[Date]]),"",DATE(Table1[[#This Row],[Date_Year]],Table1[[#This Row],[Date_Month]],1))</f>
        <v>43739</v>
      </c>
    </row>
    <row r="1469" spans="2:19" ht="15.75" x14ac:dyDescent="0.25">
      <c r="B1469" s="133">
        <v>43768</v>
      </c>
      <c r="C1469" s="128" t="s">
        <v>2201</v>
      </c>
      <c r="D1469" s="128" t="s">
        <v>45</v>
      </c>
      <c r="E1469" s="128" t="str" cm="1">
        <f t="array" ref="E1469">IFERROR(INDEX(SubcategoriesTable[Subcategory name],MATCH(Table1[[#This Row],[Category]],SubcategoriesTable[Category name],0),0),"")</f>
        <v>Variable</v>
      </c>
      <c r="F1469" s="134">
        <v>-18.27</v>
      </c>
      <c r="G1469" s="167" t="str">
        <f>_xlfn.XLOOKUP(Table1[[#This Row],[Account_ID]], Accounts[ID], Accounts[Account nickname], "Unknown")</f>
        <v>EVERYDAY CHECKING</v>
      </c>
      <c r="H1469" s="137" t="str">
        <f>_xlfn.XLOOKUP(Table1[[#This Row],[Account_ID]], Accounts[ID], Accounts[Account'#], "Unknown")</f>
        <v>4636</v>
      </c>
      <c r="I1469" s="168" t="str">
        <f>_xlfn.XLOOKUP(Table1[[#This Row],[Institution_ID]], Institutions[ID], Institutions[Institution nickname], "Unknown")</f>
        <v>Wells Fargo</v>
      </c>
      <c r="J1469" s="139" t="s">
        <v>2202</v>
      </c>
      <c r="K1469" s="129" t="s">
        <v>1229</v>
      </c>
      <c r="L1469" s="129" t="s">
        <v>1228</v>
      </c>
      <c r="M1469" s="130" t="str" cm="1">
        <f t="array" ref="M1469">IFERROR(INDEX(CategoriesTable[Category type],MATCH(Table1[[#This Row],[Category]],CategoriesTable[Category name],0),0),"")</f>
        <v>Expense</v>
      </c>
      <c r="N1469" s="130" t="str" cm="1">
        <f t="array" ref="N1469">IFERROR(INDEX(SubcategoriesTable[Subcategory name],MATCH(Table1[[#This Row],[Category]],SubcategoriesTable[Category name],0),0),"")</f>
        <v>Variable</v>
      </c>
      <c r="O1469" s="130">
        <v>30</v>
      </c>
      <c r="P1469" s="130">
        <f>MONTH(Table1[[#This Row],[Date]])</f>
        <v>10</v>
      </c>
      <c r="Q1469" s="130">
        <v>2019</v>
      </c>
      <c r="R1469" s="166">
        <f>IF(ISBLANK(Table1[[#This Row],[Date]]),"",Table1[[#This Row],[Date]]-WEEKDAY(Table1[[#This Row],[Date]],2)+1)</f>
        <v>43766</v>
      </c>
      <c r="S1469" s="131">
        <f>IF(ISBLANK(Table1[[#This Row],[Date]]),"",DATE(Table1[[#This Row],[Date_Year]],Table1[[#This Row],[Date_Month]],1))</f>
        <v>43739</v>
      </c>
    </row>
    <row r="1470" spans="2:19" ht="15.75" x14ac:dyDescent="0.25">
      <c r="B1470" s="133">
        <v>43768</v>
      </c>
      <c r="C1470" s="128" t="s">
        <v>803</v>
      </c>
      <c r="D1470" s="128" t="s">
        <v>48</v>
      </c>
      <c r="E1470" s="128" t="str" cm="1">
        <f t="array" ref="E1470">IFERROR(INDEX(SubcategoriesTable[Subcategory name],MATCH(Table1[[#This Row],[Category]],SubcategoriesTable[Category name],0),0),"")</f>
        <v>Variable</v>
      </c>
      <c r="F1470" s="134">
        <v>-2.04</v>
      </c>
      <c r="G1470" s="167" t="str">
        <f>_xlfn.XLOOKUP(Table1[[#This Row],[Account_ID]], Accounts[ID], Accounts[Account nickname], "Unknown")</f>
        <v>EVERYDAY CHECKING</v>
      </c>
      <c r="H1470" s="137" t="str">
        <f>_xlfn.XLOOKUP(Table1[[#This Row],[Account_ID]], Accounts[ID], Accounts[Account'#], "Unknown")</f>
        <v>4636</v>
      </c>
      <c r="I1470" s="168" t="str">
        <f>_xlfn.XLOOKUP(Table1[[#This Row],[Institution_ID]], Institutions[ID], Institutions[Institution nickname], "Unknown")</f>
        <v>Wells Fargo</v>
      </c>
      <c r="J1470" s="139" t="s">
        <v>2203</v>
      </c>
      <c r="K1470" s="129" t="s">
        <v>1229</v>
      </c>
      <c r="L1470" s="129" t="s">
        <v>1228</v>
      </c>
      <c r="M1470" s="130" t="str" cm="1">
        <f t="array" ref="M1470">IFERROR(INDEX(CategoriesTable[Category type],MATCH(Table1[[#This Row],[Category]],CategoriesTable[Category name],0),0),"")</f>
        <v>Expense</v>
      </c>
      <c r="N1470" s="130" t="str" cm="1">
        <f t="array" ref="N1470">IFERROR(INDEX(SubcategoriesTable[Subcategory name],MATCH(Table1[[#This Row],[Category]],SubcategoriesTable[Category name],0),0),"")</f>
        <v>Variable</v>
      </c>
      <c r="O1470" s="130">
        <v>30</v>
      </c>
      <c r="P1470" s="130">
        <f>MONTH(Table1[[#This Row],[Date]])</f>
        <v>10</v>
      </c>
      <c r="Q1470" s="130">
        <v>2019</v>
      </c>
      <c r="R1470" s="166">
        <f>IF(ISBLANK(Table1[[#This Row],[Date]]),"",Table1[[#This Row],[Date]]-WEEKDAY(Table1[[#This Row],[Date]],2)+1)</f>
        <v>43766</v>
      </c>
      <c r="S1470" s="131">
        <f>IF(ISBLANK(Table1[[#This Row],[Date]]),"",DATE(Table1[[#This Row],[Date_Year]],Table1[[#This Row],[Date_Month]],1))</f>
        <v>43739</v>
      </c>
    </row>
    <row r="1471" spans="2:19" ht="15.75" x14ac:dyDescent="0.25">
      <c r="B1471" s="133">
        <v>43767</v>
      </c>
      <c r="C1471" s="128" t="s">
        <v>2204</v>
      </c>
      <c r="D1471" s="128" t="s">
        <v>45</v>
      </c>
      <c r="E1471" s="128" t="str" cm="1">
        <f t="array" ref="E1471">IFERROR(INDEX(SubcategoriesTable[Subcategory name],MATCH(Table1[[#This Row],[Category]],SubcategoriesTable[Category name],0),0),"")</f>
        <v>Variable</v>
      </c>
      <c r="F1471" s="134">
        <v>-40</v>
      </c>
      <c r="G1471" s="167" t="str">
        <f>_xlfn.XLOOKUP(Table1[[#This Row],[Account_ID]], Accounts[ID], Accounts[Account nickname], "Unknown")</f>
        <v>EVERYDAY CHECKING</v>
      </c>
      <c r="H1471" s="137" t="str">
        <f>_xlfn.XLOOKUP(Table1[[#This Row],[Account_ID]], Accounts[ID], Accounts[Account'#], "Unknown")</f>
        <v>4636</v>
      </c>
      <c r="I1471" s="168" t="str">
        <f>_xlfn.XLOOKUP(Table1[[#This Row],[Institution_ID]], Institutions[ID], Institutions[Institution nickname], "Unknown")</f>
        <v>Wells Fargo</v>
      </c>
      <c r="J1471" s="139" t="s">
        <v>2205</v>
      </c>
      <c r="K1471" s="129" t="s">
        <v>1229</v>
      </c>
      <c r="L1471" s="129" t="s">
        <v>1228</v>
      </c>
      <c r="M1471" s="130" t="str" cm="1">
        <f t="array" ref="M1471">IFERROR(INDEX(CategoriesTable[Category type],MATCH(Table1[[#This Row],[Category]],CategoriesTable[Category name],0),0),"")</f>
        <v>Expense</v>
      </c>
      <c r="N1471" s="130" t="str" cm="1">
        <f t="array" ref="N1471">IFERROR(INDEX(SubcategoriesTable[Subcategory name],MATCH(Table1[[#This Row],[Category]],SubcategoriesTable[Category name],0),0),"")</f>
        <v>Variable</v>
      </c>
      <c r="O1471" s="130">
        <v>29</v>
      </c>
      <c r="P1471" s="130">
        <f>MONTH(Table1[[#This Row],[Date]])</f>
        <v>10</v>
      </c>
      <c r="Q1471" s="130">
        <v>2019</v>
      </c>
      <c r="R1471" s="166">
        <f>IF(ISBLANK(Table1[[#This Row],[Date]]),"",Table1[[#This Row],[Date]]-WEEKDAY(Table1[[#This Row],[Date]],2)+1)</f>
        <v>43766</v>
      </c>
      <c r="S1471" s="131">
        <f>IF(ISBLANK(Table1[[#This Row],[Date]]),"",DATE(Table1[[#This Row],[Date_Year]],Table1[[#This Row],[Date_Month]],1))</f>
        <v>43739</v>
      </c>
    </row>
    <row r="1472" spans="2:19" ht="15.75" x14ac:dyDescent="0.25">
      <c r="B1472" s="133">
        <v>43767</v>
      </c>
      <c r="C1472" s="128" t="s">
        <v>531</v>
      </c>
      <c r="D1472" s="128" t="s">
        <v>54</v>
      </c>
      <c r="E1472" s="128" t="str" cm="1">
        <f t="array" ref="E1472">IFERROR(INDEX(SubcategoriesTable[Subcategory name],MATCH(Table1[[#This Row],[Category]],SubcategoriesTable[Category name],0),0),"")</f>
        <v>Fixed</v>
      </c>
      <c r="F1472" s="134">
        <v>-3</v>
      </c>
      <c r="G1472" s="167" t="str">
        <f>_xlfn.XLOOKUP(Table1[[#This Row],[Account_ID]], Accounts[ID], Accounts[Account nickname], "Unknown")</f>
        <v>EVERYDAY CHECKING</v>
      </c>
      <c r="H1472" s="137" t="str">
        <f>_xlfn.XLOOKUP(Table1[[#This Row],[Account_ID]], Accounts[ID], Accounts[Account'#], "Unknown")</f>
        <v>4636</v>
      </c>
      <c r="I1472" s="168" t="str">
        <f>_xlfn.XLOOKUP(Table1[[#This Row],[Institution_ID]], Institutions[ID], Institutions[Institution nickname], "Unknown")</f>
        <v>Wells Fargo</v>
      </c>
      <c r="J1472" s="171" t="s">
        <v>2206</v>
      </c>
      <c r="K1472" s="129" t="s">
        <v>1229</v>
      </c>
      <c r="L1472" s="129" t="s">
        <v>1228</v>
      </c>
      <c r="M1472" s="130" t="str" cm="1">
        <f t="array" ref="M1472">IFERROR(INDEX(CategoriesTable[Category type],MATCH(Table1[[#This Row],[Category]],CategoriesTable[Category name],0),0),"")</f>
        <v>Expense</v>
      </c>
      <c r="N1472" s="130" t="str" cm="1">
        <f t="array" ref="N1472">IFERROR(INDEX(SubcategoriesTable[Subcategory name],MATCH(Table1[[#This Row],[Category]],SubcategoriesTable[Category name],0),0),"")</f>
        <v>Fixed</v>
      </c>
      <c r="O1472" s="130">
        <v>29</v>
      </c>
      <c r="P1472" s="130">
        <f>MONTH(Table1[[#This Row],[Date]])</f>
        <v>10</v>
      </c>
      <c r="Q1472" s="130">
        <v>2019</v>
      </c>
      <c r="R1472" s="166">
        <f>IF(ISBLANK(Table1[[#This Row],[Date]]),"",Table1[[#This Row],[Date]]-WEEKDAY(Table1[[#This Row],[Date]],2)+1)</f>
        <v>43766</v>
      </c>
      <c r="S1472" s="131">
        <f>IF(ISBLANK(Table1[[#This Row],[Date]]),"",DATE(Table1[[#This Row],[Date_Year]],Table1[[#This Row],[Date_Month]],1))</f>
        <v>43739</v>
      </c>
    </row>
    <row r="1473" spans="2:19" ht="15.75" x14ac:dyDescent="0.25">
      <c r="B1473" s="133">
        <v>43767</v>
      </c>
      <c r="C1473" s="128" t="s">
        <v>2207</v>
      </c>
      <c r="D1473" s="128" t="s">
        <v>55</v>
      </c>
      <c r="E1473" s="128" t="str" cm="1">
        <f t="array" ref="E1473">IFERROR(INDEX(SubcategoriesTable[Subcategory name],MATCH(Table1[[#This Row],[Category]],SubcategoriesTable[Category name],0),0),"")</f>
        <v>Variable</v>
      </c>
      <c r="F1473" s="134">
        <v>-175</v>
      </c>
      <c r="G1473" s="167" t="str">
        <f>_xlfn.XLOOKUP(Table1[[#This Row],[Account_ID]], Accounts[ID], Accounts[Account nickname], "Unknown")</f>
        <v>EVERYDAY CHECKING</v>
      </c>
      <c r="H1473" s="137" t="str">
        <f>_xlfn.XLOOKUP(Table1[[#This Row],[Account_ID]], Accounts[ID], Accounts[Account'#], "Unknown")</f>
        <v>4636</v>
      </c>
      <c r="I1473" s="168" t="str">
        <f>_xlfn.XLOOKUP(Table1[[#This Row],[Institution_ID]], Institutions[ID], Institutions[Institution nickname], "Unknown")</f>
        <v>Wells Fargo</v>
      </c>
      <c r="J1473" s="139" t="s">
        <v>2208</v>
      </c>
      <c r="K1473" s="129" t="s">
        <v>1229</v>
      </c>
      <c r="L1473" s="129" t="s">
        <v>1228</v>
      </c>
      <c r="M1473" s="130" t="str" cm="1">
        <f t="array" ref="M1473">IFERROR(INDEX(CategoriesTable[Category type],MATCH(Table1[[#This Row],[Category]],CategoriesTable[Category name],0),0),"")</f>
        <v>Expense</v>
      </c>
      <c r="N1473" s="130" t="str" cm="1">
        <f t="array" ref="N1473">IFERROR(INDEX(SubcategoriesTable[Subcategory name],MATCH(Table1[[#This Row],[Category]],SubcategoriesTable[Category name],0),0),"")</f>
        <v>Variable</v>
      </c>
      <c r="O1473" s="130">
        <v>29</v>
      </c>
      <c r="P1473" s="130">
        <f>MONTH(Table1[[#This Row],[Date]])</f>
        <v>10</v>
      </c>
      <c r="Q1473" s="130">
        <v>2019</v>
      </c>
      <c r="R1473" s="166">
        <f>IF(ISBLANK(Table1[[#This Row],[Date]]),"",Table1[[#This Row],[Date]]-WEEKDAY(Table1[[#This Row],[Date]],2)+1)</f>
        <v>43766</v>
      </c>
      <c r="S1473" s="131">
        <f>IF(ISBLANK(Table1[[#This Row],[Date]]),"",DATE(Table1[[#This Row],[Date_Year]],Table1[[#This Row],[Date_Month]],1))</f>
        <v>43739</v>
      </c>
    </row>
    <row r="1474" spans="2:19" ht="15.75" x14ac:dyDescent="0.25">
      <c r="B1474" s="133">
        <v>43767</v>
      </c>
      <c r="C1474" s="128" t="s">
        <v>1071</v>
      </c>
      <c r="D1474" s="128" t="s">
        <v>45</v>
      </c>
      <c r="E1474" s="128" t="str" cm="1">
        <f t="array" ref="E1474">IFERROR(INDEX(SubcategoriesTable[Subcategory name],MATCH(Table1[[#This Row],[Category]],SubcategoriesTable[Category name],0),0),"")</f>
        <v>Variable</v>
      </c>
      <c r="F1474" s="134">
        <v>-6.83</v>
      </c>
      <c r="G1474" s="167" t="str">
        <f>_xlfn.XLOOKUP(Table1[[#This Row],[Account_ID]], Accounts[ID], Accounts[Account nickname], "Unknown")</f>
        <v>EVERYDAY CHECKING</v>
      </c>
      <c r="H1474" s="137" t="str">
        <f>_xlfn.XLOOKUP(Table1[[#This Row],[Account_ID]], Accounts[ID], Accounts[Account'#], "Unknown")</f>
        <v>4636</v>
      </c>
      <c r="I1474" s="168" t="str">
        <f>_xlfn.XLOOKUP(Table1[[#This Row],[Institution_ID]], Institutions[ID], Institutions[Institution nickname], "Unknown")</f>
        <v>Wells Fargo</v>
      </c>
      <c r="J1474" s="139" t="s">
        <v>2209</v>
      </c>
      <c r="K1474" s="129" t="s">
        <v>1229</v>
      </c>
      <c r="L1474" s="129" t="s">
        <v>1228</v>
      </c>
      <c r="M1474" s="130" t="str" cm="1">
        <f t="array" ref="M1474">IFERROR(INDEX(CategoriesTable[Category type],MATCH(Table1[[#This Row],[Category]],CategoriesTable[Category name],0),0),"")</f>
        <v>Expense</v>
      </c>
      <c r="N1474" s="130" t="str" cm="1">
        <f t="array" ref="N1474">IFERROR(INDEX(SubcategoriesTable[Subcategory name],MATCH(Table1[[#This Row],[Category]],SubcategoriesTable[Category name],0),0),"")</f>
        <v>Variable</v>
      </c>
      <c r="O1474" s="130">
        <v>29</v>
      </c>
      <c r="P1474" s="130">
        <f>MONTH(Table1[[#This Row],[Date]])</f>
        <v>10</v>
      </c>
      <c r="Q1474" s="130">
        <v>2019</v>
      </c>
      <c r="R1474" s="166">
        <f>IF(ISBLANK(Table1[[#This Row],[Date]]),"",Table1[[#This Row],[Date]]-WEEKDAY(Table1[[#This Row],[Date]],2)+1)</f>
        <v>43766</v>
      </c>
      <c r="S1474" s="131">
        <f>IF(ISBLANK(Table1[[#This Row],[Date]]),"",DATE(Table1[[#This Row],[Date_Year]],Table1[[#This Row],[Date_Month]],1))</f>
        <v>43739</v>
      </c>
    </row>
    <row r="1475" spans="2:19" ht="15.75" x14ac:dyDescent="0.25">
      <c r="B1475" s="133">
        <v>43766</v>
      </c>
      <c r="C1475" s="128" t="s">
        <v>239</v>
      </c>
      <c r="D1475" s="128" t="s">
        <v>52</v>
      </c>
      <c r="E1475" s="128" t="str" cm="1">
        <f t="array" ref="E1475">IFERROR(INDEX(SubcategoriesTable[Subcategory name],MATCH(Table1[[#This Row],[Category]],SubcategoriesTable[Category name],0),0),"")</f>
        <v>Variable</v>
      </c>
      <c r="F1475" s="134">
        <v>-22.67</v>
      </c>
      <c r="G1475" s="167" t="str">
        <f>_xlfn.XLOOKUP(Table1[[#This Row],[Account_ID]], Accounts[ID], Accounts[Account nickname], "Unknown")</f>
        <v>EVERYDAY CHECKING</v>
      </c>
      <c r="H1475" s="137" t="str">
        <f>_xlfn.XLOOKUP(Table1[[#This Row],[Account_ID]], Accounts[ID], Accounts[Account'#], "Unknown")</f>
        <v>4636</v>
      </c>
      <c r="I1475" s="168" t="str">
        <f>_xlfn.XLOOKUP(Table1[[#This Row],[Institution_ID]], Institutions[ID], Institutions[Institution nickname], "Unknown")</f>
        <v>Wells Fargo</v>
      </c>
      <c r="J1475" s="171" t="s">
        <v>2210</v>
      </c>
      <c r="K1475" s="129" t="s">
        <v>1229</v>
      </c>
      <c r="L1475" s="129" t="s">
        <v>1228</v>
      </c>
      <c r="M1475" s="130" t="str" cm="1">
        <f t="array" ref="M1475">IFERROR(INDEX(CategoriesTable[Category type],MATCH(Table1[[#This Row],[Category]],CategoriesTable[Category name],0),0),"")</f>
        <v>Expense</v>
      </c>
      <c r="N1475" s="130" t="str" cm="1">
        <f t="array" ref="N1475">IFERROR(INDEX(SubcategoriesTable[Subcategory name],MATCH(Table1[[#This Row],[Category]],SubcategoriesTable[Category name],0),0),"")</f>
        <v>Variable</v>
      </c>
      <c r="O1475" s="130">
        <v>28</v>
      </c>
      <c r="P1475" s="130">
        <f>MONTH(Table1[[#This Row],[Date]])</f>
        <v>10</v>
      </c>
      <c r="Q1475" s="130">
        <v>2019</v>
      </c>
      <c r="R1475" s="166">
        <f>IF(ISBLANK(Table1[[#This Row],[Date]]),"",Table1[[#This Row],[Date]]-WEEKDAY(Table1[[#This Row],[Date]],2)+1)</f>
        <v>43766</v>
      </c>
      <c r="S1475" s="131">
        <f>IF(ISBLANK(Table1[[#This Row],[Date]]),"",DATE(Table1[[#This Row],[Date_Year]],Table1[[#This Row],[Date_Month]],1))</f>
        <v>43739</v>
      </c>
    </row>
    <row r="1476" spans="2:19" ht="15.75" x14ac:dyDescent="0.25">
      <c r="B1476" s="133">
        <v>43766</v>
      </c>
      <c r="C1476" s="128" t="s">
        <v>2088</v>
      </c>
      <c r="D1476" s="128" t="s">
        <v>58</v>
      </c>
      <c r="E1476" s="128" t="str" cm="1">
        <f t="array" ref="E1476">IFERROR(INDEX(SubcategoriesTable[Subcategory name],MATCH(Table1[[#This Row],[Category]],SubcategoriesTable[Category name],0),0),"")</f>
        <v>Fixed</v>
      </c>
      <c r="F1476" s="134">
        <v>-30</v>
      </c>
      <c r="G1476" s="167" t="str">
        <f>_xlfn.XLOOKUP(Table1[[#This Row],[Account_ID]], Accounts[ID], Accounts[Account nickname], "Unknown")</f>
        <v>EVERYDAY CHECKING</v>
      </c>
      <c r="H1476" s="137" t="str">
        <f>_xlfn.XLOOKUP(Table1[[#This Row],[Account_ID]], Accounts[ID], Accounts[Account'#], "Unknown")</f>
        <v>4636</v>
      </c>
      <c r="I1476" s="168" t="str">
        <f>_xlfn.XLOOKUP(Table1[[#This Row],[Institution_ID]], Institutions[ID], Institutions[Institution nickname], "Unknown")</f>
        <v>Wells Fargo</v>
      </c>
      <c r="J1476" s="139" t="s">
        <v>2211</v>
      </c>
      <c r="K1476" s="129" t="s">
        <v>1229</v>
      </c>
      <c r="L1476" s="129" t="s">
        <v>1228</v>
      </c>
      <c r="M1476" s="130" t="str" cm="1">
        <f t="array" ref="M1476">IFERROR(INDEX(CategoriesTable[Category type],MATCH(Table1[[#This Row],[Category]],CategoriesTable[Category name],0),0),"")</f>
        <v>Expense</v>
      </c>
      <c r="N1476" s="130" t="str" cm="1">
        <f t="array" ref="N1476">IFERROR(INDEX(SubcategoriesTable[Subcategory name],MATCH(Table1[[#This Row],[Category]],SubcategoriesTable[Category name],0),0),"")</f>
        <v>Fixed</v>
      </c>
      <c r="O1476" s="130">
        <v>28</v>
      </c>
      <c r="P1476" s="130">
        <f>MONTH(Table1[[#This Row],[Date]])</f>
        <v>10</v>
      </c>
      <c r="Q1476" s="130">
        <v>2019</v>
      </c>
      <c r="R1476" s="166">
        <f>IF(ISBLANK(Table1[[#This Row],[Date]]),"",Table1[[#This Row],[Date]]-WEEKDAY(Table1[[#This Row],[Date]],2)+1)</f>
        <v>43766</v>
      </c>
      <c r="S1476" s="131">
        <f>IF(ISBLANK(Table1[[#This Row],[Date]]),"",DATE(Table1[[#This Row],[Date_Year]],Table1[[#This Row],[Date_Month]],1))</f>
        <v>43739</v>
      </c>
    </row>
    <row r="1477" spans="2:19" ht="15.75" x14ac:dyDescent="0.25">
      <c r="B1477" s="133">
        <v>43766</v>
      </c>
      <c r="C1477" s="128" t="s">
        <v>2195</v>
      </c>
      <c r="D1477" s="128" t="s">
        <v>56</v>
      </c>
      <c r="E1477" s="128" t="str" cm="1">
        <f t="array" ref="E1477">IFERROR(INDEX(SubcategoriesTable[Subcategory name],MATCH(Table1[[#This Row],[Category]],SubcategoriesTable[Category name],0),0),"")</f>
        <v>Variable</v>
      </c>
      <c r="F1477" s="134">
        <v>-3</v>
      </c>
      <c r="G1477" s="167" t="str">
        <f>_xlfn.XLOOKUP(Table1[[#This Row],[Account_ID]], Accounts[ID], Accounts[Account nickname], "Unknown")</f>
        <v>EVERYDAY CHECKING</v>
      </c>
      <c r="H1477" s="137" t="str">
        <f>_xlfn.XLOOKUP(Table1[[#This Row],[Account_ID]], Accounts[ID], Accounts[Account'#], "Unknown")</f>
        <v>4636</v>
      </c>
      <c r="I1477" s="168" t="str">
        <f>_xlfn.XLOOKUP(Table1[[#This Row],[Institution_ID]], Institutions[ID], Institutions[Institution nickname], "Unknown")</f>
        <v>Wells Fargo</v>
      </c>
      <c r="J1477" s="139" t="s">
        <v>2212</v>
      </c>
      <c r="K1477" s="129" t="s">
        <v>1229</v>
      </c>
      <c r="L1477" s="129" t="s">
        <v>1228</v>
      </c>
      <c r="M1477" s="130" t="str" cm="1">
        <f t="array" ref="M1477">IFERROR(INDEX(CategoriesTable[Category type],MATCH(Table1[[#This Row],[Category]],CategoriesTable[Category name],0),0),"")</f>
        <v>Expense</v>
      </c>
      <c r="N1477" s="130" t="str" cm="1">
        <f t="array" ref="N1477">IFERROR(INDEX(SubcategoriesTable[Subcategory name],MATCH(Table1[[#This Row],[Category]],SubcategoriesTable[Category name],0),0),"")</f>
        <v>Variable</v>
      </c>
      <c r="O1477" s="130">
        <v>28</v>
      </c>
      <c r="P1477" s="130">
        <f>MONTH(Table1[[#This Row],[Date]])</f>
        <v>10</v>
      </c>
      <c r="Q1477" s="130">
        <v>2019</v>
      </c>
      <c r="R1477" s="166">
        <f>IF(ISBLANK(Table1[[#This Row],[Date]]),"",Table1[[#This Row],[Date]]-WEEKDAY(Table1[[#This Row],[Date]],2)+1)</f>
        <v>43766</v>
      </c>
      <c r="S1477" s="131">
        <f>IF(ISBLANK(Table1[[#This Row],[Date]]),"",DATE(Table1[[#This Row],[Date_Year]],Table1[[#This Row],[Date_Month]],1))</f>
        <v>43739</v>
      </c>
    </row>
    <row r="1478" spans="2:19" ht="15.75" x14ac:dyDescent="0.25">
      <c r="B1478" s="133">
        <v>43766</v>
      </c>
      <c r="C1478" s="128" t="s">
        <v>1503</v>
      </c>
      <c r="D1478" s="128" t="s">
        <v>51</v>
      </c>
      <c r="E1478" s="128" t="str" cm="1">
        <f t="array" ref="E1478">IFERROR(INDEX(SubcategoriesTable[Subcategory name],MATCH(Table1[[#This Row],[Category]],SubcategoriesTable[Category name],0),0),"")</f>
        <v>Variable</v>
      </c>
      <c r="F1478" s="134">
        <v>-9.9499999999999993</v>
      </c>
      <c r="G1478" s="167" t="str">
        <f>_xlfn.XLOOKUP(Table1[[#This Row],[Account_ID]], Accounts[ID], Accounts[Account nickname], "Unknown")</f>
        <v>EVERYDAY CHECKING</v>
      </c>
      <c r="H1478" s="137" t="str">
        <f>_xlfn.XLOOKUP(Table1[[#This Row],[Account_ID]], Accounts[ID], Accounts[Account'#], "Unknown")</f>
        <v>4636</v>
      </c>
      <c r="I1478" s="168" t="str">
        <f>_xlfn.XLOOKUP(Table1[[#This Row],[Institution_ID]], Institutions[ID], Institutions[Institution nickname], "Unknown")</f>
        <v>Wells Fargo</v>
      </c>
      <c r="J1478" s="139" t="s">
        <v>2213</v>
      </c>
      <c r="K1478" s="129" t="s">
        <v>1229</v>
      </c>
      <c r="L1478" s="129" t="s">
        <v>1228</v>
      </c>
      <c r="M1478" s="130" t="str" cm="1">
        <f t="array" ref="M1478">IFERROR(INDEX(CategoriesTable[Category type],MATCH(Table1[[#This Row],[Category]],CategoriesTable[Category name],0),0),"")</f>
        <v>Expense</v>
      </c>
      <c r="N1478" s="130" t="str" cm="1">
        <f t="array" ref="N1478">IFERROR(INDEX(SubcategoriesTable[Subcategory name],MATCH(Table1[[#This Row],[Category]],SubcategoriesTable[Category name],0),0),"")</f>
        <v>Variable</v>
      </c>
      <c r="O1478" s="130">
        <v>28</v>
      </c>
      <c r="P1478" s="130">
        <f>MONTH(Table1[[#This Row],[Date]])</f>
        <v>10</v>
      </c>
      <c r="Q1478" s="130">
        <v>2019</v>
      </c>
      <c r="R1478" s="166">
        <f>IF(ISBLANK(Table1[[#This Row],[Date]]),"",Table1[[#This Row],[Date]]-WEEKDAY(Table1[[#This Row],[Date]],2)+1)</f>
        <v>43766</v>
      </c>
      <c r="S1478" s="131">
        <f>IF(ISBLANK(Table1[[#This Row],[Date]]),"",DATE(Table1[[#This Row],[Date_Year]],Table1[[#This Row],[Date_Month]],1))</f>
        <v>43739</v>
      </c>
    </row>
    <row r="1479" spans="2:19" ht="15.75" x14ac:dyDescent="0.25">
      <c r="B1479" s="133">
        <v>43766</v>
      </c>
      <c r="C1479" s="128" t="s">
        <v>2214</v>
      </c>
      <c r="D1479" s="128" t="s">
        <v>61</v>
      </c>
      <c r="E1479" s="128" t="str" cm="1">
        <f t="array" ref="E1479">IFERROR(INDEX(SubcategoriesTable[Subcategory name],MATCH(Table1[[#This Row],[Category]],SubcategoriesTable[Category name],0),0),"")</f>
        <v>Variable</v>
      </c>
      <c r="F1479" s="134">
        <v>-2.5</v>
      </c>
      <c r="G1479" s="167" t="str">
        <f>_xlfn.XLOOKUP(Table1[[#This Row],[Account_ID]], Accounts[ID], Accounts[Account nickname], "Unknown")</f>
        <v>EVERYDAY CHECKING</v>
      </c>
      <c r="H1479" s="137" t="str">
        <f>_xlfn.XLOOKUP(Table1[[#This Row],[Account_ID]], Accounts[ID], Accounts[Account'#], "Unknown")</f>
        <v>4636</v>
      </c>
      <c r="I1479" s="168" t="str">
        <f>_xlfn.XLOOKUP(Table1[[#This Row],[Institution_ID]], Institutions[ID], Institutions[Institution nickname], "Unknown")</f>
        <v>Wells Fargo</v>
      </c>
      <c r="J1479" s="171" t="s">
        <v>2215</v>
      </c>
      <c r="K1479" s="129" t="s">
        <v>1229</v>
      </c>
      <c r="L1479" s="129" t="s">
        <v>1228</v>
      </c>
      <c r="M1479" s="130" t="str" cm="1">
        <f t="array" ref="M1479">IFERROR(INDEX(CategoriesTable[Category type],MATCH(Table1[[#This Row],[Category]],CategoriesTable[Category name],0),0),"")</f>
        <v>Expense</v>
      </c>
      <c r="N1479" s="130" t="str" cm="1">
        <f t="array" ref="N1479">IFERROR(INDEX(SubcategoriesTable[Subcategory name],MATCH(Table1[[#This Row],[Category]],SubcategoriesTable[Category name],0),0),"")</f>
        <v>Variable</v>
      </c>
      <c r="O1479" s="130">
        <v>28</v>
      </c>
      <c r="P1479" s="130">
        <f>MONTH(Table1[[#This Row],[Date]])</f>
        <v>10</v>
      </c>
      <c r="Q1479" s="130">
        <v>2019</v>
      </c>
      <c r="R1479" s="166">
        <f>IF(ISBLANK(Table1[[#This Row],[Date]]),"",Table1[[#This Row],[Date]]-WEEKDAY(Table1[[#This Row],[Date]],2)+1)</f>
        <v>43766</v>
      </c>
      <c r="S1479" s="131">
        <f>IF(ISBLANK(Table1[[#This Row],[Date]]),"",DATE(Table1[[#This Row],[Date_Year]],Table1[[#This Row],[Date_Month]],1))</f>
        <v>43739</v>
      </c>
    </row>
    <row r="1480" spans="2:19" ht="15.75" x14ac:dyDescent="0.25">
      <c r="B1480" s="133">
        <v>43766</v>
      </c>
      <c r="C1480" s="128" t="s">
        <v>2216</v>
      </c>
      <c r="D1480" s="128" t="s">
        <v>50</v>
      </c>
      <c r="E1480" s="128" t="str" cm="1">
        <f t="array" ref="E1480">IFERROR(INDEX(SubcategoriesTable[Subcategory name],MATCH(Table1[[#This Row],[Category]],SubcategoriesTable[Category name],0),0),"")</f>
        <v>Variable</v>
      </c>
      <c r="F1480" s="134">
        <v>-122.5</v>
      </c>
      <c r="G1480" s="167" t="str">
        <f>_xlfn.XLOOKUP(Table1[[#This Row],[Account_ID]], Accounts[ID], Accounts[Account nickname], "Unknown")</f>
        <v>EVERYDAY CHECKING</v>
      </c>
      <c r="H1480" s="137" t="str">
        <f>_xlfn.XLOOKUP(Table1[[#This Row],[Account_ID]], Accounts[ID], Accounts[Account'#], "Unknown")</f>
        <v>4636</v>
      </c>
      <c r="I1480" s="168" t="str">
        <f>_xlfn.XLOOKUP(Table1[[#This Row],[Institution_ID]], Institutions[ID], Institutions[Institution nickname], "Unknown")</f>
        <v>Wells Fargo</v>
      </c>
      <c r="J1480" s="139" t="s">
        <v>2217</v>
      </c>
      <c r="K1480" s="129" t="s">
        <v>1229</v>
      </c>
      <c r="L1480" s="129" t="s">
        <v>1228</v>
      </c>
      <c r="M1480" s="130" t="str" cm="1">
        <f t="array" ref="M1480">IFERROR(INDEX(CategoriesTable[Category type],MATCH(Table1[[#This Row],[Category]],CategoriesTable[Category name],0),0),"")</f>
        <v>Transfer</v>
      </c>
      <c r="N1480" s="130" t="str" cm="1">
        <f t="array" ref="N1480">IFERROR(INDEX(SubcategoriesTable[Subcategory name],MATCH(Table1[[#This Row],[Category]],SubcategoriesTable[Category name],0),0),"")</f>
        <v>Variable</v>
      </c>
      <c r="O1480" s="130">
        <v>28</v>
      </c>
      <c r="P1480" s="130">
        <f>MONTH(Table1[[#This Row],[Date]])</f>
        <v>10</v>
      </c>
      <c r="Q1480" s="130">
        <v>2019</v>
      </c>
      <c r="R1480" s="166">
        <f>IF(ISBLANK(Table1[[#This Row],[Date]]),"",Table1[[#This Row],[Date]]-WEEKDAY(Table1[[#This Row],[Date]],2)+1)</f>
        <v>43766</v>
      </c>
      <c r="S1480" s="131">
        <f>IF(ISBLANK(Table1[[#This Row],[Date]]),"",DATE(Table1[[#This Row],[Date_Year]],Table1[[#This Row],[Date_Month]],1))</f>
        <v>43739</v>
      </c>
    </row>
    <row r="1481" spans="2:19" ht="15.75" x14ac:dyDescent="0.25">
      <c r="B1481" s="133">
        <v>43766</v>
      </c>
      <c r="C1481" s="128" t="s">
        <v>2014</v>
      </c>
      <c r="D1481" s="128" t="s">
        <v>46</v>
      </c>
      <c r="E1481" s="128" t="str" cm="1">
        <f t="array" ref="E1481">IFERROR(INDEX(SubcategoriesTable[Subcategory name],MATCH(Table1[[#This Row],[Category]],SubcategoriesTable[Category name],0),0),"")</f>
        <v>Variable</v>
      </c>
      <c r="F1481" s="134">
        <v>-32.590000000000003</v>
      </c>
      <c r="G1481" s="167" t="str">
        <f>_xlfn.XLOOKUP(Table1[[#This Row],[Account_ID]], Accounts[ID], Accounts[Account nickname], "Unknown")</f>
        <v>EVERYDAY CHECKING</v>
      </c>
      <c r="H1481" s="137" t="str">
        <f>_xlfn.XLOOKUP(Table1[[#This Row],[Account_ID]], Accounts[ID], Accounts[Account'#], "Unknown")</f>
        <v>4636</v>
      </c>
      <c r="I1481" s="168" t="str">
        <f>_xlfn.XLOOKUP(Table1[[#This Row],[Institution_ID]], Institutions[ID], Institutions[Institution nickname], "Unknown")</f>
        <v>Wells Fargo</v>
      </c>
      <c r="J1481" s="139" t="s">
        <v>2218</v>
      </c>
      <c r="K1481" s="129" t="s">
        <v>1229</v>
      </c>
      <c r="L1481" s="129" t="s">
        <v>1228</v>
      </c>
      <c r="M1481" s="130" t="str" cm="1">
        <f t="array" ref="M1481">IFERROR(INDEX(CategoriesTable[Category type],MATCH(Table1[[#This Row],[Category]],CategoriesTable[Category name],0),0),"")</f>
        <v>Expense</v>
      </c>
      <c r="N1481" s="130" t="str" cm="1">
        <f t="array" ref="N1481">IFERROR(INDEX(SubcategoriesTable[Subcategory name],MATCH(Table1[[#This Row],[Category]],SubcategoriesTable[Category name],0),0),"")</f>
        <v>Variable</v>
      </c>
      <c r="O1481" s="130">
        <v>28</v>
      </c>
      <c r="P1481" s="130">
        <f>MONTH(Table1[[#This Row],[Date]])</f>
        <v>10</v>
      </c>
      <c r="Q1481" s="130">
        <v>2019</v>
      </c>
      <c r="R1481" s="166">
        <f>IF(ISBLANK(Table1[[#This Row],[Date]]),"",Table1[[#This Row],[Date]]-WEEKDAY(Table1[[#This Row],[Date]],2)+1)</f>
        <v>43766</v>
      </c>
      <c r="S1481" s="131">
        <f>IF(ISBLANK(Table1[[#This Row],[Date]]),"",DATE(Table1[[#This Row],[Date_Year]],Table1[[#This Row],[Date_Month]],1))</f>
        <v>43739</v>
      </c>
    </row>
    <row r="1482" spans="2:19" ht="15.75" x14ac:dyDescent="0.25">
      <c r="B1482" s="133">
        <v>43766</v>
      </c>
      <c r="C1482" s="128" t="s">
        <v>115</v>
      </c>
      <c r="D1482" s="128" t="s">
        <v>48</v>
      </c>
      <c r="E1482" s="128" t="str" cm="1">
        <f t="array" ref="E1482">IFERROR(INDEX(SubcategoriesTable[Subcategory name],MATCH(Table1[[#This Row],[Category]],SubcategoriesTable[Category name],0),0),"")</f>
        <v>Variable</v>
      </c>
      <c r="F1482" s="134">
        <v>-2.87</v>
      </c>
      <c r="G1482" s="167" t="str">
        <f>_xlfn.XLOOKUP(Table1[[#This Row],[Account_ID]], Accounts[ID], Accounts[Account nickname], "Unknown")</f>
        <v>EVERYDAY CHECKING</v>
      </c>
      <c r="H1482" s="137" t="str">
        <f>_xlfn.XLOOKUP(Table1[[#This Row],[Account_ID]], Accounts[ID], Accounts[Account'#], "Unknown")</f>
        <v>4636</v>
      </c>
      <c r="I1482" s="168" t="str">
        <f>_xlfn.XLOOKUP(Table1[[#This Row],[Institution_ID]], Institutions[ID], Institutions[Institution nickname], "Unknown")</f>
        <v>Wells Fargo</v>
      </c>
      <c r="J1482" s="139" t="s">
        <v>2219</v>
      </c>
      <c r="K1482" s="129" t="s">
        <v>1229</v>
      </c>
      <c r="L1482" s="129" t="s">
        <v>1228</v>
      </c>
      <c r="M1482" s="130" t="str" cm="1">
        <f t="array" ref="M1482">IFERROR(INDEX(CategoriesTable[Category type],MATCH(Table1[[#This Row],[Category]],CategoriesTable[Category name],0),0),"")</f>
        <v>Expense</v>
      </c>
      <c r="N1482" s="130" t="str" cm="1">
        <f t="array" ref="N1482">IFERROR(INDEX(SubcategoriesTable[Subcategory name],MATCH(Table1[[#This Row],[Category]],SubcategoriesTable[Category name],0),0),"")</f>
        <v>Variable</v>
      </c>
      <c r="O1482" s="130">
        <v>28</v>
      </c>
      <c r="P1482" s="130">
        <f>MONTH(Table1[[#This Row],[Date]])</f>
        <v>10</v>
      </c>
      <c r="Q1482" s="130">
        <v>2019</v>
      </c>
      <c r="R1482" s="166">
        <f>IF(ISBLANK(Table1[[#This Row],[Date]]),"",Table1[[#This Row],[Date]]-WEEKDAY(Table1[[#This Row],[Date]],2)+1)</f>
        <v>43766</v>
      </c>
      <c r="S1482" s="131">
        <f>IF(ISBLANK(Table1[[#This Row],[Date]]),"",DATE(Table1[[#This Row],[Date_Year]],Table1[[#This Row],[Date_Month]],1))</f>
        <v>43739</v>
      </c>
    </row>
    <row r="1483" spans="2:19" ht="15.75" x14ac:dyDescent="0.25">
      <c r="B1483" s="133">
        <v>43765</v>
      </c>
      <c r="C1483" s="128" t="s">
        <v>2068</v>
      </c>
      <c r="D1483" s="128" t="s">
        <v>52</v>
      </c>
      <c r="E1483" s="128" t="str" cm="1">
        <f t="array" ref="E1483">IFERROR(INDEX(SubcategoriesTable[Subcategory name],MATCH(Table1[[#This Row],[Category]],SubcategoriesTable[Category name],0),0),"")</f>
        <v>Variable</v>
      </c>
      <c r="F1483" s="134">
        <v>-20.04</v>
      </c>
      <c r="G1483" s="167" t="str">
        <f>_xlfn.XLOOKUP(Table1[[#This Row],[Account_ID]], Accounts[ID], Accounts[Account nickname], "Unknown")</f>
        <v>EVERYDAY CHECKING</v>
      </c>
      <c r="H1483" s="137" t="str">
        <f>_xlfn.XLOOKUP(Table1[[#This Row],[Account_ID]], Accounts[ID], Accounts[Account'#], "Unknown")</f>
        <v>4636</v>
      </c>
      <c r="I1483" s="168" t="str">
        <f>_xlfn.XLOOKUP(Table1[[#This Row],[Institution_ID]], Institutions[ID], Institutions[Institution nickname], "Unknown")</f>
        <v>Wells Fargo</v>
      </c>
      <c r="J1483" s="139" t="s">
        <v>2220</v>
      </c>
      <c r="K1483" s="129" t="s">
        <v>1229</v>
      </c>
      <c r="L1483" s="129" t="s">
        <v>1228</v>
      </c>
      <c r="M1483" s="130" t="str" cm="1">
        <f t="array" ref="M1483">IFERROR(INDEX(CategoriesTable[Category type],MATCH(Table1[[#This Row],[Category]],CategoriesTable[Category name],0),0),"")</f>
        <v>Expense</v>
      </c>
      <c r="N1483" s="130" t="str" cm="1">
        <f t="array" ref="N1483">IFERROR(INDEX(SubcategoriesTable[Subcategory name],MATCH(Table1[[#This Row],[Category]],SubcategoriesTable[Category name],0),0),"")</f>
        <v>Variable</v>
      </c>
      <c r="O1483" s="130">
        <v>27</v>
      </c>
      <c r="P1483" s="130">
        <f>MONTH(Table1[[#This Row],[Date]])</f>
        <v>10</v>
      </c>
      <c r="Q1483" s="130">
        <v>2019</v>
      </c>
      <c r="R1483" s="166">
        <f>IF(ISBLANK(Table1[[#This Row],[Date]]),"",Table1[[#This Row],[Date]]-WEEKDAY(Table1[[#This Row],[Date]],2)+1)</f>
        <v>43759</v>
      </c>
      <c r="S1483" s="131">
        <f>IF(ISBLANK(Table1[[#This Row],[Date]]),"",DATE(Table1[[#This Row],[Date_Year]],Table1[[#This Row],[Date_Month]],1))</f>
        <v>43739</v>
      </c>
    </row>
    <row r="1484" spans="2:19" ht="15.75" x14ac:dyDescent="0.25">
      <c r="B1484" s="133">
        <v>43765</v>
      </c>
      <c r="C1484" s="128" t="s">
        <v>1503</v>
      </c>
      <c r="D1484" s="128" t="s">
        <v>51</v>
      </c>
      <c r="E1484" s="128" t="str" cm="1">
        <f t="array" ref="E1484">IFERROR(INDEX(SubcategoriesTable[Subcategory name],MATCH(Table1[[#This Row],[Category]],SubcategoriesTable[Category name],0),0),"")</f>
        <v>Variable</v>
      </c>
      <c r="F1484" s="134">
        <v>-49</v>
      </c>
      <c r="G1484" s="167" t="str">
        <f>_xlfn.XLOOKUP(Table1[[#This Row],[Account_ID]], Accounts[ID], Accounts[Account nickname], "Unknown")</f>
        <v>EVERYDAY CHECKING</v>
      </c>
      <c r="H1484" s="137" t="str">
        <f>_xlfn.XLOOKUP(Table1[[#This Row],[Account_ID]], Accounts[ID], Accounts[Account'#], "Unknown")</f>
        <v>4636</v>
      </c>
      <c r="I1484" s="168" t="str">
        <f>_xlfn.XLOOKUP(Table1[[#This Row],[Institution_ID]], Institutions[ID], Institutions[Institution nickname], "Unknown")</f>
        <v>Wells Fargo</v>
      </c>
      <c r="J1484" s="139" t="s">
        <v>2221</v>
      </c>
      <c r="K1484" s="129" t="s">
        <v>1229</v>
      </c>
      <c r="L1484" s="129" t="s">
        <v>1228</v>
      </c>
      <c r="M1484" s="130" t="str" cm="1">
        <f t="array" ref="M1484">IFERROR(INDEX(CategoriesTable[Category type],MATCH(Table1[[#This Row],[Category]],CategoriesTable[Category name],0),0),"")</f>
        <v>Expense</v>
      </c>
      <c r="N1484" s="130" t="str" cm="1">
        <f t="array" ref="N1484">IFERROR(INDEX(SubcategoriesTable[Subcategory name],MATCH(Table1[[#This Row],[Category]],SubcategoriesTable[Category name],0),0),"")</f>
        <v>Variable</v>
      </c>
      <c r="O1484" s="130">
        <v>27</v>
      </c>
      <c r="P1484" s="130">
        <f>MONTH(Table1[[#This Row],[Date]])</f>
        <v>10</v>
      </c>
      <c r="Q1484" s="130">
        <v>2019</v>
      </c>
      <c r="R1484" s="166">
        <f>IF(ISBLANK(Table1[[#This Row],[Date]]),"",Table1[[#This Row],[Date]]-WEEKDAY(Table1[[#This Row],[Date]],2)+1)</f>
        <v>43759</v>
      </c>
      <c r="S1484" s="131">
        <f>IF(ISBLANK(Table1[[#This Row],[Date]]),"",DATE(Table1[[#This Row],[Date_Year]],Table1[[#This Row],[Date_Month]],1))</f>
        <v>43739</v>
      </c>
    </row>
    <row r="1485" spans="2:19" ht="15.75" x14ac:dyDescent="0.25">
      <c r="B1485" s="133">
        <v>43764</v>
      </c>
      <c r="C1485" s="128" t="s">
        <v>2222</v>
      </c>
      <c r="D1485" s="128" t="s">
        <v>60</v>
      </c>
      <c r="E1485" s="128" t="str" cm="1">
        <f t="array" ref="E1485">IFERROR(INDEX(SubcategoriesTable[Subcategory name],MATCH(Table1[[#This Row],[Category]],SubcategoriesTable[Category name],0),0),"")</f>
        <v>Variable</v>
      </c>
      <c r="F1485" s="134">
        <v>-14</v>
      </c>
      <c r="G1485" s="167" t="str">
        <f>_xlfn.XLOOKUP(Table1[[#This Row],[Account_ID]], Accounts[ID], Accounts[Account nickname], "Unknown")</f>
        <v>EVERYDAY CHECKING</v>
      </c>
      <c r="H1485" s="137" t="str">
        <f>_xlfn.XLOOKUP(Table1[[#This Row],[Account_ID]], Accounts[ID], Accounts[Account'#], "Unknown")</f>
        <v>4636</v>
      </c>
      <c r="I1485" s="168" t="str">
        <f>_xlfn.XLOOKUP(Table1[[#This Row],[Institution_ID]], Institutions[ID], Institutions[Institution nickname], "Unknown")</f>
        <v>Wells Fargo</v>
      </c>
      <c r="J1485" s="139" t="s">
        <v>2223</v>
      </c>
      <c r="K1485" s="129" t="s">
        <v>1229</v>
      </c>
      <c r="L1485" s="129" t="s">
        <v>1228</v>
      </c>
      <c r="M1485" s="130" t="str" cm="1">
        <f t="array" ref="M1485">IFERROR(INDEX(CategoriesTable[Category type],MATCH(Table1[[#This Row],[Category]],CategoriesTable[Category name],0),0),"")</f>
        <v>Expense</v>
      </c>
      <c r="N1485" s="130" t="str" cm="1">
        <f t="array" ref="N1485">IFERROR(INDEX(SubcategoriesTable[Subcategory name],MATCH(Table1[[#This Row],[Category]],SubcategoriesTable[Category name],0),0),"")</f>
        <v>Variable</v>
      </c>
      <c r="O1485" s="130">
        <v>26</v>
      </c>
      <c r="P1485" s="130">
        <f>MONTH(Table1[[#This Row],[Date]])</f>
        <v>10</v>
      </c>
      <c r="Q1485" s="130">
        <v>2019</v>
      </c>
      <c r="R1485" s="166">
        <f>IF(ISBLANK(Table1[[#This Row],[Date]]),"",Table1[[#This Row],[Date]]-WEEKDAY(Table1[[#This Row],[Date]],2)+1)</f>
        <v>43759</v>
      </c>
      <c r="S1485" s="131">
        <f>IF(ISBLANK(Table1[[#This Row],[Date]]),"",DATE(Table1[[#This Row],[Date_Year]],Table1[[#This Row],[Date_Month]],1))</f>
        <v>43739</v>
      </c>
    </row>
    <row r="1486" spans="2:19" ht="15.75" x14ac:dyDescent="0.25">
      <c r="B1486" s="133">
        <v>43763</v>
      </c>
      <c r="C1486" s="128" t="s">
        <v>2224</v>
      </c>
      <c r="D1486" s="128" t="s">
        <v>45</v>
      </c>
      <c r="E1486" s="128" t="str" cm="1">
        <f t="array" ref="E1486">IFERROR(INDEX(SubcategoriesTable[Subcategory name],MATCH(Table1[[#This Row],[Category]],SubcategoriesTable[Category name],0),0),"")</f>
        <v>Variable</v>
      </c>
      <c r="F1486" s="134">
        <v>-28</v>
      </c>
      <c r="G1486" s="167" t="str">
        <f>_xlfn.XLOOKUP(Table1[[#This Row],[Account_ID]], Accounts[ID], Accounts[Account nickname], "Unknown")</f>
        <v>EVERYDAY CHECKING</v>
      </c>
      <c r="H1486" s="137" t="str">
        <f>_xlfn.XLOOKUP(Table1[[#This Row],[Account_ID]], Accounts[ID], Accounts[Account'#], "Unknown")</f>
        <v>4636</v>
      </c>
      <c r="I1486" s="168" t="str">
        <f>_xlfn.XLOOKUP(Table1[[#This Row],[Institution_ID]], Institutions[ID], Institutions[Institution nickname], "Unknown")</f>
        <v>Wells Fargo</v>
      </c>
      <c r="J1486" s="139" t="s">
        <v>2225</v>
      </c>
      <c r="K1486" s="129" t="s">
        <v>1229</v>
      </c>
      <c r="L1486" s="129" t="s">
        <v>1228</v>
      </c>
      <c r="M1486" s="130" t="str" cm="1">
        <f t="array" ref="M1486">IFERROR(INDEX(CategoriesTable[Category type],MATCH(Table1[[#This Row],[Category]],CategoriesTable[Category name],0),0),"")</f>
        <v>Expense</v>
      </c>
      <c r="N1486" s="130" t="str" cm="1">
        <f t="array" ref="N1486">IFERROR(INDEX(SubcategoriesTable[Subcategory name],MATCH(Table1[[#This Row],[Category]],SubcategoriesTable[Category name],0),0),"")</f>
        <v>Variable</v>
      </c>
      <c r="O1486" s="130">
        <v>25</v>
      </c>
      <c r="P1486" s="130">
        <f>MONTH(Table1[[#This Row],[Date]])</f>
        <v>10</v>
      </c>
      <c r="Q1486" s="130">
        <v>2019</v>
      </c>
      <c r="R1486" s="166">
        <f>IF(ISBLANK(Table1[[#This Row],[Date]]),"",Table1[[#This Row],[Date]]-WEEKDAY(Table1[[#This Row],[Date]],2)+1)</f>
        <v>43759</v>
      </c>
      <c r="S1486" s="131">
        <f>IF(ISBLANK(Table1[[#This Row],[Date]]),"",DATE(Table1[[#This Row],[Date_Year]],Table1[[#This Row],[Date_Month]],1))</f>
        <v>43739</v>
      </c>
    </row>
    <row r="1487" spans="2:19" ht="15.75" x14ac:dyDescent="0.25">
      <c r="B1487" s="133">
        <v>43763</v>
      </c>
      <c r="C1487" s="128" t="s">
        <v>152</v>
      </c>
      <c r="D1487" s="128" t="s">
        <v>54</v>
      </c>
      <c r="E1487" s="128" t="str" cm="1">
        <f t="array" ref="E1487">IFERROR(INDEX(SubcategoriesTable[Subcategory name],MATCH(Table1[[#This Row],[Category]],SubcategoriesTable[Category name],0),0),"")</f>
        <v>Fixed</v>
      </c>
      <c r="F1487" s="134">
        <v>-15.99</v>
      </c>
      <c r="G1487" s="167" t="str">
        <f>_xlfn.XLOOKUP(Table1[[#This Row],[Account_ID]], Accounts[ID], Accounts[Account nickname], "Unknown")</f>
        <v>EVERYDAY CHECKING</v>
      </c>
      <c r="H1487" s="137" t="str">
        <f>_xlfn.XLOOKUP(Table1[[#This Row],[Account_ID]], Accounts[ID], Accounts[Account'#], "Unknown")</f>
        <v>4636</v>
      </c>
      <c r="I1487" s="168" t="str">
        <f>_xlfn.XLOOKUP(Table1[[#This Row],[Institution_ID]], Institutions[ID], Institutions[Institution nickname], "Unknown")</f>
        <v>Wells Fargo</v>
      </c>
      <c r="J1487" s="139" t="s">
        <v>2226</v>
      </c>
      <c r="K1487" s="129" t="s">
        <v>1229</v>
      </c>
      <c r="L1487" s="129" t="s">
        <v>1228</v>
      </c>
      <c r="M1487" s="130" t="str" cm="1">
        <f t="array" ref="M1487">IFERROR(INDEX(CategoriesTable[Category type],MATCH(Table1[[#This Row],[Category]],CategoriesTable[Category name],0),0),"")</f>
        <v>Expense</v>
      </c>
      <c r="N1487" s="130" t="str" cm="1">
        <f t="array" ref="N1487">IFERROR(INDEX(SubcategoriesTable[Subcategory name],MATCH(Table1[[#This Row],[Category]],SubcategoriesTable[Category name],0),0),"")</f>
        <v>Fixed</v>
      </c>
      <c r="O1487" s="130">
        <v>25</v>
      </c>
      <c r="P1487" s="130">
        <f>MONTH(Table1[[#This Row],[Date]])</f>
        <v>10</v>
      </c>
      <c r="Q1487" s="130">
        <v>2019</v>
      </c>
      <c r="R1487" s="166">
        <f>IF(ISBLANK(Table1[[#This Row],[Date]]),"",Table1[[#This Row],[Date]]-WEEKDAY(Table1[[#This Row],[Date]],2)+1)</f>
        <v>43759</v>
      </c>
      <c r="S1487" s="131">
        <f>IF(ISBLANK(Table1[[#This Row],[Date]]),"",DATE(Table1[[#This Row],[Date_Year]],Table1[[#This Row],[Date_Month]],1))</f>
        <v>43739</v>
      </c>
    </row>
    <row r="1488" spans="2:19" ht="15.75" x14ac:dyDescent="0.25">
      <c r="B1488" s="133">
        <v>43763</v>
      </c>
      <c r="C1488" s="128" t="s">
        <v>1181</v>
      </c>
      <c r="D1488" s="128" t="s">
        <v>59</v>
      </c>
      <c r="E1488" s="128" t="str" cm="1">
        <f t="array" ref="E1488">IFERROR(INDEX(SubcategoriesTable[Subcategory name],MATCH(Table1[[#This Row],[Category]],SubcategoriesTable[Category name],0),0),"")</f>
        <v>Fixed</v>
      </c>
      <c r="F1488" s="134">
        <v>1561.48</v>
      </c>
      <c r="G1488" s="167" t="str">
        <f>_xlfn.XLOOKUP(Table1[[#This Row],[Account_ID]], Accounts[ID], Accounts[Account nickname], "Unknown")</f>
        <v>EVERYDAY CHECKING</v>
      </c>
      <c r="H1488" s="137" t="str">
        <f>_xlfn.XLOOKUP(Table1[[#This Row],[Account_ID]], Accounts[ID], Accounts[Account'#], "Unknown")</f>
        <v>4636</v>
      </c>
      <c r="I1488" s="168" t="str">
        <f>_xlfn.XLOOKUP(Table1[[#This Row],[Institution_ID]], Institutions[ID], Institutions[Institution nickname], "Unknown")</f>
        <v>Wells Fargo</v>
      </c>
      <c r="J1488" s="139" t="s">
        <v>2227</v>
      </c>
      <c r="K1488" s="129" t="s">
        <v>1229</v>
      </c>
      <c r="L1488" s="129" t="s">
        <v>1228</v>
      </c>
      <c r="M1488" s="130" t="str" cm="1">
        <f t="array" ref="M1488">IFERROR(INDEX(CategoriesTable[Category type],MATCH(Table1[[#This Row],[Category]],CategoriesTable[Category name],0),0),"")</f>
        <v>Income</v>
      </c>
      <c r="N1488" s="130" t="str" cm="1">
        <f t="array" ref="N1488">IFERROR(INDEX(SubcategoriesTable[Subcategory name],MATCH(Table1[[#This Row],[Category]],SubcategoriesTable[Category name],0),0),"")</f>
        <v>Fixed</v>
      </c>
      <c r="O1488" s="130">
        <v>25</v>
      </c>
      <c r="P1488" s="130">
        <f>MONTH(Table1[[#This Row],[Date]])</f>
        <v>10</v>
      </c>
      <c r="Q1488" s="130">
        <v>2019</v>
      </c>
      <c r="R1488" s="166">
        <f>IF(ISBLANK(Table1[[#This Row],[Date]]),"",Table1[[#This Row],[Date]]-WEEKDAY(Table1[[#This Row],[Date]],2)+1)</f>
        <v>43759</v>
      </c>
      <c r="S1488" s="131">
        <f>IF(ISBLANK(Table1[[#This Row],[Date]]),"",DATE(Table1[[#This Row],[Date_Year]],Table1[[#This Row],[Date_Month]],1))</f>
        <v>43739</v>
      </c>
    </row>
    <row r="1489" spans="2:19" ht="15.75" x14ac:dyDescent="0.25">
      <c r="B1489" s="133">
        <v>43763</v>
      </c>
      <c r="C1489" s="128" t="s">
        <v>1198</v>
      </c>
      <c r="D1489" s="128" t="s">
        <v>58</v>
      </c>
      <c r="E1489" s="128" t="str" cm="1">
        <f t="array" ref="E1489">IFERROR(INDEX(SubcategoriesTable[Subcategory name],MATCH(Table1[[#This Row],[Category]],SubcategoriesTable[Category name],0),0),"")</f>
        <v>Fixed</v>
      </c>
      <c r="F1489" s="134">
        <v>-150</v>
      </c>
      <c r="G1489" s="167" t="str">
        <f>_xlfn.XLOOKUP(Table1[[#This Row],[Account_ID]], Accounts[ID], Accounts[Account nickname], "Unknown")</f>
        <v>EVERYDAY CHECKING</v>
      </c>
      <c r="H1489" s="137" t="str">
        <f>_xlfn.XLOOKUP(Table1[[#This Row],[Account_ID]], Accounts[ID], Accounts[Account'#], "Unknown")</f>
        <v>4636</v>
      </c>
      <c r="I1489" s="168" t="str">
        <f>_xlfn.XLOOKUP(Table1[[#This Row],[Institution_ID]], Institutions[ID], Institutions[Institution nickname], "Unknown")</f>
        <v>Wells Fargo</v>
      </c>
      <c r="J1489" s="139" t="s">
        <v>2228</v>
      </c>
      <c r="K1489" s="129" t="s">
        <v>1229</v>
      </c>
      <c r="L1489" s="129" t="s">
        <v>1228</v>
      </c>
      <c r="M1489" s="130" t="str" cm="1">
        <f t="array" ref="M1489">IFERROR(INDEX(CategoriesTable[Category type],MATCH(Table1[[#This Row],[Category]],CategoriesTable[Category name],0),0),"")</f>
        <v>Expense</v>
      </c>
      <c r="N1489" s="130" t="str" cm="1">
        <f t="array" ref="N1489">IFERROR(INDEX(SubcategoriesTable[Subcategory name],MATCH(Table1[[#This Row],[Category]],SubcategoriesTable[Category name],0),0),"")</f>
        <v>Fixed</v>
      </c>
      <c r="O1489" s="130">
        <v>25</v>
      </c>
      <c r="P1489" s="130">
        <f>MONTH(Table1[[#This Row],[Date]])</f>
        <v>10</v>
      </c>
      <c r="Q1489" s="130">
        <v>2019</v>
      </c>
      <c r="R1489" s="166">
        <f>IF(ISBLANK(Table1[[#This Row],[Date]]),"",Table1[[#This Row],[Date]]-WEEKDAY(Table1[[#This Row],[Date]],2)+1)</f>
        <v>43759</v>
      </c>
      <c r="S1489" s="131">
        <f>IF(ISBLANK(Table1[[#This Row],[Date]]),"",DATE(Table1[[#This Row],[Date_Year]],Table1[[#This Row],[Date_Month]],1))</f>
        <v>43739</v>
      </c>
    </row>
    <row r="1490" spans="2:19" ht="15.75" x14ac:dyDescent="0.25">
      <c r="B1490" s="133">
        <v>43760</v>
      </c>
      <c r="C1490" s="128" t="s">
        <v>148</v>
      </c>
      <c r="D1490" s="128" t="s">
        <v>54</v>
      </c>
      <c r="E1490" s="128" t="str" cm="1">
        <f t="array" ref="E1490">IFERROR(INDEX(SubcategoriesTable[Subcategory name],MATCH(Table1[[#This Row],[Category]],SubcategoriesTable[Category name],0),0),"")</f>
        <v>Fixed</v>
      </c>
      <c r="F1490" s="134">
        <v>-9.99</v>
      </c>
      <c r="G1490" s="167" t="str">
        <f>_xlfn.XLOOKUP(Table1[[#This Row],[Account_ID]], Accounts[ID], Accounts[Account nickname], "Unknown")</f>
        <v>EVERYDAY CHECKING</v>
      </c>
      <c r="H1490" s="137" t="str">
        <f>_xlfn.XLOOKUP(Table1[[#This Row],[Account_ID]], Accounts[ID], Accounts[Account'#], "Unknown")</f>
        <v>4636</v>
      </c>
      <c r="I1490" s="168" t="str">
        <f>_xlfn.XLOOKUP(Table1[[#This Row],[Institution_ID]], Institutions[ID], Institutions[Institution nickname], "Unknown")</f>
        <v>Wells Fargo</v>
      </c>
      <c r="J1490" s="171" t="s">
        <v>2229</v>
      </c>
      <c r="K1490" s="129" t="s">
        <v>1229</v>
      </c>
      <c r="L1490" s="129" t="s">
        <v>1228</v>
      </c>
      <c r="M1490" s="130" t="str" cm="1">
        <f t="array" ref="M1490">IFERROR(INDEX(CategoriesTable[Category type],MATCH(Table1[[#This Row],[Category]],CategoriesTable[Category name],0),0),"")</f>
        <v>Expense</v>
      </c>
      <c r="N1490" s="130" t="str" cm="1">
        <f t="array" ref="N1490">IFERROR(INDEX(SubcategoriesTable[Subcategory name],MATCH(Table1[[#This Row],[Category]],SubcategoriesTable[Category name],0),0),"")</f>
        <v>Fixed</v>
      </c>
      <c r="O1490" s="130">
        <v>22</v>
      </c>
      <c r="P1490" s="130">
        <f>MONTH(Table1[[#This Row],[Date]])</f>
        <v>10</v>
      </c>
      <c r="Q1490" s="130">
        <v>2019</v>
      </c>
      <c r="R1490" s="166">
        <f>IF(ISBLANK(Table1[[#This Row],[Date]]),"",Table1[[#This Row],[Date]]-WEEKDAY(Table1[[#This Row],[Date]],2)+1)</f>
        <v>43759</v>
      </c>
      <c r="S1490" s="131">
        <f>IF(ISBLANK(Table1[[#This Row],[Date]]),"",DATE(Table1[[#This Row],[Date_Year]],Table1[[#This Row],[Date_Month]],1))</f>
        <v>43739</v>
      </c>
    </row>
    <row r="1491" spans="2:19" ht="15.75" x14ac:dyDescent="0.25">
      <c r="B1491" s="133">
        <v>43759</v>
      </c>
      <c r="C1491" s="128" t="s">
        <v>531</v>
      </c>
      <c r="D1491" s="128" t="s">
        <v>54</v>
      </c>
      <c r="E1491" s="128" t="str" cm="1">
        <f t="array" ref="E1491">IFERROR(INDEX(SubcategoriesTable[Subcategory name],MATCH(Table1[[#This Row],[Category]],SubcategoriesTable[Category name],0),0),"")</f>
        <v>Fixed</v>
      </c>
      <c r="F1491" s="134">
        <v>-9.27</v>
      </c>
      <c r="G1491" s="167" t="str">
        <f>_xlfn.XLOOKUP(Table1[[#This Row],[Account_ID]], Accounts[ID], Accounts[Account nickname], "Unknown")</f>
        <v>EVERYDAY CHECKING</v>
      </c>
      <c r="H1491" s="137" t="str">
        <f>_xlfn.XLOOKUP(Table1[[#This Row],[Account_ID]], Accounts[ID], Accounts[Account'#], "Unknown")</f>
        <v>4636</v>
      </c>
      <c r="I1491" s="168" t="str">
        <f>_xlfn.XLOOKUP(Table1[[#This Row],[Institution_ID]], Institutions[ID], Institutions[Institution nickname], "Unknown")</f>
        <v>Wells Fargo</v>
      </c>
      <c r="J1491" s="139" t="s">
        <v>2230</v>
      </c>
      <c r="K1491" s="129" t="s">
        <v>1229</v>
      </c>
      <c r="L1491" s="129" t="s">
        <v>1228</v>
      </c>
      <c r="M1491" s="130" t="str" cm="1">
        <f t="array" ref="M1491">IFERROR(INDEX(CategoriesTable[Category type],MATCH(Table1[[#This Row],[Category]],CategoriesTable[Category name],0),0),"")</f>
        <v>Expense</v>
      </c>
      <c r="N1491" s="130" t="str" cm="1">
        <f t="array" ref="N1491">IFERROR(INDEX(SubcategoriesTable[Subcategory name],MATCH(Table1[[#This Row],[Category]],SubcategoriesTable[Category name],0),0),"")</f>
        <v>Fixed</v>
      </c>
      <c r="O1491" s="130">
        <v>21</v>
      </c>
      <c r="P1491" s="130">
        <f>MONTH(Table1[[#This Row],[Date]])</f>
        <v>10</v>
      </c>
      <c r="Q1491" s="130">
        <v>2019</v>
      </c>
      <c r="R1491" s="166">
        <f>IF(ISBLANK(Table1[[#This Row],[Date]]),"",Table1[[#This Row],[Date]]-WEEKDAY(Table1[[#This Row],[Date]],2)+1)</f>
        <v>43759</v>
      </c>
      <c r="S1491" s="131">
        <f>IF(ISBLANK(Table1[[#This Row],[Date]]),"",DATE(Table1[[#This Row],[Date_Year]],Table1[[#This Row],[Date_Month]],1))</f>
        <v>43739</v>
      </c>
    </row>
    <row r="1492" spans="2:19" ht="15.75" x14ac:dyDescent="0.25">
      <c r="B1492" s="133">
        <v>43759</v>
      </c>
      <c r="C1492" s="128" t="s">
        <v>508</v>
      </c>
      <c r="D1492" s="128" t="s">
        <v>50</v>
      </c>
      <c r="E1492" s="128" t="str" cm="1">
        <f t="array" ref="E1492">IFERROR(INDEX(SubcategoriesTable[Subcategory name],MATCH(Table1[[#This Row],[Category]],SubcategoriesTable[Category name],0),0),"")</f>
        <v>Variable</v>
      </c>
      <c r="F1492" s="134">
        <v>-91</v>
      </c>
      <c r="G1492" s="167" t="str">
        <f>_xlfn.XLOOKUP(Table1[[#This Row],[Account_ID]], Accounts[ID], Accounts[Account nickname], "Unknown")</f>
        <v>EVERYDAY CHECKING</v>
      </c>
      <c r="H1492" s="137" t="str">
        <f>_xlfn.XLOOKUP(Table1[[#This Row],[Account_ID]], Accounts[ID], Accounts[Account'#], "Unknown")</f>
        <v>4636</v>
      </c>
      <c r="I1492" s="168" t="str">
        <f>_xlfn.XLOOKUP(Table1[[#This Row],[Institution_ID]], Institutions[ID], Institutions[Institution nickname], "Unknown")</f>
        <v>Wells Fargo</v>
      </c>
      <c r="J1492" s="139" t="s">
        <v>2231</v>
      </c>
      <c r="K1492" s="129" t="s">
        <v>1229</v>
      </c>
      <c r="L1492" s="129" t="s">
        <v>1228</v>
      </c>
      <c r="M1492" s="130" t="str" cm="1">
        <f t="array" ref="M1492">IFERROR(INDEX(CategoriesTable[Category type],MATCH(Table1[[#This Row],[Category]],CategoriesTable[Category name],0),0),"")</f>
        <v>Transfer</v>
      </c>
      <c r="N1492" s="130" t="str" cm="1">
        <f t="array" ref="N1492">IFERROR(INDEX(SubcategoriesTable[Subcategory name],MATCH(Table1[[#This Row],[Category]],SubcategoriesTable[Category name],0),0),"")</f>
        <v>Variable</v>
      </c>
      <c r="O1492" s="130">
        <v>21</v>
      </c>
      <c r="P1492" s="130">
        <f>MONTH(Table1[[#This Row],[Date]])</f>
        <v>10</v>
      </c>
      <c r="Q1492" s="130">
        <v>2019</v>
      </c>
      <c r="R1492" s="166">
        <f>IF(ISBLANK(Table1[[#This Row],[Date]]),"",Table1[[#This Row],[Date]]-WEEKDAY(Table1[[#This Row],[Date]],2)+1)</f>
        <v>43759</v>
      </c>
      <c r="S1492" s="131">
        <f>IF(ISBLANK(Table1[[#This Row],[Date]]),"",DATE(Table1[[#This Row],[Date_Year]],Table1[[#This Row],[Date_Month]],1))</f>
        <v>43739</v>
      </c>
    </row>
    <row r="1493" spans="2:19" ht="15.75" x14ac:dyDescent="0.25">
      <c r="B1493" s="133">
        <v>43758</v>
      </c>
      <c r="C1493" s="128" t="s">
        <v>169</v>
      </c>
      <c r="D1493" s="128" t="s">
        <v>45</v>
      </c>
      <c r="E1493" s="128" t="str" cm="1">
        <f t="array" ref="E1493">IFERROR(INDEX(SubcategoriesTable[Subcategory name],MATCH(Table1[[#This Row],[Category]],SubcategoriesTable[Category name],0),0),"")</f>
        <v>Variable</v>
      </c>
      <c r="F1493" s="134">
        <v>-9</v>
      </c>
      <c r="G1493" s="167" t="str">
        <f>_xlfn.XLOOKUP(Table1[[#This Row],[Account_ID]], Accounts[ID], Accounts[Account nickname], "Unknown")</f>
        <v>EVERYDAY CHECKING</v>
      </c>
      <c r="H1493" s="137" t="str">
        <f>_xlfn.XLOOKUP(Table1[[#This Row],[Account_ID]], Accounts[ID], Accounts[Account'#], "Unknown")</f>
        <v>4636</v>
      </c>
      <c r="I1493" s="168" t="str">
        <f>_xlfn.XLOOKUP(Table1[[#This Row],[Institution_ID]], Institutions[ID], Institutions[Institution nickname], "Unknown")</f>
        <v>Wells Fargo</v>
      </c>
      <c r="J1493" s="139" t="s">
        <v>2232</v>
      </c>
      <c r="K1493" s="129" t="s">
        <v>1229</v>
      </c>
      <c r="L1493" s="129" t="s">
        <v>1228</v>
      </c>
      <c r="M1493" s="130" t="str" cm="1">
        <f t="array" ref="M1493">IFERROR(INDEX(CategoriesTable[Category type],MATCH(Table1[[#This Row],[Category]],CategoriesTable[Category name],0),0),"")</f>
        <v>Expense</v>
      </c>
      <c r="N1493" s="130" t="str" cm="1">
        <f t="array" ref="N1493">IFERROR(INDEX(SubcategoriesTable[Subcategory name],MATCH(Table1[[#This Row],[Category]],SubcategoriesTable[Category name],0),0),"")</f>
        <v>Variable</v>
      </c>
      <c r="O1493" s="130">
        <v>20</v>
      </c>
      <c r="P1493" s="130">
        <f>MONTH(Table1[[#This Row],[Date]])</f>
        <v>10</v>
      </c>
      <c r="Q1493" s="130">
        <v>2019</v>
      </c>
      <c r="R1493" s="166">
        <f>IF(ISBLANK(Table1[[#This Row],[Date]]),"",Table1[[#This Row],[Date]]-WEEKDAY(Table1[[#This Row],[Date]],2)+1)</f>
        <v>43752</v>
      </c>
      <c r="S1493" s="131">
        <f>IF(ISBLANK(Table1[[#This Row],[Date]]),"",DATE(Table1[[#This Row],[Date_Year]],Table1[[#This Row],[Date_Month]],1))</f>
        <v>43739</v>
      </c>
    </row>
    <row r="1494" spans="2:19" ht="15.75" x14ac:dyDescent="0.25">
      <c r="B1494" s="133">
        <v>43758</v>
      </c>
      <c r="C1494" s="128" t="s">
        <v>1066</v>
      </c>
      <c r="D1494" s="128" t="s">
        <v>61</v>
      </c>
      <c r="E1494" s="128" t="str" cm="1">
        <f t="array" ref="E1494">IFERROR(INDEX(SubcategoriesTable[Subcategory name],MATCH(Table1[[#This Row],[Category]],SubcategoriesTable[Category name],0),0),"")</f>
        <v>Variable</v>
      </c>
      <c r="F1494" s="134">
        <v>-15.01</v>
      </c>
      <c r="G1494" s="167" t="str">
        <f>_xlfn.XLOOKUP(Table1[[#This Row],[Account_ID]], Accounts[ID], Accounts[Account nickname], "Unknown")</f>
        <v>Discover it chrome Card</v>
      </c>
      <c r="H1494" s="137" t="str">
        <f>_xlfn.XLOOKUP(Table1[[#This Row],[Account_ID]], Accounts[ID], Accounts[Account'#], "Unknown")</f>
        <v>7328</v>
      </c>
      <c r="I1494" s="168" t="str">
        <f>_xlfn.XLOOKUP(Table1[[#This Row],[Institution_ID]], Institutions[ID], Institutions[Institution nickname], "Unknown")</f>
        <v>Discover</v>
      </c>
      <c r="J1494" s="139" t="s">
        <v>1069</v>
      </c>
      <c r="K1494" s="129" t="s">
        <v>110</v>
      </c>
      <c r="L1494" s="129" t="s">
        <v>108</v>
      </c>
      <c r="M1494" s="130" t="str" cm="1">
        <f t="array" ref="M1494">IFERROR(INDEX(CategoriesTable[Category type],MATCH(Table1[[#This Row],[Category]],CategoriesTable[Category name],0),0),"")</f>
        <v>Expense</v>
      </c>
      <c r="N1494" s="130" t="str" cm="1">
        <f t="array" ref="N1494">IFERROR(INDEX(SubcategoriesTable[Subcategory name],MATCH(Table1[[#This Row],[Category]],SubcategoriesTable[Category name],0),0),"")</f>
        <v>Variable</v>
      </c>
      <c r="O1494" s="130">
        <v>20</v>
      </c>
      <c r="P1494" s="130">
        <f>MONTH(Table1[[#This Row],[Date]])</f>
        <v>10</v>
      </c>
      <c r="Q1494" s="130">
        <v>2019</v>
      </c>
      <c r="R1494" s="166">
        <f>IF(ISBLANK(Table1[[#This Row],[Date]]),"",Table1[[#This Row],[Date]]-WEEKDAY(Table1[[#This Row],[Date]],2)+1)</f>
        <v>43752</v>
      </c>
      <c r="S1494" s="131">
        <f>IF(ISBLANK(Table1[[#This Row],[Date]]),"",DATE(Table1[[#This Row],[Date_Year]],Table1[[#This Row],[Date_Month]],1))</f>
        <v>43739</v>
      </c>
    </row>
    <row r="1495" spans="2:19" ht="15.75" x14ac:dyDescent="0.25">
      <c r="B1495" s="133">
        <v>43756</v>
      </c>
      <c r="C1495" s="128" t="s">
        <v>2068</v>
      </c>
      <c r="D1495" s="128" t="s">
        <v>52</v>
      </c>
      <c r="E1495" s="128" t="str" cm="1">
        <f t="array" ref="E1495">IFERROR(INDEX(SubcategoriesTable[Subcategory name],MATCH(Table1[[#This Row],[Category]],SubcategoriesTable[Category name],0),0),"")</f>
        <v>Variable</v>
      </c>
      <c r="F1495" s="134">
        <v>-26.36</v>
      </c>
      <c r="G1495" s="167" t="str">
        <f>_xlfn.XLOOKUP(Table1[[#This Row],[Account_ID]], Accounts[ID], Accounts[Account nickname], "Unknown")</f>
        <v>EVERYDAY CHECKING</v>
      </c>
      <c r="H1495" s="137" t="str">
        <f>_xlfn.XLOOKUP(Table1[[#This Row],[Account_ID]], Accounts[ID], Accounts[Account'#], "Unknown")</f>
        <v>4636</v>
      </c>
      <c r="I1495" s="168" t="str">
        <f>_xlfn.XLOOKUP(Table1[[#This Row],[Institution_ID]], Institutions[ID], Institutions[Institution nickname], "Unknown")</f>
        <v>Wells Fargo</v>
      </c>
      <c r="J1495" s="139" t="s">
        <v>2233</v>
      </c>
      <c r="K1495" s="129" t="s">
        <v>1229</v>
      </c>
      <c r="L1495" s="129" t="s">
        <v>1228</v>
      </c>
      <c r="M1495" s="130" t="str" cm="1">
        <f t="array" ref="M1495">IFERROR(INDEX(CategoriesTable[Category type],MATCH(Table1[[#This Row],[Category]],CategoriesTable[Category name],0),0),"")</f>
        <v>Expense</v>
      </c>
      <c r="N1495" s="130" t="str" cm="1">
        <f t="array" ref="N1495">IFERROR(INDEX(SubcategoriesTable[Subcategory name],MATCH(Table1[[#This Row],[Category]],SubcategoriesTable[Category name],0),0),"")</f>
        <v>Variable</v>
      </c>
      <c r="O1495" s="130">
        <v>18</v>
      </c>
      <c r="P1495" s="130">
        <f>MONTH(Table1[[#This Row],[Date]])</f>
        <v>10</v>
      </c>
      <c r="Q1495" s="130">
        <v>2019</v>
      </c>
      <c r="R1495" s="166">
        <f>IF(ISBLANK(Table1[[#This Row],[Date]]),"",Table1[[#This Row],[Date]]-WEEKDAY(Table1[[#This Row],[Date]],2)+1)</f>
        <v>43752</v>
      </c>
      <c r="S1495" s="131">
        <f>IF(ISBLANK(Table1[[#This Row],[Date]]),"",DATE(Table1[[#This Row],[Date_Year]],Table1[[#This Row],[Date_Month]],1))</f>
        <v>43739</v>
      </c>
    </row>
    <row r="1496" spans="2:19" ht="15.75" x14ac:dyDescent="0.25">
      <c r="B1496" s="133">
        <v>43755</v>
      </c>
      <c r="C1496" s="128" t="s">
        <v>531</v>
      </c>
      <c r="D1496" s="128" t="s">
        <v>54</v>
      </c>
      <c r="E1496" s="128" t="str" cm="1">
        <f t="array" ref="E1496">IFERROR(INDEX(SubcategoriesTable[Subcategory name],MATCH(Table1[[#This Row],[Category]],SubcategoriesTable[Category name],0),0),"")</f>
        <v>Fixed</v>
      </c>
      <c r="F1496" s="134">
        <v>-5.77</v>
      </c>
      <c r="G1496" s="167" t="str">
        <f>_xlfn.XLOOKUP(Table1[[#This Row],[Account_ID]], Accounts[ID], Accounts[Account nickname], "Unknown")</f>
        <v>EVERYDAY CHECKING</v>
      </c>
      <c r="H1496" s="137" t="str">
        <f>_xlfn.XLOOKUP(Table1[[#This Row],[Account_ID]], Accounts[ID], Accounts[Account'#], "Unknown")</f>
        <v>4636</v>
      </c>
      <c r="I1496" s="168" t="str">
        <f>_xlfn.XLOOKUP(Table1[[#This Row],[Institution_ID]], Institutions[ID], Institutions[Institution nickname], "Unknown")</f>
        <v>Wells Fargo</v>
      </c>
      <c r="J1496" s="139" t="s">
        <v>2234</v>
      </c>
      <c r="K1496" s="129" t="s">
        <v>1229</v>
      </c>
      <c r="L1496" s="129" t="s">
        <v>1228</v>
      </c>
      <c r="M1496" s="130" t="str" cm="1">
        <f t="array" ref="M1496">IFERROR(INDEX(CategoriesTable[Category type],MATCH(Table1[[#This Row],[Category]],CategoriesTable[Category name],0),0),"")</f>
        <v>Expense</v>
      </c>
      <c r="N1496" s="130" t="str" cm="1">
        <f t="array" ref="N1496">IFERROR(INDEX(SubcategoriesTable[Subcategory name],MATCH(Table1[[#This Row],[Category]],SubcategoriesTable[Category name],0),0),"")</f>
        <v>Fixed</v>
      </c>
      <c r="O1496" s="130">
        <v>17</v>
      </c>
      <c r="P1496" s="130">
        <f>MONTH(Table1[[#This Row],[Date]])</f>
        <v>10</v>
      </c>
      <c r="Q1496" s="130">
        <v>2019</v>
      </c>
      <c r="R1496" s="166">
        <f>IF(ISBLANK(Table1[[#This Row],[Date]]),"",Table1[[#This Row],[Date]]-WEEKDAY(Table1[[#This Row],[Date]],2)+1)</f>
        <v>43752</v>
      </c>
      <c r="S1496" s="131">
        <f>IF(ISBLANK(Table1[[#This Row],[Date]]),"",DATE(Table1[[#This Row],[Date_Year]],Table1[[#This Row],[Date_Month]],1))</f>
        <v>43739</v>
      </c>
    </row>
    <row r="1497" spans="2:19" ht="15.75" x14ac:dyDescent="0.25">
      <c r="B1497" s="133">
        <v>43755</v>
      </c>
      <c r="C1497" s="128" t="s">
        <v>2235</v>
      </c>
      <c r="D1497" s="128" t="s">
        <v>45</v>
      </c>
      <c r="E1497" s="128" t="str" cm="1">
        <f t="array" ref="E1497">IFERROR(INDEX(SubcategoriesTable[Subcategory name],MATCH(Table1[[#This Row],[Category]],SubcategoriesTable[Category name],0),0),"")</f>
        <v>Variable</v>
      </c>
      <c r="F1497" s="134">
        <v>-22.04</v>
      </c>
      <c r="G1497" s="167" t="str">
        <f>_xlfn.XLOOKUP(Table1[[#This Row],[Account_ID]], Accounts[ID], Accounts[Account nickname], "Unknown")</f>
        <v>EVERYDAY CHECKING</v>
      </c>
      <c r="H1497" s="137" t="str">
        <f>_xlfn.XLOOKUP(Table1[[#This Row],[Account_ID]], Accounts[ID], Accounts[Account'#], "Unknown")</f>
        <v>4636</v>
      </c>
      <c r="I1497" s="168" t="str">
        <f>_xlfn.XLOOKUP(Table1[[#This Row],[Institution_ID]], Institutions[ID], Institutions[Institution nickname], "Unknown")</f>
        <v>Wells Fargo</v>
      </c>
      <c r="J1497" s="139" t="s">
        <v>2236</v>
      </c>
      <c r="K1497" s="129" t="s">
        <v>1229</v>
      </c>
      <c r="L1497" s="129" t="s">
        <v>1228</v>
      </c>
      <c r="M1497" s="130" t="str" cm="1">
        <f t="array" ref="M1497">IFERROR(INDEX(CategoriesTable[Category type],MATCH(Table1[[#This Row],[Category]],CategoriesTable[Category name],0),0),"")</f>
        <v>Expense</v>
      </c>
      <c r="N1497" s="130" t="str" cm="1">
        <f t="array" ref="N1497">IFERROR(INDEX(SubcategoriesTable[Subcategory name],MATCH(Table1[[#This Row],[Category]],SubcategoriesTable[Category name],0),0),"")</f>
        <v>Variable</v>
      </c>
      <c r="O1497" s="130">
        <v>17</v>
      </c>
      <c r="P1497" s="130">
        <f>MONTH(Table1[[#This Row],[Date]])</f>
        <v>10</v>
      </c>
      <c r="Q1497" s="130">
        <v>2019</v>
      </c>
      <c r="R1497" s="166">
        <f>IF(ISBLANK(Table1[[#This Row],[Date]]),"",Table1[[#This Row],[Date]]-WEEKDAY(Table1[[#This Row],[Date]],2)+1)</f>
        <v>43752</v>
      </c>
      <c r="S1497" s="131">
        <f>IF(ISBLANK(Table1[[#This Row],[Date]]),"",DATE(Table1[[#This Row],[Date_Year]],Table1[[#This Row],[Date_Month]],1))</f>
        <v>43739</v>
      </c>
    </row>
    <row r="1498" spans="2:19" ht="15.75" x14ac:dyDescent="0.25">
      <c r="B1498" s="133">
        <v>43754</v>
      </c>
      <c r="C1498" s="128" t="s">
        <v>340</v>
      </c>
      <c r="D1498" s="128" t="s">
        <v>45</v>
      </c>
      <c r="E1498" s="128" t="str" cm="1">
        <f t="array" ref="E1498">IFERROR(INDEX(SubcategoriesTable[Subcategory name],MATCH(Table1[[#This Row],[Category]],SubcategoriesTable[Category name],0),0),"")</f>
        <v>Variable</v>
      </c>
      <c r="F1498" s="134">
        <v>-9.74</v>
      </c>
      <c r="G1498" s="167" t="str">
        <f>_xlfn.XLOOKUP(Table1[[#This Row],[Account_ID]], Accounts[ID], Accounts[Account nickname], "Unknown")</f>
        <v>EVERYDAY CHECKING</v>
      </c>
      <c r="H1498" s="137" t="str">
        <f>_xlfn.XLOOKUP(Table1[[#This Row],[Account_ID]], Accounts[ID], Accounts[Account'#], "Unknown")</f>
        <v>4636</v>
      </c>
      <c r="I1498" s="168" t="str">
        <f>_xlfn.XLOOKUP(Table1[[#This Row],[Institution_ID]], Institutions[ID], Institutions[Institution nickname], "Unknown")</f>
        <v>Wells Fargo</v>
      </c>
      <c r="J1498" s="139" t="s">
        <v>2237</v>
      </c>
      <c r="K1498" s="129" t="s">
        <v>1229</v>
      </c>
      <c r="L1498" s="129" t="s">
        <v>1228</v>
      </c>
      <c r="M1498" s="130" t="str" cm="1">
        <f t="array" ref="M1498">IFERROR(INDEX(CategoriesTable[Category type],MATCH(Table1[[#This Row],[Category]],CategoriesTable[Category name],0),0),"")</f>
        <v>Expense</v>
      </c>
      <c r="N1498" s="130" t="str" cm="1">
        <f t="array" ref="N1498">IFERROR(INDEX(SubcategoriesTable[Subcategory name],MATCH(Table1[[#This Row],[Category]],SubcategoriesTable[Category name],0),0),"")</f>
        <v>Variable</v>
      </c>
      <c r="O1498" s="130">
        <v>16</v>
      </c>
      <c r="P1498" s="130">
        <f>MONTH(Table1[[#This Row],[Date]])</f>
        <v>10</v>
      </c>
      <c r="Q1498" s="130">
        <v>2019</v>
      </c>
      <c r="R1498" s="166">
        <f>IF(ISBLANK(Table1[[#This Row],[Date]]),"",Table1[[#This Row],[Date]]-WEEKDAY(Table1[[#This Row],[Date]],2)+1)</f>
        <v>43752</v>
      </c>
      <c r="S1498" s="131">
        <f>IF(ISBLANK(Table1[[#This Row],[Date]]),"",DATE(Table1[[#This Row],[Date_Year]],Table1[[#This Row],[Date_Month]],1))</f>
        <v>43739</v>
      </c>
    </row>
    <row r="1499" spans="2:19" ht="15.75" x14ac:dyDescent="0.25">
      <c r="B1499" s="133">
        <v>43754</v>
      </c>
      <c r="C1499" s="128" t="s">
        <v>2126</v>
      </c>
      <c r="D1499" s="128" t="s">
        <v>45</v>
      </c>
      <c r="E1499" s="128" t="str" cm="1">
        <f t="array" ref="E1499">IFERROR(INDEX(SubcategoriesTable[Subcategory name],MATCH(Table1[[#This Row],[Category]],SubcategoriesTable[Category name],0),0),"")</f>
        <v>Variable</v>
      </c>
      <c r="F1499" s="134">
        <v>-10.89</v>
      </c>
      <c r="G1499" s="167" t="str">
        <f>_xlfn.XLOOKUP(Table1[[#This Row],[Account_ID]], Accounts[ID], Accounts[Account nickname], "Unknown")</f>
        <v>EVERYDAY CHECKING</v>
      </c>
      <c r="H1499" s="137" t="str">
        <f>_xlfn.XLOOKUP(Table1[[#This Row],[Account_ID]], Accounts[ID], Accounts[Account'#], "Unknown")</f>
        <v>4636</v>
      </c>
      <c r="I1499" s="168" t="str">
        <f>_xlfn.XLOOKUP(Table1[[#This Row],[Institution_ID]], Institutions[ID], Institutions[Institution nickname], "Unknown")</f>
        <v>Wells Fargo</v>
      </c>
      <c r="J1499" s="139" t="s">
        <v>2238</v>
      </c>
      <c r="K1499" s="129" t="s">
        <v>1229</v>
      </c>
      <c r="L1499" s="129" t="s">
        <v>1228</v>
      </c>
      <c r="M1499" s="130" t="str" cm="1">
        <f t="array" ref="M1499">IFERROR(INDEX(CategoriesTable[Category type],MATCH(Table1[[#This Row],[Category]],CategoriesTable[Category name],0),0),"")</f>
        <v>Expense</v>
      </c>
      <c r="N1499" s="130" t="str" cm="1">
        <f t="array" ref="N1499">IFERROR(INDEX(SubcategoriesTable[Subcategory name],MATCH(Table1[[#This Row],[Category]],SubcategoriesTable[Category name],0),0),"")</f>
        <v>Variable</v>
      </c>
      <c r="O1499" s="130">
        <v>16</v>
      </c>
      <c r="P1499" s="130">
        <f>MONTH(Table1[[#This Row],[Date]])</f>
        <v>10</v>
      </c>
      <c r="Q1499" s="130">
        <v>2019</v>
      </c>
      <c r="R1499" s="166">
        <f>IF(ISBLANK(Table1[[#This Row],[Date]]),"",Table1[[#This Row],[Date]]-WEEKDAY(Table1[[#This Row],[Date]],2)+1)</f>
        <v>43752</v>
      </c>
      <c r="S1499" s="131">
        <f>IF(ISBLANK(Table1[[#This Row],[Date]]),"",DATE(Table1[[#This Row],[Date_Year]],Table1[[#This Row],[Date_Month]],1))</f>
        <v>43739</v>
      </c>
    </row>
    <row r="1500" spans="2:19" ht="15.75" x14ac:dyDescent="0.25">
      <c r="B1500" s="133">
        <v>43753</v>
      </c>
      <c r="C1500" s="128" t="s">
        <v>531</v>
      </c>
      <c r="D1500" s="128" t="s">
        <v>54</v>
      </c>
      <c r="E1500" s="128" t="str" cm="1">
        <f t="array" ref="E1500">IFERROR(INDEX(SubcategoriesTable[Subcategory name],MATCH(Table1[[#This Row],[Category]],SubcategoriesTable[Category name],0),0),"")</f>
        <v>Fixed</v>
      </c>
      <c r="F1500" s="134">
        <v>-11.13</v>
      </c>
      <c r="G1500" s="167" t="str">
        <f>_xlfn.XLOOKUP(Table1[[#This Row],[Account_ID]], Accounts[ID], Accounts[Account nickname], "Unknown")</f>
        <v>EVERYDAY CHECKING</v>
      </c>
      <c r="H1500" s="137" t="str">
        <f>_xlfn.XLOOKUP(Table1[[#This Row],[Account_ID]], Accounts[ID], Accounts[Account'#], "Unknown")</f>
        <v>4636</v>
      </c>
      <c r="I1500" s="168" t="str">
        <f>_xlfn.XLOOKUP(Table1[[#This Row],[Institution_ID]], Institutions[ID], Institutions[Institution nickname], "Unknown")</f>
        <v>Wells Fargo</v>
      </c>
      <c r="J1500" s="139" t="s">
        <v>2239</v>
      </c>
      <c r="K1500" s="129" t="s">
        <v>1229</v>
      </c>
      <c r="L1500" s="129" t="s">
        <v>1228</v>
      </c>
      <c r="M1500" s="130" t="str" cm="1">
        <f t="array" ref="M1500">IFERROR(INDEX(CategoriesTable[Category type],MATCH(Table1[[#This Row],[Category]],CategoriesTable[Category name],0),0),"")</f>
        <v>Expense</v>
      </c>
      <c r="N1500" s="130" t="str" cm="1">
        <f t="array" ref="N1500">IFERROR(INDEX(SubcategoriesTable[Subcategory name],MATCH(Table1[[#This Row],[Category]],SubcategoriesTable[Category name],0),0),"")</f>
        <v>Fixed</v>
      </c>
      <c r="O1500" s="130">
        <v>15</v>
      </c>
      <c r="P1500" s="130">
        <f>MONTH(Table1[[#This Row],[Date]])</f>
        <v>10</v>
      </c>
      <c r="Q1500" s="130">
        <v>2019</v>
      </c>
      <c r="R1500" s="166">
        <f>IF(ISBLANK(Table1[[#This Row],[Date]]),"",Table1[[#This Row],[Date]]-WEEKDAY(Table1[[#This Row],[Date]],2)+1)</f>
        <v>43752</v>
      </c>
      <c r="S1500" s="131">
        <f>IF(ISBLANK(Table1[[#This Row],[Date]]),"",DATE(Table1[[#This Row],[Date_Year]],Table1[[#This Row],[Date_Month]],1))</f>
        <v>43739</v>
      </c>
    </row>
    <row r="1501" spans="2:19" ht="15.75" x14ac:dyDescent="0.25">
      <c r="B1501" s="133">
        <v>43753</v>
      </c>
      <c r="C1501" s="128" t="s">
        <v>1461</v>
      </c>
      <c r="D1501" s="128" t="s">
        <v>50</v>
      </c>
      <c r="E1501" s="128" t="str" cm="1">
        <f t="array" ref="E1501">IFERROR(INDEX(SubcategoriesTable[Subcategory name],MATCH(Table1[[#This Row],[Category]],SubcategoriesTable[Category name],0),0),"")</f>
        <v>Variable</v>
      </c>
      <c r="F1501" s="134">
        <v>-80</v>
      </c>
      <c r="G1501" s="167" t="str">
        <f>_xlfn.XLOOKUP(Table1[[#This Row],[Account_ID]], Accounts[ID], Accounts[Account nickname], "Unknown")</f>
        <v>EVERYDAY CHECKING</v>
      </c>
      <c r="H1501" s="137" t="str">
        <f>_xlfn.XLOOKUP(Table1[[#This Row],[Account_ID]], Accounts[ID], Accounts[Account'#], "Unknown")</f>
        <v>4636</v>
      </c>
      <c r="I1501" s="168" t="str">
        <f>_xlfn.XLOOKUP(Table1[[#This Row],[Institution_ID]], Institutions[ID], Institutions[Institution nickname], "Unknown")</f>
        <v>Wells Fargo</v>
      </c>
      <c r="J1501" s="139" t="s">
        <v>2240</v>
      </c>
      <c r="K1501" s="129" t="s">
        <v>1229</v>
      </c>
      <c r="L1501" s="129" t="s">
        <v>1228</v>
      </c>
      <c r="M1501" s="130" t="str" cm="1">
        <f t="array" ref="M1501">IFERROR(INDEX(CategoriesTable[Category type],MATCH(Table1[[#This Row],[Category]],CategoriesTable[Category name],0),0),"")</f>
        <v>Transfer</v>
      </c>
      <c r="N1501" s="130" t="str" cm="1">
        <f t="array" ref="N1501">IFERROR(INDEX(SubcategoriesTable[Subcategory name],MATCH(Table1[[#This Row],[Category]],SubcategoriesTable[Category name],0),0),"")</f>
        <v>Variable</v>
      </c>
      <c r="O1501" s="130">
        <v>15</v>
      </c>
      <c r="P1501" s="130">
        <f>MONTH(Table1[[#This Row],[Date]])</f>
        <v>10</v>
      </c>
      <c r="Q1501" s="130">
        <v>2019</v>
      </c>
      <c r="R1501" s="166">
        <f>IF(ISBLANK(Table1[[#This Row],[Date]]),"",Table1[[#This Row],[Date]]-WEEKDAY(Table1[[#This Row],[Date]],2)+1)</f>
        <v>43752</v>
      </c>
      <c r="S1501" s="131">
        <f>IF(ISBLANK(Table1[[#This Row],[Date]]),"",DATE(Table1[[#This Row],[Date_Year]],Table1[[#This Row],[Date_Month]],1))</f>
        <v>43739</v>
      </c>
    </row>
    <row r="1502" spans="2:19" ht="15.75" x14ac:dyDescent="0.25">
      <c r="B1502" s="133">
        <v>43753</v>
      </c>
      <c r="C1502" s="128" t="s">
        <v>1628</v>
      </c>
      <c r="D1502" s="128" t="s">
        <v>50</v>
      </c>
      <c r="E1502" s="128" t="str" cm="1">
        <f t="array" ref="E1502">IFERROR(INDEX(SubcategoriesTable[Subcategory name],MATCH(Table1[[#This Row],[Category]],SubcategoriesTable[Category name],0),0),"")</f>
        <v>Variable</v>
      </c>
      <c r="F1502" s="134">
        <v>-536.77</v>
      </c>
      <c r="G1502" s="167" t="str">
        <f>_xlfn.XLOOKUP(Table1[[#This Row],[Account_ID]], Accounts[ID], Accounts[Account nickname], "Unknown")</f>
        <v>EVERYDAY CHECKING</v>
      </c>
      <c r="H1502" s="137" t="str">
        <f>_xlfn.XLOOKUP(Table1[[#This Row],[Account_ID]], Accounts[ID], Accounts[Account'#], "Unknown")</f>
        <v>4636</v>
      </c>
      <c r="I1502" s="168" t="str">
        <f>_xlfn.XLOOKUP(Table1[[#This Row],[Institution_ID]], Institutions[ID], Institutions[Institution nickname], "Unknown")</f>
        <v>Wells Fargo</v>
      </c>
      <c r="J1502" s="139" t="s">
        <v>2241</v>
      </c>
      <c r="K1502" s="129" t="s">
        <v>1229</v>
      </c>
      <c r="L1502" s="129" t="s">
        <v>1228</v>
      </c>
      <c r="M1502" s="130" t="str" cm="1">
        <f t="array" ref="M1502">IFERROR(INDEX(CategoriesTable[Category type],MATCH(Table1[[#This Row],[Category]],CategoriesTable[Category name],0),0),"")</f>
        <v>Transfer</v>
      </c>
      <c r="N1502" s="130" t="str" cm="1">
        <f t="array" ref="N1502">IFERROR(INDEX(SubcategoriesTable[Subcategory name],MATCH(Table1[[#This Row],[Category]],SubcategoriesTable[Category name],0),0),"")</f>
        <v>Variable</v>
      </c>
      <c r="O1502" s="130">
        <v>15</v>
      </c>
      <c r="P1502" s="130">
        <f>MONTH(Table1[[#This Row],[Date]])</f>
        <v>10</v>
      </c>
      <c r="Q1502" s="130">
        <v>2019</v>
      </c>
      <c r="R1502" s="166">
        <f>IF(ISBLANK(Table1[[#This Row],[Date]]),"",Table1[[#This Row],[Date]]-WEEKDAY(Table1[[#This Row],[Date]],2)+1)</f>
        <v>43752</v>
      </c>
      <c r="S1502" s="131">
        <f>IF(ISBLANK(Table1[[#This Row],[Date]]),"",DATE(Table1[[#This Row],[Date_Year]],Table1[[#This Row],[Date_Month]],1))</f>
        <v>43739</v>
      </c>
    </row>
    <row r="1503" spans="2:19" ht="15.75" x14ac:dyDescent="0.25">
      <c r="B1503" s="133">
        <v>43753</v>
      </c>
      <c r="C1503" s="128" t="s">
        <v>2242</v>
      </c>
      <c r="D1503" s="128" t="s">
        <v>54</v>
      </c>
      <c r="E1503" s="128" t="str" cm="1">
        <f t="array" ref="E1503">IFERROR(INDEX(SubcategoriesTable[Subcategory name],MATCH(Table1[[#This Row],[Category]],SubcategoriesTable[Category name],0),0),"")</f>
        <v>Fixed</v>
      </c>
      <c r="F1503" s="134">
        <v>-114.35</v>
      </c>
      <c r="G1503" s="167" t="str">
        <f>_xlfn.XLOOKUP(Table1[[#This Row],[Account_ID]], Accounts[ID], Accounts[Account nickname], "Unknown")</f>
        <v>EVERYDAY CHECKING</v>
      </c>
      <c r="H1503" s="137" t="str">
        <f>_xlfn.XLOOKUP(Table1[[#This Row],[Account_ID]], Accounts[ID], Accounts[Account'#], "Unknown")</f>
        <v>4636</v>
      </c>
      <c r="I1503" s="168" t="str">
        <f>_xlfn.XLOOKUP(Table1[[#This Row],[Institution_ID]], Institutions[ID], Institutions[Institution nickname], "Unknown")</f>
        <v>Wells Fargo</v>
      </c>
      <c r="J1503" s="139" t="s">
        <v>2243</v>
      </c>
      <c r="K1503" s="129" t="s">
        <v>1229</v>
      </c>
      <c r="L1503" s="129" t="s">
        <v>1228</v>
      </c>
      <c r="M1503" s="130" t="str" cm="1">
        <f t="array" ref="M1503">IFERROR(INDEX(CategoriesTable[Category type],MATCH(Table1[[#This Row],[Category]],CategoriesTable[Category name],0),0),"")</f>
        <v>Expense</v>
      </c>
      <c r="N1503" s="130" t="str" cm="1">
        <f t="array" ref="N1503">IFERROR(INDEX(SubcategoriesTable[Subcategory name],MATCH(Table1[[#This Row],[Category]],SubcategoriesTable[Category name],0),0),"")</f>
        <v>Fixed</v>
      </c>
      <c r="O1503" s="130">
        <v>15</v>
      </c>
      <c r="P1503" s="130">
        <f>MONTH(Table1[[#This Row],[Date]])</f>
        <v>10</v>
      </c>
      <c r="Q1503" s="130">
        <v>2019</v>
      </c>
      <c r="R1503" s="166">
        <f>IF(ISBLANK(Table1[[#This Row],[Date]]),"",Table1[[#This Row],[Date]]-WEEKDAY(Table1[[#This Row],[Date]],2)+1)</f>
        <v>43752</v>
      </c>
      <c r="S1503" s="131">
        <f>IF(ISBLANK(Table1[[#This Row],[Date]]),"",DATE(Table1[[#This Row],[Date_Year]],Table1[[#This Row],[Date_Month]],1))</f>
        <v>43739</v>
      </c>
    </row>
    <row r="1504" spans="2:19" ht="15.75" x14ac:dyDescent="0.25">
      <c r="B1504" s="133">
        <v>43753</v>
      </c>
      <c r="C1504" s="128" t="s">
        <v>508</v>
      </c>
      <c r="D1504" s="128" t="s">
        <v>50</v>
      </c>
      <c r="E1504" s="128" t="str" cm="1">
        <f t="array" ref="E1504">IFERROR(INDEX(SubcategoriesTable[Subcategory name],MATCH(Table1[[#This Row],[Category]],SubcategoriesTable[Category name],0),0),"")</f>
        <v>Variable</v>
      </c>
      <c r="F1504" s="134">
        <v>-20</v>
      </c>
      <c r="G1504" s="167" t="str">
        <f>_xlfn.XLOOKUP(Table1[[#This Row],[Account_ID]], Accounts[ID], Accounts[Account nickname], "Unknown")</f>
        <v>EVERYDAY CHECKING</v>
      </c>
      <c r="H1504" s="137" t="str">
        <f>_xlfn.XLOOKUP(Table1[[#This Row],[Account_ID]], Accounts[ID], Accounts[Account'#], "Unknown")</f>
        <v>4636</v>
      </c>
      <c r="I1504" s="168" t="str">
        <f>_xlfn.XLOOKUP(Table1[[#This Row],[Institution_ID]], Institutions[ID], Institutions[Institution nickname], "Unknown")</f>
        <v>Wells Fargo</v>
      </c>
      <c r="J1504" s="139" t="s">
        <v>2244</v>
      </c>
      <c r="K1504" s="129" t="s">
        <v>1229</v>
      </c>
      <c r="L1504" s="129" t="s">
        <v>1228</v>
      </c>
      <c r="M1504" s="130" t="str" cm="1">
        <f t="array" ref="M1504">IFERROR(INDEX(CategoriesTable[Category type],MATCH(Table1[[#This Row],[Category]],CategoriesTable[Category name],0),0),"")</f>
        <v>Transfer</v>
      </c>
      <c r="N1504" s="130" t="str" cm="1">
        <f t="array" ref="N1504">IFERROR(INDEX(SubcategoriesTable[Subcategory name],MATCH(Table1[[#This Row],[Category]],SubcategoriesTable[Category name],0),0),"")</f>
        <v>Variable</v>
      </c>
      <c r="O1504" s="130">
        <v>15</v>
      </c>
      <c r="P1504" s="130">
        <f>MONTH(Table1[[#This Row],[Date]])</f>
        <v>10</v>
      </c>
      <c r="Q1504" s="130">
        <v>2019</v>
      </c>
      <c r="R1504" s="166">
        <f>IF(ISBLANK(Table1[[#This Row],[Date]]),"",Table1[[#This Row],[Date]]-WEEKDAY(Table1[[#This Row],[Date]],2)+1)</f>
        <v>43752</v>
      </c>
      <c r="S1504" s="131">
        <f>IF(ISBLANK(Table1[[#This Row],[Date]]),"",DATE(Table1[[#This Row],[Date_Year]],Table1[[#This Row],[Date_Month]],1))</f>
        <v>43739</v>
      </c>
    </row>
    <row r="1505" spans="2:19" ht="15.75" x14ac:dyDescent="0.25">
      <c r="B1505" s="133">
        <v>43752</v>
      </c>
      <c r="C1505" s="128" t="s">
        <v>531</v>
      </c>
      <c r="D1505" s="128" t="s">
        <v>54</v>
      </c>
      <c r="E1505" s="128" t="str" cm="1">
        <f t="array" ref="E1505">IFERROR(INDEX(SubcategoriesTable[Subcategory name],MATCH(Table1[[#This Row],[Category]],SubcategoriesTable[Category name],0),0),"")</f>
        <v>Fixed</v>
      </c>
      <c r="F1505" s="134">
        <v>-5.22</v>
      </c>
      <c r="G1505" s="167" t="str">
        <f>_xlfn.XLOOKUP(Table1[[#This Row],[Account_ID]], Accounts[ID], Accounts[Account nickname], "Unknown")</f>
        <v>EVERYDAY CHECKING</v>
      </c>
      <c r="H1505" s="137" t="str">
        <f>_xlfn.XLOOKUP(Table1[[#This Row],[Account_ID]], Accounts[ID], Accounts[Account'#], "Unknown")</f>
        <v>4636</v>
      </c>
      <c r="I1505" s="168" t="str">
        <f>_xlfn.XLOOKUP(Table1[[#This Row],[Institution_ID]], Institutions[ID], Institutions[Institution nickname], "Unknown")</f>
        <v>Wells Fargo</v>
      </c>
      <c r="J1505" s="139" t="s">
        <v>2245</v>
      </c>
      <c r="K1505" s="129" t="s">
        <v>1229</v>
      </c>
      <c r="L1505" s="129" t="s">
        <v>1228</v>
      </c>
      <c r="M1505" s="130" t="str" cm="1">
        <f t="array" ref="M1505">IFERROR(INDEX(CategoriesTable[Category type],MATCH(Table1[[#This Row],[Category]],CategoriesTable[Category name],0),0),"")</f>
        <v>Expense</v>
      </c>
      <c r="N1505" s="130" t="str" cm="1">
        <f t="array" ref="N1505">IFERROR(INDEX(SubcategoriesTable[Subcategory name],MATCH(Table1[[#This Row],[Category]],SubcategoriesTable[Category name],0),0),"")</f>
        <v>Fixed</v>
      </c>
      <c r="O1505" s="130">
        <v>14</v>
      </c>
      <c r="P1505" s="130">
        <f>MONTH(Table1[[#This Row],[Date]])</f>
        <v>10</v>
      </c>
      <c r="Q1505" s="130">
        <v>2019</v>
      </c>
      <c r="R1505" s="166">
        <f>IF(ISBLANK(Table1[[#This Row],[Date]]),"",Table1[[#This Row],[Date]]-WEEKDAY(Table1[[#This Row],[Date]],2)+1)</f>
        <v>43752</v>
      </c>
      <c r="S1505" s="131">
        <f>IF(ISBLANK(Table1[[#This Row],[Date]]),"",DATE(Table1[[#This Row],[Date_Year]],Table1[[#This Row],[Date_Month]],1))</f>
        <v>43739</v>
      </c>
    </row>
    <row r="1506" spans="2:19" ht="15.75" x14ac:dyDescent="0.25">
      <c r="B1506" s="133">
        <v>43751</v>
      </c>
      <c r="C1506" s="128" t="s">
        <v>803</v>
      </c>
      <c r="D1506" s="128" t="s">
        <v>48</v>
      </c>
      <c r="E1506" s="128" t="str" cm="1">
        <f t="array" ref="E1506">IFERROR(INDEX(SubcategoriesTable[Subcategory name],MATCH(Table1[[#This Row],[Category]],SubcategoriesTable[Category name],0),0),"")</f>
        <v>Variable</v>
      </c>
      <c r="F1506" s="134">
        <v>-24.04</v>
      </c>
      <c r="G1506" s="167" t="str">
        <f>_xlfn.XLOOKUP(Table1[[#This Row],[Account_ID]], Accounts[ID], Accounts[Account nickname], "Unknown")</f>
        <v>EVERYDAY CHECKING</v>
      </c>
      <c r="H1506" s="137" t="str">
        <f>_xlfn.XLOOKUP(Table1[[#This Row],[Account_ID]], Accounts[ID], Accounts[Account'#], "Unknown")</f>
        <v>4636</v>
      </c>
      <c r="I1506" s="168" t="str">
        <f>_xlfn.XLOOKUP(Table1[[#This Row],[Institution_ID]], Institutions[ID], Institutions[Institution nickname], "Unknown")</f>
        <v>Wells Fargo</v>
      </c>
      <c r="J1506" s="139" t="s">
        <v>2246</v>
      </c>
      <c r="K1506" s="129" t="s">
        <v>1229</v>
      </c>
      <c r="L1506" s="129" t="s">
        <v>1228</v>
      </c>
      <c r="M1506" s="130" t="str" cm="1">
        <f t="array" ref="M1506">IFERROR(INDEX(CategoriesTable[Category type],MATCH(Table1[[#This Row],[Category]],CategoriesTable[Category name],0),0),"")</f>
        <v>Expense</v>
      </c>
      <c r="N1506" s="130" t="str" cm="1">
        <f t="array" ref="N1506">IFERROR(INDEX(SubcategoriesTable[Subcategory name],MATCH(Table1[[#This Row],[Category]],SubcategoriesTable[Category name],0),0),"")</f>
        <v>Variable</v>
      </c>
      <c r="O1506" s="130">
        <v>13</v>
      </c>
      <c r="P1506" s="130">
        <f>MONTH(Table1[[#This Row],[Date]])</f>
        <v>10</v>
      </c>
      <c r="Q1506" s="130">
        <v>2019</v>
      </c>
      <c r="R1506" s="166">
        <f>IF(ISBLANK(Table1[[#This Row],[Date]]),"",Table1[[#This Row],[Date]]-WEEKDAY(Table1[[#This Row],[Date]],2)+1)</f>
        <v>43745</v>
      </c>
      <c r="S1506" s="131">
        <f>IF(ISBLANK(Table1[[#This Row],[Date]]),"",DATE(Table1[[#This Row],[Date_Year]],Table1[[#This Row],[Date_Month]],1))</f>
        <v>43739</v>
      </c>
    </row>
    <row r="1507" spans="2:19" ht="15.75" x14ac:dyDescent="0.25">
      <c r="B1507" s="133">
        <v>43751</v>
      </c>
      <c r="C1507" s="128" t="s">
        <v>2247</v>
      </c>
      <c r="D1507" s="128" t="s">
        <v>45</v>
      </c>
      <c r="E1507" s="128" t="str" cm="1">
        <f t="array" ref="E1507">IFERROR(INDEX(SubcategoriesTable[Subcategory name],MATCH(Table1[[#This Row],[Category]],SubcategoriesTable[Category name],0),0),"")</f>
        <v>Variable</v>
      </c>
      <c r="F1507" s="134">
        <v>-96.26</v>
      </c>
      <c r="G1507" s="167" t="str">
        <f>_xlfn.XLOOKUP(Table1[[#This Row],[Account_ID]], Accounts[ID], Accounts[Account nickname], "Unknown")</f>
        <v>EVERYDAY CHECKING</v>
      </c>
      <c r="H1507" s="137" t="str">
        <f>_xlfn.XLOOKUP(Table1[[#This Row],[Account_ID]], Accounts[ID], Accounts[Account'#], "Unknown")</f>
        <v>4636</v>
      </c>
      <c r="I1507" s="168" t="str">
        <f>_xlfn.XLOOKUP(Table1[[#This Row],[Institution_ID]], Institutions[ID], Institutions[Institution nickname], "Unknown")</f>
        <v>Wells Fargo</v>
      </c>
      <c r="J1507" s="139" t="s">
        <v>2248</v>
      </c>
      <c r="K1507" s="129" t="s">
        <v>1229</v>
      </c>
      <c r="L1507" s="129" t="s">
        <v>1228</v>
      </c>
      <c r="M1507" s="130" t="str" cm="1">
        <f t="array" ref="M1507">IFERROR(INDEX(CategoriesTable[Category type],MATCH(Table1[[#This Row],[Category]],CategoriesTable[Category name],0),0),"")</f>
        <v>Expense</v>
      </c>
      <c r="N1507" s="130" t="str" cm="1">
        <f t="array" ref="N1507">IFERROR(INDEX(SubcategoriesTable[Subcategory name],MATCH(Table1[[#This Row],[Category]],SubcategoriesTable[Category name],0),0),"")</f>
        <v>Variable</v>
      </c>
      <c r="O1507" s="130">
        <v>13</v>
      </c>
      <c r="P1507" s="130">
        <f>MONTH(Table1[[#This Row],[Date]])</f>
        <v>10</v>
      </c>
      <c r="Q1507" s="130">
        <v>2019</v>
      </c>
      <c r="R1507" s="166">
        <f>IF(ISBLANK(Table1[[#This Row],[Date]]),"",Table1[[#This Row],[Date]]-WEEKDAY(Table1[[#This Row],[Date]],2)+1)</f>
        <v>43745</v>
      </c>
      <c r="S1507" s="131">
        <f>IF(ISBLANK(Table1[[#This Row],[Date]]),"",DATE(Table1[[#This Row],[Date_Year]],Table1[[#This Row],[Date_Month]],1))</f>
        <v>43739</v>
      </c>
    </row>
    <row r="1508" spans="2:19" ht="15.75" x14ac:dyDescent="0.25">
      <c r="B1508" s="133">
        <v>43751</v>
      </c>
      <c r="C1508" s="128" t="s">
        <v>2249</v>
      </c>
      <c r="D1508" s="128" t="s">
        <v>45</v>
      </c>
      <c r="E1508" s="128" t="str" cm="1">
        <f t="array" ref="E1508">IFERROR(INDEX(SubcategoriesTable[Subcategory name],MATCH(Table1[[#This Row],[Category]],SubcategoriesTable[Category name],0),0),"")</f>
        <v>Variable</v>
      </c>
      <c r="F1508" s="134">
        <v>-35.090000000000003</v>
      </c>
      <c r="G1508" s="167" t="str">
        <f>_xlfn.XLOOKUP(Table1[[#This Row],[Account_ID]], Accounts[ID], Accounts[Account nickname], "Unknown")</f>
        <v>EVERYDAY CHECKING</v>
      </c>
      <c r="H1508" s="137" t="str">
        <f>_xlfn.XLOOKUP(Table1[[#This Row],[Account_ID]], Accounts[ID], Accounts[Account'#], "Unknown")</f>
        <v>4636</v>
      </c>
      <c r="I1508" s="168" t="str">
        <f>_xlfn.XLOOKUP(Table1[[#This Row],[Institution_ID]], Institutions[ID], Institutions[Institution nickname], "Unknown")</f>
        <v>Wells Fargo</v>
      </c>
      <c r="J1508" s="139" t="s">
        <v>2250</v>
      </c>
      <c r="K1508" s="129" t="s">
        <v>1229</v>
      </c>
      <c r="L1508" s="129" t="s">
        <v>1228</v>
      </c>
      <c r="M1508" s="130" t="str" cm="1">
        <f t="array" ref="M1508">IFERROR(INDEX(CategoriesTable[Category type],MATCH(Table1[[#This Row],[Category]],CategoriesTable[Category name],0),0),"")</f>
        <v>Expense</v>
      </c>
      <c r="N1508" s="130" t="str" cm="1">
        <f t="array" ref="N1508">IFERROR(INDEX(SubcategoriesTable[Subcategory name],MATCH(Table1[[#This Row],[Category]],SubcategoriesTable[Category name],0),0),"")</f>
        <v>Variable</v>
      </c>
      <c r="O1508" s="130">
        <v>13</v>
      </c>
      <c r="P1508" s="130">
        <f>MONTH(Table1[[#This Row],[Date]])</f>
        <v>10</v>
      </c>
      <c r="Q1508" s="130">
        <v>2019</v>
      </c>
      <c r="R1508" s="166">
        <f>IF(ISBLANK(Table1[[#This Row],[Date]]),"",Table1[[#This Row],[Date]]-WEEKDAY(Table1[[#This Row],[Date]],2)+1)</f>
        <v>43745</v>
      </c>
      <c r="S1508" s="131">
        <f>IF(ISBLANK(Table1[[#This Row],[Date]]),"",DATE(Table1[[#This Row],[Date_Year]],Table1[[#This Row],[Date_Month]],1))</f>
        <v>43739</v>
      </c>
    </row>
    <row r="1509" spans="2:19" ht="15.75" x14ac:dyDescent="0.25">
      <c r="B1509" s="133">
        <v>43751</v>
      </c>
      <c r="C1509" s="128" t="s">
        <v>115</v>
      </c>
      <c r="D1509" s="128" t="s">
        <v>48</v>
      </c>
      <c r="E1509" s="128" t="str" cm="1">
        <f t="array" ref="E1509">IFERROR(INDEX(SubcategoriesTable[Subcategory name],MATCH(Table1[[#This Row],[Category]],SubcategoriesTable[Category name],0),0),"")</f>
        <v>Variable</v>
      </c>
      <c r="F1509" s="134">
        <v>-83.98</v>
      </c>
      <c r="G1509" s="167" t="str">
        <f>_xlfn.XLOOKUP(Table1[[#This Row],[Account_ID]], Accounts[ID], Accounts[Account nickname], "Unknown")</f>
        <v>EVERYDAY CHECKING</v>
      </c>
      <c r="H1509" s="137" t="str">
        <f>_xlfn.XLOOKUP(Table1[[#This Row],[Account_ID]], Accounts[ID], Accounts[Account'#], "Unknown")</f>
        <v>4636</v>
      </c>
      <c r="I1509" s="168" t="str">
        <f>_xlfn.XLOOKUP(Table1[[#This Row],[Institution_ID]], Institutions[ID], Institutions[Institution nickname], "Unknown")</f>
        <v>Wells Fargo</v>
      </c>
      <c r="J1509" s="139" t="s">
        <v>2251</v>
      </c>
      <c r="K1509" s="129" t="s">
        <v>1229</v>
      </c>
      <c r="L1509" s="129" t="s">
        <v>1228</v>
      </c>
      <c r="M1509" s="130" t="str" cm="1">
        <f t="array" ref="M1509">IFERROR(INDEX(CategoriesTable[Category type],MATCH(Table1[[#This Row],[Category]],CategoriesTable[Category name],0),0),"")</f>
        <v>Expense</v>
      </c>
      <c r="N1509" s="130" t="str" cm="1">
        <f t="array" ref="N1509">IFERROR(INDEX(SubcategoriesTable[Subcategory name],MATCH(Table1[[#This Row],[Category]],SubcategoriesTable[Category name],0),0),"")</f>
        <v>Variable</v>
      </c>
      <c r="O1509" s="130">
        <v>13</v>
      </c>
      <c r="P1509" s="130">
        <f>MONTH(Table1[[#This Row],[Date]])</f>
        <v>10</v>
      </c>
      <c r="Q1509" s="130">
        <v>2019</v>
      </c>
      <c r="R1509" s="166">
        <f>IF(ISBLANK(Table1[[#This Row],[Date]]),"",Table1[[#This Row],[Date]]-WEEKDAY(Table1[[#This Row],[Date]],2)+1)</f>
        <v>43745</v>
      </c>
      <c r="S1509" s="131">
        <f>IF(ISBLANK(Table1[[#This Row],[Date]]),"",DATE(Table1[[#This Row],[Date_Year]],Table1[[#This Row],[Date_Month]],1))</f>
        <v>43739</v>
      </c>
    </row>
    <row r="1510" spans="2:19" ht="15.75" x14ac:dyDescent="0.25">
      <c r="B1510" s="133">
        <v>43750</v>
      </c>
      <c r="C1510" s="128" t="s">
        <v>803</v>
      </c>
      <c r="D1510" s="128" t="s">
        <v>48</v>
      </c>
      <c r="E1510" s="128" t="str" cm="1">
        <f t="array" ref="E1510">IFERROR(INDEX(SubcategoriesTable[Subcategory name],MATCH(Table1[[#This Row],[Category]],SubcategoriesTable[Category name],0),0),"")</f>
        <v>Variable</v>
      </c>
      <c r="F1510" s="134">
        <v>-10.06</v>
      </c>
      <c r="G1510" s="167" t="str">
        <f>_xlfn.XLOOKUP(Table1[[#This Row],[Account_ID]], Accounts[ID], Accounts[Account nickname], "Unknown")</f>
        <v>EVERYDAY CHECKING</v>
      </c>
      <c r="H1510" s="137" t="str">
        <f>_xlfn.XLOOKUP(Table1[[#This Row],[Account_ID]], Accounts[ID], Accounts[Account'#], "Unknown")</f>
        <v>4636</v>
      </c>
      <c r="I1510" s="168" t="str">
        <f>_xlfn.XLOOKUP(Table1[[#This Row],[Institution_ID]], Institutions[ID], Institutions[Institution nickname], "Unknown")</f>
        <v>Wells Fargo</v>
      </c>
      <c r="J1510" s="139" t="s">
        <v>2252</v>
      </c>
      <c r="K1510" s="129" t="s">
        <v>1229</v>
      </c>
      <c r="L1510" s="129" t="s">
        <v>1228</v>
      </c>
      <c r="M1510" s="130" t="str" cm="1">
        <f t="array" ref="M1510">IFERROR(INDEX(CategoriesTable[Category type],MATCH(Table1[[#This Row],[Category]],CategoriesTable[Category name],0),0),"")</f>
        <v>Expense</v>
      </c>
      <c r="N1510" s="130" t="str" cm="1">
        <f t="array" ref="N1510">IFERROR(INDEX(SubcategoriesTable[Subcategory name],MATCH(Table1[[#This Row],[Category]],SubcategoriesTable[Category name],0),0),"")</f>
        <v>Variable</v>
      </c>
      <c r="O1510" s="130">
        <v>12</v>
      </c>
      <c r="P1510" s="130">
        <f>MONTH(Table1[[#This Row],[Date]])</f>
        <v>10</v>
      </c>
      <c r="Q1510" s="130">
        <v>2019</v>
      </c>
      <c r="R1510" s="166">
        <f>IF(ISBLANK(Table1[[#This Row],[Date]]),"",Table1[[#This Row],[Date]]-WEEKDAY(Table1[[#This Row],[Date]],2)+1)</f>
        <v>43745</v>
      </c>
      <c r="S1510" s="131">
        <f>IF(ISBLANK(Table1[[#This Row],[Date]]),"",DATE(Table1[[#This Row],[Date_Year]],Table1[[#This Row],[Date_Month]],1))</f>
        <v>43739</v>
      </c>
    </row>
    <row r="1511" spans="2:19" ht="15.75" x14ac:dyDescent="0.25">
      <c r="B1511" s="133">
        <v>43750</v>
      </c>
      <c r="C1511" s="128" t="s">
        <v>1043</v>
      </c>
      <c r="D1511" s="128" t="s">
        <v>52</v>
      </c>
      <c r="E1511" s="128" t="str" cm="1">
        <f t="array" ref="E1511">IFERROR(INDEX(SubcategoriesTable[Subcategory name],MATCH(Table1[[#This Row],[Category]],SubcategoriesTable[Category name],0),0),"")</f>
        <v>Variable</v>
      </c>
      <c r="F1511" s="134">
        <v>-99.55</v>
      </c>
      <c r="G1511" s="167" t="str">
        <f>_xlfn.XLOOKUP(Table1[[#This Row],[Account_ID]], Accounts[ID], Accounts[Account nickname], "Unknown")</f>
        <v>EVERYDAY CHECKING</v>
      </c>
      <c r="H1511" s="137" t="str">
        <f>_xlfn.XLOOKUP(Table1[[#This Row],[Account_ID]], Accounts[ID], Accounts[Account'#], "Unknown")</f>
        <v>4636</v>
      </c>
      <c r="I1511" s="168" t="str">
        <f>_xlfn.XLOOKUP(Table1[[#This Row],[Institution_ID]], Institutions[ID], Institutions[Institution nickname], "Unknown")</f>
        <v>Wells Fargo</v>
      </c>
      <c r="J1511" s="139" t="s">
        <v>2253</v>
      </c>
      <c r="K1511" s="129" t="s">
        <v>1229</v>
      </c>
      <c r="L1511" s="129" t="s">
        <v>1228</v>
      </c>
      <c r="M1511" s="130" t="str" cm="1">
        <f t="array" ref="M1511">IFERROR(INDEX(CategoriesTable[Category type],MATCH(Table1[[#This Row],[Category]],CategoriesTable[Category name],0),0),"")</f>
        <v>Expense</v>
      </c>
      <c r="N1511" s="130" t="str" cm="1">
        <f t="array" ref="N1511">IFERROR(INDEX(SubcategoriesTable[Subcategory name],MATCH(Table1[[#This Row],[Category]],SubcategoriesTable[Category name],0),0),"")</f>
        <v>Variable</v>
      </c>
      <c r="O1511" s="130">
        <v>12</v>
      </c>
      <c r="P1511" s="130">
        <f>MONTH(Table1[[#This Row],[Date]])</f>
        <v>10</v>
      </c>
      <c r="Q1511" s="130">
        <v>2019</v>
      </c>
      <c r="R1511" s="166">
        <f>IF(ISBLANK(Table1[[#This Row],[Date]]),"",Table1[[#This Row],[Date]]-WEEKDAY(Table1[[#This Row],[Date]],2)+1)</f>
        <v>43745</v>
      </c>
      <c r="S1511" s="131">
        <f>IF(ISBLANK(Table1[[#This Row],[Date]]),"",DATE(Table1[[#This Row],[Date_Year]],Table1[[#This Row],[Date_Month]],1))</f>
        <v>43739</v>
      </c>
    </row>
    <row r="1512" spans="2:19" ht="15.75" x14ac:dyDescent="0.25">
      <c r="B1512" s="133">
        <v>43750</v>
      </c>
      <c r="C1512" s="128" t="s">
        <v>427</v>
      </c>
      <c r="D1512" s="128" t="s">
        <v>52</v>
      </c>
      <c r="E1512" s="128" t="str" cm="1">
        <f t="array" ref="E1512">IFERROR(INDEX(SubcategoriesTable[Subcategory name],MATCH(Table1[[#This Row],[Category]],SubcategoriesTable[Category name],0),0),"")</f>
        <v>Variable</v>
      </c>
      <c r="F1512" s="134">
        <v>-20.41</v>
      </c>
      <c r="G1512" s="167" t="str">
        <f>_xlfn.XLOOKUP(Table1[[#This Row],[Account_ID]], Accounts[ID], Accounts[Account nickname], "Unknown")</f>
        <v>EVERYDAY CHECKING</v>
      </c>
      <c r="H1512" s="137" t="str">
        <f>_xlfn.XLOOKUP(Table1[[#This Row],[Account_ID]], Accounts[ID], Accounts[Account'#], "Unknown")</f>
        <v>4636</v>
      </c>
      <c r="I1512" s="168" t="str">
        <f>_xlfn.XLOOKUP(Table1[[#This Row],[Institution_ID]], Institutions[ID], Institutions[Institution nickname], "Unknown")</f>
        <v>Wells Fargo</v>
      </c>
      <c r="J1512" s="139" t="s">
        <v>2254</v>
      </c>
      <c r="K1512" s="129" t="s">
        <v>1229</v>
      </c>
      <c r="L1512" s="129" t="s">
        <v>1228</v>
      </c>
      <c r="M1512" s="130" t="str" cm="1">
        <f t="array" ref="M1512">IFERROR(INDEX(CategoriesTable[Category type],MATCH(Table1[[#This Row],[Category]],CategoriesTable[Category name],0),0),"")</f>
        <v>Expense</v>
      </c>
      <c r="N1512" s="130" t="str" cm="1">
        <f t="array" ref="N1512">IFERROR(INDEX(SubcategoriesTable[Subcategory name],MATCH(Table1[[#This Row],[Category]],SubcategoriesTable[Category name],0),0),"")</f>
        <v>Variable</v>
      </c>
      <c r="O1512" s="130">
        <v>12</v>
      </c>
      <c r="P1512" s="130">
        <f>MONTH(Table1[[#This Row],[Date]])</f>
        <v>10</v>
      </c>
      <c r="Q1512" s="130">
        <v>2019</v>
      </c>
      <c r="R1512" s="166">
        <f>IF(ISBLANK(Table1[[#This Row],[Date]]),"",Table1[[#This Row],[Date]]-WEEKDAY(Table1[[#This Row],[Date]],2)+1)</f>
        <v>43745</v>
      </c>
      <c r="S1512" s="131">
        <f>IF(ISBLANK(Table1[[#This Row],[Date]]),"",DATE(Table1[[#This Row],[Date_Year]],Table1[[#This Row],[Date_Month]],1))</f>
        <v>43739</v>
      </c>
    </row>
    <row r="1513" spans="2:19" ht="15.75" x14ac:dyDescent="0.25">
      <c r="B1513" s="133">
        <v>43750</v>
      </c>
      <c r="C1513" s="128" t="s">
        <v>169</v>
      </c>
      <c r="D1513" s="128" t="s">
        <v>45</v>
      </c>
      <c r="E1513" s="128" t="str" cm="1">
        <f t="array" ref="E1513">IFERROR(INDEX(SubcategoriesTable[Subcategory name],MATCH(Table1[[#This Row],[Category]],SubcategoriesTable[Category name],0),0),"")</f>
        <v>Variable</v>
      </c>
      <c r="F1513" s="134">
        <v>-5.29</v>
      </c>
      <c r="G1513" s="167" t="str">
        <f>_xlfn.XLOOKUP(Table1[[#This Row],[Account_ID]], Accounts[ID], Accounts[Account nickname], "Unknown")</f>
        <v>EVERYDAY CHECKING</v>
      </c>
      <c r="H1513" s="137" t="str">
        <f>_xlfn.XLOOKUP(Table1[[#This Row],[Account_ID]], Accounts[ID], Accounts[Account'#], "Unknown")</f>
        <v>4636</v>
      </c>
      <c r="I1513" s="168" t="str">
        <f>_xlfn.XLOOKUP(Table1[[#This Row],[Institution_ID]], Institutions[ID], Institutions[Institution nickname], "Unknown")</f>
        <v>Wells Fargo</v>
      </c>
      <c r="J1513" s="139" t="s">
        <v>2255</v>
      </c>
      <c r="K1513" s="129" t="s">
        <v>1229</v>
      </c>
      <c r="L1513" s="129" t="s">
        <v>1228</v>
      </c>
      <c r="M1513" s="130" t="str" cm="1">
        <f t="array" ref="M1513">IFERROR(INDEX(CategoriesTable[Category type],MATCH(Table1[[#This Row],[Category]],CategoriesTable[Category name],0),0),"")</f>
        <v>Expense</v>
      </c>
      <c r="N1513" s="130" t="str" cm="1">
        <f t="array" ref="N1513">IFERROR(INDEX(SubcategoriesTable[Subcategory name],MATCH(Table1[[#This Row],[Category]],SubcategoriesTable[Category name],0),0),"")</f>
        <v>Variable</v>
      </c>
      <c r="O1513" s="130">
        <v>12</v>
      </c>
      <c r="P1513" s="130">
        <f>MONTH(Table1[[#This Row],[Date]])</f>
        <v>10</v>
      </c>
      <c r="Q1513" s="130">
        <v>2019</v>
      </c>
      <c r="R1513" s="166">
        <f>IF(ISBLANK(Table1[[#This Row],[Date]]),"",Table1[[#This Row],[Date]]-WEEKDAY(Table1[[#This Row],[Date]],2)+1)</f>
        <v>43745</v>
      </c>
      <c r="S1513" s="131">
        <f>IF(ISBLANK(Table1[[#This Row],[Date]]),"",DATE(Table1[[#This Row],[Date_Year]],Table1[[#This Row],[Date_Month]],1))</f>
        <v>43739</v>
      </c>
    </row>
    <row r="1514" spans="2:19" ht="15.75" x14ac:dyDescent="0.25">
      <c r="B1514" s="133">
        <v>43750</v>
      </c>
      <c r="C1514" s="128" t="s">
        <v>201</v>
      </c>
      <c r="D1514" s="128" t="s">
        <v>48</v>
      </c>
      <c r="E1514" s="128" t="str" cm="1">
        <f t="array" ref="E1514">IFERROR(INDEX(SubcategoriesTable[Subcategory name],MATCH(Table1[[#This Row],[Category]],SubcategoriesTable[Category name],0),0),"")</f>
        <v>Variable</v>
      </c>
      <c r="F1514" s="134">
        <v>-86.9</v>
      </c>
      <c r="G1514" s="167" t="str">
        <f>_xlfn.XLOOKUP(Table1[[#This Row],[Account_ID]], Accounts[ID], Accounts[Account nickname], "Unknown")</f>
        <v>EVERYDAY CHECKING</v>
      </c>
      <c r="H1514" s="137" t="str">
        <f>_xlfn.XLOOKUP(Table1[[#This Row],[Account_ID]], Accounts[ID], Accounts[Account'#], "Unknown")</f>
        <v>4636</v>
      </c>
      <c r="I1514" s="168" t="str">
        <f>_xlfn.XLOOKUP(Table1[[#This Row],[Institution_ID]], Institutions[ID], Institutions[Institution nickname], "Unknown")</f>
        <v>Wells Fargo</v>
      </c>
      <c r="J1514" s="139" t="s">
        <v>2256</v>
      </c>
      <c r="K1514" s="129" t="s">
        <v>1229</v>
      </c>
      <c r="L1514" s="129" t="s">
        <v>1228</v>
      </c>
      <c r="M1514" s="130" t="str" cm="1">
        <f t="array" ref="M1514">IFERROR(INDEX(CategoriesTable[Category type],MATCH(Table1[[#This Row],[Category]],CategoriesTable[Category name],0),0),"")</f>
        <v>Expense</v>
      </c>
      <c r="N1514" s="130" t="str" cm="1">
        <f t="array" ref="N1514">IFERROR(INDEX(SubcategoriesTable[Subcategory name],MATCH(Table1[[#This Row],[Category]],SubcategoriesTable[Category name],0),0),"")</f>
        <v>Variable</v>
      </c>
      <c r="O1514" s="130">
        <v>12</v>
      </c>
      <c r="P1514" s="130">
        <f>MONTH(Table1[[#This Row],[Date]])</f>
        <v>10</v>
      </c>
      <c r="Q1514" s="130">
        <v>2019</v>
      </c>
      <c r="R1514" s="166">
        <f>IF(ISBLANK(Table1[[#This Row],[Date]]),"",Table1[[#This Row],[Date]]-WEEKDAY(Table1[[#This Row],[Date]],2)+1)</f>
        <v>43745</v>
      </c>
      <c r="S1514" s="131">
        <f>IF(ISBLANK(Table1[[#This Row],[Date]]),"",DATE(Table1[[#This Row],[Date_Year]],Table1[[#This Row],[Date_Month]],1))</f>
        <v>43739</v>
      </c>
    </row>
    <row r="1515" spans="2:19" ht="15.75" x14ac:dyDescent="0.25">
      <c r="B1515" s="133">
        <v>43750</v>
      </c>
      <c r="C1515" s="128" t="s">
        <v>590</v>
      </c>
      <c r="D1515" s="128" t="s">
        <v>48</v>
      </c>
      <c r="E1515" s="128" t="str" cm="1">
        <f t="array" ref="E1515">IFERROR(INDEX(SubcategoriesTable[Subcategory name],MATCH(Table1[[#This Row],[Category]],SubcategoriesTable[Category name],0),0),"")</f>
        <v>Variable</v>
      </c>
      <c r="F1515" s="134">
        <v>-63.52</v>
      </c>
      <c r="G1515" s="167" t="str">
        <f>_xlfn.XLOOKUP(Table1[[#This Row],[Account_ID]], Accounts[ID], Accounts[Account nickname], "Unknown")</f>
        <v>EVERYDAY CHECKING</v>
      </c>
      <c r="H1515" s="137" t="str">
        <f>_xlfn.XLOOKUP(Table1[[#This Row],[Account_ID]], Accounts[ID], Accounts[Account'#], "Unknown")</f>
        <v>4636</v>
      </c>
      <c r="I1515" s="168" t="str">
        <f>_xlfn.XLOOKUP(Table1[[#This Row],[Institution_ID]], Institutions[ID], Institutions[Institution nickname], "Unknown")</f>
        <v>Wells Fargo</v>
      </c>
      <c r="J1515" s="139" t="s">
        <v>2257</v>
      </c>
      <c r="K1515" s="129" t="s">
        <v>1229</v>
      </c>
      <c r="L1515" s="129" t="s">
        <v>1228</v>
      </c>
      <c r="M1515" s="130" t="str" cm="1">
        <f t="array" ref="M1515">IFERROR(INDEX(CategoriesTable[Category type],MATCH(Table1[[#This Row],[Category]],CategoriesTable[Category name],0),0),"")</f>
        <v>Expense</v>
      </c>
      <c r="N1515" s="130" t="str" cm="1">
        <f t="array" ref="N1515">IFERROR(INDEX(SubcategoriesTable[Subcategory name],MATCH(Table1[[#This Row],[Category]],SubcategoriesTable[Category name],0),0),"")</f>
        <v>Variable</v>
      </c>
      <c r="O1515" s="130">
        <v>12</v>
      </c>
      <c r="P1515" s="130">
        <f>MONTH(Table1[[#This Row],[Date]])</f>
        <v>10</v>
      </c>
      <c r="Q1515" s="130">
        <v>2019</v>
      </c>
      <c r="R1515" s="166">
        <f>IF(ISBLANK(Table1[[#This Row],[Date]]),"",Table1[[#This Row],[Date]]-WEEKDAY(Table1[[#This Row],[Date]],2)+1)</f>
        <v>43745</v>
      </c>
      <c r="S1515" s="131">
        <f>IF(ISBLANK(Table1[[#This Row],[Date]]),"",DATE(Table1[[#This Row],[Date_Year]],Table1[[#This Row],[Date_Month]],1))</f>
        <v>43739</v>
      </c>
    </row>
    <row r="1516" spans="2:19" ht="15.75" x14ac:dyDescent="0.25">
      <c r="B1516" s="133">
        <v>43749</v>
      </c>
      <c r="C1516" s="128" t="s">
        <v>531</v>
      </c>
      <c r="D1516" s="128" t="s">
        <v>54</v>
      </c>
      <c r="E1516" s="128" t="str" cm="1">
        <f t="array" ref="E1516">IFERROR(INDEX(SubcategoriesTable[Subcategory name],MATCH(Table1[[#This Row],[Category]],SubcategoriesTable[Category name],0),0),"")</f>
        <v>Fixed</v>
      </c>
      <c r="F1516" s="134">
        <v>-3.36</v>
      </c>
      <c r="G1516" s="167" t="str">
        <f>_xlfn.XLOOKUP(Table1[[#This Row],[Account_ID]], Accounts[ID], Accounts[Account nickname], "Unknown")</f>
        <v>EVERYDAY CHECKING</v>
      </c>
      <c r="H1516" s="137" t="str">
        <f>_xlfn.XLOOKUP(Table1[[#This Row],[Account_ID]], Accounts[ID], Accounts[Account'#], "Unknown")</f>
        <v>4636</v>
      </c>
      <c r="I1516" s="168" t="str">
        <f>_xlfn.XLOOKUP(Table1[[#This Row],[Institution_ID]], Institutions[ID], Institutions[Institution nickname], "Unknown")</f>
        <v>Wells Fargo</v>
      </c>
      <c r="J1516" s="139" t="s">
        <v>2258</v>
      </c>
      <c r="K1516" s="129" t="s">
        <v>1229</v>
      </c>
      <c r="L1516" s="129" t="s">
        <v>1228</v>
      </c>
      <c r="M1516" s="130" t="str" cm="1">
        <f t="array" ref="M1516">IFERROR(INDEX(CategoriesTable[Category type],MATCH(Table1[[#This Row],[Category]],CategoriesTable[Category name],0),0),"")</f>
        <v>Expense</v>
      </c>
      <c r="N1516" s="130" t="str" cm="1">
        <f t="array" ref="N1516">IFERROR(INDEX(SubcategoriesTable[Subcategory name],MATCH(Table1[[#This Row],[Category]],SubcategoriesTable[Category name],0),0),"")</f>
        <v>Fixed</v>
      </c>
      <c r="O1516" s="130">
        <v>11</v>
      </c>
      <c r="P1516" s="130">
        <f>MONTH(Table1[[#This Row],[Date]])</f>
        <v>10</v>
      </c>
      <c r="Q1516" s="130">
        <v>2019</v>
      </c>
      <c r="R1516" s="166">
        <f>IF(ISBLANK(Table1[[#This Row],[Date]]),"",Table1[[#This Row],[Date]]-WEEKDAY(Table1[[#This Row],[Date]],2)+1)</f>
        <v>43745</v>
      </c>
      <c r="S1516" s="131">
        <f>IF(ISBLANK(Table1[[#This Row],[Date]]),"",DATE(Table1[[#This Row],[Date_Year]],Table1[[#This Row],[Date_Month]],1))</f>
        <v>43739</v>
      </c>
    </row>
    <row r="1517" spans="2:19" ht="15.75" x14ac:dyDescent="0.25">
      <c r="B1517" s="133">
        <v>43749</v>
      </c>
      <c r="C1517" s="128" t="s">
        <v>1791</v>
      </c>
      <c r="D1517" s="128" t="s">
        <v>54</v>
      </c>
      <c r="E1517" s="128" t="str" cm="1">
        <f t="array" ref="E1517">IFERROR(INDEX(SubcategoriesTable[Subcategory name],MATCH(Table1[[#This Row],[Category]],SubcategoriesTable[Category name],0),0),"")</f>
        <v>Fixed</v>
      </c>
      <c r="F1517" s="134">
        <v>-50</v>
      </c>
      <c r="G1517" s="167" t="str">
        <f>_xlfn.XLOOKUP(Table1[[#This Row],[Account_ID]], Accounts[ID], Accounts[Account nickname], "Unknown")</f>
        <v>EVERYDAY CHECKING</v>
      </c>
      <c r="H1517" s="137" t="str">
        <f>_xlfn.XLOOKUP(Table1[[#This Row],[Account_ID]], Accounts[ID], Accounts[Account'#], "Unknown")</f>
        <v>4636</v>
      </c>
      <c r="I1517" s="168" t="str">
        <f>_xlfn.XLOOKUP(Table1[[#This Row],[Institution_ID]], Institutions[ID], Institutions[Institution nickname], "Unknown")</f>
        <v>Wells Fargo</v>
      </c>
      <c r="J1517" s="139" t="s">
        <v>2259</v>
      </c>
      <c r="K1517" s="129" t="s">
        <v>1229</v>
      </c>
      <c r="L1517" s="129" t="s">
        <v>1228</v>
      </c>
      <c r="M1517" s="130" t="str" cm="1">
        <f t="array" ref="M1517">IFERROR(INDEX(CategoriesTable[Category type],MATCH(Table1[[#This Row],[Category]],CategoriesTable[Category name],0),0),"")</f>
        <v>Expense</v>
      </c>
      <c r="N1517" s="130" t="str" cm="1">
        <f t="array" ref="N1517">IFERROR(INDEX(SubcategoriesTable[Subcategory name],MATCH(Table1[[#This Row],[Category]],SubcategoriesTable[Category name],0),0),"")</f>
        <v>Fixed</v>
      </c>
      <c r="O1517" s="130">
        <v>11</v>
      </c>
      <c r="P1517" s="130">
        <f>MONTH(Table1[[#This Row],[Date]])</f>
        <v>10</v>
      </c>
      <c r="Q1517" s="130">
        <v>2019</v>
      </c>
      <c r="R1517" s="166">
        <f>IF(ISBLANK(Table1[[#This Row],[Date]]),"",Table1[[#This Row],[Date]]-WEEKDAY(Table1[[#This Row],[Date]],2)+1)</f>
        <v>43745</v>
      </c>
      <c r="S1517" s="131">
        <f>IF(ISBLANK(Table1[[#This Row],[Date]]),"",DATE(Table1[[#This Row],[Date_Year]],Table1[[#This Row],[Date_Month]],1))</f>
        <v>43739</v>
      </c>
    </row>
    <row r="1518" spans="2:19" ht="15.75" x14ac:dyDescent="0.25">
      <c r="B1518" s="133">
        <v>43749</v>
      </c>
      <c r="C1518" s="128" t="s">
        <v>1180</v>
      </c>
      <c r="D1518" s="128" t="s">
        <v>50</v>
      </c>
      <c r="E1518" s="128" t="str" cm="1">
        <f t="array" ref="E1518">IFERROR(INDEX(SubcategoriesTable[Subcategory name],MATCH(Table1[[#This Row],[Category]],SubcategoriesTable[Category name],0),0),"")</f>
        <v>Variable</v>
      </c>
      <c r="F1518" s="134">
        <v>-20</v>
      </c>
      <c r="G1518" s="167" t="str">
        <f>_xlfn.XLOOKUP(Table1[[#This Row],[Account_ID]], Accounts[ID], Accounts[Account nickname], "Unknown")</f>
        <v>EVERYDAY CHECKING</v>
      </c>
      <c r="H1518" s="137" t="str">
        <f>_xlfn.XLOOKUP(Table1[[#This Row],[Account_ID]], Accounts[ID], Accounts[Account'#], "Unknown")</f>
        <v>4636</v>
      </c>
      <c r="I1518" s="168" t="str">
        <f>_xlfn.XLOOKUP(Table1[[#This Row],[Institution_ID]], Institutions[ID], Institutions[Institution nickname], "Unknown")</f>
        <v>Wells Fargo</v>
      </c>
      <c r="J1518" s="139" t="s">
        <v>2260</v>
      </c>
      <c r="K1518" s="129" t="s">
        <v>1229</v>
      </c>
      <c r="L1518" s="129" t="s">
        <v>1228</v>
      </c>
      <c r="M1518" s="130" t="str" cm="1">
        <f t="array" ref="M1518">IFERROR(INDEX(CategoriesTable[Category type],MATCH(Table1[[#This Row],[Category]],CategoriesTable[Category name],0),0),"")</f>
        <v>Transfer</v>
      </c>
      <c r="N1518" s="130" t="str" cm="1">
        <f t="array" ref="N1518">IFERROR(INDEX(SubcategoriesTable[Subcategory name],MATCH(Table1[[#This Row],[Category]],SubcategoriesTable[Category name],0),0),"")</f>
        <v>Variable</v>
      </c>
      <c r="O1518" s="130">
        <v>11</v>
      </c>
      <c r="P1518" s="130">
        <f>MONTH(Table1[[#This Row],[Date]])</f>
        <v>10</v>
      </c>
      <c r="Q1518" s="130">
        <v>2019</v>
      </c>
      <c r="R1518" s="166">
        <f>IF(ISBLANK(Table1[[#This Row],[Date]]),"",Table1[[#This Row],[Date]]-WEEKDAY(Table1[[#This Row],[Date]],2)+1)</f>
        <v>43745</v>
      </c>
      <c r="S1518" s="131">
        <f>IF(ISBLANK(Table1[[#This Row],[Date]]),"",DATE(Table1[[#This Row],[Date_Year]],Table1[[#This Row],[Date_Month]],1))</f>
        <v>43739</v>
      </c>
    </row>
    <row r="1519" spans="2:19" ht="15.75" x14ac:dyDescent="0.25">
      <c r="B1519" s="133">
        <v>43749</v>
      </c>
      <c r="C1519" s="128" t="s">
        <v>1181</v>
      </c>
      <c r="D1519" s="128" t="s">
        <v>59</v>
      </c>
      <c r="E1519" s="128" t="str" cm="1">
        <f t="array" ref="E1519">IFERROR(INDEX(SubcategoriesTable[Subcategory name],MATCH(Table1[[#This Row],[Category]],SubcategoriesTable[Category name],0),0),"")</f>
        <v>Fixed</v>
      </c>
      <c r="F1519" s="134">
        <v>1536.71</v>
      </c>
      <c r="G1519" s="167" t="str">
        <f>_xlfn.XLOOKUP(Table1[[#This Row],[Account_ID]], Accounts[ID], Accounts[Account nickname], "Unknown")</f>
        <v>EVERYDAY CHECKING</v>
      </c>
      <c r="H1519" s="137" t="str">
        <f>_xlfn.XLOOKUP(Table1[[#This Row],[Account_ID]], Accounts[ID], Accounts[Account'#], "Unknown")</f>
        <v>4636</v>
      </c>
      <c r="I1519" s="168" t="str">
        <f>_xlfn.XLOOKUP(Table1[[#This Row],[Institution_ID]], Institutions[ID], Institutions[Institution nickname], "Unknown")</f>
        <v>Wells Fargo</v>
      </c>
      <c r="J1519" s="139" t="s">
        <v>2261</v>
      </c>
      <c r="K1519" s="129" t="s">
        <v>1229</v>
      </c>
      <c r="L1519" s="129" t="s">
        <v>1228</v>
      </c>
      <c r="M1519" s="130" t="str" cm="1">
        <f t="array" ref="M1519">IFERROR(INDEX(CategoriesTable[Category type],MATCH(Table1[[#This Row],[Category]],CategoriesTable[Category name],0),0),"")</f>
        <v>Income</v>
      </c>
      <c r="N1519" s="130" t="str" cm="1">
        <f t="array" ref="N1519">IFERROR(INDEX(SubcategoriesTable[Subcategory name],MATCH(Table1[[#This Row],[Category]],SubcategoriesTable[Category name],0),0),"")</f>
        <v>Fixed</v>
      </c>
      <c r="O1519" s="130">
        <v>11</v>
      </c>
      <c r="P1519" s="130">
        <f>MONTH(Table1[[#This Row],[Date]])</f>
        <v>10</v>
      </c>
      <c r="Q1519" s="130">
        <v>2019</v>
      </c>
      <c r="R1519" s="166">
        <f>IF(ISBLANK(Table1[[#This Row],[Date]]),"",Table1[[#This Row],[Date]]-WEEKDAY(Table1[[#This Row],[Date]],2)+1)</f>
        <v>43745</v>
      </c>
      <c r="S1519" s="131">
        <f>IF(ISBLANK(Table1[[#This Row],[Date]]),"",DATE(Table1[[#This Row],[Date_Year]],Table1[[#This Row],[Date_Month]],1))</f>
        <v>43739</v>
      </c>
    </row>
    <row r="1520" spans="2:19" ht="15.75" x14ac:dyDescent="0.25">
      <c r="B1520" s="133">
        <v>43749</v>
      </c>
      <c r="C1520" s="128" t="s">
        <v>113</v>
      </c>
      <c r="D1520" s="128" t="s">
        <v>50</v>
      </c>
      <c r="E1520" s="128" t="str" cm="1">
        <f t="array" ref="E1520">IFERROR(INDEX(SubcategoriesTable[Subcategory name],MATCH(Table1[[#This Row],[Category]],SubcategoriesTable[Category name],0),0),"")</f>
        <v>Variable</v>
      </c>
      <c r="F1520" s="134">
        <v>20</v>
      </c>
      <c r="G1520" s="167" t="str">
        <f>_xlfn.XLOOKUP(Table1[[#This Row],[Account_ID]], Accounts[ID], Accounts[Account nickname], "Unknown")</f>
        <v>Discover it chrome Card</v>
      </c>
      <c r="H1520" s="137" t="str">
        <f>_xlfn.XLOOKUP(Table1[[#This Row],[Account_ID]], Accounts[ID], Accounts[Account'#], "Unknown")</f>
        <v>7328</v>
      </c>
      <c r="I1520" s="168" t="str">
        <f>_xlfn.XLOOKUP(Table1[[#This Row],[Institution_ID]], Institutions[ID], Institutions[Institution nickname], "Unknown")</f>
        <v>Discover</v>
      </c>
      <c r="J1520" s="139" t="s">
        <v>1070</v>
      </c>
      <c r="K1520" s="129" t="s">
        <v>110</v>
      </c>
      <c r="L1520" s="129" t="s">
        <v>108</v>
      </c>
      <c r="M1520" s="130" t="str" cm="1">
        <f t="array" ref="M1520">IFERROR(INDEX(CategoriesTable[Category type],MATCH(Table1[[#This Row],[Category]],CategoriesTable[Category name],0),0),"")</f>
        <v>Transfer</v>
      </c>
      <c r="N1520" s="130" t="str" cm="1">
        <f t="array" ref="N1520">IFERROR(INDEX(SubcategoriesTable[Subcategory name],MATCH(Table1[[#This Row],[Category]],SubcategoriesTable[Category name],0),0),"")</f>
        <v>Variable</v>
      </c>
      <c r="O1520" s="130">
        <v>11</v>
      </c>
      <c r="P1520" s="130">
        <f>MONTH(Table1[[#This Row],[Date]])</f>
        <v>10</v>
      </c>
      <c r="Q1520" s="130">
        <v>2019</v>
      </c>
      <c r="R1520" s="166">
        <f>IF(ISBLANK(Table1[[#This Row],[Date]]),"",Table1[[#This Row],[Date]]-WEEKDAY(Table1[[#This Row],[Date]],2)+1)</f>
        <v>43745</v>
      </c>
      <c r="S1520" s="131">
        <f>IF(ISBLANK(Table1[[#This Row],[Date]]),"",DATE(Table1[[#This Row],[Date_Year]],Table1[[#This Row],[Date_Month]],1))</f>
        <v>43739</v>
      </c>
    </row>
    <row r="1521" spans="2:19" ht="15.75" x14ac:dyDescent="0.25">
      <c r="B1521" s="133">
        <v>43748</v>
      </c>
      <c r="C1521" s="128" t="s">
        <v>531</v>
      </c>
      <c r="D1521" s="128" t="s">
        <v>54</v>
      </c>
      <c r="E1521" s="128" t="str" cm="1">
        <f t="array" ref="E1521">IFERROR(INDEX(SubcategoriesTable[Subcategory name],MATCH(Table1[[#This Row],[Category]],SubcategoriesTable[Category name],0),0),"")</f>
        <v>Fixed</v>
      </c>
      <c r="F1521" s="134">
        <v>-4.8899999999999997</v>
      </c>
      <c r="G1521" s="167" t="str">
        <f>_xlfn.XLOOKUP(Table1[[#This Row],[Account_ID]], Accounts[ID], Accounts[Account nickname], "Unknown")</f>
        <v>EVERYDAY CHECKING</v>
      </c>
      <c r="H1521" s="137" t="str">
        <f>_xlfn.XLOOKUP(Table1[[#This Row],[Account_ID]], Accounts[ID], Accounts[Account'#], "Unknown")</f>
        <v>4636</v>
      </c>
      <c r="I1521" s="168" t="str">
        <f>_xlfn.XLOOKUP(Table1[[#This Row],[Institution_ID]], Institutions[ID], Institutions[Institution nickname], "Unknown")</f>
        <v>Wells Fargo</v>
      </c>
      <c r="J1521" s="139" t="s">
        <v>2262</v>
      </c>
      <c r="K1521" s="129" t="s">
        <v>1229</v>
      </c>
      <c r="L1521" s="129" t="s">
        <v>1228</v>
      </c>
      <c r="M1521" s="130" t="str" cm="1">
        <f t="array" ref="M1521">IFERROR(INDEX(CategoriesTable[Category type],MATCH(Table1[[#This Row],[Category]],CategoriesTable[Category name],0),0),"")</f>
        <v>Expense</v>
      </c>
      <c r="N1521" s="130" t="str" cm="1">
        <f t="array" ref="N1521">IFERROR(INDEX(SubcategoriesTable[Subcategory name],MATCH(Table1[[#This Row],[Category]],SubcategoriesTable[Category name],0),0),"")</f>
        <v>Fixed</v>
      </c>
      <c r="O1521" s="130">
        <v>10</v>
      </c>
      <c r="P1521" s="130">
        <f>MONTH(Table1[[#This Row],[Date]])</f>
        <v>10</v>
      </c>
      <c r="Q1521" s="130">
        <v>2019</v>
      </c>
      <c r="R1521" s="166">
        <f>IF(ISBLANK(Table1[[#This Row],[Date]]),"",Table1[[#This Row],[Date]]-WEEKDAY(Table1[[#This Row],[Date]],2)+1)</f>
        <v>43745</v>
      </c>
      <c r="S1521" s="131">
        <f>IF(ISBLANK(Table1[[#This Row],[Date]]),"",DATE(Table1[[#This Row],[Date_Year]],Table1[[#This Row],[Date_Month]],1))</f>
        <v>43739</v>
      </c>
    </row>
    <row r="1522" spans="2:19" ht="15.75" x14ac:dyDescent="0.25">
      <c r="B1522" s="133">
        <v>43748</v>
      </c>
      <c r="C1522" s="128" t="s">
        <v>1820</v>
      </c>
      <c r="D1522" s="128" t="s">
        <v>45</v>
      </c>
      <c r="E1522" s="128" t="str" cm="1">
        <f t="array" ref="E1522">IFERROR(INDEX(SubcategoriesTable[Subcategory name],MATCH(Table1[[#This Row],[Category]],SubcategoriesTable[Category name],0),0),"")</f>
        <v>Variable</v>
      </c>
      <c r="F1522" s="134">
        <v>-20.76</v>
      </c>
      <c r="G1522" s="167" t="str">
        <f>_xlfn.XLOOKUP(Table1[[#This Row],[Account_ID]], Accounts[ID], Accounts[Account nickname], "Unknown")</f>
        <v>EVERYDAY CHECKING</v>
      </c>
      <c r="H1522" s="137" t="str">
        <f>_xlfn.XLOOKUP(Table1[[#This Row],[Account_ID]], Accounts[ID], Accounts[Account'#], "Unknown")</f>
        <v>4636</v>
      </c>
      <c r="I1522" s="168" t="str">
        <f>_xlfn.XLOOKUP(Table1[[#This Row],[Institution_ID]], Institutions[ID], Institutions[Institution nickname], "Unknown")</f>
        <v>Wells Fargo</v>
      </c>
      <c r="J1522" s="139" t="s">
        <v>2263</v>
      </c>
      <c r="K1522" s="129" t="s">
        <v>1229</v>
      </c>
      <c r="L1522" s="129" t="s">
        <v>1228</v>
      </c>
      <c r="M1522" s="130" t="str" cm="1">
        <f t="array" ref="M1522">IFERROR(INDEX(CategoriesTable[Category type],MATCH(Table1[[#This Row],[Category]],CategoriesTable[Category name],0),0),"")</f>
        <v>Expense</v>
      </c>
      <c r="N1522" s="130" t="str" cm="1">
        <f t="array" ref="N1522">IFERROR(INDEX(SubcategoriesTable[Subcategory name],MATCH(Table1[[#This Row],[Category]],SubcategoriesTable[Category name],0),0),"")</f>
        <v>Variable</v>
      </c>
      <c r="O1522" s="130">
        <v>10</v>
      </c>
      <c r="P1522" s="130">
        <f>MONTH(Table1[[#This Row],[Date]])</f>
        <v>10</v>
      </c>
      <c r="Q1522" s="130">
        <v>2019</v>
      </c>
      <c r="R1522" s="166">
        <f>IF(ISBLANK(Table1[[#This Row],[Date]]),"",Table1[[#This Row],[Date]]-WEEKDAY(Table1[[#This Row],[Date]],2)+1)</f>
        <v>43745</v>
      </c>
      <c r="S1522" s="131">
        <f>IF(ISBLANK(Table1[[#This Row],[Date]]),"",DATE(Table1[[#This Row],[Date_Year]],Table1[[#This Row],[Date_Month]],1))</f>
        <v>43739</v>
      </c>
    </row>
    <row r="1523" spans="2:19" ht="15.75" x14ac:dyDescent="0.25">
      <c r="B1523" s="133">
        <v>43748</v>
      </c>
      <c r="C1523" s="128" t="s">
        <v>119</v>
      </c>
      <c r="D1523" s="128" t="s">
        <v>52</v>
      </c>
      <c r="E1523" s="128" t="str" cm="1">
        <f t="array" ref="E1523">IFERROR(INDEX(SubcategoriesTable[Subcategory name],MATCH(Table1[[#This Row],[Category]],SubcategoriesTable[Category name],0),0),"")</f>
        <v>Variable</v>
      </c>
      <c r="F1523" s="134">
        <v>-14.2</v>
      </c>
      <c r="G1523" s="167" t="str">
        <f>_xlfn.XLOOKUP(Table1[[#This Row],[Account_ID]], Accounts[ID], Accounts[Account nickname], "Unknown")</f>
        <v>EVERYDAY CHECKING</v>
      </c>
      <c r="H1523" s="137" t="str">
        <f>_xlfn.XLOOKUP(Table1[[#This Row],[Account_ID]], Accounts[ID], Accounts[Account'#], "Unknown")</f>
        <v>4636</v>
      </c>
      <c r="I1523" s="168" t="str">
        <f>_xlfn.XLOOKUP(Table1[[#This Row],[Institution_ID]], Institutions[ID], Institutions[Institution nickname], "Unknown")</f>
        <v>Wells Fargo</v>
      </c>
      <c r="J1523" s="139" t="s">
        <v>2264</v>
      </c>
      <c r="K1523" s="129" t="s">
        <v>1229</v>
      </c>
      <c r="L1523" s="129" t="s">
        <v>1228</v>
      </c>
      <c r="M1523" s="130" t="str" cm="1">
        <f t="array" ref="M1523">IFERROR(INDEX(CategoriesTable[Category type],MATCH(Table1[[#This Row],[Category]],CategoriesTable[Category name],0),0),"")</f>
        <v>Expense</v>
      </c>
      <c r="N1523" s="130" t="str" cm="1">
        <f t="array" ref="N1523">IFERROR(INDEX(SubcategoriesTable[Subcategory name],MATCH(Table1[[#This Row],[Category]],SubcategoriesTable[Category name],0),0),"")</f>
        <v>Variable</v>
      </c>
      <c r="O1523" s="130">
        <v>10</v>
      </c>
      <c r="P1523" s="130">
        <f>MONTH(Table1[[#This Row],[Date]])</f>
        <v>10</v>
      </c>
      <c r="Q1523" s="130">
        <v>2019</v>
      </c>
      <c r="R1523" s="166">
        <f>IF(ISBLANK(Table1[[#This Row],[Date]]),"",Table1[[#This Row],[Date]]-WEEKDAY(Table1[[#This Row],[Date]],2)+1)</f>
        <v>43745</v>
      </c>
      <c r="S1523" s="131">
        <f>IF(ISBLANK(Table1[[#This Row],[Date]]),"",DATE(Table1[[#This Row],[Date_Year]],Table1[[#This Row],[Date_Month]],1))</f>
        <v>43739</v>
      </c>
    </row>
    <row r="1524" spans="2:19" ht="15.75" x14ac:dyDescent="0.25">
      <c r="B1524" s="133">
        <v>43748</v>
      </c>
      <c r="C1524" s="128" t="s">
        <v>1071</v>
      </c>
      <c r="D1524" s="128" t="s">
        <v>45</v>
      </c>
      <c r="E1524" s="128" t="str" cm="1">
        <f t="array" ref="E1524">IFERROR(INDEX(SubcategoriesTable[Subcategory name],MATCH(Table1[[#This Row],[Category]],SubcategoriesTable[Category name],0),0),"")</f>
        <v>Variable</v>
      </c>
      <c r="F1524" s="134">
        <v>-14.76</v>
      </c>
      <c r="G1524" s="167" t="str">
        <f>_xlfn.XLOOKUP(Table1[[#This Row],[Account_ID]], Accounts[ID], Accounts[Account nickname], "Unknown")</f>
        <v>EVERYDAY CHECKING</v>
      </c>
      <c r="H1524" s="137" t="str">
        <f>_xlfn.XLOOKUP(Table1[[#This Row],[Account_ID]], Accounts[ID], Accounts[Account'#], "Unknown")</f>
        <v>4636</v>
      </c>
      <c r="I1524" s="168" t="str">
        <f>_xlfn.XLOOKUP(Table1[[#This Row],[Institution_ID]], Institutions[ID], Institutions[Institution nickname], "Unknown")</f>
        <v>Wells Fargo</v>
      </c>
      <c r="J1524" s="139" t="s">
        <v>2265</v>
      </c>
      <c r="K1524" s="129" t="s">
        <v>1229</v>
      </c>
      <c r="L1524" s="129" t="s">
        <v>1228</v>
      </c>
      <c r="M1524" s="130" t="str" cm="1">
        <f t="array" ref="M1524">IFERROR(INDEX(CategoriesTable[Category type],MATCH(Table1[[#This Row],[Category]],CategoriesTable[Category name],0),0),"")</f>
        <v>Expense</v>
      </c>
      <c r="N1524" s="130" t="str" cm="1">
        <f t="array" ref="N1524">IFERROR(INDEX(SubcategoriesTable[Subcategory name],MATCH(Table1[[#This Row],[Category]],SubcategoriesTable[Category name],0),0),"")</f>
        <v>Variable</v>
      </c>
      <c r="O1524" s="130">
        <v>10</v>
      </c>
      <c r="P1524" s="130">
        <f>MONTH(Table1[[#This Row],[Date]])</f>
        <v>10</v>
      </c>
      <c r="Q1524" s="130">
        <v>2019</v>
      </c>
      <c r="R1524" s="166">
        <f>IF(ISBLANK(Table1[[#This Row],[Date]]),"",Table1[[#This Row],[Date]]-WEEKDAY(Table1[[#This Row],[Date]],2)+1)</f>
        <v>43745</v>
      </c>
      <c r="S1524" s="131">
        <f>IF(ISBLANK(Table1[[#This Row],[Date]]),"",DATE(Table1[[#This Row],[Date_Year]],Table1[[#This Row],[Date_Month]],1))</f>
        <v>43739</v>
      </c>
    </row>
    <row r="1525" spans="2:19" ht="15.75" x14ac:dyDescent="0.25">
      <c r="B1525" s="133">
        <v>43748</v>
      </c>
      <c r="C1525" s="128" t="s">
        <v>1475</v>
      </c>
      <c r="D1525" s="128" t="s">
        <v>56</v>
      </c>
      <c r="E1525" s="128" t="str" cm="1">
        <f t="array" ref="E1525">IFERROR(INDEX(SubcategoriesTable[Subcategory name],MATCH(Table1[[#This Row],[Category]],SubcategoriesTable[Category name],0),0),"")</f>
        <v>Variable</v>
      </c>
      <c r="F1525" s="134">
        <v>-7.35</v>
      </c>
      <c r="G1525" s="167" t="str">
        <f>_xlfn.XLOOKUP(Table1[[#This Row],[Account_ID]], Accounts[ID], Accounts[Account nickname], "Unknown")</f>
        <v>EVERYDAY CHECKING</v>
      </c>
      <c r="H1525" s="137" t="str">
        <f>_xlfn.XLOOKUP(Table1[[#This Row],[Account_ID]], Accounts[ID], Accounts[Account'#], "Unknown")</f>
        <v>4636</v>
      </c>
      <c r="I1525" s="168" t="str">
        <f>_xlfn.XLOOKUP(Table1[[#This Row],[Institution_ID]], Institutions[ID], Institutions[Institution nickname], "Unknown")</f>
        <v>Wells Fargo</v>
      </c>
      <c r="J1525" s="139" t="s">
        <v>2266</v>
      </c>
      <c r="K1525" s="129" t="s">
        <v>1229</v>
      </c>
      <c r="L1525" s="129" t="s">
        <v>1228</v>
      </c>
      <c r="M1525" s="130" t="str" cm="1">
        <f t="array" ref="M1525">IFERROR(INDEX(CategoriesTable[Category type],MATCH(Table1[[#This Row],[Category]],CategoriesTable[Category name],0),0),"")</f>
        <v>Expense</v>
      </c>
      <c r="N1525" s="130" t="str" cm="1">
        <f t="array" ref="N1525">IFERROR(INDEX(SubcategoriesTable[Subcategory name],MATCH(Table1[[#This Row],[Category]],SubcategoriesTable[Category name],0),0),"")</f>
        <v>Variable</v>
      </c>
      <c r="O1525" s="130">
        <v>10</v>
      </c>
      <c r="P1525" s="130">
        <f>MONTH(Table1[[#This Row],[Date]])</f>
        <v>10</v>
      </c>
      <c r="Q1525" s="130">
        <v>2019</v>
      </c>
      <c r="R1525" s="166">
        <f>IF(ISBLANK(Table1[[#This Row],[Date]]),"",Table1[[#This Row],[Date]]-WEEKDAY(Table1[[#This Row],[Date]],2)+1)</f>
        <v>43745</v>
      </c>
      <c r="S1525" s="131">
        <f>IF(ISBLANK(Table1[[#This Row],[Date]]),"",DATE(Table1[[#This Row],[Date_Year]],Table1[[#This Row],[Date_Month]],1))</f>
        <v>43739</v>
      </c>
    </row>
    <row r="1526" spans="2:19" ht="15.75" x14ac:dyDescent="0.25">
      <c r="B1526" s="133">
        <v>43747</v>
      </c>
      <c r="C1526" s="128" t="s">
        <v>2267</v>
      </c>
      <c r="D1526" s="128" t="s">
        <v>45</v>
      </c>
      <c r="E1526" s="128" t="str" cm="1">
        <f t="array" ref="E1526">IFERROR(INDEX(SubcategoriesTable[Subcategory name],MATCH(Table1[[#This Row],[Category]],SubcategoriesTable[Category name],0),0),"")</f>
        <v>Variable</v>
      </c>
      <c r="F1526" s="134">
        <v>-50</v>
      </c>
      <c r="G1526" s="167" t="str">
        <f>_xlfn.XLOOKUP(Table1[[#This Row],[Account_ID]], Accounts[ID], Accounts[Account nickname], "Unknown")</f>
        <v>EVERYDAY CHECKING</v>
      </c>
      <c r="H1526" s="137" t="str">
        <f>_xlfn.XLOOKUP(Table1[[#This Row],[Account_ID]], Accounts[ID], Accounts[Account'#], "Unknown")</f>
        <v>4636</v>
      </c>
      <c r="I1526" s="168" t="str">
        <f>_xlfn.XLOOKUP(Table1[[#This Row],[Institution_ID]], Institutions[ID], Institutions[Institution nickname], "Unknown")</f>
        <v>Wells Fargo</v>
      </c>
      <c r="J1526" s="139" t="s">
        <v>2268</v>
      </c>
      <c r="K1526" s="129" t="s">
        <v>1229</v>
      </c>
      <c r="L1526" s="129" t="s">
        <v>1228</v>
      </c>
      <c r="M1526" s="130" t="str" cm="1">
        <f t="array" ref="M1526">IFERROR(INDEX(CategoriesTable[Category type],MATCH(Table1[[#This Row],[Category]],CategoriesTable[Category name],0),0),"")</f>
        <v>Expense</v>
      </c>
      <c r="N1526" s="130" t="str" cm="1">
        <f t="array" ref="N1526">IFERROR(INDEX(SubcategoriesTable[Subcategory name],MATCH(Table1[[#This Row],[Category]],SubcategoriesTable[Category name],0),0),"")</f>
        <v>Variable</v>
      </c>
      <c r="O1526" s="130">
        <v>9</v>
      </c>
      <c r="P1526" s="130">
        <f>MONTH(Table1[[#This Row],[Date]])</f>
        <v>10</v>
      </c>
      <c r="Q1526" s="130">
        <v>2019</v>
      </c>
      <c r="R1526" s="166">
        <f>IF(ISBLANK(Table1[[#This Row],[Date]]),"",Table1[[#This Row],[Date]]-WEEKDAY(Table1[[#This Row],[Date]],2)+1)</f>
        <v>43745</v>
      </c>
      <c r="S1526" s="131">
        <f>IF(ISBLANK(Table1[[#This Row],[Date]]),"",DATE(Table1[[#This Row],[Date_Year]],Table1[[#This Row],[Date_Month]],1))</f>
        <v>43739</v>
      </c>
    </row>
    <row r="1527" spans="2:19" ht="15.75" x14ac:dyDescent="0.25">
      <c r="B1527" s="133">
        <v>43747</v>
      </c>
      <c r="C1527" s="128" t="s">
        <v>119</v>
      </c>
      <c r="D1527" s="128" t="s">
        <v>52</v>
      </c>
      <c r="E1527" s="128" t="str" cm="1">
        <f t="array" ref="E1527">IFERROR(INDEX(SubcategoriesTable[Subcategory name],MATCH(Table1[[#This Row],[Category]],SubcategoriesTable[Category name],0),0),"")</f>
        <v>Variable</v>
      </c>
      <c r="F1527" s="134">
        <v>-17.260000000000002</v>
      </c>
      <c r="G1527" s="167" t="str">
        <f>_xlfn.XLOOKUP(Table1[[#This Row],[Account_ID]], Accounts[ID], Accounts[Account nickname], "Unknown")</f>
        <v>EVERYDAY CHECKING</v>
      </c>
      <c r="H1527" s="137" t="str">
        <f>_xlfn.XLOOKUP(Table1[[#This Row],[Account_ID]], Accounts[ID], Accounts[Account'#], "Unknown")</f>
        <v>4636</v>
      </c>
      <c r="I1527" s="168" t="str">
        <f>_xlfn.XLOOKUP(Table1[[#This Row],[Institution_ID]], Institutions[ID], Institutions[Institution nickname], "Unknown")</f>
        <v>Wells Fargo</v>
      </c>
      <c r="J1527" s="139" t="s">
        <v>2269</v>
      </c>
      <c r="K1527" s="129" t="s">
        <v>1229</v>
      </c>
      <c r="L1527" s="129" t="s">
        <v>1228</v>
      </c>
      <c r="M1527" s="130" t="str" cm="1">
        <f t="array" ref="M1527">IFERROR(INDEX(CategoriesTable[Category type],MATCH(Table1[[#This Row],[Category]],CategoriesTable[Category name],0),0),"")</f>
        <v>Expense</v>
      </c>
      <c r="N1527" s="130" t="str" cm="1">
        <f t="array" ref="N1527">IFERROR(INDEX(SubcategoriesTable[Subcategory name],MATCH(Table1[[#This Row],[Category]],SubcategoriesTable[Category name],0),0),"")</f>
        <v>Variable</v>
      </c>
      <c r="O1527" s="130">
        <v>9</v>
      </c>
      <c r="P1527" s="130">
        <f>MONTH(Table1[[#This Row],[Date]])</f>
        <v>10</v>
      </c>
      <c r="Q1527" s="130">
        <v>2019</v>
      </c>
      <c r="R1527" s="166">
        <f>IF(ISBLANK(Table1[[#This Row],[Date]]),"",Table1[[#This Row],[Date]]-WEEKDAY(Table1[[#This Row],[Date]],2)+1)</f>
        <v>43745</v>
      </c>
      <c r="S1527" s="131">
        <f>IF(ISBLANK(Table1[[#This Row],[Date]]),"",DATE(Table1[[#This Row],[Date_Year]],Table1[[#This Row],[Date_Month]],1))</f>
        <v>43739</v>
      </c>
    </row>
    <row r="1528" spans="2:19" ht="15.75" x14ac:dyDescent="0.25">
      <c r="B1528" s="133">
        <v>43747</v>
      </c>
      <c r="C1528" s="128" t="s">
        <v>167</v>
      </c>
      <c r="D1528" s="128" t="s">
        <v>52</v>
      </c>
      <c r="E1528" s="128" t="str" cm="1">
        <f t="array" ref="E1528">IFERROR(INDEX(SubcategoriesTable[Subcategory name],MATCH(Table1[[#This Row],[Category]],SubcategoriesTable[Category name],0),0),"")</f>
        <v>Variable</v>
      </c>
      <c r="F1528" s="134">
        <v>-20.440000000000001</v>
      </c>
      <c r="G1528" s="167" t="str">
        <f>_xlfn.XLOOKUP(Table1[[#This Row],[Account_ID]], Accounts[ID], Accounts[Account nickname], "Unknown")</f>
        <v>EVERYDAY CHECKING</v>
      </c>
      <c r="H1528" s="137" t="str">
        <f>_xlfn.XLOOKUP(Table1[[#This Row],[Account_ID]], Accounts[ID], Accounts[Account'#], "Unknown")</f>
        <v>4636</v>
      </c>
      <c r="I1528" s="168" t="str">
        <f>_xlfn.XLOOKUP(Table1[[#This Row],[Institution_ID]], Institutions[ID], Institutions[Institution nickname], "Unknown")</f>
        <v>Wells Fargo</v>
      </c>
      <c r="J1528" s="139" t="s">
        <v>2270</v>
      </c>
      <c r="K1528" s="129" t="s">
        <v>1229</v>
      </c>
      <c r="L1528" s="129" t="s">
        <v>1228</v>
      </c>
      <c r="M1528" s="130" t="str" cm="1">
        <f t="array" ref="M1528">IFERROR(INDEX(CategoriesTable[Category type],MATCH(Table1[[#This Row],[Category]],CategoriesTable[Category name],0),0),"")</f>
        <v>Expense</v>
      </c>
      <c r="N1528" s="130" t="str" cm="1">
        <f t="array" ref="N1528">IFERROR(INDEX(SubcategoriesTable[Subcategory name],MATCH(Table1[[#This Row],[Category]],SubcategoriesTable[Category name],0),0),"")</f>
        <v>Variable</v>
      </c>
      <c r="O1528" s="130">
        <v>9</v>
      </c>
      <c r="P1528" s="130">
        <f>MONTH(Table1[[#This Row],[Date]])</f>
        <v>10</v>
      </c>
      <c r="Q1528" s="130">
        <v>2019</v>
      </c>
      <c r="R1528" s="166">
        <f>IF(ISBLANK(Table1[[#This Row],[Date]]),"",Table1[[#This Row],[Date]]-WEEKDAY(Table1[[#This Row],[Date]],2)+1)</f>
        <v>43745</v>
      </c>
      <c r="S1528" s="131">
        <f>IF(ISBLANK(Table1[[#This Row],[Date]]),"",DATE(Table1[[#This Row],[Date_Year]],Table1[[#This Row],[Date_Month]],1))</f>
        <v>43739</v>
      </c>
    </row>
    <row r="1529" spans="2:19" ht="15.75" x14ac:dyDescent="0.25">
      <c r="B1529" s="133">
        <v>43747</v>
      </c>
      <c r="C1529" s="128" t="s">
        <v>1194</v>
      </c>
      <c r="D1529" s="128" t="s">
        <v>59</v>
      </c>
      <c r="E1529" s="128" t="str" cm="1">
        <f t="array" ref="E1529">IFERROR(INDEX(SubcategoriesTable[Subcategory name],MATCH(Table1[[#This Row],[Category]],SubcategoriesTable[Category name],0),0),"")</f>
        <v>Fixed</v>
      </c>
      <c r="F1529" s="134">
        <v>110</v>
      </c>
      <c r="G1529" s="167" t="str">
        <f>_xlfn.XLOOKUP(Table1[[#This Row],[Account_ID]], Accounts[ID], Accounts[Account nickname], "Unknown")</f>
        <v>EVERYDAY CHECKING</v>
      </c>
      <c r="H1529" s="137" t="str">
        <f>_xlfn.XLOOKUP(Table1[[#This Row],[Account_ID]], Accounts[ID], Accounts[Account'#], "Unknown")</f>
        <v>4636</v>
      </c>
      <c r="I1529" s="168" t="str">
        <f>_xlfn.XLOOKUP(Table1[[#This Row],[Institution_ID]], Institutions[ID], Institutions[Institution nickname], "Unknown")</f>
        <v>Wells Fargo</v>
      </c>
      <c r="J1529" s="139" t="s">
        <v>2271</v>
      </c>
      <c r="K1529" s="129" t="s">
        <v>1229</v>
      </c>
      <c r="L1529" s="129" t="s">
        <v>1228</v>
      </c>
      <c r="M1529" s="130" t="str" cm="1">
        <f t="array" ref="M1529">IFERROR(INDEX(CategoriesTable[Category type],MATCH(Table1[[#This Row],[Category]],CategoriesTable[Category name],0),0),"")</f>
        <v>Income</v>
      </c>
      <c r="N1529" s="130" t="str" cm="1">
        <f t="array" ref="N1529">IFERROR(INDEX(SubcategoriesTable[Subcategory name],MATCH(Table1[[#This Row],[Category]],SubcategoriesTable[Category name],0),0),"")</f>
        <v>Fixed</v>
      </c>
      <c r="O1529" s="130">
        <v>9</v>
      </c>
      <c r="P1529" s="130">
        <f>MONTH(Table1[[#This Row],[Date]])</f>
        <v>10</v>
      </c>
      <c r="Q1529" s="130">
        <v>2019</v>
      </c>
      <c r="R1529" s="166">
        <f>IF(ISBLANK(Table1[[#This Row],[Date]]),"",Table1[[#This Row],[Date]]-WEEKDAY(Table1[[#This Row],[Date]],2)+1)</f>
        <v>43745</v>
      </c>
      <c r="S1529" s="131">
        <f>IF(ISBLANK(Table1[[#This Row],[Date]]),"",DATE(Table1[[#This Row],[Date_Year]],Table1[[#This Row],[Date_Month]],1))</f>
        <v>43739</v>
      </c>
    </row>
    <row r="1530" spans="2:19" ht="15.75" x14ac:dyDescent="0.25">
      <c r="B1530" s="133">
        <v>43747</v>
      </c>
      <c r="C1530" s="128" t="s">
        <v>167</v>
      </c>
      <c r="D1530" s="128" t="s">
        <v>52</v>
      </c>
      <c r="E1530" s="128" t="str" cm="1">
        <f t="array" ref="E1530">IFERROR(INDEX(SubcategoriesTable[Subcategory name],MATCH(Table1[[#This Row],[Category]],SubcategoriesTable[Category name],0),0),"")</f>
        <v>Variable</v>
      </c>
      <c r="F1530" s="134">
        <v>-9.58</v>
      </c>
      <c r="G1530" s="167" t="str">
        <f>_xlfn.XLOOKUP(Table1[[#This Row],[Account_ID]], Accounts[ID], Accounts[Account nickname], "Unknown")</f>
        <v>EVERYDAY CHECKING</v>
      </c>
      <c r="H1530" s="137" t="str">
        <f>_xlfn.XLOOKUP(Table1[[#This Row],[Account_ID]], Accounts[ID], Accounts[Account'#], "Unknown")</f>
        <v>4636</v>
      </c>
      <c r="I1530" s="168" t="str">
        <f>_xlfn.XLOOKUP(Table1[[#This Row],[Institution_ID]], Institutions[ID], Institutions[Institution nickname], "Unknown")</f>
        <v>Wells Fargo</v>
      </c>
      <c r="J1530" s="139" t="s">
        <v>2272</v>
      </c>
      <c r="K1530" s="129" t="s">
        <v>1229</v>
      </c>
      <c r="L1530" s="129" t="s">
        <v>1228</v>
      </c>
      <c r="M1530" s="130" t="str" cm="1">
        <f t="array" ref="M1530">IFERROR(INDEX(CategoriesTable[Category type],MATCH(Table1[[#This Row],[Category]],CategoriesTable[Category name],0),0),"")</f>
        <v>Expense</v>
      </c>
      <c r="N1530" s="130" t="str" cm="1">
        <f t="array" ref="N1530">IFERROR(INDEX(SubcategoriesTable[Subcategory name],MATCH(Table1[[#This Row],[Category]],SubcategoriesTable[Category name],0),0),"")</f>
        <v>Variable</v>
      </c>
      <c r="O1530" s="130">
        <v>9</v>
      </c>
      <c r="P1530" s="130">
        <f>MONTH(Table1[[#This Row],[Date]])</f>
        <v>10</v>
      </c>
      <c r="Q1530" s="130">
        <v>2019</v>
      </c>
      <c r="R1530" s="166">
        <f>IF(ISBLANK(Table1[[#This Row],[Date]]),"",Table1[[#This Row],[Date]]-WEEKDAY(Table1[[#This Row],[Date]],2)+1)</f>
        <v>43745</v>
      </c>
      <c r="S1530" s="131">
        <f>IF(ISBLANK(Table1[[#This Row],[Date]]),"",DATE(Table1[[#This Row],[Date_Year]],Table1[[#This Row],[Date_Month]],1))</f>
        <v>43739</v>
      </c>
    </row>
    <row r="1531" spans="2:19" ht="15.75" x14ac:dyDescent="0.25">
      <c r="B1531" s="133">
        <v>43747</v>
      </c>
      <c r="C1531" s="128" t="s">
        <v>167</v>
      </c>
      <c r="D1531" s="128" t="s">
        <v>52</v>
      </c>
      <c r="E1531" s="128" t="str" cm="1">
        <f t="array" ref="E1531">IFERROR(INDEX(SubcategoriesTable[Subcategory name],MATCH(Table1[[#This Row],[Category]],SubcategoriesTable[Category name],0),0),"")</f>
        <v>Variable</v>
      </c>
      <c r="F1531" s="134">
        <v>-10.029999999999999</v>
      </c>
      <c r="G1531" s="167" t="str">
        <f>_xlfn.XLOOKUP(Table1[[#This Row],[Account_ID]], Accounts[ID], Accounts[Account nickname], "Unknown")</f>
        <v>EVERYDAY CHECKING</v>
      </c>
      <c r="H1531" s="137" t="str">
        <f>_xlfn.XLOOKUP(Table1[[#This Row],[Account_ID]], Accounts[ID], Accounts[Account'#], "Unknown")</f>
        <v>4636</v>
      </c>
      <c r="I1531" s="168" t="str">
        <f>_xlfn.XLOOKUP(Table1[[#This Row],[Institution_ID]], Institutions[ID], Institutions[Institution nickname], "Unknown")</f>
        <v>Wells Fargo</v>
      </c>
      <c r="J1531" s="139" t="s">
        <v>2273</v>
      </c>
      <c r="K1531" s="129" t="s">
        <v>1229</v>
      </c>
      <c r="L1531" s="129" t="s">
        <v>1228</v>
      </c>
      <c r="M1531" s="130" t="str" cm="1">
        <f t="array" ref="M1531">IFERROR(INDEX(CategoriesTable[Category type],MATCH(Table1[[#This Row],[Category]],CategoriesTable[Category name],0),0),"")</f>
        <v>Expense</v>
      </c>
      <c r="N1531" s="130" t="str" cm="1">
        <f t="array" ref="N1531">IFERROR(INDEX(SubcategoriesTable[Subcategory name],MATCH(Table1[[#This Row],[Category]],SubcategoriesTable[Category name],0),0),"")</f>
        <v>Variable</v>
      </c>
      <c r="O1531" s="130">
        <v>9</v>
      </c>
      <c r="P1531" s="130">
        <f>MONTH(Table1[[#This Row],[Date]])</f>
        <v>10</v>
      </c>
      <c r="Q1531" s="130">
        <v>2019</v>
      </c>
      <c r="R1531" s="166">
        <f>IF(ISBLANK(Table1[[#This Row],[Date]]),"",Table1[[#This Row],[Date]]-WEEKDAY(Table1[[#This Row],[Date]],2)+1)</f>
        <v>43745</v>
      </c>
      <c r="S1531" s="131">
        <f>IF(ISBLANK(Table1[[#This Row],[Date]]),"",DATE(Table1[[#This Row],[Date_Year]],Table1[[#This Row],[Date_Month]],1))</f>
        <v>43739</v>
      </c>
    </row>
    <row r="1532" spans="2:19" ht="15.75" x14ac:dyDescent="0.25">
      <c r="B1532" s="133">
        <v>43746</v>
      </c>
      <c r="C1532" s="128" t="s">
        <v>531</v>
      </c>
      <c r="D1532" s="128" t="s">
        <v>54</v>
      </c>
      <c r="E1532" s="128" t="str" cm="1">
        <f t="array" ref="E1532">IFERROR(INDEX(SubcategoriesTable[Subcategory name],MATCH(Table1[[#This Row],[Category]],SubcategoriesTable[Category name],0),0),"")</f>
        <v>Fixed</v>
      </c>
      <c r="F1532" s="134">
        <v>-3.22</v>
      </c>
      <c r="G1532" s="167" t="str">
        <f>_xlfn.XLOOKUP(Table1[[#This Row],[Account_ID]], Accounts[ID], Accounts[Account nickname], "Unknown")</f>
        <v>EVERYDAY CHECKING</v>
      </c>
      <c r="H1532" s="137" t="str">
        <f>_xlfn.XLOOKUP(Table1[[#This Row],[Account_ID]], Accounts[ID], Accounts[Account'#], "Unknown")</f>
        <v>4636</v>
      </c>
      <c r="I1532" s="168" t="str">
        <f>_xlfn.XLOOKUP(Table1[[#This Row],[Institution_ID]], Institutions[ID], Institutions[Institution nickname], "Unknown")</f>
        <v>Wells Fargo</v>
      </c>
      <c r="J1532" s="139" t="s">
        <v>2274</v>
      </c>
      <c r="K1532" s="129" t="s">
        <v>1229</v>
      </c>
      <c r="L1532" s="129" t="s">
        <v>1228</v>
      </c>
      <c r="M1532" s="130" t="str" cm="1">
        <f t="array" ref="M1532">IFERROR(INDEX(CategoriesTable[Category type],MATCH(Table1[[#This Row],[Category]],CategoriesTable[Category name],0),0),"")</f>
        <v>Expense</v>
      </c>
      <c r="N1532" s="130" t="str" cm="1">
        <f t="array" ref="N1532">IFERROR(INDEX(SubcategoriesTable[Subcategory name],MATCH(Table1[[#This Row],[Category]],SubcategoriesTable[Category name],0),0),"")</f>
        <v>Fixed</v>
      </c>
      <c r="O1532" s="130">
        <v>8</v>
      </c>
      <c r="P1532" s="130">
        <f>MONTH(Table1[[#This Row],[Date]])</f>
        <v>10</v>
      </c>
      <c r="Q1532" s="130">
        <v>2019</v>
      </c>
      <c r="R1532" s="166">
        <f>IF(ISBLANK(Table1[[#This Row],[Date]]),"",Table1[[#This Row],[Date]]-WEEKDAY(Table1[[#This Row],[Date]],2)+1)</f>
        <v>43745</v>
      </c>
      <c r="S1532" s="131">
        <f>IF(ISBLANK(Table1[[#This Row],[Date]]),"",DATE(Table1[[#This Row],[Date_Year]],Table1[[#This Row],[Date_Month]],1))</f>
        <v>43739</v>
      </c>
    </row>
    <row r="1533" spans="2:19" ht="15.75" x14ac:dyDescent="0.25">
      <c r="B1533" s="133">
        <v>43746</v>
      </c>
      <c r="C1533" s="128" t="s">
        <v>531</v>
      </c>
      <c r="D1533" s="128" t="s">
        <v>54</v>
      </c>
      <c r="E1533" s="128" t="str" cm="1">
        <f t="array" ref="E1533">IFERROR(INDEX(SubcategoriesTable[Subcategory name],MATCH(Table1[[#This Row],[Category]],SubcategoriesTable[Category name],0),0),"")</f>
        <v>Fixed</v>
      </c>
      <c r="F1533" s="134">
        <v>-6.98</v>
      </c>
      <c r="G1533" s="167" t="str">
        <f>_xlfn.XLOOKUP(Table1[[#This Row],[Account_ID]], Accounts[ID], Accounts[Account nickname], "Unknown")</f>
        <v>EVERYDAY CHECKING</v>
      </c>
      <c r="H1533" s="137" t="str">
        <f>_xlfn.XLOOKUP(Table1[[#This Row],[Account_ID]], Accounts[ID], Accounts[Account'#], "Unknown")</f>
        <v>4636</v>
      </c>
      <c r="I1533" s="168" t="str">
        <f>_xlfn.XLOOKUP(Table1[[#This Row],[Institution_ID]], Institutions[ID], Institutions[Institution nickname], "Unknown")</f>
        <v>Wells Fargo</v>
      </c>
      <c r="J1533" s="139" t="s">
        <v>2275</v>
      </c>
      <c r="K1533" s="129" t="s">
        <v>1229</v>
      </c>
      <c r="L1533" s="129" t="s">
        <v>1228</v>
      </c>
      <c r="M1533" s="130" t="str" cm="1">
        <f t="array" ref="M1533">IFERROR(INDEX(CategoriesTable[Category type],MATCH(Table1[[#This Row],[Category]],CategoriesTable[Category name],0),0),"")</f>
        <v>Expense</v>
      </c>
      <c r="N1533" s="130" t="str" cm="1">
        <f t="array" ref="N1533">IFERROR(INDEX(SubcategoriesTable[Subcategory name],MATCH(Table1[[#This Row],[Category]],SubcategoriesTable[Category name],0),0),"")</f>
        <v>Fixed</v>
      </c>
      <c r="O1533" s="130">
        <v>8</v>
      </c>
      <c r="P1533" s="130">
        <f>MONTH(Table1[[#This Row],[Date]])</f>
        <v>10</v>
      </c>
      <c r="Q1533" s="130">
        <v>2019</v>
      </c>
      <c r="R1533" s="166">
        <f>IF(ISBLANK(Table1[[#This Row],[Date]]),"",Table1[[#This Row],[Date]]-WEEKDAY(Table1[[#This Row],[Date]],2)+1)</f>
        <v>43745</v>
      </c>
      <c r="S1533" s="131">
        <f>IF(ISBLANK(Table1[[#This Row],[Date]]),"",DATE(Table1[[#This Row],[Date_Year]],Table1[[#This Row],[Date_Month]],1))</f>
        <v>43739</v>
      </c>
    </row>
    <row r="1534" spans="2:19" ht="15.75" x14ac:dyDescent="0.25">
      <c r="B1534" s="133">
        <v>43746</v>
      </c>
      <c r="C1534" s="128" t="s">
        <v>2276</v>
      </c>
      <c r="D1534" s="128" t="s">
        <v>46</v>
      </c>
      <c r="E1534" s="128" t="str" cm="1">
        <f t="array" ref="E1534">IFERROR(INDEX(SubcategoriesTable[Subcategory name],MATCH(Table1[[#This Row],[Category]],SubcategoriesTable[Category name],0),0),"")</f>
        <v>Variable</v>
      </c>
      <c r="F1534" s="134">
        <v>-5</v>
      </c>
      <c r="G1534" s="167" t="str">
        <f>_xlfn.XLOOKUP(Table1[[#This Row],[Account_ID]], Accounts[ID], Accounts[Account nickname], "Unknown")</f>
        <v>EVERYDAY CHECKING</v>
      </c>
      <c r="H1534" s="137" t="str">
        <f>_xlfn.XLOOKUP(Table1[[#This Row],[Account_ID]], Accounts[ID], Accounts[Account'#], "Unknown")</f>
        <v>4636</v>
      </c>
      <c r="I1534" s="168" t="str">
        <f>_xlfn.XLOOKUP(Table1[[#This Row],[Institution_ID]], Institutions[ID], Institutions[Institution nickname], "Unknown")</f>
        <v>Wells Fargo</v>
      </c>
      <c r="J1534" s="139" t="s">
        <v>2277</v>
      </c>
      <c r="K1534" s="129" t="s">
        <v>1229</v>
      </c>
      <c r="L1534" s="129" t="s">
        <v>1228</v>
      </c>
      <c r="M1534" s="130" t="str" cm="1">
        <f t="array" ref="M1534">IFERROR(INDEX(CategoriesTable[Category type],MATCH(Table1[[#This Row],[Category]],CategoriesTable[Category name],0),0),"")</f>
        <v>Expense</v>
      </c>
      <c r="N1534" s="130" t="str" cm="1">
        <f t="array" ref="N1534">IFERROR(INDEX(SubcategoriesTable[Subcategory name],MATCH(Table1[[#This Row],[Category]],SubcategoriesTable[Category name],0),0),"")</f>
        <v>Variable</v>
      </c>
      <c r="O1534" s="130">
        <v>8</v>
      </c>
      <c r="P1534" s="130">
        <f>MONTH(Table1[[#This Row],[Date]])</f>
        <v>10</v>
      </c>
      <c r="Q1534" s="130">
        <v>2019</v>
      </c>
      <c r="R1534" s="166">
        <f>IF(ISBLANK(Table1[[#This Row],[Date]]),"",Table1[[#This Row],[Date]]-WEEKDAY(Table1[[#This Row],[Date]],2)+1)</f>
        <v>43745</v>
      </c>
      <c r="S1534" s="131">
        <f>IF(ISBLANK(Table1[[#This Row],[Date]]),"",DATE(Table1[[#This Row],[Date_Year]],Table1[[#This Row],[Date_Month]],1))</f>
        <v>43739</v>
      </c>
    </row>
    <row r="1535" spans="2:19" ht="15.75" x14ac:dyDescent="0.25">
      <c r="B1535" s="133">
        <v>43746</v>
      </c>
      <c r="C1535" s="128" t="s">
        <v>909</v>
      </c>
      <c r="D1535" s="128" t="s">
        <v>56</v>
      </c>
      <c r="E1535" s="128" t="str" cm="1">
        <f t="array" ref="E1535">IFERROR(INDEX(SubcategoriesTable[Subcategory name],MATCH(Table1[[#This Row],[Category]],SubcategoriesTable[Category name],0),0),"")</f>
        <v>Variable</v>
      </c>
      <c r="F1535" s="134">
        <v>-24.05</v>
      </c>
      <c r="G1535" s="167" t="str">
        <f>_xlfn.XLOOKUP(Table1[[#This Row],[Account_ID]], Accounts[ID], Accounts[Account nickname], "Unknown")</f>
        <v>EVERYDAY CHECKING</v>
      </c>
      <c r="H1535" s="137" t="str">
        <f>_xlfn.XLOOKUP(Table1[[#This Row],[Account_ID]], Accounts[ID], Accounts[Account'#], "Unknown")</f>
        <v>4636</v>
      </c>
      <c r="I1535" s="168" t="str">
        <f>_xlfn.XLOOKUP(Table1[[#This Row],[Institution_ID]], Institutions[ID], Institutions[Institution nickname], "Unknown")</f>
        <v>Wells Fargo</v>
      </c>
      <c r="J1535" s="139" t="s">
        <v>2278</v>
      </c>
      <c r="K1535" s="129" t="s">
        <v>1229</v>
      </c>
      <c r="L1535" s="129" t="s">
        <v>1228</v>
      </c>
      <c r="M1535" s="130" t="str" cm="1">
        <f t="array" ref="M1535">IFERROR(INDEX(CategoriesTable[Category type],MATCH(Table1[[#This Row],[Category]],CategoriesTable[Category name],0),0),"")</f>
        <v>Expense</v>
      </c>
      <c r="N1535" s="130" t="str" cm="1">
        <f t="array" ref="N1535">IFERROR(INDEX(SubcategoriesTable[Subcategory name],MATCH(Table1[[#This Row],[Category]],SubcategoriesTable[Category name],0),0),"")</f>
        <v>Variable</v>
      </c>
      <c r="O1535" s="130">
        <v>8</v>
      </c>
      <c r="P1535" s="130">
        <f>MONTH(Table1[[#This Row],[Date]])</f>
        <v>10</v>
      </c>
      <c r="Q1535" s="130">
        <v>2019</v>
      </c>
      <c r="R1535" s="166">
        <f>IF(ISBLANK(Table1[[#This Row],[Date]]),"",Table1[[#This Row],[Date]]-WEEKDAY(Table1[[#This Row],[Date]],2)+1)</f>
        <v>43745</v>
      </c>
      <c r="S1535" s="131">
        <f>IF(ISBLANK(Table1[[#This Row],[Date]]),"",DATE(Table1[[#This Row],[Date_Year]],Table1[[#This Row],[Date_Month]],1))</f>
        <v>43739</v>
      </c>
    </row>
    <row r="1536" spans="2:19" ht="15.75" x14ac:dyDescent="0.25">
      <c r="B1536" s="133">
        <v>43746</v>
      </c>
      <c r="C1536" s="128" t="s">
        <v>2276</v>
      </c>
      <c r="D1536" s="128" t="s">
        <v>46</v>
      </c>
      <c r="E1536" s="128" t="str" cm="1">
        <f t="array" ref="E1536">IFERROR(INDEX(SubcategoriesTable[Subcategory name],MATCH(Table1[[#This Row],[Category]],SubcategoriesTable[Category name],0),0),"")</f>
        <v>Variable</v>
      </c>
      <c r="F1536" s="134">
        <v>-35</v>
      </c>
      <c r="G1536" s="167" t="str">
        <f>_xlfn.XLOOKUP(Table1[[#This Row],[Account_ID]], Accounts[ID], Accounts[Account nickname], "Unknown")</f>
        <v>EVERYDAY CHECKING</v>
      </c>
      <c r="H1536" s="137" t="str">
        <f>_xlfn.XLOOKUP(Table1[[#This Row],[Account_ID]], Accounts[ID], Accounts[Account'#], "Unknown")</f>
        <v>4636</v>
      </c>
      <c r="I1536" s="168" t="str">
        <f>_xlfn.XLOOKUP(Table1[[#This Row],[Institution_ID]], Institutions[ID], Institutions[Institution nickname], "Unknown")</f>
        <v>Wells Fargo</v>
      </c>
      <c r="J1536" s="139" t="s">
        <v>2279</v>
      </c>
      <c r="K1536" s="129" t="s">
        <v>1229</v>
      </c>
      <c r="L1536" s="129" t="s">
        <v>1228</v>
      </c>
      <c r="M1536" s="130" t="str" cm="1">
        <f t="array" ref="M1536">IFERROR(INDEX(CategoriesTable[Category type],MATCH(Table1[[#This Row],[Category]],CategoriesTable[Category name],0),0),"")</f>
        <v>Expense</v>
      </c>
      <c r="N1536" s="130" t="str" cm="1">
        <f t="array" ref="N1536">IFERROR(INDEX(SubcategoriesTable[Subcategory name],MATCH(Table1[[#This Row],[Category]],SubcategoriesTable[Category name],0),0),"")</f>
        <v>Variable</v>
      </c>
      <c r="O1536" s="130">
        <v>8</v>
      </c>
      <c r="P1536" s="130">
        <f>MONTH(Table1[[#This Row],[Date]])</f>
        <v>10</v>
      </c>
      <c r="Q1536" s="130">
        <v>2019</v>
      </c>
      <c r="R1536" s="166">
        <f>IF(ISBLANK(Table1[[#This Row],[Date]]),"",Table1[[#This Row],[Date]]-WEEKDAY(Table1[[#This Row],[Date]],2)+1)</f>
        <v>43745</v>
      </c>
      <c r="S1536" s="131">
        <f>IF(ISBLANK(Table1[[#This Row],[Date]]),"",DATE(Table1[[#This Row],[Date_Year]],Table1[[#This Row],[Date_Month]],1))</f>
        <v>43739</v>
      </c>
    </row>
    <row r="1537" spans="2:19" ht="15.75" x14ac:dyDescent="0.25">
      <c r="B1537" s="133">
        <v>43745</v>
      </c>
      <c r="C1537" s="128" t="s">
        <v>115</v>
      </c>
      <c r="D1537" s="128" t="s">
        <v>48</v>
      </c>
      <c r="E1537" s="128" t="str" cm="1">
        <f t="array" ref="E1537">IFERROR(INDEX(SubcategoriesTable[Subcategory name],MATCH(Table1[[#This Row],[Category]],SubcategoriesTable[Category name],0),0),"")</f>
        <v>Variable</v>
      </c>
      <c r="F1537" s="134">
        <v>-10.48</v>
      </c>
      <c r="G1537" s="167" t="str">
        <f>_xlfn.XLOOKUP(Table1[[#This Row],[Account_ID]], Accounts[ID], Accounts[Account nickname], "Unknown")</f>
        <v>EVERYDAY CHECKING</v>
      </c>
      <c r="H1537" s="137" t="str">
        <f>_xlfn.XLOOKUP(Table1[[#This Row],[Account_ID]], Accounts[ID], Accounts[Account'#], "Unknown")</f>
        <v>4636</v>
      </c>
      <c r="I1537" s="168" t="str">
        <f>_xlfn.XLOOKUP(Table1[[#This Row],[Institution_ID]], Institutions[ID], Institutions[Institution nickname], "Unknown")</f>
        <v>Wells Fargo</v>
      </c>
      <c r="J1537" s="139" t="s">
        <v>2280</v>
      </c>
      <c r="K1537" s="129" t="s">
        <v>1229</v>
      </c>
      <c r="L1537" s="129" t="s">
        <v>1228</v>
      </c>
      <c r="M1537" s="130" t="str" cm="1">
        <f t="array" ref="M1537">IFERROR(INDEX(CategoriesTable[Category type],MATCH(Table1[[#This Row],[Category]],CategoriesTable[Category name],0),0),"")</f>
        <v>Expense</v>
      </c>
      <c r="N1537" s="130" t="str" cm="1">
        <f t="array" ref="N1537">IFERROR(INDEX(SubcategoriesTable[Subcategory name],MATCH(Table1[[#This Row],[Category]],SubcategoriesTable[Category name],0),0),"")</f>
        <v>Variable</v>
      </c>
      <c r="O1537" s="130">
        <v>7</v>
      </c>
      <c r="P1537" s="130">
        <f>MONTH(Table1[[#This Row],[Date]])</f>
        <v>10</v>
      </c>
      <c r="Q1537" s="130">
        <v>2019</v>
      </c>
      <c r="R1537" s="166">
        <f>IF(ISBLANK(Table1[[#This Row],[Date]]),"",Table1[[#This Row],[Date]]-WEEKDAY(Table1[[#This Row],[Date]],2)+1)</f>
        <v>43745</v>
      </c>
      <c r="S1537" s="131">
        <f>IF(ISBLANK(Table1[[#This Row],[Date]]),"",DATE(Table1[[#This Row],[Date_Year]],Table1[[#This Row],[Date_Month]],1))</f>
        <v>43739</v>
      </c>
    </row>
    <row r="1538" spans="2:19" ht="15.75" x14ac:dyDescent="0.25">
      <c r="B1538" s="133">
        <v>43745</v>
      </c>
      <c r="C1538" s="128" t="s">
        <v>1071</v>
      </c>
      <c r="D1538" s="128" t="s">
        <v>45</v>
      </c>
      <c r="E1538" s="128" t="str" cm="1">
        <f t="array" ref="E1538">IFERROR(INDEX(SubcategoriesTable[Subcategory name],MATCH(Table1[[#This Row],[Category]],SubcategoriesTable[Category name],0),0),"")</f>
        <v>Variable</v>
      </c>
      <c r="F1538" s="134">
        <v>-12.02</v>
      </c>
      <c r="G1538" s="167" t="str">
        <f>_xlfn.XLOOKUP(Table1[[#This Row],[Account_ID]], Accounts[ID], Accounts[Account nickname], "Unknown")</f>
        <v>EVERYDAY CHECKING</v>
      </c>
      <c r="H1538" s="137" t="str">
        <f>_xlfn.XLOOKUP(Table1[[#This Row],[Account_ID]], Accounts[ID], Accounts[Account'#], "Unknown")</f>
        <v>4636</v>
      </c>
      <c r="I1538" s="168" t="str">
        <f>_xlfn.XLOOKUP(Table1[[#This Row],[Institution_ID]], Institutions[ID], Institutions[Institution nickname], "Unknown")</f>
        <v>Wells Fargo</v>
      </c>
      <c r="J1538" s="139" t="s">
        <v>2281</v>
      </c>
      <c r="K1538" s="129" t="s">
        <v>1229</v>
      </c>
      <c r="L1538" s="129" t="s">
        <v>1228</v>
      </c>
      <c r="M1538" s="130" t="str" cm="1">
        <f t="array" ref="M1538">IFERROR(INDEX(CategoriesTable[Category type],MATCH(Table1[[#This Row],[Category]],CategoriesTable[Category name],0),0),"")</f>
        <v>Expense</v>
      </c>
      <c r="N1538" s="130" t="str" cm="1">
        <f t="array" ref="N1538">IFERROR(INDEX(SubcategoriesTable[Subcategory name],MATCH(Table1[[#This Row],[Category]],SubcategoriesTable[Category name],0),0),"")</f>
        <v>Variable</v>
      </c>
      <c r="O1538" s="130">
        <v>7</v>
      </c>
      <c r="P1538" s="130">
        <f>MONTH(Table1[[#This Row],[Date]])</f>
        <v>10</v>
      </c>
      <c r="Q1538" s="130">
        <v>2019</v>
      </c>
      <c r="R1538" s="166">
        <f>IF(ISBLANK(Table1[[#This Row],[Date]]),"",Table1[[#This Row],[Date]]-WEEKDAY(Table1[[#This Row],[Date]],2)+1)</f>
        <v>43745</v>
      </c>
      <c r="S1538" s="131">
        <f>IF(ISBLANK(Table1[[#This Row],[Date]]),"",DATE(Table1[[#This Row],[Date_Year]],Table1[[#This Row],[Date_Month]],1))</f>
        <v>43739</v>
      </c>
    </row>
    <row r="1539" spans="2:19" ht="15.75" x14ac:dyDescent="0.25">
      <c r="B1539" s="133">
        <v>43745</v>
      </c>
      <c r="C1539" s="128" t="s">
        <v>115</v>
      </c>
      <c r="D1539" s="128" t="s">
        <v>48</v>
      </c>
      <c r="E1539" s="128" t="str" cm="1">
        <f t="array" ref="E1539">IFERROR(INDEX(SubcategoriesTable[Subcategory name],MATCH(Table1[[#This Row],[Category]],SubcategoriesTable[Category name],0),0),"")</f>
        <v>Variable</v>
      </c>
      <c r="F1539" s="134">
        <v>-24.82</v>
      </c>
      <c r="G1539" s="167" t="str">
        <f>_xlfn.XLOOKUP(Table1[[#This Row],[Account_ID]], Accounts[ID], Accounts[Account nickname], "Unknown")</f>
        <v>EVERYDAY CHECKING</v>
      </c>
      <c r="H1539" s="137" t="str">
        <f>_xlfn.XLOOKUP(Table1[[#This Row],[Account_ID]], Accounts[ID], Accounts[Account'#], "Unknown")</f>
        <v>4636</v>
      </c>
      <c r="I1539" s="168" t="str">
        <f>_xlfn.XLOOKUP(Table1[[#This Row],[Institution_ID]], Institutions[ID], Institutions[Institution nickname], "Unknown")</f>
        <v>Wells Fargo</v>
      </c>
      <c r="J1539" s="139" t="s">
        <v>2282</v>
      </c>
      <c r="K1539" s="129" t="s">
        <v>1229</v>
      </c>
      <c r="L1539" s="129" t="s">
        <v>1228</v>
      </c>
      <c r="M1539" s="130" t="str" cm="1">
        <f t="array" ref="M1539">IFERROR(INDEX(CategoriesTable[Category type],MATCH(Table1[[#This Row],[Category]],CategoriesTable[Category name],0),0),"")</f>
        <v>Expense</v>
      </c>
      <c r="N1539" s="130" t="str" cm="1">
        <f t="array" ref="N1539">IFERROR(INDEX(SubcategoriesTable[Subcategory name],MATCH(Table1[[#This Row],[Category]],SubcategoriesTable[Category name],0),0),"")</f>
        <v>Variable</v>
      </c>
      <c r="O1539" s="130">
        <v>7</v>
      </c>
      <c r="P1539" s="130">
        <f>MONTH(Table1[[#This Row],[Date]])</f>
        <v>10</v>
      </c>
      <c r="Q1539" s="130">
        <v>2019</v>
      </c>
      <c r="R1539" s="166">
        <f>IF(ISBLANK(Table1[[#This Row],[Date]]),"",Table1[[#This Row],[Date]]-WEEKDAY(Table1[[#This Row],[Date]],2)+1)</f>
        <v>43745</v>
      </c>
      <c r="S1539" s="131">
        <f>IF(ISBLANK(Table1[[#This Row],[Date]]),"",DATE(Table1[[#This Row],[Date_Year]],Table1[[#This Row],[Date_Month]],1))</f>
        <v>43739</v>
      </c>
    </row>
    <row r="1540" spans="2:19" ht="15.75" x14ac:dyDescent="0.25">
      <c r="B1540" s="133">
        <v>43744</v>
      </c>
      <c r="C1540" s="128" t="s">
        <v>2283</v>
      </c>
      <c r="D1540" s="128" t="s">
        <v>45</v>
      </c>
      <c r="E1540" s="128" t="str" cm="1">
        <f t="array" ref="E1540">IFERROR(INDEX(SubcategoriesTable[Subcategory name],MATCH(Table1[[#This Row],[Category]],SubcategoriesTable[Category name],0),0),"")</f>
        <v>Variable</v>
      </c>
      <c r="F1540" s="134">
        <v>-7</v>
      </c>
      <c r="G1540" s="167" t="str">
        <f>_xlfn.XLOOKUP(Table1[[#This Row],[Account_ID]], Accounts[ID], Accounts[Account nickname], "Unknown")</f>
        <v>EVERYDAY CHECKING</v>
      </c>
      <c r="H1540" s="137" t="str">
        <f>_xlfn.XLOOKUP(Table1[[#This Row],[Account_ID]], Accounts[ID], Accounts[Account'#], "Unknown")</f>
        <v>4636</v>
      </c>
      <c r="I1540" s="168" t="str">
        <f>_xlfn.XLOOKUP(Table1[[#This Row],[Institution_ID]], Institutions[ID], Institutions[Institution nickname], "Unknown")</f>
        <v>Wells Fargo</v>
      </c>
      <c r="J1540" s="139" t="s">
        <v>2284</v>
      </c>
      <c r="K1540" s="129" t="s">
        <v>1229</v>
      </c>
      <c r="L1540" s="129" t="s">
        <v>1228</v>
      </c>
      <c r="M1540" s="130" t="str" cm="1">
        <f t="array" ref="M1540">IFERROR(INDEX(CategoriesTable[Category type],MATCH(Table1[[#This Row],[Category]],CategoriesTable[Category name],0),0),"")</f>
        <v>Expense</v>
      </c>
      <c r="N1540" s="130" t="str" cm="1">
        <f t="array" ref="N1540">IFERROR(INDEX(SubcategoriesTable[Subcategory name],MATCH(Table1[[#This Row],[Category]],SubcategoriesTable[Category name],0),0),"")</f>
        <v>Variable</v>
      </c>
      <c r="O1540" s="130">
        <v>6</v>
      </c>
      <c r="P1540" s="130">
        <f>MONTH(Table1[[#This Row],[Date]])</f>
        <v>10</v>
      </c>
      <c r="Q1540" s="130">
        <v>2019</v>
      </c>
      <c r="R1540" s="166">
        <f>IF(ISBLANK(Table1[[#This Row],[Date]]),"",Table1[[#This Row],[Date]]-WEEKDAY(Table1[[#This Row],[Date]],2)+1)</f>
        <v>43738</v>
      </c>
      <c r="S1540" s="131">
        <f>IF(ISBLANK(Table1[[#This Row],[Date]]),"",DATE(Table1[[#This Row],[Date_Year]],Table1[[#This Row],[Date_Month]],1))</f>
        <v>43739</v>
      </c>
    </row>
    <row r="1541" spans="2:19" ht="15.75" x14ac:dyDescent="0.25">
      <c r="B1541" s="133">
        <v>43744</v>
      </c>
      <c r="C1541" s="128" t="s">
        <v>2285</v>
      </c>
      <c r="D1541" s="128" t="s">
        <v>52</v>
      </c>
      <c r="E1541" s="128" t="str" cm="1">
        <f t="array" ref="E1541">IFERROR(INDEX(SubcategoriesTable[Subcategory name],MATCH(Table1[[#This Row],[Category]],SubcategoriesTable[Category name],0),0),"")</f>
        <v>Variable</v>
      </c>
      <c r="F1541" s="134">
        <v>-24.61</v>
      </c>
      <c r="G1541" s="167" t="str">
        <f>_xlfn.XLOOKUP(Table1[[#This Row],[Account_ID]], Accounts[ID], Accounts[Account nickname], "Unknown")</f>
        <v>EVERYDAY CHECKING</v>
      </c>
      <c r="H1541" s="137" t="str">
        <f>_xlfn.XLOOKUP(Table1[[#This Row],[Account_ID]], Accounts[ID], Accounts[Account'#], "Unknown")</f>
        <v>4636</v>
      </c>
      <c r="I1541" s="168" t="str">
        <f>_xlfn.XLOOKUP(Table1[[#This Row],[Institution_ID]], Institutions[ID], Institutions[Institution nickname], "Unknown")</f>
        <v>Wells Fargo</v>
      </c>
      <c r="J1541" s="139" t="s">
        <v>2286</v>
      </c>
      <c r="K1541" s="129" t="s">
        <v>1229</v>
      </c>
      <c r="L1541" s="129" t="s">
        <v>1228</v>
      </c>
      <c r="M1541" s="130" t="str" cm="1">
        <f t="array" ref="M1541">IFERROR(INDEX(CategoriesTable[Category type],MATCH(Table1[[#This Row],[Category]],CategoriesTable[Category name],0),0),"")</f>
        <v>Expense</v>
      </c>
      <c r="N1541" s="130" t="str" cm="1">
        <f t="array" ref="N1541">IFERROR(INDEX(SubcategoriesTable[Subcategory name],MATCH(Table1[[#This Row],[Category]],SubcategoriesTable[Category name],0),0),"")</f>
        <v>Variable</v>
      </c>
      <c r="O1541" s="130">
        <v>6</v>
      </c>
      <c r="P1541" s="130">
        <f>MONTH(Table1[[#This Row],[Date]])</f>
        <v>10</v>
      </c>
      <c r="Q1541" s="130">
        <v>2019</v>
      </c>
      <c r="R1541" s="166">
        <f>IF(ISBLANK(Table1[[#This Row],[Date]]),"",Table1[[#This Row],[Date]]-WEEKDAY(Table1[[#This Row],[Date]],2)+1)</f>
        <v>43738</v>
      </c>
      <c r="S1541" s="131">
        <f>IF(ISBLANK(Table1[[#This Row],[Date]]),"",DATE(Table1[[#This Row],[Date_Year]],Table1[[#This Row],[Date_Month]],1))</f>
        <v>43739</v>
      </c>
    </row>
    <row r="1542" spans="2:19" ht="15.75" x14ac:dyDescent="0.25">
      <c r="B1542" s="133">
        <v>43744</v>
      </c>
      <c r="C1542" s="128" t="s">
        <v>2287</v>
      </c>
      <c r="D1542" s="128" t="s">
        <v>45</v>
      </c>
      <c r="E1542" s="128" t="str" cm="1">
        <f t="array" ref="E1542">IFERROR(INDEX(SubcategoriesTable[Subcategory name],MATCH(Table1[[#This Row],[Category]],SubcategoriesTable[Category name],0),0),"")</f>
        <v>Variable</v>
      </c>
      <c r="F1542" s="134">
        <v>-19.21</v>
      </c>
      <c r="G1542" s="167" t="str">
        <f>_xlfn.XLOOKUP(Table1[[#This Row],[Account_ID]], Accounts[ID], Accounts[Account nickname], "Unknown")</f>
        <v>EVERYDAY CHECKING</v>
      </c>
      <c r="H1542" s="137" t="str">
        <f>_xlfn.XLOOKUP(Table1[[#This Row],[Account_ID]], Accounts[ID], Accounts[Account'#], "Unknown")</f>
        <v>4636</v>
      </c>
      <c r="I1542" s="168" t="str">
        <f>_xlfn.XLOOKUP(Table1[[#This Row],[Institution_ID]], Institutions[ID], Institutions[Institution nickname], "Unknown")</f>
        <v>Wells Fargo</v>
      </c>
      <c r="J1542" s="139" t="s">
        <v>2288</v>
      </c>
      <c r="K1542" s="129" t="s">
        <v>1229</v>
      </c>
      <c r="L1542" s="129" t="s">
        <v>1228</v>
      </c>
      <c r="M1542" s="130" t="str" cm="1">
        <f t="array" ref="M1542">IFERROR(INDEX(CategoriesTable[Category type],MATCH(Table1[[#This Row],[Category]],CategoriesTable[Category name],0),0),"")</f>
        <v>Expense</v>
      </c>
      <c r="N1542" s="130" t="str" cm="1">
        <f t="array" ref="N1542">IFERROR(INDEX(SubcategoriesTable[Subcategory name],MATCH(Table1[[#This Row],[Category]],SubcategoriesTable[Category name],0),0),"")</f>
        <v>Variable</v>
      </c>
      <c r="O1542" s="130">
        <v>6</v>
      </c>
      <c r="P1542" s="130">
        <f>MONTH(Table1[[#This Row],[Date]])</f>
        <v>10</v>
      </c>
      <c r="Q1542" s="130">
        <v>2019</v>
      </c>
      <c r="R1542" s="166">
        <f>IF(ISBLANK(Table1[[#This Row],[Date]]),"",Table1[[#This Row],[Date]]-WEEKDAY(Table1[[#This Row],[Date]],2)+1)</f>
        <v>43738</v>
      </c>
      <c r="S1542" s="131">
        <f>IF(ISBLANK(Table1[[#This Row],[Date]]),"",DATE(Table1[[#This Row],[Date_Year]],Table1[[#This Row],[Date_Month]],1))</f>
        <v>43739</v>
      </c>
    </row>
    <row r="1543" spans="2:19" ht="15.75" x14ac:dyDescent="0.25">
      <c r="B1543" s="133">
        <v>43744</v>
      </c>
      <c r="C1543" s="128" t="s">
        <v>2181</v>
      </c>
      <c r="D1543" s="128" t="s">
        <v>50</v>
      </c>
      <c r="E1543" s="128" t="str" cm="1">
        <f t="array" ref="E1543">IFERROR(INDEX(SubcategoriesTable[Subcategory name],MATCH(Table1[[#This Row],[Category]],SubcategoriesTable[Category name],0),0),"")</f>
        <v>Variable</v>
      </c>
      <c r="F1543" s="134">
        <v>-60</v>
      </c>
      <c r="G1543" s="167" t="str">
        <f>_xlfn.XLOOKUP(Table1[[#This Row],[Account_ID]], Accounts[ID], Accounts[Account nickname], "Unknown")</f>
        <v>EVERYDAY CHECKING</v>
      </c>
      <c r="H1543" s="137" t="str">
        <f>_xlfn.XLOOKUP(Table1[[#This Row],[Account_ID]], Accounts[ID], Accounts[Account'#], "Unknown")</f>
        <v>4636</v>
      </c>
      <c r="I1543" s="168" t="str">
        <f>_xlfn.XLOOKUP(Table1[[#This Row],[Institution_ID]], Institutions[ID], Institutions[Institution nickname], "Unknown")</f>
        <v>Wells Fargo</v>
      </c>
      <c r="J1543" s="139" t="s">
        <v>2289</v>
      </c>
      <c r="K1543" s="129" t="s">
        <v>1229</v>
      </c>
      <c r="L1543" s="129" t="s">
        <v>1228</v>
      </c>
      <c r="M1543" s="130" t="str" cm="1">
        <f t="array" ref="M1543">IFERROR(INDEX(CategoriesTable[Category type],MATCH(Table1[[#This Row],[Category]],CategoriesTable[Category name],0),0),"")</f>
        <v>Transfer</v>
      </c>
      <c r="N1543" s="130" t="str" cm="1">
        <f t="array" ref="N1543">IFERROR(INDEX(SubcategoriesTable[Subcategory name],MATCH(Table1[[#This Row],[Category]],SubcategoriesTable[Category name],0),0),"")</f>
        <v>Variable</v>
      </c>
      <c r="O1543" s="130">
        <v>6</v>
      </c>
      <c r="P1543" s="130">
        <f>MONTH(Table1[[#This Row],[Date]])</f>
        <v>10</v>
      </c>
      <c r="Q1543" s="130">
        <v>2019</v>
      </c>
      <c r="R1543" s="166">
        <f>IF(ISBLANK(Table1[[#This Row],[Date]]),"",Table1[[#This Row],[Date]]-WEEKDAY(Table1[[#This Row],[Date]],2)+1)</f>
        <v>43738</v>
      </c>
      <c r="S1543" s="131">
        <f>IF(ISBLANK(Table1[[#This Row],[Date]]),"",DATE(Table1[[#This Row],[Date_Year]],Table1[[#This Row],[Date_Month]],1))</f>
        <v>43739</v>
      </c>
    </row>
    <row r="1544" spans="2:19" ht="15.75" x14ac:dyDescent="0.25">
      <c r="B1544" s="133">
        <v>43744</v>
      </c>
      <c r="C1544" s="128" t="s">
        <v>119</v>
      </c>
      <c r="D1544" s="128" t="s">
        <v>52</v>
      </c>
      <c r="E1544" s="128" t="str" cm="1">
        <f t="array" ref="E1544">IFERROR(INDEX(SubcategoriesTable[Subcategory name],MATCH(Table1[[#This Row],[Category]],SubcategoriesTable[Category name],0),0),"")</f>
        <v>Variable</v>
      </c>
      <c r="F1544" s="134">
        <v>-9.09</v>
      </c>
      <c r="G1544" s="167" t="str">
        <f>_xlfn.XLOOKUP(Table1[[#This Row],[Account_ID]], Accounts[ID], Accounts[Account nickname], "Unknown")</f>
        <v>EVERYDAY CHECKING</v>
      </c>
      <c r="H1544" s="137" t="str">
        <f>_xlfn.XLOOKUP(Table1[[#This Row],[Account_ID]], Accounts[ID], Accounts[Account'#], "Unknown")</f>
        <v>4636</v>
      </c>
      <c r="I1544" s="168" t="str">
        <f>_xlfn.XLOOKUP(Table1[[#This Row],[Institution_ID]], Institutions[ID], Institutions[Institution nickname], "Unknown")</f>
        <v>Wells Fargo</v>
      </c>
      <c r="J1544" s="139" t="s">
        <v>2290</v>
      </c>
      <c r="K1544" s="129" t="s">
        <v>1229</v>
      </c>
      <c r="L1544" s="129" t="s">
        <v>1228</v>
      </c>
      <c r="M1544" s="130" t="str" cm="1">
        <f t="array" ref="M1544">IFERROR(INDEX(CategoriesTable[Category type],MATCH(Table1[[#This Row],[Category]],CategoriesTable[Category name],0),0),"")</f>
        <v>Expense</v>
      </c>
      <c r="N1544" s="130" t="str" cm="1">
        <f t="array" ref="N1544">IFERROR(INDEX(SubcategoriesTable[Subcategory name],MATCH(Table1[[#This Row],[Category]],SubcategoriesTable[Category name],0),0),"")</f>
        <v>Variable</v>
      </c>
      <c r="O1544" s="130">
        <v>6</v>
      </c>
      <c r="P1544" s="130">
        <f>MONTH(Table1[[#This Row],[Date]])</f>
        <v>10</v>
      </c>
      <c r="Q1544" s="130">
        <v>2019</v>
      </c>
      <c r="R1544" s="166">
        <f>IF(ISBLANK(Table1[[#This Row],[Date]]),"",Table1[[#This Row],[Date]]-WEEKDAY(Table1[[#This Row],[Date]],2)+1)</f>
        <v>43738</v>
      </c>
      <c r="S1544" s="131">
        <f>IF(ISBLANK(Table1[[#This Row],[Date]]),"",DATE(Table1[[#This Row],[Date_Year]],Table1[[#This Row],[Date_Month]],1))</f>
        <v>43739</v>
      </c>
    </row>
    <row r="1545" spans="2:19" ht="15.75" x14ac:dyDescent="0.25">
      <c r="B1545" s="133">
        <v>43744</v>
      </c>
      <c r="C1545" s="128" t="s">
        <v>115</v>
      </c>
      <c r="D1545" s="128" t="s">
        <v>48</v>
      </c>
      <c r="E1545" s="128" t="str" cm="1">
        <f t="array" ref="E1545">IFERROR(INDEX(SubcategoriesTable[Subcategory name],MATCH(Table1[[#This Row],[Category]],SubcategoriesTable[Category name],0),0),"")</f>
        <v>Variable</v>
      </c>
      <c r="F1545" s="134">
        <v>-10.26</v>
      </c>
      <c r="G1545" s="167" t="str">
        <f>_xlfn.XLOOKUP(Table1[[#This Row],[Account_ID]], Accounts[ID], Accounts[Account nickname], "Unknown")</f>
        <v>EVERYDAY CHECKING</v>
      </c>
      <c r="H1545" s="137" t="str">
        <f>_xlfn.XLOOKUP(Table1[[#This Row],[Account_ID]], Accounts[ID], Accounts[Account'#], "Unknown")</f>
        <v>4636</v>
      </c>
      <c r="I1545" s="168" t="str">
        <f>_xlfn.XLOOKUP(Table1[[#This Row],[Institution_ID]], Institutions[ID], Institutions[Institution nickname], "Unknown")</f>
        <v>Wells Fargo</v>
      </c>
      <c r="J1545" s="139" t="s">
        <v>2291</v>
      </c>
      <c r="K1545" s="129" t="s">
        <v>1229</v>
      </c>
      <c r="L1545" s="129" t="s">
        <v>1228</v>
      </c>
      <c r="M1545" s="130" t="str" cm="1">
        <f t="array" ref="M1545">IFERROR(INDEX(CategoriesTable[Category type],MATCH(Table1[[#This Row],[Category]],CategoriesTable[Category name],0),0),"")</f>
        <v>Expense</v>
      </c>
      <c r="N1545" s="130" t="str" cm="1">
        <f t="array" ref="N1545">IFERROR(INDEX(SubcategoriesTable[Subcategory name],MATCH(Table1[[#This Row],[Category]],SubcategoriesTable[Category name],0),0),"")</f>
        <v>Variable</v>
      </c>
      <c r="O1545" s="130">
        <v>6</v>
      </c>
      <c r="P1545" s="130">
        <f>MONTH(Table1[[#This Row],[Date]])</f>
        <v>10</v>
      </c>
      <c r="Q1545" s="130">
        <v>2019</v>
      </c>
      <c r="R1545" s="166">
        <f>IF(ISBLANK(Table1[[#This Row],[Date]]),"",Table1[[#This Row],[Date]]-WEEKDAY(Table1[[#This Row],[Date]],2)+1)</f>
        <v>43738</v>
      </c>
      <c r="S1545" s="131">
        <f>IF(ISBLANK(Table1[[#This Row],[Date]]),"",DATE(Table1[[#This Row],[Date_Year]],Table1[[#This Row],[Date_Month]],1))</f>
        <v>43739</v>
      </c>
    </row>
    <row r="1546" spans="2:19" ht="15.75" x14ac:dyDescent="0.25">
      <c r="B1546" s="133">
        <v>43743</v>
      </c>
      <c r="C1546" s="128" t="s">
        <v>2292</v>
      </c>
      <c r="D1546" s="128" t="s">
        <v>51</v>
      </c>
      <c r="E1546" s="128" t="str" cm="1">
        <f t="array" ref="E1546">IFERROR(INDEX(SubcategoriesTable[Subcategory name],MATCH(Table1[[#This Row],[Category]],SubcategoriesTable[Category name],0),0),"")</f>
        <v>Variable</v>
      </c>
      <c r="F1546" s="134">
        <v>-24.95</v>
      </c>
      <c r="G1546" s="167" t="str">
        <f>_xlfn.XLOOKUP(Table1[[#This Row],[Account_ID]], Accounts[ID], Accounts[Account nickname], "Unknown")</f>
        <v>EVERYDAY CHECKING</v>
      </c>
      <c r="H1546" s="137" t="str">
        <f>_xlfn.XLOOKUP(Table1[[#This Row],[Account_ID]], Accounts[ID], Accounts[Account'#], "Unknown")</f>
        <v>4636</v>
      </c>
      <c r="I1546" s="168" t="str">
        <f>_xlfn.XLOOKUP(Table1[[#This Row],[Institution_ID]], Institutions[ID], Institutions[Institution nickname], "Unknown")</f>
        <v>Wells Fargo</v>
      </c>
      <c r="J1546" s="139" t="s">
        <v>2293</v>
      </c>
      <c r="K1546" s="129" t="s">
        <v>1229</v>
      </c>
      <c r="L1546" s="129" t="s">
        <v>1228</v>
      </c>
      <c r="M1546" s="130" t="str" cm="1">
        <f t="array" ref="M1546">IFERROR(INDEX(CategoriesTable[Category type],MATCH(Table1[[#This Row],[Category]],CategoriesTable[Category name],0),0),"")</f>
        <v>Expense</v>
      </c>
      <c r="N1546" s="130" t="str" cm="1">
        <f t="array" ref="N1546">IFERROR(INDEX(SubcategoriesTable[Subcategory name],MATCH(Table1[[#This Row],[Category]],SubcategoriesTable[Category name],0),0),"")</f>
        <v>Variable</v>
      </c>
      <c r="O1546" s="130">
        <v>5</v>
      </c>
      <c r="P1546" s="130">
        <f>MONTH(Table1[[#This Row],[Date]])</f>
        <v>10</v>
      </c>
      <c r="Q1546" s="130">
        <v>2019</v>
      </c>
      <c r="R1546" s="166">
        <f>IF(ISBLANK(Table1[[#This Row],[Date]]),"",Table1[[#This Row],[Date]]-WEEKDAY(Table1[[#This Row],[Date]],2)+1)</f>
        <v>43738</v>
      </c>
      <c r="S1546" s="131">
        <f>IF(ISBLANK(Table1[[#This Row],[Date]]),"",DATE(Table1[[#This Row],[Date_Year]],Table1[[#This Row],[Date_Month]],1))</f>
        <v>43739</v>
      </c>
    </row>
    <row r="1547" spans="2:19" ht="15.75" x14ac:dyDescent="0.25">
      <c r="B1547" s="133">
        <v>43743</v>
      </c>
      <c r="C1547" s="128" t="s">
        <v>119</v>
      </c>
      <c r="D1547" s="128" t="s">
        <v>52</v>
      </c>
      <c r="E1547" s="128" t="str" cm="1">
        <f t="array" ref="E1547">IFERROR(INDEX(SubcategoriesTable[Subcategory name],MATCH(Table1[[#This Row],[Category]],SubcategoriesTable[Category name],0),0),"")</f>
        <v>Variable</v>
      </c>
      <c r="F1547" s="134">
        <v>-7.56</v>
      </c>
      <c r="G1547" s="167" t="str">
        <f>_xlfn.XLOOKUP(Table1[[#This Row],[Account_ID]], Accounts[ID], Accounts[Account nickname], "Unknown")</f>
        <v>EVERYDAY CHECKING</v>
      </c>
      <c r="H1547" s="137" t="str">
        <f>_xlfn.XLOOKUP(Table1[[#This Row],[Account_ID]], Accounts[ID], Accounts[Account'#], "Unknown")</f>
        <v>4636</v>
      </c>
      <c r="I1547" s="168" t="str">
        <f>_xlfn.XLOOKUP(Table1[[#This Row],[Institution_ID]], Institutions[ID], Institutions[Institution nickname], "Unknown")</f>
        <v>Wells Fargo</v>
      </c>
      <c r="J1547" s="139" t="s">
        <v>2294</v>
      </c>
      <c r="K1547" s="129" t="s">
        <v>1229</v>
      </c>
      <c r="L1547" s="129" t="s">
        <v>1228</v>
      </c>
      <c r="M1547" s="130" t="str" cm="1">
        <f t="array" ref="M1547">IFERROR(INDEX(CategoriesTable[Category type],MATCH(Table1[[#This Row],[Category]],CategoriesTable[Category name],0),0),"")</f>
        <v>Expense</v>
      </c>
      <c r="N1547" s="130" t="str" cm="1">
        <f t="array" ref="N1547">IFERROR(INDEX(SubcategoriesTable[Subcategory name],MATCH(Table1[[#This Row],[Category]],SubcategoriesTable[Category name],0),0),"")</f>
        <v>Variable</v>
      </c>
      <c r="O1547" s="130">
        <v>5</v>
      </c>
      <c r="P1547" s="130">
        <f>MONTH(Table1[[#This Row],[Date]])</f>
        <v>10</v>
      </c>
      <c r="Q1547" s="130">
        <v>2019</v>
      </c>
      <c r="R1547" s="166">
        <f>IF(ISBLANK(Table1[[#This Row],[Date]]),"",Table1[[#This Row],[Date]]-WEEKDAY(Table1[[#This Row],[Date]],2)+1)</f>
        <v>43738</v>
      </c>
      <c r="S1547" s="131">
        <f>IF(ISBLANK(Table1[[#This Row],[Date]]),"",DATE(Table1[[#This Row],[Date_Year]],Table1[[#This Row],[Date_Month]],1))</f>
        <v>43739</v>
      </c>
    </row>
    <row r="1548" spans="2:19" ht="15.75" x14ac:dyDescent="0.25">
      <c r="B1548" s="133">
        <v>43743</v>
      </c>
      <c r="C1548" s="128" t="s">
        <v>119</v>
      </c>
      <c r="D1548" s="128" t="s">
        <v>52</v>
      </c>
      <c r="E1548" s="128" t="str" cm="1">
        <f t="array" ref="E1548">IFERROR(INDEX(SubcategoriesTable[Subcategory name],MATCH(Table1[[#This Row],[Category]],SubcategoriesTable[Category name],0),0),"")</f>
        <v>Variable</v>
      </c>
      <c r="F1548" s="134">
        <v>-13.89</v>
      </c>
      <c r="G1548" s="167" t="str">
        <f>_xlfn.XLOOKUP(Table1[[#This Row],[Account_ID]], Accounts[ID], Accounts[Account nickname], "Unknown")</f>
        <v>EVERYDAY CHECKING</v>
      </c>
      <c r="H1548" s="137" t="str">
        <f>_xlfn.XLOOKUP(Table1[[#This Row],[Account_ID]], Accounts[ID], Accounts[Account'#], "Unknown")</f>
        <v>4636</v>
      </c>
      <c r="I1548" s="168" t="str">
        <f>_xlfn.XLOOKUP(Table1[[#This Row],[Institution_ID]], Institutions[ID], Institutions[Institution nickname], "Unknown")</f>
        <v>Wells Fargo</v>
      </c>
      <c r="J1548" s="139" t="s">
        <v>2295</v>
      </c>
      <c r="K1548" s="129" t="s">
        <v>1229</v>
      </c>
      <c r="L1548" s="129" t="s">
        <v>1228</v>
      </c>
      <c r="M1548" s="130" t="str" cm="1">
        <f t="array" ref="M1548">IFERROR(INDEX(CategoriesTable[Category type],MATCH(Table1[[#This Row],[Category]],CategoriesTable[Category name],0),0),"")</f>
        <v>Expense</v>
      </c>
      <c r="N1548" s="130" t="str" cm="1">
        <f t="array" ref="N1548">IFERROR(INDEX(SubcategoriesTable[Subcategory name],MATCH(Table1[[#This Row],[Category]],SubcategoriesTable[Category name],0),0),"")</f>
        <v>Variable</v>
      </c>
      <c r="O1548" s="130">
        <v>5</v>
      </c>
      <c r="P1548" s="130">
        <f>MONTH(Table1[[#This Row],[Date]])</f>
        <v>10</v>
      </c>
      <c r="Q1548" s="130">
        <v>2019</v>
      </c>
      <c r="R1548" s="166">
        <f>IF(ISBLANK(Table1[[#This Row],[Date]]),"",Table1[[#This Row],[Date]]-WEEKDAY(Table1[[#This Row],[Date]],2)+1)</f>
        <v>43738</v>
      </c>
      <c r="S1548" s="131">
        <f>IF(ISBLANK(Table1[[#This Row],[Date]]),"",DATE(Table1[[#This Row],[Date_Year]],Table1[[#This Row],[Date_Month]],1))</f>
        <v>43739</v>
      </c>
    </row>
    <row r="1549" spans="2:19" ht="15.75" x14ac:dyDescent="0.25">
      <c r="B1549" s="133">
        <v>43743</v>
      </c>
      <c r="C1549" s="128" t="s">
        <v>115</v>
      </c>
      <c r="D1549" s="128" t="s">
        <v>48</v>
      </c>
      <c r="E1549" s="128" t="str" cm="1">
        <f t="array" ref="E1549">IFERROR(INDEX(SubcategoriesTable[Subcategory name],MATCH(Table1[[#This Row],[Category]],SubcategoriesTable[Category name],0),0),"")</f>
        <v>Variable</v>
      </c>
      <c r="F1549" s="134">
        <v>-39.340000000000003</v>
      </c>
      <c r="G1549" s="167" t="str">
        <f>_xlfn.XLOOKUP(Table1[[#This Row],[Account_ID]], Accounts[ID], Accounts[Account nickname], "Unknown")</f>
        <v>EVERYDAY CHECKING</v>
      </c>
      <c r="H1549" s="137" t="str">
        <f>_xlfn.XLOOKUP(Table1[[#This Row],[Account_ID]], Accounts[ID], Accounts[Account'#], "Unknown")</f>
        <v>4636</v>
      </c>
      <c r="I1549" s="168" t="str">
        <f>_xlfn.XLOOKUP(Table1[[#This Row],[Institution_ID]], Institutions[ID], Institutions[Institution nickname], "Unknown")</f>
        <v>Wells Fargo</v>
      </c>
      <c r="J1549" s="139" t="s">
        <v>2296</v>
      </c>
      <c r="K1549" s="129" t="s">
        <v>1229</v>
      </c>
      <c r="L1549" s="129" t="s">
        <v>1228</v>
      </c>
      <c r="M1549" s="130" t="str" cm="1">
        <f t="array" ref="M1549">IFERROR(INDEX(CategoriesTable[Category type],MATCH(Table1[[#This Row],[Category]],CategoriesTable[Category name],0),0),"")</f>
        <v>Expense</v>
      </c>
      <c r="N1549" s="130" t="str" cm="1">
        <f t="array" ref="N1549">IFERROR(INDEX(SubcategoriesTable[Subcategory name],MATCH(Table1[[#This Row],[Category]],SubcategoriesTable[Category name],0),0),"")</f>
        <v>Variable</v>
      </c>
      <c r="O1549" s="130">
        <v>5</v>
      </c>
      <c r="P1549" s="130">
        <f>MONTH(Table1[[#This Row],[Date]])</f>
        <v>10</v>
      </c>
      <c r="Q1549" s="130">
        <v>2019</v>
      </c>
      <c r="R1549" s="166">
        <f>IF(ISBLANK(Table1[[#This Row],[Date]]),"",Table1[[#This Row],[Date]]-WEEKDAY(Table1[[#This Row],[Date]],2)+1)</f>
        <v>43738</v>
      </c>
      <c r="S1549" s="131">
        <f>IF(ISBLANK(Table1[[#This Row],[Date]]),"",DATE(Table1[[#This Row],[Date_Year]],Table1[[#This Row],[Date_Month]],1))</f>
        <v>43739</v>
      </c>
    </row>
    <row r="1550" spans="2:19" ht="15.75" x14ac:dyDescent="0.25">
      <c r="B1550" s="133">
        <v>43742</v>
      </c>
      <c r="C1550" s="128" t="s">
        <v>531</v>
      </c>
      <c r="D1550" s="128" t="s">
        <v>54</v>
      </c>
      <c r="E1550" s="128" t="str" cm="1">
        <f t="array" ref="E1550">IFERROR(INDEX(SubcategoriesTable[Subcategory name],MATCH(Table1[[#This Row],[Category]],SubcategoriesTable[Category name],0),0),"")</f>
        <v>Fixed</v>
      </c>
      <c r="F1550" s="134">
        <v>-7.31</v>
      </c>
      <c r="G1550" s="167" t="str">
        <f>_xlfn.XLOOKUP(Table1[[#This Row],[Account_ID]], Accounts[ID], Accounts[Account nickname], "Unknown")</f>
        <v>EVERYDAY CHECKING</v>
      </c>
      <c r="H1550" s="137" t="str">
        <f>_xlfn.XLOOKUP(Table1[[#This Row],[Account_ID]], Accounts[ID], Accounts[Account'#], "Unknown")</f>
        <v>4636</v>
      </c>
      <c r="I1550" s="168" t="str">
        <f>_xlfn.XLOOKUP(Table1[[#This Row],[Institution_ID]], Institutions[ID], Institutions[Institution nickname], "Unknown")</f>
        <v>Wells Fargo</v>
      </c>
      <c r="J1550" s="139" t="s">
        <v>2297</v>
      </c>
      <c r="K1550" s="129" t="s">
        <v>1229</v>
      </c>
      <c r="L1550" s="129" t="s">
        <v>1228</v>
      </c>
      <c r="M1550" s="130" t="str" cm="1">
        <f t="array" ref="M1550">IFERROR(INDEX(CategoriesTable[Category type],MATCH(Table1[[#This Row],[Category]],CategoriesTable[Category name],0),0),"")</f>
        <v>Expense</v>
      </c>
      <c r="N1550" s="130" t="str" cm="1">
        <f t="array" ref="N1550">IFERROR(INDEX(SubcategoriesTable[Subcategory name],MATCH(Table1[[#This Row],[Category]],SubcategoriesTable[Category name],0),0),"")</f>
        <v>Fixed</v>
      </c>
      <c r="O1550" s="130">
        <v>4</v>
      </c>
      <c r="P1550" s="130">
        <f>MONTH(Table1[[#This Row],[Date]])</f>
        <v>10</v>
      </c>
      <c r="Q1550" s="130">
        <v>2019</v>
      </c>
      <c r="R1550" s="166">
        <f>IF(ISBLANK(Table1[[#This Row],[Date]]),"",Table1[[#This Row],[Date]]-WEEKDAY(Table1[[#This Row],[Date]],2)+1)</f>
        <v>43738</v>
      </c>
      <c r="S1550" s="131">
        <f>IF(ISBLANK(Table1[[#This Row],[Date]]),"",DATE(Table1[[#This Row],[Date_Year]],Table1[[#This Row],[Date_Month]],1))</f>
        <v>43739</v>
      </c>
    </row>
    <row r="1551" spans="2:19" ht="15.75" x14ac:dyDescent="0.25">
      <c r="B1551" s="133">
        <v>43742</v>
      </c>
      <c r="C1551" s="128" t="s">
        <v>2298</v>
      </c>
      <c r="D1551" s="128" t="s">
        <v>52</v>
      </c>
      <c r="E1551" s="128" t="str" cm="1">
        <f t="array" ref="E1551">IFERROR(INDEX(SubcategoriesTable[Subcategory name],MATCH(Table1[[#This Row],[Category]],SubcategoriesTable[Category name],0),0),"")</f>
        <v>Variable</v>
      </c>
      <c r="F1551" s="134">
        <v>-11.25</v>
      </c>
      <c r="G1551" s="167" t="str">
        <f>_xlfn.XLOOKUP(Table1[[#This Row],[Account_ID]], Accounts[ID], Accounts[Account nickname], "Unknown")</f>
        <v>EVERYDAY CHECKING</v>
      </c>
      <c r="H1551" s="137" t="str">
        <f>_xlfn.XLOOKUP(Table1[[#This Row],[Account_ID]], Accounts[ID], Accounts[Account'#], "Unknown")</f>
        <v>4636</v>
      </c>
      <c r="I1551" s="168" t="str">
        <f>_xlfn.XLOOKUP(Table1[[#This Row],[Institution_ID]], Institutions[ID], Institutions[Institution nickname], "Unknown")</f>
        <v>Wells Fargo</v>
      </c>
      <c r="J1551" s="139" t="s">
        <v>2299</v>
      </c>
      <c r="K1551" s="129" t="s">
        <v>1229</v>
      </c>
      <c r="L1551" s="129" t="s">
        <v>1228</v>
      </c>
      <c r="M1551" s="130" t="str" cm="1">
        <f t="array" ref="M1551">IFERROR(INDEX(CategoriesTable[Category type],MATCH(Table1[[#This Row],[Category]],CategoriesTable[Category name],0),0),"")</f>
        <v>Expense</v>
      </c>
      <c r="N1551" s="130" t="str" cm="1">
        <f t="array" ref="N1551">IFERROR(INDEX(SubcategoriesTable[Subcategory name],MATCH(Table1[[#This Row],[Category]],SubcategoriesTable[Category name],0),0),"")</f>
        <v>Variable</v>
      </c>
      <c r="O1551" s="130">
        <v>4</v>
      </c>
      <c r="P1551" s="130">
        <f>MONTH(Table1[[#This Row],[Date]])</f>
        <v>10</v>
      </c>
      <c r="Q1551" s="130">
        <v>2019</v>
      </c>
      <c r="R1551" s="166">
        <f>IF(ISBLANK(Table1[[#This Row],[Date]]),"",Table1[[#This Row],[Date]]-WEEKDAY(Table1[[#This Row],[Date]],2)+1)</f>
        <v>43738</v>
      </c>
      <c r="S1551" s="131">
        <f>IF(ISBLANK(Table1[[#This Row],[Date]]),"",DATE(Table1[[#This Row],[Date_Year]],Table1[[#This Row],[Date_Month]],1))</f>
        <v>43739</v>
      </c>
    </row>
    <row r="1552" spans="2:19" ht="15.75" x14ac:dyDescent="0.25">
      <c r="B1552" s="133">
        <v>43742</v>
      </c>
      <c r="C1552" s="128" t="s">
        <v>2300</v>
      </c>
      <c r="D1552" s="128" t="s">
        <v>45</v>
      </c>
      <c r="E1552" s="128" t="str" cm="1">
        <f t="array" ref="E1552">IFERROR(INDEX(SubcategoriesTable[Subcategory name],MATCH(Table1[[#This Row],[Category]],SubcategoriesTable[Category name],0),0),"")</f>
        <v>Variable</v>
      </c>
      <c r="F1552" s="134">
        <v>-15</v>
      </c>
      <c r="G1552" s="167" t="str">
        <f>_xlfn.XLOOKUP(Table1[[#This Row],[Account_ID]], Accounts[ID], Accounts[Account nickname], "Unknown")</f>
        <v>EVERYDAY CHECKING</v>
      </c>
      <c r="H1552" s="137" t="str">
        <f>_xlfn.XLOOKUP(Table1[[#This Row],[Account_ID]], Accounts[ID], Accounts[Account'#], "Unknown")</f>
        <v>4636</v>
      </c>
      <c r="I1552" s="168" t="str">
        <f>_xlfn.XLOOKUP(Table1[[#This Row],[Institution_ID]], Institutions[ID], Institutions[Institution nickname], "Unknown")</f>
        <v>Wells Fargo</v>
      </c>
      <c r="J1552" s="139" t="s">
        <v>2301</v>
      </c>
      <c r="K1552" s="129" t="s">
        <v>1229</v>
      </c>
      <c r="L1552" s="129" t="s">
        <v>1228</v>
      </c>
      <c r="M1552" s="130" t="str" cm="1">
        <f t="array" ref="M1552">IFERROR(INDEX(CategoriesTable[Category type],MATCH(Table1[[#This Row],[Category]],CategoriesTable[Category name],0),0),"")</f>
        <v>Expense</v>
      </c>
      <c r="N1552" s="130" t="str" cm="1">
        <f t="array" ref="N1552">IFERROR(INDEX(SubcategoriesTable[Subcategory name],MATCH(Table1[[#This Row],[Category]],SubcategoriesTable[Category name],0),0),"")</f>
        <v>Variable</v>
      </c>
      <c r="O1552" s="130">
        <v>4</v>
      </c>
      <c r="P1552" s="130">
        <f>MONTH(Table1[[#This Row],[Date]])</f>
        <v>10</v>
      </c>
      <c r="Q1552" s="130">
        <v>2019</v>
      </c>
      <c r="R1552" s="166">
        <f>IF(ISBLANK(Table1[[#This Row],[Date]]),"",Table1[[#This Row],[Date]]-WEEKDAY(Table1[[#This Row],[Date]],2)+1)</f>
        <v>43738</v>
      </c>
      <c r="S1552" s="131">
        <f>IF(ISBLANK(Table1[[#This Row],[Date]]),"",DATE(Table1[[#This Row],[Date_Year]],Table1[[#This Row],[Date_Month]],1))</f>
        <v>43739</v>
      </c>
    </row>
    <row r="1553" spans="2:19" ht="15.75" x14ac:dyDescent="0.25">
      <c r="B1553" s="133">
        <v>43741</v>
      </c>
      <c r="C1553" s="128" t="s">
        <v>531</v>
      </c>
      <c r="D1553" s="128" t="s">
        <v>54</v>
      </c>
      <c r="E1553" s="128" t="str" cm="1">
        <f t="array" ref="E1553">IFERROR(INDEX(SubcategoriesTable[Subcategory name],MATCH(Table1[[#This Row],[Category]],SubcategoriesTable[Category name],0),0),"")</f>
        <v>Fixed</v>
      </c>
      <c r="F1553" s="134">
        <v>-12.31</v>
      </c>
      <c r="G1553" s="167" t="str">
        <f>_xlfn.XLOOKUP(Table1[[#This Row],[Account_ID]], Accounts[ID], Accounts[Account nickname], "Unknown")</f>
        <v>EVERYDAY CHECKING</v>
      </c>
      <c r="H1553" s="137" t="str">
        <f>_xlfn.XLOOKUP(Table1[[#This Row],[Account_ID]], Accounts[ID], Accounts[Account'#], "Unknown")</f>
        <v>4636</v>
      </c>
      <c r="I1553" s="168" t="str">
        <f>_xlfn.XLOOKUP(Table1[[#This Row],[Institution_ID]], Institutions[ID], Institutions[Institution nickname], "Unknown")</f>
        <v>Wells Fargo</v>
      </c>
      <c r="J1553" s="139" t="s">
        <v>2302</v>
      </c>
      <c r="K1553" s="129" t="s">
        <v>1229</v>
      </c>
      <c r="L1553" s="129" t="s">
        <v>1228</v>
      </c>
      <c r="M1553" s="130" t="str" cm="1">
        <f t="array" ref="M1553">IFERROR(INDEX(CategoriesTable[Category type],MATCH(Table1[[#This Row],[Category]],CategoriesTable[Category name],0),0),"")</f>
        <v>Expense</v>
      </c>
      <c r="N1553" s="130" t="str" cm="1">
        <f t="array" ref="N1553">IFERROR(INDEX(SubcategoriesTable[Subcategory name],MATCH(Table1[[#This Row],[Category]],SubcategoriesTable[Category name],0),0),"")</f>
        <v>Fixed</v>
      </c>
      <c r="O1553" s="130">
        <v>3</v>
      </c>
      <c r="P1553" s="130">
        <f>MONTH(Table1[[#This Row],[Date]])</f>
        <v>10</v>
      </c>
      <c r="Q1553" s="130">
        <v>2019</v>
      </c>
      <c r="R1553" s="166">
        <f>IF(ISBLANK(Table1[[#This Row],[Date]]),"",Table1[[#This Row],[Date]]-WEEKDAY(Table1[[#This Row],[Date]],2)+1)</f>
        <v>43738</v>
      </c>
      <c r="S1553" s="131">
        <f>IF(ISBLANK(Table1[[#This Row],[Date]]),"",DATE(Table1[[#This Row],[Date_Year]],Table1[[#This Row],[Date_Month]],1))</f>
        <v>43739</v>
      </c>
    </row>
    <row r="1554" spans="2:19" ht="15.75" x14ac:dyDescent="0.25">
      <c r="B1554" s="133">
        <v>43741</v>
      </c>
      <c r="C1554" s="128" t="s">
        <v>2303</v>
      </c>
      <c r="D1554" s="128" t="s">
        <v>51</v>
      </c>
      <c r="E1554" s="128" t="str" cm="1">
        <f t="array" ref="E1554">IFERROR(INDEX(SubcategoriesTable[Subcategory name],MATCH(Table1[[#This Row],[Category]],SubcategoriesTable[Category name],0),0),"")</f>
        <v>Variable</v>
      </c>
      <c r="F1554" s="134">
        <v>-25.87</v>
      </c>
      <c r="G1554" s="167" t="str">
        <f>_xlfn.XLOOKUP(Table1[[#This Row],[Account_ID]], Accounts[ID], Accounts[Account nickname], "Unknown")</f>
        <v>EVERYDAY CHECKING</v>
      </c>
      <c r="H1554" s="137" t="str">
        <f>_xlfn.XLOOKUP(Table1[[#This Row],[Account_ID]], Accounts[ID], Accounts[Account'#], "Unknown")</f>
        <v>4636</v>
      </c>
      <c r="I1554" s="168" t="str">
        <f>_xlfn.XLOOKUP(Table1[[#This Row],[Institution_ID]], Institutions[ID], Institutions[Institution nickname], "Unknown")</f>
        <v>Wells Fargo</v>
      </c>
      <c r="J1554" s="139" t="s">
        <v>2304</v>
      </c>
      <c r="K1554" s="129" t="s">
        <v>1229</v>
      </c>
      <c r="L1554" s="129" t="s">
        <v>1228</v>
      </c>
      <c r="M1554" s="130" t="str" cm="1">
        <f t="array" ref="M1554">IFERROR(INDEX(CategoriesTable[Category type],MATCH(Table1[[#This Row],[Category]],CategoriesTable[Category name],0),0),"")</f>
        <v>Expense</v>
      </c>
      <c r="N1554" s="130" t="str" cm="1">
        <f t="array" ref="N1554">IFERROR(INDEX(SubcategoriesTable[Subcategory name],MATCH(Table1[[#This Row],[Category]],SubcategoriesTable[Category name],0),0),"")</f>
        <v>Variable</v>
      </c>
      <c r="O1554" s="130">
        <v>3</v>
      </c>
      <c r="P1554" s="130">
        <f>MONTH(Table1[[#This Row],[Date]])</f>
        <v>10</v>
      </c>
      <c r="Q1554" s="130">
        <v>2019</v>
      </c>
      <c r="R1554" s="166">
        <f>IF(ISBLANK(Table1[[#This Row],[Date]]),"",Table1[[#This Row],[Date]]-WEEKDAY(Table1[[#This Row],[Date]],2)+1)</f>
        <v>43738</v>
      </c>
      <c r="S1554" s="131">
        <f>IF(ISBLANK(Table1[[#This Row],[Date]]),"",DATE(Table1[[#This Row],[Date_Year]],Table1[[#This Row],[Date_Month]],1))</f>
        <v>43739</v>
      </c>
    </row>
    <row r="1555" spans="2:19" ht="15.75" x14ac:dyDescent="0.25">
      <c r="B1555" s="133">
        <v>43741</v>
      </c>
      <c r="C1555" s="128" t="s">
        <v>2035</v>
      </c>
      <c r="D1555" s="128" t="s">
        <v>48</v>
      </c>
      <c r="E1555" s="128" t="str" cm="1">
        <f t="array" ref="E1555">IFERROR(INDEX(SubcategoriesTable[Subcategory name],MATCH(Table1[[#This Row],[Category]],SubcategoriesTable[Category name],0),0),"")</f>
        <v>Variable</v>
      </c>
      <c r="F1555" s="134">
        <v>-69</v>
      </c>
      <c r="G1555" s="167" t="str">
        <f>_xlfn.XLOOKUP(Table1[[#This Row],[Account_ID]], Accounts[ID], Accounts[Account nickname], "Unknown")</f>
        <v>EVERYDAY CHECKING</v>
      </c>
      <c r="H1555" s="137" t="str">
        <f>_xlfn.XLOOKUP(Table1[[#This Row],[Account_ID]], Accounts[ID], Accounts[Account'#], "Unknown")</f>
        <v>4636</v>
      </c>
      <c r="I1555" s="168" t="str">
        <f>_xlfn.XLOOKUP(Table1[[#This Row],[Institution_ID]], Institutions[ID], Institutions[Institution nickname], "Unknown")</f>
        <v>Wells Fargo</v>
      </c>
      <c r="J1555" s="139" t="s">
        <v>2305</v>
      </c>
      <c r="K1555" s="129" t="s">
        <v>1229</v>
      </c>
      <c r="L1555" s="129" t="s">
        <v>1228</v>
      </c>
      <c r="M1555" s="130" t="str" cm="1">
        <f t="array" ref="M1555">IFERROR(INDEX(CategoriesTable[Category type],MATCH(Table1[[#This Row],[Category]],CategoriesTable[Category name],0),0),"")</f>
        <v>Expense</v>
      </c>
      <c r="N1555" s="130" t="str" cm="1">
        <f t="array" ref="N1555">IFERROR(INDEX(SubcategoriesTable[Subcategory name],MATCH(Table1[[#This Row],[Category]],SubcategoriesTable[Category name],0),0),"")</f>
        <v>Variable</v>
      </c>
      <c r="O1555" s="130">
        <v>3</v>
      </c>
      <c r="P1555" s="130">
        <f>MONTH(Table1[[#This Row],[Date]])</f>
        <v>10</v>
      </c>
      <c r="Q1555" s="130">
        <v>2019</v>
      </c>
      <c r="R1555" s="166">
        <f>IF(ISBLANK(Table1[[#This Row],[Date]]),"",Table1[[#This Row],[Date]]-WEEKDAY(Table1[[#This Row],[Date]],2)+1)</f>
        <v>43738</v>
      </c>
      <c r="S1555" s="131">
        <f>IF(ISBLANK(Table1[[#This Row],[Date]]),"",DATE(Table1[[#This Row],[Date_Year]],Table1[[#This Row],[Date_Month]],1))</f>
        <v>43739</v>
      </c>
    </row>
    <row r="1556" spans="2:19" ht="15.75" x14ac:dyDescent="0.25">
      <c r="B1556" s="133">
        <v>43740</v>
      </c>
      <c r="C1556" s="128" t="s">
        <v>531</v>
      </c>
      <c r="D1556" s="128" t="s">
        <v>54</v>
      </c>
      <c r="E1556" s="128" t="str" cm="1">
        <f t="array" ref="E1556">IFERROR(INDEX(SubcategoriesTable[Subcategory name],MATCH(Table1[[#This Row],[Category]],SubcategoriesTable[Category name],0),0),"")</f>
        <v>Fixed</v>
      </c>
      <c r="F1556" s="134">
        <v>-7.48</v>
      </c>
      <c r="G1556" s="167" t="str">
        <f>_xlfn.XLOOKUP(Table1[[#This Row],[Account_ID]], Accounts[ID], Accounts[Account nickname], "Unknown")</f>
        <v>EVERYDAY CHECKING</v>
      </c>
      <c r="H1556" s="137" t="str">
        <f>_xlfn.XLOOKUP(Table1[[#This Row],[Account_ID]], Accounts[ID], Accounts[Account'#], "Unknown")</f>
        <v>4636</v>
      </c>
      <c r="I1556" s="168" t="str">
        <f>_xlfn.XLOOKUP(Table1[[#This Row],[Institution_ID]], Institutions[ID], Institutions[Institution nickname], "Unknown")</f>
        <v>Wells Fargo</v>
      </c>
      <c r="J1556" s="139" t="s">
        <v>2306</v>
      </c>
      <c r="K1556" s="129" t="s">
        <v>1229</v>
      </c>
      <c r="L1556" s="129" t="s">
        <v>1228</v>
      </c>
      <c r="M1556" s="130" t="str" cm="1">
        <f t="array" ref="M1556">IFERROR(INDEX(CategoriesTable[Category type],MATCH(Table1[[#This Row],[Category]],CategoriesTable[Category name],0),0),"")</f>
        <v>Expense</v>
      </c>
      <c r="N1556" s="130" t="str" cm="1">
        <f t="array" ref="N1556">IFERROR(INDEX(SubcategoriesTable[Subcategory name],MATCH(Table1[[#This Row],[Category]],SubcategoriesTable[Category name],0),0),"")</f>
        <v>Fixed</v>
      </c>
      <c r="O1556" s="130">
        <v>2</v>
      </c>
      <c r="P1556" s="130">
        <f>MONTH(Table1[[#This Row],[Date]])</f>
        <v>10</v>
      </c>
      <c r="Q1556" s="130">
        <v>2019</v>
      </c>
      <c r="R1556" s="166">
        <f>IF(ISBLANK(Table1[[#This Row],[Date]]),"",Table1[[#This Row],[Date]]-WEEKDAY(Table1[[#This Row],[Date]],2)+1)</f>
        <v>43738</v>
      </c>
      <c r="S1556" s="131">
        <f>IF(ISBLANK(Table1[[#This Row],[Date]]),"",DATE(Table1[[#This Row],[Date_Year]],Table1[[#This Row],[Date_Month]],1))</f>
        <v>43739</v>
      </c>
    </row>
    <row r="1557" spans="2:19" ht="15.75" x14ac:dyDescent="0.25">
      <c r="B1557" s="133">
        <v>43740</v>
      </c>
      <c r="C1557" s="128" t="s">
        <v>1071</v>
      </c>
      <c r="D1557" s="128" t="s">
        <v>45</v>
      </c>
      <c r="E1557" s="128" t="str" cm="1">
        <f t="array" ref="E1557">IFERROR(INDEX(SubcategoriesTable[Subcategory name],MATCH(Table1[[#This Row],[Category]],SubcategoriesTable[Category name],0),0),"")</f>
        <v>Variable</v>
      </c>
      <c r="F1557" s="134">
        <v>-10.66</v>
      </c>
      <c r="G1557" s="167" t="str">
        <f>_xlfn.XLOOKUP(Table1[[#This Row],[Account_ID]], Accounts[ID], Accounts[Account nickname], "Unknown")</f>
        <v>Discover it chrome Card</v>
      </c>
      <c r="H1557" s="137" t="str">
        <f>_xlfn.XLOOKUP(Table1[[#This Row],[Account_ID]], Accounts[ID], Accounts[Account'#], "Unknown")</f>
        <v>7328</v>
      </c>
      <c r="I1557" s="168" t="str">
        <f>_xlfn.XLOOKUP(Table1[[#This Row],[Institution_ID]], Institutions[ID], Institutions[Institution nickname], "Unknown")</f>
        <v>Discover</v>
      </c>
      <c r="J1557" s="139" t="s">
        <v>1072</v>
      </c>
      <c r="K1557" s="129" t="s">
        <v>110</v>
      </c>
      <c r="L1557" s="129" t="s">
        <v>108</v>
      </c>
      <c r="M1557" s="130" t="str" cm="1">
        <f t="array" ref="M1557">IFERROR(INDEX(CategoriesTable[Category type],MATCH(Table1[[#This Row],[Category]],CategoriesTable[Category name],0),0),"")</f>
        <v>Expense</v>
      </c>
      <c r="N1557" s="130" t="str" cm="1">
        <f t="array" ref="N1557">IFERROR(INDEX(SubcategoriesTable[Subcategory name],MATCH(Table1[[#This Row],[Category]],SubcategoriesTable[Category name],0),0),"")</f>
        <v>Variable</v>
      </c>
      <c r="O1557" s="130">
        <v>2</v>
      </c>
      <c r="P1557" s="130">
        <f>MONTH(Table1[[#This Row],[Date]])</f>
        <v>10</v>
      </c>
      <c r="Q1557" s="130">
        <v>2019</v>
      </c>
      <c r="R1557" s="166">
        <f>IF(ISBLANK(Table1[[#This Row],[Date]]),"",Table1[[#This Row],[Date]]-WEEKDAY(Table1[[#This Row],[Date]],2)+1)</f>
        <v>43738</v>
      </c>
      <c r="S1557" s="131">
        <f>IF(ISBLANK(Table1[[#This Row],[Date]]),"",DATE(Table1[[#This Row],[Date_Year]],Table1[[#This Row],[Date_Month]],1))</f>
        <v>43739</v>
      </c>
    </row>
    <row r="1558" spans="2:19" ht="15.75" x14ac:dyDescent="0.25">
      <c r="B1558" s="133">
        <v>43739</v>
      </c>
      <c r="C1558" s="128" t="s">
        <v>239</v>
      </c>
      <c r="D1558" s="128" t="s">
        <v>52</v>
      </c>
      <c r="E1558" s="128" t="str" cm="1">
        <f t="array" ref="E1558">IFERROR(INDEX(SubcategoriesTable[Subcategory name],MATCH(Table1[[#This Row],[Category]],SubcategoriesTable[Category name],0),0),"")</f>
        <v>Variable</v>
      </c>
      <c r="F1558" s="134">
        <v>-23.56</v>
      </c>
      <c r="G1558" s="167" t="str">
        <f>_xlfn.XLOOKUP(Table1[[#This Row],[Account_ID]], Accounts[ID], Accounts[Account nickname], "Unknown")</f>
        <v>Discover it chrome Card</v>
      </c>
      <c r="H1558" s="137" t="str">
        <f>_xlfn.XLOOKUP(Table1[[#This Row],[Account_ID]], Accounts[ID], Accounts[Account'#], "Unknown")</f>
        <v>7328</v>
      </c>
      <c r="I1558" s="168" t="str">
        <f>_xlfn.XLOOKUP(Table1[[#This Row],[Institution_ID]], Institutions[ID], Institutions[Institution nickname], "Unknown")</f>
        <v>Discover</v>
      </c>
      <c r="J1558" s="139" t="s">
        <v>1073</v>
      </c>
      <c r="K1558" s="129" t="s">
        <v>110</v>
      </c>
      <c r="L1558" s="129" t="s">
        <v>108</v>
      </c>
      <c r="M1558" s="130" t="str" cm="1">
        <f t="array" ref="M1558">IFERROR(INDEX(CategoriesTable[Category type],MATCH(Table1[[#This Row],[Category]],CategoriesTable[Category name],0),0),"")</f>
        <v>Expense</v>
      </c>
      <c r="N1558" s="130" t="str" cm="1">
        <f t="array" ref="N1558">IFERROR(INDEX(SubcategoriesTable[Subcategory name],MATCH(Table1[[#This Row],[Category]],SubcategoriesTable[Category name],0),0),"")</f>
        <v>Variable</v>
      </c>
      <c r="O1558" s="130">
        <v>1</v>
      </c>
      <c r="P1558" s="130">
        <f>MONTH(Table1[[#This Row],[Date]])</f>
        <v>10</v>
      </c>
      <c r="Q1558" s="130">
        <v>2019</v>
      </c>
      <c r="R1558" s="166">
        <f>IF(ISBLANK(Table1[[#This Row],[Date]]),"",Table1[[#This Row],[Date]]-WEEKDAY(Table1[[#This Row],[Date]],2)+1)</f>
        <v>43738</v>
      </c>
      <c r="S1558" s="131">
        <f>IF(ISBLANK(Table1[[#This Row],[Date]]),"",DATE(Table1[[#This Row],[Date_Year]],Table1[[#This Row],[Date_Month]],1))</f>
        <v>43739</v>
      </c>
    </row>
    <row r="1559" spans="2:19" ht="15.75" x14ac:dyDescent="0.25">
      <c r="B1559" s="133">
        <v>43739</v>
      </c>
      <c r="C1559" s="128" t="s">
        <v>1074</v>
      </c>
      <c r="D1559" s="128" t="s">
        <v>45</v>
      </c>
      <c r="E1559" s="128" t="str" cm="1">
        <f t="array" ref="E1559">IFERROR(INDEX(SubcategoriesTable[Subcategory name],MATCH(Table1[[#This Row],[Category]],SubcategoriesTable[Category name],0),0),"")</f>
        <v>Variable</v>
      </c>
      <c r="F1559" s="134">
        <v>-16.600000000000001</v>
      </c>
      <c r="G1559" s="167" t="str">
        <f>_xlfn.XLOOKUP(Table1[[#This Row],[Account_ID]], Accounts[ID], Accounts[Account nickname], "Unknown")</f>
        <v>Discover it chrome Card</v>
      </c>
      <c r="H1559" s="137" t="str">
        <f>_xlfn.XLOOKUP(Table1[[#This Row],[Account_ID]], Accounts[ID], Accounts[Account'#], "Unknown")</f>
        <v>7328</v>
      </c>
      <c r="I1559" s="168" t="str">
        <f>_xlfn.XLOOKUP(Table1[[#This Row],[Institution_ID]], Institutions[ID], Institutions[Institution nickname], "Unknown")</f>
        <v>Discover</v>
      </c>
      <c r="J1559" s="139" t="s">
        <v>1075</v>
      </c>
      <c r="K1559" s="129" t="s">
        <v>110</v>
      </c>
      <c r="L1559" s="129" t="s">
        <v>108</v>
      </c>
      <c r="M1559" s="130" t="str" cm="1">
        <f t="array" ref="M1559">IFERROR(INDEX(CategoriesTable[Category type],MATCH(Table1[[#This Row],[Category]],CategoriesTable[Category name],0),0),"")</f>
        <v>Expense</v>
      </c>
      <c r="N1559" s="130" t="str" cm="1">
        <f t="array" ref="N1559">IFERROR(INDEX(SubcategoriesTable[Subcategory name],MATCH(Table1[[#This Row],[Category]],SubcategoriesTable[Category name],0),0),"")</f>
        <v>Variable</v>
      </c>
      <c r="O1559" s="130">
        <v>1</v>
      </c>
      <c r="P1559" s="130">
        <f>MONTH(Table1[[#This Row],[Date]])</f>
        <v>10</v>
      </c>
      <c r="Q1559" s="130">
        <v>2019</v>
      </c>
      <c r="R1559" s="166">
        <f>IF(ISBLANK(Table1[[#This Row],[Date]]),"",Table1[[#This Row],[Date]]-WEEKDAY(Table1[[#This Row],[Date]],2)+1)</f>
        <v>43738</v>
      </c>
      <c r="S1559" s="131">
        <f>IF(ISBLANK(Table1[[#This Row],[Date]]),"",DATE(Table1[[#This Row],[Date_Year]],Table1[[#This Row],[Date_Month]],1))</f>
        <v>43739</v>
      </c>
    </row>
    <row r="1560" spans="2:19" ht="15.75" x14ac:dyDescent="0.25">
      <c r="B1560" s="133">
        <v>43738</v>
      </c>
      <c r="C1560" s="128" t="s">
        <v>125</v>
      </c>
      <c r="D1560" s="128" t="s">
        <v>45</v>
      </c>
      <c r="E1560" s="128" t="str" cm="1">
        <f t="array" ref="E1560">IFERROR(INDEX(SubcategoriesTable[Subcategory name],MATCH(Table1[[#This Row],[Category]],SubcategoriesTable[Category name],0),0),"")</f>
        <v>Variable</v>
      </c>
      <c r="F1560" s="134">
        <v>-4.05</v>
      </c>
      <c r="G1560" s="167" t="str">
        <f>_xlfn.XLOOKUP(Table1[[#This Row],[Account_ID]], Accounts[ID], Accounts[Account nickname], "Unknown")</f>
        <v>EVERYDAY CHECKING</v>
      </c>
      <c r="H1560" s="137" t="str">
        <f>_xlfn.XLOOKUP(Table1[[#This Row],[Account_ID]], Accounts[ID], Accounts[Account'#], "Unknown")</f>
        <v>4636</v>
      </c>
      <c r="I1560" s="168" t="str">
        <f>_xlfn.XLOOKUP(Table1[[#This Row],[Institution_ID]], Institutions[ID], Institutions[Institution nickname], "Unknown")</f>
        <v>Wells Fargo</v>
      </c>
      <c r="J1560" s="139" t="s">
        <v>2307</v>
      </c>
      <c r="K1560" s="129" t="s">
        <v>1229</v>
      </c>
      <c r="L1560" s="129" t="s">
        <v>1228</v>
      </c>
      <c r="M1560" s="130" t="str" cm="1">
        <f t="array" ref="M1560">IFERROR(INDEX(CategoriesTable[Category type],MATCH(Table1[[#This Row],[Category]],CategoriesTable[Category name],0),0),"")</f>
        <v>Expense</v>
      </c>
      <c r="N1560" s="130" t="str" cm="1">
        <f t="array" ref="N1560">IFERROR(INDEX(SubcategoriesTable[Subcategory name],MATCH(Table1[[#This Row],[Category]],SubcategoriesTable[Category name],0),0),"")</f>
        <v>Variable</v>
      </c>
      <c r="O1560" s="130">
        <v>30</v>
      </c>
      <c r="P1560" s="130">
        <f>MONTH(Table1[[#This Row],[Date]])</f>
        <v>9</v>
      </c>
      <c r="Q1560" s="130">
        <v>2019</v>
      </c>
      <c r="R1560" s="166">
        <f>IF(ISBLANK(Table1[[#This Row],[Date]]),"",Table1[[#This Row],[Date]]-WEEKDAY(Table1[[#This Row],[Date]],2)+1)</f>
        <v>43738</v>
      </c>
      <c r="S1560" s="131">
        <f>IF(ISBLANK(Table1[[#This Row],[Date]]),"",DATE(Table1[[#This Row],[Date_Year]],Table1[[#This Row],[Date_Month]],1))</f>
        <v>43709</v>
      </c>
    </row>
    <row r="1561" spans="2:19" ht="15.75" x14ac:dyDescent="0.25">
      <c r="B1561" s="133">
        <v>43738</v>
      </c>
      <c r="C1561" s="128" t="s">
        <v>2308</v>
      </c>
      <c r="D1561" s="128" t="s">
        <v>49</v>
      </c>
      <c r="E1561" s="128" t="str" cm="1">
        <f t="array" ref="E1561">IFERROR(INDEX(SubcategoriesTable[Subcategory name],MATCH(Table1[[#This Row],[Category]],SubcategoriesTable[Category name],0),0),"")</f>
        <v>Variable</v>
      </c>
      <c r="F1561" s="134">
        <v>-10</v>
      </c>
      <c r="G1561" s="167" t="str">
        <f>_xlfn.XLOOKUP(Table1[[#This Row],[Account_ID]], Accounts[ID], Accounts[Account nickname], "Unknown")</f>
        <v>EVERYDAY CHECKING</v>
      </c>
      <c r="H1561" s="137" t="str">
        <f>_xlfn.XLOOKUP(Table1[[#This Row],[Account_ID]], Accounts[ID], Accounts[Account'#], "Unknown")</f>
        <v>4636</v>
      </c>
      <c r="I1561" s="168" t="str">
        <f>_xlfn.XLOOKUP(Table1[[#This Row],[Institution_ID]], Institutions[ID], Institutions[Institution nickname], "Unknown")</f>
        <v>Wells Fargo</v>
      </c>
      <c r="J1561" s="139" t="s">
        <v>2309</v>
      </c>
      <c r="K1561" s="129" t="s">
        <v>1229</v>
      </c>
      <c r="L1561" s="129" t="s">
        <v>1228</v>
      </c>
      <c r="M1561" s="130" t="str" cm="1">
        <f t="array" ref="M1561">IFERROR(INDEX(CategoriesTable[Category type],MATCH(Table1[[#This Row],[Category]],CategoriesTable[Category name],0),0),"")</f>
        <v>Expense</v>
      </c>
      <c r="N1561" s="130" t="str" cm="1">
        <f t="array" ref="N1561">IFERROR(INDEX(SubcategoriesTable[Subcategory name],MATCH(Table1[[#This Row],[Category]],SubcategoriesTable[Category name],0),0),"")</f>
        <v>Variable</v>
      </c>
      <c r="O1561" s="130">
        <v>30</v>
      </c>
      <c r="P1561" s="130">
        <f>MONTH(Table1[[#This Row],[Date]])</f>
        <v>9</v>
      </c>
      <c r="Q1561" s="130">
        <v>2019</v>
      </c>
      <c r="R1561" s="166">
        <f>IF(ISBLANK(Table1[[#This Row],[Date]]),"",Table1[[#This Row],[Date]]-WEEKDAY(Table1[[#This Row],[Date]],2)+1)</f>
        <v>43738</v>
      </c>
      <c r="S1561" s="131">
        <f>IF(ISBLANK(Table1[[#This Row],[Date]]),"",DATE(Table1[[#This Row],[Date_Year]],Table1[[#This Row],[Date_Month]],1))</f>
        <v>43709</v>
      </c>
    </row>
    <row r="1562" spans="2:19" ht="15.75" x14ac:dyDescent="0.25">
      <c r="B1562" s="133">
        <v>43738</v>
      </c>
      <c r="C1562" s="128" t="s">
        <v>2310</v>
      </c>
      <c r="D1562" s="128" t="s">
        <v>45</v>
      </c>
      <c r="E1562" s="128" t="str" cm="1">
        <f t="array" ref="E1562">IFERROR(INDEX(SubcategoriesTable[Subcategory name],MATCH(Table1[[#This Row],[Category]],SubcategoriesTable[Category name],0),0),"")</f>
        <v>Variable</v>
      </c>
      <c r="F1562" s="134">
        <v>-16</v>
      </c>
      <c r="G1562" s="167" t="str">
        <f>_xlfn.XLOOKUP(Table1[[#This Row],[Account_ID]], Accounts[ID], Accounts[Account nickname], "Unknown")</f>
        <v>EVERYDAY CHECKING</v>
      </c>
      <c r="H1562" s="137" t="str">
        <f>_xlfn.XLOOKUP(Table1[[#This Row],[Account_ID]], Accounts[ID], Accounts[Account'#], "Unknown")</f>
        <v>4636</v>
      </c>
      <c r="I1562" s="168" t="str">
        <f>_xlfn.XLOOKUP(Table1[[#This Row],[Institution_ID]], Institutions[ID], Institutions[Institution nickname], "Unknown")</f>
        <v>Wells Fargo</v>
      </c>
      <c r="J1562" s="139" t="s">
        <v>2311</v>
      </c>
      <c r="K1562" s="129" t="s">
        <v>1229</v>
      </c>
      <c r="L1562" s="129" t="s">
        <v>1228</v>
      </c>
      <c r="M1562" s="130" t="str" cm="1">
        <f t="array" ref="M1562">IFERROR(INDEX(CategoriesTable[Category type],MATCH(Table1[[#This Row],[Category]],CategoriesTable[Category name],0),0),"")</f>
        <v>Expense</v>
      </c>
      <c r="N1562" s="130" t="str" cm="1">
        <f t="array" ref="N1562">IFERROR(INDEX(SubcategoriesTable[Subcategory name],MATCH(Table1[[#This Row],[Category]],SubcategoriesTable[Category name],0),0),"")</f>
        <v>Variable</v>
      </c>
      <c r="O1562" s="130">
        <v>30</v>
      </c>
      <c r="P1562" s="130">
        <f>MONTH(Table1[[#This Row],[Date]])</f>
        <v>9</v>
      </c>
      <c r="Q1562" s="130">
        <v>2019</v>
      </c>
      <c r="R1562" s="166">
        <f>IF(ISBLANK(Table1[[#This Row],[Date]]),"",Table1[[#This Row],[Date]]-WEEKDAY(Table1[[#This Row],[Date]],2)+1)</f>
        <v>43738</v>
      </c>
      <c r="S1562" s="131">
        <f>IF(ISBLANK(Table1[[#This Row],[Date]]),"",DATE(Table1[[#This Row],[Date_Year]],Table1[[#This Row],[Date_Month]],1))</f>
        <v>43709</v>
      </c>
    </row>
    <row r="1563" spans="2:19" ht="15.75" x14ac:dyDescent="0.25">
      <c r="B1563" s="133">
        <v>43738</v>
      </c>
      <c r="C1563" s="128" t="s">
        <v>2310</v>
      </c>
      <c r="D1563" s="128" t="s">
        <v>45</v>
      </c>
      <c r="E1563" s="128" t="str" cm="1">
        <f t="array" ref="E1563">IFERROR(INDEX(SubcategoriesTable[Subcategory name],MATCH(Table1[[#This Row],[Category]],SubcategoriesTable[Category name],0),0),"")</f>
        <v>Variable</v>
      </c>
      <c r="F1563" s="134">
        <v>-16</v>
      </c>
      <c r="G1563" s="167" t="str">
        <f>_xlfn.XLOOKUP(Table1[[#This Row],[Account_ID]], Accounts[ID], Accounts[Account nickname], "Unknown")</f>
        <v>EVERYDAY CHECKING</v>
      </c>
      <c r="H1563" s="137" t="str">
        <f>_xlfn.XLOOKUP(Table1[[#This Row],[Account_ID]], Accounts[ID], Accounts[Account'#], "Unknown")</f>
        <v>4636</v>
      </c>
      <c r="I1563" s="168" t="str">
        <f>_xlfn.XLOOKUP(Table1[[#This Row],[Institution_ID]], Institutions[ID], Institutions[Institution nickname], "Unknown")</f>
        <v>Wells Fargo</v>
      </c>
      <c r="J1563" s="139" t="s">
        <v>2312</v>
      </c>
      <c r="K1563" s="129" t="s">
        <v>1229</v>
      </c>
      <c r="L1563" s="129" t="s">
        <v>1228</v>
      </c>
      <c r="M1563" s="130" t="str" cm="1">
        <f t="array" ref="M1563">IFERROR(INDEX(CategoriesTable[Category type],MATCH(Table1[[#This Row],[Category]],CategoriesTable[Category name],0),0),"")</f>
        <v>Expense</v>
      </c>
      <c r="N1563" s="130" t="str" cm="1">
        <f t="array" ref="N1563">IFERROR(INDEX(SubcategoriesTable[Subcategory name],MATCH(Table1[[#This Row],[Category]],SubcategoriesTable[Category name],0),0),"")</f>
        <v>Variable</v>
      </c>
      <c r="O1563" s="130">
        <v>30</v>
      </c>
      <c r="P1563" s="130">
        <f>MONTH(Table1[[#This Row],[Date]])</f>
        <v>9</v>
      </c>
      <c r="Q1563" s="130">
        <v>2019</v>
      </c>
      <c r="R1563" s="166">
        <f>IF(ISBLANK(Table1[[#This Row],[Date]]),"",Table1[[#This Row],[Date]]-WEEKDAY(Table1[[#This Row],[Date]],2)+1)</f>
        <v>43738</v>
      </c>
      <c r="S1563" s="131">
        <f>IF(ISBLANK(Table1[[#This Row],[Date]]),"",DATE(Table1[[#This Row],[Date_Year]],Table1[[#This Row],[Date_Month]],1))</f>
        <v>43709</v>
      </c>
    </row>
    <row r="1564" spans="2:19" ht="15.75" x14ac:dyDescent="0.25">
      <c r="B1564" s="133">
        <v>43738</v>
      </c>
      <c r="C1564" s="128" t="s">
        <v>1071</v>
      </c>
      <c r="D1564" s="128" t="s">
        <v>45</v>
      </c>
      <c r="E1564" s="128" t="str" cm="1">
        <f t="array" ref="E1564">IFERROR(INDEX(SubcategoriesTable[Subcategory name],MATCH(Table1[[#This Row],[Category]],SubcategoriesTable[Category name],0),0),"")</f>
        <v>Variable</v>
      </c>
      <c r="F1564" s="134">
        <v>-12.84</v>
      </c>
      <c r="G1564" s="167" t="str">
        <f>_xlfn.XLOOKUP(Table1[[#This Row],[Account_ID]], Accounts[ID], Accounts[Account nickname], "Unknown")</f>
        <v>EVERYDAY CHECKING</v>
      </c>
      <c r="H1564" s="137" t="str">
        <f>_xlfn.XLOOKUP(Table1[[#This Row],[Account_ID]], Accounts[ID], Accounts[Account'#], "Unknown")</f>
        <v>4636</v>
      </c>
      <c r="I1564" s="168" t="str">
        <f>_xlfn.XLOOKUP(Table1[[#This Row],[Institution_ID]], Institutions[ID], Institutions[Institution nickname], "Unknown")</f>
        <v>Wells Fargo</v>
      </c>
      <c r="J1564" s="139" t="s">
        <v>2313</v>
      </c>
      <c r="K1564" s="129" t="s">
        <v>1229</v>
      </c>
      <c r="L1564" s="129" t="s">
        <v>1228</v>
      </c>
      <c r="M1564" s="130" t="str" cm="1">
        <f t="array" ref="M1564">IFERROR(INDEX(CategoriesTable[Category type],MATCH(Table1[[#This Row],[Category]],CategoriesTable[Category name],0),0),"")</f>
        <v>Expense</v>
      </c>
      <c r="N1564" s="130" t="str" cm="1">
        <f t="array" ref="N1564">IFERROR(INDEX(SubcategoriesTable[Subcategory name],MATCH(Table1[[#This Row],[Category]],SubcategoriesTable[Category name],0),0),"")</f>
        <v>Variable</v>
      </c>
      <c r="O1564" s="130">
        <v>30</v>
      </c>
      <c r="P1564" s="130">
        <f>MONTH(Table1[[#This Row],[Date]])</f>
        <v>9</v>
      </c>
      <c r="Q1564" s="130">
        <v>2019</v>
      </c>
      <c r="R1564" s="166">
        <f>IF(ISBLANK(Table1[[#This Row],[Date]]),"",Table1[[#This Row],[Date]]-WEEKDAY(Table1[[#This Row],[Date]],2)+1)</f>
        <v>43738</v>
      </c>
      <c r="S1564" s="131">
        <f>IF(ISBLANK(Table1[[#This Row],[Date]]),"",DATE(Table1[[#This Row],[Date_Year]],Table1[[#This Row],[Date_Month]],1))</f>
        <v>43709</v>
      </c>
    </row>
    <row r="1565" spans="2:19" ht="15.75" x14ac:dyDescent="0.25">
      <c r="B1565" s="133">
        <v>43738</v>
      </c>
      <c r="C1565" s="128" t="s">
        <v>508</v>
      </c>
      <c r="D1565" s="128" t="s">
        <v>50</v>
      </c>
      <c r="E1565" s="128" t="str" cm="1">
        <f t="array" ref="E1565">IFERROR(INDEX(SubcategoriesTable[Subcategory name],MATCH(Table1[[#This Row],[Category]],SubcategoriesTable[Category name],0),0),"")</f>
        <v>Variable</v>
      </c>
      <c r="F1565" s="134">
        <v>-100</v>
      </c>
      <c r="G1565" s="167" t="str">
        <f>_xlfn.XLOOKUP(Table1[[#This Row],[Account_ID]], Accounts[ID], Accounts[Account nickname], "Unknown")</f>
        <v>EVERYDAY CHECKING</v>
      </c>
      <c r="H1565" s="137" t="str">
        <f>_xlfn.XLOOKUP(Table1[[#This Row],[Account_ID]], Accounts[ID], Accounts[Account'#], "Unknown")</f>
        <v>4636</v>
      </c>
      <c r="I1565" s="168" t="str">
        <f>_xlfn.XLOOKUP(Table1[[#This Row],[Institution_ID]], Institutions[ID], Institutions[Institution nickname], "Unknown")</f>
        <v>Wells Fargo</v>
      </c>
      <c r="J1565" s="139" t="s">
        <v>2314</v>
      </c>
      <c r="K1565" s="129" t="s">
        <v>1229</v>
      </c>
      <c r="L1565" s="129" t="s">
        <v>1228</v>
      </c>
      <c r="M1565" s="130" t="str" cm="1">
        <f t="array" ref="M1565">IFERROR(INDEX(CategoriesTable[Category type],MATCH(Table1[[#This Row],[Category]],CategoriesTable[Category name],0),0),"")</f>
        <v>Transfer</v>
      </c>
      <c r="N1565" s="130" t="str" cm="1">
        <f t="array" ref="N1565">IFERROR(INDEX(SubcategoriesTable[Subcategory name],MATCH(Table1[[#This Row],[Category]],SubcategoriesTable[Category name],0),0),"")</f>
        <v>Variable</v>
      </c>
      <c r="O1565" s="130">
        <v>30</v>
      </c>
      <c r="P1565" s="130">
        <f>MONTH(Table1[[#This Row],[Date]])</f>
        <v>9</v>
      </c>
      <c r="Q1565" s="130">
        <v>2019</v>
      </c>
      <c r="R1565" s="166">
        <f>IF(ISBLANK(Table1[[#This Row],[Date]]),"",Table1[[#This Row],[Date]]-WEEKDAY(Table1[[#This Row],[Date]],2)+1)</f>
        <v>43738</v>
      </c>
      <c r="S1565" s="131">
        <f>IF(ISBLANK(Table1[[#This Row],[Date]]),"",DATE(Table1[[#This Row],[Date_Year]],Table1[[#This Row],[Date_Month]],1))</f>
        <v>43709</v>
      </c>
    </row>
    <row r="1566" spans="2:19" ht="15.75" x14ac:dyDescent="0.25">
      <c r="B1566" s="133">
        <v>43738</v>
      </c>
      <c r="C1566" s="128" t="s">
        <v>115</v>
      </c>
      <c r="D1566" s="128" t="s">
        <v>48</v>
      </c>
      <c r="E1566" s="128" t="str" cm="1">
        <f t="array" ref="E1566">IFERROR(INDEX(SubcategoriesTable[Subcategory name],MATCH(Table1[[#This Row],[Category]],SubcategoriesTable[Category name],0),0),"")</f>
        <v>Variable</v>
      </c>
      <c r="F1566" s="134">
        <v>-21.18</v>
      </c>
      <c r="G1566" s="167" t="str">
        <f>_xlfn.XLOOKUP(Table1[[#This Row],[Account_ID]], Accounts[ID], Accounts[Account nickname], "Unknown")</f>
        <v>EVERYDAY CHECKING</v>
      </c>
      <c r="H1566" s="137" t="str">
        <f>_xlfn.XLOOKUP(Table1[[#This Row],[Account_ID]], Accounts[ID], Accounts[Account'#], "Unknown")</f>
        <v>4636</v>
      </c>
      <c r="I1566" s="168" t="str">
        <f>_xlfn.XLOOKUP(Table1[[#This Row],[Institution_ID]], Institutions[ID], Institutions[Institution nickname], "Unknown")</f>
        <v>Wells Fargo</v>
      </c>
      <c r="J1566" s="139" t="s">
        <v>2315</v>
      </c>
      <c r="K1566" s="129" t="s">
        <v>1229</v>
      </c>
      <c r="L1566" s="129" t="s">
        <v>1228</v>
      </c>
      <c r="M1566" s="130" t="str" cm="1">
        <f t="array" ref="M1566">IFERROR(INDEX(CategoriesTable[Category type],MATCH(Table1[[#This Row],[Category]],CategoriesTable[Category name],0),0),"")</f>
        <v>Expense</v>
      </c>
      <c r="N1566" s="130" t="str" cm="1">
        <f t="array" ref="N1566">IFERROR(INDEX(SubcategoriesTable[Subcategory name],MATCH(Table1[[#This Row],[Category]],SubcategoriesTable[Category name],0),0),"")</f>
        <v>Variable</v>
      </c>
      <c r="O1566" s="130">
        <v>30</v>
      </c>
      <c r="P1566" s="130">
        <f>MONTH(Table1[[#This Row],[Date]])</f>
        <v>9</v>
      </c>
      <c r="Q1566" s="130">
        <v>2019</v>
      </c>
      <c r="R1566" s="166">
        <f>IF(ISBLANK(Table1[[#This Row],[Date]]),"",Table1[[#This Row],[Date]]-WEEKDAY(Table1[[#This Row],[Date]],2)+1)</f>
        <v>43738</v>
      </c>
      <c r="S1566" s="131">
        <f>IF(ISBLANK(Table1[[#This Row],[Date]]),"",DATE(Table1[[#This Row],[Date_Year]],Table1[[#This Row],[Date_Month]],1))</f>
        <v>43709</v>
      </c>
    </row>
    <row r="1567" spans="2:19" ht="15.75" x14ac:dyDescent="0.25">
      <c r="B1567" s="133">
        <v>43737</v>
      </c>
      <c r="C1567" s="128" t="s">
        <v>1000</v>
      </c>
      <c r="D1567" s="128" t="s">
        <v>45</v>
      </c>
      <c r="E1567" s="128" t="str" cm="1">
        <f t="array" ref="E1567">IFERROR(INDEX(SubcategoriesTable[Subcategory name],MATCH(Table1[[#This Row],[Category]],SubcategoriesTable[Category name],0),0),"")</f>
        <v>Variable</v>
      </c>
      <c r="F1567" s="134">
        <v>-42.71</v>
      </c>
      <c r="G1567" s="167" t="str">
        <f>_xlfn.XLOOKUP(Table1[[#This Row],[Account_ID]], Accounts[ID], Accounts[Account nickname], "Unknown")</f>
        <v>EVERYDAY CHECKING</v>
      </c>
      <c r="H1567" s="137" t="str">
        <f>_xlfn.XLOOKUP(Table1[[#This Row],[Account_ID]], Accounts[ID], Accounts[Account'#], "Unknown")</f>
        <v>4636</v>
      </c>
      <c r="I1567" s="168" t="str">
        <f>_xlfn.XLOOKUP(Table1[[#This Row],[Institution_ID]], Institutions[ID], Institutions[Institution nickname], "Unknown")</f>
        <v>Wells Fargo</v>
      </c>
      <c r="J1567" s="139" t="s">
        <v>2316</v>
      </c>
      <c r="K1567" s="129" t="s">
        <v>1229</v>
      </c>
      <c r="L1567" s="129" t="s">
        <v>1228</v>
      </c>
      <c r="M1567" s="130" t="str" cm="1">
        <f t="array" ref="M1567">IFERROR(INDEX(CategoriesTable[Category type],MATCH(Table1[[#This Row],[Category]],CategoriesTable[Category name],0),0),"")</f>
        <v>Expense</v>
      </c>
      <c r="N1567" s="130" t="str" cm="1">
        <f t="array" ref="N1567">IFERROR(INDEX(SubcategoriesTable[Subcategory name],MATCH(Table1[[#This Row],[Category]],SubcategoriesTable[Category name],0),0),"")</f>
        <v>Variable</v>
      </c>
      <c r="O1567" s="130">
        <v>29</v>
      </c>
      <c r="P1567" s="130">
        <f>MONTH(Table1[[#This Row],[Date]])</f>
        <v>9</v>
      </c>
      <c r="Q1567" s="130">
        <v>2019</v>
      </c>
      <c r="R1567" s="166">
        <f>IF(ISBLANK(Table1[[#This Row],[Date]]),"",Table1[[#This Row],[Date]]-WEEKDAY(Table1[[#This Row],[Date]],2)+1)</f>
        <v>43731</v>
      </c>
      <c r="S1567" s="131">
        <f>IF(ISBLANK(Table1[[#This Row],[Date]]),"",DATE(Table1[[#This Row],[Date_Year]],Table1[[#This Row],[Date_Month]],1))</f>
        <v>43709</v>
      </c>
    </row>
    <row r="1568" spans="2:19" ht="15.75" x14ac:dyDescent="0.25">
      <c r="B1568" s="133">
        <v>43737</v>
      </c>
      <c r="C1568" s="128" t="s">
        <v>1071</v>
      </c>
      <c r="D1568" s="128" t="s">
        <v>45</v>
      </c>
      <c r="E1568" s="128" t="str" cm="1">
        <f t="array" ref="E1568">IFERROR(INDEX(SubcategoriesTable[Subcategory name],MATCH(Table1[[#This Row],[Category]],SubcategoriesTable[Category name],0),0),"")</f>
        <v>Variable</v>
      </c>
      <c r="F1568" s="134">
        <v>-14.48</v>
      </c>
      <c r="G1568" s="167" t="str">
        <f>_xlfn.XLOOKUP(Table1[[#This Row],[Account_ID]], Accounts[ID], Accounts[Account nickname], "Unknown")</f>
        <v>EVERYDAY CHECKING</v>
      </c>
      <c r="H1568" s="137" t="str">
        <f>_xlfn.XLOOKUP(Table1[[#This Row],[Account_ID]], Accounts[ID], Accounts[Account'#], "Unknown")</f>
        <v>4636</v>
      </c>
      <c r="I1568" s="168" t="str">
        <f>_xlfn.XLOOKUP(Table1[[#This Row],[Institution_ID]], Institutions[ID], Institutions[Institution nickname], "Unknown")</f>
        <v>Wells Fargo</v>
      </c>
      <c r="J1568" s="139" t="s">
        <v>2317</v>
      </c>
      <c r="K1568" s="129" t="s">
        <v>1229</v>
      </c>
      <c r="L1568" s="129" t="s">
        <v>1228</v>
      </c>
      <c r="M1568" s="130" t="str" cm="1">
        <f t="array" ref="M1568">IFERROR(INDEX(CategoriesTable[Category type],MATCH(Table1[[#This Row],[Category]],CategoriesTable[Category name],0),0),"")</f>
        <v>Expense</v>
      </c>
      <c r="N1568" s="130" t="str" cm="1">
        <f t="array" ref="N1568">IFERROR(INDEX(SubcategoriesTable[Subcategory name],MATCH(Table1[[#This Row],[Category]],SubcategoriesTable[Category name],0),0),"")</f>
        <v>Variable</v>
      </c>
      <c r="O1568" s="130">
        <v>29</v>
      </c>
      <c r="P1568" s="130">
        <f>MONTH(Table1[[#This Row],[Date]])</f>
        <v>9</v>
      </c>
      <c r="Q1568" s="130">
        <v>2019</v>
      </c>
      <c r="R1568" s="166">
        <f>IF(ISBLANK(Table1[[#This Row],[Date]]),"",Table1[[#This Row],[Date]]-WEEKDAY(Table1[[#This Row],[Date]],2)+1)</f>
        <v>43731</v>
      </c>
      <c r="S1568" s="131">
        <f>IF(ISBLANK(Table1[[#This Row],[Date]]),"",DATE(Table1[[#This Row],[Date_Year]],Table1[[#This Row],[Date_Month]],1))</f>
        <v>43709</v>
      </c>
    </row>
    <row r="1569" spans="2:19" ht="15.75" x14ac:dyDescent="0.25">
      <c r="B1569" s="133">
        <v>43737</v>
      </c>
      <c r="C1569" s="128" t="s">
        <v>115</v>
      </c>
      <c r="D1569" s="128" t="s">
        <v>48</v>
      </c>
      <c r="E1569" s="128" t="str" cm="1">
        <f t="array" ref="E1569">IFERROR(INDEX(SubcategoriesTable[Subcategory name],MATCH(Table1[[#This Row],[Category]],SubcategoriesTable[Category name],0),0),"")</f>
        <v>Variable</v>
      </c>
      <c r="F1569" s="134">
        <v>-85.75</v>
      </c>
      <c r="G1569" s="167" t="str">
        <f>_xlfn.XLOOKUP(Table1[[#This Row],[Account_ID]], Accounts[ID], Accounts[Account nickname], "Unknown")</f>
        <v>EVERYDAY CHECKING</v>
      </c>
      <c r="H1569" s="137" t="str">
        <f>_xlfn.XLOOKUP(Table1[[#This Row],[Account_ID]], Accounts[ID], Accounts[Account'#], "Unknown")</f>
        <v>4636</v>
      </c>
      <c r="I1569" s="168" t="str">
        <f>_xlfn.XLOOKUP(Table1[[#This Row],[Institution_ID]], Institutions[ID], Institutions[Institution nickname], "Unknown")</f>
        <v>Wells Fargo</v>
      </c>
      <c r="J1569" s="139" t="s">
        <v>2318</v>
      </c>
      <c r="K1569" s="129" t="s">
        <v>1229</v>
      </c>
      <c r="L1569" s="129" t="s">
        <v>1228</v>
      </c>
      <c r="M1569" s="130" t="str" cm="1">
        <f t="array" ref="M1569">IFERROR(INDEX(CategoriesTable[Category type],MATCH(Table1[[#This Row],[Category]],CategoriesTable[Category name],0),0),"")</f>
        <v>Expense</v>
      </c>
      <c r="N1569" s="130" t="str" cm="1">
        <f t="array" ref="N1569">IFERROR(INDEX(SubcategoriesTable[Subcategory name],MATCH(Table1[[#This Row],[Category]],SubcategoriesTable[Category name],0),0),"")</f>
        <v>Variable</v>
      </c>
      <c r="O1569" s="130">
        <v>29</v>
      </c>
      <c r="P1569" s="130">
        <f>MONTH(Table1[[#This Row],[Date]])</f>
        <v>9</v>
      </c>
      <c r="Q1569" s="130">
        <v>2019</v>
      </c>
      <c r="R1569" s="166">
        <f>IF(ISBLANK(Table1[[#This Row],[Date]]),"",Table1[[#This Row],[Date]]-WEEKDAY(Table1[[#This Row],[Date]],2)+1)</f>
        <v>43731</v>
      </c>
      <c r="S1569" s="131">
        <f>IF(ISBLANK(Table1[[#This Row],[Date]]),"",DATE(Table1[[#This Row],[Date_Year]],Table1[[#This Row],[Date_Month]],1))</f>
        <v>43709</v>
      </c>
    </row>
    <row r="1570" spans="2:19" ht="15.75" x14ac:dyDescent="0.25">
      <c r="B1570" s="133">
        <v>43737</v>
      </c>
      <c r="C1570" s="128" t="s">
        <v>115</v>
      </c>
      <c r="D1570" s="128" t="s">
        <v>48</v>
      </c>
      <c r="E1570" s="128" t="str" cm="1">
        <f t="array" ref="E1570">IFERROR(INDEX(SubcategoriesTable[Subcategory name],MATCH(Table1[[#This Row],[Category]],SubcategoriesTable[Category name],0),0),"")</f>
        <v>Variable</v>
      </c>
      <c r="F1570" s="134">
        <v>-170.66</v>
      </c>
      <c r="G1570" s="167" t="str">
        <f>_xlfn.XLOOKUP(Table1[[#This Row],[Account_ID]], Accounts[ID], Accounts[Account nickname], "Unknown")</f>
        <v>EVERYDAY CHECKING</v>
      </c>
      <c r="H1570" s="137" t="str">
        <f>_xlfn.XLOOKUP(Table1[[#This Row],[Account_ID]], Accounts[ID], Accounts[Account'#], "Unknown")</f>
        <v>4636</v>
      </c>
      <c r="I1570" s="168" t="str">
        <f>_xlfn.XLOOKUP(Table1[[#This Row],[Institution_ID]], Institutions[ID], Institutions[Institution nickname], "Unknown")</f>
        <v>Wells Fargo</v>
      </c>
      <c r="J1570" s="139" t="s">
        <v>2319</v>
      </c>
      <c r="K1570" s="129" t="s">
        <v>1229</v>
      </c>
      <c r="L1570" s="129" t="s">
        <v>1228</v>
      </c>
      <c r="M1570" s="130" t="str" cm="1">
        <f t="array" ref="M1570">IFERROR(INDEX(CategoriesTable[Category type],MATCH(Table1[[#This Row],[Category]],CategoriesTable[Category name],0),0),"")</f>
        <v>Expense</v>
      </c>
      <c r="N1570" s="130" t="str" cm="1">
        <f t="array" ref="N1570">IFERROR(INDEX(SubcategoriesTable[Subcategory name],MATCH(Table1[[#This Row],[Category]],SubcategoriesTable[Category name],0),0),"")</f>
        <v>Variable</v>
      </c>
      <c r="O1570" s="130">
        <v>29</v>
      </c>
      <c r="P1570" s="130">
        <f>MONTH(Table1[[#This Row],[Date]])</f>
        <v>9</v>
      </c>
      <c r="Q1570" s="130">
        <v>2019</v>
      </c>
      <c r="R1570" s="166">
        <f>IF(ISBLANK(Table1[[#This Row],[Date]]),"",Table1[[#This Row],[Date]]-WEEKDAY(Table1[[#This Row],[Date]],2)+1)</f>
        <v>43731</v>
      </c>
      <c r="S1570" s="131">
        <f>IF(ISBLANK(Table1[[#This Row],[Date]]),"",DATE(Table1[[#This Row],[Date_Year]],Table1[[#This Row],[Date_Month]],1))</f>
        <v>43709</v>
      </c>
    </row>
    <row r="1571" spans="2:19" ht="15.75" x14ac:dyDescent="0.25">
      <c r="B1571" s="133">
        <v>43737</v>
      </c>
      <c r="C1571" s="128" t="s">
        <v>239</v>
      </c>
      <c r="D1571" s="128" t="s">
        <v>52</v>
      </c>
      <c r="E1571" s="128" t="str" cm="1">
        <f t="array" ref="E1571">IFERROR(INDEX(SubcategoriesTable[Subcategory name],MATCH(Table1[[#This Row],[Category]],SubcategoriesTable[Category name],0),0),"")</f>
        <v>Variable</v>
      </c>
      <c r="F1571" s="134">
        <v>-23.49</v>
      </c>
      <c r="G1571" s="167" t="str">
        <f>_xlfn.XLOOKUP(Table1[[#This Row],[Account_ID]], Accounts[ID], Accounts[Account nickname], "Unknown")</f>
        <v>Discover it chrome Card</v>
      </c>
      <c r="H1571" s="137" t="str">
        <f>_xlfn.XLOOKUP(Table1[[#This Row],[Account_ID]], Accounts[ID], Accounts[Account'#], "Unknown")</f>
        <v>7328</v>
      </c>
      <c r="I1571" s="168" t="str">
        <f>_xlfn.XLOOKUP(Table1[[#This Row],[Institution_ID]], Institutions[ID], Institutions[Institution nickname], "Unknown")</f>
        <v>Discover</v>
      </c>
      <c r="J1571" s="139" t="s">
        <v>1076</v>
      </c>
      <c r="K1571" s="129" t="s">
        <v>110</v>
      </c>
      <c r="L1571" s="129" t="s">
        <v>108</v>
      </c>
      <c r="M1571" s="130" t="str" cm="1">
        <f t="array" ref="M1571">IFERROR(INDEX(CategoriesTable[Category type],MATCH(Table1[[#This Row],[Category]],CategoriesTable[Category name],0),0),"")</f>
        <v>Expense</v>
      </c>
      <c r="N1571" s="130" t="str" cm="1">
        <f t="array" ref="N1571">IFERROR(INDEX(SubcategoriesTable[Subcategory name],MATCH(Table1[[#This Row],[Category]],SubcategoriesTable[Category name],0),0),"")</f>
        <v>Variable</v>
      </c>
      <c r="O1571" s="130">
        <v>29</v>
      </c>
      <c r="P1571" s="130">
        <f>MONTH(Table1[[#This Row],[Date]])</f>
        <v>9</v>
      </c>
      <c r="Q1571" s="130">
        <v>2019</v>
      </c>
      <c r="R1571" s="166">
        <f>IF(ISBLANK(Table1[[#This Row],[Date]]),"",Table1[[#This Row],[Date]]-WEEKDAY(Table1[[#This Row],[Date]],2)+1)</f>
        <v>43731</v>
      </c>
      <c r="S1571" s="131">
        <f>IF(ISBLANK(Table1[[#This Row],[Date]]),"",DATE(Table1[[#This Row],[Date_Year]],Table1[[#This Row],[Date_Month]],1))</f>
        <v>43709</v>
      </c>
    </row>
    <row r="1572" spans="2:19" ht="15.75" x14ac:dyDescent="0.25">
      <c r="B1572" s="133">
        <v>43737</v>
      </c>
      <c r="C1572" s="128" t="s">
        <v>1077</v>
      </c>
      <c r="D1572" s="128" t="s">
        <v>60</v>
      </c>
      <c r="E1572" s="128" t="str" cm="1">
        <f t="array" ref="E1572">IFERROR(INDEX(SubcategoriesTable[Subcategory name],MATCH(Table1[[#This Row],[Category]],SubcategoriesTable[Category name],0),0),"")</f>
        <v>Variable</v>
      </c>
      <c r="F1572" s="134">
        <v>-51</v>
      </c>
      <c r="G1572" s="167" t="str">
        <f>_xlfn.XLOOKUP(Table1[[#This Row],[Account_ID]], Accounts[ID], Accounts[Account nickname], "Unknown")</f>
        <v>Discover it chrome Card</v>
      </c>
      <c r="H1572" s="137" t="str">
        <f>_xlfn.XLOOKUP(Table1[[#This Row],[Account_ID]], Accounts[ID], Accounts[Account'#], "Unknown")</f>
        <v>7328</v>
      </c>
      <c r="I1572" s="168" t="str">
        <f>_xlfn.XLOOKUP(Table1[[#This Row],[Institution_ID]], Institutions[ID], Institutions[Institution nickname], "Unknown")</f>
        <v>Discover</v>
      </c>
      <c r="J1572" s="139" t="s">
        <v>1078</v>
      </c>
      <c r="K1572" s="129" t="s">
        <v>110</v>
      </c>
      <c r="L1572" s="129" t="s">
        <v>108</v>
      </c>
      <c r="M1572" s="130" t="str" cm="1">
        <f t="array" ref="M1572">IFERROR(INDEX(CategoriesTable[Category type],MATCH(Table1[[#This Row],[Category]],CategoriesTable[Category name],0),0),"")</f>
        <v>Expense</v>
      </c>
      <c r="N1572" s="130" t="str" cm="1">
        <f t="array" ref="N1572">IFERROR(INDEX(SubcategoriesTable[Subcategory name],MATCH(Table1[[#This Row],[Category]],SubcategoriesTable[Category name],0),0),"")</f>
        <v>Variable</v>
      </c>
      <c r="O1572" s="130">
        <v>29</v>
      </c>
      <c r="P1572" s="130">
        <f>MONTH(Table1[[#This Row],[Date]])</f>
        <v>9</v>
      </c>
      <c r="Q1572" s="130">
        <v>2019</v>
      </c>
      <c r="R1572" s="166">
        <f>IF(ISBLANK(Table1[[#This Row],[Date]]),"",Table1[[#This Row],[Date]]-WEEKDAY(Table1[[#This Row],[Date]],2)+1)</f>
        <v>43731</v>
      </c>
      <c r="S1572" s="131">
        <f>IF(ISBLANK(Table1[[#This Row],[Date]]),"",DATE(Table1[[#This Row],[Date_Year]],Table1[[#This Row],[Date_Month]],1))</f>
        <v>43709</v>
      </c>
    </row>
    <row r="1573" spans="2:19" ht="15.75" x14ac:dyDescent="0.25">
      <c r="B1573" s="133">
        <v>43736</v>
      </c>
      <c r="C1573" s="128" t="s">
        <v>2320</v>
      </c>
      <c r="D1573" s="128" t="s">
        <v>45</v>
      </c>
      <c r="E1573" s="128" t="str" cm="1">
        <f t="array" ref="E1573">IFERROR(INDEX(SubcategoriesTable[Subcategory name],MATCH(Table1[[#This Row],[Category]],SubcategoriesTable[Category name],0),0),"")</f>
        <v>Variable</v>
      </c>
      <c r="F1573" s="134">
        <v>-17.27</v>
      </c>
      <c r="G1573" s="167" t="str">
        <f>_xlfn.XLOOKUP(Table1[[#This Row],[Account_ID]], Accounts[ID], Accounts[Account nickname], "Unknown")</f>
        <v>EVERYDAY CHECKING</v>
      </c>
      <c r="H1573" s="137" t="str">
        <f>_xlfn.XLOOKUP(Table1[[#This Row],[Account_ID]], Accounts[ID], Accounts[Account'#], "Unknown")</f>
        <v>4636</v>
      </c>
      <c r="I1573" s="168" t="str">
        <f>_xlfn.XLOOKUP(Table1[[#This Row],[Institution_ID]], Institutions[ID], Institutions[Institution nickname], "Unknown")</f>
        <v>Wells Fargo</v>
      </c>
      <c r="J1573" s="139" t="s">
        <v>2321</v>
      </c>
      <c r="K1573" s="129" t="s">
        <v>1229</v>
      </c>
      <c r="L1573" s="129" t="s">
        <v>1228</v>
      </c>
      <c r="M1573" s="130" t="str" cm="1">
        <f t="array" ref="M1573">IFERROR(INDEX(CategoriesTable[Category type],MATCH(Table1[[#This Row],[Category]],CategoriesTable[Category name],0),0),"")</f>
        <v>Expense</v>
      </c>
      <c r="N1573" s="130" t="str" cm="1">
        <f t="array" ref="N1573">IFERROR(INDEX(SubcategoriesTable[Subcategory name],MATCH(Table1[[#This Row],[Category]],SubcategoriesTable[Category name],0),0),"")</f>
        <v>Variable</v>
      </c>
      <c r="O1573" s="130">
        <v>28</v>
      </c>
      <c r="P1573" s="130">
        <f>MONTH(Table1[[#This Row],[Date]])</f>
        <v>9</v>
      </c>
      <c r="Q1573" s="130">
        <v>2019</v>
      </c>
      <c r="R1573" s="166">
        <f>IF(ISBLANK(Table1[[#This Row],[Date]]),"",Table1[[#This Row],[Date]]-WEEKDAY(Table1[[#This Row],[Date]],2)+1)</f>
        <v>43731</v>
      </c>
      <c r="S1573" s="131">
        <f>IF(ISBLANK(Table1[[#This Row],[Date]]),"",DATE(Table1[[#This Row],[Date_Year]],Table1[[#This Row],[Date_Month]],1))</f>
        <v>43709</v>
      </c>
    </row>
    <row r="1574" spans="2:19" ht="15.75" x14ac:dyDescent="0.25">
      <c r="B1574" s="133">
        <v>43736</v>
      </c>
      <c r="C1574" s="128" t="s">
        <v>2322</v>
      </c>
      <c r="D1574" s="128" t="s">
        <v>45</v>
      </c>
      <c r="E1574" s="128" t="str" cm="1">
        <f t="array" ref="E1574">IFERROR(INDEX(SubcategoriesTable[Subcategory name],MATCH(Table1[[#This Row],[Category]],SubcategoriesTable[Category name],0),0),"")</f>
        <v>Variable</v>
      </c>
      <c r="F1574" s="134">
        <v>-30.25</v>
      </c>
      <c r="G1574" s="167" t="str">
        <f>_xlfn.XLOOKUP(Table1[[#This Row],[Account_ID]], Accounts[ID], Accounts[Account nickname], "Unknown")</f>
        <v>EVERYDAY CHECKING</v>
      </c>
      <c r="H1574" s="137" t="str">
        <f>_xlfn.XLOOKUP(Table1[[#This Row],[Account_ID]], Accounts[ID], Accounts[Account'#], "Unknown")</f>
        <v>4636</v>
      </c>
      <c r="I1574" s="168" t="str">
        <f>_xlfn.XLOOKUP(Table1[[#This Row],[Institution_ID]], Institutions[ID], Institutions[Institution nickname], "Unknown")</f>
        <v>Wells Fargo</v>
      </c>
      <c r="J1574" s="139" t="s">
        <v>2323</v>
      </c>
      <c r="K1574" s="129" t="s">
        <v>1229</v>
      </c>
      <c r="L1574" s="129" t="s">
        <v>1228</v>
      </c>
      <c r="M1574" s="130" t="str" cm="1">
        <f t="array" ref="M1574">IFERROR(INDEX(CategoriesTable[Category type],MATCH(Table1[[#This Row],[Category]],CategoriesTable[Category name],0),0),"")</f>
        <v>Expense</v>
      </c>
      <c r="N1574" s="130" t="str" cm="1">
        <f t="array" ref="N1574">IFERROR(INDEX(SubcategoriesTable[Subcategory name],MATCH(Table1[[#This Row],[Category]],SubcategoriesTable[Category name],0),0),"")</f>
        <v>Variable</v>
      </c>
      <c r="O1574" s="130">
        <v>28</v>
      </c>
      <c r="P1574" s="130">
        <f>MONTH(Table1[[#This Row],[Date]])</f>
        <v>9</v>
      </c>
      <c r="Q1574" s="130">
        <v>2019</v>
      </c>
      <c r="R1574" s="166">
        <f>IF(ISBLANK(Table1[[#This Row],[Date]]),"",Table1[[#This Row],[Date]]-WEEKDAY(Table1[[#This Row],[Date]],2)+1)</f>
        <v>43731</v>
      </c>
      <c r="S1574" s="131">
        <f>IF(ISBLANK(Table1[[#This Row],[Date]]),"",DATE(Table1[[#This Row],[Date_Year]],Table1[[#This Row],[Date_Month]],1))</f>
        <v>43709</v>
      </c>
    </row>
    <row r="1575" spans="2:19" ht="15.75" x14ac:dyDescent="0.25">
      <c r="B1575" s="133">
        <v>43736</v>
      </c>
      <c r="C1575" s="128" t="s">
        <v>2324</v>
      </c>
      <c r="D1575" s="128" t="s">
        <v>48</v>
      </c>
      <c r="E1575" s="128" t="str" cm="1">
        <f t="array" ref="E1575">IFERROR(INDEX(SubcategoriesTable[Subcategory name],MATCH(Table1[[#This Row],[Category]],SubcategoriesTable[Category name],0),0),"")</f>
        <v>Variable</v>
      </c>
      <c r="F1575" s="134">
        <v>-222.23</v>
      </c>
      <c r="G1575" s="167" t="str">
        <f>_xlfn.XLOOKUP(Table1[[#This Row],[Account_ID]], Accounts[ID], Accounts[Account nickname], "Unknown")</f>
        <v>EVERYDAY CHECKING</v>
      </c>
      <c r="H1575" s="137" t="str">
        <f>_xlfn.XLOOKUP(Table1[[#This Row],[Account_ID]], Accounts[ID], Accounts[Account'#], "Unknown")</f>
        <v>4636</v>
      </c>
      <c r="I1575" s="168" t="str">
        <f>_xlfn.XLOOKUP(Table1[[#This Row],[Institution_ID]], Institutions[ID], Institutions[Institution nickname], "Unknown")</f>
        <v>Wells Fargo</v>
      </c>
      <c r="J1575" s="139" t="s">
        <v>2325</v>
      </c>
      <c r="K1575" s="129" t="s">
        <v>1229</v>
      </c>
      <c r="L1575" s="129" t="s">
        <v>1228</v>
      </c>
      <c r="M1575" s="130" t="str" cm="1">
        <f t="array" ref="M1575">IFERROR(INDEX(CategoriesTable[Category type],MATCH(Table1[[#This Row],[Category]],CategoriesTable[Category name],0),0),"")</f>
        <v>Expense</v>
      </c>
      <c r="N1575" s="130" t="str" cm="1">
        <f t="array" ref="N1575">IFERROR(INDEX(SubcategoriesTable[Subcategory name],MATCH(Table1[[#This Row],[Category]],SubcategoriesTable[Category name],0),0),"")</f>
        <v>Variable</v>
      </c>
      <c r="O1575" s="130">
        <v>28</v>
      </c>
      <c r="P1575" s="130">
        <f>MONTH(Table1[[#This Row],[Date]])</f>
        <v>9</v>
      </c>
      <c r="Q1575" s="130">
        <v>2019</v>
      </c>
      <c r="R1575" s="166">
        <f>IF(ISBLANK(Table1[[#This Row],[Date]]),"",Table1[[#This Row],[Date]]-WEEKDAY(Table1[[#This Row],[Date]],2)+1)</f>
        <v>43731</v>
      </c>
      <c r="S1575" s="131">
        <f>IF(ISBLANK(Table1[[#This Row],[Date]]),"",DATE(Table1[[#This Row],[Date_Year]],Table1[[#This Row],[Date_Month]],1))</f>
        <v>43709</v>
      </c>
    </row>
    <row r="1576" spans="2:19" ht="15.75" x14ac:dyDescent="0.25">
      <c r="B1576" s="133">
        <v>43736</v>
      </c>
      <c r="C1576" s="128" t="s">
        <v>1079</v>
      </c>
      <c r="D1576" s="128" t="s">
        <v>52</v>
      </c>
      <c r="E1576" s="128" t="str" cm="1">
        <f t="array" ref="E1576">IFERROR(INDEX(SubcategoriesTable[Subcategory name],MATCH(Table1[[#This Row],[Category]],SubcategoriesTable[Category name],0),0),"")</f>
        <v>Variable</v>
      </c>
      <c r="F1576" s="134">
        <v>-45.24</v>
      </c>
      <c r="G1576" s="167" t="str">
        <f>_xlfn.XLOOKUP(Table1[[#This Row],[Account_ID]], Accounts[ID], Accounts[Account nickname], "Unknown")</f>
        <v>Discover it chrome Card</v>
      </c>
      <c r="H1576" s="137" t="str">
        <f>_xlfn.XLOOKUP(Table1[[#This Row],[Account_ID]], Accounts[ID], Accounts[Account'#], "Unknown")</f>
        <v>7328</v>
      </c>
      <c r="I1576" s="168" t="str">
        <f>_xlfn.XLOOKUP(Table1[[#This Row],[Institution_ID]], Institutions[ID], Institutions[Institution nickname], "Unknown")</f>
        <v>Discover</v>
      </c>
      <c r="J1576" s="139" t="s">
        <v>1080</v>
      </c>
      <c r="K1576" s="129" t="s">
        <v>110</v>
      </c>
      <c r="L1576" s="129" t="s">
        <v>108</v>
      </c>
      <c r="M1576" s="130" t="str" cm="1">
        <f t="array" ref="M1576">IFERROR(INDEX(CategoriesTable[Category type],MATCH(Table1[[#This Row],[Category]],CategoriesTable[Category name],0),0),"")</f>
        <v>Expense</v>
      </c>
      <c r="N1576" s="130" t="str" cm="1">
        <f t="array" ref="N1576">IFERROR(INDEX(SubcategoriesTable[Subcategory name],MATCH(Table1[[#This Row],[Category]],SubcategoriesTable[Category name],0),0),"")</f>
        <v>Variable</v>
      </c>
      <c r="O1576" s="130">
        <v>28</v>
      </c>
      <c r="P1576" s="130">
        <f>MONTH(Table1[[#This Row],[Date]])</f>
        <v>9</v>
      </c>
      <c r="Q1576" s="130">
        <v>2019</v>
      </c>
      <c r="R1576" s="166">
        <f>IF(ISBLANK(Table1[[#This Row],[Date]]),"",Table1[[#This Row],[Date]]-WEEKDAY(Table1[[#This Row],[Date]],2)+1)</f>
        <v>43731</v>
      </c>
      <c r="S1576" s="131">
        <f>IF(ISBLANK(Table1[[#This Row],[Date]]),"",DATE(Table1[[#This Row],[Date_Year]],Table1[[#This Row],[Date_Month]],1))</f>
        <v>43709</v>
      </c>
    </row>
    <row r="1577" spans="2:19" ht="15.75" x14ac:dyDescent="0.25">
      <c r="B1577" s="133">
        <v>43736</v>
      </c>
      <c r="C1577" s="128" t="s">
        <v>1081</v>
      </c>
      <c r="D1577" s="128" t="s">
        <v>58</v>
      </c>
      <c r="E1577" s="128" t="str" cm="1">
        <f t="array" ref="E1577">IFERROR(INDEX(SubcategoriesTable[Subcategory name],MATCH(Table1[[#This Row],[Category]],SubcategoriesTable[Category name],0),0),"")</f>
        <v>Fixed</v>
      </c>
      <c r="F1577" s="134">
        <v>-43.3</v>
      </c>
      <c r="G1577" s="167" t="str">
        <f>_xlfn.XLOOKUP(Table1[[#This Row],[Account_ID]], Accounts[ID], Accounts[Account nickname], "Unknown")</f>
        <v>Discover it chrome Card</v>
      </c>
      <c r="H1577" s="137" t="str">
        <f>_xlfn.XLOOKUP(Table1[[#This Row],[Account_ID]], Accounts[ID], Accounts[Account'#], "Unknown")</f>
        <v>7328</v>
      </c>
      <c r="I1577" s="168" t="str">
        <f>_xlfn.XLOOKUP(Table1[[#This Row],[Institution_ID]], Institutions[ID], Institutions[Institution nickname], "Unknown")</f>
        <v>Discover</v>
      </c>
      <c r="J1577" s="139" t="s">
        <v>1082</v>
      </c>
      <c r="K1577" s="129" t="s">
        <v>110</v>
      </c>
      <c r="L1577" s="129" t="s">
        <v>108</v>
      </c>
      <c r="M1577" s="130" t="str" cm="1">
        <f t="array" ref="M1577">IFERROR(INDEX(CategoriesTable[Category type],MATCH(Table1[[#This Row],[Category]],CategoriesTable[Category name],0),0),"")</f>
        <v>Expense</v>
      </c>
      <c r="N1577" s="130" t="str" cm="1">
        <f t="array" ref="N1577">IFERROR(INDEX(SubcategoriesTable[Subcategory name],MATCH(Table1[[#This Row],[Category]],SubcategoriesTable[Category name],0),0),"")</f>
        <v>Fixed</v>
      </c>
      <c r="O1577" s="130">
        <v>28</v>
      </c>
      <c r="P1577" s="130">
        <f>MONTH(Table1[[#This Row],[Date]])</f>
        <v>9</v>
      </c>
      <c r="Q1577" s="130">
        <v>2019</v>
      </c>
      <c r="R1577" s="166">
        <f>IF(ISBLANK(Table1[[#This Row],[Date]]),"",Table1[[#This Row],[Date]]-WEEKDAY(Table1[[#This Row],[Date]],2)+1)</f>
        <v>43731</v>
      </c>
      <c r="S1577" s="131">
        <f>IF(ISBLANK(Table1[[#This Row],[Date]]),"",DATE(Table1[[#This Row],[Date_Year]],Table1[[#This Row],[Date_Month]],1))</f>
        <v>43709</v>
      </c>
    </row>
    <row r="1578" spans="2:19" ht="15.75" x14ac:dyDescent="0.25">
      <c r="B1578" s="133">
        <v>43735</v>
      </c>
      <c r="C1578" s="128" t="s">
        <v>531</v>
      </c>
      <c r="D1578" s="128" t="s">
        <v>54</v>
      </c>
      <c r="E1578" s="128" t="str" cm="1">
        <f t="array" ref="E1578">IFERROR(INDEX(SubcategoriesTable[Subcategory name],MATCH(Table1[[#This Row],[Category]],SubcategoriesTable[Category name],0),0),"")</f>
        <v>Fixed</v>
      </c>
      <c r="F1578" s="134">
        <v>-3</v>
      </c>
      <c r="G1578" s="167" t="str">
        <f>_xlfn.XLOOKUP(Table1[[#This Row],[Account_ID]], Accounts[ID], Accounts[Account nickname], "Unknown")</f>
        <v>EVERYDAY CHECKING</v>
      </c>
      <c r="H1578" s="137" t="str">
        <f>_xlfn.XLOOKUP(Table1[[#This Row],[Account_ID]], Accounts[ID], Accounts[Account'#], "Unknown")</f>
        <v>4636</v>
      </c>
      <c r="I1578" s="168" t="str">
        <f>_xlfn.XLOOKUP(Table1[[#This Row],[Institution_ID]], Institutions[ID], Institutions[Institution nickname], "Unknown")</f>
        <v>Wells Fargo</v>
      </c>
      <c r="J1578" s="139" t="s">
        <v>2326</v>
      </c>
      <c r="K1578" s="129" t="s">
        <v>1229</v>
      </c>
      <c r="L1578" s="129" t="s">
        <v>1228</v>
      </c>
      <c r="M1578" s="130" t="str" cm="1">
        <f t="array" ref="M1578">IFERROR(INDEX(CategoriesTable[Category type],MATCH(Table1[[#This Row],[Category]],CategoriesTable[Category name],0),0),"")</f>
        <v>Expense</v>
      </c>
      <c r="N1578" s="130" t="str" cm="1">
        <f t="array" ref="N1578">IFERROR(INDEX(SubcategoriesTable[Subcategory name],MATCH(Table1[[#This Row],[Category]],SubcategoriesTable[Category name],0),0),"")</f>
        <v>Fixed</v>
      </c>
      <c r="O1578" s="130">
        <v>27</v>
      </c>
      <c r="P1578" s="130">
        <f>MONTH(Table1[[#This Row],[Date]])</f>
        <v>9</v>
      </c>
      <c r="Q1578" s="130">
        <v>2019</v>
      </c>
      <c r="R1578" s="166">
        <f>IF(ISBLANK(Table1[[#This Row],[Date]]),"",Table1[[#This Row],[Date]]-WEEKDAY(Table1[[#This Row],[Date]],2)+1)</f>
        <v>43731</v>
      </c>
      <c r="S1578" s="131">
        <f>IF(ISBLANK(Table1[[#This Row],[Date]]),"",DATE(Table1[[#This Row],[Date_Year]],Table1[[#This Row],[Date_Month]],1))</f>
        <v>43709</v>
      </c>
    </row>
    <row r="1579" spans="2:19" ht="15.75" x14ac:dyDescent="0.25">
      <c r="B1579" s="133">
        <v>43735</v>
      </c>
      <c r="C1579" s="128" t="s">
        <v>1461</v>
      </c>
      <c r="D1579" s="128" t="s">
        <v>50</v>
      </c>
      <c r="E1579" s="128" t="str" cm="1">
        <f t="array" ref="E1579">IFERROR(INDEX(SubcategoriesTable[Subcategory name],MATCH(Table1[[#This Row],[Category]],SubcategoriesTable[Category name],0),0),"")</f>
        <v>Variable</v>
      </c>
      <c r="F1579" s="134">
        <v>-100</v>
      </c>
      <c r="G1579" s="167" t="str">
        <f>_xlfn.XLOOKUP(Table1[[#This Row],[Account_ID]], Accounts[ID], Accounts[Account nickname], "Unknown")</f>
        <v>EVERYDAY CHECKING</v>
      </c>
      <c r="H1579" s="137" t="str">
        <f>_xlfn.XLOOKUP(Table1[[#This Row],[Account_ID]], Accounts[ID], Accounts[Account'#], "Unknown")</f>
        <v>4636</v>
      </c>
      <c r="I1579" s="168" t="str">
        <f>_xlfn.XLOOKUP(Table1[[#This Row],[Institution_ID]], Institutions[ID], Institutions[Institution nickname], "Unknown")</f>
        <v>Wells Fargo</v>
      </c>
      <c r="J1579" s="139" t="s">
        <v>2327</v>
      </c>
      <c r="K1579" s="129" t="s">
        <v>1229</v>
      </c>
      <c r="L1579" s="129" t="s">
        <v>1228</v>
      </c>
      <c r="M1579" s="130" t="str" cm="1">
        <f t="array" ref="M1579">IFERROR(INDEX(CategoriesTable[Category type],MATCH(Table1[[#This Row],[Category]],CategoriesTable[Category name],0),0),"")</f>
        <v>Transfer</v>
      </c>
      <c r="N1579" s="130" t="str" cm="1">
        <f t="array" ref="N1579">IFERROR(INDEX(SubcategoriesTable[Subcategory name],MATCH(Table1[[#This Row],[Category]],SubcategoriesTable[Category name],0),0),"")</f>
        <v>Variable</v>
      </c>
      <c r="O1579" s="130">
        <v>27</v>
      </c>
      <c r="P1579" s="130">
        <f>MONTH(Table1[[#This Row],[Date]])</f>
        <v>9</v>
      </c>
      <c r="Q1579" s="130">
        <v>2019</v>
      </c>
      <c r="R1579" s="166">
        <f>IF(ISBLANK(Table1[[#This Row],[Date]]),"",Table1[[#This Row],[Date]]-WEEKDAY(Table1[[#This Row],[Date]],2)+1)</f>
        <v>43731</v>
      </c>
      <c r="S1579" s="131">
        <f>IF(ISBLANK(Table1[[#This Row],[Date]]),"",DATE(Table1[[#This Row],[Date_Year]],Table1[[#This Row],[Date_Month]],1))</f>
        <v>43709</v>
      </c>
    </row>
    <row r="1580" spans="2:19" ht="15.75" x14ac:dyDescent="0.25">
      <c r="B1580" s="133">
        <v>43735</v>
      </c>
      <c r="C1580" s="128" t="s">
        <v>1180</v>
      </c>
      <c r="D1580" s="128" t="s">
        <v>50</v>
      </c>
      <c r="E1580" s="128" t="str" cm="1">
        <f t="array" ref="E1580">IFERROR(INDEX(SubcategoriesTable[Subcategory name],MATCH(Table1[[#This Row],[Category]],SubcategoriesTable[Category name],0),0),"")</f>
        <v>Variable</v>
      </c>
      <c r="F1580" s="134">
        <v>-196.67</v>
      </c>
      <c r="G1580" s="167" t="str">
        <f>_xlfn.XLOOKUP(Table1[[#This Row],[Account_ID]], Accounts[ID], Accounts[Account nickname], "Unknown")</f>
        <v>EVERYDAY CHECKING</v>
      </c>
      <c r="H1580" s="137" t="str">
        <f>_xlfn.XLOOKUP(Table1[[#This Row],[Account_ID]], Accounts[ID], Accounts[Account'#], "Unknown")</f>
        <v>4636</v>
      </c>
      <c r="I1580" s="168" t="str">
        <f>_xlfn.XLOOKUP(Table1[[#This Row],[Institution_ID]], Institutions[ID], Institutions[Institution nickname], "Unknown")</f>
        <v>Wells Fargo</v>
      </c>
      <c r="J1580" s="139" t="s">
        <v>2328</v>
      </c>
      <c r="K1580" s="129" t="s">
        <v>1229</v>
      </c>
      <c r="L1580" s="129" t="s">
        <v>1228</v>
      </c>
      <c r="M1580" s="130" t="str" cm="1">
        <f t="array" ref="M1580">IFERROR(INDEX(CategoriesTable[Category type],MATCH(Table1[[#This Row],[Category]],CategoriesTable[Category name],0),0),"")</f>
        <v>Transfer</v>
      </c>
      <c r="N1580" s="130" t="str" cm="1">
        <f t="array" ref="N1580">IFERROR(INDEX(SubcategoriesTable[Subcategory name],MATCH(Table1[[#This Row],[Category]],SubcategoriesTable[Category name],0),0),"")</f>
        <v>Variable</v>
      </c>
      <c r="O1580" s="130">
        <v>27</v>
      </c>
      <c r="P1580" s="130">
        <f>MONTH(Table1[[#This Row],[Date]])</f>
        <v>9</v>
      </c>
      <c r="Q1580" s="130">
        <v>2019</v>
      </c>
      <c r="R1580" s="166">
        <f>IF(ISBLANK(Table1[[#This Row],[Date]]),"",Table1[[#This Row],[Date]]-WEEKDAY(Table1[[#This Row],[Date]],2)+1)</f>
        <v>43731</v>
      </c>
      <c r="S1580" s="131">
        <f>IF(ISBLANK(Table1[[#This Row],[Date]]),"",DATE(Table1[[#This Row],[Date_Year]],Table1[[#This Row],[Date_Month]],1))</f>
        <v>43709</v>
      </c>
    </row>
    <row r="1581" spans="2:19" ht="15.75" x14ac:dyDescent="0.25">
      <c r="B1581" s="133">
        <v>43735</v>
      </c>
      <c r="C1581" s="128" t="s">
        <v>201</v>
      </c>
      <c r="D1581" s="128" t="s">
        <v>48</v>
      </c>
      <c r="E1581" s="128" t="str" cm="1">
        <f t="array" ref="E1581">IFERROR(INDEX(SubcategoriesTable[Subcategory name],MATCH(Table1[[#This Row],[Category]],SubcategoriesTable[Category name],0),0),"")</f>
        <v>Variable</v>
      </c>
      <c r="F1581" s="134">
        <v>-13.11</v>
      </c>
      <c r="G1581" s="167" t="str">
        <f>_xlfn.XLOOKUP(Table1[[#This Row],[Account_ID]], Accounts[ID], Accounts[Account nickname], "Unknown")</f>
        <v>EVERYDAY CHECKING</v>
      </c>
      <c r="H1581" s="137" t="str">
        <f>_xlfn.XLOOKUP(Table1[[#This Row],[Account_ID]], Accounts[ID], Accounts[Account'#], "Unknown")</f>
        <v>4636</v>
      </c>
      <c r="I1581" s="168" t="str">
        <f>_xlfn.XLOOKUP(Table1[[#This Row],[Institution_ID]], Institutions[ID], Institutions[Institution nickname], "Unknown")</f>
        <v>Wells Fargo</v>
      </c>
      <c r="J1581" s="139" t="s">
        <v>2329</v>
      </c>
      <c r="K1581" s="129" t="s">
        <v>1229</v>
      </c>
      <c r="L1581" s="129" t="s">
        <v>1228</v>
      </c>
      <c r="M1581" s="130" t="str" cm="1">
        <f t="array" ref="M1581">IFERROR(INDEX(CategoriesTable[Category type],MATCH(Table1[[#This Row],[Category]],CategoriesTable[Category name],0),0),"")</f>
        <v>Expense</v>
      </c>
      <c r="N1581" s="130" t="str" cm="1">
        <f t="array" ref="N1581">IFERROR(INDEX(SubcategoriesTable[Subcategory name],MATCH(Table1[[#This Row],[Category]],SubcategoriesTable[Category name],0),0),"")</f>
        <v>Variable</v>
      </c>
      <c r="O1581" s="130">
        <v>27</v>
      </c>
      <c r="P1581" s="130">
        <f>MONTH(Table1[[#This Row],[Date]])</f>
        <v>9</v>
      </c>
      <c r="Q1581" s="130">
        <v>2019</v>
      </c>
      <c r="R1581" s="166">
        <f>IF(ISBLANK(Table1[[#This Row],[Date]]),"",Table1[[#This Row],[Date]]-WEEKDAY(Table1[[#This Row],[Date]],2)+1)</f>
        <v>43731</v>
      </c>
      <c r="S1581" s="131">
        <f>IF(ISBLANK(Table1[[#This Row],[Date]]),"",DATE(Table1[[#This Row],[Date_Year]],Table1[[#This Row],[Date_Month]],1))</f>
        <v>43709</v>
      </c>
    </row>
    <row r="1582" spans="2:19" ht="15.75" x14ac:dyDescent="0.25">
      <c r="B1582" s="133">
        <v>43735</v>
      </c>
      <c r="C1582" s="128" t="s">
        <v>206</v>
      </c>
      <c r="D1582" s="128" t="s">
        <v>57</v>
      </c>
      <c r="E1582" s="128" t="str" cm="1">
        <f t="array" ref="E1582">IFERROR(INDEX(SubcategoriesTable[Subcategory name],MATCH(Table1[[#This Row],[Category]],SubcategoriesTable[Category name],0),0),"")</f>
        <v>Variable</v>
      </c>
      <c r="F1582" s="134">
        <v>3.33</v>
      </c>
      <c r="G1582" s="167" t="str">
        <f>_xlfn.XLOOKUP(Table1[[#This Row],[Account_ID]], Accounts[ID], Accounts[Account nickname], "Unknown")</f>
        <v>Discover it chrome Card</v>
      </c>
      <c r="H1582" s="137" t="str">
        <f>_xlfn.XLOOKUP(Table1[[#This Row],[Account_ID]], Accounts[ID], Accounts[Account'#], "Unknown")</f>
        <v>7328</v>
      </c>
      <c r="I1582" s="168" t="str">
        <f>_xlfn.XLOOKUP(Table1[[#This Row],[Institution_ID]], Institutions[ID], Institutions[Institution nickname], "Unknown")</f>
        <v>Discover</v>
      </c>
      <c r="J1582" s="139" t="s">
        <v>1083</v>
      </c>
      <c r="K1582" s="129" t="s">
        <v>110</v>
      </c>
      <c r="L1582" s="129" t="s">
        <v>108</v>
      </c>
      <c r="M1582" s="130" t="str" cm="1">
        <f t="array" ref="M1582">IFERROR(INDEX(CategoriesTable[Category type],MATCH(Table1[[#This Row],[Category]],CategoriesTable[Category name],0),0),"")</f>
        <v>Transfer</v>
      </c>
      <c r="N1582" s="130" t="str" cm="1">
        <f t="array" ref="N1582">IFERROR(INDEX(SubcategoriesTable[Subcategory name],MATCH(Table1[[#This Row],[Category]],SubcategoriesTable[Category name],0),0),"")</f>
        <v>Variable</v>
      </c>
      <c r="O1582" s="130">
        <v>27</v>
      </c>
      <c r="P1582" s="130">
        <f>MONTH(Table1[[#This Row],[Date]])</f>
        <v>9</v>
      </c>
      <c r="Q1582" s="130">
        <v>2019</v>
      </c>
      <c r="R1582" s="166">
        <f>IF(ISBLANK(Table1[[#This Row],[Date]]),"",Table1[[#This Row],[Date]]-WEEKDAY(Table1[[#This Row],[Date]],2)+1)</f>
        <v>43731</v>
      </c>
      <c r="S1582" s="131">
        <f>IF(ISBLANK(Table1[[#This Row],[Date]]),"",DATE(Table1[[#This Row],[Date_Year]],Table1[[#This Row],[Date_Month]],1))</f>
        <v>43709</v>
      </c>
    </row>
    <row r="1583" spans="2:19" ht="15.75" x14ac:dyDescent="0.25">
      <c r="B1583" s="133">
        <v>43735</v>
      </c>
      <c r="C1583" s="128" t="s">
        <v>113</v>
      </c>
      <c r="D1583" s="128" t="s">
        <v>50</v>
      </c>
      <c r="E1583" s="128" t="str" cm="1">
        <f t="array" ref="E1583">IFERROR(INDEX(SubcategoriesTable[Subcategory name],MATCH(Table1[[#This Row],[Category]],SubcategoriesTable[Category name],0),0),"")</f>
        <v>Variable</v>
      </c>
      <c r="F1583" s="134">
        <v>196.67</v>
      </c>
      <c r="G1583" s="167" t="str">
        <f>_xlfn.XLOOKUP(Table1[[#This Row],[Account_ID]], Accounts[ID], Accounts[Account nickname], "Unknown")</f>
        <v>Discover it chrome Card</v>
      </c>
      <c r="H1583" s="137" t="str">
        <f>_xlfn.XLOOKUP(Table1[[#This Row],[Account_ID]], Accounts[ID], Accounts[Account'#], "Unknown")</f>
        <v>7328</v>
      </c>
      <c r="I1583" s="168" t="str">
        <f>_xlfn.XLOOKUP(Table1[[#This Row],[Institution_ID]], Institutions[ID], Institutions[Institution nickname], "Unknown")</f>
        <v>Discover</v>
      </c>
      <c r="J1583" s="139" t="s">
        <v>1084</v>
      </c>
      <c r="K1583" s="129" t="s">
        <v>110</v>
      </c>
      <c r="L1583" s="129" t="s">
        <v>108</v>
      </c>
      <c r="M1583" s="130" t="str" cm="1">
        <f t="array" ref="M1583">IFERROR(INDEX(CategoriesTable[Category type],MATCH(Table1[[#This Row],[Category]],CategoriesTable[Category name],0),0),"")</f>
        <v>Transfer</v>
      </c>
      <c r="N1583" s="130" t="str" cm="1">
        <f t="array" ref="N1583">IFERROR(INDEX(SubcategoriesTable[Subcategory name],MATCH(Table1[[#This Row],[Category]],SubcategoriesTable[Category name],0),0),"")</f>
        <v>Variable</v>
      </c>
      <c r="O1583" s="130">
        <v>27</v>
      </c>
      <c r="P1583" s="130">
        <f>MONTH(Table1[[#This Row],[Date]])</f>
        <v>9</v>
      </c>
      <c r="Q1583" s="130">
        <v>2019</v>
      </c>
      <c r="R1583" s="166">
        <f>IF(ISBLANK(Table1[[#This Row],[Date]]),"",Table1[[#This Row],[Date]]-WEEKDAY(Table1[[#This Row],[Date]],2)+1)</f>
        <v>43731</v>
      </c>
      <c r="S1583" s="131">
        <f>IF(ISBLANK(Table1[[#This Row],[Date]]),"",DATE(Table1[[#This Row],[Date_Year]],Table1[[#This Row],[Date_Month]],1))</f>
        <v>43709</v>
      </c>
    </row>
    <row r="1584" spans="2:19" ht="15.75" x14ac:dyDescent="0.25">
      <c r="B1584" s="133">
        <v>43734</v>
      </c>
      <c r="C1584" s="128" t="s">
        <v>1194</v>
      </c>
      <c r="D1584" s="128" t="s">
        <v>59</v>
      </c>
      <c r="E1584" s="128" t="str" cm="1">
        <f t="array" ref="E1584">IFERROR(INDEX(SubcategoriesTable[Subcategory name],MATCH(Table1[[#This Row],[Category]],SubcategoriesTable[Category name],0),0),"")</f>
        <v>Fixed</v>
      </c>
      <c r="F1584" s="134">
        <v>47.47</v>
      </c>
      <c r="G1584" s="167" t="str">
        <f>_xlfn.XLOOKUP(Table1[[#This Row],[Account_ID]], Accounts[ID], Accounts[Account nickname], "Unknown")</f>
        <v>EVERYDAY CHECKING</v>
      </c>
      <c r="H1584" s="137" t="str">
        <f>_xlfn.XLOOKUP(Table1[[#This Row],[Account_ID]], Accounts[ID], Accounts[Account'#], "Unknown")</f>
        <v>4636</v>
      </c>
      <c r="I1584" s="168" t="str">
        <f>_xlfn.XLOOKUP(Table1[[#This Row],[Institution_ID]], Institutions[ID], Institutions[Institution nickname], "Unknown")</f>
        <v>Wells Fargo</v>
      </c>
      <c r="J1584" s="139" t="s">
        <v>2330</v>
      </c>
      <c r="K1584" s="129" t="s">
        <v>1229</v>
      </c>
      <c r="L1584" s="129" t="s">
        <v>1228</v>
      </c>
      <c r="M1584" s="130" t="str" cm="1">
        <f t="array" ref="M1584">IFERROR(INDEX(CategoriesTable[Category type],MATCH(Table1[[#This Row],[Category]],CategoriesTable[Category name],0),0),"")</f>
        <v>Income</v>
      </c>
      <c r="N1584" s="130" t="str" cm="1">
        <f t="array" ref="N1584">IFERROR(INDEX(SubcategoriesTable[Subcategory name],MATCH(Table1[[#This Row],[Category]],SubcategoriesTable[Category name],0),0),"")</f>
        <v>Fixed</v>
      </c>
      <c r="O1584" s="130">
        <v>26</v>
      </c>
      <c r="P1584" s="130">
        <f>MONTH(Table1[[#This Row],[Date]])</f>
        <v>9</v>
      </c>
      <c r="Q1584" s="130">
        <v>2019</v>
      </c>
      <c r="R1584" s="166">
        <f>IF(ISBLANK(Table1[[#This Row],[Date]]),"",Table1[[#This Row],[Date]]-WEEKDAY(Table1[[#This Row],[Date]],2)+1)</f>
        <v>43731</v>
      </c>
      <c r="S1584" s="131">
        <f>IF(ISBLANK(Table1[[#This Row],[Date]]),"",DATE(Table1[[#This Row],[Date_Year]],Table1[[#This Row],[Date_Month]],1))</f>
        <v>43709</v>
      </c>
    </row>
    <row r="1585" spans="2:19" ht="15.75" x14ac:dyDescent="0.25">
      <c r="B1585" s="133">
        <v>43734</v>
      </c>
      <c r="C1585" s="128" t="s">
        <v>1085</v>
      </c>
      <c r="D1585" s="128" t="s">
        <v>45</v>
      </c>
      <c r="E1585" s="128" t="str" cm="1">
        <f t="array" ref="E1585">IFERROR(INDEX(SubcategoriesTable[Subcategory name],MATCH(Table1[[#This Row],[Category]],SubcategoriesTable[Category name],0),0),"")</f>
        <v>Variable</v>
      </c>
      <c r="F1585" s="134">
        <v>-11.9</v>
      </c>
      <c r="G1585" s="167" t="str">
        <f>_xlfn.XLOOKUP(Table1[[#This Row],[Account_ID]], Accounts[ID], Accounts[Account nickname], "Unknown")</f>
        <v>Discover it chrome Card</v>
      </c>
      <c r="H1585" s="137" t="str">
        <f>_xlfn.XLOOKUP(Table1[[#This Row],[Account_ID]], Accounts[ID], Accounts[Account'#], "Unknown")</f>
        <v>7328</v>
      </c>
      <c r="I1585" s="168" t="str">
        <f>_xlfn.XLOOKUP(Table1[[#This Row],[Institution_ID]], Institutions[ID], Institutions[Institution nickname], "Unknown")</f>
        <v>Discover</v>
      </c>
      <c r="J1585" s="139" t="s">
        <v>1086</v>
      </c>
      <c r="K1585" s="129" t="s">
        <v>110</v>
      </c>
      <c r="L1585" s="129" t="s">
        <v>108</v>
      </c>
      <c r="M1585" s="130" t="str" cm="1">
        <f t="array" ref="M1585">IFERROR(INDEX(CategoriesTable[Category type],MATCH(Table1[[#This Row],[Category]],CategoriesTable[Category name],0),0),"")</f>
        <v>Expense</v>
      </c>
      <c r="N1585" s="130" t="str" cm="1">
        <f t="array" ref="N1585">IFERROR(INDEX(SubcategoriesTable[Subcategory name],MATCH(Table1[[#This Row],[Category]],SubcategoriesTable[Category name],0),0),"")</f>
        <v>Variable</v>
      </c>
      <c r="O1585" s="130">
        <v>26</v>
      </c>
      <c r="P1585" s="130">
        <f>MONTH(Table1[[#This Row],[Date]])</f>
        <v>9</v>
      </c>
      <c r="Q1585" s="130">
        <v>2019</v>
      </c>
      <c r="R1585" s="166">
        <f>IF(ISBLANK(Table1[[#This Row],[Date]]),"",Table1[[#This Row],[Date]]-WEEKDAY(Table1[[#This Row],[Date]],2)+1)</f>
        <v>43731</v>
      </c>
      <c r="S1585" s="131">
        <f>IF(ISBLANK(Table1[[#This Row],[Date]]),"",DATE(Table1[[#This Row],[Date_Year]],Table1[[#This Row],[Date_Month]],1))</f>
        <v>43709</v>
      </c>
    </row>
    <row r="1586" spans="2:19" ht="15.75" x14ac:dyDescent="0.25">
      <c r="B1586" s="133">
        <v>43734</v>
      </c>
      <c r="C1586" s="128" t="s">
        <v>1087</v>
      </c>
      <c r="D1586" s="128" t="s">
        <v>45</v>
      </c>
      <c r="E1586" s="128" t="str" cm="1">
        <f t="array" ref="E1586">IFERROR(INDEX(SubcategoriesTable[Subcategory name],MATCH(Table1[[#This Row],[Category]],SubcategoriesTable[Category name],0),0),"")</f>
        <v>Variable</v>
      </c>
      <c r="F1586" s="134">
        <v>-1.35</v>
      </c>
      <c r="G1586" s="167" t="str">
        <f>_xlfn.XLOOKUP(Table1[[#This Row],[Account_ID]], Accounts[ID], Accounts[Account nickname], "Unknown")</f>
        <v>Discover it chrome Card</v>
      </c>
      <c r="H1586" s="137" t="str">
        <f>_xlfn.XLOOKUP(Table1[[#This Row],[Account_ID]], Accounts[ID], Accounts[Account'#], "Unknown")</f>
        <v>7328</v>
      </c>
      <c r="I1586" s="168" t="str">
        <f>_xlfn.XLOOKUP(Table1[[#This Row],[Institution_ID]], Institutions[ID], Institutions[Institution nickname], "Unknown")</f>
        <v>Discover</v>
      </c>
      <c r="J1586" s="139" t="s">
        <v>1088</v>
      </c>
      <c r="K1586" s="129" t="s">
        <v>110</v>
      </c>
      <c r="L1586" s="129" t="s">
        <v>108</v>
      </c>
      <c r="M1586" s="130" t="str" cm="1">
        <f t="array" ref="M1586">IFERROR(INDEX(CategoriesTable[Category type],MATCH(Table1[[#This Row],[Category]],CategoriesTable[Category name],0),0),"")</f>
        <v>Expense</v>
      </c>
      <c r="N1586" s="130" t="str" cm="1">
        <f t="array" ref="N1586">IFERROR(INDEX(SubcategoriesTable[Subcategory name],MATCH(Table1[[#This Row],[Category]],SubcategoriesTable[Category name],0),0),"")</f>
        <v>Variable</v>
      </c>
      <c r="O1586" s="130">
        <v>26</v>
      </c>
      <c r="P1586" s="130">
        <f>MONTH(Table1[[#This Row],[Date]])</f>
        <v>9</v>
      </c>
      <c r="Q1586" s="130">
        <v>2019</v>
      </c>
      <c r="R1586" s="166">
        <f>IF(ISBLANK(Table1[[#This Row],[Date]]),"",Table1[[#This Row],[Date]]-WEEKDAY(Table1[[#This Row],[Date]],2)+1)</f>
        <v>43731</v>
      </c>
      <c r="S1586" s="131">
        <f>IF(ISBLANK(Table1[[#This Row],[Date]]),"",DATE(Table1[[#This Row],[Date_Year]],Table1[[#This Row],[Date_Month]],1))</f>
        <v>43709</v>
      </c>
    </row>
    <row r="1587" spans="2:19" ht="15.75" x14ac:dyDescent="0.25">
      <c r="B1587" s="133">
        <v>43734</v>
      </c>
      <c r="C1587" s="128" t="s">
        <v>1087</v>
      </c>
      <c r="D1587" s="128" t="s">
        <v>45</v>
      </c>
      <c r="E1587" s="128" t="str" cm="1">
        <f t="array" ref="E1587">IFERROR(INDEX(SubcategoriesTable[Subcategory name],MATCH(Table1[[#This Row],[Category]],SubcategoriesTable[Category name],0),0),"")</f>
        <v>Variable</v>
      </c>
      <c r="F1587" s="134">
        <v>-1.85</v>
      </c>
      <c r="G1587" s="167" t="str">
        <f>_xlfn.XLOOKUP(Table1[[#This Row],[Account_ID]], Accounts[ID], Accounts[Account nickname], "Unknown")</f>
        <v>Discover it chrome Card</v>
      </c>
      <c r="H1587" s="137" t="str">
        <f>_xlfn.XLOOKUP(Table1[[#This Row],[Account_ID]], Accounts[ID], Accounts[Account'#], "Unknown")</f>
        <v>7328</v>
      </c>
      <c r="I1587" s="168" t="str">
        <f>_xlfn.XLOOKUP(Table1[[#This Row],[Institution_ID]], Institutions[ID], Institutions[Institution nickname], "Unknown")</f>
        <v>Discover</v>
      </c>
      <c r="J1587" s="139" t="s">
        <v>1089</v>
      </c>
      <c r="K1587" s="129" t="s">
        <v>110</v>
      </c>
      <c r="L1587" s="129" t="s">
        <v>108</v>
      </c>
      <c r="M1587" s="130" t="str" cm="1">
        <f t="array" ref="M1587">IFERROR(INDEX(CategoriesTable[Category type],MATCH(Table1[[#This Row],[Category]],CategoriesTable[Category name],0),0),"")</f>
        <v>Expense</v>
      </c>
      <c r="N1587" s="130" t="str" cm="1">
        <f t="array" ref="N1587">IFERROR(INDEX(SubcategoriesTable[Subcategory name],MATCH(Table1[[#This Row],[Category]],SubcategoriesTable[Category name],0),0),"")</f>
        <v>Variable</v>
      </c>
      <c r="O1587" s="130">
        <v>26</v>
      </c>
      <c r="P1587" s="130">
        <f>MONTH(Table1[[#This Row],[Date]])</f>
        <v>9</v>
      </c>
      <c r="Q1587" s="130">
        <v>2019</v>
      </c>
      <c r="R1587" s="166">
        <f>IF(ISBLANK(Table1[[#This Row],[Date]]),"",Table1[[#This Row],[Date]]-WEEKDAY(Table1[[#This Row],[Date]],2)+1)</f>
        <v>43731</v>
      </c>
      <c r="S1587" s="131">
        <f>IF(ISBLANK(Table1[[#This Row],[Date]]),"",DATE(Table1[[#This Row],[Date_Year]],Table1[[#This Row],[Date_Month]],1))</f>
        <v>43709</v>
      </c>
    </row>
    <row r="1588" spans="2:19" ht="15.75" x14ac:dyDescent="0.25">
      <c r="B1588" s="133">
        <v>43734</v>
      </c>
      <c r="C1588" s="128" t="s">
        <v>115</v>
      </c>
      <c r="D1588" s="128" t="s">
        <v>48</v>
      </c>
      <c r="E1588" s="128" t="str" cm="1">
        <f t="array" ref="E1588">IFERROR(INDEX(SubcategoriesTable[Subcategory name],MATCH(Table1[[#This Row],[Category]],SubcategoriesTable[Category name],0),0),"")</f>
        <v>Variable</v>
      </c>
      <c r="F1588" s="134">
        <v>-8.93</v>
      </c>
      <c r="G1588" s="167" t="str">
        <f>_xlfn.XLOOKUP(Table1[[#This Row],[Account_ID]], Accounts[ID], Accounts[Account nickname], "Unknown")</f>
        <v>Discover it chrome Card</v>
      </c>
      <c r="H1588" s="137" t="str">
        <f>_xlfn.XLOOKUP(Table1[[#This Row],[Account_ID]], Accounts[ID], Accounts[Account'#], "Unknown")</f>
        <v>7328</v>
      </c>
      <c r="I1588" s="168" t="str">
        <f>_xlfn.XLOOKUP(Table1[[#This Row],[Institution_ID]], Institutions[ID], Institutions[Institution nickname], "Unknown")</f>
        <v>Discover</v>
      </c>
      <c r="J1588" s="139" t="s">
        <v>1090</v>
      </c>
      <c r="K1588" s="129" t="s">
        <v>110</v>
      </c>
      <c r="L1588" s="129" t="s">
        <v>108</v>
      </c>
      <c r="M1588" s="130" t="str" cm="1">
        <f t="array" ref="M1588">IFERROR(INDEX(CategoriesTable[Category type],MATCH(Table1[[#This Row],[Category]],CategoriesTable[Category name],0),0),"")</f>
        <v>Expense</v>
      </c>
      <c r="N1588" s="130" t="str" cm="1">
        <f t="array" ref="N1588">IFERROR(INDEX(SubcategoriesTable[Subcategory name],MATCH(Table1[[#This Row],[Category]],SubcategoriesTable[Category name],0),0),"")</f>
        <v>Variable</v>
      </c>
      <c r="O1588" s="130">
        <v>26</v>
      </c>
      <c r="P1588" s="130">
        <f>MONTH(Table1[[#This Row],[Date]])</f>
        <v>9</v>
      </c>
      <c r="Q1588" s="130">
        <v>2019</v>
      </c>
      <c r="R1588" s="166">
        <f>IF(ISBLANK(Table1[[#This Row],[Date]]),"",Table1[[#This Row],[Date]]-WEEKDAY(Table1[[#This Row],[Date]],2)+1)</f>
        <v>43731</v>
      </c>
      <c r="S1588" s="131">
        <f>IF(ISBLANK(Table1[[#This Row],[Date]]),"",DATE(Table1[[#This Row],[Date_Year]],Table1[[#This Row],[Date_Month]],1))</f>
        <v>43709</v>
      </c>
    </row>
    <row r="1589" spans="2:19" ht="15.75" x14ac:dyDescent="0.25">
      <c r="B1589" s="133">
        <v>43733</v>
      </c>
      <c r="C1589" s="128" t="s">
        <v>152</v>
      </c>
      <c r="D1589" s="128" t="s">
        <v>54</v>
      </c>
      <c r="E1589" s="128" t="str" cm="1">
        <f t="array" ref="E1589">IFERROR(INDEX(SubcategoriesTable[Subcategory name],MATCH(Table1[[#This Row],[Category]],SubcategoriesTable[Category name],0),0),"")</f>
        <v>Fixed</v>
      </c>
      <c r="F1589" s="134">
        <v>-15.99</v>
      </c>
      <c r="G1589" s="167" t="str">
        <f>_xlfn.XLOOKUP(Table1[[#This Row],[Account_ID]], Accounts[ID], Accounts[Account nickname], "Unknown")</f>
        <v>EVERYDAY CHECKING</v>
      </c>
      <c r="H1589" s="137" t="str">
        <f>_xlfn.XLOOKUP(Table1[[#This Row],[Account_ID]], Accounts[ID], Accounts[Account'#], "Unknown")</f>
        <v>4636</v>
      </c>
      <c r="I1589" s="168" t="str">
        <f>_xlfn.XLOOKUP(Table1[[#This Row],[Institution_ID]], Institutions[ID], Institutions[Institution nickname], "Unknown")</f>
        <v>Wells Fargo</v>
      </c>
      <c r="J1589" s="139" t="s">
        <v>2331</v>
      </c>
      <c r="K1589" s="129" t="s">
        <v>1229</v>
      </c>
      <c r="L1589" s="129" t="s">
        <v>1228</v>
      </c>
      <c r="M1589" s="130" t="str" cm="1">
        <f t="array" ref="M1589">IFERROR(INDEX(CategoriesTable[Category type],MATCH(Table1[[#This Row],[Category]],CategoriesTable[Category name],0),0),"")</f>
        <v>Expense</v>
      </c>
      <c r="N1589" s="130" t="str" cm="1">
        <f t="array" ref="N1589">IFERROR(INDEX(SubcategoriesTable[Subcategory name],MATCH(Table1[[#This Row],[Category]],SubcategoriesTable[Category name],0),0),"")</f>
        <v>Fixed</v>
      </c>
      <c r="O1589" s="130">
        <v>25</v>
      </c>
      <c r="P1589" s="130">
        <f>MONTH(Table1[[#This Row],[Date]])</f>
        <v>9</v>
      </c>
      <c r="Q1589" s="130">
        <v>2019</v>
      </c>
      <c r="R1589" s="166">
        <f>IF(ISBLANK(Table1[[#This Row],[Date]]),"",Table1[[#This Row],[Date]]-WEEKDAY(Table1[[#This Row],[Date]],2)+1)</f>
        <v>43731</v>
      </c>
      <c r="S1589" s="131">
        <f>IF(ISBLANK(Table1[[#This Row],[Date]]),"",DATE(Table1[[#This Row],[Date_Year]],Table1[[#This Row],[Date_Month]],1))</f>
        <v>43709</v>
      </c>
    </row>
    <row r="1590" spans="2:19" ht="15.75" x14ac:dyDescent="0.25">
      <c r="B1590" s="133">
        <v>43733</v>
      </c>
      <c r="C1590" s="128" t="s">
        <v>427</v>
      </c>
      <c r="D1590" s="128" t="s">
        <v>52</v>
      </c>
      <c r="E1590" s="128" t="str" cm="1">
        <f t="array" ref="E1590">IFERROR(INDEX(SubcategoriesTable[Subcategory name],MATCH(Table1[[#This Row],[Category]],SubcategoriesTable[Category name],0),0),"")</f>
        <v>Variable</v>
      </c>
      <c r="F1590" s="134">
        <v>-8.93</v>
      </c>
      <c r="G1590" s="167" t="str">
        <f>_xlfn.XLOOKUP(Table1[[#This Row],[Account_ID]], Accounts[ID], Accounts[Account nickname], "Unknown")</f>
        <v>Discover it chrome Card</v>
      </c>
      <c r="H1590" s="137" t="str">
        <f>_xlfn.XLOOKUP(Table1[[#This Row],[Account_ID]], Accounts[ID], Accounts[Account'#], "Unknown")</f>
        <v>7328</v>
      </c>
      <c r="I1590" s="168" t="str">
        <f>_xlfn.XLOOKUP(Table1[[#This Row],[Institution_ID]], Institutions[ID], Institutions[Institution nickname], "Unknown")</f>
        <v>Discover</v>
      </c>
      <c r="J1590" s="139" t="s">
        <v>1091</v>
      </c>
      <c r="K1590" s="129" t="s">
        <v>110</v>
      </c>
      <c r="L1590" s="129" t="s">
        <v>108</v>
      </c>
      <c r="M1590" s="130" t="str" cm="1">
        <f t="array" ref="M1590">IFERROR(INDEX(CategoriesTable[Category type],MATCH(Table1[[#This Row],[Category]],CategoriesTable[Category name],0),0),"")</f>
        <v>Expense</v>
      </c>
      <c r="N1590" s="130" t="str" cm="1">
        <f t="array" ref="N1590">IFERROR(INDEX(SubcategoriesTable[Subcategory name],MATCH(Table1[[#This Row],[Category]],SubcategoriesTable[Category name],0),0),"")</f>
        <v>Variable</v>
      </c>
      <c r="O1590" s="130">
        <v>25</v>
      </c>
      <c r="P1590" s="130">
        <f>MONTH(Table1[[#This Row],[Date]])</f>
        <v>9</v>
      </c>
      <c r="Q1590" s="130">
        <v>2019</v>
      </c>
      <c r="R1590" s="166">
        <f>IF(ISBLANK(Table1[[#This Row],[Date]]),"",Table1[[#This Row],[Date]]-WEEKDAY(Table1[[#This Row],[Date]],2)+1)</f>
        <v>43731</v>
      </c>
      <c r="S1590" s="131">
        <f>IF(ISBLANK(Table1[[#This Row],[Date]]),"",DATE(Table1[[#This Row],[Date_Year]],Table1[[#This Row],[Date_Month]],1))</f>
        <v>43709</v>
      </c>
    </row>
    <row r="1591" spans="2:19" ht="15.75" x14ac:dyDescent="0.25">
      <c r="B1591" s="133">
        <v>43732</v>
      </c>
      <c r="C1591" s="128" t="s">
        <v>531</v>
      </c>
      <c r="D1591" s="128" t="s">
        <v>54</v>
      </c>
      <c r="E1591" s="128" t="str" cm="1">
        <f t="array" ref="E1591">IFERROR(INDEX(SubcategoriesTable[Subcategory name],MATCH(Table1[[#This Row],[Category]],SubcategoriesTable[Category name],0),0),"")</f>
        <v>Fixed</v>
      </c>
      <c r="F1591" s="134">
        <v>-22.1</v>
      </c>
      <c r="G1591" s="167" t="str">
        <f>_xlfn.XLOOKUP(Table1[[#This Row],[Account_ID]], Accounts[ID], Accounts[Account nickname], "Unknown")</f>
        <v>EVERYDAY CHECKING</v>
      </c>
      <c r="H1591" s="137" t="str">
        <f>_xlfn.XLOOKUP(Table1[[#This Row],[Account_ID]], Accounts[ID], Accounts[Account'#], "Unknown")</f>
        <v>4636</v>
      </c>
      <c r="I1591" s="168" t="str">
        <f>_xlfn.XLOOKUP(Table1[[#This Row],[Institution_ID]], Institutions[ID], Institutions[Institution nickname], "Unknown")</f>
        <v>Wells Fargo</v>
      </c>
      <c r="J1591" s="139" t="s">
        <v>2332</v>
      </c>
      <c r="K1591" s="129" t="s">
        <v>1229</v>
      </c>
      <c r="L1591" s="129" t="s">
        <v>1228</v>
      </c>
      <c r="M1591" s="130" t="str" cm="1">
        <f t="array" ref="M1591">IFERROR(INDEX(CategoriesTable[Category type],MATCH(Table1[[#This Row],[Category]],CategoriesTable[Category name],0),0),"")</f>
        <v>Expense</v>
      </c>
      <c r="N1591" s="130" t="str" cm="1">
        <f t="array" ref="N1591">IFERROR(INDEX(SubcategoriesTable[Subcategory name],MATCH(Table1[[#This Row],[Category]],SubcategoriesTable[Category name],0),0),"")</f>
        <v>Fixed</v>
      </c>
      <c r="O1591" s="130">
        <v>24</v>
      </c>
      <c r="P1591" s="130">
        <f>MONTH(Table1[[#This Row],[Date]])</f>
        <v>9</v>
      </c>
      <c r="Q1591" s="130">
        <v>2019</v>
      </c>
      <c r="R1591" s="166">
        <f>IF(ISBLANK(Table1[[#This Row],[Date]]),"",Table1[[#This Row],[Date]]-WEEKDAY(Table1[[#This Row],[Date]],2)+1)</f>
        <v>43731</v>
      </c>
      <c r="S1591" s="131">
        <f>IF(ISBLANK(Table1[[#This Row],[Date]]),"",DATE(Table1[[#This Row],[Date_Year]],Table1[[#This Row],[Date_Month]],1))</f>
        <v>43709</v>
      </c>
    </row>
    <row r="1592" spans="2:19" ht="15.75" x14ac:dyDescent="0.25">
      <c r="B1592" s="133">
        <v>43732</v>
      </c>
      <c r="C1592" s="128" t="s">
        <v>115</v>
      </c>
      <c r="D1592" s="128" t="s">
        <v>48</v>
      </c>
      <c r="E1592" s="128" t="str" cm="1">
        <f t="array" ref="E1592">IFERROR(INDEX(SubcategoriesTable[Subcategory name],MATCH(Table1[[#This Row],[Category]],SubcategoriesTable[Category name],0),0),"")</f>
        <v>Variable</v>
      </c>
      <c r="F1592" s="134">
        <v>-20.73</v>
      </c>
      <c r="G1592" s="167" t="str">
        <f>_xlfn.XLOOKUP(Table1[[#This Row],[Account_ID]], Accounts[ID], Accounts[Account nickname], "Unknown")</f>
        <v>Discover it chrome Card</v>
      </c>
      <c r="H1592" s="137" t="str">
        <f>_xlfn.XLOOKUP(Table1[[#This Row],[Account_ID]], Accounts[ID], Accounts[Account'#], "Unknown")</f>
        <v>7328</v>
      </c>
      <c r="I1592" s="168" t="str">
        <f>_xlfn.XLOOKUP(Table1[[#This Row],[Institution_ID]], Institutions[ID], Institutions[Institution nickname], "Unknown")</f>
        <v>Discover</v>
      </c>
      <c r="J1592" s="139" t="s">
        <v>1092</v>
      </c>
      <c r="K1592" s="129" t="s">
        <v>110</v>
      </c>
      <c r="L1592" s="129" t="s">
        <v>108</v>
      </c>
      <c r="M1592" s="130" t="str" cm="1">
        <f t="array" ref="M1592">IFERROR(INDEX(CategoriesTable[Category type],MATCH(Table1[[#This Row],[Category]],CategoriesTable[Category name],0),0),"")</f>
        <v>Expense</v>
      </c>
      <c r="N1592" s="130" t="str" cm="1">
        <f t="array" ref="N1592">IFERROR(INDEX(SubcategoriesTable[Subcategory name],MATCH(Table1[[#This Row],[Category]],SubcategoriesTable[Category name],0),0),"")</f>
        <v>Variable</v>
      </c>
      <c r="O1592" s="130">
        <v>24</v>
      </c>
      <c r="P1592" s="130">
        <f>MONTH(Table1[[#This Row],[Date]])</f>
        <v>9</v>
      </c>
      <c r="Q1592" s="130">
        <v>2019</v>
      </c>
      <c r="R1592" s="166">
        <f>IF(ISBLANK(Table1[[#This Row],[Date]]),"",Table1[[#This Row],[Date]]-WEEKDAY(Table1[[#This Row],[Date]],2)+1)</f>
        <v>43731</v>
      </c>
      <c r="S1592" s="131">
        <f>IF(ISBLANK(Table1[[#This Row],[Date]]),"",DATE(Table1[[#This Row],[Date_Year]],Table1[[#This Row],[Date_Month]],1))</f>
        <v>43709</v>
      </c>
    </row>
    <row r="1593" spans="2:19" ht="15.75" x14ac:dyDescent="0.25">
      <c r="B1593" s="133">
        <v>43731</v>
      </c>
      <c r="C1593" s="128" t="s">
        <v>531</v>
      </c>
      <c r="D1593" s="128" t="s">
        <v>54</v>
      </c>
      <c r="E1593" s="128" t="str" cm="1">
        <f t="array" ref="E1593">IFERROR(INDEX(SubcategoriesTable[Subcategory name],MATCH(Table1[[#This Row],[Category]],SubcategoriesTable[Category name],0),0),"")</f>
        <v>Fixed</v>
      </c>
      <c r="F1593" s="134">
        <v>-9.44</v>
      </c>
      <c r="G1593" s="167" t="str">
        <f>_xlfn.XLOOKUP(Table1[[#This Row],[Account_ID]], Accounts[ID], Accounts[Account nickname], "Unknown")</f>
        <v>EVERYDAY CHECKING</v>
      </c>
      <c r="H1593" s="137" t="str">
        <f>_xlfn.XLOOKUP(Table1[[#This Row],[Account_ID]], Accounts[ID], Accounts[Account'#], "Unknown")</f>
        <v>4636</v>
      </c>
      <c r="I1593" s="168" t="str">
        <f>_xlfn.XLOOKUP(Table1[[#This Row],[Institution_ID]], Institutions[ID], Institutions[Institution nickname], "Unknown")</f>
        <v>Wells Fargo</v>
      </c>
      <c r="J1593" s="139" t="s">
        <v>2333</v>
      </c>
      <c r="K1593" s="129" t="s">
        <v>1229</v>
      </c>
      <c r="L1593" s="129" t="s">
        <v>1228</v>
      </c>
      <c r="M1593" s="130" t="str" cm="1">
        <f t="array" ref="M1593">IFERROR(INDEX(CategoriesTable[Category type],MATCH(Table1[[#This Row],[Category]],CategoriesTable[Category name],0),0),"")</f>
        <v>Expense</v>
      </c>
      <c r="N1593" s="130" t="str" cm="1">
        <f t="array" ref="N1593">IFERROR(INDEX(SubcategoriesTable[Subcategory name],MATCH(Table1[[#This Row],[Category]],SubcategoriesTable[Category name],0),0),"")</f>
        <v>Fixed</v>
      </c>
      <c r="O1593" s="130">
        <v>23</v>
      </c>
      <c r="P1593" s="130">
        <f>MONTH(Table1[[#This Row],[Date]])</f>
        <v>9</v>
      </c>
      <c r="Q1593" s="130">
        <v>2019</v>
      </c>
      <c r="R1593" s="166">
        <f>IF(ISBLANK(Table1[[#This Row],[Date]]),"",Table1[[#This Row],[Date]]-WEEKDAY(Table1[[#This Row],[Date]],2)+1)</f>
        <v>43731</v>
      </c>
      <c r="S1593" s="131">
        <f>IF(ISBLANK(Table1[[#This Row],[Date]]),"",DATE(Table1[[#This Row],[Date_Year]],Table1[[#This Row],[Date_Month]],1))</f>
        <v>43709</v>
      </c>
    </row>
    <row r="1594" spans="2:19" ht="15.75" x14ac:dyDescent="0.25">
      <c r="B1594" s="133">
        <v>43731</v>
      </c>
      <c r="C1594" s="128" t="s">
        <v>1550</v>
      </c>
      <c r="D1594" s="128" t="s">
        <v>50</v>
      </c>
      <c r="E1594" s="128" t="str" cm="1">
        <f t="array" ref="E1594">IFERROR(INDEX(SubcategoriesTable[Subcategory name],MATCH(Table1[[#This Row],[Category]],SubcategoriesTable[Category name],0),0),"")</f>
        <v>Variable</v>
      </c>
      <c r="F1594" s="134">
        <v>180</v>
      </c>
      <c r="G1594" s="167" t="str">
        <f>_xlfn.XLOOKUP(Table1[[#This Row],[Account_ID]], Accounts[ID], Accounts[Account nickname], "Unknown")</f>
        <v>EVERYDAY CHECKING</v>
      </c>
      <c r="H1594" s="137" t="str">
        <f>_xlfn.XLOOKUP(Table1[[#This Row],[Account_ID]], Accounts[ID], Accounts[Account'#], "Unknown")</f>
        <v>4636</v>
      </c>
      <c r="I1594" s="168" t="str">
        <f>_xlfn.XLOOKUP(Table1[[#This Row],[Institution_ID]], Institutions[ID], Institutions[Institution nickname], "Unknown")</f>
        <v>Wells Fargo</v>
      </c>
      <c r="J1594" s="139" t="s">
        <v>2334</v>
      </c>
      <c r="K1594" s="129" t="s">
        <v>1229</v>
      </c>
      <c r="L1594" s="129" t="s">
        <v>1228</v>
      </c>
      <c r="M1594" s="130" t="str" cm="1">
        <f t="array" ref="M1594">IFERROR(INDEX(CategoriesTable[Category type],MATCH(Table1[[#This Row],[Category]],CategoriesTable[Category name],0),0),"")</f>
        <v>Transfer</v>
      </c>
      <c r="N1594" s="130" t="str" cm="1">
        <f t="array" ref="N1594">IFERROR(INDEX(SubcategoriesTable[Subcategory name],MATCH(Table1[[#This Row],[Category]],SubcategoriesTable[Category name],0),0),"")</f>
        <v>Variable</v>
      </c>
      <c r="O1594" s="130">
        <v>23</v>
      </c>
      <c r="P1594" s="130">
        <f>MONTH(Table1[[#This Row],[Date]])</f>
        <v>9</v>
      </c>
      <c r="Q1594" s="130">
        <v>2019</v>
      </c>
      <c r="R1594" s="166">
        <f>IF(ISBLANK(Table1[[#This Row],[Date]]),"",Table1[[#This Row],[Date]]-WEEKDAY(Table1[[#This Row],[Date]],2)+1)</f>
        <v>43731</v>
      </c>
      <c r="S1594" s="131">
        <f>IF(ISBLANK(Table1[[#This Row],[Date]]),"",DATE(Table1[[#This Row],[Date_Year]],Table1[[#This Row],[Date_Month]],1))</f>
        <v>43709</v>
      </c>
    </row>
    <row r="1595" spans="2:19" ht="15.75" x14ac:dyDescent="0.25">
      <c r="B1595" s="133">
        <v>43730</v>
      </c>
      <c r="C1595" s="128" t="s">
        <v>2335</v>
      </c>
      <c r="D1595" s="128" t="s">
        <v>60</v>
      </c>
      <c r="E1595" s="128" t="str" cm="1">
        <f t="array" ref="E1595">IFERROR(INDEX(SubcategoriesTable[Subcategory name],MATCH(Table1[[#This Row],[Category]],SubcategoriesTable[Category name],0),0),"")</f>
        <v>Variable</v>
      </c>
      <c r="F1595" s="134">
        <v>-16.5</v>
      </c>
      <c r="G1595" s="167" t="str">
        <f>_xlfn.XLOOKUP(Table1[[#This Row],[Account_ID]], Accounts[ID], Accounts[Account nickname], "Unknown")</f>
        <v>EVERYDAY CHECKING</v>
      </c>
      <c r="H1595" s="137" t="str">
        <f>_xlfn.XLOOKUP(Table1[[#This Row],[Account_ID]], Accounts[ID], Accounts[Account'#], "Unknown")</f>
        <v>4636</v>
      </c>
      <c r="I1595" s="168" t="str">
        <f>_xlfn.XLOOKUP(Table1[[#This Row],[Institution_ID]], Institutions[ID], Institutions[Institution nickname], "Unknown")</f>
        <v>Wells Fargo</v>
      </c>
      <c r="J1595" s="139" t="s">
        <v>2336</v>
      </c>
      <c r="K1595" s="129" t="s">
        <v>1229</v>
      </c>
      <c r="L1595" s="129" t="s">
        <v>1228</v>
      </c>
      <c r="M1595" s="130" t="str" cm="1">
        <f t="array" ref="M1595">IFERROR(INDEX(CategoriesTable[Category type],MATCH(Table1[[#This Row],[Category]],CategoriesTable[Category name],0),0),"")</f>
        <v>Expense</v>
      </c>
      <c r="N1595" s="130" t="str" cm="1">
        <f t="array" ref="N1595">IFERROR(INDEX(SubcategoriesTable[Subcategory name],MATCH(Table1[[#This Row],[Category]],SubcategoriesTable[Category name],0),0),"")</f>
        <v>Variable</v>
      </c>
      <c r="O1595" s="130">
        <v>22</v>
      </c>
      <c r="P1595" s="130">
        <f>MONTH(Table1[[#This Row],[Date]])</f>
        <v>9</v>
      </c>
      <c r="Q1595" s="130">
        <v>2019</v>
      </c>
      <c r="R1595" s="166">
        <f>IF(ISBLANK(Table1[[#This Row],[Date]]),"",Table1[[#This Row],[Date]]-WEEKDAY(Table1[[#This Row],[Date]],2)+1)</f>
        <v>43724</v>
      </c>
      <c r="S1595" s="131">
        <f>IF(ISBLANK(Table1[[#This Row],[Date]]),"",DATE(Table1[[#This Row],[Date_Year]],Table1[[#This Row],[Date_Month]],1))</f>
        <v>43709</v>
      </c>
    </row>
    <row r="1596" spans="2:19" ht="15.75" x14ac:dyDescent="0.25">
      <c r="B1596" s="133">
        <v>43730</v>
      </c>
      <c r="C1596" s="128" t="s">
        <v>2335</v>
      </c>
      <c r="D1596" s="128" t="s">
        <v>60</v>
      </c>
      <c r="E1596" s="128" t="str" cm="1">
        <f t="array" ref="E1596">IFERROR(INDEX(SubcategoriesTable[Subcategory name],MATCH(Table1[[#This Row],[Category]],SubcategoriesTable[Category name],0),0),"")</f>
        <v>Variable</v>
      </c>
      <c r="F1596" s="134">
        <v>-25.26</v>
      </c>
      <c r="G1596" s="167" t="str">
        <f>_xlfn.XLOOKUP(Table1[[#This Row],[Account_ID]], Accounts[ID], Accounts[Account nickname], "Unknown")</f>
        <v>EVERYDAY CHECKING</v>
      </c>
      <c r="H1596" s="137" t="str">
        <f>_xlfn.XLOOKUP(Table1[[#This Row],[Account_ID]], Accounts[ID], Accounts[Account'#], "Unknown")</f>
        <v>4636</v>
      </c>
      <c r="I1596" s="168" t="str">
        <f>_xlfn.XLOOKUP(Table1[[#This Row],[Institution_ID]], Institutions[ID], Institutions[Institution nickname], "Unknown")</f>
        <v>Wells Fargo</v>
      </c>
      <c r="J1596" s="139" t="s">
        <v>2337</v>
      </c>
      <c r="K1596" s="129" t="s">
        <v>1229</v>
      </c>
      <c r="L1596" s="129" t="s">
        <v>1228</v>
      </c>
      <c r="M1596" s="130" t="str" cm="1">
        <f t="array" ref="M1596">IFERROR(INDEX(CategoriesTable[Category type],MATCH(Table1[[#This Row],[Category]],CategoriesTable[Category name],0),0),"")</f>
        <v>Expense</v>
      </c>
      <c r="N1596" s="130" t="str" cm="1">
        <f t="array" ref="N1596">IFERROR(INDEX(SubcategoriesTable[Subcategory name],MATCH(Table1[[#This Row],[Category]],SubcategoriesTable[Category name],0),0),"")</f>
        <v>Variable</v>
      </c>
      <c r="O1596" s="130">
        <v>22</v>
      </c>
      <c r="P1596" s="130">
        <f>MONTH(Table1[[#This Row],[Date]])</f>
        <v>9</v>
      </c>
      <c r="Q1596" s="130">
        <v>2019</v>
      </c>
      <c r="R1596" s="166">
        <f>IF(ISBLANK(Table1[[#This Row],[Date]]),"",Table1[[#This Row],[Date]]-WEEKDAY(Table1[[#This Row],[Date]],2)+1)</f>
        <v>43724</v>
      </c>
      <c r="S1596" s="131">
        <f>IF(ISBLANK(Table1[[#This Row],[Date]]),"",DATE(Table1[[#This Row],[Date_Year]],Table1[[#This Row],[Date_Month]],1))</f>
        <v>43709</v>
      </c>
    </row>
    <row r="1597" spans="2:19" ht="15.75" x14ac:dyDescent="0.25">
      <c r="B1597" s="133">
        <v>43730</v>
      </c>
      <c r="C1597" s="128" t="s">
        <v>2338</v>
      </c>
      <c r="D1597" s="128" t="s">
        <v>52</v>
      </c>
      <c r="E1597" s="128" t="str" cm="1">
        <f t="array" ref="E1597">IFERROR(INDEX(SubcategoriesTable[Subcategory name],MATCH(Table1[[#This Row],[Category]],SubcategoriesTable[Category name],0),0),"")</f>
        <v>Variable</v>
      </c>
      <c r="F1597" s="134">
        <v>-28.87</v>
      </c>
      <c r="G1597" s="167" t="str">
        <f>_xlfn.XLOOKUP(Table1[[#This Row],[Account_ID]], Accounts[ID], Accounts[Account nickname], "Unknown")</f>
        <v>EVERYDAY CHECKING</v>
      </c>
      <c r="H1597" s="137" t="str">
        <f>_xlfn.XLOOKUP(Table1[[#This Row],[Account_ID]], Accounts[ID], Accounts[Account'#], "Unknown")</f>
        <v>4636</v>
      </c>
      <c r="I1597" s="168" t="str">
        <f>_xlfn.XLOOKUP(Table1[[#This Row],[Institution_ID]], Institutions[ID], Institutions[Institution nickname], "Unknown")</f>
        <v>Wells Fargo</v>
      </c>
      <c r="J1597" s="139" t="s">
        <v>2339</v>
      </c>
      <c r="K1597" s="129" t="s">
        <v>1229</v>
      </c>
      <c r="L1597" s="129" t="s">
        <v>1228</v>
      </c>
      <c r="M1597" s="130" t="str" cm="1">
        <f t="array" ref="M1597">IFERROR(INDEX(CategoriesTable[Category type],MATCH(Table1[[#This Row],[Category]],CategoriesTable[Category name],0),0),"")</f>
        <v>Expense</v>
      </c>
      <c r="N1597" s="130" t="str" cm="1">
        <f t="array" ref="N1597">IFERROR(INDEX(SubcategoriesTable[Subcategory name],MATCH(Table1[[#This Row],[Category]],SubcategoriesTable[Category name],0),0),"")</f>
        <v>Variable</v>
      </c>
      <c r="O1597" s="130">
        <v>22</v>
      </c>
      <c r="P1597" s="130">
        <f>MONTH(Table1[[#This Row],[Date]])</f>
        <v>9</v>
      </c>
      <c r="Q1597" s="130">
        <v>2019</v>
      </c>
      <c r="R1597" s="166">
        <f>IF(ISBLANK(Table1[[#This Row],[Date]]),"",Table1[[#This Row],[Date]]-WEEKDAY(Table1[[#This Row],[Date]],2)+1)</f>
        <v>43724</v>
      </c>
      <c r="S1597" s="131">
        <f>IF(ISBLANK(Table1[[#This Row],[Date]]),"",DATE(Table1[[#This Row],[Date_Year]],Table1[[#This Row],[Date_Month]],1))</f>
        <v>43709</v>
      </c>
    </row>
    <row r="1598" spans="2:19" ht="15.75" x14ac:dyDescent="0.25">
      <c r="B1598" s="133">
        <v>43730</v>
      </c>
      <c r="C1598" s="128" t="s">
        <v>427</v>
      </c>
      <c r="D1598" s="128" t="s">
        <v>52</v>
      </c>
      <c r="E1598" s="128" t="str" cm="1">
        <f t="array" ref="E1598">IFERROR(INDEX(SubcategoriesTable[Subcategory name],MATCH(Table1[[#This Row],[Category]],SubcategoriesTable[Category name],0),0),"")</f>
        <v>Variable</v>
      </c>
      <c r="F1598" s="134">
        <v>-2.3199999999999998</v>
      </c>
      <c r="G1598" s="167" t="str">
        <f>_xlfn.XLOOKUP(Table1[[#This Row],[Account_ID]], Accounts[ID], Accounts[Account nickname], "Unknown")</f>
        <v>EVERYDAY CHECKING</v>
      </c>
      <c r="H1598" s="137" t="str">
        <f>_xlfn.XLOOKUP(Table1[[#This Row],[Account_ID]], Accounts[ID], Accounts[Account'#], "Unknown")</f>
        <v>4636</v>
      </c>
      <c r="I1598" s="168" t="str">
        <f>_xlfn.XLOOKUP(Table1[[#This Row],[Institution_ID]], Institutions[ID], Institutions[Institution nickname], "Unknown")</f>
        <v>Wells Fargo</v>
      </c>
      <c r="J1598" s="139" t="s">
        <v>2340</v>
      </c>
      <c r="K1598" s="129" t="s">
        <v>1229</v>
      </c>
      <c r="L1598" s="129" t="s">
        <v>1228</v>
      </c>
      <c r="M1598" s="130" t="str" cm="1">
        <f t="array" ref="M1598">IFERROR(INDEX(CategoriesTable[Category type],MATCH(Table1[[#This Row],[Category]],CategoriesTable[Category name],0),0),"")</f>
        <v>Expense</v>
      </c>
      <c r="N1598" s="130" t="str" cm="1">
        <f t="array" ref="N1598">IFERROR(INDEX(SubcategoriesTable[Subcategory name],MATCH(Table1[[#This Row],[Category]],SubcategoriesTable[Category name],0),0),"")</f>
        <v>Variable</v>
      </c>
      <c r="O1598" s="130">
        <v>22</v>
      </c>
      <c r="P1598" s="130">
        <f>MONTH(Table1[[#This Row],[Date]])</f>
        <v>9</v>
      </c>
      <c r="Q1598" s="130">
        <v>2019</v>
      </c>
      <c r="R1598" s="166">
        <f>IF(ISBLANK(Table1[[#This Row],[Date]]),"",Table1[[#This Row],[Date]]-WEEKDAY(Table1[[#This Row],[Date]],2)+1)</f>
        <v>43724</v>
      </c>
      <c r="S1598" s="131">
        <f>IF(ISBLANK(Table1[[#This Row],[Date]]),"",DATE(Table1[[#This Row],[Date_Year]],Table1[[#This Row],[Date_Month]],1))</f>
        <v>43709</v>
      </c>
    </row>
    <row r="1599" spans="2:19" ht="15.75" x14ac:dyDescent="0.25">
      <c r="B1599" s="133">
        <v>43730</v>
      </c>
      <c r="C1599" s="128" t="s">
        <v>2335</v>
      </c>
      <c r="D1599" s="128" t="s">
        <v>60</v>
      </c>
      <c r="E1599" s="128" t="str" cm="1">
        <f t="array" ref="E1599">IFERROR(INDEX(SubcategoriesTable[Subcategory name],MATCH(Table1[[#This Row],[Category]],SubcategoriesTable[Category name],0),0),"")</f>
        <v>Variable</v>
      </c>
      <c r="F1599" s="134">
        <v>-21.2</v>
      </c>
      <c r="G1599" s="167" t="str">
        <f>_xlfn.XLOOKUP(Table1[[#This Row],[Account_ID]], Accounts[ID], Accounts[Account nickname], "Unknown")</f>
        <v>EVERYDAY CHECKING</v>
      </c>
      <c r="H1599" s="137" t="str">
        <f>_xlfn.XLOOKUP(Table1[[#This Row],[Account_ID]], Accounts[ID], Accounts[Account'#], "Unknown")</f>
        <v>4636</v>
      </c>
      <c r="I1599" s="168" t="str">
        <f>_xlfn.XLOOKUP(Table1[[#This Row],[Institution_ID]], Institutions[ID], Institutions[Institution nickname], "Unknown")</f>
        <v>Wells Fargo</v>
      </c>
      <c r="J1599" s="139" t="s">
        <v>2341</v>
      </c>
      <c r="K1599" s="129" t="s">
        <v>1229</v>
      </c>
      <c r="L1599" s="129" t="s">
        <v>1228</v>
      </c>
      <c r="M1599" s="130" t="str" cm="1">
        <f t="array" ref="M1599">IFERROR(INDEX(CategoriesTable[Category type],MATCH(Table1[[#This Row],[Category]],CategoriesTable[Category name],0),0),"")</f>
        <v>Expense</v>
      </c>
      <c r="N1599" s="130" t="str" cm="1">
        <f t="array" ref="N1599">IFERROR(INDEX(SubcategoriesTable[Subcategory name],MATCH(Table1[[#This Row],[Category]],SubcategoriesTable[Category name],0),0),"")</f>
        <v>Variable</v>
      </c>
      <c r="O1599" s="130">
        <v>22</v>
      </c>
      <c r="P1599" s="130">
        <f>MONTH(Table1[[#This Row],[Date]])</f>
        <v>9</v>
      </c>
      <c r="Q1599" s="130">
        <v>2019</v>
      </c>
      <c r="R1599" s="166">
        <f>IF(ISBLANK(Table1[[#This Row],[Date]]),"",Table1[[#This Row],[Date]]-WEEKDAY(Table1[[#This Row],[Date]],2)+1)</f>
        <v>43724</v>
      </c>
      <c r="S1599" s="131">
        <f>IF(ISBLANK(Table1[[#This Row],[Date]]),"",DATE(Table1[[#This Row],[Date_Year]],Table1[[#This Row],[Date_Month]],1))</f>
        <v>43709</v>
      </c>
    </row>
    <row r="1600" spans="2:19" ht="15.75" x14ac:dyDescent="0.25">
      <c r="B1600" s="133">
        <v>43730</v>
      </c>
      <c r="C1600" s="128" t="s">
        <v>148</v>
      </c>
      <c r="D1600" s="128" t="s">
        <v>54</v>
      </c>
      <c r="E1600" s="128" t="str" cm="1">
        <f t="array" ref="E1600">IFERROR(INDEX(SubcategoriesTable[Subcategory name],MATCH(Table1[[#This Row],[Category]],SubcategoriesTable[Category name],0),0),"")</f>
        <v>Fixed</v>
      </c>
      <c r="F1600" s="134">
        <v>-9.99</v>
      </c>
      <c r="G1600" s="167" t="str">
        <f>_xlfn.XLOOKUP(Table1[[#This Row],[Account_ID]], Accounts[ID], Accounts[Account nickname], "Unknown")</f>
        <v>EVERYDAY CHECKING</v>
      </c>
      <c r="H1600" s="137" t="str">
        <f>_xlfn.XLOOKUP(Table1[[#This Row],[Account_ID]], Accounts[ID], Accounts[Account'#], "Unknown")</f>
        <v>4636</v>
      </c>
      <c r="I1600" s="168" t="str">
        <f>_xlfn.XLOOKUP(Table1[[#This Row],[Institution_ID]], Institutions[ID], Institutions[Institution nickname], "Unknown")</f>
        <v>Wells Fargo</v>
      </c>
      <c r="J1600" s="139" t="s">
        <v>2342</v>
      </c>
      <c r="K1600" s="129" t="s">
        <v>1229</v>
      </c>
      <c r="L1600" s="129" t="s">
        <v>1228</v>
      </c>
      <c r="M1600" s="130" t="str" cm="1">
        <f t="array" ref="M1600">IFERROR(INDEX(CategoriesTable[Category type],MATCH(Table1[[#This Row],[Category]],CategoriesTable[Category name],0),0),"")</f>
        <v>Expense</v>
      </c>
      <c r="N1600" s="130" t="str" cm="1">
        <f t="array" ref="N1600">IFERROR(INDEX(SubcategoriesTable[Subcategory name],MATCH(Table1[[#This Row],[Category]],SubcategoriesTable[Category name],0),0),"")</f>
        <v>Fixed</v>
      </c>
      <c r="O1600" s="130">
        <v>22</v>
      </c>
      <c r="P1600" s="130">
        <f>MONTH(Table1[[#This Row],[Date]])</f>
        <v>9</v>
      </c>
      <c r="Q1600" s="130">
        <v>2019</v>
      </c>
      <c r="R1600" s="166">
        <f>IF(ISBLANK(Table1[[#This Row],[Date]]),"",Table1[[#This Row],[Date]]-WEEKDAY(Table1[[#This Row],[Date]],2)+1)</f>
        <v>43724</v>
      </c>
      <c r="S1600" s="131">
        <f>IF(ISBLANK(Table1[[#This Row],[Date]]),"",DATE(Table1[[#This Row],[Date_Year]],Table1[[#This Row],[Date_Month]],1))</f>
        <v>43709</v>
      </c>
    </row>
    <row r="1601" spans="2:19" ht="15.75" x14ac:dyDescent="0.25">
      <c r="B1601" s="133">
        <v>43730</v>
      </c>
      <c r="C1601" s="128" t="s">
        <v>2343</v>
      </c>
      <c r="D1601" s="128" t="s">
        <v>45</v>
      </c>
      <c r="E1601" s="128" t="str" cm="1">
        <f t="array" ref="E1601">IFERROR(INDEX(SubcategoriesTable[Subcategory name],MATCH(Table1[[#This Row],[Category]],SubcategoriesTable[Category name],0),0),"")</f>
        <v>Variable</v>
      </c>
      <c r="F1601" s="134">
        <v>-5</v>
      </c>
      <c r="G1601" s="167" t="str">
        <f>_xlfn.XLOOKUP(Table1[[#This Row],[Account_ID]], Accounts[ID], Accounts[Account nickname], "Unknown")</f>
        <v>EVERYDAY CHECKING</v>
      </c>
      <c r="H1601" s="137" t="str">
        <f>_xlfn.XLOOKUP(Table1[[#This Row],[Account_ID]], Accounts[ID], Accounts[Account'#], "Unknown")</f>
        <v>4636</v>
      </c>
      <c r="I1601" s="168" t="str">
        <f>_xlfn.XLOOKUP(Table1[[#This Row],[Institution_ID]], Institutions[ID], Institutions[Institution nickname], "Unknown")</f>
        <v>Wells Fargo</v>
      </c>
      <c r="J1601" s="139" t="s">
        <v>2344</v>
      </c>
      <c r="K1601" s="129" t="s">
        <v>1229</v>
      </c>
      <c r="L1601" s="129" t="s">
        <v>1228</v>
      </c>
      <c r="M1601" s="130" t="str" cm="1">
        <f t="array" ref="M1601">IFERROR(INDEX(CategoriesTable[Category type],MATCH(Table1[[#This Row],[Category]],CategoriesTable[Category name],0),0),"")</f>
        <v>Expense</v>
      </c>
      <c r="N1601" s="130" t="str" cm="1">
        <f t="array" ref="N1601">IFERROR(INDEX(SubcategoriesTable[Subcategory name],MATCH(Table1[[#This Row],[Category]],SubcategoriesTable[Category name],0),0),"")</f>
        <v>Variable</v>
      </c>
      <c r="O1601" s="130">
        <v>22</v>
      </c>
      <c r="P1601" s="130">
        <f>MONTH(Table1[[#This Row],[Date]])</f>
        <v>9</v>
      </c>
      <c r="Q1601" s="130">
        <v>2019</v>
      </c>
      <c r="R1601" s="166">
        <f>IF(ISBLANK(Table1[[#This Row],[Date]]),"",Table1[[#This Row],[Date]]-WEEKDAY(Table1[[#This Row],[Date]],2)+1)</f>
        <v>43724</v>
      </c>
      <c r="S1601" s="131">
        <f>IF(ISBLANK(Table1[[#This Row],[Date]]),"",DATE(Table1[[#This Row],[Date_Year]],Table1[[#This Row],[Date_Month]],1))</f>
        <v>43709</v>
      </c>
    </row>
    <row r="1602" spans="2:19" ht="15.75" x14ac:dyDescent="0.25">
      <c r="B1602" s="133">
        <v>43729</v>
      </c>
      <c r="C1602" s="128" t="s">
        <v>146</v>
      </c>
      <c r="D1602" s="128" t="s">
        <v>54</v>
      </c>
      <c r="E1602" s="128" t="str" cm="1">
        <f t="array" ref="E1602">IFERROR(INDEX(SubcategoriesTable[Subcategory name],MATCH(Table1[[#This Row],[Category]],SubcategoriesTable[Category name],0),0),"")</f>
        <v>Fixed</v>
      </c>
      <c r="F1602" s="134">
        <v>-178.6</v>
      </c>
      <c r="G1602" s="167" t="str">
        <f>_xlfn.XLOOKUP(Table1[[#This Row],[Account_ID]], Accounts[ID], Accounts[Account nickname], "Unknown")</f>
        <v>EVERYDAY CHECKING</v>
      </c>
      <c r="H1602" s="137" t="str">
        <f>_xlfn.XLOOKUP(Table1[[#This Row],[Account_ID]], Accounts[ID], Accounts[Account'#], "Unknown")</f>
        <v>4636</v>
      </c>
      <c r="I1602" s="168" t="str">
        <f>_xlfn.XLOOKUP(Table1[[#This Row],[Institution_ID]], Institutions[ID], Institutions[Institution nickname], "Unknown")</f>
        <v>Wells Fargo</v>
      </c>
      <c r="J1602" s="139" t="s">
        <v>2345</v>
      </c>
      <c r="K1602" s="129" t="s">
        <v>1229</v>
      </c>
      <c r="L1602" s="129" t="s">
        <v>1228</v>
      </c>
      <c r="M1602" s="130" t="str" cm="1">
        <f t="array" ref="M1602">IFERROR(INDEX(CategoriesTable[Category type],MATCH(Table1[[#This Row],[Category]],CategoriesTable[Category name],0),0),"")</f>
        <v>Expense</v>
      </c>
      <c r="N1602" s="130" t="str" cm="1">
        <f t="array" ref="N1602">IFERROR(INDEX(SubcategoriesTable[Subcategory name],MATCH(Table1[[#This Row],[Category]],SubcategoriesTable[Category name],0),0),"")</f>
        <v>Fixed</v>
      </c>
      <c r="O1602" s="130">
        <v>21</v>
      </c>
      <c r="P1602" s="130">
        <f>MONTH(Table1[[#This Row],[Date]])</f>
        <v>9</v>
      </c>
      <c r="Q1602" s="130">
        <v>2019</v>
      </c>
      <c r="R1602" s="166">
        <f>IF(ISBLANK(Table1[[#This Row],[Date]]),"",Table1[[#This Row],[Date]]-WEEKDAY(Table1[[#This Row],[Date]],2)+1)</f>
        <v>43724</v>
      </c>
      <c r="S1602" s="131">
        <f>IF(ISBLANK(Table1[[#This Row],[Date]]),"",DATE(Table1[[#This Row],[Date_Year]],Table1[[#This Row],[Date_Month]],1))</f>
        <v>43709</v>
      </c>
    </row>
    <row r="1603" spans="2:19" ht="15.75" x14ac:dyDescent="0.25">
      <c r="B1603" s="133">
        <v>43729</v>
      </c>
      <c r="C1603" s="128" t="s">
        <v>2346</v>
      </c>
      <c r="D1603" s="128" t="s">
        <v>50</v>
      </c>
      <c r="E1603" s="128" t="str" cm="1">
        <f t="array" ref="E1603">IFERROR(INDEX(SubcategoriesTable[Subcategory name],MATCH(Table1[[#This Row],[Category]],SubcategoriesTable[Category name],0),0),"")</f>
        <v>Variable</v>
      </c>
      <c r="F1603" s="134">
        <v>-8.77</v>
      </c>
      <c r="G1603" s="167" t="str">
        <f>_xlfn.XLOOKUP(Table1[[#This Row],[Account_ID]], Accounts[ID], Accounts[Account nickname], "Unknown")</f>
        <v>EVERYDAY CHECKING</v>
      </c>
      <c r="H1603" s="137" t="str">
        <f>_xlfn.XLOOKUP(Table1[[#This Row],[Account_ID]], Accounts[ID], Accounts[Account'#], "Unknown")</f>
        <v>4636</v>
      </c>
      <c r="I1603" s="168" t="str">
        <f>_xlfn.XLOOKUP(Table1[[#This Row],[Institution_ID]], Institutions[ID], Institutions[Institution nickname], "Unknown")</f>
        <v>Wells Fargo</v>
      </c>
      <c r="J1603" s="139" t="s">
        <v>2347</v>
      </c>
      <c r="K1603" s="129" t="s">
        <v>1229</v>
      </c>
      <c r="L1603" s="129" t="s">
        <v>1228</v>
      </c>
      <c r="M1603" s="130" t="str" cm="1">
        <f t="array" ref="M1603">IFERROR(INDEX(CategoriesTable[Category type],MATCH(Table1[[#This Row],[Category]],CategoriesTable[Category name],0),0),"")</f>
        <v>Transfer</v>
      </c>
      <c r="N1603" s="130" t="str" cm="1">
        <f t="array" ref="N1603">IFERROR(INDEX(SubcategoriesTable[Subcategory name],MATCH(Table1[[#This Row],[Category]],SubcategoriesTable[Category name],0),0),"")</f>
        <v>Variable</v>
      </c>
      <c r="O1603" s="130">
        <v>21</v>
      </c>
      <c r="P1603" s="130">
        <f>MONTH(Table1[[#This Row],[Date]])</f>
        <v>9</v>
      </c>
      <c r="Q1603" s="130">
        <v>2019</v>
      </c>
      <c r="R1603" s="166">
        <f>IF(ISBLANK(Table1[[#This Row],[Date]]),"",Table1[[#This Row],[Date]]-WEEKDAY(Table1[[#This Row],[Date]],2)+1)</f>
        <v>43724</v>
      </c>
      <c r="S1603" s="131">
        <f>IF(ISBLANK(Table1[[#This Row],[Date]]),"",DATE(Table1[[#This Row],[Date_Year]],Table1[[#This Row],[Date_Month]],1))</f>
        <v>43709</v>
      </c>
    </row>
    <row r="1604" spans="2:19" ht="15.75" x14ac:dyDescent="0.25">
      <c r="B1604" s="133">
        <v>43729</v>
      </c>
      <c r="C1604" s="128" t="s">
        <v>2346</v>
      </c>
      <c r="D1604" s="128" t="s">
        <v>50</v>
      </c>
      <c r="E1604" s="128" t="str" cm="1">
        <f t="array" ref="E1604">IFERROR(INDEX(SubcategoriesTable[Subcategory name],MATCH(Table1[[#This Row],[Category]],SubcategoriesTable[Category name],0),0),"")</f>
        <v>Variable</v>
      </c>
      <c r="F1604" s="134">
        <v>-10.89</v>
      </c>
      <c r="G1604" s="167" t="str">
        <f>_xlfn.XLOOKUP(Table1[[#This Row],[Account_ID]], Accounts[ID], Accounts[Account nickname], "Unknown")</f>
        <v>EVERYDAY CHECKING</v>
      </c>
      <c r="H1604" s="137" t="str">
        <f>_xlfn.XLOOKUP(Table1[[#This Row],[Account_ID]], Accounts[ID], Accounts[Account'#], "Unknown")</f>
        <v>4636</v>
      </c>
      <c r="I1604" s="168" t="str">
        <f>_xlfn.XLOOKUP(Table1[[#This Row],[Institution_ID]], Institutions[ID], Institutions[Institution nickname], "Unknown")</f>
        <v>Wells Fargo</v>
      </c>
      <c r="J1604" s="139" t="s">
        <v>2348</v>
      </c>
      <c r="K1604" s="129" t="s">
        <v>1229</v>
      </c>
      <c r="L1604" s="129" t="s">
        <v>1228</v>
      </c>
      <c r="M1604" s="130" t="str" cm="1">
        <f t="array" ref="M1604">IFERROR(INDEX(CategoriesTable[Category type],MATCH(Table1[[#This Row],[Category]],CategoriesTable[Category name],0),0),"")</f>
        <v>Transfer</v>
      </c>
      <c r="N1604" s="130" t="str" cm="1">
        <f t="array" ref="N1604">IFERROR(INDEX(SubcategoriesTable[Subcategory name],MATCH(Table1[[#This Row],[Category]],SubcategoriesTable[Category name],0),0),"")</f>
        <v>Variable</v>
      </c>
      <c r="O1604" s="130">
        <v>21</v>
      </c>
      <c r="P1604" s="130">
        <f>MONTH(Table1[[#This Row],[Date]])</f>
        <v>9</v>
      </c>
      <c r="Q1604" s="130">
        <v>2019</v>
      </c>
      <c r="R1604" s="166">
        <f>IF(ISBLANK(Table1[[#This Row],[Date]]),"",Table1[[#This Row],[Date]]-WEEKDAY(Table1[[#This Row],[Date]],2)+1)</f>
        <v>43724</v>
      </c>
      <c r="S1604" s="131">
        <f>IF(ISBLANK(Table1[[#This Row],[Date]]),"",DATE(Table1[[#This Row],[Date_Year]],Table1[[#This Row],[Date_Month]],1))</f>
        <v>43709</v>
      </c>
    </row>
    <row r="1605" spans="2:19" ht="15.75" x14ac:dyDescent="0.25">
      <c r="B1605" s="133">
        <v>43729</v>
      </c>
      <c r="C1605" s="128" t="s">
        <v>2349</v>
      </c>
      <c r="D1605" s="128" t="s">
        <v>50</v>
      </c>
      <c r="E1605" s="128" t="str" cm="1">
        <f t="array" ref="E1605">IFERROR(INDEX(SubcategoriesTable[Subcategory name],MATCH(Table1[[#This Row],[Category]],SubcategoriesTable[Category name],0),0),"")</f>
        <v>Variable</v>
      </c>
      <c r="F1605" s="134">
        <v>-14.88</v>
      </c>
      <c r="G1605" s="167" t="str">
        <f>_xlfn.XLOOKUP(Table1[[#This Row],[Account_ID]], Accounts[ID], Accounts[Account nickname], "Unknown")</f>
        <v>EVERYDAY CHECKING</v>
      </c>
      <c r="H1605" s="137" t="str">
        <f>_xlfn.XLOOKUP(Table1[[#This Row],[Account_ID]], Accounts[ID], Accounts[Account'#], "Unknown")</f>
        <v>4636</v>
      </c>
      <c r="I1605" s="168" t="str">
        <f>_xlfn.XLOOKUP(Table1[[#This Row],[Institution_ID]], Institutions[ID], Institutions[Institution nickname], "Unknown")</f>
        <v>Wells Fargo</v>
      </c>
      <c r="J1605" s="139" t="s">
        <v>2350</v>
      </c>
      <c r="K1605" s="129" t="s">
        <v>1229</v>
      </c>
      <c r="L1605" s="129" t="s">
        <v>1228</v>
      </c>
      <c r="M1605" s="130" t="str" cm="1">
        <f t="array" ref="M1605">IFERROR(INDEX(CategoriesTable[Category type],MATCH(Table1[[#This Row],[Category]],CategoriesTable[Category name],0),0),"")</f>
        <v>Transfer</v>
      </c>
      <c r="N1605" s="130" t="str" cm="1">
        <f t="array" ref="N1605">IFERROR(INDEX(SubcategoriesTable[Subcategory name],MATCH(Table1[[#This Row],[Category]],SubcategoriesTable[Category name],0),0),"")</f>
        <v>Variable</v>
      </c>
      <c r="O1605" s="130">
        <v>21</v>
      </c>
      <c r="P1605" s="130">
        <f>MONTH(Table1[[#This Row],[Date]])</f>
        <v>9</v>
      </c>
      <c r="Q1605" s="130">
        <v>2019</v>
      </c>
      <c r="R1605" s="166">
        <f>IF(ISBLANK(Table1[[#This Row],[Date]]),"",Table1[[#This Row],[Date]]-WEEKDAY(Table1[[#This Row],[Date]],2)+1)</f>
        <v>43724</v>
      </c>
      <c r="S1605" s="131">
        <f>IF(ISBLANK(Table1[[#This Row],[Date]]),"",DATE(Table1[[#This Row],[Date_Year]],Table1[[#This Row],[Date_Month]],1))</f>
        <v>43709</v>
      </c>
    </row>
    <row r="1606" spans="2:19" ht="15.75" x14ac:dyDescent="0.25">
      <c r="B1606" s="133">
        <v>43728</v>
      </c>
      <c r="C1606" s="128" t="s">
        <v>2351</v>
      </c>
      <c r="D1606" s="128" t="s">
        <v>45</v>
      </c>
      <c r="E1606" s="128" t="str" cm="1">
        <f t="array" ref="E1606">IFERROR(INDEX(SubcategoriesTable[Subcategory name],MATCH(Table1[[#This Row],[Category]],SubcategoriesTable[Category name],0),0),"")</f>
        <v>Variable</v>
      </c>
      <c r="F1606" s="134">
        <v>-16.010000000000002</v>
      </c>
      <c r="G1606" s="167" t="str">
        <f>_xlfn.XLOOKUP(Table1[[#This Row],[Account_ID]], Accounts[ID], Accounts[Account nickname], "Unknown")</f>
        <v>EVERYDAY CHECKING</v>
      </c>
      <c r="H1606" s="137" t="str">
        <f>_xlfn.XLOOKUP(Table1[[#This Row],[Account_ID]], Accounts[ID], Accounts[Account'#], "Unknown")</f>
        <v>4636</v>
      </c>
      <c r="I1606" s="168" t="str">
        <f>_xlfn.XLOOKUP(Table1[[#This Row],[Institution_ID]], Institutions[ID], Institutions[Institution nickname], "Unknown")</f>
        <v>Wells Fargo</v>
      </c>
      <c r="J1606" s="171" t="s">
        <v>2352</v>
      </c>
      <c r="K1606" s="129" t="s">
        <v>1229</v>
      </c>
      <c r="L1606" s="129" t="s">
        <v>1228</v>
      </c>
      <c r="M1606" s="130" t="str" cm="1">
        <f t="array" ref="M1606">IFERROR(INDEX(CategoriesTable[Category type],MATCH(Table1[[#This Row],[Category]],CategoriesTable[Category name],0),0),"")</f>
        <v>Expense</v>
      </c>
      <c r="N1606" s="130" t="str" cm="1">
        <f t="array" ref="N1606">IFERROR(INDEX(SubcategoriesTable[Subcategory name],MATCH(Table1[[#This Row],[Category]],SubcategoriesTable[Category name],0),0),"")</f>
        <v>Variable</v>
      </c>
      <c r="O1606" s="130">
        <v>20</v>
      </c>
      <c r="P1606" s="130">
        <f>MONTH(Table1[[#This Row],[Date]])</f>
        <v>9</v>
      </c>
      <c r="Q1606" s="130">
        <v>2019</v>
      </c>
      <c r="R1606" s="166">
        <f>IF(ISBLANK(Table1[[#This Row],[Date]]),"",Table1[[#This Row],[Date]]-WEEKDAY(Table1[[#This Row],[Date]],2)+1)</f>
        <v>43724</v>
      </c>
      <c r="S1606" s="131">
        <f>IF(ISBLANK(Table1[[#This Row],[Date]]),"",DATE(Table1[[#This Row],[Date_Year]],Table1[[#This Row],[Date_Month]],1))</f>
        <v>43709</v>
      </c>
    </row>
    <row r="1607" spans="2:19" ht="15.75" x14ac:dyDescent="0.25">
      <c r="B1607" s="133">
        <v>43728</v>
      </c>
      <c r="C1607" s="128" t="s">
        <v>115</v>
      </c>
      <c r="D1607" s="128" t="s">
        <v>48</v>
      </c>
      <c r="E1607" s="128" t="str" cm="1">
        <f t="array" ref="E1607">IFERROR(INDEX(SubcategoriesTable[Subcategory name],MATCH(Table1[[#This Row],[Category]],SubcategoriesTable[Category name],0),0),"")</f>
        <v>Variable</v>
      </c>
      <c r="F1607" s="134">
        <v>-59.03</v>
      </c>
      <c r="G1607" s="167" t="str">
        <f>_xlfn.XLOOKUP(Table1[[#This Row],[Account_ID]], Accounts[ID], Accounts[Account nickname], "Unknown")</f>
        <v>EVERYDAY CHECKING</v>
      </c>
      <c r="H1607" s="137" t="str">
        <f>_xlfn.XLOOKUP(Table1[[#This Row],[Account_ID]], Accounts[ID], Accounts[Account'#], "Unknown")</f>
        <v>4636</v>
      </c>
      <c r="I1607" s="168" t="str">
        <f>_xlfn.XLOOKUP(Table1[[#This Row],[Institution_ID]], Institutions[ID], Institutions[Institution nickname], "Unknown")</f>
        <v>Wells Fargo</v>
      </c>
      <c r="J1607" s="139" t="s">
        <v>2353</v>
      </c>
      <c r="K1607" s="129" t="s">
        <v>1229</v>
      </c>
      <c r="L1607" s="129" t="s">
        <v>1228</v>
      </c>
      <c r="M1607" s="130" t="str" cm="1">
        <f t="array" ref="M1607">IFERROR(INDEX(CategoriesTable[Category type],MATCH(Table1[[#This Row],[Category]],CategoriesTable[Category name],0),0),"")</f>
        <v>Expense</v>
      </c>
      <c r="N1607" s="130" t="str" cm="1">
        <f t="array" ref="N1607">IFERROR(INDEX(SubcategoriesTable[Subcategory name],MATCH(Table1[[#This Row],[Category]],SubcategoriesTable[Category name],0),0),"")</f>
        <v>Variable</v>
      </c>
      <c r="O1607" s="130">
        <v>20</v>
      </c>
      <c r="P1607" s="130">
        <f>MONTH(Table1[[#This Row],[Date]])</f>
        <v>9</v>
      </c>
      <c r="Q1607" s="130">
        <v>2019</v>
      </c>
      <c r="R1607" s="166">
        <f>IF(ISBLANK(Table1[[#This Row],[Date]]),"",Table1[[#This Row],[Date]]-WEEKDAY(Table1[[#This Row],[Date]],2)+1)</f>
        <v>43724</v>
      </c>
      <c r="S1607" s="131">
        <f>IF(ISBLANK(Table1[[#This Row],[Date]]),"",DATE(Table1[[#This Row],[Date_Year]],Table1[[#This Row],[Date_Month]],1))</f>
        <v>43709</v>
      </c>
    </row>
    <row r="1608" spans="2:19" ht="15.75" x14ac:dyDescent="0.25">
      <c r="B1608" s="133">
        <v>43728</v>
      </c>
      <c r="C1608" s="128" t="s">
        <v>115</v>
      </c>
      <c r="D1608" s="128" t="s">
        <v>48</v>
      </c>
      <c r="E1608" s="128" t="str" cm="1">
        <f t="array" ref="E1608">IFERROR(INDEX(SubcategoriesTable[Subcategory name],MATCH(Table1[[#This Row],[Category]],SubcategoriesTable[Category name],0),0),"")</f>
        <v>Variable</v>
      </c>
      <c r="F1608" s="134">
        <v>-710.88</v>
      </c>
      <c r="G1608" s="167" t="str">
        <f>_xlfn.XLOOKUP(Table1[[#This Row],[Account_ID]], Accounts[ID], Accounts[Account nickname], "Unknown")</f>
        <v>EVERYDAY CHECKING</v>
      </c>
      <c r="H1608" s="137" t="str">
        <f>_xlfn.XLOOKUP(Table1[[#This Row],[Account_ID]], Accounts[ID], Accounts[Account'#], "Unknown")</f>
        <v>4636</v>
      </c>
      <c r="I1608" s="168" t="str">
        <f>_xlfn.XLOOKUP(Table1[[#This Row],[Institution_ID]], Institutions[ID], Institutions[Institution nickname], "Unknown")</f>
        <v>Wells Fargo</v>
      </c>
      <c r="J1608" s="139" t="s">
        <v>2354</v>
      </c>
      <c r="K1608" s="129" t="s">
        <v>1229</v>
      </c>
      <c r="L1608" s="129" t="s">
        <v>1228</v>
      </c>
      <c r="M1608" s="130" t="str" cm="1">
        <f t="array" ref="M1608">IFERROR(INDEX(CategoriesTable[Category type],MATCH(Table1[[#This Row],[Category]],CategoriesTable[Category name],0),0),"")</f>
        <v>Expense</v>
      </c>
      <c r="N1608" s="130" t="str" cm="1">
        <f t="array" ref="N1608">IFERROR(INDEX(SubcategoriesTable[Subcategory name],MATCH(Table1[[#This Row],[Category]],SubcategoriesTable[Category name],0),0),"")</f>
        <v>Variable</v>
      </c>
      <c r="O1608" s="130">
        <v>20</v>
      </c>
      <c r="P1608" s="130">
        <f>MONTH(Table1[[#This Row],[Date]])</f>
        <v>9</v>
      </c>
      <c r="Q1608" s="130">
        <v>2019</v>
      </c>
      <c r="R1608" s="166">
        <f>IF(ISBLANK(Table1[[#This Row],[Date]]),"",Table1[[#This Row],[Date]]-WEEKDAY(Table1[[#This Row],[Date]],2)+1)</f>
        <v>43724</v>
      </c>
      <c r="S1608" s="131">
        <f>IF(ISBLANK(Table1[[#This Row],[Date]]),"",DATE(Table1[[#This Row],[Date_Year]],Table1[[#This Row],[Date_Month]],1))</f>
        <v>43709</v>
      </c>
    </row>
    <row r="1609" spans="2:19" ht="15.75" x14ac:dyDescent="0.25">
      <c r="B1609" s="133">
        <v>43728</v>
      </c>
      <c r="C1609" s="128" t="s">
        <v>1066</v>
      </c>
      <c r="D1609" s="128" t="s">
        <v>61</v>
      </c>
      <c r="E1609" s="128" t="str" cm="1">
        <f t="array" ref="E1609">IFERROR(INDEX(SubcategoriesTable[Subcategory name],MATCH(Table1[[#This Row],[Category]],SubcategoriesTable[Category name],0),0),"")</f>
        <v>Variable</v>
      </c>
      <c r="F1609" s="134">
        <v>-14.37</v>
      </c>
      <c r="G1609" s="167" t="str">
        <f>_xlfn.XLOOKUP(Table1[[#This Row],[Account_ID]], Accounts[ID], Accounts[Account nickname], "Unknown")</f>
        <v>Discover it chrome Card</v>
      </c>
      <c r="H1609" s="137" t="str">
        <f>_xlfn.XLOOKUP(Table1[[#This Row],[Account_ID]], Accounts[ID], Accounts[Account'#], "Unknown")</f>
        <v>7328</v>
      </c>
      <c r="I1609" s="168" t="str">
        <f>_xlfn.XLOOKUP(Table1[[#This Row],[Institution_ID]], Institutions[ID], Institutions[Institution nickname], "Unknown")</f>
        <v>Discover</v>
      </c>
      <c r="J1609" s="171" t="s">
        <v>1093</v>
      </c>
      <c r="K1609" s="129" t="s">
        <v>110</v>
      </c>
      <c r="L1609" s="129" t="s">
        <v>108</v>
      </c>
      <c r="M1609" s="130" t="str" cm="1">
        <f t="array" ref="M1609">IFERROR(INDEX(CategoriesTable[Category type],MATCH(Table1[[#This Row],[Category]],CategoriesTable[Category name],0),0),"")</f>
        <v>Expense</v>
      </c>
      <c r="N1609" s="130" t="str" cm="1">
        <f t="array" ref="N1609">IFERROR(INDEX(SubcategoriesTable[Subcategory name],MATCH(Table1[[#This Row],[Category]],SubcategoriesTable[Category name],0),0),"")</f>
        <v>Variable</v>
      </c>
      <c r="O1609" s="130">
        <v>20</v>
      </c>
      <c r="P1609" s="130">
        <f>MONTH(Table1[[#This Row],[Date]])</f>
        <v>9</v>
      </c>
      <c r="Q1609" s="130">
        <v>2019</v>
      </c>
      <c r="R1609" s="166">
        <f>IF(ISBLANK(Table1[[#This Row],[Date]]),"",Table1[[#This Row],[Date]]-WEEKDAY(Table1[[#This Row],[Date]],2)+1)</f>
        <v>43724</v>
      </c>
      <c r="S1609" s="131">
        <f>IF(ISBLANK(Table1[[#This Row],[Date]]),"",DATE(Table1[[#This Row],[Date_Year]],Table1[[#This Row],[Date_Month]],1))</f>
        <v>43709</v>
      </c>
    </row>
    <row r="1610" spans="2:19" ht="15.75" x14ac:dyDescent="0.25">
      <c r="B1610" s="133">
        <v>43727</v>
      </c>
      <c r="C1610" s="128" t="s">
        <v>645</v>
      </c>
      <c r="D1610" s="128" t="s">
        <v>45</v>
      </c>
      <c r="E1610" s="128" t="str" cm="1">
        <f t="array" ref="E1610">IFERROR(INDEX(SubcategoriesTable[Subcategory name],MATCH(Table1[[#This Row],[Category]],SubcategoriesTable[Category name],0),0),"")</f>
        <v>Variable</v>
      </c>
      <c r="F1610" s="134">
        <v>-13.72</v>
      </c>
      <c r="G1610" s="167" t="str">
        <f>_xlfn.XLOOKUP(Table1[[#This Row],[Account_ID]], Accounts[ID], Accounts[Account nickname], "Unknown")</f>
        <v>EVERYDAY CHECKING</v>
      </c>
      <c r="H1610" s="137" t="str">
        <f>_xlfn.XLOOKUP(Table1[[#This Row],[Account_ID]], Accounts[ID], Accounts[Account'#], "Unknown")</f>
        <v>4636</v>
      </c>
      <c r="I1610" s="168" t="str">
        <f>_xlfn.XLOOKUP(Table1[[#This Row],[Institution_ID]], Institutions[ID], Institutions[Institution nickname], "Unknown")</f>
        <v>Wells Fargo</v>
      </c>
      <c r="J1610" s="139" t="s">
        <v>2355</v>
      </c>
      <c r="K1610" s="129" t="s">
        <v>1229</v>
      </c>
      <c r="L1610" s="129" t="s">
        <v>1228</v>
      </c>
      <c r="M1610" s="130" t="str" cm="1">
        <f t="array" ref="M1610">IFERROR(INDEX(CategoriesTable[Category type],MATCH(Table1[[#This Row],[Category]],CategoriesTable[Category name],0),0),"")</f>
        <v>Expense</v>
      </c>
      <c r="N1610" s="130" t="str" cm="1">
        <f t="array" ref="N1610">IFERROR(INDEX(SubcategoriesTable[Subcategory name],MATCH(Table1[[#This Row],[Category]],SubcategoriesTable[Category name],0),0),"")</f>
        <v>Variable</v>
      </c>
      <c r="O1610" s="130">
        <v>19</v>
      </c>
      <c r="P1610" s="130">
        <f>MONTH(Table1[[#This Row],[Date]])</f>
        <v>9</v>
      </c>
      <c r="Q1610" s="130">
        <v>2019</v>
      </c>
      <c r="R1610" s="166">
        <f>IF(ISBLANK(Table1[[#This Row],[Date]]),"",Table1[[#This Row],[Date]]-WEEKDAY(Table1[[#This Row],[Date]],2)+1)</f>
        <v>43724</v>
      </c>
      <c r="S1610" s="131">
        <f>IF(ISBLANK(Table1[[#This Row],[Date]]),"",DATE(Table1[[#This Row],[Date_Year]],Table1[[#This Row],[Date_Month]],1))</f>
        <v>43709</v>
      </c>
    </row>
    <row r="1611" spans="2:19" ht="15.75" x14ac:dyDescent="0.25">
      <c r="B1611" s="133">
        <v>43727</v>
      </c>
      <c r="C1611" s="128" t="s">
        <v>2356</v>
      </c>
      <c r="D1611" s="128" t="s">
        <v>45</v>
      </c>
      <c r="E1611" s="128" t="str" cm="1">
        <f t="array" ref="E1611">IFERROR(INDEX(SubcategoriesTable[Subcategory name],MATCH(Table1[[#This Row],[Category]],SubcategoriesTable[Category name],0),0),"")</f>
        <v>Variable</v>
      </c>
      <c r="F1611" s="134">
        <v>-7.33</v>
      </c>
      <c r="G1611" s="167" t="str">
        <f>_xlfn.XLOOKUP(Table1[[#This Row],[Account_ID]], Accounts[ID], Accounts[Account nickname], "Unknown")</f>
        <v>EVERYDAY CHECKING</v>
      </c>
      <c r="H1611" s="137" t="str">
        <f>_xlfn.XLOOKUP(Table1[[#This Row],[Account_ID]], Accounts[ID], Accounts[Account'#], "Unknown")</f>
        <v>4636</v>
      </c>
      <c r="I1611" s="168" t="str">
        <f>_xlfn.XLOOKUP(Table1[[#This Row],[Institution_ID]], Institutions[ID], Institutions[Institution nickname], "Unknown")</f>
        <v>Wells Fargo</v>
      </c>
      <c r="J1611" s="139" t="s">
        <v>2357</v>
      </c>
      <c r="K1611" s="129" t="s">
        <v>1229</v>
      </c>
      <c r="L1611" s="129" t="s">
        <v>1228</v>
      </c>
      <c r="M1611" s="130" t="str" cm="1">
        <f t="array" ref="M1611">IFERROR(INDEX(CategoriesTable[Category type],MATCH(Table1[[#This Row],[Category]],CategoriesTable[Category name],0),0),"")</f>
        <v>Expense</v>
      </c>
      <c r="N1611" s="130" t="str" cm="1">
        <f t="array" ref="N1611">IFERROR(INDEX(SubcategoriesTable[Subcategory name],MATCH(Table1[[#This Row],[Category]],SubcategoriesTable[Category name],0),0),"")</f>
        <v>Variable</v>
      </c>
      <c r="O1611" s="130">
        <v>19</v>
      </c>
      <c r="P1611" s="130">
        <f>MONTH(Table1[[#This Row],[Date]])</f>
        <v>9</v>
      </c>
      <c r="Q1611" s="130">
        <v>2019</v>
      </c>
      <c r="R1611" s="166">
        <f>IF(ISBLANK(Table1[[#This Row],[Date]]),"",Table1[[#This Row],[Date]]-WEEKDAY(Table1[[#This Row],[Date]],2)+1)</f>
        <v>43724</v>
      </c>
      <c r="S1611" s="131">
        <f>IF(ISBLANK(Table1[[#This Row],[Date]]),"",DATE(Table1[[#This Row],[Date_Year]],Table1[[#This Row],[Date_Month]],1))</f>
        <v>43709</v>
      </c>
    </row>
    <row r="1612" spans="2:19" ht="15.75" x14ac:dyDescent="0.25">
      <c r="B1612" s="133">
        <v>43727</v>
      </c>
      <c r="C1612" s="128" t="s">
        <v>2358</v>
      </c>
      <c r="D1612" s="128" t="s">
        <v>46</v>
      </c>
      <c r="E1612" s="128" t="str" cm="1">
        <f t="array" ref="E1612">IFERROR(INDEX(SubcategoriesTable[Subcategory name],MATCH(Table1[[#This Row],[Category]],SubcategoriesTable[Category name],0),0),"")</f>
        <v>Variable</v>
      </c>
      <c r="F1612" s="134">
        <v>167.43</v>
      </c>
      <c r="G1612" s="167" t="str">
        <f>_xlfn.XLOOKUP(Table1[[#This Row],[Account_ID]], Accounts[ID], Accounts[Account nickname], "Unknown")</f>
        <v>EVERYDAY CHECKING</v>
      </c>
      <c r="H1612" s="137" t="str">
        <f>_xlfn.XLOOKUP(Table1[[#This Row],[Account_ID]], Accounts[ID], Accounts[Account'#], "Unknown")</f>
        <v>4636</v>
      </c>
      <c r="I1612" s="168" t="str">
        <f>_xlfn.XLOOKUP(Table1[[#This Row],[Institution_ID]], Institutions[ID], Institutions[Institution nickname], "Unknown")</f>
        <v>Wells Fargo</v>
      </c>
      <c r="J1612" s="139" t="s">
        <v>2359</v>
      </c>
      <c r="K1612" s="129" t="s">
        <v>1229</v>
      </c>
      <c r="L1612" s="129" t="s">
        <v>1228</v>
      </c>
      <c r="M1612" s="130" t="str" cm="1">
        <f t="array" ref="M1612">IFERROR(INDEX(CategoriesTable[Category type],MATCH(Table1[[#This Row],[Category]],CategoriesTable[Category name],0),0),"")</f>
        <v>Expense</v>
      </c>
      <c r="N1612" s="130" t="str" cm="1">
        <f t="array" ref="N1612">IFERROR(INDEX(SubcategoriesTable[Subcategory name],MATCH(Table1[[#This Row],[Category]],SubcategoriesTable[Category name],0),0),"")</f>
        <v>Variable</v>
      </c>
      <c r="O1612" s="130">
        <v>19</v>
      </c>
      <c r="P1612" s="130">
        <f>MONTH(Table1[[#This Row],[Date]])</f>
        <v>9</v>
      </c>
      <c r="Q1612" s="130">
        <v>2019</v>
      </c>
      <c r="R1612" s="166">
        <f>IF(ISBLANK(Table1[[#This Row],[Date]]),"",Table1[[#This Row],[Date]]-WEEKDAY(Table1[[#This Row],[Date]],2)+1)</f>
        <v>43724</v>
      </c>
      <c r="S1612" s="131">
        <f>IF(ISBLANK(Table1[[#This Row],[Date]]),"",DATE(Table1[[#This Row],[Date_Year]],Table1[[#This Row],[Date_Month]],1))</f>
        <v>43709</v>
      </c>
    </row>
    <row r="1613" spans="2:19" ht="15.75" x14ac:dyDescent="0.25">
      <c r="B1613" s="133">
        <v>43726</v>
      </c>
      <c r="C1613" s="128" t="s">
        <v>180</v>
      </c>
      <c r="D1613" s="128" t="s">
        <v>45</v>
      </c>
      <c r="E1613" s="128" t="str" cm="1">
        <f t="array" ref="E1613">IFERROR(INDEX(SubcategoriesTable[Subcategory name],MATCH(Table1[[#This Row],[Category]],SubcategoriesTable[Category name],0),0),"")</f>
        <v>Variable</v>
      </c>
      <c r="F1613" s="134">
        <v>-12.9</v>
      </c>
      <c r="G1613" s="167" t="str">
        <f>_xlfn.XLOOKUP(Table1[[#This Row],[Account_ID]], Accounts[ID], Accounts[Account nickname], "Unknown")</f>
        <v>EVERYDAY CHECKING</v>
      </c>
      <c r="H1613" s="137" t="str">
        <f>_xlfn.XLOOKUP(Table1[[#This Row],[Account_ID]], Accounts[ID], Accounts[Account'#], "Unknown")</f>
        <v>4636</v>
      </c>
      <c r="I1613" s="168" t="str">
        <f>_xlfn.XLOOKUP(Table1[[#This Row],[Institution_ID]], Institutions[ID], Institutions[Institution nickname], "Unknown")</f>
        <v>Wells Fargo</v>
      </c>
      <c r="J1613" s="139" t="s">
        <v>2360</v>
      </c>
      <c r="K1613" s="129" t="s">
        <v>1229</v>
      </c>
      <c r="L1613" s="129" t="s">
        <v>1228</v>
      </c>
      <c r="M1613" s="130" t="str" cm="1">
        <f t="array" ref="M1613">IFERROR(INDEX(CategoriesTable[Category type],MATCH(Table1[[#This Row],[Category]],CategoriesTable[Category name],0),0),"")</f>
        <v>Expense</v>
      </c>
      <c r="N1613" s="130" t="str" cm="1">
        <f t="array" ref="N1613">IFERROR(INDEX(SubcategoriesTable[Subcategory name],MATCH(Table1[[#This Row],[Category]],SubcategoriesTable[Category name],0),0),"")</f>
        <v>Variable</v>
      </c>
      <c r="O1613" s="130">
        <v>18</v>
      </c>
      <c r="P1613" s="130">
        <f>MONTH(Table1[[#This Row],[Date]])</f>
        <v>9</v>
      </c>
      <c r="Q1613" s="130">
        <v>2019</v>
      </c>
      <c r="R1613" s="166">
        <f>IF(ISBLANK(Table1[[#This Row],[Date]]),"",Table1[[#This Row],[Date]]-WEEKDAY(Table1[[#This Row],[Date]],2)+1)</f>
        <v>43724</v>
      </c>
      <c r="S1613" s="131">
        <f>IF(ISBLANK(Table1[[#This Row],[Date]]),"",DATE(Table1[[#This Row],[Date_Year]],Table1[[#This Row],[Date_Month]],1))</f>
        <v>43709</v>
      </c>
    </row>
    <row r="1614" spans="2:19" ht="15.75" x14ac:dyDescent="0.25">
      <c r="B1614" s="133">
        <v>43726</v>
      </c>
      <c r="C1614" s="128" t="s">
        <v>1094</v>
      </c>
      <c r="D1614" s="128" t="s">
        <v>58</v>
      </c>
      <c r="E1614" s="128" t="str" cm="1">
        <f t="array" ref="E1614">IFERROR(INDEX(SubcategoriesTable[Subcategory name],MATCH(Table1[[#This Row],[Category]],SubcategoriesTable[Category name],0),0),"")</f>
        <v>Fixed</v>
      </c>
      <c r="F1614" s="134">
        <v>-41.35</v>
      </c>
      <c r="G1614" s="167" t="str">
        <f>_xlfn.XLOOKUP(Table1[[#This Row],[Account_ID]], Accounts[ID], Accounts[Account nickname], "Unknown")</f>
        <v>Discover it chrome Card</v>
      </c>
      <c r="H1614" s="137" t="str">
        <f>_xlfn.XLOOKUP(Table1[[#This Row],[Account_ID]], Accounts[ID], Accounts[Account'#], "Unknown")</f>
        <v>7328</v>
      </c>
      <c r="I1614" s="168" t="str">
        <f>_xlfn.XLOOKUP(Table1[[#This Row],[Institution_ID]], Institutions[ID], Institutions[Institution nickname], "Unknown")</f>
        <v>Discover</v>
      </c>
      <c r="J1614" s="139" t="s">
        <v>1095</v>
      </c>
      <c r="K1614" s="129" t="s">
        <v>110</v>
      </c>
      <c r="L1614" s="129" t="s">
        <v>108</v>
      </c>
      <c r="M1614" s="130" t="str" cm="1">
        <f t="array" ref="M1614">IFERROR(INDEX(CategoriesTable[Category type],MATCH(Table1[[#This Row],[Category]],CategoriesTable[Category name],0),0),"")</f>
        <v>Expense</v>
      </c>
      <c r="N1614" s="130" t="str" cm="1">
        <f t="array" ref="N1614">IFERROR(INDEX(SubcategoriesTable[Subcategory name],MATCH(Table1[[#This Row],[Category]],SubcategoriesTable[Category name],0),0),"")</f>
        <v>Fixed</v>
      </c>
      <c r="O1614" s="130">
        <v>18</v>
      </c>
      <c r="P1614" s="130">
        <f>MONTH(Table1[[#This Row],[Date]])</f>
        <v>9</v>
      </c>
      <c r="Q1614" s="130">
        <v>2019</v>
      </c>
      <c r="R1614" s="166">
        <f>IF(ISBLANK(Table1[[#This Row],[Date]]),"",Table1[[#This Row],[Date]]-WEEKDAY(Table1[[#This Row],[Date]],2)+1)</f>
        <v>43724</v>
      </c>
      <c r="S1614" s="131">
        <f>IF(ISBLANK(Table1[[#This Row],[Date]]),"",DATE(Table1[[#This Row],[Date_Year]],Table1[[#This Row],[Date_Month]],1))</f>
        <v>43709</v>
      </c>
    </row>
    <row r="1615" spans="2:19" ht="15.75" x14ac:dyDescent="0.25">
      <c r="B1615" s="133">
        <v>43726</v>
      </c>
      <c r="C1615" s="128" t="s">
        <v>1096</v>
      </c>
      <c r="D1615" s="128" t="s">
        <v>52</v>
      </c>
      <c r="E1615" s="128" t="str" cm="1">
        <f t="array" ref="E1615">IFERROR(INDEX(SubcategoriesTable[Subcategory name],MATCH(Table1[[#This Row],[Category]],SubcategoriesTable[Category name],0),0),"")</f>
        <v>Variable</v>
      </c>
      <c r="F1615" s="134">
        <v>-2.37</v>
      </c>
      <c r="G1615" s="167" t="str">
        <f>_xlfn.XLOOKUP(Table1[[#This Row],[Account_ID]], Accounts[ID], Accounts[Account nickname], "Unknown")</f>
        <v>Discover it chrome Card</v>
      </c>
      <c r="H1615" s="137" t="str">
        <f>_xlfn.XLOOKUP(Table1[[#This Row],[Account_ID]], Accounts[ID], Accounts[Account'#], "Unknown")</f>
        <v>7328</v>
      </c>
      <c r="I1615" s="168" t="str">
        <f>_xlfn.XLOOKUP(Table1[[#This Row],[Institution_ID]], Institutions[ID], Institutions[Institution nickname], "Unknown")</f>
        <v>Discover</v>
      </c>
      <c r="J1615" s="139" t="s">
        <v>1097</v>
      </c>
      <c r="K1615" s="129" t="s">
        <v>110</v>
      </c>
      <c r="L1615" s="129" t="s">
        <v>108</v>
      </c>
      <c r="M1615" s="130" t="str" cm="1">
        <f t="array" ref="M1615">IFERROR(INDEX(CategoriesTable[Category type],MATCH(Table1[[#This Row],[Category]],CategoriesTable[Category name],0),0),"")</f>
        <v>Expense</v>
      </c>
      <c r="N1615" s="130" t="str" cm="1">
        <f t="array" ref="N1615">IFERROR(INDEX(SubcategoriesTable[Subcategory name],MATCH(Table1[[#This Row],[Category]],SubcategoriesTable[Category name],0),0),"")</f>
        <v>Variable</v>
      </c>
      <c r="O1615" s="130">
        <v>18</v>
      </c>
      <c r="P1615" s="130">
        <f>MONTH(Table1[[#This Row],[Date]])</f>
        <v>9</v>
      </c>
      <c r="Q1615" s="130">
        <v>2019</v>
      </c>
      <c r="R1615" s="166">
        <f>IF(ISBLANK(Table1[[#This Row],[Date]]),"",Table1[[#This Row],[Date]]-WEEKDAY(Table1[[#This Row],[Date]],2)+1)</f>
        <v>43724</v>
      </c>
      <c r="S1615" s="131">
        <f>IF(ISBLANK(Table1[[#This Row],[Date]]),"",DATE(Table1[[#This Row],[Date_Year]],Table1[[#This Row],[Date_Month]],1))</f>
        <v>43709</v>
      </c>
    </row>
    <row r="1616" spans="2:19" ht="15.75" x14ac:dyDescent="0.25">
      <c r="B1616" s="133">
        <v>43726</v>
      </c>
      <c r="C1616" s="128" t="s">
        <v>1096</v>
      </c>
      <c r="D1616" s="128" t="s">
        <v>52</v>
      </c>
      <c r="E1616" s="128" t="str" cm="1">
        <f t="array" ref="E1616">IFERROR(INDEX(SubcategoriesTable[Subcategory name],MATCH(Table1[[#This Row],[Category]],SubcategoriesTable[Category name],0),0),"")</f>
        <v>Variable</v>
      </c>
      <c r="F1616" s="134">
        <v>-5.31</v>
      </c>
      <c r="G1616" s="167" t="str">
        <f>_xlfn.XLOOKUP(Table1[[#This Row],[Account_ID]], Accounts[ID], Accounts[Account nickname], "Unknown")</f>
        <v>Discover it chrome Card</v>
      </c>
      <c r="H1616" s="137" t="str">
        <f>_xlfn.XLOOKUP(Table1[[#This Row],[Account_ID]], Accounts[ID], Accounts[Account'#], "Unknown")</f>
        <v>7328</v>
      </c>
      <c r="I1616" s="168" t="str">
        <f>_xlfn.XLOOKUP(Table1[[#This Row],[Institution_ID]], Institutions[ID], Institutions[Institution nickname], "Unknown")</f>
        <v>Discover</v>
      </c>
      <c r="J1616" s="139" t="s">
        <v>1098</v>
      </c>
      <c r="K1616" s="129" t="s">
        <v>110</v>
      </c>
      <c r="L1616" s="129" t="s">
        <v>108</v>
      </c>
      <c r="M1616" s="130" t="str" cm="1">
        <f t="array" ref="M1616">IFERROR(INDEX(CategoriesTable[Category type],MATCH(Table1[[#This Row],[Category]],CategoriesTable[Category name],0),0),"")</f>
        <v>Expense</v>
      </c>
      <c r="N1616" s="130" t="str" cm="1">
        <f t="array" ref="N1616">IFERROR(INDEX(SubcategoriesTable[Subcategory name],MATCH(Table1[[#This Row],[Category]],SubcategoriesTable[Category name],0),0),"")</f>
        <v>Variable</v>
      </c>
      <c r="O1616" s="130">
        <v>18</v>
      </c>
      <c r="P1616" s="130">
        <f>MONTH(Table1[[#This Row],[Date]])</f>
        <v>9</v>
      </c>
      <c r="Q1616" s="130">
        <v>2019</v>
      </c>
      <c r="R1616" s="166">
        <f>IF(ISBLANK(Table1[[#This Row],[Date]]),"",Table1[[#This Row],[Date]]-WEEKDAY(Table1[[#This Row],[Date]],2)+1)</f>
        <v>43724</v>
      </c>
      <c r="S1616" s="131">
        <f>IF(ISBLANK(Table1[[#This Row],[Date]]),"",DATE(Table1[[#This Row],[Date_Year]],Table1[[#This Row],[Date_Month]],1))</f>
        <v>43709</v>
      </c>
    </row>
    <row r="1617" spans="2:19" ht="15.75" x14ac:dyDescent="0.25">
      <c r="B1617" s="133">
        <v>43726</v>
      </c>
      <c r="C1617" s="128" t="s">
        <v>1096</v>
      </c>
      <c r="D1617" s="128" t="s">
        <v>52</v>
      </c>
      <c r="E1617" s="128" t="str" cm="1">
        <f t="array" ref="E1617">IFERROR(INDEX(SubcategoriesTable[Subcategory name],MATCH(Table1[[#This Row],[Category]],SubcategoriesTable[Category name],0),0),"")</f>
        <v>Variable</v>
      </c>
      <c r="F1617" s="134">
        <v>-33.880000000000003</v>
      </c>
      <c r="G1617" s="167" t="str">
        <f>_xlfn.XLOOKUP(Table1[[#This Row],[Account_ID]], Accounts[ID], Accounts[Account nickname], "Unknown")</f>
        <v>Discover it chrome Card</v>
      </c>
      <c r="H1617" s="137" t="str">
        <f>_xlfn.XLOOKUP(Table1[[#This Row],[Account_ID]], Accounts[ID], Accounts[Account'#], "Unknown")</f>
        <v>7328</v>
      </c>
      <c r="I1617" s="168" t="str">
        <f>_xlfn.XLOOKUP(Table1[[#This Row],[Institution_ID]], Institutions[ID], Institutions[Institution nickname], "Unknown")</f>
        <v>Discover</v>
      </c>
      <c r="J1617" s="139" t="s">
        <v>1099</v>
      </c>
      <c r="K1617" s="129" t="s">
        <v>110</v>
      </c>
      <c r="L1617" s="129" t="s">
        <v>108</v>
      </c>
      <c r="M1617" s="130" t="str" cm="1">
        <f t="array" ref="M1617">IFERROR(INDEX(CategoriesTable[Category type],MATCH(Table1[[#This Row],[Category]],CategoriesTable[Category name],0),0),"")</f>
        <v>Expense</v>
      </c>
      <c r="N1617" s="130" t="str" cm="1">
        <f t="array" ref="N1617">IFERROR(INDEX(SubcategoriesTable[Subcategory name],MATCH(Table1[[#This Row],[Category]],SubcategoriesTable[Category name],0),0),"")</f>
        <v>Variable</v>
      </c>
      <c r="O1617" s="130">
        <v>18</v>
      </c>
      <c r="P1617" s="130">
        <f>MONTH(Table1[[#This Row],[Date]])</f>
        <v>9</v>
      </c>
      <c r="Q1617" s="130">
        <v>2019</v>
      </c>
      <c r="R1617" s="166">
        <f>IF(ISBLANK(Table1[[#This Row],[Date]]),"",Table1[[#This Row],[Date]]-WEEKDAY(Table1[[#This Row],[Date]],2)+1)</f>
        <v>43724</v>
      </c>
      <c r="S1617" s="131">
        <f>IF(ISBLANK(Table1[[#This Row],[Date]]),"",DATE(Table1[[#This Row],[Date_Year]],Table1[[#This Row],[Date_Month]],1))</f>
        <v>43709</v>
      </c>
    </row>
    <row r="1618" spans="2:19" ht="15.75" x14ac:dyDescent="0.25">
      <c r="B1618" s="133">
        <v>43725</v>
      </c>
      <c r="C1618" s="128" t="s">
        <v>531</v>
      </c>
      <c r="D1618" s="128" t="s">
        <v>54</v>
      </c>
      <c r="E1618" s="128" t="str" cm="1">
        <f t="array" ref="E1618">IFERROR(INDEX(SubcategoriesTable[Subcategory name],MATCH(Table1[[#This Row],[Category]],SubcategoriesTable[Category name],0),0),"")</f>
        <v>Fixed</v>
      </c>
      <c r="F1618" s="134">
        <v>-4.8899999999999997</v>
      </c>
      <c r="G1618" s="167" t="str">
        <f>_xlfn.XLOOKUP(Table1[[#This Row],[Account_ID]], Accounts[ID], Accounts[Account nickname], "Unknown")</f>
        <v>EVERYDAY CHECKING</v>
      </c>
      <c r="H1618" s="137" t="str">
        <f>_xlfn.XLOOKUP(Table1[[#This Row],[Account_ID]], Accounts[ID], Accounts[Account'#], "Unknown")</f>
        <v>4636</v>
      </c>
      <c r="I1618" s="168" t="str">
        <f>_xlfn.XLOOKUP(Table1[[#This Row],[Institution_ID]], Institutions[ID], Institutions[Institution nickname], "Unknown")</f>
        <v>Wells Fargo</v>
      </c>
      <c r="J1618" s="139" t="s">
        <v>2361</v>
      </c>
      <c r="K1618" s="129" t="s">
        <v>1229</v>
      </c>
      <c r="L1618" s="129" t="s">
        <v>1228</v>
      </c>
      <c r="M1618" s="130" t="str" cm="1">
        <f t="array" ref="M1618">IFERROR(INDEX(CategoriesTable[Category type],MATCH(Table1[[#This Row],[Category]],CategoriesTable[Category name],0),0),"")</f>
        <v>Expense</v>
      </c>
      <c r="N1618" s="130" t="str" cm="1">
        <f t="array" ref="N1618">IFERROR(INDEX(SubcategoriesTable[Subcategory name],MATCH(Table1[[#This Row],[Category]],SubcategoriesTable[Category name],0),0),"")</f>
        <v>Fixed</v>
      </c>
      <c r="O1618" s="130">
        <v>17</v>
      </c>
      <c r="P1618" s="130">
        <f>MONTH(Table1[[#This Row],[Date]])</f>
        <v>9</v>
      </c>
      <c r="Q1618" s="130">
        <v>2019</v>
      </c>
      <c r="R1618" s="166">
        <f>IF(ISBLANK(Table1[[#This Row],[Date]]),"",Table1[[#This Row],[Date]]-WEEKDAY(Table1[[#This Row],[Date]],2)+1)</f>
        <v>43724</v>
      </c>
      <c r="S1618" s="131">
        <f>IF(ISBLANK(Table1[[#This Row],[Date]]),"",DATE(Table1[[#This Row],[Date_Year]],Table1[[#This Row],[Date_Month]],1))</f>
        <v>43709</v>
      </c>
    </row>
    <row r="1619" spans="2:19" ht="15.75" x14ac:dyDescent="0.25">
      <c r="B1619" s="133">
        <v>43725</v>
      </c>
      <c r="C1619" s="128" t="s">
        <v>531</v>
      </c>
      <c r="D1619" s="128" t="s">
        <v>54</v>
      </c>
      <c r="E1619" s="128" t="str" cm="1">
        <f t="array" ref="E1619">IFERROR(INDEX(SubcategoriesTable[Subcategory name],MATCH(Table1[[#This Row],[Category]],SubcategoriesTable[Category name],0),0),"")</f>
        <v>Fixed</v>
      </c>
      <c r="F1619" s="134">
        <v>-9.44</v>
      </c>
      <c r="G1619" s="167" t="str">
        <f>_xlfn.XLOOKUP(Table1[[#This Row],[Account_ID]], Accounts[ID], Accounts[Account nickname], "Unknown")</f>
        <v>EVERYDAY CHECKING</v>
      </c>
      <c r="H1619" s="137" t="str">
        <f>_xlfn.XLOOKUP(Table1[[#This Row],[Account_ID]], Accounts[ID], Accounts[Account'#], "Unknown")</f>
        <v>4636</v>
      </c>
      <c r="I1619" s="168" t="str">
        <f>_xlfn.XLOOKUP(Table1[[#This Row],[Institution_ID]], Institutions[ID], Institutions[Institution nickname], "Unknown")</f>
        <v>Wells Fargo</v>
      </c>
      <c r="J1619" s="139" t="s">
        <v>2362</v>
      </c>
      <c r="K1619" s="129" t="s">
        <v>1229</v>
      </c>
      <c r="L1619" s="129" t="s">
        <v>1228</v>
      </c>
      <c r="M1619" s="130" t="str" cm="1">
        <f t="array" ref="M1619">IFERROR(INDEX(CategoriesTable[Category type],MATCH(Table1[[#This Row],[Category]],CategoriesTable[Category name],0),0),"")</f>
        <v>Expense</v>
      </c>
      <c r="N1619" s="130" t="str" cm="1">
        <f t="array" ref="N1619">IFERROR(INDEX(SubcategoriesTable[Subcategory name],MATCH(Table1[[#This Row],[Category]],SubcategoriesTable[Category name],0),0),"")</f>
        <v>Fixed</v>
      </c>
      <c r="O1619" s="130">
        <v>17</v>
      </c>
      <c r="P1619" s="130">
        <f>MONTH(Table1[[#This Row],[Date]])</f>
        <v>9</v>
      </c>
      <c r="Q1619" s="130">
        <v>2019</v>
      </c>
      <c r="R1619" s="166">
        <f>IF(ISBLANK(Table1[[#This Row],[Date]]),"",Table1[[#This Row],[Date]]-WEEKDAY(Table1[[#This Row],[Date]],2)+1)</f>
        <v>43724</v>
      </c>
      <c r="S1619" s="131">
        <f>IF(ISBLANK(Table1[[#This Row],[Date]]),"",DATE(Table1[[#This Row],[Date_Year]],Table1[[#This Row],[Date_Month]],1))</f>
        <v>43709</v>
      </c>
    </row>
    <row r="1620" spans="2:19" ht="15.75" x14ac:dyDescent="0.25">
      <c r="B1620" s="133">
        <v>43725</v>
      </c>
      <c r="C1620" s="128" t="s">
        <v>1029</v>
      </c>
      <c r="D1620" s="128" t="s">
        <v>61</v>
      </c>
      <c r="E1620" s="128" t="str" cm="1">
        <f t="array" ref="E1620">IFERROR(INDEX(SubcategoriesTable[Subcategory name],MATCH(Table1[[#This Row],[Category]],SubcategoriesTable[Category name],0),0),"")</f>
        <v>Variable</v>
      </c>
      <c r="F1620" s="134">
        <v>-100</v>
      </c>
      <c r="G1620" s="167" t="str">
        <f>_xlfn.XLOOKUP(Table1[[#This Row],[Account_ID]], Accounts[ID], Accounts[Account nickname], "Unknown")</f>
        <v>Discover it chrome Card</v>
      </c>
      <c r="H1620" s="137" t="str">
        <f>_xlfn.XLOOKUP(Table1[[#This Row],[Account_ID]], Accounts[ID], Accounts[Account'#], "Unknown")</f>
        <v>7328</v>
      </c>
      <c r="I1620" s="168" t="str">
        <f>_xlfn.XLOOKUP(Table1[[#This Row],[Institution_ID]], Institutions[ID], Institutions[Institution nickname], "Unknown")</f>
        <v>Discover</v>
      </c>
      <c r="J1620" s="139" t="s">
        <v>1100</v>
      </c>
      <c r="K1620" s="129" t="s">
        <v>110</v>
      </c>
      <c r="L1620" s="129" t="s">
        <v>108</v>
      </c>
      <c r="M1620" s="130" t="str" cm="1">
        <f t="array" ref="M1620">IFERROR(INDEX(CategoriesTable[Category type],MATCH(Table1[[#This Row],[Category]],CategoriesTable[Category name],0),0),"")</f>
        <v>Expense</v>
      </c>
      <c r="N1620" s="130" t="str" cm="1">
        <f t="array" ref="N1620">IFERROR(INDEX(SubcategoriesTable[Subcategory name],MATCH(Table1[[#This Row],[Category]],SubcategoriesTable[Category name],0),0),"")</f>
        <v>Variable</v>
      </c>
      <c r="O1620" s="130">
        <v>17</v>
      </c>
      <c r="P1620" s="130">
        <f>MONTH(Table1[[#This Row],[Date]])</f>
        <v>9</v>
      </c>
      <c r="Q1620" s="130">
        <v>2019</v>
      </c>
      <c r="R1620" s="166">
        <f>IF(ISBLANK(Table1[[#This Row],[Date]]),"",Table1[[#This Row],[Date]]-WEEKDAY(Table1[[#This Row],[Date]],2)+1)</f>
        <v>43724</v>
      </c>
      <c r="S1620" s="131">
        <f>IF(ISBLANK(Table1[[#This Row],[Date]]),"",DATE(Table1[[#This Row],[Date_Year]],Table1[[#This Row],[Date_Month]],1))</f>
        <v>43709</v>
      </c>
    </row>
    <row r="1621" spans="2:19" ht="15.75" x14ac:dyDescent="0.25">
      <c r="B1621" s="133">
        <v>43723</v>
      </c>
      <c r="C1621" s="128" t="s">
        <v>1101</v>
      </c>
      <c r="D1621" s="128" t="s">
        <v>46</v>
      </c>
      <c r="E1621" s="128" t="str" cm="1">
        <f t="array" ref="E1621">IFERROR(INDEX(SubcategoriesTable[Subcategory name],MATCH(Table1[[#This Row],[Category]],SubcategoriesTable[Category name],0),0),"")</f>
        <v>Variable</v>
      </c>
      <c r="F1621" s="134">
        <v>36</v>
      </c>
      <c r="G1621" s="167" t="str">
        <f>_xlfn.XLOOKUP(Table1[[#This Row],[Account_ID]], Accounts[ID], Accounts[Account nickname], "Unknown")</f>
        <v>Discover it chrome Card</v>
      </c>
      <c r="H1621" s="137" t="str">
        <f>_xlfn.XLOOKUP(Table1[[#This Row],[Account_ID]], Accounts[ID], Accounts[Account'#], "Unknown")</f>
        <v>7328</v>
      </c>
      <c r="I1621" s="168" t="str">
        <f>_xlfn.XLOOKUP(Table1[[#This Row],[Institution_ID]], Institutions[ID], Institutions[Institution nickname], "Unknown")</f>
        <v>Discover</v>
      </c>
      <c r="J1621" s="139" t="s">
        <v>1102</v>
      </c>
      <c r="K1621" s="129" t="s">
        <v>110</v>
      </c>
      <c r="L1621" s="129" t="s">
        <v>108</v>
      </c>
      <c r="M1621" s="130" t="str" cm="1">
        <f t="array" ref="M1621">IFERROR(INDEX(CategoriesTable[Category type],MATCH(Table1[[#This Row],[Category]],CategoriesTable[Category name],0),0),"")</f>
        <v>Expense</v>
      </c>
      <c r="N1621" s="130" t="str" cm="1">
        <f t="array" ref="N1621">IFERROR(INDEX(SubcategoriesTable[Subcategory name],MATCH(Table1[[#This Row],[Category]],SubcategoriesTable[Category name],0),0),"")</f>
        <v>Variable</v>
      </c>
      <c r="O1621" s="130">
        <v>15</v>
      </c>
      <c r="P1621" s="130">
        <f>MONTH(Table1[[#This Row],[Date]])</f>
        <v>9</v>
      </c>
      <c r="Q1621" s="130">
        <v>2019</v>
      </c>
      <c r="R1621" s="166">
        <f>IF(ISBLANK(Table1[[#This Row],[Date]]),"",Table1[[#This Row],[Date]]-WEEKDAY(Table1[[#This Row],[Date]],2)+1)</f>
        <v>43717</v>
      </c>
      <c r="S1621" s="131">
        <f>IF(ISBLANK(Table1[[#This Row],[Date]]),"",DATE(Table1[[#This Row],[Date_Year]],Table1[[#This Row],[Date_Month]],1))</f>
        <v>43709</v>
      </c>
    </row>
    <row r="1622" spans="2:19" ht="15.75" x14ac:dyDescent="0.25">
      <c r="B1622" s="133">
        <v>43722</v>
      </c>
      <c r="C1622" s="128" t="s">
        <v>961</v>
      </c>
      <c r="D1622" s="128" t="s">
        <v>54</v>
      </c>
      <c r="E1622" s="128" t="str" cm="1">
        <f t="array" ref="E1622">IFERROR(INDEX(SubcategoriesTable[Subcategory name],MATCH(Table1[[#This Row],[Category]],SubcategoriesTable[Category name],0),0),"")</f>
        <v>Fixed</v>
      </c>
      <c r="F1622" s="134">
        <v>-50</v>
      </c>
      <c r="G1622" s="167" t="str">
        <f>_xlfn.XLOOKUP(Table1[[#This Row],[Account_ID]], Accounts[ID], Accounts[Account nickname], "Unknown")</f>
        <v>Discover it chrome Card</v>
      </c>
      <c r="H1622" s="137" t="str">
        <f>_xlfn.XLOOKUP(Table1[[#This Row],[Account_ID]], Accounts[ID], Accounts[Account'#], "Unknown")</f>
        <v>7328</v>
      </c>
      <c r="I1622" s="168" t="str">
        <f>_xlfn.XLOOKUP(Table1[[#This Row],[Institution_ID]], Institutions[ID], Institutions[Institution nickname], "Unknown")</f>
        <v>Discover</v>
      </c>
      <c r="J1622" s="139" t="s">
        <v>1103</v>
      </c>
      <c r="K1622" s="129" t="s">
        <v>110</v>
      </c>
      <c r="L1622" s="129" t="s">
        <v>108</v>
      </c>
      <c r="M1622" s="130" t="str" cm="1">
        <f t="array" ref="M1622">IFERROR(INDEX(CategoriesTable[Category type],MATCH(Table1[[#This Row],[Category]],CategoriesTable[Category name],0),0),"")</f>
        <v>Expense</v>
      </c>
      <c r="N1622" s="130" t="str" cm="1">
        <f t="array" ref="N1622">IFERROR(INDEX(SubcategoriesTable[Subcategory name],MATCH(Table1[[#This Row],[Category]],SubcategoriesTable[Category name],0),0),"")</f>
        <v>Fixed</v>
      </c>
      <c r="O1622" s="130">
        <v>14</v>
      </c>
      <c r="P1622" s="130">
        <f>MONTH(Table1[[#This Row],[Date]])</f>
        <v>9</v>
      </c>
      <c r="Q1622" s="130">
        <v>2019</v>
      </c>
      <c r="R1622" s="166">
        <f>IF(ISBLANK(Table1[[#This Row],[Date]]),"",Table1[[#This Row],[Date]]-WEEKDAY(Table1[[#This Row],[Date]],2)+1)</f>
        <v>43717</v>
      </c>
      <c r="S1622" s="131">
        <f>IF(ISBLANK(Table1[[#This Row],[Date]]),"",DATE(Table1[[#This Row],[Date_Year]],Table1[[#This Row],[Date_Month]],1))</f>
        <v>43709</v>
      </c>
    </row>
    <row r="1623" spans="2:19" ht="15.75" x14ac:dyDescent="0.25">
      <c r="B1623" s="133">
        <v>43721</v>
      </c>
      <c r="C1623" s="128" t="s">
        <v>206</v>
      </c>
      <c r="D1623" s="128" t="s">
        <v>57</v>
      </c>
      <c r="E1623" s="128" t="str" cm="1">
        <f t="array" ref="E1623">IFERROR(INDEX(SubcategoriesTable[Subcategory name],MATCH(Table1[[#This Row],[Category]],SubcategoriesTable[Category name],0),0),"")</f>
        <v>Variable</v>
      </c>
      <c r="F1623" s="134">
        <v>1.58</v>
      </c>
      <c r="G1623" s="167" t="str">
        <f>_xlfn.XLOOKUP(Table1[[#This Row],[Account_ID]], Accounts[ID], Accounts[Account nickname], "Unknown")</f>
        <v>Discover it chrome Card</v>
      </c>
      <c r="H1623" s="137" t="str">
        <f>_xlfn.XLOOKUP(Table1[[#This Row],[Account_ID]], Accounts[ID], Accounts[Account'#], "Unknown")</f>
        <v>7328</v>
      </c>
      <c r="I1623" s="168" t="str">
        <f>_xlfn.XLOOKUP(Table1[[#This Row],[Institution_ID]], Institutions[ID], Institutions[Institution nickname], "Unknown")</f>
        <v>Discover</v>
      </c>
      <c r="J1623" s="139" t="s">
        <v>1104</v>
      </c>
      <c r="K1623" s="129" t="s">
        <v>110</v>
      </c>
      <c r="L1623" s="129" t="s">
        <v>108</v>
      </c>
      <c r="M1623" s="130" t="str" cm="1">
        <f t="array" ref="M1623">IFERROR(INDEX(CategoriesTable[Category type],MATCH(Table1[[#This Row],[Category]],CategoriesTable[Category name],0),0),"")</f>
        <v>Transfer</v>
      </c>
      <c r="N1623" s="130" t="str" cm="1">
        <f t="array" ref="N1623">IFERROR(INDEX(SubcategoriesTable[Subcategory name],MATCH(Table1[[#This Row],[Category]],SubcategoriesTable[Category name],0),0),"")</f>
        <v>Variable</v>
      </c>
      <c r="O1623" s="130">
        <v>13</v>
      </c>
      <c r="P1623" s="130">
        <f>MONTH(Table1[[#This Row],[Date]])</f>
        <v>9</v>
      </c>
      <c r="Q1623" s="130">
        <v>2019</v>
      </c>
      <c r="R1623" s="166">
        <f>IF(ISBLANK(Table1[[#This Row],[Date]]),"",Table1[[#This Row],[Date]]-WEEKDAY(Table1[[#This Row],[Date]],2)+1)</f>
        <v>43717</v>
      </c>
      <c r="S1623" s="131">
        <f>IF(ISBLANK(Table1[[#This Row],[Date]]),"",DATE(Table1[[#This Row],[Date_Year]],Table1[[#This Row],[Date_Month]],1))</f>
        <v>43709</v>
      </c>
    </row>
    <row r="1624" spans="2:19" ht="15.75" x14ac:dyDescent="0.25">
      <c r="B1624" s="133">
        <v>43721</v>
      </c>
      <c r="C1624" s="128" t="s">
        <v>113</v>
      </c>
      <c r="D1624" s="128" t="s">
        <v>50</v>
      </c>
      <c r="E1624" s="128" t="str" cm="1">
        <f t="array" ref="E1624">IFERROR(INDEX(SubcategoriesTable[Subcategory name],MATCH(Table1[[#This Row],[Category]],SubcategoriesTable[Category name],0),0),"")</f>
        <v>Variable</v>
      </c>
      <c r="F1624" s="134">
        <v>198.42</v>
      </c>
      <c r="G1624" s="167" t="str">
        <f>_xlfn.XLOOKUP(Table1[[#This Row],[Account_ID]], Accounts[ID], Accounts[Account nickname], "Unknown")</f>
        <v>Discover it chrome Card</v>
      </c>
      <c r="H1624" s="137" t="str">
        <f>_xlfn.XLOOKUP(Table1[[#This Row],[Account_ID]], Accounts[ID], Accounts[Account'#], "Unknown")</f>
        <v>7328</v>
      </c>
      <c r="I1624" s="168" t="str">
        <f>_xlfn.XLOOKUP(Table1[[#This Row],[Institution_ID]], Institutions[ID], Institutions[Institution nickname], "Unknown")</f>
        <v>Discover</v>
      </c>
      <c r="J1624" s="139" t="s">
        <v>1105</v>
      </c>
      <c r="K1624" s="129" t="s">
        <v>110</v>
      </c>
      <c r="L1624" s="129" t="s">
        <v>108</v>
      </c>
      <c r="M1624" s="130" t="str" cm="1">
        <f t="array" ref="M1624">IFERROR(INDEX(CategoriesTable[Category type],MATCH(Table1[[#This Row],[Category]],CategoriesTable[Category name],0),0),"")</f>
        <v>Transfer</v>
      </c>
      <c r="N1624" s="130" t="str" cm="1">
        <f t="array" ref="N1624">IFERROR(INDEX(SubcategoriesTable[Subcategory name],MATCH(Table1[[#This Row],[Category]],SubcategoriesTable[Category name],0),0),"")</f>
        <v>Variable</v>
      </c>
      <c r="O1624" s="130">
        <v>13</v>
      </c>
      <c r="P1624" s="130">
        <f>MONTH(Table1[[#This Row],[Date]])</f>
        <v>9</v>
      </c>
      <c r="Q1624" s="130">
        <v>2019</v>
      </c>
      <c r="R1624" s="166">
        <f>IF(ISBLANK(Table1[[#This Row],[Date]]),"",Table1[[#This Row],[Date]]-WEEKDAY(Table1[[#This Row],[Date]],2)+1)</f>
        <v>43717</v>
      </c>
      <c r="S1624" s="131">
        <f>IF(ISBLANK(Table1[[#This Row],[Date]]),"",DATE(Table1[[#This Row],[Date_Year]],Table1[[#This Row],[Date_Month]],1))</f>
        <v>43709</v>
      </c>
    </row>
    <row r="1625" spans="2:19" ht="15.75" x14ac:dyDescent="0.25">
      <c r="B1625" s="133">
        <v>43700</v>
      </c>
      <c r="C1625" s="128" t="s">
        <v>1106</v>
      </c>
      <c r="D1625" s="128" t="s">
        <v>45</v>
      </c>
      <c r="E1625" s="128" t="str" cm="1">
        <f t="array" ref="E1625">IFERROR(INDEX(SubcategoriesTable[Subcategory name],MATCH(Table1[[#This Row],[Category]],SubcategoriesTable[Category name],0),0),"")</f>
        <v>Variable</v>
      </c>
      <c r="F1625" s="134">
        <v>-15.79</v>
      </c>
      <c r="G1625" s="167" t="str">
        <f>_xlfn.XLOOKUP(Table1[[#This Row],[Account_ID]], Accounts[ID], Accounts[Account nickname], "Unknown")</f>
        <v>Discover it chrome Card</v>
      </c>
      <c r="H1625" s="137" t="str">
        <f>_xlfn.XLOOKUP(Table1[[#This Row],[Account_ID]], Accounts[ID], Accounts[Account'#], "Unknown")</f>
        <v>7328</v>
      </c>
      <c r="I1625" s="168" t="str">
        <f>_xlfn.XLOOKUP(Table1[[#This Row],[Institution_ID]], Institutions[ID], Institutions[Institution nickname], "Unknown")</f>
        <v>Discover</v>
      </c>
      <c r="J1625" s="139" t="s">
        <v>1107</v>
      </c>
      <c r="K1625" s="129" t="s">
        <v>110</v>
      </c>
      <c r="L1625" s="129" t="s">
        <v>108</v>
      </c>
      <c r="M1625" s="130" t="str" cm="1">
        <f t="array" ref="M1625">IFERROR(INDEX(CategoriesTable[Category type],MATCH(Table1[[#This Row],[Category]],CategoriesTable[Category name],0),0),"")</f>
        <v>Expense</v>
      </c>
      <c r="N1625" s="130" t="str" cm="1">
        <f t="array" ref="N1625">IFERROR(INDEX(SubcategoriesTable[Subcategory name],MATCH(Table1[[#This Row],[Category]],SubcategoriesTable[Category name],0),0),"")</f>
        <v>Variable</v>
      </c>
      <c r="O1625" s="130">
        <v>23</v>
      </c>
      <c r="P1625" s="130">
        <f>MONTH(Table1[[#This Row],[Date]])</f>
        <v>8</v>
      </c>
      <c r="Q1625" s="130">
        <v>2019</v>
      </c>
      <c r="R1625" s="166">
        <f>IF(ISBLANK(Table1[[#This Row],[Date]]),"",Table1[[#This Row],[Date]]-WEEKDAY(Table1[[#This Row],[Date]],2)+1)</f>
        <v>43696</v>
      </c>
      <c r="S1625" s="131">
        <f>IF(ISBLANK(Table1[[#This Row],[Date]]),"",DATE(Table1[[#This Row],[Date_Year]],Table1[[#This Row],[Date_Month]],1))</f>
        <v>43678</v>
      </c>
    </row>
    <row r="1626" spans="2:19" ht="15.75" x14ac:dyDescent="0.25">
      <c r="B1626" s="133">
        <v>43698</v>
      </c>
      <c r="C1626" s="128" t="s">
        <v>1108</v>
      </c>
      <c r="D1626" s="128" t="s">
        <v>56</v>
      </c>
      <c r="E1626" s="128" t="str" cm="1">
        <f t="array" ref="E1626">IFERROR(INDEX(SubcategoriesTable[Subcategory name],MATCH(Table1[[#This Row],[Category]],SubcategoriesTable[Category name],0),0),"")</f>
        <v>Variable</v>
      </c>
      <c r="F1626" s="134">
        <v>-85</v>
      </c>
      <c r="G1626" s="167" t="str">
        <f>_xlfn.XLOOKUP(Table1[[#This Row],[Account_ID]], Accounts[ID], Accounts[Account nickname], "Unknown")</f>
        <v>Discover it chrome Card</v>
      </c>
      <c r="H1626" s="137" t="str">
        <f>_xlfn.XLOOKUP(Table1[[#This Row],[Account_ID]], Accounts[ID], Accounts[Account'#], "Unknown")</f>
        <v>7328</v>
      </c>
      <c r="I1626" s="168" t="str">
        <f>_xlfn.XLOOKUP(Table1[[#This Row],[Institution_ID]], Institutions[ID], Institutions[Institution nickname], "Unknown")</f>
        <v>Discover</v>
      </c>
      <c r="J1626" s="139" t="s">
        <v>1109</v>
      </c>
      <c r="K1626" s="129" t="s">
        <v>110</v>
      </c>
      <c r="L1626" s="129" t="s">
        <v>108</v>
      </c>
      <c r="M1626" s="130" t="str" cm="1">
        <f t="array" ref="M1626">IFERROR(INDEX(CategoriesTable[Category type],MATCH(Table1[[#This Row],[Category]],CategoriesTable[Category name],0),0),"")</f>
        <v>Expense</v>
      </c>
      <c r="N1626" s="130" t="str" cm="1">
        <f t="array" ref="N1626">IFERROR(INDEX(SubcategoriesTable[Subcategory name],MATCH(Table1[[#This Row],[Category]],SubcategoriesTable[Category name],0),0),"")</f>
        <v>Variable</v>
      </c>
      <c r="O1626" s="130">
        <v>21</v>
      </c>
      <c r="P1626" s="130">
        <f>MONTH(Table1[[#This Row],[Date]])</f>
        <v>8</v>
      </c>
      <c r="Q1626" s="130">
        <v>2019</v>
      </c>
      <c r="R1626" s="166">
        <f>IF(ISBLANK(Table1[[#This Row],[Date]]),"",Table1[[#This Row],[Date]]-WEEKDAY(Table1[[#This Row],[Date]],2)+1)</f>
        <v>43696</v>
      </c>
      <c r="S1626" s="131">
        <f>IF(ISBLANK(Table1[[#This Row],[Date]]),"",DATE(Table1[[#This Row],[Date_Year]],Table1[[#This Row],[Date_Month]],1))</f>
        <v>43678</v>
      </c>
    </row>
    <row r="1627" spans="2:19" ht="15.75" x14ac:dyDescent="0.25">
      <c r="B1627" s="133">
        <v>43697</v>
      </c>
      <c r="C1627" s="128" t="s">
        <v>1066</v>
      </c>
      <c r="D1627" s="128" t="s">
        <v>61</v>
      </c>
      <c r="E1627" s="128" t="str" cm="1">
        <f t="array" ref="E1627">IFERROR(INDEX(SubcategoriesTable[Subcategory name],MATCH(Table1[[#This Row],[Category]],SubcategoriesTable[Category name],0),0),"")</f>
        <v>Variable</v>
      </c>
      <c r="F1627" s="134">
        <v>-15.74</v>
      </c>
      <c r="G1627" s="167" t="str">
        <f>_xlfn.XLOOKUP(Table1[[#This Row],[Account_ID]], Accounts[ID], Accounts[Account nickname], "Unknown")</f>
        <v>Discover it chrome Card</v>
      </c>
      <c r="H1627" s="137" t="str">
        <f>_xlfn.XLOOKUP(Table1[[#This Row],[Account_ID]], Accounts[ID], Accounts[Account'#], "Unknown")</f>
        <v>7328</v>
      </c>
      <c r="I1627" s="168" t="str">
        <f>_xlfn.XLOOKUP(Table1[[#This Row],[Institution_ID]], Institutions[ID], Institutions[Institution nickname], "Unknown")</f>
        <v>Discover</v>
      </c>
      <c r="J1627" s="139" t="s">
        <v>1110</v>
      </c>
      <c r="K1627" s="129" t="s">
        <v>110</v>
      </c>
      <c r="L1627" s="129" t="s">
        <v>108</v>
      </c>
      <c r="M1627" s="130" t="str" cm="1">
        <f t="array" ref="M1627">IFERROR(INDEX(CategoriesTable[Category type],MATCH(Table1[[#This Row],[Category]],CategoriesTable[Category name],0),0),"")</f>
        <v>Expense</v>
      </c>
      <c r="N1627" s="130" t="str" cm="1">
        <f t="array" ref="N1627">IFERROR(INDEX(SubcategoriesTable[Subcategory name],MATCH(Table1[[#This Row],[Category]],SubcategoriesTable[Category name],0),0),"")</f>
        <v>Variable</v>
      </c>
      <c r="O1627" s="130">
        <v>20</v>
      </c>
      <c r="P1627" s="130">
        <f>MONTH(Table1[[#This Row],[Date]])</f>
        <v>8</v>
      </c>
      <c r="Q1627" s="130">
        <v>2019</v>
      </c>
      <c r="R1627" s="166">
        <f>IF(ISBLANK(Table1[[#This Row],[Date]]),"",Table1[[#This Row],[Date]]-WEEKDAY(Table1[[#This Row],[Date]],2)+1)</f>
        <v>43696</v>
      </c>
      <c r="S1627" s="131">
        <f>IF(ISBLANK(Table1[[#This Row],[Date]]),"",DATE(Table1[[#This Row],[Date_Year]],Table1[[#This Row],[Date_Month]],1))</f>
        <v>43678</v>
      </c>
    </row>
    <row r="1628" spans="2:19" ht="15.75" x14ac:dyDescent="0.25">
      <c r="B1628" s="133">
        <v>43691</v>
      </c>
      <c r="C1628" s="128" t="s">
        <v>113</v>
      </c>
      <c r="D1628" s="128" t="s">
        <v>50</v>
      </c>
      <c r="E1628" s="128" t="str" cm="1">
        <f t="array" ref="E1628">IFERROR(INDEX(SubcategoriesTable[Subcategory name],MATCH(Table1[[#This Row],[Category]],SubcategoriesTable[Category name],0),0),"")</f>
        <v>Variable</v>
      </c>
      <c r="F1628" s="134">
        <v>200</v>
      </c>
      <c r="G1628" s="167" t="str">
        <f>_xlfn.XLOOKUP(Table1[[#This Row],[Account_ID]], Accounts[ID], Accounts[Account nickname], "Unknown")</f>
        <v>Discover it chrome Card</v>
      </c>
      <c r="H1628" s="137" t="str">
        <f>_xlfn.XLOOKUP(Table1[[#This Row],[Account_ID]], Accounts[ID], Accounts[Account'#], "Unknown")</f>
        <v>7328</v>
      </c>
      <c r="I1628" s="168" t="str">
        <f>_xlfn.XLOOKUP(Table1[[#This Row],[Institution_ID]], Institutions[ID], Institutions[Institution nickname], "Unknown")</f>
        <v>Discover</v>
      </c>
      <c r="J1628" s="139" t="s">
        <v>1111</v>
      </c>
      <c r="K1628" s="129" t="s">
        <v>110</v>
      </c>
      <c r="L1628" s="129" t="s">
        <v>108</v>
      </c>
      <c r="M1628" s="130" t="str" cm="1">
        <f t="array" ref="M1628">IFERROR(INDEX(CategoriesTable[Category type],MATCH(Table1[[#This Row],[Category]],CategoriesTable[Category name],0),0),"")</f>
        <v>Transfer</v>
      </c>
      <c r="N1628" s="130" t="str" cm="1">
        <f t="array" ref="N1628">IFERROR(INDEX(SubcategoriesTable[Subcategory name],MATCH(Table1[[#This Row],[Category]],SubcategoriesTable[Category name],0),0),"")</f>
        <v>Variable</v>
      </c>
      <c r="O1628" s="130">
        <v>14</v>
      </c>
      <c r="P1628" s="130">
        <f>MONTH(Table1[[#This Row],[Date]])</f>
        <v>8</v>
      </c>
      <c r="Q1628" s="130">
        <v>2019</v>
      </c>
      <c r="R1628" s="166">
        <f>IF(ISBLANK(Table1[[#This Row],[Date]]),"",Table1[[#This Row],[Date]]-WEEKDAY(Table1[[#This Row],[Date]],2)+1)</f>
        <v>43689</v>
      </c>
      <c r="S1628" s="131">
        <f>IF(ISBLANK(Table1[[#This Row],[Date]]),"",DATE(Table1[[#This Row],[Date_Year]],Table1[[#This Row],[Date_Month]],1))</f>
        <v>43678</v>
      </c>
    </row>
    <row r="1629" spans="2:19" ht="15.75" x14ac:dyDescent="0.25">
      <c r="B1629" s="133">
        <v>43666</v>
      </c>
      <c r="C1629" s="128" t="s">
        <v>1066</v>
      </c>
      <c r="D1629" s="128" t="s">
        <v>61</v>
      </c>
      <c r="E1629" s="128" t="str" cm="1">
        <f t="array" ref="E1629">IFERROR(INDEX(SubcategoriesTable[Subcategory name],MATCH(Table1[[#This Row],[Category]],SubcategoriesTable[Category name],0),0),"")</f>
        <v>Variable</v>
      </c>
      <c r="F1629" s="134">
        <v>-15.53</v>
      </c>
      <c r="G1629" s="167" t="str">
        <f>_xlfn.XLOOKUP(Table1[[#This Row],[Account_ID]], Accounts[ID], Accounts[Account nickname], "Unknown")</f>
        <v>Discover it chrome Card</v>
      </c>
      <c r="H1629" s="137" t="str">
        <f>_xlfn.XLOOKUP(Table1[[#This Row],[Account_ID]], Accounts[ID], Accounts[Account'#], "Unknown")</f>
        <v>7328</v>
      </c>
      <c r="I1629" s="168" t="str">
        <f>_xlfn.XLOOKUP(Table1[[#This Row],[Institution_ID]], Institutions[ID], Institutions[Institution nickname], "Unknown")</f>
        <v>Discover</v>
      </c>
      <c r="J1629" s="139" t="s">
        <v>1112</v>
      </c>
      <c r="K1629" s="129" t="s">
        <v>110</v>
      </c>
      <c r="L1629" s="129" t="s">
        <v>108</v>
      </c>
      <c r="M1629" s="130" t="str" cm="1">
        <f t="array" ref="M1629">IFERROR(INDEX(CategoriesTable[Category type],MATCH(Table1[[#This Row],[Category]],CategoriesTable[Category name],0),0),"")</f>
        <v>Expense</v>
      </c>
      <c r="N1629" s="130" t="str" cm="1">
        <f t="array" ref="N1629">IFERROR(INDEX(SubcategoriesTable[Subcategory name],MATCH(Table1[[#This Row],[Category]],SubcategoriesTable[Category name],0),0),"")</f>
        <v>Variable</v>
      </c>
      <c r="O1629" s="130">
        <v>20</v>
      </c>
      <c r="P1629" s="130">
        <f>MONTH(Table1[[#This Row],[Date]])</f>
        <v>7</v>
      </c>
      <c r="Q1629" s="130">
        <v>2019</v>
      </c>
      <c r="R1629" s="166">
        <f>IF(ISBLANK(Table1[[#This Row],[Date]]),"",Table1[[#This Row],[Date]]-WEEKDAY(Table1[[#This Row],[Date]],2)+1)</f>
        <v>43661</v>
      </c>
      <c r="S1629" s="131">
        <f>IF(ISBLANK(Table1[[#This Row],[Date]]),"",DATE(Table1[[#This Row],[Date_Year]],Table1[[#This Row],[Date_Month]],1))</f>
        <v>43647</v>
      </c>
    </row>
    <row r="1630" spans="2:19" ht="15.75" x14ac:dyDescent="0.25">
      <c r="B1630" s="133">
        <v>43657</v>
      </c>
      <c r="C1630" s="128" t="s">
        <v>1113</v>
      </c>
      <c r="D1630" s="128" t="s">
        <v>45</v>
      </c>
      <c r="E1630" s="128" t="str" cm="1">
        <f t="array" ref="E1630">IFERROR(INDEX(SubcategoriesTable[Subcategory name],MATCH(Table1[[#This Row],[Category]],SubcategoriesTable[Category name],0),0),"")</f>
        <v>Variable</v>
      </c>
      <c r="F1630" s="134">
        <v>-16.63</v>
      </c>
      <c r="G1630" s="167" t="str">
        <f>_xlfn.XLOOKUP(Table1[[#This Row],[Account_ID]], Accounts[ID], Accounts[Account nickname], "Unknown")</f>
        <v>Discover it chrome Card</v>
      </c>
      <c r="H1630" s="137" t="str">
        <f>_xlfn.XLOOKUP(Table1[[#This Row],[Account_ID]], Accounts[ID], Accounts[Account'#], "Unknown")</f>
        <v>7328</v>
      </c>
      <c r="I1630" s="168" t="str">
        <f>_xlfn.XLOOKUP(Table1[[#This Row],[Institution_ID]], Institutions[ID], Institutions[Institution nickname], "Unknown")</f>
        <v>Discover</v>
      </c>
      <c r="J1630" s="139" t="s">
        <v>1114</v>
      </c>
      <c r="K1630" s="129" t="s">
        <v>110</v>
      </c>
      <c r="L1630" s="129" t="s">
        <v>108</v>
      </c>
      <c r="M1630" s="130" t="str" cm="1">
        <f t="array" ref="M1630">IFERROR(INDEX(CategoriesTable[Category type],MATCH(Table1[[#This Row],[Category]],CategoriesTable[Category name],0),0),"")</f>
        <v>Expense</v>
      </c>
      <c r="N1630" s="130" t="str" cm="1">
        <f t="array" ref="N1630">IFERROR(INDEX(SubcategoriesTable[Subcategory name],MATCH(Table1[[#This Row],[Category]],SubcategoriesTable[Category name],0),0),"")</f>
        <v>Variable</v>
      </c>
      <c r="O1630" s="130">
        <v>11</v>
      </c>
      <c r="P1630" s="130">
        <f>MONTH(Table1[[#This Row],[Date]])</f>
        <v>7</v>
      </c>
      <c r="Q1630" s="130">
        <v>2019</v>
      </c>
      <c r="R1630" s="166">
        <f>IF(ISBLANK(Table1[[#This Row],[Date]]),"",Table1[[#This Row],[Date]]-WEEKDAY(Table1[[#This Row],[Date]],2)+1)</f>
        <v>43654</v>
      </c>
      <c r="S1630" s="131">
        <f>IF(ISBLANK(Table1[[#This Row],[Date]]),"",DATE(Table1[[#This Row],[Date_Year]],Table1[[#This Row],[Date_Month]],1))</f>
        <v>43647</v>
      </c>
    </row>
    <row r="1631" spans="2:19" ht="15.75" x14ac:dyDescent="0.25">
      <c r="B1631" s="133">
        <v>43656</v>
      </c>
      <c r="C1631" s="128" t="s">
        <v>1115</v>
      </c>
      <c r="D1631" s="128" t="s">
        <v>51</v>
      </c>
      <c r="E1631" s="128" t="str" cm="1">
        <f t="array" ref="E1631">IFERROR(INDEX(SubcategoriesTable[Subcategory name],MATCH(Table1[[#This Row],[Category]],SubcategoriesTable[Category name],0),0),"")</f>
        <v>Variable</v>
      </c>
      <c r="F1631" s="134">
        <v>-34</v>
      </c>
      <c r="G1631" s="167" t="str">
        <f>_xlfn.XLOOKUP(Table1[[#This Row],[Account_ID]], Accounts[ID], Accounts[Account nickname], "Unknown")</f>
        <v>Discover it chrome Card</v>
      </c>
      <c r="H1631" s="137" t="str">
        <f>_xlfn.XLOOKUP(Table1[[#This Row],[Account_ID]], Accounts[ID], Accounts[Account'#], "Unknown")</f>
        <v>7328</v>
      </c>
      <c r="I1631" s="168" t="str">
        <f>_xlfn.XLOOKUP(Table1[[#This Row],[Institution_ID]], Institutions[ID], Institutions[Institution nickname], "Unknown")</f>
        <v>Discover</v>
      </c>
      <c r="J1631" s="139" t="s">
        <v>1116</v>
      </c>
      <c r="K1631" s="129" t="s">
        <v>110</v>
      </c>
      <c r="L1631" s="129" t="s">
        <v>108</v>
      </c>
      <c r="M1631" s="130" t="str" cm="1">
        <f t="array" ref="M1631">IFERROR(INDEX(CategoriesTable[Category type],MATCH(Table1[[#This Row],[Category]],CategoriesTable[Category name],0),0),"")</f>
        <v>Expense</v>
      </c>
      <c r="N1631" s="130" t="str" cm="1">
        <f t="array" ref="N1631">IFERROR(INDEX(SubcategoriesTable[Subcategory name],MATCH(Table1[[#This Row],[Category]],SubcategoriesTable[Category name],0),0),"")</f>
        <v>Variable</v>
      </c>
      <c r="O1631" s="130">
        <v>10</v>
      </c>
      <c r="P1631" s="130">
        <f>MONTH(Table1[[#This Row],[Date]])</f>
        <v>7</v>
      </c>
      <c r="Q1631" s="130">
        <v>2019</v>
      </c>
      <c r="R1631" s="166">
        <f>IF(ISBLANK(Table1[[#This Row],[Date]]),"",Table1[[#This Row],[Date]]-WEEKDAY(Table1[[#This Row],[Date]],2)+1)</f>
        <v>43654</v>
      </c>
      <c r="S1631" s="131">
        <f>IF(ISBLANK(Table1[[#This Row],[Date]]),"",DATE(Table1[[#This Row],[Date_Year]],Table1[[#This Row],[Date_Month]],1))</f>
        <v>43647</v>
      </c>
    </row>
    <row r="1632" spans="2:19" ht="15.75" x14ac:dyDescent="0.25">
      <c r="B1632" s="133">
        <v>43656</v>
      </c>
      <c r="C1632" s="128" t="s">
        <v>590</v>
      </c>
      <c r="D1632" s="128" t="s">
        <v>48</v>
      </c>
      <c r="E1632" s="128" t="str" cm="1">
        <f t="array" ref="E1632">IFERROR(INDEX(SubcategoriesTable[Subcategory name],MATCH(Table1[[#This Row],[Category]],SubcategoriesTable[Category name],0),0),"")</f>
        <v>Variable</v>
      </c>
      <c r="F1632" s="134">
        <v>-2.1</v>
      </c>
      <c r="G1632" s="167" t="str">
        <f>_xlfn.XLOOKUP(Table1[[#This Row],[Account_ID]], Accounts[ID], Accounts[Account nickname], "Unknown")</f>
        <v>Discover it chrome Card</v>
      </c>
      <c r="H1632" s="137" t="str">
        <f>_xlfn.XLOOKUP(Table1[[#This Row],[Account_ID]], Accounts[ID], Accounts[Account'#], "Unknown")</f>
        <v>7328</v>
      </c>
      <c r="I1632" s="168" t="str">
        <f>_xlfn.XLOOKUP(Table1[[#This Row],[Institution_ID]], Institutions[ID], Institutions[Institution nickname], "Unknown")</f>
        <v>Discover</v>
      </c>
      <c r="J1632" s="139" t="s">
        <v>1117</v>
      </c>
      <c r="K1632" s="129" t="s">
        <v>110</v>
      </c>
      <c r="L1632" s="129" t="s">
        <v>108</v>
      </c>
      <c r="M1632" s="130" t="str" cm="1">
        <f t="array" ref="M1632">IFERROR(INDEX(CategoriesTable[Category type],MATCH(Table1[[#This Row],[Category]],CategoriesTable[Category name],0),0),"")</f>
        <v>Expense</v>
      </c>
      <c r="N1632" s="130" t="str" cm="1">
        <f t="array" ref="N1632">IFERROR(INDEX(SubcategoriesTable[Subcategory name],MATCH(Table1[[#This Row],[Category]],SubcategoriesTable[Category name],0),0),"")</f>
        <v>Variable</v>
      </c>
      <c r="O1632" s="130">
        <v>10</v>
      </c>
      <c r="P1632" s="130">
        <f>MONTH(Table1[[#This Row],[Date]])</f>
        <v>7</v>
      </c>
      <c r="Q1632" s="130">
        <v>2019</v>
      </c>
      <c r="R1632" s="166">
        <f>IF(ISBLANK(Table1[[#This Row],[Date]]),"",Table1[[#This Row],[Date]]-WEEKDAY(Table1[[#This Row],[Date]],2)+1)</f>
        <v>43654</v>
      </c>
      <c r="S1632" s="131">
        <f>IF(ISBLANK(Table1[[#This Row],[Date]]),"",DATE(Table1[[#This Row],[Date_Year]],Table1[[#This Row],[Date_Month]],1))</f>
        <v>43647</v>
      </c>
    </row>
    <row r="1633" spans="2:19" ht="15.75" x14ac:dyDescent="0.25">
      <c r="B1633" s="133">
        <v>43655</v>
      </c>
      <c r="C1633" s="128" t="s">
        <v>1118</v>
      </c>
      <c r="D1633" s="128" t="s">
        <v>45</v>
      </c>
      <c r="E1633" s="128" t="str" cm="1">
        <f t="array" ref="E1633">IFERROR(INDEX(SubcategoriesTable[Subcategory name],MATCH(Table1[[#This Row],[Category]],SubcategoriesTable[Category name],0),0),"")</f>
        <v>Variable</v>
      </c>
      <c r="F1633" s="134">
        <v>-17.48</v>
      </c>
      <c r="G1633" s="167" t="str">
        <f>_xlfn.XLOOKUP(Table1[[#This Row],[Account_ID]], Accounts[ID], Accounts[Account nickname], "Unknown")</f>
        <v>Discover it chrome Card</v>
      </c>
      <c r="H1633" s="137" t="str">
        <f>_xlfn.XLOOKUP(Table1[[#This Row],[Account_ID]], Accounts[ID], Accounts[Account'#], "Unknown")</f>
        <v>7328</v>
      </c>
      <c r="I1633" s="168" t="str">
        <f>_xlfn.XLOOKUP(Table1[[#This Row],[Institution_ID]], Institutions[ID], Institutions[Institution nickname], "Unknown")</f>
        <v>Discover</v>
      </c>
      <c r="J1633" s="139" t="s">
        <v>1119</v>
      </c>
      <c r="K1633" s="129" t="s">
        <v>110</v>
      </c>
      <c r="L1633" s="129" t="s">
        <v>108</v>
      </c>
      <c r="M1633" s="130" t="str" cm="1">
        <f t="array" ref="M1633">IFERROR(INDEX(CategoriesTable[Category type],MATCH(Table1[[#This Row],[Category]],CategoriesTable[Category name],0),0),"")</f>
        <v>Expense</v>
      </c>
      <c r="N1633" s="130" t="str" cm="1">
        <f t="array" ref="N1633">IFERROR(INDEX(SubcategoriesTable[Subcategory name],MATCH(Table1[[#This Row],[Category]],SubcategoriesTable[Category name],0),0),"")</f>
        <v>Variable</v>
      </c>
      <c r="O1633" s="130">
        <v>9</v>
      </c>
      <c r="P1633" s="130">
        <f>MONTH(Table1[[#This Row],[Date]])</f>
        <v>7</v>
      </c>
      <c r="Q1633" s="130">
        <v>2019</v>
      </c>
      <c r="R1633" s="166">
        <f>IF(ISBLANK(Table1[[#This Row],[Date]]),"",Table1[[#This Row],[Date]]-WEEKDAY(Table1[[#This Row],[Date]],2)+1)</f>
        <v>43654</v>
      </c>
      <c r="S1633" s="131">
        <f>IF(ISBLANK(Table1[[#This Row],[Date]]),"",DATE(Table1[[#This Row],[Date_Year]],Table1[[#This Row],[Date_Month]],1))</f>
        <v>43647</v>
      </c>
    </row>
    <row r="1634" spans="2:19" ht="15.75" x14ac:dyDescent="0.25">
      <c r="B1634" s="133">
        <v>43654</v>
      </c>
      <c r="C1634" s="128" t="s">
        <v>1120</v>
      </c>
      <c r="D1634" s="128" t="s">
        <v>46</v>
      </c>
      <c r="E1634" s="128" t="str" cm="1">
        <f t="array" ref="E1634">IFERROR(INDEX(SubcategoriesTable[Subcategory name],MATCH(Table1[[#This Row],[Category]],SubcategoriesTable[Category name],0),0),"")</f>
        <v>Variable</v>
      </c>
      <c r="F1634" s="134">
        <v>-5.3</v>
      </c>
      <c r="G1634" s="167" t="str">
        <f>_xlfn.XLOOKUP(Table1[[#This Row],[Account_ID]], Accounts[ID], Accounts[Account nickname], "Unknown")</f>
        <v>Discover it chrome Card</v>
      </c>
      <c r="H1634" s="137" t="str">
        <f>_xlfn.XLOOKUP(Table1[[#This Row],[Account_ID]], Accounts[ID], Accounts[Account'#], "Unknown")</f>
        <v>7328</v>
      </c>
      <c r="I1634" s="168" t="str">
        <f>_xlfn.XLOOKUP(Table1[[#This Row],[Institution_ID]], Institutions[ID], Institutions[Institution nickname], "Unknown")</f>
        <v>Discover</v>
      </c>
      <c r="J1634" s="139" t="s">
        <v>1121</v>
      </c>
      <c r="K1634" s="129" t="s">
        <v>110</v>
      </c>
      <c r="L1634" s="129" t="s">
        <v>108</v>
      </c>
      <c r="M1634" s="130" t="str" cm="1">
        <f t="array" ref="M1634">IFERROR(INDEX(CategoriesTable[Category type],MATCH(Table1[[#This Row],[Category]],CategoriesTable[Category name],0),0),"")</f>
        <v>Expense</v>
      </c>
      <c r="N1634" s="130" t="str" cm="1">
        <f t="array" ref="N1634">IFERROR(INDEX(SubcategoriesTable[Subcategory name],MATCH(Table1[[#This Row],[Category]],SubcategoriesTable[Category name],0),0),"")</f>
        <v>Variable</v>
      </c>
      <c r="O1634" s="130">
        <v>8</v>
      </c>
      <c r="P1634" s="130">
        <f>MONTH(Table1[[#This Row],[Date]])</f>
        <v>7</v>
      </c>
      <c r="Q1634" s="130">
        <v>2019</v>
      </c>
      <c r="R1634" s="166">
        <f>IF(ISBLANK(Table1[[#This Row],[Date]]),"",Table1[[#This Row],[Date]]-WEEKDAY(Table1[[#This Row],[Date]],2)+1)</f>
        <v>43654</v>
      </c>
      <c r="S1634" s="131">
        <f>IF(ISBLANK(Table1[[#This Row],[Date]]),"",DATE(Table1[[#This Row],[Date_Year]],Table1[[#This Row],[Date_Month]],1))</f>
        <v>43647</v>
      </c>
    </row>
    <row r="1635" spans="2:19" ht="15.75" x14ac:dyDescent="0.25">
      <c r="B1635" s="133">
        <v>43654</v>
      </c>
      <c r="C1635" s="128" t="s">
        <v>1122</v>
      </c>
      <c r="D1635" s="128" t="s">
        <v>49</v>
      </c>
      <c r="E1635" s="128" t="str" cm="1">
        <f t="array" ref="E1635">IFERROR(INDEX(SubcategoriesTable[Subcategory name],MATCH(Table1[[#This Row],[Category]],SubcategoriesTable[Category name],0),0),"")</f>
        <v>Variable</v>
      </c>
      <c r="F1635" s="134">
        <v>-12</v>
      </c>
      <c r="G1635" s="167" t="str">
        <f>_xlfn.XLOOKUP(Table1[[#This Row],[Account_ID]], Accounts[ID], Accounts[Account nickname], "Unknown")</f>
        <v>Discover it chrome Card</v>
      </c>
      <c r="H1635" s="137" t="str">
        <f>_xlfn.XLOOKUP(Table1[[#This Row],[Account_ID]], Accounts[ID], Accounts[Account'#], "Unknown")</f>
        <v>7328</v>
      </c>
      <c r="I1635" s="168" t="str">
        <f>_xlfn.XLOOKUP(Table1[[#This Row],[Institution_ID]], Institutions[ID], Institutions[Institution nickname], "Unknown")</f>
        <v>Discover</v>
      </c>
      <c r="J1635" s="139" t="s">
        <v>1123</v>
      </c>
      <c r="K1635" s="129" t="s">
        <v>110</v>
      </c>
      <c r="L1635" s="129" t="s">
        <v>108</v>
      </c>
      <c r="M1635" s="130" t="str" cm="1">
        <f t="array" ref="M1635">IFERROR(INDEX(CategoriesTable[Category type],MATCH(Table1[[#This Row],[Category]],CategoriesTable[Category name],0),0),"")</f>
        <v>Expense</v>
      </c>
      <c r="N1635" s="130" t="str" cm="1">
        <f t="array" ref="N1635">IFERROR(INDEX(SubcategoriesTable[Subcategory name],MATCH(Table1[[#This Row],[Category]],SubcategoriesTable[Category name],0),0),"")</f>
        <v>Variable</v>
      </c>
      <c r="O1635" s="130">
        <v>8</v>
      </c>
      <c r="P1635" s="130">
        <f>MONTH(Table1[[#This Row],[Date]])</f>
        <v>7</v>
      </c>
      <c r="Q1635" s="130">
        <v>2019</v>
      </c>
      <c r="R1635" s="166">
        <f>IF(ISBLANK(Table1[[#This Row],[Date]]),"",Table1[[#This Row],[Date]]-WEEKDAY(Table1[[#This Row],[Date]],2)+1)</f>
        <v>43654</v>
      </c>
      <c r="S1635" s="131">
        <f>IF(ISBLANK(Table1[[#This Row],[Date]]),"",DATE(Table1[[#This Row],[Date_Year]],Table1[[#This Row],[Date_Month]],1))</f>
        <v>43647</v>
      </c>
    </row>
    <row r="1636" spans="2:19" ht="15.75" x14ac:dyDescent="0.25">
      <c r="B1636" s="133">
        <v>43654</v>
      </c>
      <c r="C1636" s="128" t="s">
        <v>1124</v>
      </c>
      <c r="D1636" s="128" t="s">
        <v>48</v>
      </c>
      <c r="E1636" s="128" t="str" cm="1">
        <f t="array" ref="E1636">IFERROR(INDEX(SubcategoriesTable[Subcategory name],MATCH(Table1[[#This Row],[Category]],SubcategoriesTable[Category name],0),0),"")</f>
        <v>Variable</v>
      </c>
      <c r="F1636" s="134">
        <v>-37.08</v>
      </c>
      <c r="G1636" s="167" t="str">
        <f>_xlfn.XLOOKUP(Table1[[#This Row],[Account_ID]], Accounts[ID], Accounts[Account nickname], "Unknown")</f>
        <v>Discover it chrome Card</v>
      </c>
      <c r="H1636" s="137" t="str">
        <f>_xlfn.XLOOKUP(Table1[[#This Row],[Account_ID]], Accounts[ID], Accounts[Account'#], "Unknown")</f>
        <v>7328</v>
      </c>
      <c r="I1636" s="168" t="str">
        <f>_xlfn.XLOOKUP(Table1[[#This Row],[Institution_ID]], Institutions[ID], Institutions[Institution nickname], "Unknown")</f>
        <v>Discover</v>
      </c>
      <c r="J1636" s="139" t="s">
        <v>1125</v>
      </c>
      <c r="K1636" s="129" t="s">
        <v>110</v>
      </c>
      <c r="L1636" s="129" t="s">
        <v>108</v>
      </c>
      <c r="M1636" s="130" t="str" cm="1">
        <f t="array" ref="M1636">IFERROR(INDEX(CategoriesTable[Category type],MATCH(Table1[[#This Row],[Category]],CategoriesTable[Category name],0),0),"")</f>
        <v>Expense</v>
      </c>
      <c r="N1636" s="130" t="str" cm="1">
        <f t="array" ref="N1636">IFERROR(INDEX(SubcategoriesTable[Subcategory name],MATCH(Table1[[#This Row],[Category]],SubcategoriesTable[Category name],0),0),"")</f>
        <v>Variable</v>
      </c>
      <c r="O1636" s="130">
        <v>8</v>
      </c>
      <c r="P1636" s="130">
        <f>MONTH(Table1[[#This Row],[Date]])</f>
        <v>7</v>
      </c>
      <c r="Q1636" s="130">
        <v>2019</v>
      </c>
      <c r="R1636" s="166">
        <f>IF(ISBLANK(Table1[[#This Row],[Date]]),"",Table1[[#This Row],[Date]]-WEEKDAY(Table1[[#This Row],[Date]],2)+1)</f>
        <v>43654</v>
      </c>
      <c r="S1636" s="131">
        <f>IF(ISBLANK(Table1[[#This Row],[Date]]),"",DATE(Table1[[#This Row],[Date_Year]],Table1[[#This Row],[Date_Month]],1))</f>
        <v>43647</v>
      </c>
    </row>
    <row r="1637" spans="2:19" ht="15.75" x14ac:dyDescent="0.25">
      <c r="B1637" s="133">
        <v>43651</v>
      </c>
      <c r="C1637" s="128" t="s">
        <v>1126</v>
      </c>
      <c r="D1637" s="128" t="s">
        <v>50</v>
      </c>
      <c r="E1637" s="128" t="str" cm="1">
        <f t="array" ref="E1637">IFERROR(INDEX(SubcategoriesTable[Subcategory name],MATCH(Table1[[#This Row],[Category]],SubcategoriesTable[Category name],0),0),"")</f>
        <v>Variable</v>
      </c>
      <c r="F1637" s="134">
        <v>135.07</v>
      </c>
      <c r="G1637" s="167" t="str">
        <f>_xlfn.XLOOKUP(Table1[[#This Row],[Account_ID]], Accounts[ID], Accounts[Account nickname], "Unknown")</f>
        <v>Discover it chrome Card</v>
      </c>
      <c r="H1637" s="137" t="str">
        <f>_xlfn.XLOOKUP(Table1[[#This Row],[Account_ID]], Accounts[ID], Accounts[Account'#], "Unknown")</f>
        <v>7328</v>
      </c>
      <c r="I1637" s="168" t="str">
        <f>_xlfn.XLOOKUP(Table1[[#This Row],[Institution_ID]], Institutions[ID], Institutions[Institution nickname], "Unknown")</f>
        <v>Discover</v>
      </c>
      <c r="J1637" s="139" t="s">
        <v>1127</v>
      </c>
      <c r="K1637" s="129" t="s">
        <v>110</v>
      </c>
      <c r="L1637" s="129" t="s">
        <v>108</v>
      </c>
      <c r="M1637" s="130" t="str" cm="1">
        <f t="array" ref="M1637">IFERROR(INDEX(CategoriesTable[Category type],MATCH(Table1[[#This Row],[Category]],CategoriesTable[Category name],0),0),"")</f>
        <v>Transfer</v>
      </c>
      <c r="N1637" s="130" t="str" cm="1">
        <f t="array" ref="N1637">IFERROR(INDEX(SubcategoriesTable[Subcategory name],MATCH(Table1[[#This Row],[Category]],SubcategoriesTable[Category name],0),0),"")</f>
        <v>Variable</v>
      </c>
      <c r="O1637" s="130">
        <v>5</v>
      </c>
      <c r="P1637" s="130">
        <f>MONTH(Table1[[#This Row],[Date]])</f>
        <v>7</v>
      </c>
      <c r="Q1637" s="130">
        <v>2019</v>
      </c>
      <c r="R1637" s="166">
        <f>IF(ISBLANK(Table1[[#This Row],[Date]]),"",Table1[[#This Row],[Date]]-WEEKDAY(Table1[[#This Row],[Date]],2)+1)</f>
        <v>43647</v>
      </c>
      <c r="S1637" s="131">
        <f>IF(ISBLANK(Table1[[#This Row],[Date]]),"",DATE(Table1[[#This Row],[Date_Year]],Table1[[#This Row],[Date_Month]],1))</f>
        <v>43647</v>
      </c>
    </row>
    <row r="1638" spans="2:19" ht="15.75" x14ac:dyDescent="0.25">
      <c r="B1638" s="133">
        <v>43636</v>
      </c>
      <c r="C1638" s="128" t="s">
        <v>1066</v>
      </c>
      <c r="D1638" s="128" t="s">
        <v>61</v>
      </c>
      <c r="E1638" s="128" t="str" cm="1">
        <f t="array" ref="E1638">IFERROR(INDEX(SubcategoriesTable[Subcategory name],MATCH(Table1[[#This Row],[Category]],SubcategoriesTable[Category name],0),0),"")</f>
        <v>Variable</v>
      </c>
      <c r="F1638" s="134">
        <v>-15.74</v>
      </c>
      <c r="G1638" s="167" t="str">
        <f>_xlfn.XLOOKUP(Table1[[#This Row],[Account_ID]], Accounts[ID], Accounts[Account nickname], "Unknown")</f>
        <v>Discover it chrome Card</v>
      </c>
      <c r="H1638" s="137" t="str">
        <f>_xlfn.XLOOKUP(Table1[[#This Row],[Account_ID]], Accounts[ID], Accounts[Account'#], "Unknown")</f>
        <v>7328</v>
      </c>
      <c r="I1638" s="168" t="str">
        <f>_xlfn.XLOOKUP(Table1[[#This Row],[Institution_ID]], Institutions[ID], Institutions[Institution nickname], "Unknown")</f>
        <v>Discover</v>
      </c>
      <c r="J1638" s="139" t="s">
        <v>1128</v>
      </c>
      <c r="K1638" s="129" t="s">
        <v>110</v>
      </c>
      <c r="L1638" s="129" t="s">
        <v>108</v>
      </c>
      <c r="M1638" s="130" t="str" cm="1">
        <f t="array" ref="M1638">IFERROR(INDEX(CategoriesTable[Category type],MATCH(Table1[[#This Row],[Category]],CategoriesTable[Category name],0),0),"")</f>
        <v>Expense</v>
      </c>
      <c r="N1638" s="130" t="str" cm="1">
        <f t="array" ref="N1638">IFERROR(INDEX(SubcategoriesTable[Subcategory name],MATCH(Table1[[#This Row],[Category]],SubcategoriesTable[Category name],0),0),"")</f>
        <v>Variable</v>
      </c>
      <c r="O1638" s="130">
        <v>20</v>
      </c>
      <c r="P1638" s="130">
        <f>MONTH(Table1[[#This Row],[Date]])</f>
        <v>6</v>
      </c>
      <c r="Q1638" s="130">
        <v>2019</v>
      </c>
      <c r="R1638" s="166">
        <f>IF(ISBLANK(Table1[[#This Row],[Date]]),"",Table1[[#This Row],[Date]]-WEEKDAY(Table1[[#This Row],[Date]],2)+1)</f>
        <v>43633</v>
      </c>
      <c r="S1638" s="131">
        <f>IF(ISBLANK(Table1[[#This Row],[Date]]),"",DATE(Table1[[#This Row],[Date_Year]],Table1[[#This Row],[Date_Month]],1))</f>
        <v>43617</v>
      </c>
    </row>
    <row r="1639" spans="2:19" ht="15.75" x14ac:dyDescent="0.25">
      <c r="B1639" s="133">
        <v>43631</v>
      </c>
      <c r="C1639" s="128" t="s">
        <v>1129</v>
      </c>
      <c r="D1639" s="128" t="s">
        <v>61</v>
      </c>
      <c r="E1639" s="128" t="str" cm="1">
        <f t="array" ref="E1639">IFERROR(INDEX(SubcategoriesTable[Subcategory name],MATCH(Table1[[#This Row],[Category]],SubcategoriesTable[Category name],0),0),"")</f>
        <v>Variable</v>
      </c>
      <c r="F1639" s="134">
        <v>-37</v>
      </c>
      <c r="G1639" s="167" t="str">
        <f>_xlfn.XLOOKUP(Table1[[#This Row],[Account_ID]], Accounts[ID], Accounts[Account nickname], "Unknown")</f>
        <v>Discover it chrome Card</v>
      </c>
      <c r="H1639" s="137" t="str">
        <f>_xlfn.XLOOKUP(Table1[[#This Row],[Account_ID]], Accounts[ID], Accounts[Account'#], "Unknown")</f>
        <v>7328</v>
      </c>
      <c r="I1639" s="168" t="str">
        <f>_xlfn.XLOOKUP(Table1[[#This Row],[Institution_ID]], Institutions[ID], Institutions[Institution nickname], "Unknown")</f>
        <v>Discover</v>
      </c>
      <c r="J1639" s="139" t="s">
        <v>1130</v>
      </c>
      <c r="K1639" s="129" t="s">
        <v>110</v>
      </c>
      <c r="L1639" s="129" t="s">
        <v>108</v>
      </c>
      <c r="M1639" s="130" t="str" cm="1">
        <f t="array" ref="M1639">IFERROR(INDEX(CategoriesTable[Category type],MATCH(Table1[[#This Row],[Category]],CategoriesTable[Category name],0),0),"")</f>
        <v>Expense</v>
      </c>
      <c r="N1639" s="130" t="str" cm="1">
        <f t="array" ref="N1639">IFERROR(INDEX(SubcategoriesTable[Subcategory name],MATCH(Table1[[#This Row],[Category]],SubcategoriesTable[Category name],0),0),"")</f>
        <v>Variable</v>
      </c>
      <c r="O1639" s="130">
        <v>15</v>
      </c>
      <c r="P1639" s="130">
        <f>MONTH(Table1[[#This Row],[Date]])</f>
        <v>6</v>
      </c>
      <c r="Q1639" s="130">
        <v>2019</v>
      </c>
      <c r="R1639" s="166">
        <f>IF(ISBLANK(Table1[[#This Row],[Date]]),"",Table1[[#This Row],[Date]]-WEEKDAY(Table1[[#This Row],[Date]],2)+1)</f>
        <v>43626</v>
      </c>
      <c r="S1639" s="131">
        <f>IF(ISBLANK(Table1[[#This Row],[Date]]),"",DATE(Table1[[#This Row],[Date_Year]],Table1[[#This Row],[Date_Month]],1))</f>
        <v>43617</v>
      </c>
    </row>
    <row r="1640" spans="2:19" ht="15.75" x14ac:dyDescent="0.25">
      <c r="B1640" s="133">
        <v>43610</v>
      </c>
      <c r="C1640" s="128" t="s">
        <v>1131</v>
      </c>
      <c r="D1640" s="128" t="s">
        <v>57</v>
      </c>
      <c r="E1640" s="128" t="str" cm="1">
        <f t="array" ref="E1640">IFERROR(INDEX(SubcategoriesTable[Subcategory name],MATCH(Table1[[#This Row],[Category]],SubcategoriesTable[Category name],0),0),"")</f>
        <v>Variable</v>
      </c>
      <c r="F1640" s="134">
        <v>35</v>
      </c>
      <c r="G1640" s="167" t="str">
        <f>_xlfn.XLOOKUP(Table1[[#This Row],[Account_ID]], Accounts[ID], Accounts[Account nickname], "Unknown")</f>
        <v>Discover it chrome Card</v>
      </c>
      <c r="H1640" s="137" t="str">
        <f>_xlfn.XLOOKUP(Table1[[#This Row],[Account_ID]], Accounts[ID], Accounts[Account'#], "Unknown")</f>
        <v>7328</v>
      </c>
      <c r="I1640" s="168" t="str">
        <f>_xlfn.XLOOKUP(Table1[[#This Row],[Institution_ID]], Institutions[ID], Institutions[Institution nickname], "Unknown")</f>
        <v>Discover</v>
      </c>
      <c r="J1640" s="139" t="s">
        <v>1132</v>
      </c>
      <c r="K1640" s="129" t="s">
        <v>110</v>
      </c>
      <c r="L1640" s="129" t="s">
        <v>108</v>
      </c>
      <c r="M1640" s="130" t="str" cm="1">
        <f t="array" ref="M1640">IFERROR(INDEX(CategoriesTable[Category type],MATCH(Table1[[#This Row],[Category]],CategoriesTable[Category name],0),0),"")</f>
        <v>Transfer</v>
      </c>
      <c r="N1640" s="130" t="str" cm="1">
        <f t="array" ref="N1640">IFERROR(INDEX(SubcategoriesTable[Subcategory name],MATCH(Table1[[#This Row],[Category]],SubcategoriesTable[Category name],0),0),"")</f>
        <v>Variable</v>
      </c>
      <c r="O1640" s="130">
        <v>25</v>
      </c>
      <c r="P1640" s="130">
        <f>MONTH(Table1[[#This Row],[Date]])</f>
        <v>5</v>
      </c>
      <c r="Q1640" s="130">
        <v>2019</v>
      </c>
      <c r="R1640" s="166">
        <f>IF(ISBLANK(Table1[[#This Row],[Date]]),"",Table1[[#This Row],[Date]]-WEEKDAY(Table1[[#This Row],[Date]],2)+1)</f>
        <v>43605</v>
      </c>
      <c r="S1640" s="131">
        <f>IF(ISBLANK(Table1[[#This Row],[Date]]),"",DATE(Table1[[#This Row],[Date_Year]],Table1[[#This Row],[Date_Month]],1))</f>
        <v>43586</v>
      </c>
    </row>
    <row r="1641" spans="2:19" ht="15.75" x14ac:dyDescent="0.25">
      <c r="B1641" s="133">
        <v>43610</v>
      </c>
      <c r="C1641" s="128" t="s">
        <v>1133</v>
      </c>
      <c r="D1641" s="128" t="s">
        <v>61</v>
      </c>
      <c r="E1641" s="128" t="str" cm="1">
        <f t="array" ref="E1641">IFERROR(INDEX(SubcategoriesTable[Subcategory name],MATCH(Table1[[#This Row],[Category]],SubcategoriesTable[Category name],0),0),"")</f>
        <v>Variable</v>
      </c>
      <c r="F1641" s="134">
        <v>13</v>
      </c>
      <c r="G1641" s="167" t="str">
        <f>_xlfn.XLOOKUP(Table1[[#This Row],[Account_ID]], Accounts[ID], Accounts[Account nickname], "Unknown")</f>
        <v>Discover it chrome Card</v>
      </c>
      <c r="H1641" s="137" t="str">
        <f>_xlfn.XLOOKUP(Table1[[#This Row],[Account_ID]], Accounts[ID], Accounts[Account'#], "Unknown")</f>
        <v>7328</v>
      </c>
      <c r="I1641" s="168" t="str">
        <f>_xlfn.XLOOKUP(Table1[[#This Row],[Institution_ID]], Institutions[ID], Institutions[Institution nickname], "Unknown")</f>
        <v>Discover</v>
      </c>
      <c r="J1641" s="139" t="s">
        <v>1134</v>
      </c>
      <c r="K1641" s="129" t="s">
        <v>110</v>
      </c>
      <c r="L1641" s="129" t="s">
        <v>108</v>
      </c>
      <c r="M1641" s="130" t="str" cm="1">
        <f t="array" ref="M1641">IFERROR(INDEX(CategoriesTable[Category type],MATCH(Table1[[#This Row],[Category]],CategoriesTable[Category name],0),0),"")</f>
        <v>Expense</v>
      </c>
      <c r="N1641" s="130" t="str" cm="1">
        <f t="array" ref="N1641">IFERROR(INDEX(SubcategoriesTable[Subcategory name],MATCH(Table1[[#This Row],[Category]],SubcategoriesTable[Category name],0),0),"")</f>
        <v>Variable</v>
      </c>
      <c r="O1641" s="130">
        <v>25</v>
      </c>
      <c r="P1641" s="130">
        <f>MONTH(Table1[[#This Row],[Date]])</f>
        <v>5</v>
      </c>
      <c r="Q1641" s="130">
        <v>2019</v>
      </c>
      <c r="R1641" s="166">
        <f>IF(ISBLANK(Table1[[#This Row],[Date]]),"",Table1[[#This Row],[Date]]-WEEKDAY(Table1[[#This Row],[Date]],2)+1)</f>
        <v>43605</v>
      </c>
      <c r="S1641" s="131">
        <f>IF(ISBLANK(Table1[[#This Row],[Date]]),"",DATE(Table1[[#This Row],[Date_Year]],Table1[[#This Row],[Date_Month]],1))</f>
        <v>43586</v>
      </c>
    </row>
    <row r="1642" spans="2:19" ht="15.75" x14ac:dyDescent="0.25">
      <c r="B1642" s="133">
        <v>43609</v>
      </c>
      <c r="C1642" s="128" t="s">
        <v>58</v>
      </c>
      <c r="D1642" s="128" t="s">
        <v>50</v>
      </c>
      <c r="E1642" s="128" t="str" cm="1">
        <f t="array" ref="E1642">IFERROR(INDEX(SubcategoriesTable[Subcategory name],MATCH(Table1[[#This Row],[Category]],SubcategoriesTable[Category name],0),0),"")</f>
        <v>Variable</v>
      </c>
      <c r="F1642" s="134">
        <v>52</v>
      </c>
      <c r="G1642" s="167" t="str">
        <f>_xlfn.XLOOKUP(Table1[[#This Row],[Account_ID]], Accounts[ID], Accounts[Account nickname], "Unknown")</f>
        <v>Discover it chrome Card</v>
      </c>
      <c r="H1642" s="137" t="str">
        <f>_xlfn.XLOOKUP(Table1[[#This Row],[Account_ID]], Accounts[ID], Accounts[Account'#], "Unknown")</f>
        <v>7328</v>
      </c>
      <c r="I1642" s="168" t="str">
        <f>_xlfn.XLOOKUP(Table1[[#This Row],[Institution_ID]], Institutions[ID], Institutions[Institution nickname], "Unknown")</f>
        <v>Discover</v>
      </c>
      <c r="J1642" s="139" t="s">
        <v>1135</v>
      </c>
      <c r="K1642" s="129" t="s">
        <v>110</v>
      </c>
      <c r="L1642" s="129" t="s">
        <v>108</v>
      </c>
      <c r="M1642" s="130" t="str" cm="1">
        <f t="array" ref="M1642">IFERROR(INDEX(CategoriesTable[Category type],MATCH(Table1[[#This Row],[Category]],CategoriesTable[Category name],0),0),"")</f>
        <v>Transfer</v>
      </c>
      <c r="N1642" s="130" t="str" cm="1">
        <f t="array" ref="N1642">IFERROR(INDEX(SubcategoriesTable[Subcategory name],MATCH(Table1[[#This Row],[Category]],SubcategoriesTable[Category name],0),0),"")</f>
        <v>Variable</v>
      </c>
      <c r="O1642" s="130">
        <v>24</v>
      </c>
      <c r="P1642" s="130">
        <f>MONTH(Table1[[#This Row],[Date]])</f>
        <v>5</v>
      </c>
      <c r="Q1642" s="130">
        <v>2019</v>
      </c>
      <c r="R1642" s="166">
        <f>IF(ISBLANK(Table1[[#This Row],[Date]]),"",Table1[[#This Row],[Date]]-WEEKDAY(Table1[[#This Row],[Date]],2)+1)</f>
        <v>43605</v>
      </c>
      <c r="S1642" s="131">
        <f>IF(ISBLANK(Table1[[#This Row],[Date]]),"",DATE(Table1[[#This Row],[Date_Year]],Table1[[#This Row],[Date_Month]],1))</f>
        <v>43586</v>
      </c>
    </row>
    <row r="1643" spans="2:19" ht="15.75" x14ac:dyDescent="0.25">
      <c r="B1643" s="133">
        <v>43607</v>
      </c>
      <c r="C1643" s="128" t="s">
        <v>206</v>
      </c>
      <c r="D1643" s="128" t="s">
        <v>57</v>
      </c>
      <c r="E1643" s="128" t="str" cm="1">
        <f t="array" ref="E1643">IFERROR(INDEX(SubcategoriesTable[Subcategory name],MATCH(Table1[[#This Row],[Category]],SubcategoriesTable[Category name],0),0),"")</f>
        <v>Variable</v>
      </c>
      <c r="F1643" s="134">
        <v>11.93</v>
      </c>
      <c r="G1643" s="167" t="str">
        <f>_xlfn.XLOOKUP(Table1[[#This Row],[Account_ID]], Accounts[ID], Accounts[Account nickname], "Unknown")</f>
        <v>Discover it chrome Card</v>
      </c>
      <c r="H1643" s="137" t="str">
        <f>_xlfn.XLOOKUP(Table1[[#This Row],[Account_ID]], Accounts[ID], Accounts[Account'#], "Unknown")</f>
        <v>7328</v>
      </c>
      <c r="I1643" s="168" t="str">
        <f>_xlfn.XLOOKUP(Table1[[#This Row],[Institution_ID]], Institutions[ID], Institutions[Institution nickname], "Unknown")</f>
        <v>Discover</v>
      </c>
      <c r="J1643" s="139" t="s">
        <v>1136</v>
      </c>
      <c r="K1643" s="129" t="s">
        <v>110</v>
      </c>
      <c r="L1643" s="129" t="s">
        <v>108</v>
      </c>
      <c r="M1643" s="130" t="str" cm="1">
        <f t="array" ref="M1643">IFERROR(INDEX(CategoriesTable[Category type],MATCH(Table1[[#This Row],[Category]],CategoriesTable[Category name],0),0),"")</f>
        <v>Transfer</v>
      </c>
      <c r="N1643" s="130" t="str" cm="1">
        <f t="array" ref="N1643">IFERROR(INDEX(SubcategoriesTable[Subcategory name],MATCH(Table1[[#This Row],[Category]],SubcategoriesTable[Category name],0),0),"")</f>
        <v>Variable</v>
      </c>
      <c r="O1643" s="130">
        <v>22</v>
      </c>
      <c r="P1643" s="130">
        <f>MONTH(Table1[[#This Row],[Date]])</f>
        <v>5</v>
      </c>
      <c r="Q1643" s="130">
        <v>2019</v>
      </c>
      <c r="R1643" s="166">
        <f>IF(ISBLANK(Table1[[#This Row],[Date]]),"",Table1[[#This Row],[Date]]-WEEKDAY(Table1[[#This Row],[Date]],2)+1)</f>
        <v>43605</v>
      </c>
      <c r="S1643" s="131">
        <f>IF(ISBLANK(Table1[[#This Row],[Date]]),"",DATE(Table1[[#This Row],[Date_Year]],Table1[[#This Row],[Date_Month]],1))</f>
        <v>43586</v>
      </c>
    </row>
    <row r="1644" spans="2:19" ht="15.75" x14ac:dyDescent="0.25">
      <c r="B1644" s="133">
        <v>43605</v>
      </c>
      <c r="C1644" s="128" t="s">
        <v>1066</v>
      </c>
      <c r="D1644" s="128" t="s">
        <v>61</v>
      </c>
      <c r="E1644" s="128" t="str" cm="1">
        <f t="array" ref="E1644">IFERROR(INDEX(SubcategoriesTable[Subcategory name],MATCH(Table1[[#This Row],[Category]],SubcategoriesTable[Category name],0),0),"")</f>
        <v>Variable</v>
      </c>
      <c r="F1644" s="134">
        <v>-16.61</v>
      </c>
      <c r="G1644" s="167" t="str">
        <f>_xlfn.XLOOKUP(Table1[[#This Row],[Account_ID]], Accounts[ID], Accounts[Account nickname], "Unknown")</f>
        <v>Discover it chrome Card</v>
      </c>
      <c r="H1644" s="137" t="str">
        <f>_xlfn.XLOOKUP(Table1[[#This Row],[Account_ID]], Accounts[ID], Accounts[Account'#], "Unknown")</f>
        <v>7328</v>
      </c>
      <c r="I1644" s="168" t="str">
        <f>_xlfn.XLOOKUP(Table1[[#This Row],[Institution_ID]], Institutions[ID], Institutions[Institution nickname], "Unknown")</f>
        <v>Discover</v>
      </c>
      <c r="J1644" s="139" t="s">
        <v>1137</v>
      </c>
      <c r="K1644" s="129" t="s">
        <v>110</v>
      </c>
      <c r="L1644" s="129" t="s">
        <v>108</v>
      </c>
      <c r="M1644" s="130" t="str" cm="1">
        <f t="array" ref="M1644">IFERROR(INDEX(CategoriesTable[Category type],MATCH(Table1[[#This Row],[Category]],CategoriesTable[Category name],0),0),"")</f>
        <v>Expense</v>
      </c>
      <c r="N1644" s="130" t="str" cm="1">
        <f t="array" ref="N1644">IFERROR(INDEX(SubcategoriesTable[Subcategory name],MATCH(Table1[[#This Row],[Category]],SubcategoriesTable[Category name],0),0),"")</f>
        <v>Variable</v>
      </c>
      <c r="O1644" s="130">
        <v>20</v>
      </c>
      <c r="P1644" s="130">
        <f>MONTH(Table1[[#This Row],[Date]])</f>
        <v>5</v>
      </c>
      <c r="Q1644" s="130">
        <v>2019</v>
      </c>
      <c r="R1644" s="166">
        <f>IF(ISBLANK(Table1[[#This Row],[Date]]),"",Table1[[#This Row],[Date]]-WEEKDAY(Table1[[#This Row],[Date]],2)+1)</f>
        <v>43605</v>
      </c>
      <c r="S1644" s="131">
        <f>IF(ISBLANK(Table1[[#This Row],[Date]]),"",DATE(Table1[[#This Row],[Date_Year]],Table1[[#This Row],[Date_Month]],1))</f>
        <v>43586</v>
      </c>
    </row>
    <row r="1645" spans="2:19" ht="15.75" x14ac:dyDescent="0.25">
      <c r="B1645" s="133">
        <v>43600</v>
      </c>
      <c r="C1645" s="128" t="s">
        <v>1129</v>
      </c>
      <c r="D1645" s="128" t="s">
        <v>61</v>
      </c>
      <c r="E1645" s="128" t="str" cm="1">
        <f t="array" ref="E1645">IFERROR(INDEX(SubcategoriesTable[Subcategory name],MATCH(Table1[[#This Row],[Category]],SubcategoriesTable[Category name],0),0),"")</f>
        <v>Variable</v>
      </c>
      <c r="F1645" s="134">
        <v>-37</v>
      </c>
      <c r="G1645" s="167" t="str">
        <f>_xlfn.XLOOKUP(Table1[[#This Row],[Account_ID]], Accounts[ID], Accounts[Account nickname], "Unknown")</f>
        <v>Discover it chrome Card</v>
      </c>
      <c r="H1645" s="137" t="str">
        <f>_xlfn.XLOOKUP(Table1[[#This Row],[Account_ID]], Accounts[ID], Accounts[Account'#], "Unknown")</f>
        <v>7328</v>
      </c>
      <c r="I1645" s="168" t="str">
        <f>_xlfn.XLOOKUP(Table1[[#This Row],[Institution_ID]], Institutions[ID], Institutions[Institution nickname], "Unknown")</f>
        <v>Discover</v>
      </c>
      <c r="J1645" s="139" t="s">
        <v>1138</v>
      </c>
      <c r="K1645" s="129" t="s">
        <v>110</v>
      </c>
      <c r="L1645" s="129" t="s">
        <v>108</v>
      </c>
      <c r="M1645" s="130" t="str" cm="1">
        <f t="array" ref="M1645">IFERROR(INDEX(CategoriesTable[Category type],MATCH(Table1[[#This Row],[Category]],CategoriesTable[Category name],0),0),"")</f>
        <v>Expense</v>
      </c>
      <c r="N1645" s="130" t="str" cm="1">
        <f t="array" ref="N1645">IFERROR(INDEX(SubcategoriesTable[Subcategory name],MATCH(Table1[[#This Row],[Category]],SubcategoriesTable[Category name],0),0),"")</f>
        <v>Variable</v>
      </c>
      <c r="O1645" s="130">
        <v>15</v>
      </c>
      <c r="P1645" s="130">
        <f>MONTH(Table1[[#This Row],[Date]])</f>
        <v>5</v>
      </c>
      <c r="Q1645" s="130">
        <v>2019</v>
      </c>
      <c r="R1645" s="166">
        <f>IF(ISBLANK(Table1[[#This Row],[Date]]),"",Table1[[#This Row],[Date]]-WEEKDAY(Table1[[#This Row],[Date]],2)+1)</f>
        <v>43598</v>
      </c>
      <c r="S1645" s="131">
        <f>IF(ISBLANK(Table1[[#This Row],[Date]]),"",DATE(Table1[[#This Row],[Date_Year]],Table1[[#This Row],[Date_Month]],1))</f>
        <v>43586</v>
      </c>
    </row>
    <row r="1646" spans="2:19" ht="15.75" x14ac:dyDescent="0.25">
      <c r="B1646" s="133">
        <v>43595</v>
      </c>
      <c r="C1646" s="128" t="s">
        <v>1126</v>
      </c>
      <c r="D1646" s="128" t="s">
        <v>50</v>
      </c>
      <c r="E1646" s="128" t="str" cm="1">
        <f t="array" ref="E1646">IFERROR(INDEX(SubcategoriesTable[Subcategory name],MATCH(Table1[[#This Row],[Category]],SubcategoriesTable[Category name],0),0),"")</f>
        <v>Variable</v>
      </c>
      <c r="F1646" s="134">
        <v>52</v>
      </c>
      <c r="G1646" s="167" t="str">
        <f>_xlfn.XLOOKUP(Table1[[#This Row],[Account_ID]], Accounts[ID], Accounts[Account nickname], "Unknown")</f>
        <v>Discover it chrome Card</v>
      </c>
      <c r="H1646" s="137" t="str">
        <f>_xlfn.XLOOKUP(Table1[[#This Row],[Account_ID]], Accounts[ID], Accounts[Account'#], "Unknown")</f>
        <v>7328</v>
      </c>
      <c r="I1646" s="168" t="str">
        <f>_xlfn.XLOOKUP(Table1[[#This Row],[Institution_ID]], Institutions[ID], Institutions[Institution nickname], "Unknown")</f>
        <v>Discover</v>
      </c>
      <c r="J1646" s="139" t="s">
        <v>1139</v>
      </c>
      <c r="K1646" s="129" t="s">
        <v>110</v>
      </c>
      <c r="L1646" s="129" t="s">
        <v>108</v>
      </c>
      <c r="M1646" s="130" t="str" cm="1">
        <f t="array" ref="M1646">IFERROR(INDEX(CategoriesTable[Category type],MATCH(Table1[[#This Row],[Category]],CategoriesTable[Category name],0),0),"")</f>
        <v>Transfer</v>
      </c>
      <c r="N1646" s="130" t="str" cm="1">
        <f t="array" ref="N1646">IFERROR(INDEX(SubcategoriesTable[Subcategory name],MATCH(Table1[[#This Row],[Category]],SubcategoriesTable[Category name],0),0),"")</f>
        <v>Variable</v>
      </c>
      <c r="O1646" s="130">
        <v>10</v>
      </c>
      <c r="P1646" s="130">
        <f>MONTH(Table1[[#This Row],[Date]])</f>
        <v>5</v>
      </c>
      <c r="Q1646" s="130">
        <v>2019</v>
      </c>
      <c r="R1646" s="166">
        <f>IF(ISBLANK(Table1[[#This Row],[Date]]),"",Table1[[#This Row],[Date]]-WEEKDAY(Table1[[#This Row],[Date]],2)+1)</f>
        <v>43591</v>
      </c>
      <c r="S1646" s="131">
        <f>IF(ISBLANK(Table1[[#This Row],[Date]]),"",DATE(Table1[[#This Row],[Date_Year]],Table1[[#This Row],[Date_Month]],1))</f>
        <v>43586</v>
      </c>
    </row>
    <row r="1647" spans="2:19" ht="15.75" x14ac:dyDescent="0.25">
      <c r="B1647" s="133">
        <v>43575</v>
      </c>
      <c r="C1647" s="128" t="s">
        <v>1066</v>
      </c>
      <c r="D1647" s="128" t="s">
        <v>61</v>
      </c>
      <c r="E1647" s="128" t="str" cm="1">
        <f t="array" ref="E1647">IFERROR(INDEX(SubcategoriesTable[Subcategory name],MATCH(Table1[[#This Row],[Category]],SubcategoriesTable[Category name],0),0),"")</f>
        <v>Variable</v>
      </c>
      <c r="F1647" s="134">
        <v>-13.86</v>
      </c>
      <c r="G1647" s="167" t="str">
        <f>_xlfn.XLOOKUP(Table1[[#This Row],[Account_ID]], Accounts[ID], Accounts[Account nickname], "Unknown")</f>
        <v>Discover it chrome Card</v>
      </c>
      <c r="H1647" s="137" t="str">
        <f>_xlfn.XLOOKUP(Table1[[#This Row],[Account_ID]], Accounts[ID], Accounts[Account'#], "Unknown")</f>
        <v>7328</v>
      </c>
      <c r="I1647" s="168" t="str">
        <f>_xlfn.XLOOKUP(Table1[[#This Row],[Institution_ID]], Institutions[ID], Institutions[Institution nickname], "Unknown")</f>
        <v>Discover</v>
      </c>
      <c r="J1647" s="139" t="s">
        <v>1140</v>
      </c>
      <c r="K1647" s="129" t="s">
        <v>110</v>
      </c>
      <c r="L1647" s="129" t="s">
        <v>108</v>
      </c>
      <c r="M1647" s="130" t="str" cm="1">
        <f t="array" ref="M1647">IFERROR(INDEX(CategoriesTable[Category type],MATCH(Table1[[#This Row],[Category]],CategoriesTable[Category name],0),0),"")</f>
        <v>Expense</v>
      </c>
      <c r="N1647" s="130" t="str" cm="1">
        <f t="array" ref="N1647">IFERROR(INDEX(SubcategoriesTable[Subcategory name],MATCH(Table1[[#This Row],[Category]],SubcategoriesTable[Category name],0),0),"")</f>
        <v>Variable</v>
      </c>
      <c r="O1647" s="130">
        <v>20</v>
      </c>
      <c r="P1647" s="130">
        <f>MONTH(Table1[[#This Row],[Date]])</f>
        <v>4</v>
      </c>
      <c r="Q1647" s="130">
        <v>2019</v>
      </c>
      <c r="R1647" s="166">
        <f>IF(ISBLANK(Table1[[#This Row],[Date]]),"",Table1[[#This Row],[Date]]-WEEKDAY(Table1[[#This Row],[Date]],2)+1)</f>
        <v>43570</v>
      </c>
      <c r="S1647" s="131">
        <f>IF(ISBLANK(Table1[[#This Row],[Date]]),"",DATE(Table1[[#This Row],[Date_Year]],Table1[[#This Row],[Date_Month]],1))</f>
        <v>43556</v>
      </c>
    </row>
    <row r="1648" spans="2:19" ht="15.75" x14ac:dyDescent="0.25">
      <c r="B1648" s="133">
        <v>43570</v>
      </c>
      <c r="C1648" s="128" t="s">
        <v>1129</v>
      </c>
      <c r="D1648" s="128" t="s">
        <v>61</v>
      </c>
      <c r="E1648" s="128" t="str" cm="1">
        <f t="array" ref="E1648">IFERROR(INDEX(SubcategoriesTable[Subcategory name],MATCH(Table1[[#This Row],[Category]],SubcategoriesTable[Category name],0),0),"")</f>
        <v>Variable</v>
      </c>
      <c r="F1648" s="134">
        <v>-35</v>
      </c>
      <c r="G1648" s="167" t="str">
        <f>_xlfn.XLOOKUP(Table1[[#This Row],[Account_ID]], Accounts[ID], Accounts[Account nickname], "Unknown")</f>
        <v>Discover it chrome Card</v>
      </c>
      <c r="H1648" s="137" t="str">
        <f>_xlfn.XLOOKUP(Table1[[#This Row],[Account_ID]], Accounts[ID], Accounts[Account'#], "Unknown")</f>
        <v>7328</v>
      </c>
      <c r="I1648" s="168" t="str">
        <f>_xlfn.XLOOKUP(Table1[[#This Row],[Institution_ID]], Institutions[ID], Institutions[Institution nickname], "Unknown")</f>
        <v>Discover</v>
      </c>
      <c r="J1648" s="139" t="s">
        <v>1141</v>
      </c>
      <c r="K1648" s="129" t="s">
        <v>110</v>
      </c>
      <c r="L1648" s="129" t="s">
        <v>108</v>
      </c>
      <c r="M1648" s="130" t="str" cm="1">
        <f t="array" ref="M1648">IFERROR(INDEX(CategoriesTable[Category type],MATCH(Table1[[#This Row],[Category]],CategoriesTable[Category name],0),0),"")</f>
        <v>Expense</v>
      </c>
      <c r="N1648" s="130" t="str" cm="1">
        <f t="array" ref="N1648">IFERROR(INDEX(SubcategoriesTable[Subcategory name],MATCH(Table1[[#This Row],[Category]],SubcategoriesTable[Category name],0),0),"")</f>
        <v>Variable</v>
      </c>
      <c r="O1648" s="130">
        <v>15</v>
      </c>
      <c r="P1648" s="130">
        <f>MONTH(Table1[[#This Row],[Date]])</f>
        <v>4</v>
      </c>
      <c r="Q1648" s="130">
        <v>2019</v>
      </c>
      <c r="R1648" s="166">
        <f>IF(ISBLANK(Table1[[#This Row],[Date]]),"",Table1[[#This Row],[Date]]-WEEKDAY(Table1[[#This Row],[Date]],2)+1)</f>
        <v>43570</v>
      </c>
      <c r="S1648" s="131">
        <f>IF(ISBLANK(Table1[[#This Row],[Date]]),"",DATE(Table1[[#This Row],[Date_Year]],Table1[[#This Row],[Date_Month]],1))</f>
        <v>43556</v>
      </c>
    </row>
    <row r="1649" spans="2:19" ht="15.75" x14ac:dyDescent="0.25">
      <c r="B1649" s="133">
        <v>43569</v>
      </c>
      <c r="C1649" s="128" t="s">
        <v>1142</v>
      </c>
      <c r="D1649" s="128" t="s">
        <v>52</v>
      </c>
      <c r="E1649" s="128" t="str" cm="1">
        <f t="array" ref="E1649">IFERROR(INDEX(SubcategoriesTable[Subcategory name],MATCH(Table1[[#This Row],[Category]],SubcategoriesTable[Category name],0),0),"")</f>
        <v>Variable</v>
      </c>
      <c r="F1649" s="134">
        <v>-25.25</v>
      </c>
      <c r="G1649" s="167" t="str">
        <f>_xlfn.XLOOKUP(Table1[[#This Row],[Account_ID]], Accounts[ID], Accounts[Account nickname], "Unknown")</f>
        <v>Discover it chrome Card</v>
      </c>
      <c r="H1649" s="137" t="str">
        <f>_xlfn.XLOOKUP(Table1[[#This Row],[Account_ID]], Accounts[ID], Accounts[Account'#], "Unknown")</f>
        <v>7328</v>
      </c>
      <c r="I1649" s="168" t="str">
        <f>_xlfn.XLOOKUP(Table1[[#This Row],[Institution_ID]], Institutions[ID], Institutions[Institution nickname], "Unknown")</f>
        <v>Discover</v>
      </c>
      <c r="J1649" s="139" t="s">
        <v>1143</v>
      </c>
      <c r="K1649" s="129" t="s">
        <v>110</v>
      </c>
      <c r="L1649" s="129" t="s">
        <v>108</v>
      </c>
      <c r="M1649" s="130" t="str" cm="1">
        <f t="array" ref="M1649">IFERROR(INDEX(CategoriesTable[Category type],MATCH(Table1[[#This Row],[Category]],CategoriesTable[Category name],0),0),"")</f>
        <v>Expense</v>
      </c>
      <c r="N1649" s="130" t="str" cm="1">
        <f t="array" ref="N1649">IFERROR(INDEX(SubcategoriesTable[Subcategory name],MATCH(Table1[[#This Row],[Category]],SubcategoriesTable[Category name],0),0),"")</f>
        <v>Variable</v>
      </c>
      <c r="O1649" s="130">
        <v>14</v>
      </c>
      <c r="P1649" s="130">
        <f>MONTH(Table1[[#This Row],[Date]])</f>
        <v>4</v>
      </c>
      <c r="Q1649" s="130">
        <v>2019</v>
      </c>
      <c r="R1649" s="166">
        <f>IF(ISBLANK(Table1[[#This Row],[Date]]),"",Table1[[#This Row],[Date]]-WEEKDAY(Table1[[#This Row],[Date]],2)+1)</f>
        <v>43563</v>
      </c>
      <c r="S1649" s="131">
        <f>IF(ISBLANK(Table1[[#This Row],[Date]]),"",DATE(Table1[[#This Row],[Date_Year]],Table1[[#This Row],[Date_Month]],1))</f>
        <v>43556</v>
      </c>
    </row>
    <row r="1650" spans="2:19" ht="15.75" x14ac:dyDescent="0.25">
      <c r="B1650" s="133">
        <v>43563</v>
      </c>
      <c r="C1650" s="128" t="s">
        <v>1144</v>
      </c>
      <c r="D1650" s="128" t="s">
        <v>51</v>
      </c>
      <c r="E1650" s="128" t="str" cm="1">
        <f t="array" ref="E1650">IFERROR(INDEX(SubcategoriesTable[Subcategory name],MATCH(Table1[[#This Row],[Category]],SubcategoriesTable[Category name],0),0),"")</f>
        <v>Variable</v>
      </c>
      <c r="F1650" s="134">
        <v>-105.99</v>
      </c>
      <c r="G1650" s="167" t="str">
        <f>_xlfn.XLOOKUP(Table1[[#This Row],[Account_ID]], Accounts[ID], Accounts[Account nickname], "Unknown")</f>
        <v>Discover it chrome Card</v>
      </c>
      <c r="H1650" s="137" t="str">
        <f>_xlfn.XLOOKUP(Table1[[#This Row],[Account_ID]], Accounts[ID], Accounts[Account'#], "Unknown")</f>
        <v>7328</v>
      </c>
      <c r="I1650" s="168" t="str">
        <f>_xlfn.XLOOKUP(Table1[[#This Row],[Institution_ID]], Institutions[ID], Institutions[Institution nickname], "Unknown")</f>
        <v>Discover</v>
      </c>
      <c r="J1650" s="139" t="s">
        <v>1145</v>
      </c>
      <c r="K1650" s="129" t="s">
        <v>110</v>
      </c>
      <c r="L1650" s="129" t="s">
        <v>108</v>
      </c>
      <c r="M1650" s="130" t="str" cm="1">
        <f t="array" ref="M1650">IFERROR(INDEX(CategoriesTable[Category type],MATCH(Table1[[#This Row],[Category]],CategoriesTable[Category name],0),0),"")</f>
        <v>Expense</v>
      </c>
      <c r="N1650" s="130" t="str" cm="1">
        <f t="array" ref="N1650">IFERROR(INDEX(SubcategoriesTable[Subcategory name],MATCH(Table1[[#This Row],[Category]],SubcategoriesTable[Category name],0),0),"")</f>
        <v>Variable</v>
      </c>
      <c r="O1650" s="130">
        <v>8</v>
      </c>
      <c r="P1650" s="130">
        <f>MONTH(Table1[[#This Row],[Date]])</f>
        <v>4</v>
      </c>
      <c r="Q1650" s="130">
        <v>2019</v>
      </c>
      <c r="R1650" s="166">
        <f>IF(ISBLANK(Table1[[#This Row],[Date]]),"",Table1[[#This Row],[Date]]-WEEKDAY(Table1[[#This Row],[Date]],2)+1)</f>
        <v>43563</v>
      </c>
      <c r="S1650" s="131">
        <f>IF(ISBLANK(Table1[[#This Row],[Date]]),"",DATE(Table1[[#This Row],[Date_Year]],Table1[[#This Row],[Date_Month]],1))</f>
        <v>43556</v>
      </c>
    </row>
    <row r="1651" spans="2:19" ht="15.75" x14ac:dyDescent="0.25">
      <c r="B1651" s="133">
        <v>43562</v>
      </c>
      <c r="C1651" s="128" t="s">
        <v>1146</v>
      </c>
      <c r="D1651" s="128" t="s">
        <v>52</v>
      </c>
      <c r="E1651" s="128" t="str" cm="1">
        <f t="array" ref="E1651">IFERROR(INDEX(SubcategoriesTable[Subcategory name],MATCH(Table1[[#This Row],[Category]],SubcategoriesTable[Category name],0),0),"")</f>
        <v>Variable</v>
      </c>
      <c r="F1651" s="134">
        <v>-20</v>
      </c>
      <c r="G1651" s="167" t="str">
        <f>_xlfn.XLOOKUP(Table1[[#This Row],[Account_ID]], Accounts[ID], Accounts[Account nickname], "Unknown")</f>
        <v>Discover it chrome Card</v>
      </c>
      <c r="H1651" s="137" t="str">
        <f>_xlfn.XLOOKUP(Table1[[#This Row],[Account_ID]], Accounts[ID], Accounts[Account'#], "Unknown")</f>
        <v>7328</v>
      </c>
      <c r="I1651" s="168" t="str">
        <f>_xlfn.XLOOKUP(Table1[[#This Row],[Institution_ID]], Institutions[ID], Institutions[Institution nickname], "Unknown")</f>
        <v>Discover</v>
      </c>
      <c r="J1651" s="139" t="s">
        <v>1147</v>
      </c>
      <c r="K1651" s="129" t="s">
        <v>110</v>
      </c>
      <c r="L1651" s="129" t="s">
        <v>108</v>
      </c>
      <c r="M1651" s="130" t="str" cm="1">
        <f t="array" ref="M1651">IFERROR(INDEX(CategoriesTable[Category type],MATCH(Table1[[#This Row],[Category]],CategoriesTable[Category name],0),0),"")</f>
        <v>Expense</v>
      </c>
      <c r="N1651" s="130" t="str" cm="1">
        <f t="array" ref="N1651">IFERROR(INDEX(SubcategoriesTable[Subcategory name],MATCH(Table1[[#This Row],[Category]],SubcategoriesTable[Category name],0),0),"")</f>
        <v>Variable</v>
      </c>
      <c r="O1651" s="130">
        <v>7</v>
      </c>
      <c r="P1651" s="130">
        <f>MONTH(Table1[[#This Row],[Date]])</f>
        <v>4</v>
      </c>
      <c r="Q1651" s="130">
        <v>2019</v>
      </c>
      <c r="R1651" s="166">
        <f>IF(ISBLANK(Table1[[#This Row],[Date]]),"",Table1[[#This Row],[Date]]-WEEKDAY(Table1[[#This Row],[Date]],2)+1)</f>
        <v>43556</v>
      </c>
      <c r="S1651" s="131">
        <f>IF(ISBLANK(Table1[[#This Row],[Date]]),"",DATE(Table1[[#This Row],[Date_Year]],Table1[[#This Row],[Date_Month]],1))</f>
        <v>43556</v>
      </c>
    </row>
    <row r="1652" spans="2:19" ht="15.75" x14ac:dyDescent="0.25">
      <c r="B1652" s="133">
        <v>43562</v>
      </c>
      <c r="C1652" s="128" t="s">
        <v>1148</v>
      </c>
      <c r="D1652" s="128" t="s">
        <v>45</v>
      </c>
      <c r="E1652" s="128" t="str" cm="1">
        <f t="array" ref="E1652">IFERROR(INDEX(SubcategoriesTable[Subcategory name],MATCH(Table1[[#This Row],[Category]],SubcategoriesTable[Category name],0),0),"")</f>
        <v>Variable</v>
      </c>
      <c r="F1652" s="134">
        <v>-11.79</v>
      </c>
      <c r="G1652" s="167" t="str">
        <f>_xlfn.XLOOKUP(Table1[[#This Row],[Account_ID]], Accounts[ID], Accounts[Account nickname], "Unknown")</f>
        <v>Discover it chrome Card</v>
      </c>
      <c r="H1652" s="137" t="str">
        <f>_xlfn.XLOOKUP(Table1[[#This Row],[Account_ID]], Accounts[ID], Accounts[Account'#], "Unknown")</f>
        <v>7328</v>
      </c>
      <c r="I1652" s="168" t="str">
        <f>_xlfn.XLOOKUP(Table1[[#This Row],[Institution_ID]], Institutions[ID], Institutions[Institution nickname], "Unknown")</f>
        <v>Discover</v>
      </c>
      <c r="J1652" s="139" t="s">
        <v>1149</v>
      </c>
      <c r="K1652" s="129" t="s">
        <v>110</v>
      </c>
      <c r="L1652" s="129" t="s">
        <v>108</v>
      </c>
      <c r="M1652" s="130" t="str" cm="1">
        <f t="array" ref="M1652">IFERROR(INDEX(CategoriesTable[Category type],MATCH(Table1[[#This Row],[Category]],CategoriesTable[Category name],0),0),"")</f>
        <v>Expense</v>
      </c>
      <c r="N1652" s="130" t="str" cm="1">
        <f t="array" ref="N1652">IFERROR(INDEX(SubcategoriesTable[Subcategory name],MATCH(Table1[[#This Row],[Category]],SubcategoriesTable[Category name],0),0),"")</f>
        <v>Variable</v>
      </c>
      <c r="O1652" s="130">
        <v>7</v>
      </c>
      <c r="P1652" s="130">
        <f>MONTH(Table1[[#This Row],[Date]])</f>
        <v>4</v>
      </c>
      <c r="Q1652" s="130">
        <v>2019</v>
      </c>
      <c r="R1652" s="166">
        <f>IF(ISBLANK(Table1[[#This Row],[Date]]),"",Table1[[#This Row],[Date]]-WEEKDAY(Table1[[#This Row],[Date]],2)+1)</f>
        <v>43556</v>
      </c>
      <c r="S1652" s="131">
        <f>IF(ISBLANK(Table1[[#This Row],[Date]]),"",DATE(Table1[[#This Row],[Date_Year]],Table1[[#This Row],[Date_Month]],1))</f>
        <v>43556</v>
      </c>
    </row>
    <row r="1653" spans="2:19" ht="15.75" x14ac:dyDescent="0.25">
      <c r="B1653" s="133">
        <v>43560</v>
      </c>
      <c r="C1653" s="128" t="s">
        <v>239</v>
      </c>
      <c r="D1653" s="128" t="s">
        <v>52</v>
      </c>
      <c r="E1653" s="128" t="str" cm="1">
        <f t="array" ref="E1653">IFERROR(INDEX(SubcategoriesTable[Subcategory name],MATCH(Table1[[#This Row],[Category]],SubcategoriesTable[Category name],0),0),"")</f>
        <v>Variable</v>
      </c>
      <c r="F1653" s="134">
        <v>-20</v>
      </c>
      <c r="G1653" s="167" t="str">
        <f>_xlfn.XLOOKUP(Table1[[#This Row],[Account_ID]], Accounts[ID], Accounts[Account nickname], "Unknown")</f>
        <v>Discover it chrome Card</v>
      </c>
      <c r="H1653" s="137" t="str">
        <f>_xlfn.XLOOKUP(Table1[[#This Row],[Account_ID]], Accounts[ID], Accounts[Account'#], "Unknown")</f>
        <v>7328</v>
      </c>
      <c r="I1653" s="168" t="str">
        <f>_xlfn.XLOOKUP(Table1[[#This Row],[Institution_ID]], Institutions[ID], Institutions[Institution nickname], "Unknown")</f>
        <v>Discover</v>
      </c>
      <c r="J1653" s="139" t="s">
        <v>1150</v>
      </c>
      <c r="K1653" s="129" t="s">
        <v>110</v>
      </c>
      <c r="L1653" s="129" t="s">
        <v>108</v>
      </c>
      <c r="M1653" s="130" t="str" cm="1">
        <f t="array" ref="M1653">IFERROR(INDEX(CategoriesTable[Category type],MATCH(Table1[[#This Row],[Category]],CategoriesTable[Category name],0),0),"")</f>
        <v>Expense</v>
      </c>
      <c r="N1653" s="130" t="str" cm="1">
        <f t="array" ref="N1653">IFERROR(INDEX(SubcategoriesTable[Subcategory name],MATCH(Table1[[#This Row],[Category]],SubcategoriesTable[Category name],0),0),"")</f>
        <v>Variable</v>
      </c>
      <c r="O1653" s="130">
        <v>5</v>
      </c>
      <c r="P1653" s="130">
        <f>MONTH(Table1[[#This Row],[Date]])</f>
        <v>4</v>
      </c>
      <c r="Q1653" s="130">
        <v>2019</v>
      </c>
      <c r="R1653" s="166">
        <f>IF(ISBLANK(Table1[[#This Row],[Date]]),"",Table1[[#This Row],[Date]]-WEEKDAY(Table1[[#This Row],[Date]],2)+1)</f>
        <v>43556</v>
      </c>
      <c r="S1653" s="131">
        <f>IF(ISBLANK(Table1[[#This Row],[Date]]),"",DATE(Table1[[#This Row],[Date_Year]],Table1[[#This Row],[Date_Month]],1))</f>
        <v>43556</v>
      </c>
    </row>
    <row r="1654" spans="2:19" ht="15.75" x14ac:dyDescent="0.25">
      <c r="B1654" s="133">
        <v>43560</v>
      </c>
      <c r="C1654" s="128" t="s">
        <v>1151</v>
      </c>
      <c r="D1654" s="128" t="s">
        <v>51</v>
      </c>
      <c r="E1654" s="128" t="str" cm="1">
        <f t="array" ref="E1654">IFERROR(INDEX(SubcategoriesTable[Subcategory name],MATCH(Table1[[#This Row],[Category]],SubcategoriesTable[Category name],0),0),"")</f>
        <v>Variable</v>
      </c>
      <c r="F1654" s="134">
        <v>105.99</v>
      </c>
      <c r="G1654" s="167" t="str">
        <f>_xlfn.XLOOKUP(Table1[[#This Row],[Account_ID]], Accounts[ID], Accounts[Account nickname], "Unknown")</f>
        <v>Discover it chrome Card</v>
      </c>
      <c r="H1654" s="137" t="str">
        <f>_xlfn.XLOOKUP(Table1[[#This Row],[Account_ID]], Accounts[ID], Accounts[Account'#], "Unknown")</f>
        <v>7328</v>
      </c>
      <c r="I1654" s="168" t="str">
        <f>_xlfn.XLOOKUP(Table1[[#This Row],[Institution_ID]], Institutions[ID], Institutions[Institution nickname], "Unknown")</f>
        <v>Discover</v>
      </c>
      <c r="J1654" s="139" t="s">
        <v>1152</v>
      </c>
      <c r="K1654" s="129" t="s">
        <v>110</v>
      </c>
      <c r="L1654" s="129" t="s">
        <v>108</v>
      </c>
      <c r="M1654" s="130" t="str" cm="1">
        <f t="array" ref="M1654">IFERROR(INDEX(CategoriesTable[Category type],MATCH(Table1[[#This Row],[Category]],CategoriesTable[Category name],0),0),"")</f>
        <v>Expense</v>
      </c>
      <c r="N1654" s="130" t="str" cm="1">
        <f t="array" ref="N1654">IFERROR(INDEX(SubcategoriesTable[Subcategory name],MATCH(Table1[[#This Row],[Category]],SubcategoriesTable[Category name],0),0),"")</f>
        <v>Variable</v>
      </c>
      <c r="O1654" s="130">
        <v>5</v>
      </c>
      <c r="P1654" s="130">
        <f>MONTH(Table1[[#This Row],[Date]])</f>
        <v>4</v>
      </c>
      <c r="Q1654" s="130">
        <v>2019</v>
      </c>
      <c r="R1654" s="166">
        <f>IF(ISBLANK(Table1[[#This Row],[Date]]),"",Table1[[#This Row],[Date]]-WEEKDAY(Table1[[#This Row],[Date]],2)+1)</f>
        <v>43556</v>
      </c>
      <c r="S1654" s="131">
        <f>IF(ISBLANK(Table1[[#This Row],[Date]]),"",DATE(Table1[[#This Row],[Date_Year]],Table1[[#This Row],[Date_Month]],1))</f>
        <v>43556</v>
      </c>
    </row>
    <row r="1655" spans="2:19" ht="15.75" x14ac:dyDescent="0.25">
      <c r="B1655" s="133">
        <v>43560</v>
      </c>
      <c r="C1655" s="128" t="s">
        <v>1153</v>
      </c>
      <c r="D1655" s="128" t="s">
        <v>45</v>
      </c>
      <c r="E1655" s="128" t="str" cm="1">
        <f t="array" ref="E1655">IFERROR(INDEX(SubcategoriesTable[Subcategory name],MATCH(Table1[[#This Row],[Category]],SubcategoriesTable[Category name],0),0),"")</f>
        <v>Variable</v>
      </c>
      <c r="F1655" s="134">
        <v>-2.76</v>
      </c>
      <c r="G1655" s="167" t="str">
        <f>_xlfn.XLOOKUP(Table1[[#This Row],[Account_ID]], Accounts[ID], Accounts[Account nickname], "Unknown")</f>
        <v>Discover it chrome Card</v>
      </c>
      <c r="H1655" s="137" t="str">
        <f>_xlfn.XLOOKUP(Table1[[#This Row],[Account_ID]], Accounts[ID], Accounts[Account'#], "Unknown")</f>
        <v>7328</v>
      </c>
      <c r="I1655" s="168" t="str">
        <f>_xlfn.XLOOKUP(Table1[[#This Row],[Institution_ID]], Institutions[ID], Institutions[Institution nickname], "Unknown")</f>
        <v>Discover</v>
      </c>
      <c r="J1655" s="171" t="s">
        <v>1154</v>
      </c>
      <c r="K1655" s="129" t="s">
        <v>110</v>
      </c>
      <c r="L1655" s="129" t="s">
        <v>108</v>
      </c>
      <c r="M1655" s="130" t="str" cm="1">
        <f t="array" ref="M1655">IFERROR(INDEX(CategoriesTable[Category type],MATCH(Table1[[#This Row],[Category]],CategoriesTable[Category name],0),0),"")</f>
        <v>Expense</v>
      </c>
      <c r="N1655" s="130" t="str" cm="1">
        <f t="array" ref="N1655">IFERROR(INDEX(SubcategoriesTable[Subcategory name],MATCH(Table1[[#This Row],[Category]],SubcategoriesTable[Category name],0),0),"")</f>
        <v>Variable</v>
      </c>
      <c r="O1655" s="130">
        <v>5</v>
      </c>
      <c r="P1655" s="130">
        <f>MONTH(Table1[[#This Row],[Date]])</f>
        <v>4</v>
      </c>
      <c r="Q1655" s="130">
        <v>2019</v>
      </c>
      <c r="R1655" s="166">
        <f>IF(ISBLANK(Table1[[#This Row],[Date]]),"",Table1[[#This Row],[Date]]-WEEKDAY(Table1[[#This Row],[Date]],2)+1)</f>
        <v>43556</v>
      </c>
      <c r="S1655" s="131">
        <f>IF(ISBLANK(Table1[[#This Row],[Date]]),"",DATE(Table1[[#This Row],[Date_Year]],Table1[[#This Row],[Date_Month]],1))</f>
        <v>43556</v>
      </c>
    </row>
    <row r="1656" spans="2:19" ht="15.75" x14ac:dyDescent="0.25">
      <c r="B1656" s="133">
        <v>43559</v>
      </c>
      <c r="C1656" s="128" t="s">
        <v>239</v>
      </c>
      <c r="D1656" s="128" t="s">
        <v>52</v>
      </c>
      <c r="E1656" s="128" t="str" cm="1">
        <f t="array" ref="E1656">IFERROR(INDEX(SubcategoriesTable[Subcategory name],MATCH(Table1[[#This Row],[Category]],SubcategoriesTable[Category name],0),0),"")</f>
        <v>Variable</v>
      </c>
      <c r="F1656" s="134">
        <v>-20</v>
      </c>
      <c r="G1656" s="167" t="str">
        <f>_xlfn.XLOOKUP(Table1[[#This Row],[Account_ID]], Accounts[ID], Accounts[Account nickname], "Unknown")</f>
        <v>Discover it chrome Card</v>
      </c>
      <c r="H1656" s="137" t="str">
        <f>_xlfn.XLOOKUP(Table1[[#This Row],[Account_ID]], Accounts[ID], Accounts[Account'#], "Unknown")</f>
        <v>7328</v>
      </c>
      <c r="I1656" s="168" t="str">
        <f>_xlfn.XLOOKUP(Table1[[#This Row],[Institution_ID]], Institutions[ID], Institutions[Institution nickname], "Unknown")</f>
        <v>Discover</v>
      </c>
      <c r="J1656" s="139" t="s">
        <v>1155</v>
      </c>
      <c r="K1656" s="129" t="s">
        <v>110</v>
      </c>
      <c r="L1656" s="129" t="s">
        <v>108</v>
      </c>
      <c r="M1656" s="130" t="str" cm="1">
        <f t="array" ref="M1656">IFERROR(INDEX(CategoriesTable[Category type],MATCH(Table1[[#This Row],[Category]],CategoriesTable[Category name],0),0),"")</f>
        <v>Expense</v>
      </c>
      <c r="N1656" s="130" t="str" cm="1">
        <f t="array" ref="N1656">IFERROR(INDEX(SubcategoriesTable[Subcategory name],MATCH(Table1[[#This Row],[Category]],SubcategoriesTable[Category name],0),0),"")</f>
        <v>Variable</v>
      </c>
      <c r="O1656" s="130">
        <v>4</v>
      </c>
      <c r="P1656" s="130">
        <f>MONTH(Table1[[#This Row],[Date]])</f>
        <v>4</v>
      </c>
      <c r="Q1656" s="130">
        <v>2019</v>
      </c>
      <c r="R1656" s="166">
        <f>IF(ISBLANK(Table1[[#This Row],[Date]]),"",Table1[[#This Row],[Date]]-WEEKDAY(Table1[[#This Row],[Date]],2)+1)</f>
        <v>43556</v>
      </c>
      <c r="S1656" s="131">
        <f>IF(ISBLANK(Table1[[#This Row],[Date]]),"",DATE(Table1[[#This Row],[Date_Year]],Table1[[#This Row],[Date_Month]],1))</f>
        <v>43556</v>
      </c>
    </row>
    <row r="1657" spans="2:19" ht="15.75" x14ac:dyDescent="0.25">
      <c r="B1657" s="133">
        <v>43552</v>
      </c>
      <c r="C1657" s="128" t="s">
        <v>1156</v>
      </c>
      <c r="D1657" s="128" t="s">
        <v>45</v>
      </c>
      <c r="E1657" s="128" t="str" cm="1">
        <f t="array" ref="E1657">IFERROR(INDEX(SubcategoriesTable[Subcategory name],MATCH(Table1[[#This Row],[Category]],SubcategoriesTable[Category name],0),0),"")</f>
        <v>Variable</v>
      </c>
      <c r="F1657" s="134">
        <v>-35.299999999999997</v>
      </c>
      <c r="G1657" s="167" t="str">
        <f>_xlfn.XLOOKUP(Table1[[#This Row],[Account_ID]], Accounts[ID], Accounts[Account nickname], "Unknown")</f>
        <v>Discover it chrome Card</v>
      </c>
      <c r="H1657" s="137" t="str">
        <f>_xlfn.XLOOKUP(Table1[[#This Row],[Account_ID]], Accounts[ID], Accounts[Account'#], "Unknown")</f>
        <v>7328</v>
      </c>
      <c r="I1657" s="168" t="str">
        <f>_xlfn.XLOOKUP(Table1[[#This Row],[Institution_ID]], Institutions[ID], Institutions[Institution nickname], "Unknown")</f>
        <v>Discover</v>
      </c>
      <c r="J1657" s="139" t="s">
        <v>1157</v>
      </c>
      <c r="K1657" s="129" t="s">
        <v>110</v>
      </c>
      <c r="L1657" s="129" t="s">
        <v>108</v>
      </c>
      <c r="M1657" s="130" t="str" cm="1">
        <f t="array" ref="M1657">IFERROR(INDEX(CategoriesTable[Category type],MATCH(Table1[[#This Row],[Category]],CategoriesTable[Category name],0),0),"")</f>
        <v>Expense</v>
      </c>
      <c r="N1657" s="130" t="str" cm="1">
        <f t="array" ref="N1657">IFERROR(INDEX(SubcategoriesTable[Subcategory name],MATCH(Table1[[#This Row],[Category]],SubcategoriesTable[Category name],0),0),"")</f>
        <v>Variable</v>
      </c>
      <c r="O1657" s="130">
        <v>28</v>
      </c>
      <c r="P1657" s="130">
        <f>MONTH(Table1[[#This Row],[Date]])</f>
        <v>3</v>
      </c>
      <c r="Q1657" s="130">
        <v>2019</v>
      </c>
      <c r="R1657" s="166">
        <f>IF(ISBLANK(Table1[[#This Row],[Date]]),"",Table1[[#This Row],[Date]]-WEEKDAY(Table1[[#This Row],[Date]],2)+1)</f>
        <v>43549</v>
      </c>
      <c r="S1657" s="131">
        <f>IF(ISBLANK(Table1[[#This Row],[Date]]),"",DATE(Table1[[#This Row],[Date_Year]],Table1[[#This Row],[Date_Month]],1))</f>
        <v>43525</v>
      </c>
    </row>
    <row r="1658" spans="2:19" ht="15.75" x14ac:dyDescent="0.25">
      <c r="B1658" s="133">
        <v>43550</v>
      </c>
      <c r="C1658" s="128" t="s">
        <v>169</v>
      </c>
      <c r="D1658" s="128" t="s">
        <v>45</v>
      </c>
      <c r="E1658" s="128" t="str" cm="1">
        <f t="array" ref="E1658">IFERROR(INDEX(SubcategoriesTable[Subcategory name],MATCH(Table1[[#This Row],[Category]],SubcategoriesTable[Category name],0),0),"")</f>
        <v>Variable</v>
      </c>
      <c r="F1658" s="134">
        <v>-6.46</v>
      </c>
      <c r="G1658" s="167" t="str">
        <f>_xlfn.XLOOKUP(Table1[[#This Row],[Account_ID]], Accounts[ID], Accounts[Account nickname], "Unknown")</f>
        <v>Discover it chrome Card</v>
      </c>
      <c r="H1658" s="137" t="str">
        <f>_xlfn.XLOOKUP(Table1[[#This Row],[Account_ID]], Accounts[ID], Accounts[Account'#], "Unknown")</f>
        <v>7328</v>
      </c>
      <c r="I1658" s="168" t="str">
        <f>_xlfn.XLOOKUP(Table1[[#This Row],[Institution_ID]], Institutions[ID], Institutions[Institution nickname], "Unknown")</f>
        <v>Discover</v>
      </c>
      <c r="J1658" s="139" t="s">
        <v>1158</v>
      </c>
      <c r="K1658" s="129" t="s">
        <v>110</v>
      </c>
      <c r="L1658" s="129" t="s">
        <v>108</v>
      </c>
      <c r="M1658" s="130" t="str" cm="1">
        <f t="array" ref="M1658">IFERROR(INDEX(CategoriesTable[Category type],MATCH(Table1[[#This Row],[Category]],CategoriesTable[Category name],0),0),"")</f>
        <v>Expense</v>
      </c>
      <c r="N1658" s="130" t="str" cm="1">
        <f t="array" ref="N1658">IFERROR(INDEX(SubcategoriesTable[Subcategory name],MATCH(Table1[[#This Row],[Category]],SubcategoriesTable[Category name],0),0),"")</f>
        <v>Variable</v>
      </c>
      <c r="O1658" s="130">
        <v>26</v>
      </c>
      <c r="P1658" s="130">
        <f>MONTH(Table1[[#This Row],[Date]])</f>
        <v>3</v>
      </c>
      <c r="Q1658" s="130">
        <v>2019</v>
      </c>
      <c r="R1658" s="166">
        <f>IF(ISBLANK(Table1[[#This Row],[Date]]),"",Table1[[#This Row],[Date]]-WEEKDAY(Table1[[#This Row],[Date]],2)+1)</f>
        <v>43549</v>
      </c>
      <c r="S1658" s="131">
        <f>IF(ISBLANK(Table1[[#This Row],[Date]]),"",DATE(Table1[[#This Row],[Date_Year]],Table1[[#This Row],[Date_Month]],1))</f>
        <v>43525</v>
      </c>
    </row>
    <row r="1659" spans="2:19" ht="15.75" x14ac:dyDescent="0.25">
      <c r="B1659" s="133">
        <v>43548</v>
      </c>
      <c r="C1659" s="128" t="s">
        <v>1159</v>
      </c>
      <c r="D1659" s="128" t="s">
        <v>52</v>
      </c>
      <c r="E1659" s="128" t="str" cm="1">
        <f t="array" ref="E1659">IFERROR(INDEX(SubcategoriesTable[Subcategory name],MATCH(Table1[[#This Row],[Category]],SubcategoriesTable[Category name],0),0),"")</f>
        <v>Variable</v>
      </c>
      <c r="F1659" s="134">
        <v>-4.5999999999999996</v>
      </c>
      <c r="G1659" s="167" t="str">
        <f>_xlfn.XLOOKUP(Table1[[#This Row],[Account_ID]], Accounts[ID], Accounts[Account nickname], "Unknown")</f>
        <v>Discover it chrome Card</v>
      </c>
      <c r="H1659" s="137" t="str">
        <f>_xlfn.XLOOKUP(Table1[[#This Row],[Account_ID]], Accounts[ID], Accounts[Account'#], "Unknown")</f>
        <v>7328</v>
      </c>
      <c r="I1659" s="168" t="str">
        <f>_xlfn.XLOOKUP(Table1[[#This Row],[Institution_ID]], Institutions[ID], Institutions[Institution nickname], "Unknown")</f>
        <v>Discover</v>
      </c>
      <c r="J1659" s="139" t="s">
        <v>1160</v>
      </c>
      <c r="K1659" s="129" t="s">
        <v>110</v>
      </c>
      <c r="L1659" s="129" t="s">
        <v>108</v>
      </c>
      <c r="M1659" s="130" t="str" cm="1">
        <f t="array" ref="M1659">IFERROR(INDEX(CategoriesTable[Category type],MATCH(Table1[[#This Row],[Category]],CategoriesTable[Category name],0),0),"")</f>
        <v>Expense</v>
      </c>
      <c r="N1659" s="130" t="str" cm="1">
        <f t="array" ref="N1659">IFERROR(INDEX(SubcategoriesTable[Subcategory name],MATCH(Table1[[#This Row],[Category]],SubcategoriesTable[Category name],0),0),"")</f>
        <v>Variable</v>
      </c>
      <c r="O1659" s="130">
        <v>24</v>
      </c>
      <c r="P1659" s="130">
        <f>MONTH(Table1[[#This Row],[Date]])</f>
        <v>3</v>
      </c>
      <c r="Q1659" s="130">
        <v>2019</v>
      </c>
      <c r="R1659" s="166">
        <f>IF(ISBLANK(Table1[[#This Row],[Date]]),"",Table1[[#This Row],[Date]]-WEEKDAY(Table1[[#This Row],[Date]],2)+1)</f>
        <v>43542</v>
      </c>
      <c r="S1659" s="131">
        <f>IF(ISBLANK(Table1[[#This Row],[Date]]),"",DATE(Table1[[#This Row],[Date_Year]],Table1[[#This Row],[Date_Month]],1))</f>
        <v>43525</v>
      </c>
    </row>
    <row r="1660" spans="2:19" ht="15.75" x14ac:dyDescent="0.25">
      <c r="B1660" s="133">
        <v>43547</v>
      </c>
      <c r="C1660" s="128" t="s">
        <v>457</v>
      </c>
      <c r="D1660" s="128" t="s">
        <v>46</v>
      </c>
      <c r="E1660" s="128" t="str" cm="1">
        <f t="array" ref="E1660">IFERROR(INDEX(SubcategoriesTable[Subcategory name],MATCH(Table1[[#This Row],[Category]],SubcategoriesTable[Category name],0),0),"")</f>
        <v>Variable</v>
      </c>
      <c r="F1660" s="134">
        <v>-189.74</v>
      </c>
      <c r="G1660" s="167" t="str">
        <f>_xlfn.XLOOKUP(Table1[[#This Row],[Account_ID]], Accounts[ID], Accounts[Account nickname], "Unknown")</f>
        <v>Discover it chrome Card</v>
      </c>
      <c r="H1660" s="137" t="str">
        <f>_xlfn.XLOOKUP(Table1[[#This Row],[Account_ID]], Accounts[ID], Accounts[Account'#], "Unknown")</f>
        <v>7328</v>
      </c>
      <c r="I1660" s="168" t="str">
        <f>_xlfn.XLOOKUP(Table1[[#This Row],[Institution_ID]], Institutions[ID], Institutions[Institution nickname], "Unknown")</f>
        <v>Discover</v>
      </c>
      <c r="J1660" s="139" t="s">
        <v>1161</v>
      </c>
      <c r="K1660" s="129" t="s">
        <v>110</v>
      </c>
      <c r="L1660" s="129" t="s">
        <v>108</v>
      </c>
      <c r="M1660" s="130" t="str" cm="1">
        <f t="array" ref="M1660">IFERROR(INDEX(CategoriesTable[Category type],MATCH(Table1[[#This Row],[Category]],CategoriesTable[Category name],0),0),"")</f>
        <v>Expense</v>
      </c>
      <c r="N1660" s="130" t="str" cm="1">
        <f t="array" ref="N1660">IFERROR(INDEX(SubcategoriesTable[Subcategory name],MATCH(Table1[[#This Row],[Category]],SubcategoriesTable[Category name],0),0),"")</f>
        <v>Variable</v>
      </c>
      <c r="O1660" s="130">
        <v>23</v>
      </c>
      <c r="P1660" s="130">
        <f>MONTH(Table1[[#This Row],[Date]])</f>
        <v>3</v>
      </c>
      <c r="Q1660" s="130">
        <v>2019</v>
      </c>
      <c r="R1660" s="166">
        <f>IF(ISBLANK(Table1[[#This Row],[Date]]),"",Table1[[#This Row],[Date]]-WEEKDAY(Table1[[#This Row],[Date]],2)+1)</f>
        <v>43542</v>
      </c>
      <c r="S1660" s="131">
        <f>IF(ISBLANK(Table1[[#This Row],[Date]]),"",DATE(Table1[[#This Row],[Date_Year]],Table1[[#This Row],[Date_Month]],1))</f>
        <v>43525</v>
      </c>
    </row>
    <row r="1661" spans="2:19" ht="15.75" x14ac:dyDescent="0.25">
      <c r="B1661" s="133">
        <v>43547</v>
      </c>
      <c r="C1661" s="128" t="s">
        <v>176</v>
      </c>
      <c r="D1661" s="128" t="s">
        <v>51</v>
      </c>
      <c r="E1661" s="128" t="str" cm="1">
        <f t="array" ref="E1661">IFERROR(INDEX(SubcategoriesTable[Subcategory name],MATCH(Table1[[#This Row],[Category]],SubcategoriesTable[Category name],0),0),"")</f>
        <v>Variable</v>
      </c>
      <c r="F1661" s="134">
        <v>-177</v>
      </c>
      <c r="G1661" s="167" t="str">
        <f>_xlfn.XLOOKUP(Table1[[#This Row],[Account_ID]], Accounts[ID], Accounts[Account nickname], "Unknown")</f>
        <v>Discover it chrome Card</v>
      </c>
      <c r="H1661" s="137" t="str">
        <f>_xlfn.XLOOKUP(Table1[[#This Row],[Account_ID]], Accounts[ID], Accounts[Account'#], "Unknown")</f>
        <v>7328</v>
      </c>
      <c r="I1661" s="168" t="str">
        <f>_xlfn.XLOOKUP(Table1[[#This Row],[Institution_ID]], Institutions[ID], Institutions[Institution nickname], "Unknown")</f>
        <v>Discover</v>
      </c>
      <c r="J1661" s="139" t="s">
        <v>1162</v>
      </c>
      <c r="K1661" s="129" t="s">
        <v>110</v>
      </c>
      <c r="L1661" s="129" t="s">
        <v>108</v>
      </c>
      <c r="M1661" s="130" t="str" cm="1">
        <f t="array" ref="M1661">IFERROR(INDEX(CategoriesTable[Category type],MATCH(Table1[[#This Row],[Category]],CategoriesTable[Category name],0),0),"")</f>
        <v>Expense</v>
      </c>
      <c r="N1661" s="130" t="str" cm="1">
        <f t="array" ref="N1661">IFERROR(INDEX(SubcategoriesTable[Subcategory name],MATCH(Table1[[#This Row],[Category]],SubcategoriesTable[Category name],0),0),"")</f>
        <v>Variable</v>
      </c>
      <c r="O1661" s="130">
        <v>23</v>
      </c>
      <c r="P1661" s="130">
        <f>MONTH(Table1[[#This Row],[Date]])</f>
        <v>3</v>
      </c>
      <c r="Q1661" s="130">
        <v>2019</v>
      </c>
      <c r="R1661" s="166">
        <f>IF(ISBLANK(Table1[[#This Row],[Date]]),"",Table1[[#This Row],[Date]]-WEEKDAY(Table1[[#This Row],[Date]],2)+1)</f>
        <v>43542</v>
      </c>
      <c r="S1661" s="131">
        <f>IF(ISBLANK(Table1[[#This Row],[Date]]),"",DATE(Table1[[#This Row],[Date_Year]],Table1[[#This Row],[Date_Month]],1))</f>
        <v>43525</v>
      </c>
    </row>
    <row r="1662" spans="2:19" ht="15.75" x14ac:dyDescent="0.25">
      <c r="B1662" s="133">
        <v>43543</v>
      </c>
      <c r="C1662" s="128" t="s">
        <v>1163</v>
      </c>
      <c r="D1662" s="128" t="s">
        <v>46</v>
      </c>
      <c r="E1662" s="128" t="str" cm="1">
        <f t="array" ref="E1662">IFERROR(INDEX(SubcategoriesTable[Subcategory name],MATCH(Table1[[#This Row],[Category]],SubcategoriesTable[Category name],0),0),"")</f>
        <v>Variable</v>
      </c>
      <c r="F1662" s="134">
        <v>-90.23</v>
      </c>
      <c r="G1662" s="167" t="str">
        <f>_xlfn.XLOOKUP(Table1[[#This Row],[Account_ID]], Accounts[ID], Accounts[Account nickname], "Unknown")</f>
        <v>Discover it chrome Card</v>
      </c>
      <c r="H1662" s="137" t="str">
        <f>_xlfn.XLOOKUP(Table1[[#This Row],[Account_ID]], Accounts[ID], Accounts[Account'#], "Unknown")</f>
        <v>7328</v>
      </c>
      <c r="I1662" s="168" t="str">
        <f>_xlfn.XLOOKUP(Table1[[#This Row],[Institution_ID]], Institutions[ID], Institutions[Institution nickname], "Unknown")</f>
        <v>Discover</v>
      </c>
      <c r="J1662" s="139" t="s">
        <v>1164</v>
      </c>
      <c r="K1662" s="129" t="s">
        <v>110</v>
      </c>
      <c r="L1662" s="129" t="s">
        <v>108</v>
      </c>
      <c r="M1662" s="130" t="str" cm="1">
        <f t="array" ref="M1662">IFERROR(INDEX(CategoriesTable[Category type],MATCH(Table1[[#This Row],[Category]],CategoriesTable[Category name],0),0),"")</f>
        <v>Expense</v>
      </c>
      <c r="N1662" s="130" t="str" cm="1">
        <f t="array" ref="N1662">IFERROR(INDEX(SubcategoriesTable[Subcategory name],MATCH(Table1[[#This Row],[Category]],SubcategoriesTable[Category name],0),0),"")</f>
        <v>Variable</v>
      </c>
      <c r="O1662" s="130">
        <v>19</v>
      </c>
      <c r="P1662" s="130">
        <f>MONTH(Table1[[#This Row],[Date]])</f>
        <v>3</v>
      </c>
      <c r="Q1662" s="130">
        <v>2019</v>
      </c>
      <c r="R1662" s="166">
        <f>IF(ISBLANK(Table1[[#This Row],[Date]]),"",Table1[[#This Row],[Date]]-WEEKDAY(Table1[[#This Row],[Date]],2)+1)</f>
        <v>43542</v>
      </c>
      <c r="S1662" s="131">
        <f>IF(ISBLANK(Table1[[#This Row],[Date]]),"",DATE(Table1[[#This Row],[Date_Year]],Table1[[#This Row],[Date_Month]],1))</f>
        <v>43525</v>
      </c>
    </row>
    <row r="1663" spans="2:19" ht="15.75" x14ac:dyDescent="0.25">
      <c r="B1663" s="133">
        <v>43533</v>
      </c>
      <c r="C1663" s="128" t="s">
        <v>1165</v>
      </c>
      <c r="D1663" s="128" t="s">
        <v>48</v>
      </c>
      <c r="E1663" s="128" t="str" cm="1">
        <f t="array" ref="E1663">IFERROR(INDEX(SubcategoriesTable[Subcategory name],MATCH(Table1[[#This Row],[Category]],SubcategoriesTable[Category name],0),0),"")</f>
        <v>Variable</v>
      </c>
      <c r="F1663" s="134">
        <v>-20</v>
      </c>
      <c r="G1663" s="167" t="str">
        <f>_xlfn.XLOOKUP(Table1[[#This Row],[Account_ID]], Accounts[ID], Accounts[Account nickname], "Unknown")</f>
        <v>Discover it chrome Card</v>
      </c>
      <c r="H1663" s="137" t="str">
        <f>_xlfn.XLOOKUP(Table1[[#This Row],[Account_ID]], Accounts[ID], Accounts[Account'#], "Unknown")</f>
        <v>7328</v>
      </c>
      <c r="I1663" s="168" t="str">
        <f>_xlfn.XLOOKUP(Table1[[#This Row],[Institution_ID]], Institutions[ID], Institutions[Institution nickname], "Unknown")</f>
        <v>Discover</v>
      </c>
      <c r="J1663" s="139" t="s">
        <v>1166</v>
      </c>
      <c r="K1663" s="129" t="s">
        <v>110</v>
      </c>
      <c r="L1663" s="129" t="s">
        <v>108</v>
      </c>
      <c r="M1663" s="130" t="str" cm="1">
        <f t="array" ref="M1663">IFERROR(INDEX(CategoriesTable[Category type],MATCH(Table1[[#This Row],[Category]],CategoriesTable[Category name],0),0),"")</f>
        <v>Expense</v>
      </c>
      <c r="N1663" s="130" t="str" cm="1">
        <f t="array" ref="N1663">IFERROR(INDEX(SubcategoriesTable[Subcategory name],MATCH(Table1[[#This Row],[Category]],SubcategoriesTable[Category name],0),0),"")</f>
        <v>Variable</v>
      </c>
      <c r="O1663" s="130">
        <v>9</v>
      </c>
      <c r="P1663" s="130">
        <f>MONTH(Table1[[#This Row],[Date]])</f>
        <v>3</v>
      </c>
      <c r="Q1663" s="130">
        <v>2019</v>
      </c>
      <c r="R1663" s="166">
        <f>IF(ISBLANK(Table1[[#This Row],[Date]]),"",Table1[[#This Row],[Date]]-WEEKDAY(Table1[[#This Row],[Date]],2)+1)</f>
        <v>43528</v>
      </c>
      <c r="S1663" s="131">
        <f>IF(ISBLANK(Table1[[#This Row],[Date]]),"",DATE(Table1[[#This Row],[Date_Year]],Table1[[#This Row],[Date_Month]],1))</f>
        <v>43525</v>
      </c>
    </row>
    <row r="1664" spans="2:19" ht="15.75" x14ac:dyDescent="0.25">
      <c r="B1664" s="133">
        <v>43531</v>
      </c>
      <c r="C1664" s="128" t="s">
        <v>125</v>
      </c>
      <c r="D1664" s="128" t="s">
        <v>45</v>
      </c>
      <c r="E1664" s="128" t="str" cm="1">
        <f t="array" ref="E1664">IFERROR(INDEX(SubcategoriesTable[Subcategory name],MATCH(Table1[[#This Row],[Category]],SubcategoriesTable[Category name],0),0),"")</f>
        <v>Variable</v>
      </c>
      <c r="F1664" s="134">
        <v>-8.25</v>
      </c>
      <c r="G1664" s="167" t="str">
        <f>_xlfn.XLOOKUP(Table1[[#This Row],[Account_ID]], Accounts[ID], Accounts[Account nickname], "Unknown")</f>
        <v>Discover it chrome Card</v>
      </c>
      <c r="H1664" s="137" t="str">
        <f>_xlfn.XLOOKUP(Table1[[#This Row],[Account_ID]], Accounts[ID], Accounts[Account'#], "Unknown")</f>
        <v>7328</v>
      </c>
      <c r="I1664" s="168" t="str">
        <f>_xlfn.XLOOKUP(Table1[[#This Row],[Institution_ID]], Institutions[ID], Institutions[Institution nickname], "Unknown")</f>
        <v>Discover</v>
      </c>
      <c r="J1664" s="171" t="s">
        <v>1167</v>
      </c>
      <c r="K1664" s="129" t="s">
        <v>110</v>
      </c>
      <c r="L1664" s="129" t="s">
        <v>108</v>
      </c>
      <c r="M1664" s="130" t="str" cm="1">
        <f t="array" ref="M1664">IFERROR(INDEX(CategoriesTable[Category type],MATCH(Table1[[#This Row],[Category]],CategoriesTable[Category name],0),0),"")</f>
        <v>Expense</v>
      </c>
      <c r="N1664" s="130" t="str" cm="1">
        <f t="array" ref="N1664">IFERROR(INDEX(SubcategoriesTable[Subcategory name],MATCH(Table1[[#This Row],[Category]],SubcategoriesTable[Category name],0),0),"")</f>
        <v>Variable</v>
      </c>
      <c r="O1664" s="130">
        <v>7</v>
      </c>
      <c r="P1664" s="130">
        <f>MONTH(Table1[[#This Row],[Date]])</f>
        <v>3</v>
      </c>
      <c r="Q1664" s="130">
        <v>2019</v>
      </c>
      <c r="R1664" s="166">
        <f>IF(ISBLANK(Table1[[#This Row],[Date]]),"",Table1[[#This Row],[Date]]-WEEKDAY(Table1[[#This Row],[Date]],2)+1)</f>
        <v>43528</v>
      </c>
      <c r="S1664" s="131">
        <f>IF(ISBLANK(Table1[[#This Row],[Date]]),"",DATE(Table1[[#This Row],[Date_Year]],Table1[[#This Row],[Date_Month]],1))</f>
        <v>43525</v>
      </c>
    </row>
    <row r="1665" spans="2:19" ht="15.75" x14ac:dyDescent="0.25">
      <c r="B1665" s="133">
        <v>43531</v>
      </c>
      <c r="C1665" s="128" t="s">
        <v>496</v>
      </c>
      <c r="D1665" s="128" t="s">
        <v>45</v>
      </c>
      <c r="E1665" s="128" t="str" cm="1">
        <f t="array" ref="E1665">IFERROR(INDEX(SubcategoriesTable[Subcategory name],MATCH(Table1[[#This Row],[Category]],SubcategoriesTable[Category name],0),0),"")</f>
        <v>Variable</v>
      </c>
      <c r="F1665" s="134">
        <v>-12.6</v>
      </c>
      <c r="G1665" s="167" t="str">
        <f>_xlfn.XLOOKUP(Table1[[#This Row],[Account_ID]], Accounts[ID], Accounts[Account nickname], "Unknown")</f>
        <v>Discover it chrome Card</v>
      </c>
      <c r="H1665" s="137" t="str">
        <f>_xlfn.XLOOKUP(Table1[[#This Row],[Account_ID]], Accounts[ID], Accounts[Account'#], "Unknown")</f>
        <v>7328</v>
      </c>
      <c r="I1665" s="168" t="str">
        <f>_xlfn.XLOOKUP(Table1[[#This Row],[Institution_ID]], Institutions[ID], Institutions[Institution nickname], "Unknown")</f>
        <v>Discover</v>
      </c>
      <c r="J1665" s="139" t="s">
        <v>1168</v>
      </c>
      <c r="K1665" s="129" t="s">
        <v>110</v>
      </c>
      <c r="L1665" s="129" t="s">
        <v>108</v>
      </c>
      <c r="M1665" s="130" t="str" cm="1">
        <f t="array" ref="M1665">IFERROR(INDEX(CategoriesTable[Category type],MATCH(Table1[[#This Row],[Category]],CategoriesTable[Category name],0),0),"")</f>
        <v>Expense</v>
      </c>
      <c r="N1665" s="130" t="str" cm="1">
        <f t="array" ref="N1665">IFERROR(INDEX(SubcategoriesTable[Subcategory name],MATCH(Table1[[#This Row],[Category]],SubcategoriesTable[Category name],0),0),"")</f>
        <v>Variable</v>
      </c>
      <c r="O1665" s="130">
        <v>7</v>
      </c>
      <c r="P1665" s="130">
        <f>MONTH(Table1[[#This Row],[Date]])</f>
        <v>3</v>
      </c>
      <c r="Q1665" s="130">
        <v>2019</v>
      </c>
      <c r="R1665" s="166">
        <f>IF(ISBLANK(Table1[[#This Row],[Date]]),"",Table1[[#This Row],[Date]]-WEEKDAY(Table1[[#This Row],[Date]],2)+1)</f>
        <v>43528</v>
      </c>
      <c r="S1665" s="131">
        <f>IF(ISBLANK(Table1[[#This Row],[Date]]),"",DATE(Table1[[#This Row],[Date_Year]],Table1[[#This Row],[Date_Month]],1))</f>
        <v>43525</v>
      </c>
    </row>
    <row r="1666" spans="2:19" ht="15.75" x14ac:dyDescent="0.25">
      <c r="B1666" s="133">
        <v>43529</v>
      </c>
      <c r="C1666" s="128" t="s">
        <v>1169</v>
      </c>
      <c r="D1666" s="128" t="s">
        <v>45</v>
      </c>
      <c r="E1666" s="128" t="str" cm="1">
        <f t="array" ref="E1666">IFERROR(INDEX(SubcategoriesTable[Subcategory name],MATCH(Table1[[#This Row],[Category]],SubcategoriesTable[Category name],0),0),"")</f>
        <v>Variable</v>
      </c>
      <c r="F1666" s="134">
        <v>-11.81</v>
      </c>
      <c r="G1666" s="167" t="str">
        <f>_xlfn.XLOOKUP(Table1[[#This Row],[Account_ID]], Accounts[ID], Accounts[Account nickname], "Unknown")</f>
        <v>Discover it chrome Card</v>
      </c>
      <c r="H1666" s="137" t="str">
        <f>_xlfn.XLOOKUP(Table1[[#This Row],[Account_ID]], Accounts[ID], Accounts[Account'#], "Unknown")</f>
        <v>7328</v>
      </c>
      <c r="I1666" s="168" t="str">
        <f>_xlfn.XLOOKUP(Table1[[#This Row],[Institution_ID]], Institutions[ID], Institutions[Institution nickname], "Unknown")</f>
        <v>Discover</v>
      </c>
      <c r="J1666" s="171" t="s">
        <v>1170</v>
      </c>
      <c r="K1666" s="129" t="s">
        <v>110</v>
      </c>
      <c r="L1666" s="129" t="s">
        <v>108</v>
      </c>
      <c r="M1666" s="130" t="str" cm="1">
        <f t="array" ref="M1666">IFERROR(INDEX(CategoriesTable[Category type],MATCH(Table1[[#This Row],[Category]],CategoriesTable[Category name],0),0),"")</f>
        <v>Expense</v>
      </c>
      <c r="N1666" s="130" t="str" cm="1">
        <f t="array" ref="N1666">IFERROR(INDEX(SubcategoriesTable[Subcategory name],MATCH(Table1[[#This Row],[Category]],SubcategoriesTable[Category name],0),0),"")</f>
        <v>Variable</v>
      </c>
      <c r="O1666" s="130">
        <v>5</v>
      </c>
      <c r="P1666" s="130">
        <f>MONTH(Table1[[#This Row],[Date]])</f>
        <v>3</v>
      </c>
      <c r="Q1666" s="130">
        <v>2019</v>
      </c>
      <c r="R1666" s="166">
        <f>IF(ISBLANK(Table1[[#This Row],[Date]]),"",Table1[[#This Row],[Date]]-WEEKDAY(Table1[[#This Row],[Date]],2)+1)</f>
        <v>43528</v>
      </c>
      <c r="S1666" s="131">
        <f>IF(ISBLANK(Table1[[#This Row],[Date]]),"",DATE(Table1[[#This Row],[Date_Year]],Table1[[#This Row],[Date_Month]],1))</f>
        <v>43525</v>
      </c>
    </row>
    <row r="1667" spans="2:19" ht="15.75" x14ac:dyDescent="0.25">
      <c r="B1667" s="133">
        <v>43528</v>
      </c>
      <c r="C1667" s="128" t="s">
        <v>1171</v>
      </c>
      <c r="D1667" s="128" t="s">
        <v>45</v>
      </c>
      <c r="E1667" s="128" t="str" cm="1">
        <f t="array" ref="E1667">IFERROR(INDEX(SubcategoriesTable[Subcategory name],MATCH(Table1[[#This Row],[Category]],SubcategoriesTable[Category name],0),0),"")</f>
        <v>Variable</v>
      </c>
      <c r="F1667" s="134">
        <v>-50.75</v>
      </c>
      <c r="G1667" s="167" t="str">
        <f>_xlfn.XLOOKUP(Table1[[#This Row],[Account_ID]], Accounts[ID], Accounts[Account nickname], "Unknown")</f>
        <v>Discover it chrome Card</v>
      </c>
      <c r="H1667" s="137" t="str">
        <f>_xlfn.XLOOKUP(Table1[[#This Row],[Account_ID]], Accounts[ID], Accounts[Account'#], "Unknown")</f>
        <v>7328</v>
      </c>
      <c r="I1667" s="168" t="str">
        <f>_xlfn.XLOOKUP(Table1[[#This Row],[Institution_ID]], Institutions[ID], Institutions[Institution nickname], "Unknown")</f>
        <v>Discover</v>
      </c>
      <c r="J1667" s="139" t="s">
        <v>1172</v>
      </c>
      <c r="K1667" s="129" t="s">
        <v>110</v>
      </c>
      <c r="L1667" s="129" t="s">
        <v>108</v>
      </c>
      <c r="M1667" s="130" t="str" cm="1">
        <f t="array" ref="M1667">IFERROR(INDEX(CategoriesTable[Category type],MATCH(Table1[[#This Row],[Category]],CategoriesTable[Category name],0),0),"")</f>
        <v>Expense</v>
      </c>
      <c r="N1667" s="130" t="str" cm="1">
        <f t="array" ref="N1667">IFERROR(INDEX(SubcategoriesTable[Subcategory name],MATCH(Table1[[#This Row],[Category]],SubcategoriesTable[Category name],0),0),"")</f>
        <v>Variable</v>
      </c>
      <c r="O1667" s="130">
        <v>4</v>
      </c>
      <c r="P1667" s="130">
        <f>MONTH(Table1[[#This Row],[Date]])</f>
        <v>3</v>
      </c>
      <c r="Q1667" s="130">
        <v>2019</v>
      </c>
      <c r="R1667" s="166">
        <f>IF(ISBLANK(Table1[[#This Row],[Date]]),"",Table1[[#This Row],[Date]]-WEEKDAY(Table1[[#This Row],[Date]],2)+1)</f>
        <v>43528</v>
      </c>
      <c r="S1667" s="131">
        <f>IF(ISBLANK(Table1[[#This Row],[Date]]),"",DATE(Table1[[#This Row],[Date_Year]],Table1[[#This Row],[Date_Month]],1))</f>
        <v>43525</v>
      </c>
    </row>
    <row r="1668" spans="2:19" ht="15.75" x14ac:dyDescent="0.25">
      <c r="B1668" s="133">
        <v>43528</v>
      </c>
      <c r="C1668" s="128" t="s">
        <v>115</v>
      </c>
      <c r="D1668" s="128" t="s">
        <v>48</v>
      </c>
      <c r="E1668" s="128" t="str" cm="1">
        <f t="array" ref="E1668">IFERROR(INDEX(SubcategoriesTable[Subcategory name],MATCH(Table1[[#This Row],[Category]],SubcategoriesTable[Category name],0),0),"")</f>
        <v>Variable</v>
      </c>
      <c r="F1668" s="134">
        <v>-38.83</v>
      </c>
      <c r="G1668" s="167" t="str">
        <f>_xlfn.XLOOKUP(Table1[[#This Row],[Account_ID]], Accounts[ID], Accounts[Account nickname], "Unknown")</f>
        <v>Discover it chrome Card</v>
      </c>
      <c r="H1668" s="137" t="str">
        <f>_xlfn.XLOOKUP(Table1[[#This Row],[Account_ID]], Accounts[ID], Accounts[Account'#], "Unknown")</f>
        <v>7328</v>
      </c>
      <c r="I1668" s="168" t="str">
        <f>_xlfn.XLOOKUP(Table1[[#This Row],[Institution_ID]], Institutions[ID], Institutions[Institution nickname], "Unknown")</f>
        <v>Discover</v>
      </c>
      <c r="J1668" s="139" t="s">
        <v>1173</v>
      </c>
      <c r="K1668" s="129" t="s">
        <v>110</v>
      </c>
      <c r="L1668" s="129" t="s">
        <v>108</v>
      </c>
      <c r="M1668" s="130" t="str" cm="1">
        <f t="array" ref="M1668">IFERROR(INDEX(CategoriesTable[Category type],MATCH(Table1[[#This Row],[Category]],CategoriesTable[Category name],0),0),"")</f>
        <v>Expense</v>
      </c>
      <c r="N1668" s="130" t="str" cm="1">
        <f t="array" ref="N1668">IFERROR(INDEX(SubcategoriesTable[Subcategory name],MATCH(Table1[[#This Row],[Category]],SubcategoriesTable[Category name],0),0),"")</f>
        <v>Variable</v>
      </c>
      <c r="O1668" s="130">
        <v>4</v>
      </c>
      <c r="P1668" s="130">
        <f>MONTH(Table1[[#This Row],[Date]])</f>
        <v>3</v>
      </c>
      <c r="Q1668" s="130">
        <v>2019</v>
      </c>
      <c r="R1668" s="166">
        <f>IF(ISBLANK(Table1[[#This Row],[Date]]),"",Table1[[#This Row],[Date]]-WEEKDAY(Table1[[#This Row],[Date]],2)+1)</f>
        <v>43528</v>
      </c>
      <c r="S1668" s="131">
        <f>IF(ISBLANK(Table1[[#This Row],[Date]]),"",DATE(Table1[[#This Row],[Date_Year]],Table1[[#This Row],[Date_Month]],1))</f>
        <v>43525</v>
      </c>
    </row>
    <row r="1669" spans="2:19" ht="15.75" x14ac:dyDescent="0.25">
      <c r="B1669" s="133">
        <v>43527</v>
      </c>
      <c r="C1669" s="128" t="s">
        <v>1124</v>
      </c>
      <c r="D1669" s="128" t="s">
        <v>48</v>
      </c>
      <c r="E1669" s="128" t="str" cm="1">
        <f t="array" ref="E1669">IFERROR(INDEX(SubcategoriesTable[Subcategory name],MATCH(Table1[[#This Row],[Category]],SubcategoriesTable[Category name],0),0),"")</f>
        <v>Variable</v>
      </c>
      <c r="F1669" s="134">
        <v>-122.54</v>
      </c>
      <c r="G1669" s="167" t="str">
        <f>_xlfn.XLOOKUP(Table1[[#This Row],[Account_ID]], Accounts[ID], Accounts[Account nickname], "Unknown")</f>
        <v>Discover it chrome Card</v>
      </c>
      <c r="H1669" s="137" t="str">
        <f>_xlfn.XLOOKUP(Table1[[#This Row],[Account_ID]], Accounts[ID], Accounts[Account'#], "Unknown")</f>
        <v>7328</v>
      </c>
      <c r="I1669" s="168" t="str">
        <f>_xlfn.XLOOKUP(Table1[[#This Row],[Institution_ID]], Institutions[ID], Institutions[Institution nickname], "Unknown")</f>
        <v>Discover</v>
      </c>
      <c r="J1669" s="139" t="s">
        <v>1174</v>
      </c>
      <c r="K1669" s="129" t="s">
        <v>110</v>
      </c>
      <c r="L1669" s="129" t="s">
        <v>108</v>
      </c>
      <c r="M1669" s="130" t="str" cm="1">
        <f t="array" ref="M1669">IFERROR(INDEX(CategoriesTable[Category type],MATCH(Table1[[#This Row],[Category]],CategoriesTable[Category name],0),0),"")</f>
        <v>Expense</v>
      </c>
      <c r="N1669" s="130" t="str" cm="1">
        <f t="array" ref="N1669">IFERROR(INDEX(SubcategoriesTable[Subcategory name],MATCH(Table1[[#This Row],[Category]],SubcategoriesTable[Category name],0),0),"")</f>
        <v>Variable</v>
      </c>
      <c r="O1669" s="130">
        <v>3</v>
      </c>
      <c r="P1669" s="130">
        <f>MONTH(Table1[[#This Row],[Date]])</f>
        <v>3</v>
      </c>
      <c r="Q1669" s="130">
        <v>2019</v>
      </c>
      <c r="R1669" s="166">
        <f>IF(ISBLANK(Table1[[#This Row],[Date]]),"",Table1[[#This Row],[Date]]-WEEKDAY(Table1[[#This Row],[Date]],2)+1)</f>
        <v>43521</v>
      </c>
      <c r="S1669" s="131">
        <f>IF(ISBLANK(Table1[[#This Row],[Date]]),"",DATE(Table1[[#This Row],[Date_Year]],Table1[[#This Row],[Date_Month]],1))</f>
        <v>43525</v>
      </c>
    </row>
    <row r="1670" spans="2:19" ht="15.75" x14ac:dyDescent="0.25">
      <c r="B1670" s="113"/>
      <c r="C1670" s="114"/>
      <c r="D1670" s="114"/>
      <c r="E1670" s="115"/>
      <c r="G1670" s="98"/>
      <c r="H1670" s="98"/>
      <c r="I1670" s="98"/>
      <c r="J1670" s="116"/>
      <c r="K1670" s="116"/>
      <c r="L1670" s="117" t="str" cm="1">
        <f t="array" ref="L1670">IFERROR(INDEX(Table2[Category Type],MATCH(Table1[[#This Row],[Category]],Table2[Category Name],0),0),"")</f>
        <v/>
      </c>
      <c r="M1670" s="117"/>
      <c r="N1670" s="117"/>
      <c r="O1670" s="117"/>
      <c r="P1670" s="117"/>
      <c r="Q1670" s="118"/>
      <c r="R1670" s="119"/>
    </row>
  </sheetData>
  <sheetProtection formatCells="0" formatColumns="0" formatRows="0" insertColumns="0" insertRows="0" deleteColumns="0" sort="0" autoFilter="0"/>
  <mergeCells count="2">
    <mergeCell ref="B2:H2"/>
    <mergeCell ref="B3:H3"/>
  </mergeCells>
  <conditionalFormatting sqref="F7:F1669">
    <cfRule type="expression" dxfId="28" priority="10">
      <formula>$F7&gt;0</formula>
    </cfRule>
  </conditionalFormatting>
  <conditionalFormatting sqref="E7:E1669">
    <cfRule type="expression" dxfId="27" priority="11">
      <formula>AND(NOT(ISNUMBER(MATCH(E7,SubcategoryNames,0))), NOT(ISBLANK(E7)))</formula>
    </cfRule>
  </conditionalFormatting>
  <conditionalFormatting sqref="D7:D1669">
    <cfRule type="containsBlanks" dxfId="26" priority="2" stopIfTrue="1">
      <formula>LEN(TRIM(D7))=0</formula>
    </cfRule>
    <cfRule type="expression" dxfId="25" priority="12">
      <formula>NOT(ISNUMBER(MATCH(D7,HiddenCategoriesCategoryNames,0)))</formula>
    </cfRule>
  </conditionalFormatting>
  <dataValidations count="5">
    <dataValidation allowBlank="1" showInputMessage="1" showErrorMessage="1" promptTitle="&quot;Category Filter&quot; Slicer" prompt="Choose categories in slicer to filter the Transactions table below" sqref="F1" xr:uid="{3EFD49C3-B456-4339-B033-286684B3D63C}"/>
    <dataValidation allowBlank="1" showInputMessage="1" showErrorMessage="1" promptTitle="&quot;Month Filter&quot; Slicer" prompt="Choose months in slicer to filter the Transactions table below_x000a_" sqref="H1" xr:uid="{8AA570C5-8547-4A71-8812-4BC4C7C5D75F}"/>
    <dataValidation type="list" allowBlank="1" showInputMessage="1" showErrorMessage="1" sqref="D7:D1669" xr:uid="{B5EF1D71-7A32-4811-8870-EED801877F12}">
      <formula1>HiddenCategoriesCategoryNames</formula1>
    </dataValidation>
    <dataValidation allowBlank="1" showErrorMessage="1" sqref="A1:A1048576" xr:uid="{5F77A286-CAED-734F-B0B2-DA1607CCC19A}"/>
    <dataValidation type="list" allowBlank="1" showInputMessage="1" showErrorMessage="1" sqref="E7:E1669" xr:uid="{793AD389-FA8A-4A42-BE27-23607617FF68}">
      <formula1>OFFSET(HiddenCategoriesCategoryNames,MATCH(D7,HiddenCategoriesCategoryNames,0)-1,1,1,COUNTA(OFFSET(HiddenCategoriesCategoryNames,MATCH(D7,HiddenCategoriesCategoryNames,0)-1,1,1,30)))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C5048987-A91E-4F9F-8296-B538AEB65388}">
          <xm:f>Transactions!$D$6:$D$1669</xm:f>
        </x15:webExtension>
      </x15:webExtens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7D0D3-2462-4235-BCCD-8C8BD3120E40}">
  <dimension ref="B1:X29"/>
  <sheetViews>
    <sheetView showGridLines="0" workbookViewId="0">
      <selection activeCell="H16" sqref="H16"/>
    </sheetView>
  </sheetViews>
  <sheetFormatPr defaultRowHeight="15" x14ac:dyDescent="0.25"/>
  <cols>
    <col min="1" max="1" width="1.85546875" customWidth="1"/>
    <col min="2" max="2" width="0" hidden="1" customWidth="1"/>
    <col min="3" max="3" width="26.140625" customWidth="1"/>
    <col min="4" max="5" width="15.85546875" customWidth="1"/>
    <col min="6" max="6" width="1" customWidth="1"/>
    <col min="7" max="7" width="11" hidden="1" customWidth="1"/>
    <col min="8" max="8" width="38.140625" customWidth="1"/>
    <col min="9" max="9" width="11" customWidth="1"/>
    <col min="10" max="10" width="19" customWidth="1"/>
    <col min="11" max="11" width="11" customWidth="1"/>
    <col min="12" max="12" width="11" hidden="1" customWidth="1"/>
    <col min="13" max="13" width="19" customWidth="1"/>
    <col min="14" max="15" width="11" hidden="1" customWidth="1"/>
    <col min="16" max="19" width="12" hidden="1" customWidth="1"/>
    <col min="23" max="24" width="0" hidden="1" customWidth="1"/>
  </cols>
  <sheetData>
    <row r="1" spans="2:24" s="174" customFormat="1" ht="5.0999999999999996" customHeight="1" x14ac:dyDescent="0.25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2"/>
      <c r="T1" s="162"/>
      <c r="U1" s="162"/>
      <c r="V1" s="162"/>
      <c r="W1" s="162"/>
      <c r="X1" s="162"/>
    </row>
    <row r="2" spans="2:24" ht="40.35" customHeight="1" x14ac:dyDescent="0.25">
      <c r="B2" s="161"/>
      <c r="C2" s="270" t="s">
        <v>1268</v>
      </c>
      <c r="D2" s="270"/>
      <c r="E2" s="270"/>
      <c r="F2" s="270"/>
      <c r="G2" s="270"/>
      <c r="H2" s="270"/>
      <c r="I2" s="270"/>
      <c r="J2" s="270"/>
      <c r="K2" s="270"/>
      <c r="L2" s="270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</row>
    <row r="3" spans="2:24" ht="40.35" customHeight="1" x14ac:dyDescent="0.25">
      <c r="B3" s="161"/>
      <c r="C3" s="277" t="s">
        <v>1269</v>
      </c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</row>
    <row r="4" spans="2:24" ht="0.95" customHeight="1" x14ac:dyDescent="0.25">
      <c r="B4" s="161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161"/>
      <c r="U4" s="161"/>
      <c r="V4" s="161"/>
      <c r="W4" s="161"/>
      <c r="X4" s="161"/>
    </row>
    <row r="5" spans="2:24" x14ac:dyDescent="0.25"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</row>
    <row r="6" spans="2:24" ht="5.0999999999999996" customHeight="1" thickBot="1" x14ac:dyDescent="0.3"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</row>
    <row r="7" spans="2:24" x14ac:dyDescent="0.25">
      <c r="B7" s="161"/>
      <c r="C7" s="175" t="s">
        <v>1271</v>
      </c>
      <c r="D7" s="176"/>
      <c r="E7" s="177"/>
      <c r="F7" s="161"/>
      <c r="G7" s="161"/>
      <c r="H7" s="252" t="s">
        <v>1270</v>
      </c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78" t="s">
        <v>1276</v>
      </c>
      <c r="X7" s="161"/>
    </row>
    <row r="8" spans="2:24" ht="20.100000000000001" customHeight="1" thickBot="1" x14ac:dyDescent="0.3">
      <c r="B8" s="161"/>
      <c r="C8" s="179" t="s">
        <v>27</v>
      </c>
      <c r="D8" s="180" t="s">
        <v>1272</v>
      </c>
      <c r="E8" s="181"/>
      <c r="F8" s="161"/>
      <c r="G8" s="161" t="s">
        <v>71</v>
      </c>
      <c r="H8" s="161" t="s">
        <v>27</v>
      </c>
      <c r="I8" s="182" t="s">
        <v>32</v>
      </c>
      <c r="J8" s="161" t="s">
        <v>1258</v>
      </c>
      <c r="K8" s="182" t="s">
        <v>1259</v>
      </c>
      <c r="L8" s="183" t="s">
        <v>1260</v>
      </c>
      <c r="M8" s="184" t="s">
        <v>1261</v>
      </c>
      <c r="N8" s="184" t="s">
        <v>1262</v>
      </c>
      <c r="O8" s="183" t="s">
        <v>1263</v>
      </c>
      <c r="P8" s="161" t="s">
        <v>1264</v>
      </c>
      <c r="Q8" s="161" t="s">
        <v>1265</v>
      </c>
      <c r="R8" s="161" t="s">
        <v>1266</v>
      </c>
      <c r="S8" s="161" t="s">
        <v>1267</v>
      </c>
      <c r="T8" s="161"/>
      <c r="U8" s="161"/>
      <c r="V8" s="161"/>
      <c r="W8" s="178" t="s">
        <v>1277</v>
      </c>
      <c r="X8" s="178">
        <v>52</v>
      </c>
    </row>
    <row r="9" spans="2:24" x14ac:dyDescent="0.25">
      <c r="B9" s="161"/>
      <c r="C9" s="185" t="str" cm="1">
        <f t="array" aca="1" ref="C9" ca="1">IFERROR(INDEX(RecurringExp[Merchant],MATCH($B19,RecurringExp[Rank_Annual],0),0),"")</f>
        <v>State Farm</v>
      </c>
      <c r="D9" s="186" cm="1">
        <f t="array" aca="1" ref="D9" ca="1">IFERROR(INDEX(RecurringExp[YTD/Annual Cost],MATCH($B19,RecurringExp[Rank_Annual],0),0),NA())</f>
        <v>275.34000000000003</v>
      </c>
      <c r="E9" s="181"/>
      <c r="F9" s="161"/>
      <c r="G9" s="161" t="s">
        <v>1285</v>
      </c>
      <c r="H9" s="161" t="s">
        <v>146</v>
      </c>
      <c r="I9" s="182">
        <v>91.78</v>
      </c>
      <c r="J9" s="161" t="s">
        <v>1278</v>
      </c>
      <c r="K9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275.34000000000003</v>
      </c>
      <c r="L9" s="183">
        <v>-25.139999999999993</v>
      </c>
      <c r="M9" s="184">
        <v>44259</v>
      </c>
      <c r="N9" s="184">
        <v>44289</v>
      </c>
      <c r="O9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275.34000000000003</v>
      </c>
      <c r="P9" s="248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>16</v>
      </c>
      <c r="Q9" s="248">
        <f ca="1">IFERROR(RANK(RecurringExp[[#This Row],[Upcoming Days]],RecurringExp[Upcoming Days],1)+COUNTIF(RecurringExp[[#This Row],[Upcoming Days]]:RecurringExp[[#This Row],[Upcoming Days]],RecurringExp[[#This Row],[Upcoming Days]])-1,"")</f>
        <v>4</v>
      </c>
      <c r="R9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1</v>
      </c>
      <c r="S9" s="161" t="b">
        <v>0</v>
      </c>
      <c r="T9" s="161"/>
      <c r="U9" s="161"/>
      <c r="V9" s="161"/>
      <c r="W9" s="178" t="s">
        <v>1278</v>
      </c>
      <c r="X9" s="178">
        <v>12</v>
      </c>
    </row>
    <row r="10" spans="2:24" x14ac:dyDescent="0.25">
      <c r="B10" s="161"/>
      <c r="C10" s="185" t="str" cm="1">
        <f t="array" aca="1" ref="C10" ca="1">IFERROR(INDEX(RecurringExp[Merchant],MATCH($B20,RecurringExp[Rank_Annual],0),0),"")</f>
        <v>T Mobile</v>
      </c>
      <c r="D10" s="186" cm="1">
        <f t="array" aca="1" ref="D10" ca="1">IFERROR(INDEX(RecurringExp[YTD/Annual Cost],MATCH($B20,RecurringExp[Rank_Annual],0),0),NA())</f>
        <v>172.5</v>
      </c>
      <c r="E10" s="181"/>
      <c r="F10" s="161"/>
      <c r="G10" s="161" t="s">
        <v>1284</v>
      </c>
      <c r="H10" s="161" t="s">
        <v>193</v>
      </c>
      <c r="I10" s="182">
        <v>86.25</v>
      </c>
      <c r="J10" s="161" t="s">
        <v>1279</v>
      </c>
      <c r="K10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172.5</v>
      </c>
      <c r="L10" s="183">
        <v>0</v>
      </c>
      <c r="M10" s="184">
        <v>44269</v>
      </c>
      <c r="N10" s="184">
        <v>44359</v>
      </c>
      <c r="O10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172.5</v>
      </c>
      <c r="P10" s="248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0" s="248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0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2</v>
      </c>
      <c r="S10" s="161" t="b">
        <v>0</v>
      </c>
      <c r="T10" s="161"/>
      <c r="U10" s="161"/>
      <c r="V10" s="161"/>
      <c r="W10" s="178" t="s">
        <v>1279</v>
      </c>
      <c r="X10" s="178">
        <v>4</v>
      </c>
    </row>
    <row r="11" spans="2:24" x14ac:dyDescent="0.25">
      <c r="B11" s="161"/>
      <c r="C11" s="185" t="str" cm="1">
        <f t="array" aca="1" ref="C11" ca="1">IFERROR(INDEX(RecurringExp[Merchant],MATCH($B21,RecurringExp[Rank_Annual],0),0),"")</f>
        <v>Apple Bill Ca Apple</v>
      </c>
      <c r="D11" s="186" cm="1">
        <f t="array" aca="1" ref="D11" ca="1">IFERROR(INDEX(RecurringExp[YTD/Annual Cost],MATCH($B21,RecurringExp[Rank_Annual],0),0),NA())</f>
        <v>130.93999999999997</v>
      </c>
      <c r="E11" s="181"/>
      <c r="F11" s="161"/>
      <c r="G11" s="161" t="s">
        <v>1281</v>
      </c>
      <c r="H11" s="161" t="s">
        <v>152</v>
      </c>
      <c r="I11" s="182">
        <v>13.99</v>
      </c>
      <c r="J11" s="161" t="s">
        <v>1278</v>
      </c>
      <c r="K11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41.97</v>
      </c>
      <c r="L11" s="183">
        <v>-1.69</v>
      </c>
      <c r="M11" s="184">
        <v>44256</v>
      </c>
      <c r="N11" s="184">
        <v>44286</v>
      </c>
      <c r="O11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41.97</v>
      </c>
      <c r="P11" s="248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>13</v>
      </c>
      <c r="Q11" s="248">
        <f ca="1">IFERROR(RANK(RecurringExp[[#This Row],[Upcoming Days]],RecurringExp[Upcoming Days],1)+COUNTIF(RecurringExp[[#This Row],[Upcoming Days]]:RecurringExp[[#This Row],[Upcoming Days]],RecurringExp[[#This Row],[Upcoming Days]])-1,"")</f>
        <v>2</v>
      </c>
      <c r="R11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4</v>
      </c>
      <c r="S11" s="161" t="b">
        <v>0</v>
      </c>
      <c r="T11" s="161"/>
      <c r="U11" s="161"/>
      <c r="V11" s="161"/>
      <c r="W11" s="178" t="s">
        <v>1280</v>
      </c>
      <c r="X11" s="178">
        <v>1</v>
      </c>
    </row>
    <row r="12" spans="2:24" x14ac:dyDescent="0.25">
      <c r="B12" s="161"/>
      <c r="C12" s="185" t="str" cm="1">
        <f t="array" aca="1" ref="C12" ca="1">IFERROR(INDEX(RecurringExp[Merchant],MATCH($B22,RecurringExp[Rank_Annual],0),0),"")</f>
        <v>Netflix</v>
      </c>
      <c r="D12" s="186" cm="1">
        <f t="array" aca="1" ref="D12" ca="1">IFERROR(INDEX(RecurringExp[YTD/Annual Cost],MATCH($B22,RecurringExp[Rank_Annual],0),0),NA())</f>
        <v>41.97</v>
      </c>
      <c r="E12" s="181"/>
      <c r="F12" s="161"/>
      <c r="G12" s="161" t="s">
        <v>1283</v>
      </c>
      <c r="H12" s="161" t="s">
        <v>148</v>
      </c>
      <c r="I12" s="182">
        <v>9.99</v>
      </c>
      <c r="J12" s="161" t="s">
        <v>1278</v>
      </c>
      <c r="K12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29.97</v>
      </c>
      <c r="L12" s="183">
        <v>0</v>
      </c>
      <c r="M12" s="184">
        <v>44257</v>
      </c>
      <c r="N12" s="184">
        <v>44287</v>
      </c>
      <c r="O12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29.97</v>
      </c>
      <c r="P12" s="248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>14</v>
      </c>
      <c r="Q12" s="248">
        <f ca="1">IFERROR(RANK(RecurringExp[[#This Row],[Upcoming Days]],RecurringExp[Upcoming Days],1)+COUNTIF(RecurringExp[[#This Row],[Upcoming Days]]:RecurringExp[[#This Row],[Upcoming Days]],RecurringExp[[#This Row],[Upcoming Days]])-1,"")</f>
        <v>3</v>
      </c>
      <c r="R12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5</v>
      </c>
      <c r="S12" s="161" t="b">
        <v>0</v>
      </c>
      <c r="T12" s="161"/>
      <c r="U12" s="161"/>
      <c r="V12" s="161"/>
      <c r="W12" s="161"/>
      <c r="X12" s="161"/>
    </row>
    <row r="13" spans="2:24" x14ac:dyDescent="0.25">
      <c r="B13" s="161"/>
      <c r="C13" s="185" t="str" cm="1">
        <f t="array" aca="1" ref="C13" ca="1">IFERROR(INDEX(RecurringExp[Merchant],MATCH($B23,RecurringExp[Rank_Annual],0),0),"")</f>
        <v>Spotify</v>
      </c>
      <c r="D13" s="186" cm="1">
        <f t="array" aca="1" ref="D13" ca="1">IFERROR(INDEX(RecurringExp[YTD/Annual Cost],MATCH($B23,RecurringExp[Rank_Annual],0),0),NA())</f>
        <v>29.97</v>
      </c>
      <c r="E13" s="181"/>
      <c r="F13" s="161"/>
      <c r="G13" s="161" t="s">
        <v>1282</v>
      </c>
      <c r="H13" s="161" t="s">
        <v>184</v>
      </c>
      <c r="I13" s="182">
        <v>7.99</v>
      </c>
      <c r="J13" s="161" t="s">
        <v>1278</v>
      </c>
      <c r="K13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15.98</v>
      </c>
      <c r="L13" s="183">
        <v>0</v>
      </c>
      <c r="M13" s="184">
        <v>44248</v>
      </c>
      <c r="N13" s="184">
        <v>44278</v>
      </c>
      <c r="O13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15.98</v>
      </c>
      <c r="P13" s="248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>5</v>
      </c>
      <c r="Q13" s="248">
        <f ca="1">IFERROR(RANK(RecurringExp[[#This Row],[Upcoming Days]],RecurringExp[Upcoming Days],1)+COUNTIF(RecurringExp[[#This Row],[Upcoming Days]]:RecurringExp[[#This Row],[Upcoming Days]],RecurringExp[[#This Row],[Upcoming Days]])-1,"")</f>
        <v>1</v>
      </c>
      <c r="R13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6</v>
      </c>
      <c r="S13" s="161" t="b">
        <v>0</v>
      </c>
      <c r="T13" s="161"/>
      <c r="U13" s="161"/>
      <c r="V13" s="161"/>
      <c r="W13" s="161"/>
      <c r="X13" s="161"/>
    </row>
    <row r="14" spans="2:24" ht="15.75" thickBot="1" x14ac:dyDescent="0.3">
      <c r="B14" s="161"/>
      <c r="C14" s="187"/>
      <c r="D14" s="188"/>
      <c r="E14" s="189"/>
      <c r="F14" s="161"/>
      <c r="G14" s="161" t="s">
        <v>2396</v>
      </c>
      <c r="H14" s="161" t="s">
        <v>163</v>
      </c>
      <c r="I14" s="182">
        <v>14.99</v>
      </c>
      <c r="J14" s="161" t="s">
        <v>1278</v>
      </c>
      <c r="K14" s="182">
        <f ca="1"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>130.93999999999997</v>
      </c>
      <c r="L14" s="183">
        <v>14.99</v>
      </c>
      <c r="M14" s="184">
        <v>44267</v>
      </c>
      <c r="N14" s="184">
        <v>44297</v>
      </c>
      <c r="O14" s="183">
        <f ca="1">IF(SUMIFS(Table1[Amount $],Table1[Merchant],RecurringExp[[#This Row],[Merchant]],Table1[Date_Year],YEAR(TODAY()))*-1=0,"",SUMIFS(Table1[Amount $],Table1[Merchant],RecurringExp[[#This Row],[Merchant]],Table1[Date_Year],YEAR(TODAY()))*-1)</f>
        <v>130.93999999999997</v>
      </c>
      <c r="P14" s="248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>24</v>
      </c>
      <c r="Q14" s="248">
        <f ca="1">IFERROR(RANK(RecurringExp[[#This Row],[Upcoming Days]],RecurringExp[Upcoming Days],1)+COUNTIF(RecurringExp[[#This Row],[Upcoming Days]]:RecurringExp[[#This Row],[Upcoming Days]],RecurringExp[[#This Row],[Upcoming Days]])-1,"")</f>
        <v>5</v>
      </c>
      <c r="R14" s="248">
        <f ca="1">IFERROR(RANK(RecurringExp[[#This Row],[YTD/Annual Cost]],RecurringExp[YTD/Annual Cost],0)+COUNTIF(RecurringExp[[#This Row],[YTD/Annual Cost]]:RecurringExp[[#This Row],[YTD/Annual Cost]],RecurringExp[[#This Row],[YTD/Annual Cost]])-1,"")</f>
        <v>3</v>
      </c>
      <c r="S14" s="161" t="b">
        <v>1</v>
      </c>
      <c r="T14" s="161"/>
      <c r="U14" s="161"/>
      <c r="V14" s="161"/>
      <c r="W14" s="161"/>
      <c r="X14" s="161"/>
    </row>
    <row r="15" spans="2:24" x14ac:dyDescent="0.25">
      <c r="B15" s="161"/>
      <c r="C15" s="161"/>
      <c r="D15" s="161"/>
      <c r="E15" s="161"/>
      <c r="F15" s="161"/>
      <c r="G15" s="161"/>
      <c r="H15" s="161"/>
      <c r="I15" s="182"/>
      <c r="J15" s="161"/>
      <c r="K15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15" s="183"/>
      <c r="M15" s="184"/>
      <c r="N15" s="184"/>
      <c r="O15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15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5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5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15" s="161"/>
      <c r="T15" s="161"/>
      <c r="U15" s="161"/>
      <c r="V15" s="161"/>
      <c r="W15" s="161"/>
      <c r="X15" s="161"/>
    </row>
    <row r="16" spans="2:24" ht="15.75" thickBot="1" x14ac:dyDescent="0.3">
      <c r="B16" s="161"/>
      <c r="C16" s="161"/>
      <c r="D16" s="161"/>
      <c r="E16" s="161"/>
      <c r="F16" s="161"/>
      <c r="G16" s="161"/>
      <c r="H16" s="161"/>
      <c r="I16" s="182"/>
      <c r="J16" s="161"/>
      <c r="K16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16" s="183"/>
      <c r="M16" s="184"/>
      <c r="N16" s="184"/>
      <c r="O16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16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6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6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16" s="161"/>
      <c r="T16" s="161"/>
      <c r="U16" s="161"/>
      <c r="V16" s="161"/>
      <c r="W16" s="161"/>
      <c r="X16" s="161"/>
    </row>
    <row r="17" spans="2:24" ht="15.75" thickBot="1" x14ac:dyDescent="0.3">
      <c r="B17" s="161"/>
      <c r="C17" s="175" t="s">
        <v>1273</v>
      </c>
      <c r="D17" s="176"/>
      <c r="E17" s="177"/>
      <c r="F17" s="161"/>
      <c r="G17" s="161"/>
      <c r="H17" s="161"/>
      <c r="I17" s="182"/>
      <c r="J17" s="161"/>
      <c r="K17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17" s="183"/>
      <c r="M17" s="184"/>
      <c r="N17" s="184"/>
      <c r="O17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17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7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7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17" s="161"/>
      <c r="T17" s="161"/>
      <c r="U17" s="161"/>
      <c r="V17" s="161"/>
      <c r="W17" s="161"/>
      <c r="X17" s="161"/>
    </row>
    <row r="18" spans="2:24" ht="15.75" thickBot="1" x14ac:dyDescent="0.3">
      <c r="B18" s="161"/>
      <c r="C18" s="190" t="s">
        <v>27</v>
      </c>
      <c r="D18" s="191" t="s">
        <v>1274</v>
      </c>
      <c r="E18" s="192" t="s">
        <v>1275</v>
      </c>
      <c r="F18" s="161"/>
      <c r="G18" s="161"/>
      <c r="H18" s="161"/>
      <c r="I18" s="182"/>
      <c r="J18" s="161"/>
      <c r="K18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18" s="183"/>
      <c r="M18" s="184"/>
      <c r="N18" s="184"/>
      <c r="O18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18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8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8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18" s="161"/>
      <c r="T18" s="161"/>
      <c r="U18" s="161"/>
      <c r="V18" s="161"/>
      <c r="W18" s="161"/>
      <c r="X18" s="161"/>
    </row>
    <row r="19" spans="2:24" x14ac:dyDescent="0.25">
      <c r="B19" s="193">
        <v>1</v>
      </c>
      <c r="C19" s="194" t="str">
        <f ca="1">IFERROR(INDEX(RecurringExp[Merchant],MATCH($B19,RecurringExp[Rank_Days],0),0),"")</f>
        <v>Pp Roku For Crunchyr</v>
      </c>
      <c r="D19" s="195" cm="1">
        <f t="array" aca="1" ref="D19" ca="1">IFERROR(INDEX(RecurringExp[Amount $],MATCH($B19,RecurringExp[Rank_Days],0),0),"")</f>
        <v>7.99</v>
      </c>
      <c r="E19" s="196" cm="1">
        <f t="array" aca="1" ref="E19" ca="1">IFERROR(IF(INDEX(RecurringExp[Upcoming Days],MATCH($B19,RecurringExp[Rank_Days],0),0)=0,"Today",INDEX(RecurringExp[Upcoming Days],MATCH($B19,RecurringExp[Rank_Days],0),0)),"")</f>
        <v>5</v>
      </c>
      <c r="F19" s="161"/>
      <c r="G19" s="161"/>
      <c r="H19" s="161"/>
      <c r="I19" s="182"/>
      <c r="J19" s="161"/>
      <c r="K19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19" s="183"/>
      <c r="M19" s="184"/>
      <c r="N19" s="184"/>
      <c r="O19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19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19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19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19" s="161"/>
      <c r="T19" s="161"/>
      <c r="U19" s="161"/>
      <c r="V19" s="161"/>
      <c r="W19" s="161"/>
      <c r="X19" s="161"/>
    </row>
    <row r="20" spans="2:24" x14ac:dyDescent="0.25">
      <c r="B20" s="193">
        <v>2</v>
      </c>
      <c r="C20" s="194" t="str">
        <f ca="1">IFERROR(INDEX(RecurringExp[Merchant],MATCH($B20,RecurringExp[Rank_Days],0),0),"")</f>
        <v>Netflix</v>
      </c>
      <c r="D20" s="195" cm="1">
        <f t="array" aca="1" ref="D20" ca="1">IFERROR(INDEX(RecurringExp[Amount $],MATCH($B20,RecurringExp[Rank_Days],0),0),"")</f>
        <v>13.99</v>
      </c>
      <c r="E20" s="196" cm="1">
        <f t="array" aca="1" ref="E20" ca="1">IFERROR(IF(INDEX(RecurringExp[Upcoming Days],MATCH($B20,RecurringExp[Rank_Days],0),0)=0,"Today",INDEX(RecurringExp[Upcoming Days],MATCH($B20,RecurringExp[Rank_Days],0),0)),"")</f>
        <v>13</v>
      </c>
      <c r="F20" s="161"/>
      <c r="G20" s="161"/>
      <c r="H20" s="161"/>
      <c r="I20" s="182"/>
      <c r="J20" s="161"/>
      <c r="K20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0" s="183"/>
      <c r="M20" s="184"/>
      <c r="N20" s="184"/>
      <c r="O20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0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0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0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0" s="161"/>
      <c r="T20" s="161"/>
      <c r="U20" s="161"/>
      <c r="V20" s="161"/>
      <c r="W20" s="161"/>
      <c r="X20" s="161"/>
    </row>
    <row r="21" spans="2:24" x14ac:dyDescent="0.25">
      <c r="B21" s="193">
        <v>3</v>
      </c>
      <c r="C21" s="194" t="str">
        <f ca="1">IFERROR(INDEX(RecurringExp[Merchant],MATCH($B21,RecurringExp[Rank_Days],0),0),"")</f>
        <v>Spotify</v>
      </c>
      <c r="D21" s="195" cm="1">
        <f t="array" aca="1" ref="D21" ca="1">IFERROR(INDEX(RecurringExp[Amount $],MATCH($B21,RecurringExp[Rank_Days],0),0),"")</f>
        <v>9.99</v>
      </c>
      <c r="E21" s="196" cm="1">
        <f t="array" aca="1" ref="E21" ca="1">IFERROR(IF(INDEX(RecurringExp[Upcoming Days],MATCH($B21,RecurringExp[Rank_Days],0),0)=0,"Today",INDEX(RecurringExp[Upcoming Days],MATCH($B21,RecurringExp[Rank_Days],0),0)),"")</f>
        <v>14</v>
      </c>
      <c r="F21" s="161"/>
      <c r="G21" s="161"/>
      <c r="H21" s="161"/>
      <c r="I21" s="182"/>
      <c r="J21" s="161"/>
      <c r="K21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1" s="183"/>
      <c r="M21" s="184"/>
      <c r="N21" s="184"/>
      <c r="O21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1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1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1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1" s="161"/>
      <c r="T21" s="161"/>
      <c r="U21" s="161"/>
      <c r="V21" s="161"/>
      <c r="W21" s="161"/>
      <c r="X21" s="161"/>
    </row>
    <row r="22" spans="2:24" x14ac:dyDescent="0.25">
      <c r="B22" s="193">
        <v>4</v>
      </c>
      <c r="C22" s="194" t="str">
        <f ca="1">IFERROR(INDEX(RecurringExp[Merchant],MATCH($B22,RecurringExp[Rank_Days],0),0),"")</f>
        <v>State Farm</v>
      </c>
      <c r="D22" s="195" cm="1">
        <f t="array" aca="1" ref="D22" ca="1">IFERROR(INDEX(RecurringExp[Amount $],MATCH($B22,RecurringExp[Rank_Days],0),0),"")</f>
        <v>91.78</v>
      </c>
      <c r="E22" s="196" cm="1">
        <f t="array" aca="1" ref="E22" ca="1">IFERROR(IF(INDEX(RecurringExp[Upcoming Days],MATCH($B22,RecurringExp[Rank_Days],0),0)=0,"Today",INDEX(RecurringExp[Upcoming Days],MATCH($B22,RecurringExp[Rank_Days],0),0)),"")</f>
        <v>16</v>
      </c>
      <c r="F22" s="161"/>
      <c r="G22" s="161"/>
      <c r="H22" s="161"/>
      <c r="I22" s="182"/>
      <c r="J22" s="161"/>
      <c r="K22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2" s="183"/>
      <c r="M22" s="184"/>
      <c r="N22" s="184"/>
      <c r="O22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2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2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2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2" s="161"/>
      <c r="T22" s="161"/>
      <c r="U22" s="161"/>
      <c r="V22" s="161"/>
      <c r="W22" s="161"/>
      <c r="X22" s="161"/>
    </row>
    <row r="23" spans="2:24" ht="15.75" thickBot="1" x14ac:dyDescent="0.3">
      <c r="B23" s="193">
        <v>5</v>
      </c>
      <c r="C23" s="197" t="str">
        <f ca="1">IFERROR(INDEX(RecurringExp[Merchant],MATCH($B23,RecurringExp[Rank_Days],0),0),"")</f>
        <v>Apple Bill Ca Apple</v>
      </c>
      <c r="D23" s="198" cm="1">
        <f t="array" aca="1" ref="D23" ca="1">IFERROR(INDEX(RecurringExp[Amount $],MATCH($B23,RecurringExp[Rank_Days],0),0),"")</f>
        <v>14.99</v>
      </c>
      <c r="E23" s="199" cm="1">
        <f t="array" aca="1" ref="E23" ca="1">IFERROR(IF(INDEX(RecurringExp[Upcoming Days],MATCH($B23,RecurringExp[Rank_Days],0),0)=0,"Today",INDEX(RecurringExp[Upcoming Days],MATCH($B23,RecurringExp[Rank_Days],0),0)),"")</f>
        <v>24</v>
      </c>
      <c r="F23" s="161"/>
      <c r="G23" s="161"/>
      <c r="H23" s="161"/>
      <c r="I23" s="182"/>
      <c r="J23" s="161"/>
      <c r="K23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3" s="183"/>
      <c r="M23" s="184"/>
      <c r="N23" s="184"/>
      <c r="O23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3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3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3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3" s="161"/>
      <c r="T23" s="161"/>
      <c r="U23" s="161"/>
      <c r="V23" s="161"/>
      <c r="W23" s="161"/>
      <c r="X23" s="161"/>
    </row>
    <row r="24" spans="2:24" x14ac:dyDescent="0.25">
      <c r="B24" s="161"/>
      <c r="C24" s="161"/>
      <c r="D24" s="161"/>
      <c r="E24" s="161"/>
      <c r="F24" s="161"/>
      <c r="G24" s="161"/>
      <c r="H24" s="161"/>
      <c r="I24" s="182"/>
      <c r="J24" s="161"/>
      <c r="K24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4" s="183"/>
      <c r="M24" s="184"/>
      <c r="N24" s="184"/>
      <c r="O24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4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4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4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4" s="161"/>
      <c r="T24" s="161"/>
      <c r="U24" s="161"/>
      <c r="V24" s="161"/>
      <c r="W24" s="161"/>
      <c r="X24" s="161"/>
    </row>
    <row r="25" spans="2:24" x14ac:dyDescent="0.25">
      <c r="B25" s="161"/>
      <c r="C25" s="161"/>
      <c r="D25" s="161"/>
      <c r="E25" s="161"/>
      <c r="F25" s="161"/>
      <c r="G25" s="161"/>
      <c r="H25" s="161"/>
      <c r="I25" s="182"/>
      <c r="J25" s="161"/>
      <c r="K25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5" s="183"/>
      <c r="M25" s="184"/>
      <c r="N25" s="184"/>
      <c r="O25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5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5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5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5" s="161"/>
      <c r="T25" s="161"/>
      <c r="U25" s="161"/>
      <c r="V25" s="161"/>
      <c r="W25" s="161"/>
      <c r="X25" s="161"/>
    </row>
    <row r="26" spans="2:24" x14ac:dyDescent="0.25">
      <c r="B26" s="161"/>
      <c r="C26" s="161"/>
      <c r="D26" s="161"/>
      <c r="E26" s="161"/>
      <c r="F26" s="161"/>
      <c r="G26" s="161"/>
      <c r="H26" s="161"/>
      <c r="I26" s="182"/>
      <c r="J26" s="161"/>
      <c r="K26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6" s="183"/>
      <c r="M26" s="184"/>
      <c r="N26" s="184"/>
      <c r="O26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6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6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6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6" s="161"/>
      <c r="T26" s="161"/>
      <c r="U26" s="161"/>
      <c r="V26" s="161"/>
      <c r="W26" s="161"/>
      <c r="X26" s="161"/>
    </row>
    <row r="27" spans="2:24" x14ac:dyDescent="0.25">
      <c r="B27" s="161"/>
      <c r="C27" s="161"/>
      <c r="D27" s="161"/>
      <c r="E27" s="161"/>
      <c r="F27" s="161"/>
      <c r="G27" s="161"/>
      <c r="H27" s="161"/>
      <c r="I27" s="182"/>
      <c r="J27" s="161"/>
      <c r="K27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7" s="183"/>
      <c r="M27" s="184"/>
      <c r="N27" s="184"/>
      <c r="O27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7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7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7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7" s="161"/>
      <c r="T27" s="161"/>
      <c r="U27" s="161"/>
      <c r="V27" s="161"/>
      <c r="W27" s="161"/>
      <c r="X27" s="161"/>
    </row>
    <row r="28" spans="2:24" x14ac:dyDescent="0.25">
      <c r="B28" s="161"/>
      <c r="C28" s="161"/>
      <c r="D28" s="161"/>
      <c r="E28" s="161"/>
      <c r="F28" s="161"/>
      <c r="G28" s="161"/>
      <c r="H28" s="161"/>
      <c r="I28" s="182"/>
      <c r="J28" s="161"/>
      <c r="K28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8" s="183"/>
      <c r="M28" s="184"/>
      <c r="N28" s="184"/>
      <c r="O28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8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8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8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8" s="161"/>
      <c r="T28" s="161"/>
      <c r="U28" s="161"/>
      <c r="V28" s="161"/>
      <c r="W28" s="161"/>
      <c r="X28" s="161"/>
    </row>
    <row r="29" spans="2:24" x14ac:dyDescent="0.25">
      <c r="B29" s="161"/>
      <c r="C29" s="161"/>
      <c r="D29" s="161"/>
      <c r="E29" s="161"/>
      <c r="F29" s="161"/>
      <c r="G29" s="161"/>
      <c r="H29" s="161"/>
      <c r="I29" s="182"/>
      <c r="J29" s="161"/>
      <c r="K29" s="182" t="str">
        <f>IFERROR(IF(ISBLANK(RecurringExp[[#This Row],[Amount $]]),"",IF(RecurringExp[[#This Row],[Sum from Trans]]&lt;&gt;"",RecurringExp[[#This Row],[Sum from Trans]],RecurringExp[[#This Row],[Amount $]]*_xlfn.XLOOKUP(RecurringExp[[#This Row],[Frequency]],FrequencyKey,FrequencyValue))),"")</f>
        <v/>
      </c>
      <c r="L29" s="183"/>
      <c r="M29" s="184"/>
      <c r="N29" s="184"/>
      <c r="O29" s="183" t="str">
        <f ca="1">IF(SUMIFS(Table1[Amount $],Table1[Merchant],RecurringExp[[#This Row],[Merchant]],Table1[Date_Year],YEAR(TODAY()))*-1=0,"",SUMIFS(Table1[Amount $],Table1[Merchant],RecurringExp[[#This Row],[Merchant]],Table1[Date_Year],YEAR(TODAY()))*-1)</f>
        <v/>
      </c>
      <c r="P29" s="161" t="str">
        <f ca="1">IF(ISBLANK(RecurringExp[[#This Row],[Upcoming Pay Date]]),"",IF(RecurringExp[[#This Row],[Upcoming Pay Date]]-TODAY()&lt;0,"",IF(RecurringExp[[#This Row],[Upcoming Pay Date]]-TODAY()&gt;30,"",RecurringExp[[#This Row],[Upcoming Pay Date]]-TODAY())))</f>
        <v/>
      </c>
      <c r="Q29" s="161" t="str">
        <f ca="1">IFERROR(RANK(RecurringExp[[#This Row],[Upcoming Days]],RecurringExp[Upcoming Days],1)+COUNTIF(RecurringExp[[#This Row],[Upcoming Days]]:RecurringExp[[#This Row],[Upcoming Days]],RecurringExp[[#This Row],[Upcoming Days]])-1,"")</f>
        <v/>
      </c>
      <c r="R29" s="161" t="str">
        <f>IFERROR(RANK(RecurringExp[[#This Row],[YTD/Annual Cost]],RecurringExp[YTD/Annual Cost],0)+COUNTIF(RecurringExp[[#This Row],[YTD/Annual Cost]]:RecurringExp[[#This Row],[YTD/Annual Cost]],RecurringExp[[#This Row],[YTD/Annual Cost]])-1,"")</f>
        <v/>
      </c>
      <c r="S29" s="161"/>
      <c r="T29" s="161"/>
      <c r="U29" s="161"/>
      <c r="V29" s="161"/>
      <c r="W29" s="161"/>
      <c r="X29" s="161"/>
    </row>
  </sheetData>
  <mergeCells count="3">
    <mergeCell ref="C2:L2"/>
    <mergeCell ref="C3:M3"/>
    <mergeCell ref="C4:S4"/>
  </mergeCells>
  <conditionalFormatting sqref="H9:H29">
    <cfRule type="expression" dxfId="24" priority="1">
      <formula>INDIRECT("RC[11]", FALSE)=TRUE</formula>
    </cfRule>
  </conditionalFormatting>
  <conditionalFormatting sqref="H9:H29">
    <cfRule type="expression" dxfId="23" priority="2">
      <formula>AND(ISBLANK(INDIRECT("RC[0]", FALSE)), INDIRECT("RC[1]", FALSE)&lt;&gt;"")</formula>
    </cfRule>
  </conditionalFormatting>
  <conditionalFormatting sqref="H9:H29">
    <cfRule type="expression" dxfId="22" priority="3">
      <formula>AND(ISBLANK(INDIRECT("RC[0]", FALSE)), INDIRECT("RC[2]", FALSE)&lt;&gt;"")</formula>
    </cfRule>
  </conditionalFormatting>
  <conditionalFormatting sqref="I9:I29">
    <cfRule type="expression" dxfId="21" priority="4">
      <formula>INDIRECT("RC[10]", FALSE)=TRUE</formula>
    </cfRule>
  </conditionalFormatting>
  <conditionalFormatting sqref="I9:I29">
    <cfRule type="expression" dxfId="20" priority="5">
      <formula>AND(ISBLANK(INDIRECT("RC[0]", FALSE)), INDIRECT("RC[-1]", FALSE)&lt;&gt;"")</formula>
    </cfRule>
  </conditionalFormatting>
  <conditionalFormatting sqref="I9:I29">
    <cfRule type="expression" dxfId="19" priority="6">
      <formula>AND(ISBLANK(INDIRECT("RC[0]", FALSE)), INDIRECT("RC[1]", FALSE)&lt;&gt;"")</formula>
    </cfRule>
  </conditionalFormatting>
  <conditionalFormatting sqref="J9:J29">
    <cfRule type="expression" dxfId="18" priority="7">
      <formula>INDIRECT("RC[9]", FALSE)=TRUE</formula>
    </cfRule>
  </conditionalFormatting>
  <conditionalFormatting sqref="J9:J29">
    <cfRule type="expression" dxfId="17" priority="8">
      <formula>AND(ISBLANK(INDIRECT("RC[0]", FALSE)), INDIRECT("RC[-1]", FALSE)&lt;&gt;"")</formula>
    </cfRule>
  </conditionalFormatting>
  <conditionalFormatting sqref="J9:J29">
    <cfRule type="expression" dxfId="16" priority="9">
      <formula>AND(ISBLANK(INDIRECT("RC[0]", FALSE)), INDIRECT("RC[-2]", FALSE)&lt;&gt;"")</formula>
    </cfRule>
  </conditionalFormatting>
  <conditionalFormatting sqref="M9:M29">
    <cfRule type="expression" dxfId="15" priority="10">
      <formula>INDIRECT("RC[7]", FALSE)=TRUE</formula>
    </cfRule>
  </conditionalFormatting>
  <dataValidations count="2">
    <dataValidation type="list" allowBlank="1" showInputMessage="1" showErrorMessage="1" promptTitle="Type of the entry" prompt="Weekly, Monthly, Quarterly, Annual, Unknown, Semi-Annual" sqref="J9:J29" xr:uid="{0918AC16-5ADB-44B3-A5F7-4FF4C41468AC}">
      <formula1>"Weekly, Monthly, Quarterly, Annual, Unknown, Semi-Annual"</formula1>
    </dataValidation>
    <dataValidation allowBlank="1" showInputMessage="1" showErrorMessage="1" prompt="Understand and review recurring expenses. Money in Excel will look out for price changes and let you know. Manually add other recurring expenses to the table below." sqref="A1" xr:uid="{2F3E3563-81C9-40D4-9DEF-818BB47CFB15}"/>
  </dataValidation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98505-FD7F-4369-AE6E-858CC05DC8BE}">
  <dimension ref="B1:X237"/>
  <sheetViews>
    <sheetView showGridLines="0" topLeftCell="A22" workbookViewId="0">
      <selection activeCell="X7" sqref="X7"/>
    </sheetView>
  </sheetViews>
  <sheetFormatPr defaultRowHeight="15" x14ac:dyDescent="0.25"/>
  <cols>
    <col min="1" max="2" width="3" customWidth="1"/>
    <col min="3" max="6" width="18.85546875" customWidth="1"/>
    <col min="7" max="9" width="3" customWidth="1"/>
    <col min="10" max="10" width="14.42578125" customWidth="1"/>
    <col min="11" max="11" width="3" customWidth="1"/>
    <col min="12" max="12" width="17.7109375" customWidth="1"/>
    <col min="13" max="14" width="3" customWidth="1"/>
    <col min="15" max="15" width="14.42578125" customWidth="1"/>
    <col min="16" max="16" width="3" customWidth="1"/>
    <col min="17" max="17" width="17.7109375" customWidth="1"/>
    <col min="18" max="23" width="12" hidden="1" customWidth="1"/>
    <col min="24" max="25" width="3" customWidth="1"/>
  </cols>
  <sheetData>
    <row r="1" spans="2:24" s="213" customFormat="1" ht="3" customHeight="1" thickBot="1" x14ac:dyDescent="0.3"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</row>
    <row r="2" spans="2:24" ht="39" customHeight="1" thickTop="1" x14ac:dyDescent="0.25">
      <c r="B2" s="270" t="str" cm="1">
        <f t="array" ref="B2">_xlfn.CONCAT(TEXT(BudgetsDate,"mmmm yyyy")," budget")</f>
        <v>March 2021 budget</v>
      </c>
      <c r="C2" s="270"/>
      <c r="D2" s="270"/>
      <c r="E2" s="270"/>
      <c r="F2" s="270"/>
      <c r="G2" s="270"/>
      <c r="H2" s="270"/>
      <c r="I2" s="270"/>
      <c r="J2" s="270"/>
      <c r="K2" s="161"/>
      <c r="L2" s="161"/>
      <c r="M2" s="161"/>
      <c r="N2" s="161"/>
      <c r="O2" s="280" t="s">
        <v>1</v>
      </c>
      <c r="P2" s="280"/>
      <c r="Q2" s="280"/>
      <c r="R2" s="280"/>
      <c r="S2" s="280"/>
      <c r="T2" s="280"/>
      <c r="U2" s="280"/>
      <c r="V2" s="280"/>
      <c r="W2" s="280"/>
      <c r="X2" s="280"/>
    </row>
    <row r="3" spans="2:24" ht="32.1" customHeight="1" x14ac:dyDescent="0.25">
      <c r="B3" s="279" t="s">
        <v>1321</v>
      </c>
      <c r="C3" s="279"/>
      <c r="D3" s="279"/>
      <c r="E3" s="279"/>
      <c r="F3" s="279"/>
      <c r="G3" s="279"/>
      <c r="H3" s="279"/>
      <c r="I3" s="279"/>
      <c r="J3" s="279"/>
      <c r="K3" s="161"/>
      <c r="L3" s="161"/>
      <c r="M3" s="161"/>
      <c r="N3" s="161"/>
      <c r="O3" s="281">
        <v>44256</v>
      </c>
      <c r="P3" s="281"/>
      <c r="Q3" s="281"/>
      <c r="R3" s="281"/>
      <c r="S3" s="281"/>
      <c r="T3" s="281"/>
      <c r="U3" s="281"/>
      <c r="V3" s="281"/>
      <c r="W3" s="281"/>
      <c r="X3" s="281"/>
    </row>
    <row r="4" spans="2:24" x14ac:dyDescent="0.25">
      <c r="B4" s="282"/>
      <c r="C4" s="282"/>
      <c r="D4" s="282"/>
      <c r="E4" s="282"/>
      <c r="F4" s="282"/>
      <c r="G4" s="282"/>
      <c r="H4" s="282"/>
      <c r="I4" s="282"/>
      <c r="J4" s="282"/>
      <c r="K4" s="282"/>
      <c r="L4" s="282"/>
      <c r="M4" s="282"/>
      <c r="N4" s="282"/>
      <c r="O4" s="282"/>
      <c r="P4" s="282"/>
      <c r="Q4" s="282"/>
      <c r="R4" s="282"/>
      <c r="S4" s="282"/>
      <c r="T4" s="282"/>
      <c r="U4" s="282"/>
      <c r="V4" s="282"/>
      <c r="W4" s="282"/>
      <c r="X4" s="282"/>
    </row>
    <row r="5" spans="2:24" ht="15.75" thickBot="1" x14ac:dyDescent="0.3"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  <c r="M5" s="161"/>
      <c r="N5" s="161"/>
      <c r="O5" s="161"/>
      <c r="P5" s="161"/>
      <c r="Q5" s="161"/>
      <c r="R5" s="161"/>
      <c r="S5" s="161"/>
      <c r="T5" s="161"/>
      <c r="U5" s="161"/>
      <c r="V5" s="161"/>
      <c r="W5" s="161"/>
      <c r="X5" s="161"/>
    </row>
    <row r="6" spans="2:24" x14ac:dyDescent="0.25">
      <c r="B6" s="223"/>
      <c r="C6" s="224"/>
      <c r="D6" s="224"/>
      <c r="E6" s="224"/>
      <c r="F6" s="224"/>
      <c r="G6" s="225"/>
      <c r="H6" s="161"/>
      <c r="I6" s="223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5"/>
    </row>
    <row r="7" spans="2:24" ht="18.75" x14ac:dyDescent="0.25">
      <c r="B7" s="226"/>
      <c r="C7" s="285" t="s">
        <v>1322</v>
      </c>
      <c r="D7" s="285"/>
      <c r="E7" s="285"/>
      <c r="F7" s="285"/>
      <c r="G7" s="227"/>
      <c r="H7" s="161"/>
      <c r="I7" s="226"/>
      <c r="J7" s="285" t="s">
        <v>1326</v>
      </c>
      <c r="K7" s="285"/>
      <c r="L7" s="285"/>
      <c r="M7" s="285"/>
      <c r="N7" s="285"/>
      <c r="O7" s="285"/>
      <c r="P7" s="285"/>
      <c r="Q7" s="285"/>
      <c r="R7" s="203"/>
      <c r="S7" s="203"/>
      <c r="T7" s="203"/>
      <c r="U7" s="203"/>
      <c r="V7" s="203"/>
      <c r="W7" s="203"/>
      <c r="X7" s="227"/>
    </row>
    <row r="8" spans="2:24" x14ac:dyDescent="0.25">
      <c r="B8" s="226"/>
      <c r="C8" s="284" t="str">
        <f>_xlfn.CONCAT("You spent ",TEXT(ABS(BudgetsTotalExpenses-BudgetsTotalIncome),"$#,##0.00")," ",IF(BudgetsTotalExpenses&gt;BudgetsTotalIncome,"more","less")," than you earned this month")</f>
        <v>You spent $156.37 more than you earned this month</v>
      </c>
      <c r="D8" s="284"/>
      <c r="E8" s="284"/>
      <c r="F8" s="284"/>
      <c r="G8" s="227"/>
      <c r="H8" s="161"/>
      <c r="I8" s="226"/>
      <c r="J8" s="284" t="str">
        <f ca="1">_xlfn.CONCAT("You spent an average of ",TEXT(AVERAGE(BudgetsSpendingOverTime),"$#,##0.00")," per month over the past 6 months")</f>
        <v>You spent an average of $2,575.12 per month over the past 6 months</v>
      </c>
      <c r="K8" s="284"/>
      <c r="L8" s="284"/>
      <c r="M8" s="284"/>
      <c r="N8" s="284"/>
      <c r="O8" s="284"/>
      <c r="P8" s="284"/>
      <c r="Q8" s="284"/>
      <c r="R8" s="203"/>
      <c r="S8" s="203"/>
      <c r="T8" s="203"/>
      <c r="U8" s="203"/>
      <c r="V8" s="203"/>
      <c r="W8" s="203"/>
      <c r="X8" s="227"/>
    </row>
    <row r="9" spans="2:24" x14ac:dyDescent="0.25">
      <c r="B9" s="226"/>
      <c r="C9" s="203"/>
      <c r="D9" s="203"/>
      <c r="E9" s="203"/>
      <c r="F9" s="203"/>
      <c r="G9" s="227"/>
      <c r="H9" s="161"/>
      <c r="I9" s="226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27"/>
    </row>
    <row r="10" spans="2:24" x14ac:dyDescent="0.25">
      <c r="B10" s="226"/>
      <c r="C10" s="228" t="s">
        <v>59</v>
      </c>
      <c r="D10" s="229">
        <f>BudgetsTotalIncome</f>
        <v>1459.64</v>
      </c>
      <c r="E10" s="203"/>
      <c r="F10" s="203"/>
      <c r="G10" s="227"/>
      <c r="H10" s="161"/>
      <c r="I10" s="226"/>
      <c r="J10" s="203"/>
      <c r="K10" s="203"/>
      <c r="L10" s="203"/>
      <c r="M10" s="203"/>
      <c r="N10" s="203"/>
      <c r="O10" s="203"/>
      <c r="P10" s="203"/>
      <c r="Q10" s="203"/>
      <c r="R10" s="203"/>
      <c r="S10" s="203"/>
      <c r="T10" s="203"/>
      <c r="U10" s="203"/>
      <c r="V10" s="203"/>
      <c r="W10" s="203"/>
      <c r="X10" s="227"/>
    </row>
    <row r="11" spans="2:24" x14ac:dyDescent="0.25">
      <c r="B11" s="226"/>
      <c r="C11" s="228" t="s">
        <v>1325</v>
      </c>
      <c r="D11" s="229">
        <f>BudgetsTotalExpenses</f>
        <v>1616.0100000000002</v>
      </c>
      <c r="E11" s="203"/>
      <c r="F11" s="203"/>
      <c r="G11" s="227"/>
      <c r="H11" s="161"/>
      <c r="I11" s="226"/>
      <c r="J11" s="230" t="s">
        <v>44</v>
      </c>
      <c r="K11" s="230" t="s">
        <v>1325</v>
      </c>
      <c r="L11" s="230" t="s">
        <v>1327</v>
      </c>
      <c r="M11" s="231" t="s">
        <v>1328</v>
      </c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27"/>
    </row>
    <row r="12" spans="2:24" ht="15.75" x14ac:dyDescent="0.25">
      <c r="B12" s="226"/>
      <c r="C12" s="203"/>
      <c r="D12" s="203"/>
      <c r="E12" s="203"/>
      <c r="F12" s="232" t="s">
        <v>1323</v>
      </c>
      <c r="G12" s="227"/>
      <c r="H12" s="161"/>
      <c r="I12" s="226"/>
      <c r="J12" s="233">
        <f>BudgetsDate</f>
        <v>44256</v>
      </c>
      <c r="K12" s="234" cm="1">
        <f t="array" aca="1" ref="K12" ca="1">(SUMIFS(Table1[Amount $],Table1[Category Type],"Expense",Table1[Date_Month],INDIRECT("RC[1]",0),Table1[Date_Year],INDIRECT("RC[2]",0)))*(-1)</f>
        <v>1616.0100000000002</v>
      </c>
      <c r="L12" s="235" cm="1">
        <f t="array" aca="1" ref="L12" ca="1">MONTH(INDIRECT("RC[-2]", 0))</f>
        <v>3</v>
      </c>
      <c r="M12" s="235" cm="1">
        <f t="array" aca="1" ref="M12" ca="1">YEAR(INDIRECT("RC[-3]", 0))</f>
        <v>2021</v>
      </c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27"/>
    </row>
    <row r="13" spans="2:24" ht="15.75" x14ac:dyDescent="0.25">
      <c r="B13" s="226"/>
      <c r="C13" s="203"/>
      <c r="D13" s="203"/>
      <c r="E13" s="203"/>
      <c r="F13" s="236">
        <f>SUMIFS(Table1[Amount $],Table1[Category Type],"Income",Table1[Date_Month],MONTH(BudgetsDate),Table1[Date_Year],YEAR(BudgetsDate))</f>
        <v>1459.64</v>
      </c>
      <c r="G13" s="227"/>
      <c r="H13" s="161"/>
      <c r="I13" s="226"/>
      <c r="J13" s="233">
        <f ca="1">EOMONTH(INDIRECT("R[-1]C",0), -1)</f>
        <v>44255</v>
      </c>
      <c r="K13" s="234" cm="1">
        <f t="array" aca="1" ref="K13" ca="1">(SUMIFS(Table1[Amount $],Table1[Category Type],"Expense",Table1[Date_Month],INDIRECT("RC[1]",0),Table1[Date_Year],INDIRECT("RC[2]",0)))*(-1)</f>
        <v>2783.6500000000005</v>
      </c>
      <c r="L13" s="235" cm="1">
        <f t="array" aca="1" ref="L13" ca="1">MONTH(INDIRECT("RC[-2]", 0))</f>
        <v>2</v>
      </c>
      <c r="M13" s="235" cm="1">
        <f t="array" aca="1" ref="M13" ca="1">YEAR(INDIRECT("RC[-3]", 0))</f>
        <v>2021</v>
      </c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27"/>
    </row>
    <row r="14" spans="2:24" x14ac:dyDescent="0.25">
      <c r="B14" s="226"/>
      <c r="C14" s="203"/>
      <c r="D14" s="203"/>
      <c r="E14" s="203"/>
      <c r="F14" s="203"/>
      <c r="G14" s="227"/>
      <c r="H14" s="161"/>
      <c r="I14" s="226"/>
      <c r="J14" s="233">
        <f ca="1">EOMONTH(INDIRECT("R[-1]C",0), -1)</f>
        <v>44227</v>
      </c>
      <c r="K14" s="234" cm="1">
        <f t="array" aca="1" ref="K14" ca="1">(SUMIFS(Table1[Amount $],Table1[Category Type],"Expense",Table1[Date_Month],INDIRECT("RC[1]",0),Table1[Date_Year],INDIRECT("RC[2]",0)))*(-1)</f>
        <v>2175.4299999999994</v>
      </c>
      <c r="L14" s="235" cm="1">
        <f t="array" aca="1" ref="L14" ca="1">MONTH(INDIRECT("RC[-2]", 0))</f>
        <v>1</v>
      </c>
      <c r="M14" s="235" cm="1">
        <f t="array" aca="1" ref="M14" ca="1">YEAR(INDIRECT("RC[-3]", 0))</f>
        <v>2021</v>
      </c>
      <c r="N14" s="203"/>
      <c r="O14" s="203"/>
      <c r="P14" s="203"/>
      <c r="Q14" s="203"/>
      <c r="R14" s="203"/>
      <c r="S14" s="203"/>
      <c r="T14" s="203"/>
      <c r="U14" s="203"/>
      <c r="V14" s="203"/>
      <c r="W14" s="203"/>
      <c r="X14" s="227"/>
    </row>
    <row r="15" spans="2:24" ht="15.75" x14ac:dyDescent="0.25">
      <c r="B15" s="226"/>
      <c r="C15" s="203"/>
      <c r="D15" s="203"/>
      <c r="E15" s="203"/>
      <c r="F15" s="232" t="s">
        <v>1324</v>
      </c>
      <c r="G15" s="227"/>
      <c r="H15" s="161"/>
      <c r="I15" s="226"/>
      <c r="J15" s="233">
        <f ca="1">EOMONTH(INDIRECT("R[-1]C",0), -1)</f>
        <v>44196</v>
      </c>
      <c r="K15" s="234" cm="1">
        <f t="array" aca="1" ref="K15" ca="1">(SUMIFS(Table1[Amount $],Table1[Category Type],"Expense",Table1[Date_Month],INDIRECT("RC[1]",0),Table1[Date_Year],INDIRECT("RC[2]",0)))*(-1)</f>
        <v>4059.1399999999976</v>
      </c>
      <c r="L15" s="235" cm="1">
        <f t="array" aca="1" ref="L15" ca="1">MONTH(INDIRECT("RC[-2]", 0))</f>
        <v>12</v>
      </c>
      <c r="M15" s="235" cm="1">
        <f t="array" aca="1" ref="M15" ca="1">YEAR(INDIRECT("RC[-3]", 0))</f>
        <v>2020</v>
      </c>
      <c r="N15" s="203"/>
      <c r="O15" s="203"/>
      <c r="P15" s="203"/>
      <c r="Q15" s="203"/>
      <c r="R15" s="203"/>
      <c r="S15" s="203"/>
      <c r="T15" s="203"/>
      <c r="U15" s="203"/>
      <c r="V15" s="203"/>
      <c r="W15" s="203"/>
      <c r="X15" s="227"/>
    </row>
    <row r="16" spans="2:24" ht="15.75" x14ac:dyDescent="0.25">
      <c r="B16" s="226"/>
      <c r="C16" s="203"/>
      <c r="D16" s="203"/>
      <c r="E16" s="203"/>
      <c r="F16" s="237">
        <f>(SUMIFS(Table1[Amount $],Table1[Category Type],"Expense",Table1[Date_Month],MONTH(BudgetsDate),Table1[Date_Year],YEAR(BudgetsDate)))*(-1)</f>
        <v>1616.0100000000002</v>
      </c>
      <c r="G16" s="227"/>
      <c r="H16" s="161"/>
      <c r="I16" s="226"/>
      <c r="J16" s="233">
        <f ca="1">EOMONTH(INDIRECT("R[-1]C",0), -1)</f>
        <v>44165</v>
      </c>
      <c r="K16" s="234" cm="1">
        <f t="array" aca="1" ref="K16" ca="1">(SUMIFS(Table1[Amount $],Table1[Category Type],"Expense",Table1[Date_Month],INDIRECT("RC[1]",0),Table1[Date_Year],INDIRECT("RC[2]",0)))*(-1)</f>
        <v>2000.6800000000003</v>
      </c>
      <c r="L16" s="235" cm="1">
        <f t="array" aca="1" ref="L16" ca="1">MONTH(INDIRECT("RC[-2]", 0))</f>
        <v>11</v>
      </c>
      <c r="M16" s="235" cm="1">
        <f t="array" aca="1" ref="M16" ca="1">YEAR(INDIRECT("RC[-3]", 0))</f>
        <v>2020</v>
      </c>
      <c r="N16" s="203"/>
      <c r="O16" s="203"/>
      <c r="P16" s="203"/>
      <c r="Q16" s="203"/>
      <c r="R16" s="203"/>
      <c r="S16" s="203"/>
      <c r="T16" s="203"/>
      <c r="U16" s="203"/>
      <c r="V16" s="203"/>
      <c r="W16" s="203"/>
      <c r="X16" s="227"/>
    </row>
    <row r="17" spans="2:24" x14ac:dyDescent="0.25">
      <c r="B17" s="226"/>
      <c r="C17" s="203"/>
      <c r="D17" s="203"/>
      <c r="E17" s="203"/>
      <c r="F17" s="203"/>
      <c r="G17" s="227"/>
      <c r="H17" s="161"/>
      <c r="I17" s="226"/>
      <c r="J17" s="233">
        <f ca="1">EOMONTH(INDIRECT("R[-1]C",0), -1)</f>
        <v>44135</v>
      </c>
      <c r="K17" s="234" cm="1">
        <f t="array" aca="1" ref="K17" ca="1">(SUMIFS(Table1[Amount $],Table1[Category Type],"Expense",Table1[Date_Month],INDIRECT("RC[1]",0),Table1[Date_Year],INDIRECT("RC[2]",0)))*(-1)</f>
        <v>2815.8099999999981</v>
      </c>
      <c r="L17" s="235" cm="1">
        <f t="array" aca="1" ref="L17" ca="1">MONTH(INDIRECT("RC[-2]", 0))</f>
        <v>10</v>
      </c>
      <c r="M17" s="235" cm="1">
        <f t="array" aca="1" ref="M17" ca="1">YEAR(INDIRECT("RC[-3]", 0))</f>
        <v>2020</v>
      </c>
      <c r="N17" s="203"/>
      <c r="O17" s="203"/>
      <c r="P17" s="203"/>
      <c r="Q17" s="203"/>
      <c r="R17" s="203"/>
      <c r="S17" s="203"/>
      <c r="T17" s="203"/>
      <c r="U17" s="203"/>
      <c r="V17" s="203"/>
      <c r="W17" s="203"/>
      <c r="X17" s="227"/>
    </row>
    <row r="18" spans="2:24" x14ac:dyDescent="0.25">
      <c r="B18" s="226"/>
      <c r="C18" s="203"/>
      <c r="D18" s="203"/>
      <c r="E18" s="203"/>
      <c r="F18" s="203"/>
      <c r="G18" s="227"/>
      <c r="H18" s="161"/>
      <c r="I18" s="226"/>
      <c r="J18" s="203"/>
      <c r="K18" s="203"/>
      <c r="L18" s="203"/>
      <c r="M18" s="203"/>
      <c r="N18" s="203"/>
      <c r="O18" s="203"/>
      <c r="P18" s="203"/>
      <c r="Q18" s="203"/>
      <c r="R18" s="203"/>
      <c r="S18" s="203"/>
      <c r="T18" s="203"/>
      <c r="U18" s="203"/>
      <c r="V18" s="203"/>
      <c r="W18" s="203"/>
      <c r="X18" s="227"/>
    </row>
    <row r="19" spans="2:24" ht="15.75" thickBot="1" x14ac:dyDescent="0.3">
      <c r="B19" s="238"/>
      <c r="C19" s="239"/>
      <c r="D19" s="239"/>
      <c r="E19" s="239"/>
      <c r="F19" s="239"/>
      <c r="G19" s="240"/>
      <c r="H19" s="161"/>
      <c r="I19" s="238"/>
      <c r="J19" s="239"/>
      <c r="K19" s="239"/>
      <c r="L19" s="239"/>
      <c r="M19" s="239"/>
      <c r="N19" s="239"/>
      <c r="O19" s="239"/>
      <c r="P19" s="239"/>
      <c r="Q19" s="239"/>
      <c r="R19" s="239"/>
      <c r="S19" s="239"/>
      <c r="T19" s="239"/>
      <c r="U19" s="239"/>
      <c r="V19" s="239"/>
      <c r="W19" s="239"/>
      <c r="X19" s="240"/>
    </row>
    <row r="20" spans="2:24" ht="15.75" thickBot="1" x14ac:dyDescent="0.3"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</row>
    <row r="21" spans="2:24" x14ac:dyDescent="0.25">
      <c r="B21" s="223"/>
      <c r="C21" s="224"/>
      <c r="D21" s="224"/>
      <c r="E21" s="224"/>
      <c r="F21" s="224"/>
      <c r="G21" s="225"/>
      <c r="H21" s="161"/>
      <c r="I21" s="223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5"/>
    </row>
    <row r="22" spans="2:24" ht="18.75" x14ac:dyDescent="0.25">
      <c r="B22" s="226"/>
      <c r="C22" s="285" t="s">
        <v>1329</v>
      </c>
      <c r="D22" s="285"/>
      <c r="E22" s="285"/>
      <c r="F22" s="285"/>
      <c r="G22" s="227"/>
      <c r="H22" s="161"/>
      <c r="I22" s="226"/>
      <c r="J22" s="285" t="s">
        <v>1330</v>
      </c>
      <c r="K22" s="285"/>
      <c r="L22" s="285"/>
      <c r="M22" s="285"/>
      <c r="N22" s="285"/>
      <c r="O22" s="285"/>
      <c r="P22" s="285"/>
      <c r="Q22" s="285"/>
      <c r="R22" s="203"/>
      <c r="S22" s="203"/>
      <c r="T22" s="203"/>
      <c r="U22" s="203"/>
      <c r="V22" s="203"/>
      <c r="W22" s="203"/>
      <c r="X22" s="227"/>
    </row>
    <row r="23" spans="2:24" x14ac:dyDescent="0.25">
      <c r="B23" s="226"/>
      <c r="C23" s="284" t="str" cm="1">
        <f t="array" ref="C23">IF(BudgetsTotalRemaining&lt;0,_xlfn.CONCAT("You went ",TEXT(BudgetsTotalRemaining*(-1),"$#,##0.00")," over your budget"),_xlfn.CONCAT("You have ",TEXT(BudgetsTotalRemaining,"$#,##0.00")," remaining in your budget"))</f>
        <v>You went $399.65 over your budget</v>
      </c>
      <c r="D23" s="284"/>
      <c r="E23" s="284"/>
      <c r="F23" s="284"/>
      <c r="G23" s="227"/>
      <c r="H23" s="161"/>
      <c r="I23" s="226"/>
      <c r="J23" s="284" t="s">
        <v>1331</v>
      </c>
      <c r="K23" s="284"/>
      <c r="L23" s="284"/>
      <c r="M23" s="284"/>
      <c r="N23" s="284"/>
      <c r="O23" s="284"/>
      <c r="P23" s="284"/>
      <c r="Q23" s="284"/>
      <c r="R23" s="203"/>
      <c r="S23" s="203"/>
      <c r="T23" s="203"/>
      <c r="U23" s="203"/>
      <c r="V23" s="203"/>
      <c r="W23" s="203"/>
      <c r="X23" s="227"/>
    </row>
    <row r="24" spans="2:24" x14ac:dyDescent="0.25">
      <c r="B24" s="226"/>
      <c r="C24" s="203"/>
      <c r="D24" s="203"/>
      <c r="E24" s="203"/>
      <c r="F24" s="203"/>
      <c r="G24" s="227"/>
      <c r="H24" s="161"/>
      <c r="I24" s="226"/>
      <c r="J24" s="203"/>
      <c r="K24" s="203"/>
      <c r="L24" s="203"/>
      <c r="M24" s="203"/>
      <c r="N24" s="203"/>
      <c r="O24" s="203"/>
      <c r="P24" s="203"/>
      <c r="Q24" s="203"/>
      <c r="R24" s="203"/>
      <c r="S24" s="203"/>
      <c r="T24" s="203"/>
      <c r="U24" s="203"/>
      <c r="V24" s="203"/>
      <c r="W24" s="203"/>
      <c r="X24" s="227"/>
    </row>
    <row r="25" spans="2:24" x14ac:dyDescent="0.25">
      <c r="B25" s="226"/>
      <c r="C25" s="203"/>
      <c r="D25" s="203"/>
      <c r="E25" s="203"/>
      <c r="F25" s="241" t="str" cm="1">
        <f t="array" ref="F25">IF(BudgetsTotalRemaining&lt;0,_xlfn.CONCAT(TEXT(BudgetsTotalRemaining*(-1),"$#,##0.00")," over"),_xlfn.CONCAT(TEXT(BudgetsTotalRemaining,"$#,##0.00")," left"))</f>
        <v>$399.65 over</v>
      </c>
      <c r="G25" s="227"/>
      <c r="H25" s="161"/>
      <c r="I25" s="226"/>
      <c r="J25" s="286" t="s">
        <v>48</v>
      </c>
      <c r="K25" s="286"/>
      <c r="L25" s="241" t="str" cm="1">
        <f t="array" ref="L25">IF(BudgetsFavoriteCategory1Difference&lt;0,_xlfn.CONCAT(TEXT(BudgetsFavoriteCategory1Difference*(-1),"$#,##0.00")," over"),_xlfn.CONCAT(TEXT(BudgetsFavoriteCategory1Difference,"$#,##0.00")," left"))</f>
        <v>$262.01 left</v>
      </c>
      <c r="M25" s="203"/>
      <c r="N25" s="203"/>
      <c r="O25" s="286" t="s">
        <v>45</v>
      </c>
      <c r="P25" s="286"/>
      <c r="Q25" s="241" t="str" cm="1">
        <f t="array" ref="Q25">IF(BudgetsFavoriteCategory2Difference&lt;0,_xlfn.CONCAT(TEXT(BudgetsFavoriteCategory2Difference*(-1),"$#,##0.00")," over"),_xlfn.CONCAT(TEXT(BudgetsFavoriteCategory2Difference,"$#,##0.00")," left"))</f>
        <v>$88.81 over</v>
      </c>
      <c r="R25" s="203"/>
      <c r="S25" s="203"/>
      <c r="T25" s="203"/>
      <c r="U25" s="203"/>
      <c r="V25" s="203"/>
      <c r="W25" s="203"/>
      <c r="X25" s="227"/>
    </row>
    <row r="26" spans="2:24" x14ac:dyDescent="0.25">
      <c r="B26" s="226"/>
      <c r="C26" s="203"/>
      <c r="D26" s="203"/>
      <c r="E26" s="203"/>
      <c r="F26" s="203"/>
      <c r="G26" s="227"/>
      <c r="H26" s="161"/>
      <c r="I26" s="226"/>
      <c r="J26" s="203"/>
      <c r="K26" s="203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3"/>
      <c r="X26" s="227"/>
    </row>
    <row r="27" spans="2:24" x14ac:dyDescent="0.25">
      <c r="B27" s="226"/>
      <c r="C27" s="242" cm="1">
        <f t="array" ref="C27">IF(BudgetsTotalRemaining&lt;0,0%,1-BudgetsTotalBudgetPercentage)</f>
        <v>0</v>
      </c>
      <c r="D27" s="242" cm="1">
        <f t="array" ref="D27">IF(BudgetsTotalRemaining&lt;0,0%,IF(BudgetsTotalBudget&lt;&gt;0,BudgetsTotalRemaining/BudgetsTotalBudget,100%))</f>
        <v>0</v>
      </c>
      <c r="E27" s="242" cm="1">
        <f t="array" ref="E27">IF(BudgetsTotalRemaining&lt;0,100%,0%)</f>
        <v>1</v>
      </c>
      <c r="F27" s="203"/>
      <c r="G27" s="227"/>
      <c r="H27" s="161"/>
      <c r="I27" s="226"/>
      <c r="J27" s="243" cm="1">
        <f t="array" ref="J27">IF(BudgetsFavoriteCategory1Difference&lt;0,0%,1-BudgetsFavoriteCategory1BudgetPercentage)</f>
        <v>0.12663333333333338</v>
      </c>
      <c r="K27" s="243" cm="1">
        <f t="array" ref="K27">IF(BudgetsFavoriteCategory1Difference&lt;0,0%,IF(BudgetsFavoriteCategory1Budget&gt;0,BudgetsFavoriteCategory1Difference/BudgetsFavoriteCategory1Budget,100%))</f>
        <v>0.87336666666666662</v>
      </c>
      <c r="L27" s="243" cm="1">
        <f t="array" ref="L27">IF(BudgetsFavoriteCategory1Difference&lt;0,100%,0%)</f>
        <v>0</v>
      </c>
      <c r="M27" s="203"/>
      <c r="N27" s="203"/>
      <c r="O27" s="243" cm="1">
        <f t="array" ref="O27">IF(BudgetsFavoriteCategory2Difference&lt;0,0%,1-BudgetsFavoriteCategory2BudgetPercentage)</f>
        <v>0</v>
      </c>
      <c r="P27" s="243" cm="1">
        <f t="array" ref="P27">IF(BudgetsFavoriteCategory2Difference&lt;0,0%,IF(BudgetsFavoriteCategory2Budget&gt;0,BudgetsFavoriteCategory2Difference/BudgetsFavoriteCategory2Budget,100%))</f>
        <v>0</v>
      </c>
      <c r="Q27" s="243" cm="1">
        <f t="array" ref="Q27">IF(BudgetsFavoriteCategory2Difference&lt;0,100%,0%)</f>
        <v>1</v>
      </c>
      <c r="R27" s="203"/>
      <c r="S27" s="203"/>
      <c r="T27" s="203"/>
      <c r="U27" s="203"/>
      <c r="V27" s="203"/>
      <c r="W27" s="203"/>
      <c r="X27" s="227"/>
    </row>
    <row r="28" spans="2:24" x14ac:dyDescent="0.25">
      <c r="B28" s="226"/>
      <c r="C28" s="284" t="str" cm="1">
        <f t="array" ref="C28">_xlfn.CONCAT(TEXT(BudgetsTotalSpent,"$#,##0.00")," of ",TEXT(BudgetsTotalBudget,"$#,##0.00"))</f>
        <v>$1,099.65 of $700.00</v>
      </c>
      <c r="D28" s="284"/>
      <c r="E28" s="284"/>
      <c r="F28" s="284"/>
      <c r="G28" s="227"/>
      <c r="H28" s="161"/>
      <c r="I28" s="226"/>
      <c r="J28" s="244" t="str" cm="1">
        <f t="array" ref="J28">_xlfn.CONCAT(TEXT(BudgetsFavoriteCategory1Spent,"$#,##0.00")," of ",TEXT(BudgetsFavoriteCategory1Budget,"$#,##0.00"))</f>
        <v>$37.99 of $300.00</v>
      </c>
      <c r="K28" s="203"/>
      <c r="L28" s="203"/>
      <c r="M28" s="203"/>
      <c r="N28" s="203"/>
      <c r="O28" s="244" t="str" cm="1">
        <f t="array" ref="O28">_xlfn.CONCAT(TEXT(BudgetsFavoriteCategory2Spent,"$#,##0.00")," of ",TEXT(BudgetsFavoriteCategory2Budget,"$#,##0.00"))</f>
        <v>$188.81 of $100.00</v>
      </c>
      <c r="P28" s="203"/>
      <c r="Q28" s="203"/>
      <c r="R28" s="203"/>
      <c r="S28" s="203"/>
      <c r="T28" s="203"/>
      <c r="U28" s="203"/>
      <c r="V28" s="203"/>
      <c r="W28" s="203"/>
      <c r="X28" s="227"/>
    </row>
    <row r="29" spans="2:24" ht="15.75" thickBot="1" x14ac:dyDescent="0.3">
      <c r="B29" s="238"/>
      <c r="C29" s="239"/>
      <c r="D29" s="239"/>
      <c r="E29" s="239"/>
      <c r="F29" s="239"/>
      <c r="G29" s="240"/>
      <c r="H29" s="161"/>
      <c r="I29" s="238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40"/>
    </row>
    <row r="30" spans="2:24" x14ac:dyDescent="0.25"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</row>
    <row r="31" spans="2:24" ht="18.75" x14ac:dyDescent="0.25">
      <c r="B31" s="161"/>
      <c r="C31" s="253" t="s">
        <v>1332</v>
      </c>
      <c r="D31" s="161"/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</row>
    <row r="32" spans="2:24" ht="15.75" thickBot="1" x14ac:dyDescent="0.3"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</row>
    <row r="33" spans="2:24" ht="15.75" thickBot="1" x14ac:dyDescent="0.3">
      <c r="B33" s="251"/>
      <c r="C33" s="245" t="s">
        <v>22</v>
      </c>
      <c r="D33" s="283"/>
      <c r="E33" s="283"/>
      <c r="F33" s="246">
        <f>SUBTOTAL(109,BudgetTableSpentColumn)</f>
        <v>1099.6500000000001</v>
      </c>
      <c r="G33" s="283"/>
      <c r="H33" s="283"/>
      <c r="I33" s="283"/>
      <c r="J33" s="246">
        <f>SUBTOTAL(109,BudgetTableBudgetColumn)</f>
        <v>700</v>
      </c>
      <c r="K33" s="251"/>
      <c r="L33" s="246">
        <f>SUBTOTAL(109,BudgetTableRemainingColumn)</f>
        <v>-399.65000000000009</v>
      </c>
      <c r="M33" s="283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</row>
    <row r="34" spans="2:24" x14ac:dyDescent="0.25"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</row>
    <row r="35" spans="2:24" x14ac:dyDescent="0.25">
      <c r="B35" s="249"/>
      <c r="C35" s="215" t="s">
        <v>4</v>
      </c>
      <c r="D35" s="215" t="s">
        <v>1302</v>
      </c>
      <c r="E35" s="215" t="s">
        <v>1303</v>
      </c>
      <c r="F35" s="216" t="s">
        <v>1304</v>
      </c>
      <c r="G35" s="215" t="s">
        <v>1305</v>
      </c>
      <c r="H35" s="215" t="s">
        <v>1306</v>
      </c>
      <c r="I35" s="215" t="s">
        <v>1307</v>
      </c>
      <c r="J35" s="216" t="s">
        <v>1308</v>
      </c>
      <c r="K35" s="215" t="s">
        <v>1309</v>
      </c>
      <c r="L35" s="216" t="s">
        <v>1310</v>
      </c>
      <c r="M35" s="215" t="s">
        <v>1311</v>
      </c>
      <c r="N35" s="215" t="s">
        <v>1312</v>
      </c>
      <c r="O35" s="215" t="s">
        <v>1313</v>
      </c>
      <c r="P35" s="215" t="s">
        <v>1314</v>
      </c>
      <c r="Q35" s="215" t="s">
        <v>1315</v>
      </c>
      <c r="R35" s="215" t="s">
        <v>71</v>
      </c>
      <c r="S35" s="219" t="s">
        <v>1316</v>
      </c>
      <c r="T35" s="221" t="s">
        <v>1317</v>
      </c>
      <c r="U35" s="221" t="s">
        <v>1318</v>
      </c>
      <c r="V35" s="215" t="s">
        <v>1319</v>
      </c>
      <c r="W35" s="215" t="s">
        <v>1320</v>
      </c>
      <c r="X35" s="161"/>
    </row>
    <row r="36" spans="2:24" x14ac:dyDescent="0.25">
      <c r="B36" s="161"/>
      <c r="C36" s="252" t="s">
        <v>52</v>
      </c>
      <c r="D36" s="161"/>
      <c r="E36" s="161"/>
      <c r="F36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270.84000000000003</v>
      </c>
      <c r="G36" s="161"/>
      <c r="H36" s="161"/>
      <c r="I36" s="161"/>
      <c r="J36" s="247">
        <v>200</v>
      </c>
      <c r="K36" s="161"/>
      <c r="L36" s="217">
        <f>IF(OR(ISBLANK(BudgetsTable[[#This Row],[Category]]),BudgetsTable[[#This Row],[Category]]=""),"",BudgetsTable[[#This Row],[Budget]]-BudgetsTable[[#This Row],[Spent]])</f>
        <v>-70.840000000000032</v>
      </c>
      <c r="M36" s="161"/>
      <c r="N36" s="161"/>
      <c r="O36" s="161"/>
      <c r="P36" s="161"/>
      <c r="Q36" s="161"/>
      <c r="R36" s="218" t="s">
        <v>1341</v>
      </c>
      <c r="S36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82.47999999999999</v>
      </c>
      <c r="T36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67.87</v>
      </c>
      <c r="U36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271.25</v>
      </c>
      <c r="V36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36" s="218" t="s">
        <v>90</v>
      </c>
      <c r="X36" s="161"/>
    </row>
    <row r="37" spans="2:24" x14ac:dyDescent="0.25">
      <c r="B37" s="161"/>
      <c r="C37" s="252" t="s">
        <v>54</v>
      </c>
      <c r="D37" s="161"/>
      <c r="E37" s="161"/>
      <c r="F37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518.97</v>
      </c>
      <c r="G37" s="161"/>
      <c r="H37" s="161"/>
      <c r="I37" s="161"/>
      <c r="J37" s="247">
        <v>0</v>
      </c>
      <c r="K37" s="161"/>
      <c r="L37" s="217">
        <f>IF(OR(ISBLANK(BudgetsTable[[#This Row],[Category]]),BudgetsTable[[#This Row],[Category]]=""),"",BudgetsTable[[#This Row],[Budget]]-BudgetsTable[[#This Row],[Spent]])</f>
        <v>-518.97</v>
      </c>
      <c r="M37" s="161"/>
      <c r="N37" s="161"/>
      <c r="O37" s="161"/>
      <c r="P37" s="161"/>
      <c r="Q37" s="161"/>
      <c r="R37" s="218" t="s">
        <v>1342</v>
      </c>
      <c r="S37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315.29000000000002</v>
      </c>
      <c r="T37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219.59</v>
      </c>
      <c r="U37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221.47000000000003</v>
      </c>
      <c r="V37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37" s="218" t="s">
        <v>91</v>
      </c>
      <c r="X37" s="161"/>
    </row>
    <row r="38" spans="2:24" x14ac:dyDescent="0.25">
      <c r="B38" s="161"/>
      <c r="C38" s="252" t="s">
        <v>60</v>
      </c>
      <c r="D38" s="161"/>
      <c r="E38" s="161"/>
      <c r="F38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38" s="161"/>
      <c r="H38" s="161"/>
      <c r="I38" s="161"/>
      <c r="J38" s="247">
        <v>0</v>
      </c>
      <c r="K38" s="161"/>
      <c r="L38" s="217">
        <f>IF(OR(ISBLANK(BudgetsTable[[#This Row],[Category]]),BudgetsTable[[#This Row],[Category]]=""),"",BudgetsTable[[#This Row],[Budget]]-BudgetsTable[[#This Row],[Spent]])</f>
        <v>0</v>
      </c>
      <c r="M38" s="161"/>
      <c r="N38" s="161"/>
      <c r="O38" s="161"/>
      <c r="P38" s="161"/>
      <c r="Q38" s="161"/>
      <c r="R38" s="218" t="s">
        <v>1343</v>
      </c>
      <c r="S38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-0.01</v>
      </c>
      <c r="T38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30</v>
      </c>
      <c r="U38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38" s="218">
        <f>IF(OR(ISBLANK(BudgetsTable[[#This Row],[Category]]),BudgetsTable[[#This Row],[Category]]=""),0,(COUNTIF(BudgetsTable[[#This Row],[OneMonthAgoBudget]]:BudgetsTable[[#This Row],[ThreeMonthsAgoBudget]],"&lt;&gt;0")))</f>
        <v>2</v>
      </c>
      <c r="W38" s="218" t="s">
        <v>92</v>
      </c>
      <c r="X38" s="161"/>
    </row>
    <row r="39" spans="2:24" x14ac:dyDescent="0.25">
      <c r="B39" s="161"/>
      <c r="C39" s="252" t="s">
        <v>61</v>
      </c>
      <c r="D39" s="161"/>
      <c r="E39" s="161"/>
      <c r="F39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39" s="161"/>
      <c r="H39" s="161"/>
      <c r="I39" s="161"/>
      <c r="J39" s="247">
        <v>0</v>
      </c>
      <c r="K39" s="161"/>
      <c r="L39" s="217">
        <f>IF(OR(ISBLANK(BudgetsTable[[#This Row],[Category]]),BudgetsTable[[#This Row],[Category]]=""),"",BudgetsTable[[#This Row],[Budget]]-BudgetsTable[[#This Row],[Spent]])</f>
        <v>0</v>
      </c>
      <c r="M39" s="161"/>
      <c r="N39" s="161"/>
      <c r="O39" s="161"/>
      <c r="P39" s="161"/>
      <c r="Q39" s="161"/>
      <c r="R39" s="218" t="s">
        <v>1344</v>
      </c>
      <c r="S39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0</v>
      </c>
      <c r="T39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0</v>
      </c>
      <c r="U39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3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39" s="218" t="s">
        <v>93</v>
      </c>
      <c r="X39" s="161"/>
    </row>
    <row r="40" spans="2:24" x14ac:dyDescent="0.25">
      <c r="B40" s="161"/>
      <c r="C40" s="252" t="s">
        <v>48</v>
      </c>
      <c r="D40" s="161"/>
      <c r="E40" s="161"/>
      <c r="F40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37.989999999999995</v>
      </c>
      <c r="G40" s="161"/>
      <c r="H40" s="161"/>
      <c r="I40" s="161"/>
      <c r="J40" s="247">
        <v>300</v>
      </c>
      <c r="K40" s="161"/>
      <c r="L40" s="217">
        <f>IF(OR(ISBLANK(BudgetsTable[[#This Row],[Category]]),BudgetsTable[[#This Row],[Category]]=""),"",BudgetsTable[[#This Row],[Budget]]-BudgetsTable[[#This Row],[Spent]])</f>
        <v>262.01</v>
      </c>
      <c r="M40" s="161"/>
      <c r="N40" s="161"/>
      <c r="O40" s="161"/>
      <c r="P40" s="161"/>
      <c r="Q40" s="161"/>
      <c r="R40" s="218" t="s">
        <v>1345</v>
      </c>
      <c r="S40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444.28999999999991</v>
      </c>
      <c r="T40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295.83999999999997</v>
      </c>
      <c r="U40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315.06</v>
      </c>
      <c r="V40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0" s="218" t="s">
        <v>94</v>
      </c>
      <c r="X40" s="161"/>
    </row>
    <row r="41" spans="2:24" x14ac:dyDescent="0.25">
      <c r="B41" s="161"/>
      <c r="C41" s="252" t="s">
        <v>51</v>
      </c>
      <c r="D41" s="161"/>
      <c r="E41" s="161"/>
      <c r="F41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1" s="161"/>
      <c r="H41" s="161"/>
      <c r="I41" s="161"/>
      <c r="J41" s="247">
        <v>0</v>
      </c>
      <c r="K41" s="161"/>
      <c r="L41" s="217">
        <f>IF(OR(ISBLANK(BudgetsTable[[#This Row],[Category]]),BudgetsTable[[#This Row],[Category]]=""),"",BudgetsTable[[#This Row],[Budget]]-BudgetsTable[[#This Row],[Spent]])</f>
        <v>0</v>
      </c>
      <c r="M41" s="161"/>
      <c r="N41" s="161"/>
      <c r="O41" s="161"/>
      <c r="P41" s="161"/>
      <c r="Q41" s="161"/>
      <c r="R41" s="218" t="s">
        <v>1346</v>
      </c>
      <c r="S41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9.9499999999999993</v>
      </c>
      <c r="T41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80.459999999999994</v>
      </c>
      <c r="U41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34.950000000000003</v>
      </c>
      <c r="V41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1" s="218" t="s">
        <v>95</v>
      </c>
      <c r="X41" s="161"/>
    </row>
    <row r="42" spans="2:24" x14ac:dyDescent="0.25">
      <c r="B42" s="161"/>
      <c r="C42" s="252" t="s">
        <v>55</v>
      </c>
      <c r="D42" s="161"/>
      <c r="E42" s="161"/>
      <c r="F42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2" s="161"/>
      <c r="H42" s="161"/>
      <c r="I42" s="161"/>
      <c r="J42" s="247">
        <v>0</v>
      </c>
      <c r="K42" s="161"/>
      <c r="L42" s="217">
        <f>IF(OR(ISBLANK(BudgetsTable[[#This Row],[Category]]),BudgetsTable[[#This Row],[Category]]=""),"",BudgetsTable[[#This Row],[Budget]]-BudgetsTable[[#This Row],[Spent]])</f>
        <v>0</v>
      </c>
      <c r="M42" s="161"/>
      <c r="N42" s="161"/>
      <c r="O42" s="161"/>
      <c r="P42" s="161"/>
      <c r="Q42" s="161"/>
      <c r="R42" s="218" t="s">
        <v>1347</v>
      </c>
      <c r="S42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0</v>
      </c>
      <c r="T42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0</v>
      </c>
      <c r="U42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4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42" s="218" t="s">
        <v>96</v>
      </c>
      <c r="X42" s="161"/>
    </row>
    <row r="43" spans="2:24" x14ac:dyDescent="0.25">
      <c r="B43" s="161"/>
      <c r="C43" s="252" t="s">
        <v>47</v>
      </c>
      <c r="D43" s="161"/>
      <c r="E43" s="161"/>
      <c r="F43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3" s="161"/>
      <c r="H43" s="161"/>
      <c r="I43" s="161"/>
      <c r="J43" s="247">
        <v>0</v>
      </c>
      <c r="K43" s="161"/>
      <c r="L43" s="217">
        <f>IF(OR(ISBLANK(BudgetsTable[[#This Row],[Category]]),BudgetsTable[[#This Row],[Category]]=""),"",BudgetsTable[[#This Row],[Budget]]-BudgetsTable[[#This Row],[Spent]])</f>
        <v>0</v>
      </c>
      <c r="M43" s="161"/>
      <c r="N43" s="161"/>
      <c r="O43" s="161"/>
      <c r="P43" s="161"/>
      <c r="Q43" s="161"/>
      <c r="R43" s="218" t="s">
        <v>1348</v>
      </c>
      <c r="S43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0</v>
      </c>
      <c r="T43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0</v>
      </c>
      <c r="U43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4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43" s="218" t="s">
        <v>98</v>
      </c>
      <c r="X43" s="161"/>
    </row>
    <row r="44" spans="2:24" x14ac:dyDescent="0.25">
      <c r="B44" s="161"/>
      <c r="C44" s="252" t="s">
        <v>78</v>
      </c>
      <c r="D44" s="161"/>
      <c r="E44" s="161"/>
      <c r="F44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4" s="161"/>
      <c r="H44" s="161"/>
      <c r="I44" s="161"/>
      <c r="J44" s="247">
        <v>0</v>
      </c>
      <c r="K44" s="161"/>
      <c r="L44" s="217">
        <f>IF(OR(ISBLANK(BudgetsTable[[#This Row],[Category]]),BudgetsTable[[#This Row],[Category]]=""),"",BudgetsTable[[#This Row],[Budget]]-BudgetsTable[[#This Row],[Spent]])</f>
        <v>0</v>
      </c>
      <c r="M44" s="161"/>
      <c r="N44" s="161"/>
      <c r="O44" s="161"/>
      <c r="P44" s="161"/>
      <c r="Q44" s="161"/>
      <c r="R44" s="218" t="s">
        <v>1349</v>
      </c>
      <c r="S44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700</v>
      </c>
      <c r="T44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700</v>
      </c>
      <c r="U44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700</v>
      </c>
      <c r="V44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4" s="218" t="s">
        <v>99</v>
      </c>
      <c r="X44" s="161"/>
    </row>
    <row r="45" spans="2:24" x14ac:dyDescent="0.25">
      <c r="B45" s="161"/>
      <c r="C45" s="252" t="s">
        <v>58</v>
      </c>
      <c r="D45" s="161"/>
      <c r="E45" s="161"/>
      <c r="F45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5" s="161"/>
      <c r="H45" s="161"/>
      <c r="I45" s="161"/>
      <c r="J45" s="247">
        <v>0</v>
      </c>
      <c r="K45" s="161"/>
      <c r="L45" s="217">
        <f>IF(OR(ISBLANK(BudgetsTable[[#This Row],[Category]]),BudgetsTable[[#This Row],[Category]]=""),"",BudgetsTable[[#This Row],[Budget]]-BudgetsTable[[#This Row],[Spent]])</f>
        <v>0</v>
      </c>
      <c r="M45" s="161"/>
      <c r="N45" s="161"/>
      <c r="O45" s="161"/>
      <c r="P45" s="161"/>
      <c r="Q45" s="161"/>
      <c r="R45" s="218" t="s">
        <v>1350</v>
      </c>
      <c r="S45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1</v>
      </c>
      <c r="T45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0</v>
      </c>
      <c r="U45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1349</v>
      </c>
      <c r="V45" s="218">
        <f>IF(OR(ISBLANK(BudgetsTable[[#This Row],[Category]]),BudgetsTable[[#This Row],[Category]]=""),0,(COUNTIF(BudgetsTable[[#This Row],[OneMonthAgoBudget]]:BudgetsTable[[#This Row],[ThreeMonthsAgoBudget]],"&lt;&gt;0")))</f>
        <v>2</v>
      </c>
      <c r="W45" s="218" t="s">
        <v>100</v>
      </c>
      <c r="X45" s="161"/>
    </row>
    <row r="46" spans="2:24" x14ac:dyDescent="0.25">
      <c r="B46" s="161"/>
      <c r="C46" s="252" t="s">
        <v>56</v>
      </c>
      <c r="D46" s="161"/>
      <c r="E46" s="161"/>
      <c r="F46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6" s="161"/>
      <c r="H46" s="161"/>
      <c r="I46" s="161"/>
      <c r="J46" s="247">
        <v>0</v>
      </c>
      <c r="K46" s="161"/>
      <c r="L46" s="217">
        <f>IF(OR(ISBLANK(BudgetsTable[[#This Row],[Category]]),BudgetsTable[[#This Row],[Category]]=""),"",BudgetsTable[[#This Row],[Budget]]-BudgetsTable[[#This Row],[Spent]])</f>
        <v>0</v>
      </c>
      <c r="M46" s="161"/>
      <c r="N46" s="161"/>
      <c r="O46" s="161"/>
      <c r="P46" s="161"/>
      <c r="Q46" s="161"/>
      <c r="R46" s="218" t="s">
        <v>1351</v>
      </c>
      <c r="S46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609.99</v>
      </c>
      <c r="T46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294.82</v>
      </c>
      <c r="U46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224.89999999999998</v>
      </c>
      <c r="V46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6" s="218" t="s">
        <v>101</v>
      </c>
      <c r="X46" s="161"/>
    </row>
    <row r="47" spans="2:24" x14ac:dyDescent="0.25">
      <c r="B47" s="161"/>
      <c r="C47" s="252" t="s">
        <v>45</v>
      </c>
      <c r="D47" s="161"/>
      <c r="E47" s="161"/>
      <c r="F47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188.81</v>
      </c>
      <c r="G47" s="161"/>
      <c r="H47" s="161"/>
      <c r="I47" s="161"/>
      <c r="J47" s="247">
        <v>100</v>
      </c>
      <c r="K47" s="161"/>
      <c r="L47" s="217">
        <f>IF(OR(ISBLANK(BudgetsTable[[#This Row],[Category]]),BudgetsTable[[#This Row],[Category]]=""),"",BudgetsTable[[#This Row],[Budget]]-BudgetsTable[[#This Row],[Spent]])</f>
        <v>-88.81</v>
      </c>
      <c r="M47" s="161"/>
      <c r="N47" s="161"/>
      <c r="O47" s="161"/>
      <c r="P47" s="161"/>
      <c r="Q47" s="161"/>
      <c r="R47" s="218" t="s">
        <v>1352</v>
      </c>
      <c r="S47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69.55</v>
      </c>
      <c r="T47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101.44</v>
      </c>
      <c r="U47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149.94999999999999</v>
      </c>
      <c r="V47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7" s="218" t="s">
        <v>103</v>
      </c>
      <c r="X47" s="161"/>
    </row>
    <row r="48" spans="2:24" x14ac:dyDescent="0.25">
      <c r="B48" s="161"/>
      <c r="C48" s="252" t="s">
        <v>46</v>
      </c>
      <c r="D48" s="161"/>
      <c r="E48" s="161"/>
      <c r="F48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83.039999999999992</v>
      </c>
      <c r="G48" s="161"/>
      <c r="H48" s="161"/>
      <c r="I48" s="161"/>
      <c r="J48" s="247">
        <v>100</v>
      </c>
      <c r="K48" s="161"/>
      <c r="L48" s="217">
        <f>IF(OR(ISBLANK(BudgetsTable[[#This Row],[Category]]),BudgetsTable[[#This Row],[Category]]=""),"",BudgetsTable[[#This Row],[Budget]]-BudgetsTable[[#This Row],[Spent]])</f>
        <v>16.960000000000008</v>
      </c>
      <c r="M48" s="161"/>
      <c r="N48" s="161"/>
      <c r="O48" s="161"/>
      <c r="P48" s="161"/>
      <c r="Q48" s="161"/>
      <c r="R48" s="218" t="s">
        <v>1353</v>
      </c>
      <c r="S48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261.05</v>
      </c>
      <c r="T48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300.46000000000004</v>
      </c>
      <c r="U48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792.56</v>
      </c>
      <c r="V48" s="218">
        <f>IF(OR(ISBLANK(BudgetsTable[[#This Row],[Category]]),BudgetsTable[[#This Row],[Category]]=""),0,(COUNTIF(BudgetsTable[[#This Row],[OneMonthAgoBudget]]:BudgetsTable[[#This Row],[ThreeMonthsAgoBudget]],"&lt;&gt;0")))</f>
        <v>3</v>
      </c>
      <c r="W48" s="218" t="s">
        <v>104</v>
      </c>
      <c r="X48" s="161"/>
    </row>
    <row r="49" spans="2:24" x14ac:dyDescent="0.25">
      <c r="B49" s="161"/>
      <c r="C49" s="252" t="s">
        <v>49</v>
      </c>
      <c r="D49" s="161"/>
      <c r="E49" s="161"/>
      <c r="F49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49" s="161"/>
      <c r="H49" s="161"/>
      <c r="I49" s="161"/>
      <c r="J49" s="247">
        <v>0</v>
      </c>
      <c r="K49" s="161"/>
      <c r="L49" s="217">
        <f>IF(OR(ISBLANK(BudgetsTable[[#This Row],[Category]]),BudgetsTable[[#This Row],[Category]]=""),"",BudgetsTable[[#This Row],[Budget]]-BudgetsTable[[#This Row],[Spent]])</f>
        <v>0</v>
      </c>
      <c r="M49" s="161"/>
      <c r="N49" s="161"/>
      <c r="O49" s="161"/>
      <c r="P49" s="161"/>
      <c r="Q49" s="161"/>
      <c r="R49" s="218" t="s">
        <v>1354</v>
      </c>
      <c r="S49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0</v>
      </c>
      <c r="T49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0</v>
      </c>
      <c r="U49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4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49" s="218" t="s">
        <v>106</v>
      </c>
      <c r="X49" s="161"/>
    </row>
    <row r="50" spans="2:24" x14ac:dyDescent="0.25">
      <c r="B50" s="161"/>
      <c r="C50" s="252" t="s">
        <v>53</v>
      </c>
      <c r="D50" s="161"/>
      <c r="E50" s="161"/>
      <c r="F50" s="217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>0</v>
      </c>
      <c r="G50" s="161"/>
      <c r="H50" s="161"/>
      <c r="I50" s="161"/>
      <c r="J50" s="247">
        <v>0</v>
      </c>
      <c r="K50" s="161"/>
      <c r="L50" s="217">
        <f>IF(OR(ISBLANK(BudgetsTable[[#This Row],[Category]]),BudgetsTable[[#This Row],[Category]]=""),"",BudgetsTable[[#This Row],[Budget]]-BudgetsTable[[#This Row],[Spent]])</f>
        <v>0</v>
      </c>
      <c r="M50" s="161"/>
      <c r="N50" s="161"/>
      <c r="O50" s="161"/>
      <c r="P50" s="161"/>
      <c r="Q50" s="161"/>
      <c r="R50" s="218" t="s">
        <v>1355</v>
      </c>
      <c r="S50" s="220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>0</v>
      </c>
      <c r="T50" s="220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>75</v>
      </c>
      <c r="U50" s="220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>0</v>
      </c>
      <c r="V50" s="218">
        <f>IF(OR(ISBLANK(BudgetsTable[[#This Row],[Category]]),BudgetsTable[[#This Row],[Category]]=""),0,(COUNTIF(BudgetsTable[[#This Row],[OneMonthAgoBudget]]:BudgetsTable[[#This Row],[ThreeMonthsAgoBudget]],"&lt;&gt;0")))</f>
        <v>1</v>
      </c>
      <c r="W50" s="218" t="s">
        <v>107</v>
      </c>
      <c r="X50" s="161"/>
    </row>
    <row r="51" spans="2:24" x14ac:dyDescent="0.25">
      <c r="B51" s="161"/>
      <c r="C51" s="252"/>
      <c r="D51" s="161"/>
      <c r="E51" s="161"/>
      <c r="F5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1" s="161"/>
      <c r="H51" s="161"/>
      <c r="I51" s="161"/>
      <c r="J5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1" s="161"/>
      <c r="L51" s="217" t="str">
        <f>IF(OR(ISBLANK(BudgetsTable[[#This Row],[Category]]),BudgetsTable[[#This Row],[Category]]=""),"",BudgetsTable[[#This Row],[Budget]]-BudgetsTable[[#This Row],[Spent]])</f>
        <v/>
      </c>
      <c r="M51" s="161"/>
      <c r="N51" s="161"/>
      <c r="O51" s="161"/>
      <c r="P51" s="161"/>
      <c r="Q51" s="161"/>
      <c r="R51" s="218"/>
      <c r="S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1" s="218"/>
      <c r="X51" s="161"/>
    </row>
    <row r="52" spans="2:24" x14ac:dyDescent="0.25">
      <c r="B52" s="161"/>
      <c r="C52" s="252"/>
      <c r="D52" s="161"/>
      <c r="E52" s="161"/>
      <c r="F5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2" s="161"/>
      <c r="H52" s="161"/>
      <c r="I52" s="161"/>
      <c r="J5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2" s="161"/>
      <c r="L52" s="217" t="str">
        <f>IF(OR(ISBLANK(BudgetsTable[[#This Row],[Category]]),BudgetsTable[[#This Row],[Category]]=""),"",BudgetsTable[[#This Row],[Budget]]-BudgetsTable[[#This Row],[Spent]])</f>
        <v/>
      </c>
      <c r="M52" s="161"/>
      <c r="N52" s="161"/>
      <c r="O52" s="161"/>
      <c r="P52" s="161"/>
      <c r="Q52" s="161"/>
      <c r="R52" s="218"/>
      <c r="S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2" s="218"/>
      <c r="X52" s="161"/>
    </row>
    <row r="53" spans="2:24" x14ac:dyDescent="0.25">
      <c r="B53" s="161"/>
      <c r="C53" s="252"/>
      <c r="D53" s="161"/>
      <c r="E53" s="161"/>
      <c r="F5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3" s="161"/>
      <c r="H53" s="161"/>
      <c r="I53" s="161"/>
      <c r="J5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3" s="161"/>
      <c r="L53" s="217" t="str">
        <f>IF(OR(ISBLANK(BudgetsTable[[#This Row],[Category]]),BudgetsTable[[#This Row],[Category]]=""),"",BudgetsTable[[#This Row],[Budget]]-BudgetsTable[[#This Row],[Spent]])</f>
        <v/>
      </c>
      <c r="M53" s="161"/>
      <c r="N53" s="161"/>
      <c r="O53" s="161"/>
      <c r="P53" s="161"/>
      <c r="Q53" s="161"/>
      <c r="R53" s="218"/>
      <c r="S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3" s="218"/>
      <c r="X53" s="161"/>
    </row>
    <row r="54" spans="2:24" x14ac:dyDescent="0.25">
      <c r="B54" s="161"/>
      <c r="C54" s="252"/>
      <c r="D54" s="161"/>
      <c r="E54" s="161"/>
      <c r="F5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4" s="161"/>
      <c r="H54" s="161"/>
      <c r="I54" s="161"/>
      <c r="J5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4" s="161"/>
      <c r="L54" s="217" t="str">
        <f>IF(OR(ISBLANK(BudgetsTable[[#This Row],[Category]]),BudgetsTable[[#This Row],[Category]]=""),"",BudgetsTable[[#This Row],[Budget]]-BudgetsTable[[#This Row],[Spent]])</f>
        <v/>
      </c>
      <c r="M54" s="161"/>
      <c r="N54" s="161"/>
      <c r="O54" s="161"/>
      <c r="P54" s="161"/>
      <c r="Q54" s="161"/>
      <c r="R54" s="218"/>
      <c r="S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4" s="218"/>
      <c r="X54" s="161"/>
    </row>
    <row r="55" spans="2:24" x14ac:dyDescent="0.25">
      <c r="B55" s="161"/>
      <c r="C55" s="252"/>
      <c r="D55" s="161"/>
      <c r="E55" s="161"/>
      <c r="F5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5" s="161"/>
      <c r="H55" s="161"/>
      <c r="I55" s="161"/>
      <c r="J5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5" s="161"/>
      <c r="L55" s="217" t="str">
        <f>IF(OR(ISBLANK(BudgetsTable[[#This Row],[Category]]),BudgetsTable[[#This Row],[Category]]=""),"",BudgetsTable[[#This Row],[Budget]]-BudgetsTable[[#This Row],[Spent]])</f>
        <v/>
      </c>
      <c r="M55" s="161"/>
      <c r="N55" s="161"/>
      <c r="O55" s="161"/>
      <c r="P55" s="161"/>
      <c r="Q55" s="161"/>
      <c r="R55" s="218"/>
      <c r="S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5" s="218"/>
      <c r="X55" s="161"/>
    </row>
    <row r="56" spans="2:24" x14ac:dyDescent="0.25">
      <c r="B56" s="161"/>
      <c r="C56" s="252"/>
      <c r="D56" s="161"/>
      <c r="E56" s="161"/>
      <c r="F5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6" s="161"/>
      <c r="H56" s="161"/>
      <c r="I56" s="161"/>
      <c r="J5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6" s="161"/>
      <c r="L56" s="217" t="str">
        <f>IF(OR(ISBLANK(BudgetsTable[[#This Row],[Category]]),BudgetsTable[[#This Row],[Category]]=""),"",BudgetsTable[[#This Row],[Budget]]-BudgetsTable[[#This Row],[Spent]])</f>
        <v/>
      </c>
      <c r="M56" s="161"/>
      <c r="N56" s="161"/>
      <c r="O56" s="161"/>
      <c r="P56" s="161"/>
      <c r="Q56" s="161"/>
      <c r="R56" s="218"/>
      <c r="S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6" s="218"/>
      <c r="X56" s="161"/>
    </row>
    <row r="57" spans="2:24" x14ac:dyDescent="0.25">
      <c r="B57" s="161"/>
      <c r="C57" s="252"/>
      <c r="D57" s="161"/>
      <c r="E57" s="161"/>
      <c r="F5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7" s="161"/>
      <c r="H57" s="161"/>
      <c r="I57" s="161"/>
      <c r="J5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7" s="161"/>
      <c r="L57" s="217" t="str">
        <f>IF(OR(ISBLANK(BudgetsTable[[#This Row],[Category]]),BudgetsTable[[#This Row],[Category]]=""),"",BudgetsTable[[#This Row],[Budget]]-BudgetsTable[[#This Row],[Spent]])</f>
        <v/>
      </c>
      <c r="M57" s="161"/>
      <c r="N57" s="161"/>
      <c r="O57" s="161"/>
      <c r="P57" s="161"/>
      <c r="Q57" s="161"/>
      <c r="R57" s="218"/>
      <c r="S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7" s="218"/>
      <c r="X57" s="161"/>
    </row>
    <row r="58" spans="2:24" x14ac:dyDescent="0.25">
      <c r="B58" s="161"/>
      <c r="C58" s="252"/>
      <c r="D58" s="161"/>
      <c r="E58" s="161"/>
      <c r="F5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8" s="161"/>
      <c r="H58" s="161"/>
      <c r="I58" s="161"/>
      <c r="J5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8" s="161"/>
      <c r="L58" s="217" t="str">
        <f>IF(OR(ISBLANK(BudgetsTable[[#This Row],[Category]]),BudgetsTable[[#This Row],[Category]]=""),"",BudgetsTable[[#This Row],[Budget]]-BudgetsTable[[#This Row],[Spent]])</f>
        <v/>
      </c>
      <c r="M58" s="161"/>
      <c r="N58" s="161"/>
      <c r="O58" s="161"/>
      <c r="P58" s="161"/>
      <c r="Q58" s="161"/>
      <c r="R58" s="218"/>
      <c r="S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8" s="218"/>
      <c r="X58" s="161"/>
    </row>
    <row r="59" spans="2:24" x14ac:dyDescent="0.25">
      <c r="B59" s="161"/>
      <c r="C59" s="252"/>
      <c r="D59" s="161"/>
      <c r="E59" s="161"/>
      <c r="F5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59" s="161"/>
      <c r="H59" s="161"/>
      <c r="I59" s="161"/>
      <c r="J5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59" s="161"/>
      <c r="L59" s="217" t="str">
        <f>IF(OR(ISBLANK(BudgetsTable[[#This Row],[Category]]),BudgetsTable[[#This Row],[Category]]=""),"",BudgetsTable[[#This Row],[Budget]]-BudgetsTable[[#This Row],[Spent]])</f>
        <v/>
      </c>
      <c r="M59" s="161"/>
      <c r="N59" s="161"/>
      <c r="O59" s="161"/>
      <c r="P59" s="161"/>
      <c r="Q59" s="161"/>
      <c r="R59" s="218"/>
      <c r="S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5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59" s="218"/>
      <c r="X59" s="161"/>
    </row>
    <row r="60" spans="2:24" x14ac:dyDescent="0.25">
      <c r="B60" s="161"/>
      <c r="C60" s="252"/>
      <c r="D60" s="161"/>
      <c r="E60" s="161"/>
      <c r="F6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0" s="161"/>
      <c r="H60" s="161"/>
      <c r="I60" s="161"/>
      <c r="J6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0" s="161"/>
      <c r="L60" s="217" t="str">
        <f>IF(OR(ISBLANK(BudgetsTable[[#This Row],[Category]]),BudgetsTable[[#This Row],[Category]]=""),"",BudgetsTable[[#This Row],[Budget]]-BudgetsTable[[#This Row],[Spent]])</f>
        <v/>
      </c>
      <c r="M60" s="161"/>
      <c r="N60" s="161"/>
      <c r="O60" s="161"/>
      <c r="P60" s="161"/>
      <c r="Q60" s="161"/>
      <c r="R60" s="218"/>
      <c r="S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0" s="218"/>
      <c r="X60" s="161"/>
    </row>
    <row r="61" spans="2:24" x14ac:dyDescent="0.25">
      <c r="B61" s="161"/>
      <c r="C61" s="252"/>
      <c r="D61" s="161"/>
      <c r="E61" s="161"/>
      <c r="F6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1" s="161"/>
      <c r="H61" s="161"/>
      <c r="I61" s="161"/>
      <c r="J6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1" s="161"/>
      <c r="L61" s="217" t="str">
        <f>IF(OR(ISBLANK(BudgetsTable[[#This Row],[Category]]),BudgetsTable[[#This Row],[Category]]=""),"",BudgetsTable[[#This Row],[Budget]]-BudgetsTable[[#This Row],[Spent]])</f>
        <v/>
      </c>
      <c r="M61" s="161"/>
      <c r="N61" s="161"/>
      <c r="O61" s="161"/>
      <c r="P61" s="161"/>
      <c r="Q61" s="161"/>
      <c r="R61" s="218"/>
      <c r="S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1" s="218"/>
      <c r="X61" s="161"/>
    </row>
    <row r="62" spans="2:24" x14ac:dyDescent="0.25">
      <c r="B62" s="161"/>
      <c r="C62" s="252"/>
      <c r="D62" s="161"/>
      <c r="E62" s="161"/>
      <c r="F6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2" s="161"/>
      <c r="H62" s="161"/>
      <c r="I62" s="161"/>
      <c r="J6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2" s="161"/>
      <c r="L62" s="217" t="str">
        <f>IF(OR(ISBLANK(BudgetsTable[[#This Row],[Category]]),BudgetsTable[[#This Row],[Category]]=""),"",BudgetsTable[[#This Row],[Budget]]-BudgetsTable[[#This Row],[Spent]])</f>
        <v/>
      </c>
      <c r="M62" s="161"/>
      <c r="N62" s="161"/>
      <c r="O62" s="161"/>
      <c r="P62" s="161"/>
      <c r="Q62" s="161"/>
      <c r="R62" s="218"/>
      <c r="S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2" s="218"/>
      <c r="X62" s="161"/>
    </row>
    <row r="63" spans="2:24" x14ac:dyDescent="0.25">
      <c r="B63" s="161"/>
      <c r="C63" s="252"/>
      <c r="D63" s="161"/>
      <c r="E63" s="161"/>
      <c r="F6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3" s="161"/>
      <c r="H63" s="161"/>
      <c r="I63" s="161"/>
      <c r="J6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3" s="161"/>
      <c r="L63" s="217" t="str">
        <f>IF(OR(ISBLANK(BudgetsTable[[#This Row],[Category]]),BudgetsTable[[#This Row],[Category]]=""),"",BudgetsTable[[#This Row],[Budget]]-BudgetsTable[[#This Row],[Spent]])</f>
        <v/>
      </c>
      <c r="M63" s="161"/>
      <c r="N63" s="161"/>
      <c r="O63" s="161"/>
      <c r="P63" s="161"/>
      <c r="Q63" s="161"/>
      <c r="R63" s="218"/>
      <c r="S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3" s="218"/>
      <c r="X63" s="161"/>
    </row>
    <row r="64" spans="2:24" x14ac:dyDescent="0.25">
      <c r="B64" s="161"/>
      <c r="C64" s="252"/>
      <c r="D64" s="161"/>
      <c r="E64" s="161"/>
      <c r="F6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4" s="161"/>
      <c r="H64" s="161"/>
      <c r="I64" s="161"/>
      <c r="J6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4" s="161"/>
      <c r="L64" s="217" t="str">
        <f>IF(OR(ISBLANK(BudgetsTable[[#This Row],[Category]]),BudgetsTable[[#This Row],[Category]]=""),"",BudgetsTable[[#This Row],[Budget]]-BudgetsTable[[#This Row],[Spent]])</f>
        <v/>
      </c>
      <c r="M64" s="161"/>
      <c r="N64" s="161"/>
      <c r="O64" s="161"/>
      <c r="P64" s="161"/>
      <c r="Q64" s="161"/>
      <c r="R64" s="218"/>
      <c r="S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4" s="218"/>
      <c r="X64" s="161"/>
    </row>
    <row r="65" spans="2:24" x14ac:dyDescent="0.25">
      <c r="B65" s="161"/>
      <c r="C65" s="252"/>
      <c r="D65" s="161"/>
      <c r="E65" s="161"/>
      <c r="F6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5" s="161"/>
      <c r="H65" s="161"/>
      <c r="I65" s="161"/>
      <c r="J6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5" s="161"/>
      <c r="L65" s="217" t="str">
        <f>IF(OR(ISBLANK(BudgetsTable[[#This Row],[Category]]),BudgetsTable[[#This Row],[Category]]=""),"",BudgetsTable[[#This Row],[Budget]]-BudgetsTable[[#This Row],[Spent]])</f>
        <v/>
      </c>
      <c r="M65" s="161"/>
      <c r="N65" s="161"/>
      <c r="O65" s="161"/>
      <c r="P65" s="161"/>
      <c r="Q65" s="161"/>
      <c r="R65" s="218"/>
      <c r="S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5" s="218"/>
      <c r="X65" s="161"/>
    </row>
    <row r="66" spans="2:24" x14ac:dyDescent="0.25">
      <c r="B66" s="161"/>
      <c r="C66" s="252"/>
      <c r="D66" s="161"/>
      <c r="E66" s="161"/>
      <c r="F6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6" s="161"/>
      <c r="H66" s="161"/>
      <c r="I66" s="161"/>
      <c r="J6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6" s="161"/>
      <c r="L66" s="217" t="str">
        <f>IF(OR(ISBLANK(BudgetsTable[[#This Row],[Category]]),BudgetsTable[[#This Row],[Category]]=""),"",BudgetsTable[[#This Row],[Budget]]-BudgetsTable[[#This Row],[Spent]])</f>
        <v/>
      </c>
      <c r="M66" s="161"/>
      <c r="N66" s="161"/>
      <c r="O66" s="161"/>
      <c r="P66" s="161"/>
      <c r="Q66" s="161"/>
      <c r="R66" s="218"/>
      <c r="S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6" s="218"/>
      <c r="X66" s="161"/>
    </row>
    <row r="67" spans="2:24" x14ac:dyDescent="0.25">
      <c r="B67" s="161"/>
      <c r="C67" s="252"/>
      <c r="D67" s="161"/>
      <c r="E67" s="161"/>
      <c r="F6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7" s="161"/>
      <c r="H67" s="161"/>
      <c r="I67" s="161"/>
      <c r="J6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7" s="161"/>
      <c r="L67" s="217" t="str">
        <f>IF(OR(ISBLANK(BudgetsTable[[#This Row],[Category]]),BudgetsTable[[#This Row],[Category]]=""),"",BudgetsTable[[#This Row],[Budget]]-BudgetsTable[[#This Row],[Spent]])</f>
        <v/>
      </c>
      <c r="M67" s="161"/>
      <c r="N67" s="161"/>
      <c r="O67" s="161"/>
      <c r="P67" s="161"/>
      <c r="Q67" s="161"/>
      <c r="R67" s="218"/>
      <c r="S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7" s="218"/>
      <c r="X67" s="161"/>
    </row>
    <row r="68" spans="2:24" x14ac:dyDescent="0.25">
      <c r="B68" s="161"/>
      <c r="C68" s="252"/>
      <c r="D68" s="161"/>
      <c r="E68" s="161"/>
      <c r="F6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8" s="161"/>
      <c r="H68" s="161"/>
      <c r="I68" s="161"/>
      <c r="J6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8" s="161"/>
      <c r="L68" s="217" t="str">
        <f>IF(OR(ISBLANK(BudgetsTable[[#This Row],[Category]]),BudgetsTable[[#This Row],[Category]]=""),"",BudgetsTable[[#This Row],[Budget]]-BudgetsTable[[#This Row],[Spent]])</f>
        <v/>
      </c>
      <c r="M68" s="161"/>
      <c r="N68" s="161"/>
      <c r="O68" s="161"/>
      <c r="P68" s="161"/>
      <c r="Q68" s="161"/>
      <c r="R68" s="218"/>
      <c r="S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8" s="218"/>
      <c r="X68" s="161"/>
    </row>
    <row r="69" spans="2:24" x14ac:dyDescent="0.25">
      <c r="B69" s="161"/>
      <c r="C69" s="252"/>
      <c r="D69" s="161"/>
      <c r="E69" s="161"/>
      <c r="F6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69" s="161"/>
      <c r="H69" s="161"/>
      <c r="I69" s="161"/>
      <c r="J6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69" s="161"/>
      <c r="L69" s="217" t="str">
        <f>IF(OR(ISBLANK(BudgetsTable[[#This Row],[Category]]),BudgetsTable[[#This Row],[Category]]=""),"",BudgetsTable[[#This Row],[Budget]]-BudgetsTable[[#This Row],[Spent]])</f>
        <v/>
      </c>
      <c r="M69" s="161"/>
      <c r="N69" s="161"/>
      <c r="O69" s="161"/>
      <c r="P69" s="161"/>
      <c r="Q69" s="161"/>
      <c r="R69" s="218"/>
      <c r="S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6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69" s="218"/>
      <c r="X69" s="161"/>
    </row>
    <row r="70" spans="2:24" x14ac:dyDescent="0.25">
      <c r="B70" s="161"/>
      <c r="C70" s="252"/>
      <c r="D70" s="161"/>
      <c r="E70" s="161"/>
      <c r="F7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0" s="161"/>
      <c r="H70" s="161"/>
      <c r="I70" s="161"/>
      <c r="J7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0" s="161"/>
      <c r="L70" s="217" t="str">
        <f>IF(OR(ISBLANK(BudgetsTable[[#This Row],[Category]]),BudgetsTable[[#This Row],[Category]]=""),"",BudgetsTable[[#This Row],[Budget]]-BudgetsTable[[#This Row],[Spent]])</f>
        <v/>
      </c>
      <c r="M70" s="161"/>
      <c r="N70" s="161"/>
      <c r="O70" s="161"/>
      <c r="P70" s="161"/>
      <c r="Q70" s="161"/>
      <c r="R70" s="218"/>
      <c r="S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0" s="218"/>
      <c r="X70" s="161"/>
    </row>
    <row r="71" spans="2:24" x14ac:dyDescent="0.25">
      <c r="B71" s="161"/>
      <c r="C71" s="252"/>
      <c r="D71" s="161"/>
      <c r="E71" s="161"/>
      <c r="F7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1" s="161"/>
      <c r="H71" s="161"/>
      <c r="I71" s="161"/>
      <c r="J7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1" s="161"/>
      <c r="L71" s="217" t="str">
        <f>IF(OR(ISBLANK(BudgetsTable[[#This Row],[Category]]),BudgetsTable[[#This Row],[Category]]=""),"",BudgetsTable[[#This Row],[Budget]]-BudgetsTable[[#This Row],[Spent]])</f>
        <v/>
      </c>
      <c r="M71" s="161"/>
      <c r="N71" s="161"/>
      <c r="O71" s="161"/>
      <c r="P71" s="161"/>
      <c r="Q71" s="161"/>
      <c r="R71" s="218"/>
      <c r="S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1" s="218"/>
      <c r="X71" s="161"/>
    </row>
    <row r="72" spans="2:24" x14ac:dyDescent="0.25">
      <c r="B72" s="161"/>
      <c r="C72" s="252"/>
      <c r="D72" s="161"/>
      <c r="E72" s="161"/>
      <c r="F7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2" s="161"/>
      <c r="H72" s="161"/>
      <c r="I72" s="161"/>
      <c r="J7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2" s="161"/>
      <c r="L72" s="217" t="str">
        <f>IF(OR(ISBLANK(BudgetsTable[[#This Row],[Category]]),BudgetsTable[[#This Row],[Category]]=""),"",BudgetsTable[[#This Row],[Budget]]-BudgetsTable[[#This Row],[Spent]])</f>
        <v/>
      </c>
      <c r="M72" s="161"/>
      <c r="N72" s="161"/>
      <c r="O72" s="161"/>
      <c r="P72" s="161"/>
      <c r="Q72" s="161"/>
      <c r="R72" s="218"/>
      <c r="S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2" s="218"/>
      <c r="X72" s="161"/>
    </row>
    <row r="73" spans="2:24" x14ac:dyDescent="0.25">
      <c r="B73" s="161"/>
      <c r="C73" s="252"/>
      <c r="D73" s="161"/>
      <c r="E73" s="161"/>
      <c r="F7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3" s="161"/>
      <c r="H73" s="161"/>
      <c r="I73" s="161"/>
      <c r="J7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3" s="161"/>
      <c r="L73" s="217" t="str">
        <f>IF(OR(ISBLANK(BudgetsTable[[#This Row],[Category]]),BudgetsTable[[#This Row],[Category]]=""),"",BudgetsTable[[#This Row],[Budget]]-BudgetsTable[[#This Row],[Spent]])</f>
        <v/>
      </c>
      <c r="M73" s="161"/>
      <c r="N73" s="161"/>
      <c r="O73" s="161"/>
      <c r="P73" s="161"/>
      <c r="Q73" s="161"/>
      <c r="R73" s="218"/>
      <c r="S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3" s="218"/>
      <c r="X73" s="161"/>
    </row>
    <row r="74" spans="2:24" x14ac:dyDescent="0.25">
      <c r="B74" s="161"/>
      <c r="C74" s="252"/>
      <c r="D74" s="161"/>
      <c r="E74" s="161"/>
      <c r="F7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4" s="161"/>
      <c r="H74" s="161"/>
      <c r="I74" s="161"/>
      <c r="J7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4" s="161"/>
      <c r="L74" s="217" t="str">
        <f>IF(OR(ISBLANK(BudgetsTable[[#This Row],[Category]]),BudgetsTable[[#This Row],[Category]]=""),"",BudgetsTable[[#This Row],[Budget]]-BudgetsTable[[#This Row],[Spent]])</f>
        <v/>
      </c>
      <c r="M74" s="161"/>
      <c r="N74" s="161"/>
      <c r="O74" s="161"/>
      <c r="P74" s="161"/>
      <c r="Q74" s="161"/>
      <c r="R74" s="218"/>
      <c r="S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4" s="218"/>
      <c r="X74" s="161"/>
    </row>
    <row r="75" spans="2:24" x14ac:dyDescent="0.25">
      <c r="B75" s="161"/>
      <c r="C75" s="252"/>
      <c r="D75" s="161"/>
      <c r="E75" s="161"/>
      <c r="F7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5" s="161"/>
      <c r="H75" s="161"/>
      <c r="I75" s="161"/>
      <c r="J7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5" s="161"/>
      <c r="L75" s="217" t="str">
        <f>IF(OR(ISBLANK(BudgetsTable[[#This Row],[Category]]),BudgetsTable[[#This Row],[Category]]=""),"",BudgetsTable[[#This Row],[Budget]]-BudgetsTable[[#This Row],[Spent]])</f>
        <v/>
      </c>
      <c r="M75" s="161"/>
      <c r="N75" s="161"/>
      <c r="O75" s="161"/>
      <c r="P75" s="161"/>
      <c r="Q75" s="161"/>
      <c r="R75" s="218"/>
      <c r="S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5" s="218"/>
      <c r="X75" s="161"/>
    </row>
    <row r="76" spans="2:24" x14ac:dyDescent="0.25">
      <c r="B76" s="161"/>
      <c r="C76" s="252"/>
      <c r="D76" s="161"/>
      <c r="E76" s="161"/>
      <c r="F7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6" s="161"/>
      <c r="H76" s="161"/>
      <c r="I76" s="161"/>
      <c r="J7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6" s="161"/>
      <c r="L76" s="217" t="str">
        <f>IF(OR(ISBLANK(BudgetsTable[[#This Row],[Category]]),BudgetsTable[[#This Row],[Category]]=""),"",BudgetsTable[[#This Row],[Budget]]-BudgetsTable[[#This Row],[Spent]])</f>
        <v/>
      </c>
      <c r="M76" s="161"/>
      <c r="N76" s="161"/>
      <c r="O76" s="161"/>
      <c r="P76" s="161"/>
      <c r="Q76" s="161"/>
      <c r="R76" s="218"/>
      <c r="S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6" s="218"/>
      <c r="X76" s="161"/>
    </row>
    <row r="77" spans="2:24" x14ac:dyDescent="0.25">
      <c r="B77" s="161"/>
      <c r="C77" s="252"/>
      <c r="D77" s="161"/>
      <c r="E77" s="161"/>
      <c r="F7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7" s="161"/>
      <c r="H77" s="161"/>
      <c r="I77" s="161"/>
      <c r="J7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7" s="161"/>
      <c r="L77" s="217" t="str">
        <f>IF(OR(ISBLANK(BudgetsTable[[#This Row],[Category]]),BudgetsTable[[#This Row],[Category]]=""),"",BudgetsTable[[#This Row],[Budget]]-BudgetsTable[[#This Row],[Spent]])</f>
        <v/>
      </c>
      <c r="M77" s="161"/>
      <c r="N77" s="161"/>
      <c r="O77" s="161"/>
      <c r="P77" s="161"/>
      <c r="Q77" s="161"/>
      <c r="R77" s="218"/>
      <c r="S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7" s="218"/>
      <c r="X77" s="161"/>
    </row>
    <row r="78" spans="2:24" x14ac:dyDescent="0.25">
      <c r="B78" s="161"/>
      <c r="C78" s="252"/>
      <c r="D78" s="161"/>
      <c r="E78" s="161"/>
      <c r="F7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8" s="161"/>
      <c r="H78" s="161"/>
      <c r="I78" s="161"/>
      <c r="J7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8" s="161"/>
      <c r="L78" s="217" t="str">
        <f>IF(OR(ISBLANK(BudgetsTable[[#This Row],[Category]]),BudgetsTable[[#This Row],[Category]]=""),"",BudgetsTable[[#This Row],[Budget]]-BudgetsTable[[#This Row],[Spent]])</f>
        <v/>
      </c>
      <c r="M78" s="161"/>
      <c r="N78" s="161"/>
      <c r="O78" s="161"/>
      <c r="P78" s="161"/>
      <c r="Q78" s="161"/>
      <c r="R78" s="218"/>
      <c r="S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8" s="218"/>
      <c r="X78" s="161"/>
    </row>
    <row r="79" spans="2:24" x14ac:dyDescent="0.25">
      <c r="B79" s="161"/>
      <c r="C79" s="252"/>
      <c r="D79" s="161"/>
      <c r="E79" s="161"/>
      <c r="F7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79" s="161"/>
      <c r="H79" s="161"/>
      <c r="I79" s="161"/>
      <c r="J7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79" s="161"/>
      <c r="L79" s="217" t="str">
        <f>IF(OR(ISBLANK(BudgetsTable[[#This Row],[Category]]),BudgetsTable[[#This Row],[Category]]=""),"",BudgetsTable[[#This Row],[Budget]]-BudgetsTable[[#This Row],[Spent]])</f>
        <v/>
      </c>
      <c r="M79" s="161"/>
      <c r="N79" s="161"/>
      <c r="O79" s="161"/>
      <c r="P79" s="161"/>
      <c r="Q79" s="161"/>
      <c r="R79" s="218"/>
      <c r="S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7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79" s="218"/>
      <c r="X79" s="161"/>
    </row>
    <row r="80" spans="2:24" x14ac:dyDescent="0.25">
      <c r="B80" s="161"/>
      <c r="C80" s="252"/>
      <c r="D80" s="161"/>
      <c r="E80" s="161"/>
      <c r="F8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0" s="161"/>
      <c r="H80" s="161"/>
      <c r="I80" s="161"/>
      <c r="J8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0" s="161"/>
      <c r="L80" s="217" t="str">
        <f>IF(OR(ISBLANK(BudgetsTable[[#This Row],[Category]]),BudgetsTable[[#This Row],[Category]]=""),"",BudgetsTable[[#This Row],[Budget]]-BudgetsTable[[#This Row],[Spent]])</f>
        <v/>
      </c>
      <c r="M80" s="161"/>
      <c r="N80" s="161"/>
      <c r="O80" s="161"/>
      <c r="P80" s="161"/>
      <c r="Q80" s="161"/>
      <c r="R80" s="218"/>
      <c r="S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0" s="218"/>
      <c r="X80" s="161"/>
    </row>
    <row r="81" spans="2:24" x14ac:dyDescent="0.25">
      <c r="B81" s="161"/>
      <c r="C81" s="252"/>
      <c r="D81" s="161"/>
      <c r="E81" s="161"/>
      <c r="F8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1" s="161"/>
      <c r="H81" s="161"/>
      <c r="I81" s="161"/>
      <c r="J8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1" s="161"/>
      <c r="L81" s="217" t="str">
        <f>IF(OR(ISBLANK(BudgetsTable[[#This Row],[Category]]),BudgetsTable[[#This Row],[Category]]=""),"",BudgetsTable[[#This Row],[Budget]]-BudgetsTable[[#This Row],[Spent]])</f>
        <v/>
      </c>
      <c r="M81" s="161"/>
      <c r="N81" s="161"/>
      <c r="O81" s="161"/>
      <c r="P81" s="161"/>
      <c r="Q81" s="161"/>
      <c r="R81" s="218"/>
      <c r="S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1" s="218"/>
      <c r="X81" s="161"/>
    </row>
    <row r="82" spans="2:24" x14ac:dyDescent="0.25">
      <c r="B82" s="161"/>
      <c r="C82" s="252"/>
      <c r="D82" s="161"/>
      <c r="E82" s="161"/>
      <c r="F8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2" s="161"/>
      <c r="H82" s="161"/>
      <c r="I82" s="161"/>
      <c r="J8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2" s="161"/>
      <c r="L82" s="217" t="str">
        <f>IF(OR(ISBLANK(BudgetsTable[[#This Row],[Category]]),BudgetsTable[[#This Row],[Category]]=""),"",BudgetsTable[[#This Row],[Budget]]-BudgetsTable[[#This Row],[Spent]])</f>
        <v/>
      </c>
      <c r="M82" s="161"/>
      <c r="N82" s="161"/>
      <c r="O82" s="161"/>
      <c r="P82" s="161"/>
      <c r="Q82" s="161"/>
      <c r="R82" s="218"/>
      <c r="S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2" s="218"/>
      <c r="X82" s="161"/>
    </row>
    <row r="83" spans="2:24" x14ac:dyDescent="0.25">
      <c r="B83" s="161"/>
      <c r="C83" s="252"/>
      <c r="D83" s="161"/>
      <c r="E83" s="161"/>
      <c r="F8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3" s="161"/>
      <c r="H83" s="161"/>
      <c r="I83" s="161"/>
      <c r="J8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3" s="161"/>
      <c r="L83" s="217" t="str">
        <f>IF(OR(ISBLANK(BudgetsTable[[#This Row],[Category]]),BudgetsTable[[#This Row],[Category]]=""),"",BudgetsTable[[#This Row],[Budget]]-BudgetsTable[[#This Row],[Spent]])</f>
        <v/>
      </c>
      <c r="M83" s="161"/>
      <c r="N83" s="161"/>
      <c r="O83" s="161"/>
      <c r="P83" s="161"/>
      <c r="Q83" s="161"/>
      <c r="R83" s="218"/>
      <c r="S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3" s="218"/>
      <c r="X83" s="161"/>
    </row>
    <row r="84" spans="2:24" x14ac:dyDescent="0.25">
      <c r="B84" s="161"/>
      <c r="C84" s="252"/>
      <c r="D84" s="161"/>
      <c r="E84" s="161"/>
      <c r="F8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4" s="161"/>
      <c r="H84" s="161"/>
      <c r="I84" s="161"/>
      <c r="J8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4" s="161"/>
      <c r="L84" s="217" t="str">
        <f>IF(OR(ISBLANK(BudgetsTable[[#This Row],[Category]]),BudgetsTable[[#This Row],[Category]]=""),"",BudgetsTable[[#This Row],[Budget]]-BudgetsTable[[#This Row],[Spent]])</f>
        <v/>
      </c>
      <c r="M84" s="161"/>
      <c r="N84" s="161"/>
      <c r="O84" s="161"/>
      <c r="P84" s="161"/>
      <c r="Q84" s="161"/>
      <c r="R84" s="218"/>
      <c r="S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4" s="218"/>
      <c r="X84" s="161"/>
    </row>
    <row r="85" spans="2:24" x14ac:dyDescent="0.25">
      <c r="B85" s="161"/>
      <c r="C85" s="252"/>
      <c r="D85" s="161"/>
      <c r="E85" s="161"/>
      <c r="F8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5" s="161"/>
      <c r="H85" s="161"/>
      <c r="I85" s="161"/>
      <c r="J8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5" s="161"/>
      <c r="L85" s="217" t="str">
        <f>IF(OR(ISBLANK(BudgetsTable[[#This Row],[Category]]),BudgetsTable[[#This Row],[Category]]=""),"",BudgetsTable[[#This Row],[Budget]]-BudgetsTable[[#This Row],[Spent]])</f>
        <v/>
      </c>
      <c r="M85" s="161"/>
      <c r="N85" s="161"/>
      <c r="O85" s="161"/>
      <c r="P85" s="161"/>
      <c r="Q85" s="161"/>
      <c r="R85" s="218"/>
      <c r="S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5" s="218"/>
      <c r="X85" s="161"/>
    </row>
    <row r="86" spans="2:24" x14ac:dyDescent="0.25">
      <c r="B86" s="161"/>
      <c r="C86" s="252"/>
      <c r="D86" s="161"/>
      <c r="E86" s="161"/>
      <c r="F8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6" s="161"/>
      <c r="H86" s="161"/>
      <c r="I86" s="161"/>
      <c r="J8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6" s="161"/>
      <c r="L86" s="217" t="str">
        <f>IF(OR(ISBLANK(BudgetsTable[[#This Row],[Category]]),BudgetsTable[[#This Row],[Category]]=""),"",BudgetsTable[[#This Row],[Budget]]-BudgetsTable[[#This Row],[Spent]])</f>
        <v/>
      </c>
      <c r="M86" s="161"/>
      <c r="N86" s="161"/>
      <c r="O86" s="161"/>
      <c r="P86" s="161"/>
      <c r="Q86" s="161"/>
      <c r="R86" s="218"/>
      <c r="S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6" s="218"/>
      <c r="X86" s="161"/>
    </row>
    <row r="87" spans="2:24" x14ac:dyDescent="0.25">
      <c r="B87" s="161"/>
      <c r="C87" s="252"/>
      <c r="D87" s="161"/>
      <c r="E87" s="161"/>
      <c r="F8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7" s="161"/>
      <c r="H87" s="161"/>
      <c r="I87" s="161"/>
      <c r="J8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7" s="161"/>
      <c r="L87" s="217" t="str">
        <f>IF(OR(ISBLANK(BudgetsTable[[#This Row],[Category]]),BudgetsTable[[#This Row],[Category]]=""),"",BudgetsTable[[#This Row],[Budget]]-BudgetsTable[[#This Row],[Spent]])</f>
        <v/>
      </c>
      <c r="M87" s="161"/>
      <c r="N87" s="161"/>
      <c r="O87" s="161"/>
      <c r="P87" s="161"/>
      <c r="Q87" s="161"/>
      <c r="R87" s="218"/>
      <c r="S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7" s="218"/>
      <c r="X87" s="161"/>
    </row>
    <row r="88" spans="2:24" x14ac:dyDescent="0.25">
      <c r="B88" s="161"/>
      <c r="C88" s="252"/>
      <c r="D88" s="161"/>
      <c r="E88" s="161"/>
      <c r="F8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8" s="161"/>
      <c r="H88" s="161"/>
      <c r="I88" s="161"/>
      <c r="J8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8" s="161"/>
      <c r="L88" s="217" t="str">
        <f>IF(OR(ISBLANK(BudgetsTable[[#This Row],[Category]]),BudgetsTable[[#This Row],[Category]]=""),"",BudgetsTable[[#This Row],[Budget]]-BudgetsTable[[#This Row],[Spent]])</f>
        <v/>
      </c>
      <c r="M88" s="161"/>
      <c r="N88" s="161"/>
      <c r="O88" s="161"/>
      <c r="P88" s="161"/>
      <c r="Q88" s="161"/>
      <c r="R88" s="218"/>
      <c r="S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8" s="218"/>
      <c r="X88" s="161"/>
    </row>
    <row r="89" spans="2:24" x14ac:dyDescent="0.25">
      <c r="B89" s="161"/>
      <c r="C89" s="252"/>
      <c r="D89" s="161"/>
      <c r="E89" s="161"/>
      <c r="F8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89" s="161"/>
      <c r="H89" s="161"/>
      <c r="I89" s="161"/>
      <c r="J8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89" s="161"/>
      <c r="L89" s="217" t="str">
        <f>IF(OR(ISBLANK(BudgetsTable[[#This Row],[Category]]),BudgetsTable[[#This Row],[Category]]=""),"",BudgetsTable[[#This Row],[Budget]]-BudgetsTable[[#This Row],[Spent]])</f>
        <v/>
      </c>
      <c r="M89" s="161"/>
      <c r="N89" s="161"/>
      <c r="O89" s="161"/>
      <c r="P89" s="161"/>
      <c r="Q89" s="161"/>
      <c r="R89" s="218"/>
      <c r="S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8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89" s="218"/>
      <c r="X89" s="161"/>
    </row>
    <row r="90" spans="2:24" x14ac:dyDescent="0.25">
      <c r="B90" s="161"/>
      <c r="C90" s="252"/>
      <c r="D90" s="161"/>
      <c r="E90" s="161"/>
      <c r="F9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0" s="161"/>
      <c r="H90" s="161"/>
      <c r="I90" s="161"/>
      <c r="J9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0" s="161"/>
      <c r="L90" s="217" t="str">
        <f>IF(OR(ISBLANK(BudgetsTable[[#This Row],[Category]]),BudgetsTable[[#This Row],[Category]]=""),"",BudgetsTable[[#This Row],[Budget]]-BudgetsTable[[#This Row],[Spent]])</f>
        <v/>
      </c>
      <c r="M90" s="161"/>
      <c r="N90" s="161"/>
      <c r="O90" s="161"/>
      <c r="P90" s="161"/>
      <c r="Q90" s="161"/>
      <c r="R90" s="218"/>
      <c r="S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0" s="218"/>
      <c r="X90" s="161"/>
    </row>
    <row r="91" spans="2:24" x14ac:dyDescent="0.25">
      <c r="B91" s="161"/>
      <c r="C91" s="252"/>
      <c r="D91" s="161"/>
      <c r="E91" s="161"/>
      <c r="F9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1" s="161"/>
      <c r="H91" s="161"/>
      <c r="I91" s="161"/>
      <c r="J9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1" s="161"/>
      <c r="L91" s="217" t="str">
        <f>IF(OR(ISBLANK(BudgetsTable[[#This Row],[Category]]),BudgetsTable[[#This Row],[Category]]=""),"",BudgetsTable[[#This Row],[Budget]]-BudgetsTable[[#This Row],[Spent]])</f>
        <v/>
      </c>
      <c r="M91" s="161"/>
      <c r="N91" s="161"/>
      <c r="O91" s="161"/>
      <c r="P91" s="161"/>
      <c r="Q91" s="161"/>
      <c r="R91" s="218"/>
      <c r="S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1" s="218"/>
      <c r="X91" s="161"/>
    </row>
    <row r="92" spans="2:24" x14ac:dyDescent="0.25">
      <c r="B92" s="161"/>
      <c r="C92" s="252"/>
      <c r="D92" s="161"/>
      <c r="E92" s="161"/>
      <c r="F9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2" s="161"/>
      <c r="H92" s="161"/>
      <c r="I92" s="161"/>
      <c r="J9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2" s="161"/>
      <c r="L92" s="217" t="str">
        <f>IF(OR(ISBLANK(BudgetsTable[[#This Row],[Category]]),BudgetsTable[[#This Row],[Category]]=""),"",BudgetsTable[[#This Row],[Budget]]-BudgetsTable[[#This Row],[Spent]])</f>
        <v/>
      </c>
      <c r="M92" s="161"/>
      <c r="N92" s="161"/>
      <c r="O92" s="161"/>
      <c r="P92" s="161"/>
      <c r="Q92" s="161"/>
      <c r="R92" s="218"/>
      <c r="S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2" s="218"/>
      <c r="X92" s="161"/>
    </row>
    <row r="93" spans="2:24" x14ac:dyDescent="0.25">
      <c r="B93" s="161"/>
      <c r="C93" s="252"/>
      <c r="D93" s="161"/>
      <c r="E93" s="161"/>
      <c r="F9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3" s="161"/>
      <c r="H93" s="161"/>
      <c r="I93" s="161"/>
      <c r="J9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3" s="161"/>
      <c r="L93" s="217" t="str">
        <f>IF(OR(ISBLANK(BudgetsTable[[#This Row],[Category]]),BudgetsTable[[#This Row],[Category]]=""),"",BudgetsTable[[#This Row],[Budget]]-BudgetsTable[[#This Row],[Spent]])</f>
        <v/>
      </c>
      <c r="M93" s="161"/>
      <c r="N93" s="161"/>
      <c r="O93" s="161"/>
      <c r="P93" s="161"/>
      <c r="Q93" s="161"/>
      <c r="R93" s="218"/>
      <c r="S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3" s="218"/>
      <c r="X93" s="161"/>
    </row>
    <row r="94" spans="2:24" x14ac:dyDescent="0.25">
      <c r="B94" s="161"/>
      <c r="C94" s="252"/>
      <c r="D94" s="161"/>
      <c r="E94" s="161"/>
      <c r="F9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4" s="161"/>
      <c r="H94" s="161"/>
      <c r="I94" s="161"/>
      <c r="J9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4" s="161"/>
      <c r="L94" s="217" t="str">
        <f>IF(OR(ISBLANK(BudgetsTable[[#This Row],[Category]]),BudgetsTable[[#This Row],[Category]]=""),"",BudgetsTable[[#This Row],[Budget]]-BudgetsTable[[#This Row],[Spent]])</f>
        <v/>
      </c>
      <c r="M94" s="161"/>
      <c r="N94" s="161"/>
      <c r="O94" s="161"/>
      <c r="P94" s="161"/>
      <c r="Q94" s="161"/>
      <c r="R94" s="218"/>
      <c r="S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4" s="218"/>
      <c r="X94" s="161"/>
    </row>
    <row r="95" spans="2:24" x14ac:dyDescent="0.25">
      <c r="B95" s="161"/>
      <c r="C95" s="252"/>
      <c r="D95" s="161"/>
      <c r="E95" s="161"/>
      <c r="F9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5" s="161"/>
      <c r="H95" s="161"/>
      <c r="I95" s="161"/>
      <c r="J9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5" s="161"/>
      <c r="L95" s="217" t="str">
        <f>IF(OR(ISBLANK(BudgetsTable[[#This Row],[Category]]),BudgetsTable[[#This Row],[Category]]=""),"",BudgetsTable[[#This Row],[Budget]]-BudgetsTable[[#This Row],[Spent]])</f>
        <v/>
      </c>
      <c r="M95" s="161"/>
      <c r="N95" s="161"/>
      <c r="O95" s="161"/>
      <c r="P95" s="161"/>
      <c r="Q95" s="161"/>
      <c r="R95" s="218"/>
      <c r="S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5" s="218"/>
      <c r="X95" s="161"/>
    </row>
    <row r="96" spans="2:24" x14ac:dyDescent="0.25">
      <c r="B96" s="161"/>
      <c r="C96" s="252"/>
      <c r="D96" s="161"/>
      <c r="E96" s="161"/>
      <c r="F9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6" s="161"/>
      <c r="H96" s="161"/>
      <c r="I96" s="161"/>
      <c r="J9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6" s="161"/>
      <c r="L96" s="217" t="str">
        <f>IF(OR(ISBLANK(BudgetsTable[[#This Row],[Category]]),BudgetsTable[[#This Row],[Category]]=""),"",BudgetsTable[[#This Row],[Budget]]-BudgetsTable[[#This Row],[Spent]])</f>
        <v/>
      </c>
      <c r="M96" s="161"/>
      <c r="N96" s="161"/>
      <c r="O96" s="161"/>
      <c r="P96" s="161"/>
      <c r="Q96" s="161"/>
      <c r="R96" s="218"/>
      <c r="S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6" s="218"/>
      <c r="X96" s="161"/>
    </row>
    <row r="97" spans="2:24" x14ac:dyDescent="0.25">
      <c r="B97" s="161"/>
      <c r="C97" s="252"/>
      <c r="D97" s="161"/>
      <c r="E97" s="161"/>
      <c r="F9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7" s="161"/>
      <c r="H97" s="161"/>
      <c r="I97" s="161"/>
      <c r="J9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7" s="161"/>
      <c r="L97" s="217" t="str">
        <f>IF(OR(ISBLANK(BudgetsTable[[#This Row],[Category]]),BudgetsTable[[#This Row],[Category]]=""),"",BudgetsTable[[#This Row],[Budget]]-BudgetsTable[[#This Row],[Spent]])</f>
        <v/>
      </c>
      <c r="M97" s="161"/>
      <c r="N97" s="161"/>
      <c r="O97" s="161"/>
      <c r="P97" s="161"/>
      <c r="Q97" s="161"/>
      <c r="R97" s="218"/>
      <c r="S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7" s="218"/>
      <c r="X97" s="161"/>
    </row>
    <row r="98" spans="2:24" x14ac:dyDescent="0.25">
      <c r="B98" s="161"/>
      <c r="C98" s="252"/>
      <c r="D98" s="161"/>
      <c r="E98" s="161"/>
      <c r="F9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8" s="161"/>
      <c r="H98" s="161"/>
      <c r="I98" s="161"/>
      <c r="J9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8" s="161"/>
      <c r="L98" s="217" t="str">
        <f>IF(OR(ISBLANK(BudgetsTable[[#This Row],[Category]]),BudgetsTable[[#This Row],[Category]]=""),"",BudgetsTable[[#This Row],[Budget]]-BudgetsTable[[#This Row],[Spent]])</f>
        <v/>
      </c>
      <c r="M98" s="161"/>
      <c r="N98" s="161"/>
      <c r="O98" s="161"/>
      <c r="P98" s="161"/>
      <c r="Q98" s="161"/>
      <c r="R98" s="218"/>
      <c r="S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8" s="218"/>
      <c r="X98" s="161"/>
    </row>
    <row r="99" spans="2:24" x14ac:dyDescent="0.25">
      <c r="B99" s="161"/>
      <c r="C99" s="252"/>
      <c r="D99" s="161"/>
      <c r="E99" s="161"/>
      <c r="F9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99" s="161"/>
      <c r="H99" s="161"/>
      <c r="I99" s="161"/>
      <c r="J9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99" s="161"/>
      <c r="L99" s="217" t="str">
        <f>IF(OR(ISBLANK(BudgetsTable[[#This Row],[Category]]),BudgetsTable[[#This Row],[Category]]=""),"",BudgetsTable[[#This Row],[Budget]]-BudgetsTable[[#This Row],[Spent]])</f>
        <v/>
      </c>
      <c r="M99" s="161"/>
      <c r="N99" s="161"/>
      <c r="O99" s="161"/>
      <c r="P99" s="161"/>
      <c r="Q99" s="161"/>
      <c r="R99" s="218"/>
      <c r="S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9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99" s="218"/>
      <c r="X99" s="161"/>
    </row>
    <row r="100" spans="2:24" x14ac:dyDescent="0.25">
      <c r="B100" s="161"/>
      <c r="C100" s="252"/>
      <c r="D100" s="161"/>
      <c r="E100" s="161"/>
      <c r="F10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0" s="161"/>
      <c r="H100" s="161"/>
      <c r="I100" s="161"/>
      <c r="J10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0" s="161"/>
      <c r="L100" s="217" t="str">
        <f>IF(OR(ISBLANK(BudgetsTable[[#This Row],[Category]]),BudgetsTable[[#This Row],[Category]]=""),"",BudgetsTable[[#This Row],[Budget]]-BudgetsTable[[#This Row],[Spent]])</f>
        <v/>
      </c>
      <c r="M100" s="161"/>
      <c r="N100" s="161"/>
      <c r="O100" s="161"/>
      <c r="P100" s="161"/>
      <c r="Q100" s="161"/>
      <c r="R100" s="218"/>
      <c r="S1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0" s="218"/>
      <c r="X100" s="161"/>
    </row>
    <row r="101" spans="2:24" x14ac:dyDescent="0.25">
      <c r="B101" s="161"/>
      <c r="C101" s="252"/>
      <c r="D101" s="161"/>
      <c r="E101" s="161"/>
      <c r="F10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1" s="161"/>
      <c r="H101" s="161"/>
      <c r="I101" s="161"/>
      <c r="J10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1" s="161"/>
      <c r="L101" s="217" t="str">
        <f>IF(OR(ISBLANK(BudgetsTable[[#This Row],[Category]]),BudgetsTable[[#This Row],[Category]]=""),"",BudgetsTable[[#This Row],[Budget]]-BudgetsTable[[#This Row],[Spent]])</f>
        <v/>
      </c>
      <c r="M101" s="161"/>
      <c r="N101" s="161"/>
      <c r="O101" s="161"/>
      <c r="P101" s="161"/>
      <c r="Q101" s="161"/>
      <c r="R101" s="218"/>
      <c r="S1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1" s="218"/>
      <c r="X101" s="161"/>
    </row>
    <row r="102" spans="2:24" x14ac:dyDescent="0.25">
      <c r="B102" s="161"/>
      <c r="C102" s="252"/>
      <c r="D102" s="161"/>
      <c r="E102" s="161"/>
      <c r="F10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2" s="161"/>
      <c r="H102" s="161"/>
      <c r="I102" s="161"/>
      <c r="J10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2" s="161"/>
      <c r="L102" s="217" t="str">
        <f>IF(OR(ISBLANK(BudgetsTable[[#This Row],[Category]]),BudgetsTable[[#This Row],[Category]]=""),"",BudgetsTable[[#This Row],[Budget]]-BudgetsTable[[#This Row],[Spent]])</f>
        <v/>
      </c>
      <c r="M102" s="161"/>
      <c r="N102" s="161"/>
      <c r="O102" s="161"/>
      <c r="P102" s="161"/>
      <c r="Q102" s="161"/>
      <c r="R102" s="218"/>
      <c r="S1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2" s="218"/>
      <c r="X102" s="161"/>
    </row>
    <row r="103" spans="2:24" x14ac:dyDescent="0.25">
      <c r="B103" s="161"/>
      <c r="C103" s="252"/>
      <c r="D103" s="161"/>
      <c r="E103" s="161"/>
      <c r="F10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3" s="161"/>
      <c r="H103" s="161"/>
      <c r="I103" s="161"/>
      <c r="J10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3" s="161"/>
      <c r="L103" s="217" t="str">
        <f>IF(OR(ISBLANK(BudgetsTable[[#This Row],[Category]]),BudgetsTable[[#This Row],[Category]]=""),"",BudgetsTable[[#This Row],[Budget]]-BudgetsTable[[#This Row],[Spent]])</f>
        <v/>
      </c>
      <c r="M103" s="161"/>
      <c r="N103" s="161"/>
      <c r="O103" s="161"/>
      <c r="P103" s="161"/>
      <c r="Q103" s="161"/>
      <c r="R103" s="218"/>
      <c r="S1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3" s="218"/>
      <c r="X103" s="161"/>
    </row>
    <row r="104" spans="2:24" x14ac:dyDescent="0.25">
      <c r="B104" s="161"/>
      <c r="C104" s="252"/>
      <c r="D104" s="161"/>
      <c r="E104" s="161"/>
      <c r="F10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4" s="161"/>
      <c r="H104" s="161"/>
      <c r="I104" s="161"/>
      <c r="J10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4" s="161"/>
      <c r="L104" s="217" t="str">
        <f>IF(OR(ISBLANK(BudgetsTable[[#This Row],[Category]]),BudgetsTable[[#This Row],[Category]]=""),"",BudgetsTable[[#This Row],[Budget]]-BudgetsTable[[#This Row],[Spent]])</f>
        <v/>
      </c>
      <c r="M104" s="161"/>
      <c r="N104" s="161"/>
      <c r="O104" s="161"/>
      <c r="P104" s="161"/>
      <c r="Q104" s="161"/>
      <c r="R104" s="218"/>
      <c r="S1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4" s="218"/>
      <c r="X104" s="161"/>
    </row>
    <row r="105" spans="2:24" x14ac:dyDescent="0.25">
      <c r="B105" s="161"/>
      <c r="C105" s="252"/>
      <c r="D105" s="161"/>
      <c r="E105" s="161"/>
      <c r="F10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5" s="161"/>
      <c r="H105" s="161"/>
      <c r="I105" s="161"/>
      <c r="J10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5" s="161"/>
      <c r="L105" s="217" t="str">
        <f>IF(OR(ISBLANK(BudgetsTable[[#This Row],[Category]]),BudgetsTable[[#This Row],[Category]]=""),"",BudgetsTable[[#This Row],[Budget]]-BudgetsTable[[#This Row],[Spent]])</f>
        <v/>
      </c>
      <c r="M105" s="161"/>
      <c r="N105" s="161"/>
      <c r="O105" s="161"/>
      <c r="P105" s="161"/>
      <c r="Q105" s="161"/>
      <c r="R105" s="218"/>
      <c r="S1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5" s="218"/>
      <c r="X105" s="161"/>
    </row>
    <row r="106" spans="2:24" x14ac:dyDescent="0.25">
      <c r="B106" s="161"/>
      <c r="C106" s="252"/>
      <c r="D106" s="161"/>
      <c r="E106" s="161"/>
      <c r="F10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6" s="161"/>
      <c r="H106" s="161"/>
      <c r="I106" s="161"/>
      <c r="J10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6" s="161"/>
      <c r="L106" s="217" t="str">
        <f>IF(OR(ISBLANK(BudgetsTable[[#This Row],[Category]]),BudgetsTable[[#This Row],[Category]]=""),"",BudgetsTable[[#This Row],[Budget]]-BudgetsTable[[#This Row],[Spent]])</f>
        <v/>
      </c>
      <c r="M106" s="161"/>
      <c r="N106" s="161"/>
      <c r="O106" s="161"/>
      <c r="P106" s="161"/>
      <c r="Q106" s="161"/>
      <c r="R106" s="218"/>
      <c r="S1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6" s="218"/>
      <c r="X106" s="161"/>
    </row>
    <row r="107" spans="2:24" x14ac:dyDescent="0.25">
      <c r="B107" s="161"/>
      <c r="C107" s="252"/>
      <c r="D107" s="161"/>
      <c r="E107" s="161"/>
      <c r="F10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7" s="161"/>
      <c r="H107" s="161"/>
      <c r="I107" s="161"/>
      <c r="J10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7" s="161"/>
      <c r="L107" s="217" t="str">
        <f>IF(OR(ISBLANK(BudgetsTable[[#This Row],[Category]]),BudgetsTable[[#This Row],[Category]]=""),"",BudgetsTable[[#This Row],[Budget]]-BudgetsTable[[#This Row],[Spent]])</f>
        <v/>
      </c>
      <c r="M107" s="161"/>
      <c r="N107" s="161"/>
      <c r="O107" s="161"/>
      <c r="P107" s="161"/>
      <c r="Q107" s="161"/>
      <c r="R107" s="218"/>
      <c r="S1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7" s="218"/>
      <c r="X107" s="161"/>
    </row>
    <row r="108" spans="2:24" x14ac:dyDescent="0.25">
      <c r="B108" s="161"/>
      <c r="C108" s="252"/>
      <c r="D108" s="161"/>
      <c r="E108" s="161"/>
      <c r="F10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8" s="161"/>
      <c r="H108" s="161"/>
      <c r="I108" s="161"/>
      <c r="J10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8" s="161"/>
      <c r="L108" s="217" t="str">
        <f>IF(OR(ISBLANK(BudgetsTable[[#This Row],[Category]]),BudgetsTable[[#This Row],[Category]]=""),"",BudgetsTable[[#This Row],[Budget]]-BudgetsTable[[#This Row],[Spent]])</f>
        <v/>
      </c>
      <c r="M108" s="161"/>
      <c r="N108" s="161"/>
      <c r="O108" s="161"/>
      <c r="P108" s="161"/>
      <c r="Q108" s="161"/>
      <c r="R108" s="218"/>
      <c r="S1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8" s="218"/>
      <c r="X108" s="161"/>
    </row>
    <row r="109" spans="2:24" x14ac:dyDescent="0.25">
      <c r="B109" s="161"/>
      <c r="C109" s="252"/>
      <c r="D109" s="161"/>
      <c r="E109" s="161"/>
      <c r="F10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09" s="161"/>
      <c r="H109" s="161"/>
      <c r="I109" s="161"/>
      <c r="J10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09" s="161"/>
      <c r="L109" s="217" t="str">
        <f>IF(OR(ISBLANK(BudgetsTable[[#This Row],[Category]]),BudgetsTable[[#This Row],[Category]]=""),"",BudgetsTable[[#This Row],[Budget]]-BudgetsTable[[#This Row],[Spent]])</f>
        <v/>
      </c>
      <c r="M109" s="161"/>
      <c r="N109" s="161"/>
      <c r="O109" s="161"/>
      <c r="P109" s="161"/>
      <c r="Q109" s="161"/>
      <c r="R109" s="218"/>
      <c r="S1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0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09" s="218"/>
      <c r="X109" s="161"/>
    </row>
    <row r="110" spans="2:24" x14ac:dyDescent="0.25">
      <c r="B110" s="161"/>
      <c r="C110" s="252"/>
      <c r="D110" s="161"/>
      <c r="E110" s="161"/>
      <c r="F11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0" s="161"/>
      <c r="H110" s="161"/>
      <c r="I110" s="161"/>
      <c r="J11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0" s="161"/>
      <c r="L110" s="217" t="str">
        <f>IF(OR(ISBLANK(BudgetsTable[[#This Row],[Category]]),BudgetsTable[[#This Row],[Category]]=""),"",BudgetsTable[[#This Row],[Budget]]-BudgetsTable[[#This Row],[Spent]])</f>
        <v/>
      </c>
      <c r="M110" s="161"/>
      <c r="N110" s="161"/>
      <c r="O110" s="161"/>
      <c r="P110" s="161"/>
      <c r="Q110" s="161"/>
      <c r="R110" s="218"/>
      <c r="S1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0" s="218"/>
      <c r="X110" s="161"/>
    </row>
    <row r="111" spans="2:24" x14ac:dyDescent="0.25">
      <c r="B111" s="161"/>
      <c r="C111" s="252"/>
      <c r="D111" s="161"/>
      <c r="E111" s="161"/>
      <c r="F11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1" s="161"/>
      <c r="H111" s="161"/>
      <c r="I111" s="161"/>
      <c r="J11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1" s="161"/>
      <c r="L111" s="217" t="str">
        <f>IF(OR(ISBLANK(BudgetsTable[[#This Row],[Category]]),BudgetsTable[[#This Row],[Category]]=""),"",BudgetsTable[[#This Row],[Budget]]-BudgetsTable[[#This Row],[Spent]])</f>
        <v/>
      </c>
      <c r="M111" s="161"/>
      <c r="N111" s="161"/>
      <c r="O111" s="161"/>
      <c r="P111" s="161"/>
      <c r="Q111" s="161"/>
      <c r="R111" s="218"/>
      <c r="S1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1" s="218"/>
      <c r="X111" s="161"/>
    </row>
    <row r="112" spans="2:24" x14ac:dyDescent="0.25">
      <c r="B112" s="161"/>
      <c r="C112" s="252"/>
      <c r="D112" s="161"/>
      <c r="E112" s="161"/>
      <c r="F11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2" s="161"/>
      <c r="H112" s="161"/>
      <c r="I112" s="161"/>
      <c r="J11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2" s="161"/>
      <c r="L112" s="217" t="str">
        <f>IF(OR(ISBLANK(BudgetsTable[[#This Row],[Category]]),BudgetsTable[[#This Row],[Category]]=""),"",BudgetsTable[[#This Row],[Budget]]-BudgetsTable[[#This Row],[Spent]])</f>
        <v/>
      </c>
      <c r="M112" s="161"/>
      <c r="N112" s="161"/>
      <c r="O112" s="161"/>
      <c r="P112" s="161"/>
      <c r="Q112" s="161"/>
      <c r="R112" s="218"/>
      <c r="S1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2" s="218"/>
      <c r="X112" s="161"/>
    </row>
    <row r="113" spans="2:24" x14ac:dyDescent="0.25">
      <c r="B113" s="161"/>
      <c r="C113" s="252"/>
      <c r="D113" s="161"/>
      <c r="E113" s="161"/>
      <c r="F11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3" s="161"/>
      <c r="H113" s="161"/>
      <c r="I113" s="161"/>
      <c r="J11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3" s="161"/>
      <c r="L113" s="217" t="str">
        <f>IF(OR(ISBLANK(BudgetsTable[[#This Row],[Category]]),BudgetsTable[[#This Row],[Category]]=""),"",BudgetsTable[[#This Row],[Budget]]-BudgetsTable[[#This Row],[Spent]])</f>
        <v/>
      </c>
      <c r="M113" s="161"/>
      <c r="N113" s="161"/>
      <c r="O113" s="161"/>
      <c r="P113" s="161"/>
      <c r="Q113" s="161"/>
      <c r="R113" s="218"/>
      <c r="S1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3" s="218"/>
      <c r="X113" s="161"/>
    </row>
    <row r="114" spans="2:24" x14ac:dyDescent="0.25">
      <c r="B114" s="161"/>
      <c r="C114" s="252"/>
      <c r="D114" s="161"/>
      <c r="E114" s="161"/>
      <c r="F11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4" s="161"/>
      <c r="H114" s="161"/>
      <c r="I114" s="161"/>
      <c r="J11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4" s="161"/>
      <c r="L114" s="217" t="str">
        <f>IF(OR(ISBLANK(BudgetsTable[[#This Row],[Category]]),BudgetsTable[[#This Row],[Category]]=""),"",BudgetsTable[[#This Row],[Budget]]-BudgetsTable[[#This Row],[Spent]])</f>
        <v/>
      </c>
      <c r="M114" s="161"/>
      <c r="N114" s="161"/>
      <c r="O114" s="161"/>
      <c r="P114" s="161"/>
      <c r="Q114" s="161"/>
      <c r="R114" s="218"/>
      <c r="S1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4" s="218"/>
      <c r="X114" s="161"/>
    </row>
    <row r="115" spans="2:24" x14ac:dyDescent="0.25">
      <c r="B115" s="161"/>
      <c r="C115" s="252"/>
      <c r="D115" s="161"/>
      <c r="E115" s="161"/>
      <c r="F11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5" s="161"/>
      <c r="H115" s="161"/>
      <c r="I115" s="161"/>
      <c r="J11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5" s="161"/>
      <c r="L115" s="217" t="str">
        <f>IF(OR(ISBLANK(BudgetsTable[[#This Row],[Category]]),BudgetsTable[[#This Row],[Category]]=""),"",BudgetsTable[[#This Row],[Budget]]-BudgetsTable[[#This Row],[Spent]])</f>
        <v/>
      </c>
      <c r="M115" s="161"/>
      <c r="N115" s="161"/>
      <c r="O115" s="161"/>
      <c r="P115" s="161"/>
      <c r="Q115" s="161"/>
      <c r="R115" s="218"/>
      <c r="S1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5" s="218"/>
      <c r="X115" s="161"/>
    </row>
    <row r="116" spans="2:24" x14ac:dyDescent="0.25">
      <c r="B116" s="161"/>
      <c r="C116" s="252"/>
      <c r="D116" s="161"/>
      <c r="E116" s="161"/>
      <c r="F11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6" s="161"/>
      <c r="H116" s="161"/>
      <c r="I116" s="161"/>
      <c r="J11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6" s="161"/>
      <c r="L116" s="217" t="str">
        <f>IF(OR(ISBLANK(BudgetsTable[[#This Row],[Category]]),BudgetsTable[[#This Row],[Category]]=""),"",BudgetsTable[[#This Row],[Budget]]-BudgetsTable[[#This Row],[Spent]])</f>
        <v/>
      </c>
      <c r="M116" s="161"/>
      <c r="N116" s="161"/>
      <c r="O116" s="161"/>
      <c r="P116" s="161"/>
      <c r="Q116" s="161"/>
      <c r="R116" s="218"/>
      <c r="S1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6" s="218"/>
      <c r="X116" s="161"/>
    </row>
    <row r="117" spans="2:24" x14ac:dyDescent="0.25">
      <c r="B117" s="161"/>
      <c r="C117" s="252"/>
      <c r="D117" s="161"/>
      <c r="E117" s="161"/>
      <c r="F11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7" s="161"/>
      <c r="H117" s="161"/>
      <c r="I117" s="161"/>
      <c r="J11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7" s="161"/>
      <c r="L117" s="217" t="str">
        <f>IF(OR(ISBLANK(BudgetsTable[[#This Row],[Category]]),BudgetsTable[[#This Row],[Category]]=""),"",BudgetsTable[[#This Row],[Budget]]-BudgetsTable[[#This Row],[Spent]])</f>
        <v/>
      </c>
      <c r="M117" s="161"/>
      <c r="N117" s="161"/>
      <c r="O117" s="161"/>
      <c r="P117" s="161"/>
      <c r="Q117" s="161"/>
      <c r="R117" s="218"/>
      <c r="S1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7" s="218"/>
      <c r="X117" s="161"/>
    </row>
    <row r="118" spans="2:24" x14ac:dyDescent="0.25">
      <c r="B118" s="161"/>
      <c r="C118" s="252"/>
      <c r="D118" s="161"/>
      <c r="E118" s="161"/>
      <c r="F11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8" s="161"/>
      <c r="H118" s="161"/>
      <c r="I118" s="161"/>
      <c r="J11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8" s="161"/>
      <c r="L118" s="217" t="str">
        <f>IF(OR(ISBLANK(BudgetsTable[[#This Row],[Category]]),BudgetsTable[[#This Row],[Category]]=""),"",BudgetsTable[[#This Row],[Budget]]-BudgetsTable[[#This Row],[Spent]])</f>
        <v/>
      </c>
      <c r="M118" s="161"/>
      <c r="N118" s="161"/>
      <c r="O118" s="161"/>
      <c r="P118" s="161"/>
      <c r="Q118" s="161"/>
      <c r="R118" s="218"/>
      <c r="S1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8" s="218"/>
      <c r="X118" s="161"/>
    </row>
    <row r="119" spans="2:24" x14ac:dyDescent="0.25">
      <c r="B119" s="161"/>
      <c r="C119" s="252"/>
      <c r="D119" s="161"/>
      <c r="E119" s="161"/>
      <c r="F11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19" s="161"/>
      <c r="H119" s="161"/>
      <c r="I119" s="161"/>
      <c r="J11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19" s="161"/>
      <c r="L119" s="217" t="str">
        <f>IF(OR(ISBLANK(BudgetsTable[[#This Row],[Category]]),BudgetsTable[[#This Row],[Category]]=""),"",BudgetsTable[[#This Row],[Budget]]-BudgetsTable[[#This Row],[Spent]])</f>
        <v/>
      </c>
      <c r="M119" s="161"/>
      <c r="N119" s="161"/>
      <c r="O119" s="161"/>
      <c r="P119" s="161"/>
      <c r="Q119" s="161"/>
      <c r="R119" s="218"/>
      <c r="S1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1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19" s="218"/>
      <c r="X119" s="161"/>
    </row>
    <row r="120" spans="2:24" x14ac:dyDescent="0.25">
      <c r="B120" s="161"/>
      <c r="C120" s="252"/>
      <c r="D120" s="161"/>
      <c r="E120" s="161"/>
      <c r="F12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0" s="161"/>
      <c r="H120" s="161"/>
      <c r="I120" s="161"/>
      <c r="J12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0" s="161"/>
      <c r="L120" s="217" t="str">
        <f>IF(OR(ISBLANK(BudgetsTable[[#This Row],[Category]]),BudgetsTable[[#This Row],[Category]]=""),"",BudgetsTable[[#This Row],[Budget]]-BudgetsTable[[#This Row],[Spent]])</f>
        <v/>
      </c>
      <c r="M120" s="161"/>
      <c r="N120" s="161"/>
      <c r="O120" s="161"/>
      <c r="P120" s="161"/>
      <c r="Q120" s="161"/>
      <c r="R120" s="218"/>
      <c r="S1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0" s="218"/>
      <c r="X120" s="161"/>
    </row>
    <row r="121" spans="2:24" x14ac:dyDescent="0.25">
      <c r="B121" s="161"/>
      <c r="C121" s="252"/>
      <c r="D121" s="161"/>
      <c r="E121" s="161"/>
      <c r="F12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1" s="161"/>
      <c r="H121" s="161"/>
      <c r="I121" s="161"/>
      <c r="J12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1" s="161"/>
      <c r="L121" s="217" t="str">
        <f>IF(OR(ISBLANK(BudgetsTable[[#This Row],[Category]]),BudgetsTable[[#This Row],[Category]]=""),"",BudgetsTable[[#This Row],[Budget]]-BudgetsTable[[#This Row],[Spent]])</f>
        <v/>
      </c>
      <c r="M121" s="161"/>
      <c r="N121" s="161"/>
      <c r="O121" s="161"/>
      <c r="P121" s="161"/>
      <c r="Q121" s="161"/>
      <c r="R121" s="218"/>
      <c r="S1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1" s="218"/>
      <c r="X121" s="161"/>
    </row>
    <row r="122" spans="2:24" x14ac:dyDescent="0.25">
      <c r="B122" s="161"/>
      <c r="C122" s="252"/>
      <c r="D122" s="161"/>
      <c r="E122" s="161"/>
      <c r="F12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2" s="161"/>
      <c r="H122" s="161"/>
      <c r="I122" s="161"/>
      <c r="J12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2" s="161"/>
      <c r="L122" s="217" t="str">
        <f>IF(OR(ISBLANK(BudgetsTable[[#This Row],[Category]]),BudgetsTable[[#This Row],[Category]]=""),"",BudgetsTable[[#This Row],[Budget]]-BudgetsTable[[#This Row],[Spent]])</f>
        <v/>
      </c>
      <c r="M122" s="161"/>
      <c r="N122" s="161"/>
      <c r="O122" s="161"/>
      <c r="P122" s="161"/>
      <c r="Q122" s="161"/>
      <c r="R122" s="218"/>
      <c r="S1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2" s="218"/>
      <c r="X122" s="161"/>
    </row>
    <row r="123" spans="2:24" x14ac:dyDescent="0.25">
      <c r="B123" s="161"/>
      <c r="C123" s="252"/>
      <c r="D123" s="161"/>
      <c r="E123" s="161"/>
      <c r="F12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3" s="161"/>
      <c r="H123" s="161"/>
      <c r="I123" s="161"/>
      <c r="J12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3" s="161"/>
      <c r="L123" s="217" t="str">
        <f>IF(OR(ISBLANK(BudgetsTable[[#This Row],[Category]]),BudgetsTable[[#This Row],[Category]]=""),"",BudgetsTable[[#This Row],[Budget]]-BudgetsTable[[#This Row],[Spent]])</f>
        <v/>
      </c>
      <c r="M123" s="161"/>
      <c r="N123" s="161"/>
      <c r="O123" s="161"/>
      <c r="P123" s="161"/>
      <c r="Q123" s="161"/>
      <c r="R123" s="218"/>
      <c r="S1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3" s="218"/>
      <c r="X123" s="161"/>
    </row>
    <row r="124" spans="2:24" x14ac:dyDescent="0.25">
      <c r="B124" s="161"/>
      <c r="C124" s="252"/>
      <c r="D124" s="161"/>
      <c r="E124" s="161"/>
      <c r="F12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4" s="161"/>
      <c r="H124" s="161"/>
      <c r="I124" s="161"/>
      <c r="J12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4" s="161"/>
      <c r="L124" s="217" t="str">
        <f>IF(OR(ISBLANK(BudgetsTable[[#This Row],[Category]]),BudgetsTable[[#This Row],[Category]]=""),"",BudgetsTable[[#This Row],[Budget]]-BudgetsTable[[#This Row],[Spent]])</f>
        <v/>
      </c>
      <c r="M124" s="161"/>
      <c r="N124" s="161"/>
      <c r="O124" s="161"/>
      <c r="P124" s="161"/>
      <c r="Q124" s="161"/>
      <c r="R124" s="218"/>
      <c r="S1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4" s="218"/>
      <c r="X124" s="161"/>
    </row>
    <row r="125" spans="2:24" x14ac:dyDescent="0.25">
      <c r="B125" s="161"/>
      <c r="C125" s="252"/>
      <c r="D125" s="161"/>
      <c r="E125" s="161"/>
      <c r="F12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5" s="161"/>
      <c r="H125" s="161"/>
      <c r="I125" s="161"/>
      <c r="J12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5" s="161"/>
      <c r="L125" s="217" t="str">
        <f>IF(OR(ISBLANK(BudgetsTable[[#This Row],[Category]]),BudgetsTable[[#This Row],[Category]]=""),"",BudgetsTable[[#This Row],[Budget]]-BudgetsTable[[#This Row],[Spent]])</f>
        <v/>
      </c>
      <c r="M125" s="161"/>
      <c r="N125" s="161"/>
      <c r="O125" s="161"/>
      <c r="P125" s="161"/>
      <c r="Q125" s="161"/>
      <c r="R125" s="218"/>
      <c r="S1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5" s="218"/>
      <c r="X125" s="161"/>
    </row>
    <row r="126" spans="2:24" x14ac:dyDescent="0.25">
      <c r="B126" s="161"/>
      <c r="C126" s="252"/>
      <c r="D126" s="161"/>
      <c r="E126" s="161"/>
      <c r="F12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6" s="161"/>
      <c r="H126" s="161"/>
      <c r="I126" s="161"/>
      <c r="J12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6" s="161"/>
      <c r="L126" s="217" t="str">
        <f>IF(OR(ISBLANK(BudgetsTable[[#This Row],[Category]]),BudgetsTable[[#This Row],[Category]]=""),"",BudgetsTable[[#This Row],[Budget]]-BudgetsTable[[#This Row],[Spent]])</f>
        <v/>
      </c>
      <c r="M126" s="161"/>
      <c r="N126" s="161"/>
      <c r="O126" s="161"/>
      <c r="P126" s="161"/>
      <c r="Q126" s="161"/>
      <c r="R126" s="218"/>
      <c r="S1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6" s="218"/>
      <c r="X126" s="161"/>
    </row>
    <row r="127" spans="2:24" x14ac:dyDescent="0.25">
      <c r="B127" s="161"/>
      <c r="C127" s="252"/>
      <c r="D127" s="161"/>
      <c r="E127" s="161"/>
      <c r="F12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7" s="161"/>
      <c r="H127" s="161"/>
      <c r="I127" s="161"/>
      <c r="J12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7" s="161"/>
      <c r="L127" s="217" t="str">
        <f>IF(OR(ISBLANK(BudgetsTable[[#This Row],[Category]]),BudgetsTable[[#This Row],[Category]]=""),"",BudgetsTable[[#This Row],[Budget]]-BudgetsTable[[#This Row],[Spent]])</f>
        <v/>
      </c>
      <c r="M127" s="161"/>
      <c r="N127" s="161"/>
      <c r="O127" s="161"/>
      <c r="P127" s="161"/>
      <c r="Q127" s="161"/>
      <c r="R127" s="218"/>
      <c r="S1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7" s="218"/>
      <c r="X127" s="161"/>
    </row>
    <row r="128" spans="2:24" x14ac:dyDescent="0.25">
      <c r="B128" s="161"/>
      <c r="C128" s="252"/>
      <c r="D128" s="161"/>
      <c r="E128" s="161"/>
      <c r="F12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8" s="161"/>
      <c r="H128" s="161"/>
      <c r="I128" s="161"/>
      <c r="J12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8" s="161"/>
      <c r="L128" s="217" t="str">
        <f>IF(OR(ISBLANK(BudgetsTable[[#This Row],[Category]]),BudgetsTable[[#This Row],[Category]]=""),"",BudgetsTable[[#This Row],[Budget]]-BudgetsTable[[#This Row],[Spent]])</f>
        <v/>
      </c>
      <c r="M128" s="161"/>
      <c r="N128" s="161"/>
      <c r="O128" s="161"/>
      <c r="P128" s="161"/>
      <c r="Q128" s="161"/>
      <c r="R128" s="218"/>
      <c r="S1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8" s="218"/>
      <c r="X128" s="161"/>
    </row>
    <row r="129" spans="2:24" x14ac:dyDescent="0.25">
      <c r="B129" s="161"/>
      <c r="C129" s="252"/>
      <c r="D129" s="161"/>
      <c r="E129" s="161"/>
      <c r="F12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29" s="161"/>
      <c r="H129" s="161"/>
      <c r="I129" s="161"/>
      <c r="J12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29" s="161"/>
      <c r="L129" s="217" t="str">
        <f>IF(OR(ISBLANK(BudgetsTable[[#This Row],[Category]]),BudgetsTable[[#This Row],[Category]]=""),"",BudgetsTable[[#This Row],[Budget]]-BudgetsTable[[#This Row],[Spent]])</f>
        <v/>
      </c>
      <c r="M129" s="161"/>
      <c r="N129" s="161"/>
      <c r="O129" s="161"/>
      <c r="P129" s="161"/>
      <c r="Q129" s="161"/>
      <c r="R129" s="218"/>
      <c r="S1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2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29" s="218"/>
      <c r="X129" s="161"/>
    </row>
    <row r="130" spans="2:24" x14ac:dyDescent="0.25">
      <c r="B130" s="161"/>
      <c r="C130" s="252"/>
      <c r="D130" s="161"/>
      <c r="E130" s="161"/>
      <c r="F13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0" s="161"/>
      <c r="H130" s="161"/>
      <c r="I130" s="161"/>
      <c r="J13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0" s="161"/>
      <c r="L130" s="217" t="str">
        <f>IF(OR(ISBLANK(BudgetsTable[[#This Row],[Category]]),BudgetsTable[[#This Row],[Category]]=""),"",BudgetsTable[[#This Row],[Budget]]-BudgetsTable[[#This Row],[Spent]])</f>
        <v/>
      </c>
      <c r="M130" s="161"/>
      <c r="N130" s="161"/>
      <c r="O130" s="161"/>
      <c r="P130" s="161"/>
      <c r="Q130" s="161"/>
      <c r="R130" s="218"/>
      <c r="S1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0" s="218"/>
      <c r="X130" s="161"/>
    </row>
    <row r="131" spans="2:24" x14ac:dyDescent="0.25">
      <c r="B131" s="161"/>
      <c r="C131" s="252"/>
      <c r="D131" s="161"/>
      <c r="E131" s="161"/>
      <c r="F13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1" s="161"/>
      <c r="H131" s="161"/>
      <c r="I131" s="161"/>
      <c r="J13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1" s="161"/>
      <c r="L131" s="217" t="str">
        <f>IF(OR(ISBLANK(BudgetsTable[[#This Row],[Category]]),BudgetsTable[[#This Row],[Category]]=""),"",BudgetsTable[[#This Row],[Budget]]-BudgetsTable[[#This Row],[Spent]])</f>
        <v/>
      </c>
      <c r="M131" s="161"/>
      <c r="N131" s="161"/>
      <c r="O131" s="161"/>
      <c r="P131" s="161"/>
      <c r="Q131" s="161"/>
      <c r="R131" s="218"/>
      <c r="S1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1" s="218"/>
      <c r="X131" s="161"/>
    </row>
    <row r="132" spans="2:24" x14ac:dyDescent="0.25">
      <c r="B132" s="161"/>
      <c r="C132" s="252"/>
      <c r="D132" s="161"/>
      <c r="E132" s="161"/>
      <c r="F13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2" s="161"/>
      <c r="H132" s="161"/>
      <c r="I132" s="161"/>
      <c r="J13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2" s="161"/>
      <c r="L132" s="217" t="str">
        <f>IF(OR(ISBLANK(BudgetsTable[[#This Row],[Category]]),BudgetsTable[[#This Row],[Category]]=""),"",BudgetsTable[[#This Row],[Budget]]-BudgetsTable[[#This Row],[Spent]])</f>
        <v/>
      </c>
      <c r="M132" s="161"/>
      <c r="N132" s="161"/>
      <c r="O132" s="161"/>
      <c r="P132" s="161"/>
      <c r="Q132" s="161"/>
      <c r="R132" s="218"/>
      <c r="S1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2" s="218"/>
      <c r="X132" s="161"/>
    </row>
    <row r="133" spans="2:24" x14ac:dyDescent="0.25">
      <c r="B133" s="161"/>
      <c r="C133" s="252"/>
      <c r="D133" s="161"/>
      <c r="E133" s="161"/>
      <c r="F13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3" s="161"/>
      <c r="H133" s="161"/>
      <c r="I133" s="161"/>
      <c r="J13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3" s="161"/>
      <c r="L133" s="217" t="str">
        <f>IF(OR(ISBLANK(BudgetsTable[[#This Row],[Category]]),BudgetsTable[[#This Row],[Category]]=""),"",BudgetsTable[[#This Row],[Budget]]-BudgetsTable[[#This Row],[Spent]])</f>
        <v/>
      </c>
      <c r="M133" s="161"/>
      <c r="N133" s="161"/>
      <c r="O133" s="161"/>
      <c r="P133" s="161"/>
      <c r="Q133" s="161"/>
      <c r="R133" s="218"/>
      <c r="S1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3" s="218"/>
      <c r="X133" s="161"/>
    </row>
    <row r="134" spans="2:24" x14ac:dyDescent="0.25">
      <c r="B134" s="161"/>
      <c r="C134" s="252"/>
      <c r="D134" s="161"/>
      <c r="E134" s="161"/>
      <c r="F13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4" s="161"/>
      <c r="H134" s="161"/>
      <c r="I134" s="161"/>
      <c r="J13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4" s="161"/>
      <c r="L134" s="217" t="str">
        <f>IF(OR(ISBLANK(BudgetsTable[[#This Row],[Category]]),BudgetsTable[[#This Row],[Category]]=""),"",BudgetsTable[[#This Row],[Budget]]-BudgetsTable[[#This Row],[Spent]])</f>
        <v/>
      </c>
      <c r="M134" s="161"/>
      <c r="N134" s="161"/>
      <c r="O134" s="161"/>
      <c r="P134" s="161"/>
      <c r="Q134" s="161"/>
      <c r="R134" s="218"/>
      <c r="S1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4" s="218"/>
      <c r="X134" s="161"/>
    </row>
    <row r="135" spans="2:24" x14ac:dyDescent="0.25">
      <c r="B135" s="161"/>
      <c r="C135" s="252"/>
      <c r="D135" s="161"/>
      <c r="E135" s="161"/>
      <c r="F13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5" s="161"/>
      <c r="H135" s="161"/>
      <c r="I135" s="161"/>
      <c r="J13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5" s="161"/>
      <c r="L135" s="217" t="str">
        <f>IF(OR(ISBLANK(BudgetsTable[[#This Row],[Category]]),BudgetsTable[[#This Row],[Category]]=""),"",BudgetsTable[[#This Row],[Budget]]-BudgetsTable[[#This Row],[Spent]])</f>
        <v/>
      </c>
      <c r="M135" s="161"/>
      <c r="N135" s="161"/>
      <c r="O135" s="161"/>
      <c r="P135" s="161"/>
      <c r="Q135" s="161"/>
      <c r="R135" s="218"/>
      <c r="S1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5" s="218"/>
      <c r="X135" s="161"/>
    </row>
    <row r="136" spans="2:24" x14ac:dyDescent="0.25">
      <c r="B136" s="161"/>
      <c r="C136" s="252"/>
      <c r="D136" s="161"/>
      <c r="E136" s="161"/>
      <c r="F13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6" s="161"/>
      <c r="H136" s="161"/>
      <c r="I136" s="161"/>
      <c r="J13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6" s="161"/>
      <c r="L136" s="217" t="str">
        <f>IF(OR(ISBLANK(BudgetsTable[[#This Row],[Category]]),BudgetsTable[[#This Row],[Category]]=""),"",BudgetsTable[[#This Row],[Budget]]-BudgetsTable[[#This Row],[Spent]])</f>
        <v/>
      </c>
      <c r="M136" s="161"/>
      <c r="N136" s="161"/>
      <c r="O136" s="161"/>
      <c r="P136" s="161"/>
      <c r="Q136" s="161"/>
      <c r="R136" s="218"/>
      <c r="S1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6" s="218"/>
      <c r="X136" s="161"/>
    </row>
    <row r="137" spans="2:24" x14ac:dyDescent="0.25">
      <c r="B137" s="161"/>
      <c r="C137" s="252"/>
      <c r="D137" s="161"/>
      <c r="E137" s="161"/>
      <c r="F13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7" s="161"/>
      <c r="H137" s="161"/>
      <c r="I137" s="161"/>
      <c r="J13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7" s="161"/>
      <c r="L137" s="217" t="str">
        <f>IF(OR(ISBLANK(BudgetsTable[[#This Row],[Category]]),BudgetsTable[[#This Row],[Category]]=""),"",BudgetsTable[[#This Row],[Budget]]-BudgetsTable[[#This Row],[Spent]])</f>
        <v/>
      </c>
      <c r="M137" s="161"/>
      <c r="N137" s="161"/>
      <c r="O137" s="161"/>
      <c r="P137" s="161"/>
      <c r="Q137" s="161"/>
      <c r="R137" s="218"/>
      <c r="S1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7" s="218"/>
      <c r="X137" s="161"/>
    </row>
    <row r="138" spans="2:24" x14ac:dyDescent="0.25">
      <c r="B138" s="161"/>
      <c r="C138" s="252"/>
      <c r="D138" s="161"/>
      <c r="E138" s="161"/>
      <c r="F13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8" s="161"/>
      <c r="H138" s="161"/>
      <c r="I138" s="161"/>
      <c r="J13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8" s="161"/>
      <c r="L138" s="217" t="str">
        <f>IF(OR(ISBLANK(BudgetsTable[[#This Row],[Category]]),BudgetsTable[[#This Row],[Category]]=""),"",BudgetsTable[[#This Row],[Budget]]-BudgetsTable[[#This Row],[Spent]])</f>
        <v/>
      </c>
      <c r="M138" s="161"/>
      <c r="N138" s="161"/>
      <c r="O138" s="161"/>
      <c r="P138" s="161"/>
      <c r="Q138" s="161"/>
      <c r="R138" s="218"/>
      <c r="S13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8" s="218"/>
      <c r="X138" s="161"/>
    </row>
    <row r="139" spans="2:24" x14ac:dyDescent="0.25">
      <c r="B139" s="161"/>
      <c r="C139" s="252"/>
      <c r="D139" s="161"/>
      <c r="E139" s="161"/>
      <c r="F13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39" s="161"/>
      <c r="H139" s="161"/>
      <c r="I139" s="161"/>
      <c r="J13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39" s="161"/>
      <c r="L139" s="217" t="str">
        <f>IF(OR(ISBLANK(BudgetsTable[[#This Row],[Category]]),BudgetsTable[[#This Row],[Category]]=""),"",BudgetsTable[[#This Row],[Budget]]-BudgetsTable[[#This Row],[Spent]])</f>
        <v/>
      </c>
      <c r="M139" s="161"/>
      <c r="N139" s="161"/>
      <c r="O139" s="161"/>
      <c r="P139" s="161"/>
      <c r="Q139" s="161"/>
      <c r="R139" s="218"/>
      <c r="S13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3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3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3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39" s="218"/>
      <c r="X139" s="161"/>
    </row>
    <row r="140" spans="2:24" x14ac:dyDescent="0.25">
      <c r="B140" s="161"/>
      <c r="C140" s="252"/>
      <c r="D140" s="161"/>
      <c r="E140" s="161"/>
      <c r="F14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0" s="161"/>
      <c r="H140" s="161"/>
      <c r="I140" s="161"/>
      <c r="J14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0" s="161"/>
      <c r="L140" s="217" t="str">
        <f>IF(OR(ISBLANK(BudgetsTable[[#This Row],[Category]]),BudgetsTable[[#This Row],[Category]]=""),"",BudgetsTable[[#This Row],[Budget]]-BudgetsTable[[#This Row],[Spent]])</f>
        <v/>
      </c>
      <c r="M140" s="161"/>
      <c r="N140" s="161"/>
      <c r="O140" s="161"/>
      <c r="P140" s="161"/>
      <c r="Q140" s="161"/>
      <c r="R140" s="218"/>
      <c r="S14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0" s="218"/>
      <c r="X140" s="161"/>
    </row>
    <row r="141" spans="2:24" x14ac:dyDescent="0.25">
      <c r="B141" s="161"/>
      <c r="C141" s="252"/>
      <c r="D141" s="161"/>
      <c r="E141" s="161"/>
      <c r="F14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1" s="161"/>
      <c r="H141" s="161"/>
      <c r="I141" s="161"/>
      <c r="J14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1" s="161"/>
      <c r="L141" s="217" t="str">
        <f>IF(OR(ISBLANK(BudgetsTable[[#This Row],[Category]]),BudgetsTable[[#This Row],[Category]]=""),"",BudgetsTable[[#This Row],[Budget]]-BudgetsTable[[#This Row],[Spent]])</f>
        <v/>
      </c>
      <c r="M141" s="161"/>
      <c r="N141" s="161"/>
      <c r="O141" s="161"/>
      <c r="P141" s="161"/>
      <c r="Q141" s="161"/>
      <c r="R141" s="218"/>
      <c r="S14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1" s="218"/>
      <c r="X141" s="161"/>
    </row>
    <row r="142" spans="2:24" x14ac:dyDescent="0.25">
      <c r="B142" s="161"/>
      <c r="C142" s="252"/>
      <c r="D142" s="161"/>
      <c r="E142" s="161"/>
      <c r="F14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2" s="161"/>
      <c r="H142" s="161"/>
      <c r="I142" s="161"/>
      <c r="J14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2" s="161"/>
      <c r="L142" s="217" t="str">
        <f>IF(OR(ISBLANK(BudgetsTable[[#This Row],[Category]]),BudgetsTable[[#This Row],[Category]]=""),"",BudgetsTable[[#This Row],[Budget]]-BudgetsTable[[#This Row],[Spent]])</f>
        <v/>
      </c>
      <c r="M142" s="161"/>
      <c r="N142" s="161"/>
      <c r="O142" s="161"/>
      <c r="P142" s="161"/>
      <c r="Q142" s="161"/>
      <c r="R142" s="218"/>
      <c r="S14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2" s="218"/>
      <c r="X142" s="161"/>
    </row>
    <row r="143" spans="2:24" x14ac:dyDescent="0.25">
      <c r="B143" s="161"/>
      <c r="C143" s="252"/>
      <c r="D143" s="161"/>
      <c r="E143" s="161"/>
      <c r="F14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3" s="161"/>
      <c r="H143" s="161"/>
      <c r="I143" s="161"/>
      <c r="J14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3" s="161"/>
      <c r="L143" s="217" t="str">
        <f>IF(OR(ISBLANK(BudgetsTable[[#This Row],[Category]]),BudgetsTable[[#This Row],[Category]]=""),"",BudgetsTable[[#This Row],[Budget]]-BudgetsTable[[#This Row],[Spent]])</f>
        <v/>
      </c>
      <c r="M143" s="161"/>
      <c r="N143" s="161"/>
      <c r="O143" s="161"/>
      <c r="P143" s="161"/>
      <c r="Q143" s="161"/>
      <c r="R143" s="218"/>
      <c r="S14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3" s="218"/>
      <c r="X143" s="161"/>
    </row>
    <row r="144" spans="2:24" x14ac:dyDescent="0.25">
      <c r="B144" s="161"/>
      <c r="C144" s="252"/>
      <c r="D144" s="161"/>
      <c r="E144" s="161"/>
      <c r="F14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4" s="161"/>
      <c r="H144" s="161"/>
      <c r="I144" s="161"/>
      <c r="J14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4" s="161"/>
      <c r="L144" s="217" t="str">
        <f>IF(OR(ISBLANK(BudgetsTable[[#This Row],[Category]]),BudgetsTable[[#This Row],[Category]]=""),"",BudgetsTable[[#This Row],[Budget]]-BudgetsTable[[#This Row],[Spent]])</f>
        <v/>
      </c>
      <c r="M144" s="161"/>
      <c r="N144" s="161"/>
      <c r="O144" s="161"/>
      <c r="P144" s="161"/>
      <c r="Q144" s="161"/>
      <c r="R144" s="218"/>
      <c r="S14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4" s="218"/>
      <c r="X144" s="161"/>
    </row>
    <row r="145" spans="2:24" x14ac:dyDescent="0.25">
      <c r="B145" s="161"/>
      <c r="C145" s="252"/>
      <c r="D145" s="161"/>
      <c r="E145" s="161"/>
      <c r="F14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5" s="161"/>
      <c r="H145" s="161"/>
      <c r="I145" s="161"/>
      <c r="J14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5" s="161"/>
      <c r="L145" s="217" t="str">
        <f>IF(OR(ISBLANK(BudgetsTable[[#This Row],[Category]]),BudgetsTable[[#This Row],[Category]]=""),"",BudgetsTable[[#This Row],[Budget]]-BudgetsTable[[#This Row],[Spent]])</f>
        <v/>
      </c>
      <c r="M145" s="161"/>
      <c r="N145" s="161"/>
      <c r="O145" s="161"/>
      <c r="P145" s="161"/>
      <c r="Q145" s="161"/>
      <c r="R145" s="218"/>
      <c r="S14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5" s="218"/>
      <c r="X145" s="161"/>
    </row>
    <row r="146" spans="2:24" x14ac:dyDescent="0.25">
      <c r="B146" s="161"/>
      <c r="C146" s="252"/>
      <c r="D146" s="161"/>
      <c r="E146" s="161"/>
      <c r="F14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6" s="161"/>
      <c r="H146" s="161"/>
      <c r="I146" s="161"/>
      <c r="J14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6" s="161"/>
      <c r="L146" s="217" t="str">
        <f>IF(OR(ISBLANK(BudgetsTable[[#This Row],[Category]]),BudgetsTable[[#This Row],[Category]]=""),"",BudgetsTable[[#This Row],[Budget]]-BudgetsTable[[#This Row],[Spent]])</f>
        <v/>
      </c>
      <c r="M146" s="161"/>
      <c r="N146" s="161"/>
      <c r="O146" s="161"/>
      <c r="P146" s="161"/>
      <c r="Q146" s="161"/>
      <c r="R146" s="218"/>
      <c r="S14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6" s="218"/>
      <c r="X146" s="161"/>
    </row>
    <row r="147" spans="2:24" x14ac:dyDescent="0.25">
      <c r="B147" s="161"/>
      <c r="C147" s="252"/>
      <c r="D147" s="161"/>
      <c r="E147" s="161"/>
      <c r="F14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7" s="161"/>
      <c r="H147" s="161"/>
      <c r="I147" s="161"/>
      <c r="J14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7" s="161"/>
      <c r="L147" s="217" t="str">
        <f>IF(OR(ISBLANK(BudgetsTable[[#This Row],[Category]]),BudgetsTable[[#This Row],[Category]]=""),"",BudgetsTable[[#This Row],[Budget]]-BudgetsTable[[#This Row],[Spent]])</f>
        <v/>
      </c>
      <c r="M147" s="161"/>
      <c r="N147" s="161"/>
      <c r="O147" s="161"/>
      <c r="P147" s="161"/>
      <c r="Q147" s="161"/>
      <c r="R147" s="218"/>
      <c r="S14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7" s="218"/>
      <c r="X147" s="161"/>
    </row>
    <row r="148" spans="2:24" x14ac:dyDescent="0.25">
      <c r="B148" s="161"/>
      <c r="C148" s="252"/>
      <c r="D148" s="161"/>
      <c r="E148" s="161"/>
      <c r="F14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8" s="161"/>
      <c r="H148" s="161"/>
      <c r="I148" s="161"/>
      <c r="J14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8" s="161"/>
      <c r="L148" s="217" t="str">
        <f>IF(OR(ISBLANK(BudgetsTable[[#This Row],[Category]]),BudgetsTable[[#This Row],[Category]]=""),"",BudgetsTable[[#This Row],[Budget]]-BudgetsTable[[#This Row],[Spent]])</f>
        <v/>
      </c>
      <c r="M148" s="161"/>
      <c r="N148" s="161"/>
      <c r="O148" s="161"/>
      <c r="P148" s="161"/>
      <c r="Q148" s="161"/>
      <c r="R148" s="218"/>
      <c r="S14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8" s="218"/>
      <c r="X148" s="161"/>
    </row>
    <row r="149" spans="2:24" x14ac:dyDescent="0.25">
      <c r="B149" s="161"/>
      <c r="C149" s="252"/>
      <c r="D149" s="161"/>
      <c r="E149" s="161"/>
      <c r="F14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49" s="161"/>
      <c r="H149" s="161"/>
      <c r="I149" s="161"/>
      <c r="J14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49" s="161"/>
      <c r="L149" s="217" t="str">
        <f>IF(OR(ISBLANK(BudgetsTable[[#This Row],[Category]]),BudgetsTable[[#This Row],[Category]]=""),"",BudgetsTable[[#This Row],[Budget]]-BudgetsTable[[#This Row],[Spent]])</f>
        <v/>
      </c>
      <c r="M149" s="161"/>
      <c r="N149" s="161"/>
      <c r="O149" s="161"/>
      <c r="P149" s="161"/>
      <c r="Q149" s="161"/>
      <c r="R149" s="218"/>
      <c r="S14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4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4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4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49" s="218"/>
      <c r="X149" s="161"/>
    </row>
    <row r="150" spans="2:24" x14ac:dyDescent="0.25">
      <c r="B150" s="161"/>
      <c r="C150" s="252"/>
      <c r="D150" s="161"/>
      <c r="E150" s="161"/>
      <c r="F15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0" s="161"/>
      <c r="H150" s="161"/>
      <c r="I150" s="161"/>
      <c r="J15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0" s="161"/>
      <c r="L150" s="217" t="str">
        <f>IF(OR(ISBLANK(BudgetsTable[[#This Row],[Category]]),BudgetsTable[[#This Row],[Category]]=""),"",BudgetsTable[[#This Row],[Budget]]-BudgetsTable[[#This Row],[Spent]])</f>
        <v/>
      </c>
      <c r="M150" s="161"/>
      <c r="N150" s="161"/>
      <c r="O150" s="161"/>
      <c r="P150" s="161"/>
      <c r="Q150" s="161"/>
      <c r="R150" s="218"/>
      <c r="S15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0" s="218"/>
      <c r="X150" s="161"/>
    </row>
    <row r="151" spans="2:24" x14ac:dyDescent="0.25">
      <c r="B151" s="161"/>
      <c r="C151" s="252"/>
      <c r="D151" s="161"/>
      <c r="E151" s="161"/>
      <c r="F15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1" s="161"/>
      <c r="H151" s="161"/>
      <c r="I151" s="161"/>
      <c r="J15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1" s="161"/>
      <c r="L151" s="217" t="str">
        <f>IF(OR(ISBLANK(BudgetsTable[[#This Row],[Category]]),BudgetsTable[[#This Row],[Category]]=""),"",BudgetsTable[[#This Row],[Budget]]-BudgetsTable[[#This Row],[Spent]])</f>
        <v/>
      </c>
      <c r="M151" s="161"/>
      <c r="N151" s="161"/>
      <c r="O151" s="161"/>
      <c r="P151" s="161"/>
      <c r="Q151" s="161"/>
      <c r="R151" s="218"/>
      <c r="S1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1" s="218"/>
      <c r="X151" s="161"/>
    </row>
    <row r="152" spans="2:24" x14ac:dyDescent="0.25">
      <c r="B152" s="161"/>
      <c r="C152" s="252"/>
      <c r="D152" s="161"/>
      <c r="E152" s="161"/>
      <c r="F15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2" s="161"/>
      <c r="H152" s="161"/>
      <c r="I152" s="161"/>
      <c r="J15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2" s="161"/>
      <c r="L152" s="217" t="str">
        <f>IF(OR(ISBLANK(BudgetsTable[[#This Row],[Category]]),BudgetsTable[[#This Row],[Category]]=""),"",BudgetsTable[[#This Row],[Budget]]-BudgetsTable[[#This Row],[Spent]])</f>
        <v/>
      </c>
      <c r="M152" s="161"/>
      <c r="N152" s="161"/>
      <c r="O152" s="161"/>
      <c r="P152" s="161"/>
      <c r="Q152" s="161"/>
      <c r="R152" s="218"/>
      <c r="S1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2" s="218"/>
      <c r="X152" s="161"/>
    </row>
    <row r="153" spans="2:24" x14ac:dyDescent="0.25">
      <c r="B153" s="161"/>
      <c r="C153" s="252"/>
      <c r="D153" s="161"/>
      <c r="E153" s="161"/>
      <c r="F15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3" s="161"/>
      <c r="H153" s="161"/>
      <c r="I153" s="161"/>
      <c r="J15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3" s="161"/>
      <c r="L153" s="217" t="str">
        <f>IF(OR(ISBLANK(BudgetsTable[[#This Row],[Category]]),BudgetsTable[[#This Row],[Category]]=""),"",BudgetsTable[[#This Row],[Budget]]-BudgetsTable[[#This Row],[Spent]])</f>
        <v/>
      </c>
      <c r="M153" s="161"/>
      <c r="N153" s="161"/>
      <c r="O153" s="161"/>
      <c r="P153" s="161"/>
      <c r="Q153" s="161"/>
      <c r="R153" s="218"/>
      <c r="S1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3" s="218"/>
      <c r="X153" s="161"/>
    </row>
    <row r="154" spans="2:24" x14ac:dyDescent="0.25">
      <c r="B154" s="161"/>
      <c r="C154" s="252"/>
      <c r="D154" s="161"/>
      <c r="E154" s="161"/>
      <c r="F15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4" s="161"/>
      <c r="H154" s="161"/>
      <c r="I154" s="161"/>
      <c r="J15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4" s="161"/>
      <c r="L154" s="217" t="str">
        <f>IF(OR(ISBLANK(BudgetsTable[[#This Row],[Category]]),BudgetsTable[[#This Row],[Category]]=""),"",BudgetsTable[[#This Row],[Budget]]-BudgetsTable[[#This Row],[Spent]])</f>
        <v/>
      </c>
      <c r="M154" s="161"/>
      <c r="N154" s="161"/>
      <c r="O154" s="161"/>
      <c r="P154" s="161"/>
      <c r="Q154" s="161"/>
      <c r="R154" s="218"/>
      <c r="S1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4" s="218"/>
      <c r="X154" s="161"/>
    </row>
    <row r="155" spans="2:24" x14ac:dyDescent="0.25">
      <c r="B155" s="161"/>
      <c r="C155" s="252"/>
      <c r="D155" s="161"/>
      <c r="E155" s="161"/>
      <c r="F15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5" s="161"/>
      <c r="H155" s="161"/>
      <c r="I155" s="161"/>
      <c r="J15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5" s="161"/>
      <c r="L155" s="217" t="str">
        <f>IF(OR(ISBLANK(BudgetsTable[[#This Row],[Category]]),BudgetsTable[[#This Row],[Category]]=""),"",BudgetsTable[[#This Row],[Budget]]-BudgetsTable[[#This Row],[Spent]])</f>
        <v/>
      </c>
      <c r="M155" s="161"/>
      <c r="N155" s="161"/>
      <c r="O155" s="161"/>
      <c r="P155" s="161"/>
      <c r="Q155" s="161"/>
      <c r="R155" s="218"/>
      <c r="S1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5" s="218"/>
      <c r="X155" s="161"/>
    </row>
    <row r="156" spans="2:24" x14ac:dyDescent="0.25">
      <c r="B156" s="161"/>
      <c r="C156" s="252"/>
      <c r="D156" s="161"/>
      <c r="E156" s="161"/>
      <c r="F15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6" s="161"/>
      <c r="H156" s="161"/>
      <c r="I156" s="161"/>
      <c r="J15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6" s="161"/>
      <c r="L156" s="217" t="str">
        <f>IF(OR(ISBLANK(BudgetsTable[[#This Row],[Category]]),BudgetsTable[[#This Row],[Category]]=""),"",BudgetsTable[[#This Row],[Budget]]-BudgetsTable[[#This Row],[Spent]])</f>
        <v/>
      </c>
      <c r="M156" s="161"/>
      <c r="N156" s="161"/>
      <c r="O156" s="161"/>
      <c r="P156" s="161"/>
      <c r="Q156" s="161"/>
      <c r="R156" s="218"/>
      <c r="S1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6" s="218"/>
      <c r="X156" s="161"/>
    </row>
    <row r="157" spans="2:24" x14ac:dyDescent="0.25">
      <c r="B157" s="161"/>
      <c r="C157" s="252"/>
      <c r="D157" s="161"/>
      <c r="E157" s="161"/>
      <c r="F15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7" s="161"/>
      <c r="H157" s="161"/>
      <c r="I157" s="161"/>
      <c r="J15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7" s="161"/>
      <c r="L157" s="217" t="str">
        <f>IF(OR(ISBLANK(BudgetsTable[[#This Row],[Category]]),BudgetsTable[[#This Row],[Category]]=""),"",BudgetsTable[[#This Row],[Budget]]-BudgetsTable[[#This Row],[Spent]])</f>
        <v/>
      </c>
      <c r="M157" s="161"/>
      <c r="N157" s="161"/>
      <c r="O157" s="161"/>
      <c r="P157" s="161"/>
      <c r="Q157" s="161"/>
      <c r="R157" s="218"/>
      <c r="S1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7" s="218"/>
      <c r="X157" s="161"/>
    </row>
    <row r="158" spans="2:24" x14ac:dyDescent="0.25">
      <c r="B158" s="161"/>
      <c r="C158" s="252"/>
      <c r="D158" s="161"/>
      <c r="E158" s="161"/>
      <c r="F15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8" s="161"/>
      <c r="H158" s="161"/>
      <c r="I158" s="161"/>
      <c r="J15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8" s="161"/>
      <c r="L158" s="217" t="str">
        <f>IF(OR(ISBLANK(BudgetsTable[[#This Row],[Category]]),BudgetsTable[[#This Row],[Category]]=""),"",BudgetsTable[[#This Row],[Budget]]-BudgetsTable[[#This Row],[Spent]])</f>
        <v/>
      </c>
      <c r="M158" s="161"/>
      <c r="N158" s="161"/>
      <c r="O158" s="161"/>
      <c r="P158" s="161"/>
      <c r="Q158" s="161"/>
      <c r="R158" s="218"/>
      <c r="S1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8" s="218"/>
      <c r="X158" s="161"/>
    </row>
    <row r="159" spans="2:24" x14ac:dyDescent="0.25">
      <c r="B159" s="161"/>
      <c r="C159" s="252"/>
      <c r="D159" s="161"/>
      <c r="E159" s="161"/>
      <c r="F15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59" s="161"/>
      <c r="H159" s="161"/>
      <c r="I159" s="161"/>
      <c r="J15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59" s="161"/>
      <c r="L159" s="217" t="str">
        <f>IF(OR(ISBLANK(BudgetsTable[[#This Row],[Category]]),BudgetsTable[[#This Row],[Category]]=""),"",BudgetsTable[[#This Row],[Budget]]-BudgetsTable[[#This Row],[Spent]])</f>
        <v/>
      </c>
      <c r="M159" s="161"/>
      <c r="N159" s="161"/>
      <c r="O159" s="161"/>
      <c r="P159" s="161"/>
      <c r="Q159" s="161"/>
      <c r="R159" s="218"/>
      <c r="S1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5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5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59" s="218"/>
      <c r="X159" s="161"/>
    </row>
    <row r="160" spans="2:24" x14ac:dyDescent="0.25">
      <c r="B160" s="161"/>
      <c r="C160" s="252"/>
      <c r="D160" s="161"/>
      <c r="E160" s="161"/>
      <c r="F16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0" s="161"/>
      <c r="H160" s="161"/>
      <c r="I160" s="161"/>
      <c r="J16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0" s="161"/>
      <c r="L160" s="217" t="str">
        <f>IF(OR(ISBLANK(BudgetsTable[[#This Row],[Category]]),BudgetsTable[[#This Row],[Category]]=""),"",BudgetsTable[[#This Row],[Budget]]-BudgetsTable[[#This Row],[Spent]])</f>
        <v/>
      </c>
      <c r="M160" s="161"/>
      <c r="N160" s="161"/>
      <c r="O160" s="161"/>
      <c r="P160" s="161"/>
      <c r="Q160" s="161"/>
      <c r="R160" s="218"/>
      <c r="S1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0" s="218"/>
      <c r="X160" s="161"/>
    </row>
    <row r="161" spans="2:24" x14ac:dyDescent="0.25">
      <c r="B161" s="161"/>
      <c r="C161" s="252"/>
      <c r="D161" s="161"/>
      <c r="E161" s="161"/>
      <c r="F16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1" s="161"/>
      <c r="H161" s="161"/>
      <c r="I161" s="161"/>
      <c r="J16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1" s="161"/>
      <c r="L161" s="217" t="str">
        <f>IF(OR(ISBLANK(BudgetsTable[[#This Row],[Category]]),BudgetsTable[[#This Row],[Category]]=""),"",BudgetsTable[[#This Row],[Budget]]-BudgetsTable[[#This Row],[Spent]])</f>
        <v/>
      </c>
      <c r="M161" s="161"/>
      <c r="N161" s="161"/>
      <c r="O161" s="161"/>
      <c r="P161" s="161"/>
      <c r="Q161" s="161"/>
      <c r="R161" s="218"/>
      <c r="S1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1" s="218"/>
      <c r="X161" s="161"/>
    </row>
    <row r="162" spans="2:24" x14ac:dyDescent="0.25">
      <c r="B162" s="161"/>
      <c r="C162" s="252"/>
      <c r="D162" s="161"/>
      <c r="E162" s="161"/>
      <c r="F16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2" s="161"/>
      <c r="H162" s="161"/>
      <c r="I162" s="161"/>
      <c r="J16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2" s="161"/>
      <c r="L162" s="217" t="str">
        <f>IF(OR(ISBLANK(BudgetsTable[[#This Row],[Category]]),BudgetsTable[[#This Row],[Category]]=""),"",BudgetsTable[[#This Row],[Budget]]-BudgetsTable[[#This Row],[Spent]])</f>
        <v/>
      </c>
      <c r="M162" s="161"/>
      <c r="N162" s="161"/>
      <c r="O162" s="161"/>
      <c r="P162" s="161"/>
      <c r="Q162" s="161"/>
      <c r="R162" s="218"/>
      <c r="S1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2" s="218"/>
      <c r="X162" s="161"/>
    </row>
    <row r="163" spans="2:24" x14ac:dyDescent="0.25">
      <c r="B163" s="161"/>
      <c r="C163" s="252"/>
      <c r="D163" s="161"/>
      <c r="E163" s="161"/>
      <c r="F16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3" s="161"/>
      <c r="H163" s="161"/>
      <c r="I163" s="161"/>
      <c r="J16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3" s="161"/>
      <c r="L163" s="217" t="str">
        <f>IF(OR(ISBLANK(BudgetsTable[[#This Row],[Category]]),BudgetsTable[[#This Row],[Category]]=""),"",BudgetsTable[[#This Row],[Budget]]-BudgetsTable[[#This Row],[Spent]])</f>
        <v/>
      </c>
      <c r="M163" s="161"/>
      <c r="N163" s="161"/>
      <c r="O163" s="161"/>
      <c r="P163" s="161"/>
      <c r="Q163" s="161"/>
      <c r="R163" s="218"/>
      <c r="S1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3" s="218"/>
      <c r="X163" s="161"/>
    </row>
    <row r="164" spans="2:24" x14ac:dyDescent="0.25">
      <c r="B164" s="161"/>
      <c r="C164" s="252"/>
      <c r="D164" s="161"/>
      <c r="E164" s="161"/>
      <c r="F16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4" s="161"/>
      <c r="H164" s="161"/>
      <c r="I164" s="161"/>
      <c r="J16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4" s="161"/>
      <c r="L164" s="217" t="str">
        <f>IF(OR(ISBLANK(BudgetsTable[[#This Row],[Category]]),BudgetsTable[[#This Row],[Category]]=""),"",BudgetsTable[[#This Row],[Budget]]-BudgetsTable[[#This Row],[Spent]])</f>
        <v/>
      </c>
      <c r="M164" s="161"/>
      <c r="N164" s="161"/>
      <c r="O164" s="161"/>
      <c r="P164" s="161"/>
      <c r="Q164" s="161"/>
      <c r="R164" s="218"/>
      <c r="S1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4" s="218"/>
      <c r="X164" s="161"/>
    </row>
    <row r="165" spans="2:24" x14ac:dyDescent="0.25">
      <c r="B165" s="161"/>
      <c r="C165" s="252"/>
      <c r="D165" s="161"/>
      <c r="E165" s="161"/>
      <c r="F16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5" s="161"/>
      <c r="H165" s="161"/>
      <c r="I165" s="161"/>
      <c r="J16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5" s="161"/>
      <c r="L165" s="217" t="str">
        <f>IF(OR(ISBLANK(BudgetsTable[[#This Row],[Category]]),BudgetsTable[[#This Row],[Category]]=""),"",BudgetsTable[[#This Row],[Budget]]-BudgetsTable[[#This Row],[Spent]])</f>
        <v/>
      </c>
      <c r="M165" s="161"/>
      <c r="N165" s="161"/>
      <c r="O165" s="161"/>
      <c r="P165" s="161"/>
      <c r="Q165" s="161"/>
      <c r="R165" s="218"/>
      <c r="S1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5" s="218"/>
      <c r="X165" s="161"/>
    </row>
    <row r="166" spans="2:24" x14ac:dyDescent="0.25">
      <c r="B166" s="161"/>
      <c r="C166" s="252"/>
      <c r="D166" s="161"/>
      <c r="E166" s="161"/>
      <c r="F16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6" s="161"/>
      <c r="H166" s="161"/>
      <c r="I166" s="161"/>
      <c r="J16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6" s="161"/>
      <c r="L166" s="217" t="str">
        <f>IF(OR(ISBLANK(BudgetsTable[[#This Row],[Category]]),BudgetsTable[[#This Row],[Category]]=""),"",BudgetsTable[[#This Row],[Budget]]-BudgetsTable[[#This Row],[Spent]])</f>
        <v/>
      </c>
      <c r="M166" s="161"/>
      <c r="N166" s="161"/>
      <c r="O166" s="161"/>
      <c r="P166" s="161"/>
      <c r="Q166" s="161"/>
      <c r="R166" s="218"/>
      <c r="S1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6" s="218"/>
      <c r="X166" s="161"/>
    </row>
    <row r="167" spans="2:24" x14ac:dyDescent="0.25">
      <c r="B167" s="161"/>
      <c r="C167" s="252"/>
      <c r="D167" s="161"/>
      <c r="E167" s="161"/>
      <c r="F16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7" s="161"/>
      <c r="H167" s="161"/>
      <c r="I167" s="161"/>
      <c r="J16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7" s="161"/>
      <c r="L167" s="217" t="str">
        <f>IF(OR(ISBLANK(BudgetsTable[[#This Row],[Category]]),BudgetsTable[[#This Row],[Category]]=""),"",BudgetsTable[[#This Row],[Budget]]-BudgetsTable[[#This Row],[Spent]])</f>
        <v/>
      </c>
      <c r="M167" s="161"/>
      <c r="N167" s="161"/>
      <c r="O167" s="161"/>
      <c r="P167" s="161"/>
      <c r="Q167" s="161"/>
      <c r="R167" s="218"/>
      <c r="S1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7" s="218"/>
      <c r="X167" s="161"/>
    </row>
    <row r="168" spans="2:24" x14ac:dyDescent="0.25">
      <c r="B168" s="161"/>
      <c r="C168" s="252"/>
      <c r="D168" s="161"/>
      <c r="E168" s="161"/>
      <c r="F16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8" s="161"/>
      <c r="H168" s="161"/>
      <c r="I168" s="161"/>
      <c r="J16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8" s="161"/>
      <c r="L168" s="217" t="str">
        <f>IF(OR(ISBLANK(BudgetsTable[[#This Row],[Category]]),BudgetsTable[[#This Row],[Category]]=""),"",BudgetsTable[[#This Row],[Budget]]-BudgetsTable[[#This Row],[Spent]])</f>
        <v/>
      </c>
      <c r="M168" s="161"/>
      <c r="N168" s="161"/>
      <c r="O168" s="161"/>
      <c r="P168" s="161"/>
      <c r="Q168" s="161"/>
      <c r="R168" s="218"/>
      <c r="S1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8" s="218"/>
      <c r="X168" s="161"/>
    </row>
    <row r="169" spans="2:24" x14ac:dyDescent="0.25">
      <c r="B169" s="161"/>
      <c r="C169" s="252"/>
      <c r="D169" s="161"/>
      <c r="E169" s="161"/>
      <c r="F16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69" s="161"/>
      <c r="H169" s="161"/>
      <c r="I169" s="161"/>
      <c r="J16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69" s="161"/>
      <c r="L169" s="217" t="str">
        <f>IF(OR(ISBLANK(BudgetsTable[[#This Row],[Category]]),BudgetsTable[[#This Row],[Category]]=""),"",BudgetsTable[[#This Row],[Budget]]-BudgetsTable[[#This Row],[Spent]])</f>
        <v/>
      </c>
      <c r="M169" s="161"/>
      <c r="N169" s="161"/>
      <c r="O169" s="161"/>
      <c r="P169" s="161"/>
      <c r="Q169" s="161"/>
      <c r="R169" s="218"/>
      <c r="S1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6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6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69" s="218"/>
      <c r="X169" s="161"/>
    </row>
    <row r="170" spans="2:24" x14ac:dyDescent="0.25">
      <c r="B170" s="161"/>
      <c r="C170" s="252"/>
      <c r="D170" s="161"/>
      <c r="E170" s="161"/>
      <c r="F17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0" s="161"/>
      <c r="H170" s="161"/>
      <c r="I170" s="161"/>
      <c r="J17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0" s="161"/>
      <c r="L170" s="217" t="str">
        <f>IF(OR(ISBLANK(BudgetsTable[[#This Row],[Category]]),BudgetsTable[[#This Row],[Category]]=""),"",BudgetsTable[[#This Row],[Budget]]-BudgetsTable[[#This Row],[Spent]])</f>
        <v/>
      </c>
      <c r="M170" s="161"/>
      <c r="N170" s="161"/>
      <c r="O170" s="161"/>
      <c r="P170" s="161"/>
      <c r="Q170" s="161"/>
      <c r="R170" s="218"/>
      <c r="S1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0" s="218"/>
      <c r="X170" s="161"/>
    </row>
    <row r="171" spans="2:24" x14ac:dyDescent="0.25">
      <c r="B171" s="161"/>
      <c r="C171" s="252"/>
      <c r="D171" s="161"/>
      <c r="E171" s="161"/>
      <c r="F17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1" s="161"/>
      <c r="H171" s="161"/>
      <c r="I171" s="161"/>
      <c r="J17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1" s="161"/>
      <c r="L171" s="217" t="str">
        <f>IF(OR(ISBLANK(BudgetsTable[[#This Row],[Category]]),BudgetsTable[[#This Row],[Category]]=""),"",BudgetsTable[[#This Row],[Budget]]-BudgetsTable[[#This Row],[Spent]])</f>
        <v/>
      </c>
      <c r="M171" s="161"/>
      <c r="N171" s="161"/>
      <c r="O171" s="161"/>
      <c r="P171" s="161"/>
      <c r="Q171" s="161"/>
      <c r="R171" s="218"/>
      <c r="S1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1" s="218"/>
      <c r="X171" s="161"/>
    </row>
    <row r="172" spans="2:24" x14ac:dyDescent="0.25">
      <c r="B172" s="161"/>
      <c r="C172" s="252"/>
      <c r="D172" s="161"/>
      <c r="E172" s="161"/>
      <c r="F17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2" s="161"/>
      <c r="H172" s="161"/>
      <c r="I172" s="161"/>
      <c r="J17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2" s="161"/>
      <c r="L172" s="217" t="str">
        <f>IF(OR(ISBLANK(BudgetsTable[[#This Row],[Category]]),BudgetsTable[[#This Row],[Category]]=""),"",BudgetsTable[[#This Row],[Budget]]-BudgetsTable[[#This Row],[Spent]])</f>
        <v/>
      </c>
      <c r="M172" s="161"/>
      <c r="N172" s="161"/>
      <c r="O172" s="161"/>
      <c r="P172" s="161"/>
      <c r="Q172" s="161"/>
      <c r="R172" s="218"/>
      <c r="S1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2" s="218"/>
      <c r="X172" s="161"/>
    </row>
    <row r="173" spans="2:24" x14ac:dyDescent="0.25">
      <c r="B173" s="161"/>
      <c r="C173" s="252"/>
      <c r="D173" s="161"/>
      <c r="E173" s="161"/>
      <c r="F17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3" s="161"/>
      <c r="H173" s="161"/>
      <c r="I173" s="161"/>
      <c r="J17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3" s="161"/>
      <c r="L173" s="217" t="str">
        <f>IF(OR(ISBLANK(BudgetsTable[[#This Row],[Category]]),BudgetsTable[[#This Row],[Category]]=""),"",BudgetsTable[[#This Row],[Budget]]-BudgetsTable[[#This Row],[Spent]])</f>
        <v/>
      </c>
      <c r="M173" s="161"/>
      <c r="N173" s="161"/>
      <c r="O173" s="161"/>
      <c r="P173" s="161"/>
      <c r="Q173" s="161"/>
      <c r="R173" s="218"/>
      <c r="S1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3" s="218"/>
      <c r="X173" s="161"/>
    </row>
    <row r="174" spans="2:24" x14ac:dyDescent="0.25">
      <c r="B174" s="161"/>
      <c r="C174" s="252"/>
      <c r="D174" s="161"/>
      <c r="E174" s="161"/>
      <c r="F17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4" s="161"/>
      <c r="H174" s="161"/>
      <c r="I174" s="161"/>
      <c r="J17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4" s="161"/>
      <c r="L174" s="217" t="str">
        <f>IF(OR(ISBLANK(BudgetsTable[[#This Row],[Category]]),BudgetsTable[[#This Row],[Category]]=""),"",BudgetsTable[[#This Row],[Budget]]-BudgetsTable[[#This Row],[Spent]])</f>
        <v/>
      </c>
      <c r="M174" s="161"/>
      <c r="N174" s="161"/>
      <c r="O174" s="161"/>
      <c r="P174" s="161"/>
      <c r="Q174" s="161"/>
      <c r="R174" s="218"/>
      <c r="S1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4" s="218"/>
      <c r="X174" s="161"/>
    </row>
    <row r="175" spans="2:24" x14ac:dyDescent="0.25">
      <c r="B175" s="161"/>
      <c r="C175" s="252"/>
      <c r="D175" s="161"/>
      <c r="E175" s="161"/>
      <c r="F17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5" s="161"/>
      <c r="H175" s="161"/>
      <c r="I175" s="161"/>
      <c r="J17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5" s="161"/>
      <c r="L175" s="217" t="str">
        <f>IF(OR(ISBLANK(BudgetsTable[[#This Row],[Category]]),BudgetsTable[[#This Row],[Category]]=""),"",BudgetsTable[[#This Row],[Budget]]-BudgetsTable[[#This Row],[Spent]])</f>
        <v/>
      </c>
      <c r="M175" s="161"/>
      <c r="N175" s="161"/>
      <c r="O175" s="161"/>
      <c r="P175" s="161"/>
      <c r="Q175" s="161"/>
      <c r="R175" s="218"/>
      <c r="S1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5" s="218"/>
      <c r="X175" s="161"/>
    </row>
    <row r="176" spans="2:24" x14ac:dyDescent="0.25">
      <c r="B176" s="161"/>
      <c r="C176" s="252"/>
      <c r="D176" s="161"/>
      <c r="E176" s="161"/>
      <c r="F17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6" s="161"/>
      <c r="H176" s="161"/>
      <c r="I176" s="161"/>
      <c r="J17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6" s="161"/>
      <c r="L176" s="217" t="str">
        <f>IF(OR(ISBLANK(BudgetsTable[[#This Row],[Category]]),BudgetsTable[[#This Row],[Category]]=""),"",BudgetsTable[[#This Row],[Budget]]-BudgetsTable[[#This Row],[Spent]])</f>
        <v/>
      </c>
      <c r="M176" s="161"/>
      <c r="N176" s="161"/>
      <c r="O176" s="161"/>
      <c r="P176" s="161"/>
      <c r="Q176" s="161"/>
      <c r="R176" s="218"/>
      <c r="S1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6" s="218"/>
      <c r="X176" s="161"/>
    </row>
    <row r="177" spans="2:24" x14ac:dyDescent="0.25">
      <c r="B177" s="161"/>
      <c r="C177" s="252"/>
      <c r="D177" s="161"/>
      <c r="E177" s="161"/>
      <c r="F17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7" s="161"/>
      <c r="H177" s="161"/>
      <c r="I177" s="161"/>
      <c r="J17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7" s="161"/>
      <c r="L177" s="217" t="str">
        <f>IF(OR(ISBLANK(BudgetsTable[[#This Row],[Category]]),BudgetsTable[[#This Row],[Category]]=""),"",BudgetsTable[[#This Row],[Budget]]-BudgetsTable[[#This Row],[Spent]])</f>
        <v/>
      </c>
      <c r="M177" s="161"/>
      <c r="N177" s="161"/>
      <c r="O177" s="161"/>
      <c r="P177" s="161"/>
      <c r="Q177" s="161"/>
      <c r="R177" s="218"/>
      <c r="S1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7" s="218"/>
      <c r="X177" s="161"/>
    </row>
    <row r="178" spans="2:24" x14ac:dyDescent="0.25">
      <c r="B178" s="161"/>
      <c r="C178" s="252"/>
      <c r="D178" s="161"/>
      <c r="E178" s="161"/>
      <c r="F17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8" s="161"/>
      <c r="H178" s="161"/>
      <c r="I178" s="161"/>
      <c r="J17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8" s="161"/>
      <c r="L178" s="217" t="str">
        <f>IF(OR(ISBLANK(BudgetsTable[[#This Row],[Category]]),BudgetsTable[[#This Row],[Category]]=""),"",BudgetsTable[[#This Row],[Budget]]-BudgetsTable[[#This Row],[Spent]])</f>
        <v/>
      </c>
      <c r="M178" s="161"/>
      <c r="N178" s="161"/>
      <c r="O178" s="161"/>
      <c r="P178" s="161"/>
      <c r="Q178" s="161"/>
      <c r="R178" s="218"/>
      <c r="S1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8" s="218"/>
      <c r="X178" s="161"/>
    </row>
    <row r="179" spans="2:24" x14ac:dyDescent="0.25">
      <c r="B179" s="161"/>
      <c r="C179" s="252"/>
      <c r="D179" s="161"/>
      <c r="E179" s="161"/>
      <c r="F17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79" s="161"/>
      <c r="H179" s="161"/>
      <c r="I179" s="161"/>
      <c r="J17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79" s="161"/>
      <c r="L179" s="217" t="str">
        <f>IF(OR(ISBLANK(BudgetsTable[[#This Row],[Category]]),BudgetsTable[[#This Row],[Category]]=""),"",BudgetsTable[[#This Row],[Budget]]-BudgetsTable[[#This Row],[Spent]])</f>
        <v/>
      </c>
      <c r="M179" s="161"/>
      <c r="N179" s="161"/>
      <c r="O179" s="161"/>
      <c r="P179" s="161"/>
      <c r="Q179" s="161"/>
      <c r="R179" s="218"/>
      <c r="S1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7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7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79" s="218"/>
      <c r="X179" s="161"/>
    </row>
    <row r="180" spans="2:24" x14ac:dyDescent="0.25">
      <c r="B180" s="161"/>
      <c r="C180" s="252"/>
      <c r="D180" s="161"/>
      <c r="E180" s="161"/>
      <c r="F18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0" s="161"/>
      <c r="H180" s="161"/>
      <c r="I180" s="161"/>
      <c r="J18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0" s="161"/>
      <c r="L180" s="217" t="str">
        <f>IF(OR(ISBLANK(BudgetsTable[[#This Row],[Category]]),BudgetsTable[[#This Row],[Category]]=""),"",BudgetsTable[[#This Row],[Budget]]-BudgetsTable[[#This Row],[Spent]])</f>
        <v/>
      </c>
      <c r="M180" s="161"/>
      <c r="N180" s="161"/>
      <c r="O180" s="161"/>
      <c r="P180" s="161"/>
      <c r="Q180" s="161"/>
      <c r="R180" s="218"/>
      <c r="S1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0" s="218"/>
      <c r="X180" s="161"/>
    </row>
    <row r="181" spans="2:24" x14ac:dyDescent="0.25">
      <c r="B181" s="161"/>
      <c r="C181" s="252"/>
      <c r="D181" s="161"/>
      <c r="E181" s="161"/>
      <c r="F18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1" s="161"/>
      <c r="H181" s="161"/>
      <c r="I181" s="161"/>
      <c r="J18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1" s="161"/>
      <c r="L181" s="217" t="str">
        <f>IF(OR(ISBLANK(BudgetsTable[[#This Row],[Category]]),BudgetsTable[[#This Row],[Category]]=""),"",BudgetsTable[[#This Row],[Budget]]-BudgetsTable[[#This Row],[Spent]])</f>
        <v/>
      </c>
      <c r="M181" s="161"/>
      <c r="N181" s="161"/>
      <c r="O181" s="161"/>
      <c r="P181" s="161"/>
      <c r="Q181" s="161"/>
      <c r="R181" s="218"/>
      <c r="S1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1" s="218"/>
      <c r="X181" s="161"/>
    </row>
    <row r="182" spans="2:24" x14ac:dyDescent="0.25">
      <c r="B182" s="161"/>
      <c r="C182" s="252"/>
      <c r="D182" s="161"/>
      <c r="E182" s="161"/>
      <c r="F18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2" s="161"/>
      <c r="H182" s="161"/>
      <c r="I182" s="161"/>
      <c r="J18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2" s="161"/>
      <c r="L182" s="217" t="str">
        <f>IF(OR(ISBLANK(BudgetsTable[[#This Row],[Category]]),BudgetsTable[[#This Row],[Category]]=""),"",BudgetsTable[[#This Row],[Budget]]-BudgetsTable[[#This Row],[Spent]])</f>
        <v/>
      </c>
      <c r="M182" s="161"/>
      <c r="N182" s="161"/>
      <c r="O182" s="161"/>
      <c r="P182" s="161"/>
      <c r="Q182" s="161"/>
      <c r="R182" s="218"/>
      <c r="S1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2" s="218"/>
      <c r="X182" s="161"/>
    </row>
    <row r="183" spans="2:24" x14ac:dyDescent="0.25">
      <c r="B183" s="161"/>
      <c r="C183" s="252"/>
      <c r="D183" s="161"/>
      <c r="E183" s="161"/>
      <c r="F18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3" s="161"/>
      <c r="H183" s="161"/>
      <c r="I183" s="161"/>
      <c r="J18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3" s="161"/>
      <c r="L183" s="217" t="str">
        <f>IF(OR(ISBLANK(BudgetsTable[[#This Row],[Category]]),BudgetsTable[[#This Row],[Category]]=""),"",BudgetsTable[[#This Row],[Budget]]-BudgetsTable[[#This Row],[Spent]])</f>
        <v/>
      </c>
      <c r="M183" s="161"/>
      <c r="N183" s="161"/>
      <c r="O183" s="161"/>
      <c r="P183" s="161"/>
      <c r="Q183" s="161"/>
      <c r="R183" s="218"/>
      <c r="S1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3" s="218"/>
      <c r="X183" s="161"/>
    </row>
    <row r="184" spans="2:24" x14ac:dyDescent="0.25">
      <c r="B184" s="161"/>
      <c r="C184" s="252"/>
      <c r="D184" s="161"/>
      <c r="E184" s="161"/>
      <c r="F18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4" s="161"/>
      <c r="H184" s="161"/>
      <c r="I184" s="161"/>
      <c r="J18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4" s="161"/>
      <c r="L184" s="217" t="str">
        <f>IF(OR(ISBLANK(BudgetsTable[[#This Row],[Category]]),BudgetsTable[[#This Row],[Category]]=""),"",BudgetsTable[[#This Row],[Budget]]-BudgetsTable[[#This Row],[Spent]])</f>
        <v/>
      </c>
      <c r="M184" s="161"/>
      <c r="N184" s="161"/>
      <c r="O184" s="161"/>
      <c r="P184" s="161"/>
      <c r="Q184" s="161"/>
      <c r="R184" s="218"/>
      <c r="S1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4" s="218"/>
      <c r="X184" s="161"/>
    </row>
    <row r="185" spans="2:24" x14ac:dyDescent="0.25">
      <c r="B185" s="161"/>
      <c r="C185" s="252"/>
      <c r="D185" s="161"/>
      <c r="E185" s="161"/>
      <c r="F18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5" s="161"/>
      <c r="H185" s="161"/>
      <c r="I185" s="161"/>
      <c r="J18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5" s="161"/>
      <c r="L185" s="217" t="str">
        <f>IF(OR(ISBLANK(BudgetsTable[[#This Row],[Category]]),BudgetsTable[[#This Row],[Category]]=""),"",BudgetsTable[[#This Row],[Budget]]-BudgetsTable[[#This Row],[Spent]])</f>
        <v/>
      </c>
      <c r="M185" s="161"/>
      <c r="N185" s="161"/>
      <c r="O185" s="161"/>
      <c r="P185" s="161"/>
      <c r="Q185" s="161"/>
      <c r="R185" s="218"/>
      <c r="S1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5" s="218"/>
      <c r="X185" s="161"/>
    </row>
    <row r="186" spans="2:24" x14ac:dyDescent="0.25">
      <c r="B186" s="161"/>
      <c r="C186" s="252"/>
      <c r="D186" s="161"/>
      <c r="E186" s="161"/>
      <c r="F18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6" s="161"/>
      <c r="H186" s="161"/>
      <c r="I186" s="161"/>
      <c r="J18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6" s="161"/>
      <c r="L186" s="217" t="str">
        <f>IF(OR(ISBLANK(BudgetsTable[[#This Row],[Category]]),BudgetsTable[[#This Row],[Category]]=""),"",BudgetsTable[[#This Row],[Budget]]-BudgetsTable[[#This Row],[Spent]])</f>
        <v/>
      </c>
      <c r="M186" s="161"/>
      <c r="N186" s="161"/>
      <c r="O186" s="161"/>
      <c r="P186" s="161"/>
      <c r="Q186" s="161"/>
      <c r="R186" s="218"/>
      <c r="S1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6" s="218"/>
      <c r="X186" s="161"/>
    </row>
    <row r="187" spans="2:24" x14ac:dyDescent="0.25">
      <c r="B187" s="161"/>
      <c r="C187" s="252"/>
      <c r="D187" s="161"/>
      <c r="E187" s="161"/>
      <c r="F18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7" s="161"/>
      <c r="H187" s="161"/>
      <c r="I187" s="161"/>
      <c r="J18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7" s="161"/>
      <c r="L187" s="217" t="str">
        <f>IF(OR(ISBLANK(BudgetsTable[[#This Row],[Category]]),BudgetsTable[[#This Row],[Category]]=""),"",BudgetsTable[[#This Row],[Budget]]-BudgetsTable[[#This Row],[Spent]])</f>
        <v/>
      </c>
      <c r="M187" s="161"/>
      <c r="N187" s="161"/>
      <c r="O187" s="161"/>
      <c r="P187" s="161"/>
      <c r="Q187" s="161"/>
      <c r="R187" s="218"/>
      <c r="S1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7" s="218"/>
      <c r="X187" s="161"/>
    </row>
    <row r="188" spans="2:24" x14ac:dyDescent="0.25">
      <c r="B188" s="161"/>
      <c r="C188" s="252"/>
      <c r="D188" s="161"/>
      <c r="E188" s="161"/>
      <c r="F18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8" s="161"/>
      <c r="H188" s="161"/>
      <c r="I188" s="161"/>
      <c r="J18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8" s="161"/>
      <c r="L188" s="217" t="str">
        <f>IF(OR(ISBLANK(BudgetsTable[[#This Row],[Category]]),BudgetsTable[[#This Row],[Category]]=""),"",BudgetsTable[[#This Row],[Budget]]-BudgetsTable[[#This Row],[Spent]])</f>
        <v/>
      </c>
      <c r="M188" s="161"/>
      <c r="N188" s="161"/>
      <c r="O188" s="161"/>
      <c r="P188" s="161"/>
      <c r="Q188" s="161"/>
      <c r="R188" s="218"/>
      <c r="S1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8" s="218"/>
      <c r="X188" s="161"/>
    </row>
    <row r="189" spans="2:24" x14ac:dyDescent="0.25">
      <c r="B189" s="161"/>
      <c r="C189" s="252"/>
      <c r="D189" s="161"/>
      <c r="E189" s="161"/>
      <c r="F18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89" s="161"/>
      <c r="H189" s="161"/>
      <c r="I189" s="161"/>
      <c r="J18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89" s="161"/>
      <c r="L189" s="217" t="str">
        <f>IF(OR(ISBLANK(BudgetsTable[[#This Row],[Category]]),BudgetsTable[[#This Row],[Category]]=""),"",BudgetsTable[[#This Row],[Budget]]-BudgetsTable[[#This Row],[Spent]])</f>
        <v/>
      </c>
      <c r="M189" s="161"/>
      <c r="N189" s="161"/>
      <c r="O189" s="161"/>
      <c r="P189" s="161"/>
      <c r="Q189" s="161"/>
      <c r="R189" s="218"/>
      <c r="S1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8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8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89" s="218"/>
      <c r="X189" s="161"/>
    </row>
    <row r="190" spans="2:24" x14ac:dyDescent="0.25">
      <c r="B190" s="161"/>
      <c r="C190" s="252"/>
      <c r="D190" s="161"/>
      <c r="E190" s="161"/>
      <c r="F19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0" s="161"/>
      <c r="H190" s="161"/>
      <c r="I190" s="161"/>
      <c r="J19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0" s="161"/>
      <c r="L190" s="217" t="str">
        <f>IF(OR(ISBLANK(BudgetsTable[[#This Row],[Category]]),BudgetsTable[[#This Row],[Category]]=""),"",BudgetsTable[[#This Row],[Budget]]-BudgetsTable[[#This Row],[Spent]])</f>
        <v/>
      </c>
      <c r="M190" s="161"/>
      <c r="N190" s="161"/>
      <c r="O190" s="161"/>
      <c r="P190" s="161"/>
      <c r="Q190" s="161"/>
      <c r="R190" s="218"/>
      <c r="S1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0" s="218"/>
      <c r="X190" s="161"/>
    </row>
    <row r="191" spans="2:24" x14ac:dyDescent="0.25">
      <c r="B191" s="161"/>
      <c r="C191" s="252"/>
      <c r="D191" s="161"/>
      <c r="E191" s="161"/>
      <c r="F19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1" s="161"/>
      <c r="H191" s="161"/>
      <c r="I191" s="161"/>
      <c r="J19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1" s="161"/>
      <c r="L191" s="217" t="str">
        <f>IF(OR(ISBLANK(BudgetsTable[[#This Row],[Category]]),BudgetsTable[[#This Row],[Category]]=""),"",BudgetsTable[[#This Row],[Budget]]-BudgetsTable[[#This Row],[Spent]])</f>
        <v/>
      </c>
      <c r="M191" s="161"/>
      <c r="N191" s="161"/>
      <c r="O191" s="161"/>
      <c r="P191" s="161"/>
      <c r="Q191" s="161"/>
      <c r="R191" s="218"/>
      <c r="S1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1" s="218"/>
      <c r="X191" s="161"/>
    </row>
    <row r="192" spans="2:24" x14ac:dyDescent="0.25">
      <c r="B192" s="161"/>
      <c r="C192" s="252"/>
      <c r="D192" s="161"/>
      <c r="E192" s="161"/>
      <c r="F19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2" s="161"/>
      <c r="H192" s="161"/>
      <c r="I192" s="161"/>
      <c r="J19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2" s="161"/>
      <c r="L192" s="217" t="str">
        <f>IF(OR(ISBLANK(BudgetsTable[[#This Row],[Category]]),BudgetsTable[[#This Row],[Category]]=""),"",BudgetsTable[[#This Row],[Budget]]-BudgetsTable[[#This Row],[Spent]])</f>
        <v/>
      </c>
      <c r="M192" s="161"/>
      <c r="N192" s="161"/>
      <c r="O192" s="161"/>
      <c r="P192" s="161"/>
      <c r="Q192" s="161"/>
      <c r="R192" s="218"/>
      <c r="S1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2" s="218"/>
      <c r="X192" s="161"/>
    </row>
    <row r="193" spans="2:24" x14ac:dyDescent="0.25">
      <c r="B193" s="161"/>
      <c r="C193" s="252"/>
      <c r="D193" s="161"/>
      <c r="E193" s="161"/>
      <c r="F19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3" s="161"/>
      <c r="H193" s="161"/>
      <c r="I193" s="161"/>
      <c r="J19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3" s="161"/>
      <c r="L193" s="217" t="str">
        <f>IF(OR(ISBLANK(BudgetsTable[[#This Row],[Category]]),BudgetsTable[[#This Row],[Category]]=""),"",BudgetsTable[[#This Row],[Budget]]-BudgetsTable[[#This Row],[Spent]])</f>
        <v/>
      </c>
      <c r="M193" s="161"/>
      <c r="N193" s="161"/>
      <c r="O193" s="161"/>
      <c r="P193" s="161"/>
      <c r="Q193" s="161"/>
      <c r="R193" s="218"/>
      <c r="S1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3" s="218"/>
      <c r="X193" s="161"/>
    </row>
    <row r="194" spans="2:24" x14ac:dyDescent="0.25">
      <c r="B194" s="161"/>
      <c r="C194" s="252"/>
      <c r="D194" s="161"/>
      <c r="E194" s="161"/>
      <c r="F19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4" s="161"/>
      <c r="H194" s="161"/>
      <c r="I194" s="161"/>
      <c r="J19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4" s="161"/>
      <c r="L194" s="217" t="str">
        <f>IF(OR(ISBLANK(BudgetsTable[[#This Row],[Category]]),BudgetsTable[[#This Row],[Category]]=""),"",BudgetsTable[[#This Row],[Budget]]-BudgetsTable[[#This Row],[Spent]])</f>
        <v/>
      </c>
      <c r="M194" s="161"/>
      <c r="N194" s="161"/>
      <c r="O194" s="161"/>
      <c r="P194" s="161"/>
      <c r="Q194" s="161"/>
      <c r="R194" s="218"/>
      <c r="S1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4" s="218"/>
      <c r="X194" s="161"/>
    </row>
    <row r="195" spans="2:24" x14ac:dyDescent="0.25">
      <c r="B195" s="161"/>
      <c r="C195" s="252"/>
      <c r="D195" s="161"/>
      <c r="E195" s="161"/>
      <c r="F19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5" s="161"/>
      <c r="H195" s="161"/>
      <c r="I195" s="161"/>
      <c r="J19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5" s="161"/>
      <c r="L195" s="217" t="str">
        <f>IF(OR(ISBLANK(BudgetsTable[[#This Row],[Category]]),BudgetsTable[[#This Row],[Category]]=""),"",BudgetsTable[[#This Row],[Budget]]-BudgetsTable[[#This Row],[Spent]])</f>
        <v/>
      </c>
      <c r="M195" s="161"/>
      <c r="N195" s="161"/>
      <c r="O195" s="161"/>
      <c r="P195" s="161"/>
      <c r="Q195" s="161"/>
      <c r="R195" s="218"/>
      <c r="S1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5" s="218"/>
      <c r="X195" s="161"/>
    </row>
    <row r="196" spans="2:24" x14ac:dyDescent="0.25">
      <c r="B196" s="161"/>
      <c r="C196" s="252"/>
      <c r="D196" s="161"/>
      <c r="E196" s="161"/>
      <c r="F19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6" s="161"/>
      <c r="H196" s="161"/>
      <c r="I196" s="161"/>
      <c r="J19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6" s="161"/>
      <c r="L196" s="217" t="str">
        <f>IF(OR(ISBLANK(BudgetsTable[[#This Row],[Category]]),BudgetsTable[[#This Row],[Category]]=""),"",BudgetsTable[[#This Row],[Budget]]-BudgetsTable[[#This Row],[Spent]])</f>
        <v/>
      </c>
      <c r="M196" s="161"/>
      <c r="N196" s="161"/>
      <c r="O196" s="161"/>
      <c r="P196" s="161"/>
      <c r="Q196" s="161"/>
      <c r="R196" s="218"/>
      <c r="S1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6" s="218"/>
      <c r="X196" s="161"/>
    </row>
    <row r="197" spans="2:24" x14ac:dyDescent="0.25">
      <c r="B197" s="161"/>
      <c r="C197" s="252"/>
      <c r="D197" s="161"/>
      <c r="E197" s="161"/>
      <c r="F19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7" s="161"/>
      <c r="H197" s="161"/>
      <c r="I197" s="161"/>
      <c r="J19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7" s="161"/>
      <c r="L197" s="217" t="str">
        <f>IF(OR(ISBLANK(BudgetsTable[[#This Row],[Category]]),BudgetsTable[[#This Row],[Category]]=""),"",BudgetsTable[[#This Row],[Budget]]-BudgetsTable[[#This Row],[Spent]])</f>
        <v/>
      </c>
      <c r="M197" s="161"/>
      <c r="N197" s="161"/>
      <c r="O197" s="161"/>
      <c r="P197" s="161"/>
      <c r="Q197" s="161"/>
      <c r="R197" s="218"/>
      <c r="S1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7" s="218"/>
      <c r="X197" s="161"/>
    </row>
    <row r="198" spans="2:24" x14ac:dyDescent="0.25">
      <c r="B198" s="161"/>
      <c r="C198" s="252"/>
      <c r="D198" s="161"/>
      <c r="E198" s="161"/>
      <c r="F19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8" s="161"/>
      <c r="H198" s="161"/>
      <c r="I198" s="161"/>
      <c r="J19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8" s="161"/>
      <c r="L198" s="217" t="str">
        <f>IF(OR(ISBLANK(BudgetsTable[[#This Row],[Category]]),BudgetsTable[[#This Row],[Category]]=""),"",BudgetsTable[[#This Row],[Budget]]-BudgetsTable[[#This Row],[Spent]])</f>
        <v/>
      </c>
      <c r="M198" s="161"/>
      <c r="N198" s="161"/>
      <c r="O198" s="161"/>
      <c r="P198" s="161"/>
      <c r="Q198" s="161"/>
      <c r="R198" s="218"/>
      <c r="S1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8" s="218"/>
      <c r="X198" s="161"/>
    </row>
    <row r="199" spans="2:24" x14ac:dyDescent="0.25">
      <c r="B199" s="161"/>
      <c r="C199" s="252"/>
      <c r="D199" s="161"/>
      <c r="E199" s="161"/>
      <c r="F19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199" s="161"/>
      <c r="H199" s="161"/>
      <c r="I199" s="161"/>
      <c r="J19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199" s="161"/>
      <c r="L199" s="217" t="str">
        <f>IF(OR(ISBLANK(BudgetsTable[[#This Row],[Category]]),BudgetsTable[[#This Row],[Category]]=""),"",BudgetsTable[[#This Row],[Budget]]-BudgetsTable[[#This Row],[Spent]])</f>
        <v/>
      </c>
      <c r="M199" s="161"/>
      <c r="N199" s="161"/>
      <c r="O199" s="161"/>
      <c r="P199" s="161"/>
      <c r="Q199" s="161"/>
      <c r="R199" s="218"/>
      <c r="S1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1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19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19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199" s="218"/>
      <c r="X199" s="161"/>
    </row>
    <row r="200" spans="2:24" x14ac:dyDescent="0.25">
      <c r="B200" s="161"/>
      <c r="C200" s="252"/>
      <c r="D200" s="161"/>
      <c r="E200" s="161"/>
      <c r="F20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0" s="161"/>
      <c r="H200" s="161"/>
      <c r="I200" s="161"/>
      <c r="J20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0" s="161"/>
      <c r="L200" s="217" t="str">
        <f>IF(OR(ISBLANK(BudgetsTable[[#This Row],[Category]]),BudgetsTable[[#This Row],[Category]]=""),"",BudgetsTable[[#This Row],[Budget]]-BudgetsTable[[#This Row],[Spent]])</f>
        <v/>
      </c>
      <c r="M200" s="161"/>
      <c r="N200" s="161"/>
      <c r="O200" s="161"/>
      <c r="P200" s="161"/>
      <c r="Q200" s="161"/>
      <c r="R200" s="218"/>
      <c r="S2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0" s="218"/>
      <c r="X200" s="161"/>
    </row>
    <row r="201" spans="2:24" x14ac:dyDescent="0.25">
      <c r="B201" s="161"/>
      <c r="C201" s="252"/>
      <c r="D201" s="161"/>
      <c r="E201" s="161"/>
      <c r="F20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1" s="161"/>
      <c r="H201" s="161"/>
      <c r="I201" s="161"/>
      <c r="J20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1" s="161"/>
      <c r="L201" s="217" t="str">
        <f>IF(OR(ISBLANK(BudgetsTable[[#This Row],[Category]]),BudgetsTable[[#This Row],[Category]]=""),"",BudgetsTable[[#This Row],[Budget]]-BudgetsTable[[#This Row],[Spent]])</f>
        <v/>
      </c>
      <c r="M201" s="161"/>
      <c r="N201" s="161"/>
      <c r="O201" s="161"/>
      <c r="P201" s="161"/>
      <c r="Q201" s="161"/>
      <c r="R201" s="218"/>
      <c r="S2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1" s="218"/>
      <c r="X201" s="161"/>
    </row>
    <row r="202" spans="2:24" x14ac:dyDescent="0.25">
      <c r="B202" s="161"/>
      <c r="C202" s="252"/>
      <c r="D202" s="161"/>
      <c r="E202" s="161"/>
      <c r="F20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2" s="161"/>
      <c r="H202" s="161"/>
      <c r="I202" s="161"/>
      <c r="J20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2" s="161"/>
      <c r="L202" s="217" t="str">
        <f>IF(OR(ISBLANK(BudgetsTable[[#This Row],[Category]]),BudgetsTable[[#This Row],[Category]]=""),"",BudgetsTable[[#This Row],[Budget]]-BudgetsTable[[#This Row],[Spent]])</f>
        <v/>
      </c>
      <c r="M202" s="161"/>
      <c r="N202" s="161"/>
      <c r="O202" s="161"/>
      <c r="P202" s="161"/>
      <c r="Q202" s="161"/>
      <c r="R202" s="218"/>
      <c r="S2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2" s="218"/>
      <c r="X202" s="161"/>
    </row>
    <row r="203" spans="2:24" x14ac:dyDescent="0.25">
      <c r="B203" s="161"/>
      <c r="C203" s="252"/>
      <c r="D203" s="161"/>
      <c r="E203" s="161"/>
      <c r="F20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3" s="161"/>
      <c r="H203" s="161"/>
      <c r="I203" s="161"/>
      <c r="J20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3" s="161"/>
      <c r="L203" s="217" t="str">
        <f>IF(OR(ISBLANK(BudgetsTable[[#This Row],[Category]]),BudgetsTable[[#This Row],[Category]]=""),"",BudgetsTable[[#This Row],[Budget]]-BudgetsTable[[#This Row],[Spent]])</f>
        <v/>
      </c>
      <c r="M203" s="161"/>
      <c r="N203" s="161"/>
      <c r="O203" s="161"/>
      <c r="P203" s="161"/>
      <c r="Q203" s="161"/>
      <c r="R203" s="218"/>
      <c r="S2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3" s="218"/>
      <c r="X203" s="161"/>
    </row>
    <row r="204" spans="2:24" x14ac:dyDescent="0.25">
      <c r="B204" s="161"/>
      <c r="C204" s="252"/>
      <c r="D204" s="161"/>
      <c r="E204" s="161"/>
      <c r="F20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4" s="161"/>
      <c r="H204" s="161"/>
      <c r="I204" s="161"/>
      <c r="J20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4" s="161"/>
      <c r="L204" s="217" t="str">
        <f>IF(OR(ISBLANK(BudgetsTable[[#This Row],[Category]]),BudgetsTable[[#This Row],[Category]]=""),"",BudgetsTable[[#This Row],[Budget]]-BudgetsTable[[#This Row],[Spent]])</f>
        <v/>
      </c>
      <c r="M204" s="161"/>
      <c r="N204" s="161"/>
      <c r="O204" s="161"/>
      <c r="P204" s="161"/>
      <c r="Q204" s="161"/>
      <c r="R204" s="218"/>
      <c r="S2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4" s="218"/>
      <c r="X204" s="161"/>
    </row>
    <row r="205" spans="2:24" x14ac:dyDescent="0.25">
      <c r="B205" s="161"/>
      <c r="C205" s="252"/>
      <c r="D205" s="161"/>
      <c r="E205" s="161"/>
      <c r="F20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5" s="161"/>
      <c r="H205" s="161"/>
      <c r="I205" s="161"/>
      <c r="J20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5" s="161"/>
      <c r="L205" s="217" t="str">
        <f>IF(OR(ISBLANK(BudgetsTable[[#This Row],[Category]]),BudgetsTable[[#This Row],[Category]]=""),"",BudgetsTable[[#This Row],[Budget]]-BudgetsTable[[#This Row],[Spent]])</f>
        <v/>
      </c>
      <c r="M205" s="161"/>
      <c r="N205" s="161"/>
      <c r="O205" s="161"/>
      <c r="P205" s="161"/>
      <c r="Q205" s="161"/>
      <c r="R205" s="218"/>
      <c r="S2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5" s="218"/>
      <c r="X205" s="161"/>
    </row>
    <row r="206" spans="2:24" x14ac:dyDescent="0.25">
      <c r="B206" s="161"/>
      <c r="C206" s="252"/>
      <c r="D206" s="161"/>
      <c r="E206" s="161"/>
      <c r="F20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6" s="161"/>
      <c r="H206" s="161"/>
      <c r="I206" s="161"/>
      <c r="J20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6" s="161"/>
      <c r="L206" s="217" t="str">
        <f>IF(OR(ISBLANK(BudgetsTable[[#This Row],[Category]]),BudgetsTable[[#This Row],[Category]]=""),"",BudgetsTable[[#This Row],[Budget]]-BudgetsTable[[#This Row],[Spent]])</f>
        <v/>
      </c>
      <c r="M206" s="161"/>
      <c r="N206" s="161"/>
      <c r="O206" s="161"/>
      <c r="P206" s="161"/>
      <c r="Q206" s="161"/>
      <c r="R206" s="218"/>
      <c r="S2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6" s="218"/>
      <c r="X206" s="161"/>
    </row>
    <row r="207" spans="2:24" x14ac:dyDescent="0.25">
      <c r="B207" s="161"/>
      <c r="C207" s="252"/>
      <c r="D207" s="161"/>
      <c r="E207" s="161"/>
      <c r="F20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7" s="161"/>
      <c r="H207" s="161"/>
      <c r="I207" s="161"/>
      <c r="J20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7" s="161"/>
      <c r="L207" s="217" t="str">
        <f>IF(OR(ISBLANK(BudgetsTable[[#This Row],[Category]]),BudgetsTable[[#This Row],[Category]]=""),"",BudgetsTable[[#This Row],[Budget]]-BudgetsTable[[#This Row],[Spent]])</f>
        <v/>
      </c>
      <c r="M207" s="161"/>
      <c r="N207" s="161"/>
      <c r="O207" s="161"/>
      <c r="P207" s="161"/>
      <c r="Q207" s="161"/>
      <c r="R207" s="218"/>
      <c r="S2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7" s="218"/>
      <c r="X207" s="161"/>
    </row>
    <row r="208" spans="2:24" x14ac:dyDescent="0.25">
      <c r="B208" s="161"/>
      <c r="C208" s="252"/>
      <c r="D208" s="161"/>
      <c r="E208" s="161"/>
      <c r="F20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8" s="161"/>
      <c r="H208" s="161"/>
      <c r="I208" s="161"/>
      <c r="J20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8" s="161"/>
      <c r="L208" s="217" t="str">
        <f>IF(OR(ISBLANK(BudgetsTable[[#This Row],[Category]]),BudgetsTable[[#This Row],[Category]]=""),"",BudgetsTable[[#This Row],[Budget]]-BudgetsTable[[#This Row],[Spent]])</f>
        <v/>
      </c>
      <c r="M208" s="161"/>
      <c r="N208" s="161"/>
      <c r="O208" s="161"/>
      <c r="P208" s="161"/>
      <c r="Q208" s="161"/>
      <c r="R208" s="218"/>
      <c r="S2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8" s="218"/>
      <c r="X208" s="161"/>
    </row>
    <row r="209" spans="2:24" x14ac:dyDescent="0.25">
      <c r="B209" s="161"/>
      <c r="C209" s="252"/>
      <c r="D209" s="161"/>
      <c r="E209" s="161"/>
      <c r="F20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09" s="161"/>
      <c r="H209" s="161"/>
      <c r="I209" s="161"/>
      <c r="J20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09" s="161"/>
      <c r="L209" s="217" t="str">
        <f>IF(OR(ISBLANK(BudgetsTable[[#This Row],[Category]]),BudgetsTable[[#This Row],[Category]]=""),"",BudgetsTable[[#This Row],[Budget]]-BudgetsTable[[#This Row],[Spent]])</f>
        <v/>
      </c>
      <c r="M209" s="161"/>
      <c r="N209" s="161"/>
      <c r="O209" s="161"/>
      <c r="P209" s="161"/>
      <c r="Q209" s="161"/>
      <c r="R209" s="218"/>
      <c r="S2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0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0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09" s="218"/>
      <c r="X209" s="161"/>
    </row>
    <row r="210" spans="2:24" x14ac:dyDescent="0.25">
      <c r="B210" s="161"/>
      <c r="C210" s="252"/>
      <c r="D210" s="161"/>
      <c r="E210" s="161"/>
      <c r="F21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0" s="161"/>
      <c r="H210" s="161"/>
      <c r="I210" s="161"/>
      <c r="J21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0" s="161"/>
      <c r="L210" s="217" t="str">
        <f>IF(OR(ISBLANK(BudgetsTable[[#This Row],[Category]]),BudgetsTable[[#This Row],[Category]]=""),"",BudgetsTable[[#This Row],[Budget]]-BudgetsTable[[#This Row],[Spent]])</f>
        <v/>
      </c>
      <c r="M210" s="161"/>
      <c r="N210" s="161"/>
      <c r="O210" s="161"/>
      <c r="P210" s="161"/>
      <c r="Q210" s="161"/>
      <c r="R210" s="218"/>
      <c r="S2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0" s="218"/>
      <c r="X210" s="161"/>
    </row>
    <row r="211" spans="2:24" x14ac:dyDescent="0.25">
      <c r="B211" s="161"/>
      <c r="C211" s="252"/>
      <c r="D211" s="161"/>
      <c r="E211" s="161"/>
      <c r="F21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1" s="161"/>
      <c r="H211" s="161"/>
      <c r="I211" s="161"/>
      <c r="J21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1" s="161"/>
      <c r="L211" s="217" t="str">
        <f>IF(OR(ISBLANK(BudgetsTable[[#This Row],[Category]]),BudgetsTable[[#This Row],[Category]]=""),"",BudgetsTable[[#This Row],[Budget]]-BudgetsTable[[#This Row],[Spent]])</f>
        <v/>
      </c>
      <c r="M211" s="161"/>
      <c r="N211" s="161"/>
      <c r="O211" s="161"/>
      <c r="P211" s="161"/>
      <c r="Q211" s="161"/>
      <c r="R211" s="218"/>
      <c r="S2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1" s="218"/>
      <c r="X211" s="161"/>
    </row>
    <row r="212" spans="2:24" x14ac:dyDescent="0.25">
      <c r="B212" s="161"/>
      <c r="C212" s="252"/>
      <c r="D212" s="161"/>
      <c r="E212" s="161"/>
      <c r="F21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2" s="161"/>
      <c r="H212" s="161"/>
      <c r="I212" s="161"/>
      <c r="J21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2" s="161"/>
      <c r="L212" s="217" t="str">
        <f>IF(OR(ISBLANK(BudgetsTable[[#This Row],[Category]]),BudgetsTable[[#This Row],[Category]]=""),"",BudgetsTable[[#This Row],[Budget]]-BudgetsTable[[#This Row],[Spent]])</f>
        <v/>
      </c>
      <c r="M212" s="161"/>
      <c r="N212" s="161"/>
      <c r="O212" s="161"/>
      <c r="P212" s="161"/>
      <c r="Q212" s="161"/>
      <c r="R212" s="218"/>
      <c r="S2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2" s="218"/>
      <c r="X212" s="161"/>
    </row>
    <row r="213" spans="2:24" x14ac:dyDescent="0.25">
      <c r="B213" s="161"/>
      <c r="C213" s="252"/>
      <c r="D213" s="161"/>
      <c r="E213" s="161"/>
      <c r="F21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3" s="161"/>
      <c r="H213" s="161"/>
      <c r="I213" s="161"/>
      <c r="J21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3" s="161"/>
      <c r="L213" s="217" t="str">
        <f>IF(OR(ISBLANK(BudgetsTable[[#This Row],[Category]]),BudgetsTable[[#This Row],[Category]]=""),"",BudgetsTable[[#This Row],[Budget]]-BudgetsTable[[#This Row],[Spent]])</f>
        <v/>
      </c>
      <c r="M213" s="161"/>
      <c r="N213" s="161"/>
      <c r="O213" s="161"/>
      <c r="P213" s="161"/>
      <c r="Q213" s="161"/>
      <c r="R213" s="218"/>
      <c r="S2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3" s="218"/>
      <c r="X213" s="161"/>
    </row>
    <row r="214" spans="2:24" x14ac:dyDescent="0.25">
      <c r="B214" s="161"/>
      <c r="C214" s="252"/>
      <c r="D214" s="161"/>
      <c r="E214" s="161"/>
      <c r="F21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4" s="161"/>
      <c r="H214" s="161"/>
      <c r="I214" s="161"/>
      <c r="J21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4" s="161"/>
      <c r="L214" s="217" t="str">
        <f>IF(OR(ISBLANK(BudgetsTable[[#This Row],[Category]]),BudgetsTable[[#This Row],[Category]]=""),"",BudgetsTable[[#This Row],[Budget]]-BudgetsTable[[#This Row],[Spent]])</f>
        <v/>
      </c>
      <c r="M214" s="161"/>
      <c r="N214" s="161"/>
      <c r="O214" s="161"/>
      <c r="P214" s="161"/>
      <c r="Q214" s="161"/>
      <c r="R214" s="218"/>
      <c r="S2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4" s="218"/>
      <c r="X214" s="161"/>
    </row>
    <row r="215" spans="2:24" x14ac:dyDescent="0.25">
      <c r="B215" s="161"/>
      <c r="C215" s="252"/>
      <c r="D215" s="161"/>
      <c r="E215" s="161"/>
      <c r="F21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5" s="161"/>
      <c r="H215" s="161"/>
      <c r="I215" s="161"/>
      <c r="J21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5" s="161"/>
      <c r="L215" s="217" t="str">
        <f>IF(OR(ISBLANK(BudgetsTable[[#This Row],[Category]]),BudgetsTable[[#This Row],[Category]]=""),"",BudgetsTable[[#This Row],[Budget]]-BudgetsTable[[#This Row],[Spent]])</f>
        <v/>
      </c>
      <c r="M215" s="161"/>
      <c r="N215" s="161"/>
      <c r="O215" s="161"/>
      <c r="P215" s="161"/>
      <c r="Q215" s="161"/>
      <c r="R215" s="218"/>
      <c r="S2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5" s="218"/>
      <c r="X215" s="161"/>
    </row>
    <row r="216" spans="2:24" x14ac:dyDescent="0.25">
      <c r="B216" s="161"/>
      <c r="C216" s="252"/>
      <c r="D216" s="161"/>
      <c r="E216" s="161"/>
      <c r="F21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6" s="161"/>
      <c r="H216" s="161"/>
      <c r="I216" s="161"/>
      <c r="J21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6" s="161"/>
      <c r="L216" s="217" t="str">
        <f>IF(OR(ISBLANK(BudgetsTable[[#This Row],[Category]]),BudgetsTable[[#This Row],[Category]]=""),"",BudgetsTable[[#This Row],[Budget]]-BudgetsTable[[#This Row],[Spent]])</f>
        <v/>
      </c>
      <c r="M216" s="161"/>
      <c r="N216" s="161"/>
      <c r="O216" s="161"/>
      <c r="P216" s="161"/>
      <c r="Q216" s="161"/>
      <c r="R216" s="218"/>
      <c r="S2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6" s="218"/>
      <c r="X216" s="161"/>
    </row>
    <row r="217" spans="2:24" x14ac:dyDescent="0.25">
      <c r="B217" s="161"/>
      <c r="C217" s="252"/>
      <c r="D217" s="161"/>
      <c r="E217" s="161"/>
      <c r="F21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7" s="161"/>
      <c r="H217" s="161"/>
      <c r="I217" s="161"/>
      <c r="J21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7" s="161"/>
      <c r="L217" s="217" t="str">
        <f>IF(OR(ISBLANK(BudgetsTable[[#This Row],[Category]]),BudgetsTable[[#This Row],[Category]]=""),"",BudgetsTable[[#This Row],[Budget]]-BudgetsTable[[#This Row],[Spent]])</f>
        <v/>
      </c>
      <c r="M217" s="161"/>
      <c r="N217" s="161"/>
      <c r="O217" s="161"/>
      <c r="P217" s="161"/>
      <c r="Q217" s="161"/>
      <c r="R217" s="218"/>
      <c r="S2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7" s="218"/>
      <c r="X217" s="161"/>
    </row>
    <row r="218" spans="2:24" x14ac:dyDescent="0.25">
      <c r="B218" s="161"/>
      <c r="C218" s="252"/>
      <c r="D218" s="161"/>
      <c r="E218" s="161"/>
      <c r="F21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8" s="161"/>
      <c r="H218" s="161"/>
      <c r="I218" s="161"/>
      <c r="J21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8" s="161"/>
      <c r="L218" s="217" t="str">
        <f>IF(OR(ISBLANK(BudgetsTable[[#This Row],[Category]]),BudgetsTable[[#This Row],[Category]]=""),"",BudgetsTable[[#This Row],[Budget]]-BudgetsTable[[#This Row],[Spent]])</f>
        <v/>
      </c>
      <c r="M218" s="161"/>
      <c r="N218" s="161"/>
      <c r="O218" s="161"/>
      <c r="P218" s="161"/>
      <c r="Q218" s="161"/>
      <c r="R218" s="218"/>
      <c r="S2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8" s="218"/>
      <c r="X218" s="161"/>
    </row>
    <row r="219" spans="2:24" x14ac:dyDescent="0.25">
      <c r="B219" s="161"/>
      <c r="C219" s="252"/>
      <c r="D219" s="161"/>
      <c r="E219" s="161"/>
      <c r="F21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19" s="161"/>
      <c r="H219" s="161"/>
      <c r="I219" s="161"/>
      <c r="J21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19" s="161"/>
      <c r="L219" s="217" t="str">
        <f>IF(OR(ISBLANK(BudgetsTable[[#This Row],[Category]]),BudgetsTable[[#This Row],[Category]]=""),"",BudgetsTable[[#This Row],[Budget]]-BudgetsTable[[#This Row],[Spent]])</f>
        <v/>
      </c>
      <c r="M219" s="161"/>
      <c r="N219" s="161"/>
      <c r="O219" s="161"/>
      <c r="P219" s="161"/>
      <c r="Q219" s="161"/>
      <c r="R219" s="218"/>
      <c r="S2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1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1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19" s="218"/>
      <c r="X219" s="161"/>
    </row>
    <row r="220" spans="2:24" x14ac:dyDescent="0.25">
      <c r="B220" s="161"/>
      <c r="C220" s="252"/>
      <c r="D220" s="161"/>
      <c r="E220" s="161"/>
      <c r="F22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0" s="161"/>
      <c r="H220" s="161"/>
      <c r="I220" s="161"/>
      <c r="J22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0" s="161"/>
      <c r="L220" s="217" t="str">
        <f>IF(OR(ISBLANK(BudgetsTable[[#This Row],[Category]]),BudgetsTable[[#This Row],[Category]]=""),"",BudgetsTable[[#This Row],[Budget]]-BudgetsTable[[#This Row],[Spent]])</f>
        <v/>
      </c>
      <c r="M220" s="161"/>
      <c r="N220" s="161"/>
      <c r="O220" s="161"/>
      <c r="P220" s="161"/>
      <c r="Q220" s="161"/>
      <c r="R220" s="218"/>
      <c r="S2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0" s="218"/>
      <c r="X220" s="161"/>
    </row>
    <row r="221" spans="2:24" x14ac:dyDescent="0.25">
      <c r="B221" s="161"/>
      <c r="C221" s="252"/>
      <c r="D221" s="161"/>
      <c r="E221" s="161"/>
      <c r="F22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1" s="161"/>
      <c r="H221" s="161"/>
      <c r="I221" s="161"/>
      <c r="J22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1" s="161"/>
      <c r="L221" s="217" t="str">
        <f>IF(OR(ISBLANK(BudgetsTable[[#This Row],[Category]]),BudgetsTable[[#This Row],[Category]]=""),"",BudgetsTable[[#This Row],[Budget]]-BudgetsTable[[#This Row],[Spent]])</f>
        <v/>
      </c>
      <c r="M221" s="161"/>
      <c r="N221" s="161"/>
      <c r="O221" s="161"/>
      <c r="P221" s="161"/>
      <c r="Q221" s="161"/>
      <c r="R221" s="218"/>
      <c r="S2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1" s="218"/>
      <c r="X221" s="161"/>
    </row>
    <row r="222" spans="2:24" x14ac:dyDescent="0.25">
      <c r="B222" s="161"/>
      <c r="C222" s="252"/>
      <c r="D222" s="161"/>
      <c r="E222" s="161"/>
      <c r="F22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2" s="161"/>
      <c r="H222" s="161"/>
      <c r="I222" s="161"/>
      <c r="J22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2" s="161"/>
      <c r="L222" s="217" t="str">
        <f>IF(OR(ISBLANK(BudgetsTable[[#This Row],[Category]]),BudgetsTable[[#This Row],[Category]]=""),"",BudgetsTable[[#This Row],[Budget]]-BudgetsTable[[#This Row],[Spent]])</f>
        <v/>
      </c>
      <c r="M222" s="161"/>
      <c r="N222" s="161"/>
      <c r="O222" s="161"/>
      <c r="P222" s="161"/>
      <c r="Q222" s="161"/>
      <c r="R222" s="218"/>
      <c r="S2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2" s="218"/>
      <c r="X222" s="161"/>
    </row>
    <row r="223" spans="2:24" x14ac:dyDescent="0.25">
      <c r="B223" s="161"/>
      <c r="C223" s="252"/>
      <c r="D223" s="161"/>
      <c r="E223" s="161"/>
      <c r="F22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3" s="161"/>
      <c r="H223" s="161"/>
      <c r="I223" s="161"/>
      <c r="J22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3" s="161"/>
      <c r="L223" s="217" t="str">
        <f>IF(OR(ISBLANK(BudgetsTable[[#This Row],[Category]]),BudgetsTable[[#This Row],[Category]]=""),"",BudgetsTable[[#This Row],[Budget]]-BudgetsTable[[#This Row],[Spent]])</f>
        <v/>
      </c>
      <c r="M223" s="161"/>
      <c r="N223" s="161"/>
      <c r="O223" s="161"/>
      <c r="P223" s="161"/>
      <c r="Q223" s="161"/>
      <c r="R223" s="218"/>
      <c r="S2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3" s="218"/>
      <c r="X223" s="161"/>
    </row>
    <row r="224" spans="2:24" x14ac:dyDescent="0.25">
      <c r="B224" s="161"/>
      <c r="C224" s="252"/>
      <c r="D224" s="161"/>
      <c r="E224" s="161"/>
      <c r="F22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4" s="161"/>
      <c r="H224" s="161"/>
      <c r="I224" s="161"/>
      <c r="J22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4" s="161"/>
      <c r="L224" s="217" t="str">
        <f>IF(OR(ISBLANK(BudgetsTable[[#This Row],[Category]]),BudgetsTable[[#This Row],[Category]]=""),"",BudgetsTable[[#This Row],[Budget]]-BudgetsTable[[#This Row],[Spent]])</f>
        <v/>
      </c>
      <c r="M224" s="161"/>
      <c r="N224" s="161"/>
      <c r="O224" s="161"/>
      <c r="P224" s="161"/>
      <c r="Q224" s="161"/>
      <c r="R224" s="218"/>
      <c r="S2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4" s="218"/>
      <c r="X224" s="161"/>
    </row>
    <row r="225" spans="2:24" x14ac:dyDescent="0.25">
      <c r="B225" s="161"/>
      <c r="C225" s="252"/>
      <c r="D225" s="161"/>
      <c r="E225" s="161"/>
      <c r="F22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5" s="161"/>
      <c r="H225" s="161"/>
      <c r="I225" s="161"/>
      <c r="J22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5" s="161"/>
      <c r="L225" s="217" t="str">
        <f>IF(OR(ISBLANK(BudgetsTable[[#This Row],[Category]]),BudgetsTable[[#This Row],[Category]]=""),"",BudgetsTable[[#This Row],[Budget]]-BudgetsTable[[#This Row],[Spent]])</f>
        <v/>
      </c>
      <c r="M225" s="161"/>
      <c r="N225" s="161"/>
      <c r="O225" s="161"/>
      <c r="P225" s="161"/>
      <c r="Q225" s="161"/>
      <c r="R225" s="218"/>
      <c r="S2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5" s="218"/>
      <c r="X225" s="161"/>
    </row>
    <row r="226" spans="2:24" x14ac:dyDescent="0.25">
      <c r="B226" s="161"/>
      <c r="C226" s="252"/>
      <c r="D226" s="161"/>
      <c r="E226" s="161"/>
      <c r="F22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6" s="161"/>
      <c r="H226" s="161"/>
      <c r="I226" s="161"/>
      <c r="J22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6" s="161"/>
      <c r="L226" s="217" t="str">
        <f>IF(OR(ISBLANK(BudgetsTable[[#This Row],[Category]]),BudgetsTable[[#This Row],[Category]]=""),"",BudgetsTable[[#This Row],[Budget]]-BudgetsTable[[#This Row],[Spent]])</f>
        <v/>
      </c>
      <c r="M226" s="161"/>
      <c r="N226" s="161"/>
      <c r="O226" s="161"/>
      <c r="P226" s="161"/>
      <c r="Q226" s="161"/>
      <c r="R226" s="218"/>
      <c r="S2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6" s="218"/>
      <c r="X226" s="161"/>
    </row>
    <row r="227" spans="2:24" x14ac:dyDescent="0.25">
      <c r="B227" s="161"/>
      <c r="C227" s="252"/>
      <c r="D227" s="161"/>
      <c r="E227" s="161"/>
      <c r="F22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7" s="161"/>
      <c r="H227" s="161"/>
      <c r="I227" s="161"/>
      <c r="J22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7" s="161"/>
      <c r="L227" s="217" t="str">
        <f>IF(OR(ISBLANK(BudgetsTable[[#This Row],[Category]]),BudgetsTable[[#This Row],[Category]]=""),"",BudgetsTable[[#This Row],[Budget]]-BudgetsTable[[#This Row],[Spent]])</f>
        <v/>
      </c>
      <c r="M227" s="161"/>
      <c r="N227" s="161"/>
      <c r="O227" s="161"/>
      <c r="P227" s="161"/>
      <c r="Q227" s="161"/>
      <c r="R227" s="218"/>
      <c r="S2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7" s="218"/>
      <c r="X227" s="161"/>
    </row>
    <row r="228" spans="2:24" x14ac:dyDescent="0.25">
      <c r="B228" s="161"/>
      <c r="C228" s="252"/>
      <c r="D228" s="161"/>
      <c r="E228" s="161"/>
      <c r="F228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8" s="161"/>
      <c r="H228" s="161"/>
      <c r="I228" s="161"/>
      <c r="J228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8" s="161"/>
      <c r="L228" s="217" t="str">
        <f>IF(OR(ISBLANK(BudgetsTable[[#This Row],[Category]]),BudgetsTable[[#This Row],[Category]]=""),"",BudgetsTable[[#This Row],[Budget]]-BudgetsTable[[#This Row],[Spent]])</f>
        <v/>
      </c>
      <c r="M228" s="161"/>
      <c r="N228" s="161"/>
      <c r="O228" s="161"/>
      <c r="P228" s="161"/>
      <c r="Q228" s="161"/>
      <c r="R228" s="218"/>
      <c r="S2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8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8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8" s="218"/>
      <c r="X228" s="161"/>
    </row>
    <row r="229" spans="2:24" x14ac:dyDescent="0.25">
      <c r="B229" s="161"/>
      <c r="C229" s="252"/>
      <c r="D229" s="161"/>
      <c r="E229" s="161"/>
      <c r="F229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29" s="161"/>
      <c r="H229" s="161"/>
      <c r="I229" s="161"/>
      <c r="J229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29" s="161"/>
      <c r="L229" s="217" t="str">
        <f>IF(OR(ISBLANK(BudgetsTable[[#This Row],[Category]]),BudgetsTable[[#This Row],[Category]]=""),"",BudgetsTable[[#This Row],[Budget]]-BudgetsTable[[#This Row],[Spent]])</f>
        <v/>
      </c>
      <c r="M229" s="161"/>
      <c r="N229" s="161"/>
      <c r="O229" s="161"/>
      <c r="P229" s="161"/>
      <c r="Q229" s="161"/>
      <c r="R229" s="218"/>
      <c r="S2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29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29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29" s="218"/>
      <c r="X229" s="161"/>
    </row>
    <row r="230" spans="2:24" x14ac:dyDescent="0.25">
      <c r="B230" s="161"/>
      <c r="C230" s="252"/>
      <c r="D230" s="161"/>
      <c r="E230" s="161"/>
      <c r="F230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0" s="161"/>
      <c r="H230" s="161"/>
      <c r="I230" s="161"/>
      <c r="J230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0" s="161"/>
      <c r="L230" s="217" t="str">
        <f>IF(OR(ISBLANK(BudgetsTable[[#This Row],[Category]]),BudgetsTable[[#This Row],[Category]]=""),"",BudgetsTable[[#This Row],[Budget]]-BudgetsTable[[#This Row],[Spent]])</f>
        <v/>
      </c>
      <c r="M230" s="161"/>
      <c r="N230" s="161"/>
      <c r="O230" s="161"/>
      <c r="P230" s="161"/>
      <c r="Q230" s="161"/>
      <c r="R230" s="218"/>
      <c r="S2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0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0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0" s="218"/>
      <c r="X230" s="161"/>
    </row>
    <row r="231" spans="2:24" x14ac:dyDescent="0.25">
      <c r="B231" s="161"/>
      <c r="C231" s="252"/>
      <c r="D231" s="161"/>
      <c r="E231" s="161"/>
      <c r="F231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1" s="161"/>
      <c r="H231" s="161"/>
      <c r="I231" s="161"/>
      <c r="J231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1" s="161"/>
      <c r="L231" s="217" t="str">
        <f>IF(OR(ISBLANK(BudgetsTable[[#This Row],[Category]]),BudgetsTable[[#This Row],[Category]]=""),"",BudgetsTable[[#This Row],[Budget]]-BudgetsTable[[#This Row],[Spent]])</f>
        <v/>
      </c>
      <c r="M231" s="161"/>
      <c r="N231" s="161"/>
      <c r="O231" s="161"/>
      <c r="P231" s="161"/>
      <c r="Q231" s="161"/>
      <c r="R231" s="218"/>
      <c r="S2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1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1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1" s="218"/>
      <c r="X231" s="161"/>
    </row>
    <row r="232" spans="2:24" x14ac:dyDescent="0.25">
      <c r="B232" s="161"/>
      <c r="C232" s="252"/>
      <c r="D232" s="161"/>
      <c r="E232" s="161"/>
      <c r="F232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2" s="161"/>
      <c r="H232" s="161"/>
      <c r="I232" s="161"/>
      <c r="J232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2" s="161"/>
      <c r="L232" s="217" t="str">
        <f>IF(OR(ISBLANK(BudgetsTable[[#This Row],[Category]]),BudgetsTable[[#This Row],[Category]]=""),"",BudgetsTable[[#This Row],[Budget]]-BudgetsTable[[#This Row],[Spent]])</f>
        <v/>
      </c>
      <c r="M232" s="161"/>
      <c r="N232" s="161"/>
      <c r="O232" s="161"/>
      <c r="P232" s="161"/>
      <c r="Q232" s="161"/>
      <c r="R232" s="218"/>
      <c r="S2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2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2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2" s="218"/>
      <c r="X232" s="161"/>
    </row>
    <row r="233" spans="2:24" x14ac:dyDescent="0.25">
      <c r="B233" s="161"/>
      <c r="C233" s="252"/>
      <c r="D233" s="161"/>
      <c r="E233" s="161"/>
      <c r="F233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3" s="161"/>
      <c r="H233" s="161"/>
      <c r="I233" s="161"/>
      <c r="J233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3" s="161"/>
      <c r="L233" s="217" t="str">
        <f>IF(OR(ISBLANK(BudgetsTable[[#This Row],[Category]]),BudgetsTable[[#This Row],[Category]]=""),"",BudgetsTable[[#This Row],[Budget]]-BudgetsTable[[#This Row],[Spent]])</f>
        <v/>
      </c>
      <c r="M233" s="161"/>
      <c r="N233" s="161"/>
      <c r="O233" s="161"/>
      <c r="P233" s="161"/>
      <c r="Q233" s="161"/>
      <c r="R233" s="218"/>
      <c r="S2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3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3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3" s="218"/>
      <c r="X233" s="161"/>
    </row>
    <row r="234" spans="2:24" x14ac:dyDescent="0.25">
      <c r="B234" s="161"/>
      <c r="C234" s="252"/>
      <c r="D234" s="161"/>
      <c r="E234" s="161"/>
      <c r="F234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4" s="161"/>
      <c r="H234" s="161"/>
      <c r="I234" s="161"/>
      <c r="J234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4" s="161"/>
      <c r="L234" s="217" t="str">
        <f>IF(OR(ISBLANK(BudgetsTable[[#This Row],[Category]]),BudgetsTable[[#This Row],[Category]]=""),"",BudgetsTable[[#This Row],[Budget]]-BudgetsTable[[#This Row],[Spent]])</f>
        <v/>
      </c>
      <c r="M234" s="161"/>
      <c r="N234" s="161"/>
      <c r="O234" s="161"/>
      <c r="P234" s="161"/>
      <c r="Q234" s="161"/>
      <c r="R234" s="218"/>
      <c r="S2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4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4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4" s="218"/>
      <c r="X234" s="161"/>
    </row>
    <row r="235" spans="2:24" x14ac:dyDescent="0.25">
      <c r="B235" s="161"/>
      <c r="C235" s="252"/>
      <c r="D235" s="161"/>
      <c r="E235" s="161"/>
      <c r="F235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5" s="161"/>
      <c r="H235" s="161"/>
      <c r="I235" s="161"/>
      <c r="J235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5" s="161"/>
      <c r="L235" s="217" t="str">
        <f>IF(OR(ISBLANK(BudgetsTable[[#This Row],[Category]]),BudgetsTable[[#This Row],[Category]]=""),"",BudgetsTable[[#This Row],[Budget]]-BudgetsTable[[#This Row],[Spent]])</f>
        <v/>
      </c>
      <c r="M235" s="161"/>
      <c r="N235" s="161"/>
      <c r="O235" s="161"/>
      <c r="P235" s="161"/>
      <c r="Q235" s="161"/>
      <c r="R235" s="218"/>
      <c r="S2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5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5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5" s="218"/>
      <c r="X235" s="161"/>
    </row>
    <row r="236" spans="2:24" x14ac:dyDescent="0.25">
      <c r="B236" s="161"/>
      <c r="C236" s="252"/>
      <c r="D236" s="161"/>
      <c r="E236" s="161"/>
      <c r="F236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6" s="161"/>
      <c r="H236" s="161"/>
      <c r="I236" s="161"/>
      <c r="J236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6" s="161"/>
      <c r="L236" s="217" t="str">
        <f>IF(OR(ISBLANK(BudgetsTable[[#This Row],[Category]]),BudgetsTable[[#This Row],[Category]]=""),"",BudgetsTable[[#This Row],[Budget]]-BudgetsTable[[#This Row],[Spent]])</f>
        <v/>
      </c>
      <c r="M236" s="161"/>
      <c r="N236" s="161"/>
      <c r="O236" s="161"/>
      <c r="P236" s="161"/>
      <c r="Q236" s="161"/>
      <c r="R236" s="218"/>
      <c r="S2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6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6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6" s="218"/>
      <c r="X236" s="161"/>
    </row>
    <row r="237" spans="2:24" x14ac:dyDescent="0.25">
      <c r="B237" s="161"/>
      <c r="C237" s="252"/>
      <c r="D237" s="161"/>
      <c r="E237" s="161"/>
      <c r="F237" s="217" t="str">
        <f>IF(OR(ISBLANK(BudgetsTable[[#This Row],[Category]]),BudgetsTable[[#This Row],[Category]]=""),"",(SUMIFS(Table1[Amount $],Table1[Category Type],"Expense",Table1[Date_Month],MONTH(BudgetsDate),Table1[Date_Year],YEAR(BudgetsDate),Table1[Category],BudgetsTable[[#This Row],[Category]]))*(-1))</f>
        <v/>
      </c>
      <c r="G237" s="161"/>
      <c r="H237" s="161"/>
      <c r="I237" s="161"/>
      <c r="J237" s="247" t="str">
        <f>IF(OR(ISBLANK(BudgetsTable[[#This Row],[Category]]),BudgetsTable[[#This Row],[Category]]=""),"",(IF(BudgetsTable[[#This Row],[MonthsCount]]=0,0,MAX(0,SUM(BudgetsTable[[#This Row],[OneMonthAgoBudget]]:BudgetsTable[[#This Row],[ThreeMonthsAgoBudget]])/BudgetsTable[[#This Row],[MonthsCount]]))))</f>
        <v/>
      </c>
      <c r="K237" s="161"/>
      <c r="L237" s="217" t="str">
        <f>IF(OR(ISBLANK(BudgetsTable[[#This Row],[Category]]),BudgetsTable[[#This Row],[Category]]=""),"",BudgetsTable[[#This Row],[Budget]]-BudgetsTable[[#This Row],[Spent]])</f>
        <v/>
      </c>
      <c r="M237" s="161"/>
      <c r="N237" s="161"/>
      <c r="O237" s="161"/>
      <c r="P237" s="161"/>
      <c r="Q237" s="161"/>
      <c r="R237" s="218"/>
      <c r="S2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Type],"Expense",Table1[Date_Month],MONTH(EOMONTH(BudgetsDate,-1)),Table1[Date_Year],YEAR(EOMONTH(BudgetsDate,-1)))*(-1)))</f>
        <v/>
      </c>
      <c r="T2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Type],"Expense",Table1[Date_Month],MONTH(EOMONTH(BudgetsDate,-2)),Table1[Date_Year],YEAR(EOMONTH(BudgetsDate,-2)))*(-1)))</f>
        <v/>
      </c>
      <c r="U237" s="220" t="str">
        <f>IF(OR(ISBLANK(BudgetsTable[[#This Row],[Category]]),BudgetsTable[[#This Row],[Category]]=""),"",(SUMIFS(Table1[Amount $],Table1[Category],BudgetsTable[[#This Row],[Category]],Table1[Category Type],"Expense",Table1[Date_Month],MONTH(EOMONTH(BudgetsDate,-3)),Table1[Date_Year],YEAR(EOMONTH(BudgetsDate,-3)))*(-1)))</f>
        <v/>
      </c>
      <c r="V237" s="218">
        <f>IF(OR(ISBLANK(BudgetsTable[[#This Row],[Category]]),BudgetsTable[[#This Row],[Category]]=""),0,(COUNTIF(BudgetsTable[[#This Row],[OneMonthAgoBudget]]:BudgetsTable[[#This Row],[ThreeMonthsAgoBudget]],"&lt;&gt;0")))</f>
        <v>0</v>
      </c>
      <c r="W237" s="218"/>
      <c r="X237" s="161"/>
    </row>
  </sheetData>
  <mergeCells count="19">
    <mergeCell ref="D33:E33"/>
    <mergeCell ref="G33:I33"/>
    <mergeCell ref="M33:X33"/>
    <mergeCell ref="C8:F8"/>
    <mergeCell ref="J7:Q7"/>
    <mergeCell ref="J8:Q8"/>
    <mergeCell ref="C22:F22"/>
    <mergeCell ref="C23:F23"/>
    <mergeCell ref="C28:F28"/>
    <mergeCell ref="J22:Q22"/>
    <mergeCell ref="J23:Q23"/>
    <mergeCell ref="J25:K25"/>
    <mergeCell ref="O25:P25"/>
    <mergeCell ref="C7:F7"/>
    <mergeCell ref="B2:J2"/>
    <mergeCell ref="B3:J3"/>
    <mergeCell ref="O2:X2"/>
    <mergeCell ref="O3:X3"/>
    <mergeCell ref="B4:X4"/>
  </mergeCells>
  <conditionalFormatting sqref="C36:C237">
    <cfRule type="expression" dxfId="14" priority="1">
      <formula>AND(NOT(ISNUMBER(MATCH(INDIRECT("RC", FALSE),HiddenCategoriesCategoryNames,0))), NOT(ISBLANK(INDIRECT("RC", FALSE))))</formula>
    </cfRule>
  </conditionalFormatting>
  <conditionalFormatting sqref="F36:F237">
    <cfRule type="expression" dxfId="13" priority="2">
      <formula>INDIRECT("RC", FALSE) &lt; 0</formula>
    </cfRule>
  </conditionalFormatting>
  <conditionalFormatting sqref="J36:J237">
    <cfRule type="expression" dxfId="12" priority="3">
      <formula>INDIRECT("RC", FALSE) &lt; 0</formula>
    </cfRule>
  </conditionalFormatting>
  <conditionalFormatting sqref="L36:L237">
    <cfRule type="expression" dxfId="11" priority="4">
      <formula>ROUND(INDIRECT("RC", FALSE), 2) &lt; 0</formula>
    </cfRule>
  </conditionalFormatting>
  <conditionalFormatting sqref="F25">
    <cfRule type="expression" dxfId="10" priority="5">
      <formula>BudgetsTotalRemaining&lt;0</formula>
    </cfRule>
  </conditionalFormatting>
  <conditionalFormatting sqref="L25">
    <cfRule type="expression" dxfId="9" priority="6">
      <formula>BudgetsFavoriteCategory1Difference&lt;0</formula>
    </cfRule>
  </conditionalFormatting>
  <conditionalFormatting sqref="Q25">
    <cfRule type="expression" dxfId="8" priority="7">
      <formula>BudgetsFavoriteCategory2Difference&lt;0</formula>
    </cfRule>
  </conditionalFormatting>
  <conditionalFormatting sqref="L33">
    <cfRule type="expression" dxfId="7" priority="8">
      <formula>ROUND(INDIRECT("RC", FALSE), 2) &lt; 0</formula>
    </cfRule>
  </conditionalFormatting>
  <dataValidations count="8">
    <dataValidation type="list" allowBlank="1" showInputMessage="1" showErrorMessage="1" sqref="C39:C237" xr:uid="{4175F8F8-5562-42BE-A39D-E306F5DB8810}">
      <formula1>BudgetsUnusedCategoryNames</formula1>
    </dataValidation>
    <dataValidation type="list" allowBlank="1" showInputMessage="1" showErrorMessage="1" promptTitle="Month selection" prompt="Select a month from the list" sqref="O3:X3" xr:uid="{C359AA25-41ED-48A7-B810-CDB5EF8AEFC9}">
      <formula1>BudgetsAvailableDates</formula1>
    </dataValidation>
    <dataValidation allowBlank="1" showInputMessage="1" showErrorMessage="1" promptTitle="Income" prompt="Add monthly income" sqref="F13" xr:uid="{AA01B7A1-982C-44C9-BF0B-3FDCF88C14BF}"/>
    <dataValidation type="list" allowBlank="1" showInputMessage="1" showErrorMessage="1" promptTitle="Category budget" prompt="Select a category from the list" sqref="J25:K25 O25:P25" xr:uid="{F151600D-8176-4398-8D5A-7B7EC35F66FE}">
      <formula1>BudgetsUsedCategoryNames</formula1>
    </dataValidation>
    <dataValidation type="list" allowBlank="1" showInputMessage="1" showErrorMessage="1" promptTitle="Category" prompt="Select a category from the list" sqref="C36:C38" xr:uid="{6E5783BF-F4CB-49E4-9F29-422FD498AA30}">
      <formula1>BudgetsUnusedCategoryNames</formula1>
    </dataValidation>
    <dataValidation allowBlank="1" showInputMessage="1" showErrorMessage="1" promptTitle="Spent" prompt="Spent value will update automatically" sqref="F36:F237" xr:uid="{15A8C251-7BF6-4EB2-8D47-CEE1B376E74E}"/>
    <dataValidation allowBlank="1" showInputMessage="1" showErrorMessage="1" promptTitle="Budget" prompt="Edit the budget value" sqref="J36:J38" xr:uid="{272328AB-EAEC-4C8B-B338-5F615409E2D7}"/>
    <dataValidation allowBlank="1" showInputMessage="1" showErrorMessage="1" promptTitle="Remaining" prompt="Remaining value will update automatically" sqref="L36:L38" xr:uid="{285D3707-F62B-4D2F-9285-C6993EBF322E}"/>
  </dataValidation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46FA3-F659-4C1B-A771-707ACC9C97C8}">
  <dimension ref="A1:H1000"/>
  <sheetViews>
    <sheetView workbookViewId="0"/>
  </sheetViews>
  <sheetFormatPr defaultRowHeight="15" x14ac:dyDescent="0.25"/>
  <sheetData>
    <row r="1" spans="1:8" x14ac:dyDescent="0.25">
      <c r="A1" s="56" t="s">
        <v>1333</v>
      </c>
      <c r="B1" s="56" t="s">
        <v>1334</v>
      </c>
      <c r="C1" s="56" t="s">
        <v>1335</v>
      </c>
      <c r="D1" s="56" t="s">
        <v>1336</v>
      </c>
      <c r="E1" s="56" t="s">
        <v>1337</v>
      </c>
      <c r="F1" s="56" t="s">
        <v>1338</v>
      </c>
      <c r="G1" s="56" t="s">
        <v>1339</v>
      </c>
      <c r="H1" s="56" t="s">
        <v>1340</v>
      </c>
    </row>
    <row r="2" spans="1:8" x14ac:dyDescent="0.25">
      <c r="A2" t="str">
        <f ca="1">TEXT(EOMONTH(TODAY(),-1)+1,"mm yyyy")</f>
        <v>03 2021</v>
      </c>
      <c r="B2" cm="1">
        <f t="array" aca="1" ref="B2" ca="1">IFERROR(DATE(RIGHT(INDIRECT("RC[-1]",0),4),LEFT(INDIRECT("RC[-1]",0),2),1), "")</f>
        <v>44256</v>
      </c>
      <c r="C2" s="214" cm="1">
        <f t="array" aca="1" ref="C2:C26" ca="1">_xlfn._xlws.SORT(_xlfn.UNIQUE(_xlfn._xlws.FILTER($B$2:$B$1000, $B2:$B$1000&lt;&gt;"")), 1, -1)</f>
        <v>44256</v>
      </c>
      <c r="D2" t="str" cm="1">
        <f t="array" ref="D2:D20">_xlfn.UNIQUE(_xlfn._xlws.FILTER(CategoryNames, (CategoryNames&lt;&gt;"") * (CategoryNames&lt;&gt;"Refund") * (CategoryNames&lt;&gt;"Income") * (CategoryNames&lt;&gt;"Transfer")))</f>
        <v>Auto/Transport</v>
      </c>
      <c r="E2" t="str" cm="1">
        <f t="array" aca="1" ref="E2" ca="1">IF(_xlfn.XLOOKUP(INDIRECT("RC[-1]", 0), CategoryNames, CategoryIdentifiers, "")&lt;&gt;"",INDIRECT("RC[-1]", 0),"")</f>
        <v>Auto/Transport</v>
      </c>
      <c r="F2" t="str" cm="1">
        <f t="array" ref="F2:F16">IF(COUNTA(Budget!$C$36:$C$237)&gt;0,_xlfn.UNIQUE(_xlfn._xlws.FILTER(Budget!$C$36:$C$237,Budget!$C$36:$C$237&lt;&gt;"",),FALSE,FALSE),"")</f>
        <v>Auto/Transport</v>
      </c>
      <c r="G2" t="str" cm="1">
        <f t="array" aca="1" ref="G2" ca="1">IF(COUNTIF($F$2:$F$1000,INDIRECT("RC[-2]",0))&gt;0,"",INDIRECT("RC[-2]",0))</f>
        <v/>
      </c>
      <c r="H2" t="str" cm="1">
        <f t="array" aca="1" ref="H2:H5" ca="1">IFERROR(_xlfn._xlws.FILTER($G$2:$G$1000, ($G$2:$G$1000&lt;&gt;"") * ($G$2:$G$1000&lt;&gt;0)), "No additional categories")</f>
        <v>Investment</v>
      </c>
    </row>
    <row r="3" spans="1:8" x14ac:dyDescent="0.25">
      <c r="A3" t="str" cm="1">
        <f t="array" ref="A3:A27">IFERROR(_xlfn.UNIQUE(TEXT(_xlfn._xlws.FILTER(Table1[Date],Table1[Date]&lt;&gt;"",), "mm yyyy")),"")</f>
        <v>03 2021</v>
      </c>
      <c r="B3" cm="1">
        <f t="array" aca="1" ref="B3" ca="1">IFERROR(DATE(RIGHT(INDIRECT("RC[-1]",0),4),LEFT(INDIRECT("RC[-1]",0),2),1), "")</f>
        <v>44256</v>
      </c>
      <c r="C3" s="214">
        <f ca="1"/>
        <v>44228</v>
      </c>
      <c r="D3" t="str">
        <v>Bills/Utilities</v>
      </c>
      <c r="E3" t="str" cm="1">
        <f t="array" aca="1" ref="E3" ca="1">IF(_xlfn.XLOOKUP(INDIRECT("RC[-1]", 0), CategoryNames, CategoryIdentifiers, "")&lt;&gt;"",INDIRECT("RC[-1]", 0),"")</f>
        <v>Bills/Utilities</v>
      </c>
      <c r="F3" t="str">
        <v>Bills/Utilities</v>
      </c>
      <c r="G3" t="str" cm="1">
        <f t="array" aca="1" ref="G3" ca="1">IF(COUNTIF($F$2:$F$1000,INDIRECT("RC[-2]",0))&gt;0,"",INDIRECT("RC[-2]",0))</f>
        <v/>
      </c>
      <c r="H3" t="str">
        <f ca="1"/>
        <v>Education</v>
      </c>
    </row>
    <row r="4" spans="1:8" x14ac:dyDescent="0.25">
      <c r="A4" t="str">
        <v>02 2021</v>
      </c>
      <c r="B4" cm="1">
        <f t="array" aca="1" ref="B4" ca="1">IFERROR(DATE(RIGHT(INDIRECT("RC[-1]",0),4),LEFT(INDIRECT("RC[-1]",0),2),1), "")</f>
        <v>44228</v>
      </c>
      <c r="C4" s="214">
        <f ca="1"/>
        <v>44197</v>
      </c>
      <c r="D4" t="str">
        <v>Entertainment</v>
      </c>
      <c r="E4" t="str" cm="1">
        <f t="array" aca="1" ref="E4" ca="1">IF(_xlfn.XLOOKUP(INDIRECT("RC[-1]", 0), CategoryNames, CategoryIdentifiers, "")&lt;&gt;"",INDIRECT("RC[-1]", 0),"")</f>
        <v>Entertainment</v>
      </c>
      <c r="F4" t="str">
        <v>Entertainment</v>
      </c>
      <c r="G4" t="str" cm="1">
        <f t="array" aca="1" ref="G4" ca="1">IF(COUNTIF($F$2:$F$1000,INDIRECT("RC[-2]",0))&gt;0,"",INDIRECT("RC[-2]",0))</f>
        <v/>
      </c>
      <c r="H4" t="str">
        <f ca="1"/>
        <v>Government</v>
      </c>
    </row>
    <row r="5" spans="1:8" x14ac:dyDescent="0.25">
      <c r="A5" t="str">
        <v>01 2021</v>
      </c>
      <c r="B5" cm="1">
        <f t="array" aca="1" ref="B5" ca="1">IFERROR(DATE(RIGHT(INDIRECT("RC[-1]",0),4),LEFT(INDIRECT("RC[-1]",0),2),1), "")</f>
        <v>44197</v>
      </c>
      <c r="C5" s="214">
        <f ca="1"/>
        <v>44166</v>
      </c>
      <c r="D5" t="str">
        <v>Fees/Charges</v>
      </c>
      <c r="E5" t="str" cm="1">
        <f t="array" aca="1" ref="E5" ca="1">IF(_xlfn.XLOOKUP(INDIRECT("RC[-1]", 0), CategoryNames, CategoryIdentifiers, "")&lt;&gt;"",INDIRECT("RC[-1]", 0),"")</f>
        <v>Fees/Charges</v>
      </c>
      <c r="F5" t="str">
        <v>Fees/Charges</v>
      </c>
      <c r="G5" t="str" cm="1">
        <f t="array" aca="1" ref="G5" ca="1">IF(COUNTIF($F$2:$F$1000,INDIRECT("RC[-2]",0))&gt;0,"",INDIRECT("RC[-2]",0))</f>
        <v/>
      </c>
      <c r="H5" t="str">
        <f ca="1"/>
        <v>Apps</v>
      </c>
    </row>
    <row r="6" spans="1:8" x14ac:dyDescent="0.25">
      <c r="A6" t="str">
        <v>12 2020</v>
      </c>
      <c r="B6" cm="1">
        <f t="array" aca="1" ref="B6" ca="1">IFERROR(DATE(RIGHT(INDIRECT("RC[-1]",0),4),LEFT(INDIRECT("RC[-1]",0),2),1), "")</f>
        <v>44166</v>
      </c>
      <c r="C6" s="214">
        <f ca="1"/>
        <v>44136</v>
      </c>
      <c r="D6" t="str">
        <v>Groceries</v>
      </c>
      <c r="E6" t="str" cm="1">
        <f t="array" aca="1" ref="E6" ca="1">IF(_xlfn.XLOOKUP(INDIRECT("RC[-1]", 0), CategoryNames, CategoryIdentifiers, "")&lt;&gt;"",INDIRECT("RC[-1]", 0),"")</f>
        <v>Groceries</v>
      </c>
      <c r="F6" t="str">
        <v>Groceries</v>
      </c>
      <c r="G6" t="str" cm="1">
        <f t="array" aca="1" ref="G6" ca="1">IF(COUNTIF($F$2:$F$1000,INDIRECT("RC[-2]",0))&gt;0,"",INDIRECT("RC[-2]",0))</f>
        <v/>
      </c>
    </row>
    <row r="7" spans="1:8" x14ac:dyDescent="0.25">
      <c r="A7" t="str">
        <v>11 2020</v>
      </c>
      <c r="B7" cm="1">
        <f t="array" aca="1" ref="B7" ca="1">IFERROR(DATE(RIGHT(INDIRECT("RC[-1]",0),4),LEFT(INDIRECT("RC[-1]",0),2),1), "")</f>
        <v>44136</v>
      </c>
      <c r="C7" s="214">
        <f ca="1"/>
        <v>44105</v>
      </c>
      <c r="D7" t="str">
        <v>Health/Fitness</v>
      </c>
      <c r="E7" t="str" cm="1">
        <f t="array" aca="1" ref="E7" ca="1">IF(_xlfn.XLOOKUP(INDIRECT("RC[-1]", 0), CategoryNames, CategoryIdentifiers, "")&lt;&gt;"",INDIRECT("RC[-1]", 0),"")</f>
        <v>Health/Fitness</v>
      </c>
      <c r="F7" t="str">
        <v>Health/Fitness</v>
      </c>
      <c r="G7" t="str" cm="1">
        <f t="array" aca="1" ref="G7" ca="1">IF(COUNTIF($F$2:$F$1000,INDIRECT("RC[-2]",0))&gt;0,"",INDIRECT("RC[-2]",0))</f>
        <v/>
      </c>
    </row>
    <row r="8" spans="1:8" x14ac:dyDescent="0.25">
      <c r="A8" t="str">
        <v>10 2020</v>
      </c>
      <c r="B8" cm="1">
        <f t="array" aca="1" ref="B8" ca="1">IFERROR(DATE(RIGHT(INDIRECT("RC[-1]",0),4),LEFT(INDIRECT("RC[-1]",0),2),1), "")</f>
        <v>44105</v>
      </c>
      <c r="C8" s="214">
        <f ca="1"/>
        <v>44075</v>
      </c>
      <c r="D8" t="str">
        <v>Home</v>
      </c>
      <c r="E8" t="str" cm="1">
        <f t="array" aca="1" ref="E8" ca="1">IF(_xlfn.XLOOKUP(INDIRECT("RC[-1]", 0), CategoryNames, CategoryIdentifiers, "")&lt;&gt;"",INDIRECT("RC[-1]", 0),"")</f>
        <v>Home</v>
      </c>
      <c r="F8" t="str">
        <v>Home</v>
      </c>
      <c r="G8" t="str" cm="1">
        <f t="array" aca="1" ref="G8" ca="1">IF(COUNTIF($F$2:$F$1000,INDIRECT("RC[-2]",0))&gt;0,"",INDIRECT("RC[-2]",0))</f>
        <v/>
      </c>
    </row>
    <row r="9" spans="1:8" x14ac:dyDescent="0.25">
      <c r="A9" t="str">
        <v>09 2020</v>
      </c>
      <c r="B9" cm="1">
        <f t="array" aca="1" ref="B9" ca="1">IFERROR(DATE(RIGHT(INDIRECT("RC[-1]",0),4),LEFT(INDIRECT("RC[-1]",0),2),1), "")</f>
        <v>44075</v>
      </c>
      <c r="C9" s="214">
        <f ca="1"/>
        <v>44044</v>
      </c>
      <c r="D9" t="str">
        <v>Misc</v>
      </c>
      <c r="E9" t="str" cm="1">
        <f t="array" aca="1" ref="E9" ca="1">IF(_xlfn.XLOOKUP(INDIRECT("RC[-1]", 0), CategoryNames, CategoryIdentifiers, "")&lt;&gt;"",INDIRECT("RC[-1]", 0),"")</f>
        <v>Misc</v>
      </c>
      <c r="F9" t="str">
        <v>Misc</v>
      </c>
      <c r="G9" t="str" cm="1">
        <f t="array" aca="1" ref="G9" ca="1">IF(COUNTIF($F$2:$F$1000,INDIRECT("RC[-2]",0))&gt;0,"",INDIRECT("RC[-2]",0))</f>
        <v/>
      </c>
    </row>
    <row r="10" spans="1:8" x14ac:dyDescent="0.25">
      <c r="A10" t="str">
        <v>08 2020</v>
      </c>
      <c r="B10" cm="1">
        <f t="array" aca="1" ref="B10" ca="1">IFERROR(DATE(RIGHT(INDIRECT("RC[-1]",0),4),LEFT(INDIRECT("RC[-1]",0),2),1), "")</f>
        <v>44044</v>
      </c>
      <c r="C10" s="214">
        <f ca="1"/>
        <v>44013</v>
      </c>
      <c r="D10" t="str">
        <v>Mortgage/Rent</v>
      </c>
      <c r="E10" t="str" cm="1">
        <f t="array" aca="1" ref="E10" ca="1">IF(_xlfn.XLOOKUP(INDIRECT("RC[-1]", 0), CategoryNames, CategoryIdentifiers, "")&lt;&gt;"",INDIRECT("RC[-1]", 0),"")</f>
        <v>Mortgage/Rent</v>
      </c>
      <c r="F10" t="str">
        <v>Mortgage/Rent</v>
      </c>
      <c r="G10" t="str" cm="1">
        <f t="array" aca="1" ref="G10" ca="1">IF(COUNTIF($F$2:$F$1000,INDIRECT("RC[-2]",0))&gt;0,"",INDIRECT("RC[-2]",0))</f>
        <v/>
      </c>
    </row>
    <row r="11" spans="1:8" x14ac:dyDescent="0.25">
      <c r="A11" t="str">
        <v>07 2020</v>
      </c>
      <c r="B11" cm="1">
        <f t="array" aca="1" ref="B11" ca="1">IFERROR(DATE(RIGHT(INDIRECT("RC[-1]",0),4),LEFT(INDIRECT("RC[-1]",0),2),1), "")</f>
        <v>44013</v>
      </c>
      <c r="C11" s="214">
        <f ca="1"/>
        <v>43983</v>
      </c>
      <c r="D11" t="str">
        <v>Payment</v>
      </c>
      <c r="E11" t="str" cm="1">
        <f t="array" aca="1" ref="E11" ca="1">IF(_xlfn.XLOOKUP(INDIRECT("RC[-1]", 0), CategoryNames, CategoryIdentifiers, "")&lt;&gt;"",INDIRECT("RC[-1]", 0),"")</f>
        <v>Payment</v>
      </c>
      <c r="F11" t="str">
        <v>Payment</v>
      </c>
      <c r="G11" t="str" cm="1">
        <f t="array" aca="1" ref="G11" ca="1">IF(COUNTIF($F$2:$F$1000,INDIRECT("RC[-2]",0))&gt;0,"",INDIRECT("RC[-2]",0))</f>
        <v/>
      </c>
    </row>
    <row r="12" spans="1:8" x14ac:dyDescent="0.25">
      <c r="A12" t="str">
        <v>06 2020</v>
      </c>
      <c r="B12" cm="1">
        <f t="array" aca="1" ref="B12" ca="1">IFERROR(DATE(RIGHT(INDIRECT("RC[-1]",0),4),LEFT(INDIRECT("RC[-1]",0),2),1), "")</f>
        <v>43983</v>
      </c>
      <c r="C12" s="214">
        <f ca="1"/>
        <v>43952</v>
      </c>
      <c r="D12" t="str">
        <v>Professional Services</v>
      </c>
      <c r="E12" t="str" cm="1">
        <f t="array" aca="1" ref="E12" ca="1">IF(_xlfn.XLOOKUP(INDIRECT("RC[-1]", 0), CategoryNames, CategoryIdentifiers, "")&lt;&gt;"",INDIRECT("RC[-1]", 0),"")</f>
        <v>Professional Services</v>
      </c>
      <c r="F12" t="str">
        <v>Professional Services</v>
      </c>
      <c r="G12" t="str" cm="1">
        <f t="array" aca="1" ref="G12" ca="1">IF(COUNTIF($F$2:$F$1000,INDIRECT("RC[-2]",0))&gt;0,"",INDIRECT("RC[-2]",0))</f>
        <v/>
      </c>
    </row>
    <row r="13" spans="1:8" x14ac:dyDescent="0.25">
      <c r="A13" t="str">
        <v>05 2020</v>
      </c>
      <c r="B13" cm="1">
        <f t="array" aca="1" ref="B13" ca="1">IFERROR(DATE(RIGHT(INDIRECT("RC[-1]",0),4),LEFT(INDIRECT("RC[-1]",0),2),1), "")</f>
        <v>43952</v>
      </c>
      <c r="C13" s="214">
        <f ca="1"/>
        <v>43922</v>
      </c>
      <c r="D13" t="str">
        <v>Restaurants/Dining</v>
      </c>
      <c r="E13" t="str" cm="1">
        <f t="array" aca="1" ref="E13" ca="1">IF(_xlfn.XLOOKUP(INDIRECT("RC[-1]", 0), CategoryNames, CategoryIdentifiers, "")&lt;&gt;"",INDIRECT("RC[-1]", 0),"")</f>
        <v>Restaurants/Dining</v>
      </c>
      <c r="F13" t="str">
        <v>Restaurants/Dining</v>
      </c>
      <c r="G13" t="str" cm="1">
        <f t="array" aca="1" ref="G13" ca="1">IF(COUNTIF($F$2:$F$1000,INDIRECT("RC[-2]",0))&gt;0,"",INDIRECT("RC[-2]",0))</f>
        <v/>
      </c>
    </row>
    <row r="14" spans="1:8" x14ac:dyDescent="0.25">
      <c r="A14" t="str">
        <v>04 2020</v>
      </c>
      <c r="B14" cm="1">
        <f t="array" aca="1" ref="B14" ca="1">IFERROR(DATE(RIGHT(INDIRECT("RC[-1]",0),4),LEFT(INDIRECT("RC[-1]",0),2),1), "")</f>
        <v>43922</v>
      </c>
      <c r="C14" s="214">
        <f ca="1"/>
        <v>43891</v>
      </c>
      <c r="D14" t="str">
        <v>Shopping</v>
      </c>
      <c r="E14" t="str" cm="1">
        <f t="array" aca="1" ref="E14" ca="1">IF(_xlfn.XLOOKUP(INDIRECT("RC[-1]", 0), CategoryNames, CategoryIdentifiers, "")&lt;&gt;"",INDIRECT("RC[-1]", 0),"")</f>
        <v>Shopping</v>
      </c>
      <c r="F14" t="str">
        <v>Shopping</v>
      </c>
      <c r="G14" t="str" cm="1">
        <f t="array" aca="1" ref="G14" ca="1">IF(COUNTIF($F$2:$F$1000,INDIRECT("RC[-2]",0))&gt;0,"",INDIRECT("RC[-2]",0))</f>
        <v/>
      </c>
    </row>
    <row r="15" spans="1:8" x14ac:dyDescent="0.25">
      <c r="A15" t="str">
        <v>03 2020</v>
      </c>
      <c r="B15" cm="1">
        <f t="array" aca="1" ref="B15" ca="1">IFERROR(DATE(RIGHT(INDIRECT("RC[-1]",0),4),LEFT(INDIRECT("RC[-1]",0),2),1), "")</f>
        <v>43891</v>
      </c>
      <c r="C15" s="214">
        <f ca="1"/>
        <v>43862</v>
      </c>
      <c r="D15" t="str">
        <v>Travel</v>
      </c>
      <c r="E15" t="str" cm="1">
        <f t="array" aca="1" ref="E15" ca="1">IF(_xlfn.XLOOKUP(INDIRECT("RC[-1]", 0), CategoryNames, CategoryIdentifiers, "")&lt;&gt;"",INDIRECT("RC[-1]", 0),"")</f>
        <v>Travel</v>
      </c>
      <c r="F15" t="str">
        <v>Travel</v>
      </c>
      <c r="G15" t="str" cm="1">
        <f t="array" aca="1" ref="G15" ca="1">IF(COUNTIF($F$2:$F$1000,INDIRECT("RC[-2]",0))&gt;0,"",INDIRECT("RC[-2]",0))</f>
        <v/>
      </c>
    </row>
    <row r="16" spans="1:8" x14ac:dyDescent="0.25">
      <c r="A16" t="str">
        <v>02 2020</v>
      </c>
      <c r="B16" cm="1">
        <f t="array" aca="1" ref="B16" ca="1">IFERROR(DATE(RIGHT(INDIRECT("RC[-1]",0),4),LEFT(INDIRECT("RC[-1]",0),2),1), "")</f>
        <v>43862</v>
      </c>
      <c r="C16" s="214">
        <f ca="1"/>
        <v>43831</v>
      </c>
      <c r="D16" t="str">
        <v>Uncategorized</v>
      </c>
      <c r="E16" t="str" cm="1">
        <f t="array" aca="1" ref="E16" ca="1">IF(_xlfn.XLOOKUP(INDIRECT("RC[-1]", 0), CategoryNames, CategoryIdentifiers, "")&lt;&gt;"",INDIRECT("RC[-1]", 0),"")</f>
        <v>Uncategorized</v>
      </c>
      <c r="F16" t="str">
        <v>Uncategorized</v>
      </c>
      <c r="G16" t="str" cm="1">
        <f t="array" aca="1" ref="G16" ca="1">IF(COUNTIF($F$2:$F$1000,INDIRECT("RC[-2]",0))&gt;0,"",INDIRECT("RC[-2]",0))</f>
        <v/>
      </c>
    </row>
    <row r="17" spans="1:7" x14ac:dyDescent="0.25">
      <c r="A17" t="str">
        <v>01 2020</v>
      </c>
      <c r="B17" cm="1">
        <f t="array" aca="1" ref="B17" ca="1">IFERROR(DATE(RIGHT(INDIRECT("RC[-1]",0),4),LEFT(INDIRECT("RC[-1]",0),2),1), "")</f>
        <v>43831</v>
      </c>
      <c r="C17" s="214">
        <f ca="1"/>
        <v>43800</v>
      </c>
      <c r="D17" t="str">
        <v>Investment</v>
      </c>
      <c r="E17" t="str" cm="1">
        <f t="array" aca="1" ref="E17" ca="1">IF(_xlfn.XLOOKUP(INDIRECT("RC[-1]", 0), CategoryNames, CategoryIdentifiers, "")&lt;&gt;"",INDIRECT("RC[-1]", 0),"")</f>
        <v>Investment</v>
      </c>
      <c r="G17" t="str" cm="1">
        <f t="array" aca="1" ref="G17" ca="1">IF(COUNTIF($F$2:$F$1000,INDIRECT("RC[-2]",0))&gt;0,"",INDIRECT("RC[-2]",0))</f>
        <v>Investment</v>
      </c>
    </row>
    <row r="18" spans="1:7" x14ac:dyDescent="0.25">
      <c r="A18" t="str">
        <v>12 2019</v>
      </c>
      <c r="B18" cm="1">
        <f t="array" aca="1" ref="B18" ca="1">IFERROR(DATE(RIGHT(INDIRECT("RC[-1]",0),4),LEFT(INDIRECT("RC[-1]",0),2),1), "")</f>
        <v>43800</v>
      </c>
      <c r="C18" s="214">
        <f ca="1"/>
        <v>43770</v>
      </c>
      <c r="D18" t="str">
        <v>Education</v>
      </c>
      <c r="E18" t="str" cm="1">
        <f t="array" aca="1" ref="E18" ca="1">IF(_xlfn.XLOOKUP(INDIRECT("RC[-1]", 0), CategoryNames, CategoryIdentifiers, "")&lt;&gt;"",INDIRECT("RC[-1]", 0),"")</f>
        <v>Education</v>
      </c>
      <c r="G18" t="str" cm="1">
        <f t="array" aca="1" ref="G18" ca="1">IF(COUNTIF($F$2:$F$1000,INDIRECT("RC[-2]",0))&gt;0,"",INDIRECT("RC[-2]",0))</f>
        <v>Education</v>
      </c>
    </row>
    <row r="19" spans="1:7" x14ac:dyDescent="0.25">
      <c r="A19" t="str">
        <v>11 2019</v>
      </c>
      <c r="B19" cm="1">
        <f t="array" aca="1" ref="B19" ca="1">IFERROR(DATE(RIGHT(INDIRECT("RC[-1]",0),4),LEFT(INDIRECT("RC[-1]",0),2),1), "")</f>
        <v>43770</v>
      </c>
      <c r="C19" s="214">
        <f ca="1"/>
        <v>43739</v>
      </c>
      <c r="D19" t="str">
        <v>Government</v>
      </c>
      <c r="E19" t="str" cm="1">
        <f t="array" aca="1" ref="E19" ca="1">IF(_xlfn.XLOOKUP(INDIRECT("RC[-1]", 0), CategoryNames, CategoryIdentifiers, "")&lt;&gt;"",INDIRECT("RC[-1]", 0),"")</f>
        <v>Government</v>
      </c>
      <c r="G19" t="str" cm="1">
        <f t="array" aca="1" ref="G19" ca="1">IF(COUNTIF($F$2:$F$1000,INDIRECT("RC[-2]",0))&gt;0,"",INDIRECT("RC[-2]",0))</f>
        <v>Government</v>
      </c>
    </row>
    <row r="20" spans="1:7" x14ac:dyDescent="0.25">
      <c r="A20" t="str">
        <v>10 2019</v>
      </c>
      <c r="B20" cm="1">
        <f t="array" aca="1" ref="B20" ca="1">IFERROR(DATE(RIGHT(INDIRECT("RC[-1]",0),4),LEFT(INDIRECT("RC[-1]",0),2),1), "")</f>
        <v>43739</v>
      </c>
      <c r="C20" s="214">
        <f ca="1"/>
        <v>43709</v>
      </c>
      <c r="D20" t="str">
        <v>Apps</v>
      </c>
      <c r="E20" t="str" cm="1">
        <f t="array" aca="1" ref="E20" ca="1">IF(_xlfn.XLOOKUP(INDIRECT("RC[-1]", 0), CategoryNames, CategoryIdentifiers, "")&lt;&gt;"",INDIRECT("RC[-1]", 0),"")</f>
        <v>Apps</v>
      </c>
      <c r="G20" t="str" cm="1">
        <f t="array" aca="1" ref="G20" ca="1">IF(COUNTIF($F$2:$F$1000,INDIRECT("RC[-2]",0))&gt;0,"",INDIRECT("RC[-2]",0))</f>
        <v>Apps</v>
      </c>
    </row>
    <row r="21" spans="1:7" x14ac:dyDescent="0.25">
      <c r="A21" t="str">
        <v>09 2019</v>
      </c>
      <c r="B21" cm="1">
        <f t="array" aca="1" ref="B21" ca="1">IFERROR(DATE(RIGHT(INDIRECT("RC[-1]",0),4),LEFT(INDIRECT("RC[-1]",0),2),1), "")</f>
        <v>43709</v>
      </c>
      <c r="C21" s="214">
        <f ca="1"/>
        <v>43678</v>
      </c>
      <c r="E21" t="str" cm="1">
        <f t="array" aca="1" ref="E21" ca="1">IF(_xlfn.XLOOKUP(INDIRECT("RC[-1]", 0), CategoryNames, CategoryIdentifiers, "")&lt;&gt;"",INDIRECT("RC[-1]", 0),"")</f>
        <v/>
      </c>
      <c r="G21" t="str" cm="1">
        <f t="array" aca="1" ref="G21" ca="1">IF(COUNTIF($F$2:$F$1000,INDIRECT("RC[-2]",0))&gt;0,"",INDIRECT("RC[-2]",0))</f>
        <v/>
      </c>
    </row>
    <row r="22" spans="1:7" x14ac:dyDescent="0.25">
      <c r="A22" t="str">
        <v>08 2019</v>
      </c>
      <c r="B22" cm="1">
        <f t="array" aca="1" ref="B22" ca="1">IFERROR(DATE(RIGHT(INDIRECT("RC[-1]",0),4),LEFT(INDIRECT("RC[-1]",0),2),1), "")</f>
        <v>43678</v>
      </c>
      <c r="C22" s="214">
        <f ca="1"/>
        <v>43647</v>
      </c>
      <c r="E22" t="str" cm="1">
        <f t="array" aca="1" ref="E22" ca="1">IF(_xlfn.XLOOKUP(INDIRECT("RC[-1]", 0), CategoryNames, CategoryIdentifiers, "")&lt;&gt;"",INDIRECT("RC[-1]", 0),"")</f>
        <v/>
      </c>
      <c r="G22" t="str" cm="1">
        <f t="array" aca="1" ref="G22" ca="1">IF(COUNTIF($F$2:$F$1000,INDIRECT("RC[-2]",0))&gt;0,"",INDIRECT("RC[-2]",0))</f>
        <v/>
      </c>
    </row>
    <row r="23" spans="1:7" x14ac:dyDescent="0.25">
      <c r="A23" t="str">
        <v>07 2019</v>
      </c>
      <c r="B23" cm="1">
        <f t="array" aca="1" ref="B23" ca="1">IFERROR(DATE(RIGHT(INDIRECT("RC[-1]",0),4),LEFT(INDIRECT("RC[-1]",0),2),1), "")</f>
        <v>43647</v>
      </c>
      <c r="C23" s="214">
        <f ca="1"/>
        <v>43617</v>
      </c>
      <c r="E23" t="str" cm="1">
        <f t="array" aca="1" ref="E23" ca="1">IF(_xlfn.XLOOKUP(INDIRECT("RC[-1]", 0), CategoryNames, CategoryIdentifiers, "")&lt;&gt;"",INDIRECT("RC[-1]", 0),"")</f>
        <v/>
      </c>
      <c r="G23" t="str" cm="1">
        <f t="array" aca="1" ref="G23" ca="1">IF(COUNTIF($F$2:$F$1000,INDIRECT("RC[-2]",0))&gt;0,"",INDIRECT("RC[-2]",0))</f>
        <v/>
      </c>
    </row>
    <row r="24" spans="1:7" x14ac:dyDescent="0.25">
      <c r="A24" t="str">
        <v>06 2019</v>
      </c>
      <c r="B24" cm="1">
        <f t="array" aca="1" ref="B24" ca="1">IFERROR(DATE(RIGHT(INDIRECT("RC[-1]",0),4),LEFT(INDIRECT("RC[-1]",0),2),1), "")</f>
        <v>43617</v>
      </c>
      <c r="C24" s="214">
        <f ca="1"/>
        <v>43586</v>
      </c>
      <c r="E24" t="str" cm="1">
        <f t="array" aca="1" ref="E24" ca="1">IF(_xlfn.XLOOKUP(INDIRECT("RC[-1]", 0), CategoryNames, CategoryIdentifiers, "")&lt;&gt;"",INDIRECT("RC[-1]", 0),"")</f>
        <v/>
      </c>
      <c r="G24" t="str" cm="1">
        <f t="array" aca="1" ref="G24" ca="1">IF(COUNTIF($F$2:$F$1000,INDIRECT("RC[-2]",0))&gt;0,"",INDIRECT("RC[-2]",0))</f>
        <v/>
      </c>
    </row>
    <row r="25" spans="1:7" x14ac:dyDescent="0.25">
      <c r="A25" t="str">
        <v>05 2019</v>
      </c>
      <c r="B25" cm="1">
        <f t="array" aca="1" ref="B25" ca="1">IFERROR(DATE(RIGHT(INDIRECT("RC[-1]",0),4),LEFT(INDIRECT("RC[-1]",0),2),1), "")</f>
        <v>43586</v>
      </c>
      <c r="C25" s="214">
        <f ca="1"/>
        <v>43556</v>
      </c>
      <c r="E25" t="str" cm="1">
        <f t="array" aca="1" ref="E25" ca="1">IF(_xlfn.XLOOKUP(INDIRECT("RC[-1]", 0), CategoryNames, CategoryIdentifiers, "")&lt;&gt;"",INDIRECT("RC[-1]", 0),"")</f>
        <v/>
      </c>
      <c r="G25" t="str" cm="1">
        <f t="array" aca="1" ref="G25" ca="1">IF(COUNTIF($F$2:$F$1000,INDIRECT("RC[-2]",0))&gt;0,"",INDIRECT("RC[-2]",0))</f>
        <v/>
      </c>
    </row>
    <row r="26" spans="1:7" x14ac:dyDescent="0.25">
      <c r="A26" t="str">
        <v>04 2019</v>
      </c>
      <c r="B26" cm="1">
        <f t="array" aca="1" ref="B26" ca="1">IFERROR(DATE(RIGHT(INDIRECT("RC[-1]",0),4),LEFT(INDIRECT("RC[-1]",0),2),1), "")</f>
        <v>43556</v>
      </c>
      <c r="C26" s="214">
        <f ca="1"/>
        <v>43525</v>
      </c>
      <c r="E26" t="str" cm="1">
        <f t="array" aca="1" ref="E26" ca="1">IF(_xlfn.XLOOKUP(INDIRECT("RC[-1]", 0), CategoryNames, CategoryIdentifiers, "")&lt;&gt;"",INDIRECT("RC[-1]", 0),"")</f>
        <v/>
      </c>
      <c r="G26" t="str" cm="1">
        <f t="array" aca="1" ref="G26" ca="1">IF(COUNTIF($F$2:$F$1000,INDIRECT("RC[-2]",0))&gt;0,"",INDIRECT("RC[-2]",0))</f>
        <v/>
      </c>
    </row>
    <row r="27" spans="1:7" x14ac:dyDescent="0.25">
      <c r="A27" t="str">
        <v>03 2019</v>
      </c>
      <c r="B27" cm="1">
        <f t="array" aca="1" ref="B27" ca="1">IFERROR(DATE(RIGHT(INDIRECT("RC[-1]",0),4),LEFT(INDIRECT("RC[-1]",0),2),1), "")</f>
        <v>43525</v>
      </c>
      <c r="C27" s="214"/>
      <c r="E27" t="str" cm="1">
        <f t="array" aca="1" ref="E27" ca="1">IF(_xlfn.XLOOKUP(INDIRECT("RC[-1]", 0), CategoryNames, CategoryIdentifiers, "")&lt;&gt;"",INDIRECT("RC[-1]", 0),"")</f>
        <v/>
      </c>
      <c r="G27" t="str" cm="1">
        <f t="array" aca="1" ref="G27" ca="1">IF(COUNTIF($F$2:$F$1000,INDIRECT("RC[-2]",0))&gt;0,"",INDIRECT("RC[-2]",0))</f>
        <v/>
      </c>
    </row>
    <row r="28" spans="1:7" x14ac:dyDescent="0.25">
      <c r="B28" t="str" cm="1">
        <f t="array" aca="1" ref="B28" ca="1">IFERROR(DATE(RIGHT(INDIRECT("RC[-1]",0),4),LEFT(INDIRECT("RC[-1]",0),2),1), "")</f>
        <v/>
      </c>
      <c r="C28" s="214"/>
      <c r="E28" t="str" cm="1">
        <f t="array" aca="1" ref="E28" ca="1">IF(_xlfn.XLOOKUP(INDIRECT("RC[-1]", 0), CategoryNames, CategoryIdentifiers, "")&lt;&gt;"",INDIRECT("RC[-1]", 0),"")</f>
        <v/>
      </c>
      <c r="G28" t="str" cm="1">
        <f t="array" aca="1" ref="G28" ca="1">IF(COUNTIF($F$2:$F$1000,INDIRECT("RC[-2]",0))&gt;0,"",INDIRECT("RC[-2]",0))</f>
        <v/>
      </c>
    </row>
    <row r="29" spans="1:7" x14ac:dyDescent="0.25">
      <c r="B29" t="str" cm="1">
        <f t="array" aca="1" ref="B29" ca="1">IFERROR(DATE(RIGHT(INDIRECT("RC[-1]",0),4),LEFT(INDIRECT("RC[-1]",0),2),1), "")</f>
        <v/>
      </c>
      <c r="C29" s="214"/>
      <c r="E29" t="str" cm="1">
        <f t="array" aca="1" ref="E29" ca="1">IF(_xlfn.XLOOKUP(INDIRECT("RC[-1]", 0), CategoryNames, CategoryIdentifiers, "")&lt;&gt;"",INDIRECT("RC[-1]", 0),"")</f>
        <v/>
      </c>
      <c r="G29" t="str" cm="1">
        <f t="array" aca="1" ref="G29" ca="1">IF(COUNTIF($F$2:$F$1000,INDIRECT("RC[-2]",0))&gt;0,"",INDIRECT("RC[-2]",0))</f>
        <v/>
      </c>
    </row>
    <row r="30" spans="1:7" x14ac:dyDescent="0.25">
      <c r="B30" t="str" cm="1">
        <f t="array" aca="1" ref="B30" ca="1">IFERROR(DATE(RIGHT(INDIRECT("RC[-1]",0),4),LEFT(INDIRECT("RC[-1]",0),2),1), "")</f>
        <v/>
      </c>
      <c r="C30" s="214"/>
      <c r="E30" t="str" cm="1">
        <f t="array" aca="1" ref="E30" ca="1">IF(_xlfn.XLOOKUP(INDIRECT("RC[-1]", 0), CategoryNames, CategoryIdentifiers, "")&lt;&gt;"",INDIRECT("RC[-1]", 0),"")</f>
        <v/>
      </c>
      <c r="G30" t="str" cm="1">
        <f t="array" aca="1" ref="G30" ca="1">IF(COUNTIF($F$2:$F$1000,INDIRECT("RC[-2]",0))&gt;0,"",INDIRECT("RC[-2]",0))</f>
        <v/>
      </c>
    </row>
    <row r="31" spans="1:7" x14ac:dyDescent="0.25">
      <c r="B31" t="str" cm="1">
        <f t="array" aca="1" ref="B31" ca="1">IFERROR(DATE(RIGHT(INDIRECT("RC[-1]",0),4),LEFT(INDIRECT("RC[-1]",0),2),1), "")</f>
        <v/>
      </c>
      <c r="C31" s="214"/>
      <c r="E31" t="str" cm="1">
        <f t="array" aca="1" ref="E31" ca="1">IF(_xlfn.XLOOKUP(INDIRECT("RC[-1]", 0), CategoryNames, CategoryIdentifiers, "")&lt;&gt;"",INDIRECT("RC[-1]", 0),"")</f>
        <v/>
      </c>
      <c r="G31" t="str" cm="1">
        <f t="array" aca="1" ref="G31" ca="1">IF(COUNTIF($F$2:$F$1000,INDIRECT("RC[-2]",0))&gt;0,"",INDIRECT("RC[-2]",0))</f>
        <v/>
      </c>
    </row>
    <row r="32" spans="1:7" x14ac:dyDescent="0.25">
      <c r="B32" t="str" cm="1">
        <f t="array" aca="1" ref="B32" ca="1">IFERROR(DATE(RIGHT(INDIRECT("RC[-1]",0),4),LEFT(INDIRECT("RC[-1]",0),2),1), "")</f>
        <v/>
      </c>
      <c r="C32" s="214"/>
      <c r="E32" t="str" cm="1">
        <f t="array" aca="1" ref="E32" ca="1">IF(_xlfn.XLOOKUP(INDIRECT("RC[-1]", 0), CategoryNames, CategoryIdentifiers, "")&lt;&gt;"",INDIRECT("RC[-1]", 0),"")</f>
        <v/>
      </c>
      <c r="G32" t="str" cm="1">
        <f t="array" aca="1" ref="G32" ca="1">IF(COUNTIF($F$2:$F$1000,INDIRECT("RC[-2]",0))&gt;0,"",INDIRECT("RC[-2]",0))</f>
        <v/>
      </c>
    </row>
    <row r="33" spans="2:7" x14ac:dyDescent="0.25">
      <c r="B33" t="str" cm="1">
        <f t="array" aca="1" ref="B33" ca="1">IFERROR(DATE(RIGHT(INDIRECT("RC[-1]",0),4),LEFT(INDIRECT("RC[-1]",0),2),1), "")</f>
        <v/>
      </c>
      <c r="C33" s="214"/>
      <c r="E33" t="str" cm="1">
        <f t="array" aca="1" ref="E33" ca="1">IF(_xlfn.XLOOKUP(INDIRECT("RC[-1]", 0), CategoryNames, CategoryIdentifiers, "")&lt;&gt;"",INDIRECT("RC[-1]", 0),"")</f>
        <v/>
      </c>
      <c r="G33" t="str" cm="1">
        <f t="array" aca="1" ref="G33" ca="1">IF(COUNTIF($F$2:$F$1000,INDIRECT("RC[-2]",0))&gt;0,"",INDIRECT("RC[-2]",0))</f>
        <v/>
      </c>
    </row>
    <row r="34" spans="2:7" x14ac:dyDescent="0.25">
      <c r="B34" t="str" cm="1">
        <f t="array" aca="1" ref="B34" ca="1">IFERROR(DATE(RIGHT(INDIRECT("RC[-1]",0),4),LEFT(INDIRECT("RC[-1]",0),2),1), "")</f>
        <v/>
      </c>
      <c r="C34" s="214"/>
      <c r="E34" t="str" cm="1">
        <f t="array" aca="1" ref="E34" ca="1">IF(_xlfn.XLOOKUP(INDIRECT("RC[-1]", 0), CategoryNames, CategoryIdentifiers, "")&lt;&gt;"",INDIRECT("RC[-1]", 0),"")</f>
        <v/>
      </c>
      <c r="G34" t="str" cm="1">
        <f t="array" aca="1" ref="G34" ca="1">IF(COUNTIF($F$2:$F$1000,INDIRECT("RC[-2]",0))&gt;0,"",INDIRECT("RC[-2]",0))</f>
        <v/>
      </c>
    </row>
    <row r="35" spans="2:7" x14ac:dyDescent="0.25">
      <c r="B35" t="str" cm="1">
        <f t="array" aca="1" ref="B35" ca="1">IFERROR(DATE(RIGHT(INDIRECT("RC[-1]",0),4),LEFT(INDIRECT("RC[-1]",0),2),1), "")</f>
        <v/>
      </c>
      <c r="C35" s="214"/>
      <c r="E35" t="str" cm="1">
        <f t="array" aca="1" ref="E35" ca="1">IF(_xlfn.XLOOKUP(INDIRECT("RC[-1]", 0), CategoryNames, CategoryIdentifiers, "")&lt;&gt;"",INDIRECT("RC[-1]", 0),"")</f>
        <v/>
      </c>
      <c r="G35" t="str" cm="1">
        <f t="array" aca="1" ref="G35" ca="1">IF(COUNTIF($F$2:$F$1000,INDIRECT("RC[-2]",0))&gt;0,"",INDIRECT("RC[-2]",0))</f>
        <v/>
      </c>
    </row>
    <row r="36" spans="2:7" x14ac:dyDescent="0.25">
      <c r="B36" t="str" cm="1">
        <f t="array" aca="1" ref="B36" ca="1">IFERROR(DATE(RIGHT(INDIRECT("RC[-1]",0),4),LEFT(INDIRECT("RC[-1]",0),2),1), "")</f>
        <v/>
      </c>
      <c r="C36" s="214"/>
      <c r="E36" t="str" cm="1">
        <f t="array" aca="1" ref="E36" ca="1">IF(_xlfn.XLOOKUP(INDIRECT("RC[-1]", 0), CategoryNames, CategoryIdentifiers, "")&lt;&gt;"",INDIRECT("RC[-1]", 0),"")</f>
        <v/>
      </c>
      <c r="G36" t="str" cm="1">
        <f t="array" aca="1" ref="G36" ca="1">IF(COUNTIF($F$2:$F$1000,INDIRECT("RC[-2]",0))&gt;0,"",INDIRECT("RC[-2]",0))</f>
        <v/>
      </c>
    </row>
    <row r="37" spans="2:7" x14ac:dyDescent="0.25">
      <c r="B37" t="str" cm="1">
        <f t="array" aca="1" ref="B37" ca="1">IFERROR(DATE(RIGHT(INDIRECT("RC[-1]",0),4),LEFT(INDIRECT("RC[-1]",0),2),1), "")</f>
        <v/>
      </c>
      <c r="C37" s="214"/>
      <c r="E37" t="str" cm="1">
        <f t="array" aca="1" ref="E37" ca="1">IF(_xlfn.XLOOKUP(INDIRECT("RC[-1]", 0), CategoryNames, CategoryIdentifiers, "")&lt;&gt;"",INDIRECT("RC[-1]", 0),"")</f>
        <v/>
      </c>
      <c r="G37" t="str" cm="1">
        <f t="array" aca="1" ref="G37" ca="1">IF(COUNTIF($F$2:$F$1000,INDIRECT("RC[-2]",0))&gt;0,"",INDIRECT("RC[-2]",0))</f>
        <v/>
      </c>
    </row>
    <row r="38" spans="2:7" x14ac:dyDescent="0.25">
      <c r="B38" t="str" cm="1">
        <f t="array" aca="1" ref="B38" ca="1">IFERROR(DATE(RIGHT(INDIRECT("RC[-1]",0),4),LEFT(INDIRECT("RC[-1]",0),2),1), "")</f>
        <v/>
      </c>
      <c r="C38" s="214"/>
      <c r="E38" t="str" cm="1">
        <f t="array" aca="1" ref="E38" ca="1">IF(_xlfn.XLOOKUP(INDIRECT("RC[-1]", 0), CategoryNames, CategoryIdentifiers, "")&lt;&gt;"",INDIRECT("RC[-1]", 0),"")</f>
        <v/>
      </c>
      <c r="G38" t="str" cm="1">
        <f t="array" aca="1" ref="G38" ca="1">IF(COUNTIF($F$2:$F$1000,INDIRECT("RC[-2]",0))&gt;0,"",INDIRECT("RC[-2]",0))</f>
        <v/>
      </c>
    </row>
    <row r="39" spans="2:7" x14ac:dyDescent="0.25">
      <c r="B39" t="str" cm="1">
        <f t="array" aca="1" ref="B39" ca="1">IFERROR(DATE(RIGHT(INDIRECT("RC[-1]",0),4),LEFT(INDIRECT("RC[-1]",0),2),1), "")</f>
        <v/>
      </c>
      <c r="C39" s="214"/>
      <c r="E39" t="str" cm="1">
        <f t="array" aca="1" ref="E39" ca="1">IF(_xlfn.XLOOKUP(INDIRECT("RC[-1]", 0), CategoryNames, CategoryIdentifiers, "")&lt;&gt;"",INDIRECT("RC[-1]", 0),"")</f>
        <v/>
      </c>
      <c r="G39" t="str" cm="1">
        <f t="array" aca="1" ref="G39" ca="1">IF(COUNTIF($F$2:$F$1000,INDIRECT("RC[-2]",0))&gt;0,"",INDIRECT("RC[-2]",0))</f>
        <v/>
      </c>
    </row>
    <row r="40" spans="2:7" x14ac:dyDescent="0.25">
      <c r="B40" t="str" cm="1">
        <f t="array" aca="1" ref="B40" ca="1">IFERROR(DATE(RIGHT(INDIRECT("RC[-1]",0),4),LEFT(INDIRECT("RC[-1]",0),2),1), "")</f>
        <v/>
      </c>
      <c r="C40" s="214"/>
      <c r="E40" t="str" cm="1">
        <f t="array" aca="1" ref="E40" ca="1">IF(_xlfn.XLOOKUP(INDIRECT("RC[-1]", 0), CategoryNames, CategoryIdentifiers, "")&lt;&gt;"",INDIRECT("RC[-1]", 0),"")</f>
        <v/>
      </c>
      <c r="G40" t="str" cm="1">
        <f t="array" aca="1" ref="G40" ca="1">IF(COUNTIF($F$2:$F$1000,INDIRECT("RC[-2]",0))&gt;0,"",INDIRECT("RC[-2]",0))</f>
        <v/>
      </c>
    </row>
    <row r="41" spans="2:7" x14ac:dyDescent="0.25">
      <c r="B41" t="str" cm="1">
        <f t="array" aca="1" ref="B41" ca="1">IFERROR(DATE(RIGHT(INDIRECT("RC[-1]",0),4),LEFT(INDIRECT("RC[-1]",0),2),1), "")</f>
        <v/>
      </c>
      <c r="C41" s="214"/>
      <c r="E41" t="str" cm="1">
        <f t="array" aca="1" ref="E41" ca="1">IF(_xlfn.XLOOKUP(INDIRECT("RC[-1]", 0), CategoryNames, CategoryIdentifiers, "")&lt;&gt;"",INDIRECT("RC[-1]", 0),"")</f>
        <v/>
      </c>
      <c r="G41" t="str" cm="1">
        <f t="array" aca="1" ref="G41" ca="1">IF(COUNTIF($F$2:$F$1000,INDIRECT("RC[-2]",0))&gt;0,"",INDIRECT("RC[-2]",0))</f>
        <v/>
      </c>
    </row>
    <row r="42" spans="2:7" x14ac:dyDescent="0.25">
      <c r="B42" t="str" cm="1">
        <f t="array" aca="1" ref="B42" ca="1">IFERROR(DATE(RIGHT(INDIRECT("RC[-1]",0),4),LEFT(INDIRECT("RC[-1]",0),2),1), "")</f>
        <v/>
      </c>
      <c r="C42" s="214"/>
      <c r="E42" t="str" cm="1">
        <f t="array" aca="1" ref="E42" ca="1">IF(_xlfn.XLOOKUP(INDIRECT("RC[-1]", 0), CategoryNames, CategoryIdentifiers, "")&lt;&gt;"",INDIRECT("RC[-1]", 0),"")</f>
        <v/>
      </c>
      <c r="G42" t="str" cm="1">
        <f t="array" aca="1" ref="G42" ca="1">IF(COUNTIF($F$2:$F$1000,INDIRECT("RC[-2]",0))&gt;0,"",INDIRECT("RC[-2]",0))</f>
        <v/>
      </c>
    </row>
    <row r="43" spans="2:7" x14ac:dyDescent="0.25">
      <c r="B43" t="str" cm="1">
        <f t="array" aca="1" ref="B43" ca="1">IFERROR(DATE(RIGHT(INDIRECT("RC[-1]",0),4),LEFT(INDIRECT("RC[-1]",0),2),1), "")</f>
        <v/>
      </c>
      <c r="C43" s="214"/>
      <c r="E43" t="str" cm="1">
        <f t="array" aca="1" ref="E43" ca="1">IF(_xlfn.XLOOKUP(INDIRECT("RC[-1]", 0), CategoryNames, CategoryIdentifiers, "")&lt;&gt;"",INDIRECT("RC[-1]", 0),"")</f>
        <v/>
      </c>
      <c r="G43" t="str" cm="1">
        <f t="array" aca="1" ref="G43" ca="1">IF(COUNTIF($F$2:$F$1000,INDIRECT("RC[-2]",0))&gt;0,"",INDIRECT("RC[-2]",0))</f>
        <v/>
      </c>
    </row>
    <row r="44" spans="2:7" x14ac:dyDescent="0.25">
      <c r="B44" t="str" cm="1">
        <f t="array" aca="1" ref="B44" ca="1">IFERROR(DATE(RIGHT(INDIRECT("RC[-1]",0),4),LEFT(INDIRECT("RC[-1]",0),2),1), "")</f>
        <v/>
      </c>
      <c r="C44" s="214"/>
      <c r="E44" t="str" cm="1">
        <f t="array" aca="1" ref="E44" ca="1">IF(_xlfn.XLOOKUP(INDIRECT("RC[-1]", 0), CategoryNames, CategoryIdentifiers, "")&lt;&gt;"",INDIRECT("RC[-1]", 0),"")</f>
        <v/>
      </c>
      <c r="G44" t="str" cm="1">
        <f t="array" aca="1" ref="G44" ca="1">IF(COUNTIF($F$2:$F$1000,INDIRECT("RC[-2]",0))&gt;0,"",INDIRECT("RC[-2]",0))</f>
        <v/>
      </c>
    </row>
    <row r="45" spans="2:7" x14ac:dyDescent="0.25">
      <c r="B45" t="str" cm="1">
        <f t="array" aca="1" ref="B45" ca="1">IFERROR(DATE(RIGHT(INDIRECT("RC[-1]",0),4),LEFT(INDIRECT("RC[-1]",0),2),1), "")</f>
        <v/>
      </c>
      <c r="C45" s="214"/>
      <c r="E45" t="str" cm="1">
        <f t="array" aca="1" ref="E45" ca="1">IF(_xlfn.XLOOKUP(INDIRECT("RC[-1]", 0), CategoryNames, CategoryIdentifiers, "")&lt;&gt;"",INDIRECT("RC[-1]", 0),"")</f>
        <v/>
      </c>
      <c r="G45" t="str" cm="1">
        <f t="array" aca="1" ref="G45" ca="1">IF(COUNTIF($F$2:$F$1000,INDIRECT("RC[-2]",0))&gt;0,"",INDIRECT("RC[-2]",0))</f>
        <v/>
      </c>
    </row>
    <row r="46" spans="2:7" x14ac:dyDescent="0.25">
      <c r="B46" t="str" cm="1">
        <f t="array" aca="1" ref="B46" ca="1">IFERROR(DATE(RIGHT(INDIRECT("RC[-1]",0),4),LEFT(INDIRECT("RC[-1]",0),2),1), "")</f>
        <v/>
      </c>
      <c r="C46" s="214"/>
      <c r="E46" t="str" cm="1">
        <f t="array" aca="1" ref="E46" ca="1">IF(_xlfn.XLOOKUP(INDIRECT("RC[-1]", 0), CategoryNames, CategoryIdentifiers, "")&lt;&gt;"",INDIRECT("RC[-1]", 0),"")</f>
        <v/>
      </c>
      <c r="G46" t="str" cm="1">
        <f t="array" aca="1" ref="G46" ca="1">IF(COUNTIF($F$2:$F$1000,INDIRECT("RC[-2]",0))&gt;0,"",INDIRECT("RC[-2]",0))</f>
        <v/>
      </c>
    </row>
    <row r="47" spans="2:7" x14ac:dyDescent="0.25">
      <c r="B47" t="str" cm="1">
        <f t="array" aca="1" ref="B47" ca="1">IFERROR(DATE(RIGHT(INDIRECT("RC[-1]",0),4),LEFT(INDIRECT("RC[-1]",0),2),1), "")</f>
        <v/>
      </c>
      <c r="C47" s="214"/>
      <c r="E47" t="str" cm="1">
        <f t="array" aca="1" ref="E47" ca="1">IF(_xlfn.XLOOKUP(INDIRECT("RC[-1]", 0), CategoryNames, CategoryIdentifiers, "")&lt;&gt;"",INDIRECT("RC[-1]", 0),"")</f>
        <v/>
      </c>
      <c r="G47" t="str" cm="1">
        <f t="array" aca="1" ref="G47" ca="1">IF(COUNTIF($F$2:$F$1000,INDIRECT("RC[-2]",0))&gt;0,"",INDIRECT("RC[-2]",0))</f>
        <v/>
      </c>
    </row>
    <row r="48" spans="2:7" x14ac:dyDescent="0.25">
      <c r="B48" t="str" cm="1">
        <f t="array" aca="1" ref="B48" ca="1">IFERROR(DATE(RIGHT(INDIRECT("RC[-1]",0),4),LEFT(INDIRECT("RC[-1]",0),2),1), "")</f>
        <v/>
      </c>
      <c r="C48" s="214"/>
      <c r="E48" t="str" cm="1">
        <f t="array" aca="1" ref="E48" ca="1">IF(_xlfn.XLOOKUP(INDIRECT("RC[-1]", 0), CategoryNames, CategoryIdentifiers, "")&lt;&gt;"",INDIRECT("RC[-1]", 0),"")</f>
        <v/>
      </c>
      <c r="G48" t="str" cm="1">
        <f t="array" aca="1" ref="G48" ca="1">IF(COUNTIF($F$2:$F$1000,INDIRECT("RC[-2]",0))&gt;0,"",INDIRECT("RC[-2]",0))</f>
        <v/>
      </c>
    </row>
    <row r="49" spans="2:7" x14ac:dyDescent="0.25">
      <c r="B49" t="str" cm="1">
        <f t="array" aca="1" ref="B49" ca="1">IFERROR(DATE(RIGHT(INDIRECT("RC[-1]",0),4),LEFT(INDIRECT("RC[-1]",0),2),1), "")</f>
        <v/>
      </c>
      <c r="C49" s="214"/>
      <c r="E49" t="str" cm="1">
        <f t="array" aca="1" ref="E49" ca="1">IF(_xlfn.XLOOKUP(INDIRECT("RC[-1]", 0), CategoryNames, CategoryIdentifiers, "")&lt;&gt;"",INDIRECT("RC[-1]", 0),"")</f>
        <v/>
      </c>
      <c r="G49" t="str" cm="1">
        <f t="array" aca="1" ref="G49" ca="1">IF(COUNTIF($F$2:$F$1000,INDIRECT("RC[-2]",0))&gt;0,"",INDIRECT("RC[-2]",0))</f>
        <v/>
      </c>
    </row>
    <row r="50" spans="2:7" x14ac:dyDescent="0.25">
      <c r="B50" t="str" cm="1">
        <f t="array" aca="1" ref="B50" ca="1">IFERROR(DATE(RIGHT(INDIRECT("RC[-1]",0),4),LEFT(INDIRECT("RC[-1]",0),2),1), "")</f>
        <v/>
      </c>
      <c r="C50" s="214"/>
      <c r="E50" t="str" cm="1">
        <f t="array" aca="1" ref="E50" ca="1">IF(_xlfn.XLOOKUP(INDIRECT("RC[-1]", 0), CategoryNames, CategoryIdentifiers, "")&lt;&gt;"",INDIRECT("RC[-1]", 0),"")</f>
        <v/>
      </c>
      <c r="G50" t="str" cm="1">
        <f t="array" aca="1" ref="G50" ca="1">IF(COUNTIF($F$2:$F$1000,INDIRECT("RC[-2]",0))&gt;0,"",INDIRECT("RC[-2]",0))</f>
        <v/>
      </c>
    </row>
    <row r="51" spans="2:7" x14ac:dyDescent="0.25">
      <c r="B51" t="str" cm="1">
        <f t="array" aca="1" ref="B51" ca="1">IFERROR(DATE(RIGHT(INDIRECT("RC[-1]",0),4),LEFT(INDIRECT("RC[-1]",0),2),1), "")</f>
        <v/>
      </c>
      <c r="C51" s="214"/>
      <c r="E51" t="str" cm="1">
        <f t="array" aca="1" ref="E51" ca="1">IF(_xlfn.XLOOKUP(INDIRECT("RC[-1]", 0), CategoryNames, CategoryIdentifiers, "")&lt;&gt;"",INDIRECT("RC[-1]", 0),"")</f>
        <v/>
      </c>
      <c r="G51" t="str" cm="1">
        <f t="array" aca="1" ref="G51" ca="1">IF(COUNTIF($F$2:$F$1000,INDIRECT("RC[-2]",0))&gt;0,"",INDIRECT("RC[-2]",0))</f>
        <v/>
      </c>
    </row>
    <row r="52" spans="2:7" x14ac:dyDescent="0.25">
      <c r="B52" t="str" cm="1">
        <f t="array" aca="1" ref="B52" ca="1">IFERROR(DATE(RIGHT(INDIRECT("RC[-1]",0),4),LEFT(INDIRECT("RC[-1]",0),2),1), "")</f>
        <v/>
      </c>
      <c r="C52" s="214"/>
      <c r="E52" t="str" cm="1">
        <f t="array" aca="1" ref="E52" ca="1">IF(_xlfn.XLOOKUP(INDIRECT("RC[-1]", 0), CategoryNames, CategoryIdentifiers, "")&lt;&gt;"",INDIRECT("RC[-1]", 0),"")</f>
        <v/>
      </c>
      <c r="G52" t="str" cm="1">
        <f t="array" aca="1" ref="G52" ca="1">IF(COUNTIF($F$2:$F$1000,INDIRECT("RC[-2]",0))&gt;0,"",INDIRECT("RC[-2]",0))</f>
        <v/>
      </c>
    </row>
    <row r="53" spans="2:7" x14ac:dyDescent="0.25">
      <c r="B53" t="str" cm="1">
        <f t="array" aca="1" ref="B53" ca="1">IFERROR(DATE(RIGHT(INDIRECT("RC[-1]",0),4),LEFT(INDIRECT("RC[-1]",0),2),1), "")</f>
        <v/>
      </c>
      <c r="C53" s="214"/>
      <c r="E53" t="str" cm="1">
        <f t="array" aca="1" ref="E53" ca="1">IF(_xlfn.XLOOKUP(INDIRECT("RC[-1]", 0), CategoryNames, CategoryIdentifiers, "")&lt;&gt;"",INDIRECT("RC[-1]", 0),"")</f>
        <v/>
      </c>
      <c r="G53" t="str" cm="1">
        <f t="array" aca="1" ref="G53" ca="1">IF(COUNTIF($F$2:$F$1000,INDIRECT("RC[-2]",0))&gt;0,"",INDIRECT("RC[-2]",0))</f>
        <v/>
      </c>
    </row>
    <row r="54" spans="2:7" x14ac:dyDescent="0.25">
      <c r="B54" t="str" cm="1">
        <f t="array" aca="1" ref="B54" ca="1">IFERROR(DATE(RIGHT(INDIRECT("RC[-1]",0),4),LEFT(INDIRECT("RC[-1]",0),2),1), "")</f>
        <v/>
      </c>
      <c r="C54" s="214"/>
      <c r="E54" t="str" cm="1">
        <f t="array" aca="1" ref="E54" ca="1">IF(_xlfn.XLOOKUP(INDIRECT("RC[-1]", 0), CategoryNames, CategoryIdentifiers, "")&lt;&gt;"",INDIRECT("RC[-1]", 0),"")</f>
        <v/>
      </c>
      <c r="G54" t="str" cm="1">
        <f t="array" aca="1" ref="G54" ca="1">IF(COUNTIF($F$2:$F$1000,INDIRECT("RC[-2]",0))&gt;0,"",INDIRECT("RC[-2]",0))</f>
        <v/>
      </c>
    </row>
    <row r="55" spans="2:7" x14ac:dyDescent="0.25">
      <c r="B55" t="str" cm="1">
        <f t="array" aca="1" ref="B55" ca="1">IFERROR(DATE(RIGHT(INDIRECT("RC[-1]",0),4),LEFT(INDIRECT("RC[-1]",0),2),1), "")</f>
        <v/>
      </c>
      <c r="C55" s="214"/>
      <c r="E55" t="str" cm="1">
        <f t="array" aca="1" ref="E55" ca="1">IF(_xlfn.XLOOKUP(INDIRECT("RC[-1]", 0), CategoryNames, CategoryIdentifiers, "")&lt;&gt;"",INDIRECT("RC[-1]", 0),"")</f>
        <v/>
      </c>
      <c r="G55" t="str" cm="1">
        <f t="array" aca="1" ref="G55" ca="1">IF(COUNTIF($F$2:$F$1000,INDIRECT("RC[-2]",0))&gt;0,"",INDIRECT("RC[-2]",0))</f>
        <v/>
      </c>
    </row>
    <row r="56" spans="2:7" x14ac:dyDescent="0.25">
      <c r="B56" t="str" cm="1">
        <f t="array" aca="1" ref="B56" ca="1">IFERROR(DATE(RIGHT(INDIRECT("RC[-1]",0),4),LEFT(INDIRECT("RC[-1]",0),2),1), "")</f>
        <v/>
      </c>
      <c r="C56" s="214"/>
      <c r="E56" t="str" cm="1">
        <f t="array" aca="1" ref="E56" ca="1">IF(_xlfn.XLOOKUP(INDIRECT("RC[-1]", 0), CategoryNames, CategoryIdentifiers, "")&lt;&gt;"",INDIRECT("RC[-1]", 0),"")</f>
        <v/>
      </c>
      <c r="G56" t="str" cm="1">
        <f t="array" aca="1" ref="G56" ca="1">IF(COUNTIF($F$2:$F$1000,INDIRECT("RC[-2]",0))&gt;0,"",INDIRECT("RC[-2]",0))</f>
        <v/>
      </c>
    </row>
    <row r="57" spans="2:7" x14ac:dyDescent="0.25">
      <c r="B57" t="str" cm="1">
        <f t="array" aca="1" ref="B57" ca="1">IFERROR(DATE(RIGHT(INDIRECT("RC[-1]",0),4),LEFT(INDIRECT("RC[-1]",0),2),1), "")</f>
        <v/>
      </c>
      <c r="C57" s="214"/>
      <c r="E57" t="str" cm="1">
        <f t="array" aca="1" ref="E57" ca="1">IF(_xlfn.XLOOKUP(INDIRECT("RC[-1]", 0), CategoryNames, CategoryIdentifiers, "")&lt;&gt;"",INDIRECT("RC[-1]", 0),"")</f>
        <v/>
      </c>
      <c r="G57" t="str" cm="1">
        <f t="array" aca="1" ref="G57" ca="1">IF(COUNTIF($F$2:$F$1000,INDIRECT("RC[-2]",0))&gt;0,"",INDIRECT("RC[-2]",0))</f>
        <v/>
      </c>
    </row>
    <row r="58" spans="2:7" x14ac:dyDescent="0.25">
      <c r="B58" t="str" cm="1">
        <f t="array" aca="1" ref="B58" ca="1">IFERROR(DATE(RIGHT(INDIRECT("RC[-1]",0),4),LEFT(INDIRECT("RC[-1]",0),2),1), "")</f>
        <v/>
      </c>
      <c r="C58" s="214"/>
      <c r="E58" t="str" cm="1">
        <f t="array" aca="1" ref="E58" ca="1">IF(_xlfn.XLOOKUP(INDIRECT("RC[-1]", 0), CategoryNames, CategoryIdentifiers, "")&lt;&gt;"",INDIRECT("RC[-1]", 0),"")</f>
        <v/>
      </c>
      <c r="G58" t="str" cm="1">
        <f t="array" aca="1" ref="G58" ca="1">IF(COUNTIF($F$2:$F$1000,INDIRECT("RC[-2]",0))&gt;0,"",INDIRECT("RC[-2]",0))</f>
        <v/>
      </c>
    </row>
    <row r="59" spans="2:7" x14ac:dyDescent="0.25">
      <c r="B59" t="str" cm="1">
        <f t="array" aca="1" ref="B59" ca="1">IFERROR(DATE(RIGHT(INDIRECT("RC[-1]",0),4),LEFT(INDIRECT("RC[-1]",0),2),1), "")</f>
        <v/>
      </c>
      <c r="C59" s="214"/>
      <c r="E59" t="str" cm="1">
        <f t="array" aca="1" ref="E59" ca="1">IF(_xlfn.XLOOKUP(INDIRECT("RC[-1]", 0), CategoryNames, CategoryIdentifiers, "")&lt;&gt;"",INDIRECT("RC[-1]", 0),"")</f>
        <v/>
      </c>
      <c r="G59" t="str" cm="1">
        <f t="array" aca="1" ref="G59" ca="1">IF(COUNTIF($F$2:$F$1000,INDIRECT("RC[-2]",0))&gt;0,"",INDIRECT("RC[-2]",0))</f>
        <v/>
      </c>
    </row>
    <row r="60" spans="2:7" x14ac:dyDescent="0.25">
      <c r="B60" t="str" cm="1">
        <f t="array" aca="1" ref="B60" ca="1">IFERROR(DATE(RIGHT(INDIRECT("RC[-1]",0),4),LEFT(INDIRECT("RC[-1]",0),2),1), "")</f>
        <v/>
      </c>
      <c r="C60" s="214"/>
      <c r="E60" t="str" cm="1">
        <f t="array" aca="1" ref="E60" ca="1">IF(_xlfn.XLOOKUP(INDIRECT("RC[-1]", 0), CategoryNames, CategoryIdentifiers, "")&lt;&gt;"",INDIRECT("RC[-1]", 0),"")</f>
        <v/>
      </c>
      <c r="G60" t="str" cm="1">
        <f t="array" aca="1" ref="G60" ca="1">IF(COUNTIF($F$2:$F$1000,INDIRECT("RC[-2]",0))&gt;0,"",INDIRECT("RC[-2]",0))</f>
        <v/>
      </c>
    </row>
    <row r="61" spans="2:7" x14ac:dyDescent="0.25">
      <c r="B61" t="str" cm="1">
        <f t="array" aca="1" ref="B61" ca="1">IFERROR(DATE(RIGHT(INDIRECT("RC[-1]",0),4),LEFT(INDIRECT("RC[-1]",0),2),1), "")</f>
        <v/>
      </c>
      <c r="C61" s="214"/>
      <c r="E61" t="str" cm="1">
        <f t="array" aca="1" ref="E61" ca="1">IF(_xlfn.XLOOKUP(INDIRECT("RC[-1]", 0), CategoryNames, CategoryIdentifiers, "")&lt;&gt;"",INDIRECT("RC[-1]", 0),"")</f>
        <v/>
      </c>
      <c r="G61" t="str" cm="1">
        <f t="array" aca="1" ref="G61" ca="1">IF(COUNTIF($F$2:$F$1000,INDIRECT("RC[-2]",0))&gt;0,"",INDIRECT("RC[-2]",0))</f>
        <v/>
      </c>
    </row>
    <row r="62" spans="2:7" x14ac:dyDescent="0.25">
      <c r="B62" t="str" cm="1">
        <f t="array" aca="1" ref="B62" ca="1">IFERROR(DATE(RIGHT(INDIRECT("RC[-1]",0),4),LEFT(INDIRECT("RC[-1]",0),2),1), "")</f>
        <v/>
      </c>
      <c r="C62" s="214"/>
      <c r="E62" t="str" cm="1">
        <f t="array" aca="1" ref="E62" ca="1">IF(_xlfn.XLOOKUP(INDIRECT("RC[-1]", 0), CategoryNames, CategoryIdentifiers, "")&lt;&gt;"",INDIRECT("RC[-1]", 0),"")</f>
        <v/>
      </c>
      <c r="G62" t="str" cm="1">
        <f t="array" aca="1" ref="G62" ca="1">IF(COUNTIF($F$2:$F$1000,INDIRECT("RC[-2]",0))&gt;0,"",INDIRECT("RC[-2]",0))</f>
        <v/>
      </c>
    </row>
    <row r="63" spans="2:7" x14ac:dyDescent="0.25">
      <c r="B63" t="str" cm="1">
        <f t="array" aca="1" ref="B63" ca="1">IFERROR(DATE(RIGHT(INDIRECT("RC[-1]",0),4),LEFT(INDIRECT("RC[-1]",0),2),1), "")</f>
        <v/>
      </c>
      <c r="C63" s="214"/>
      <c r="E63" t="str" cm="1">
        <f t="array" aca="1" ref="E63" ca="1">IF(_xlfn.XLOOKUP(INDIRECT("RC[-1]", 0), CategoryNames, CategoryIdentifiers, "")&lt;&gt;"",INDIRECT("RC[-1]", 0),"")</f>
        <v/>
      </c>
      <c r="G63" t="str" cm="1">
        <f t="array" aca="1" ref="G63" ca="1">IF(COUNTIF($F$2:$F$1000,INDIRECT("RC[-2]",0))&gt;0,"",INDIRECT("RC[-2]",0))</f>
        <v/>
      </c>
    </row>
    <row r="64" spans="2:7" x14ac:dyDescent="0.25">
      <c r="B64" t="str" cm="1">
        <f t="array" aca="1" ref="B64" ca="1">IFERROR(DATE(RIGHT(INDIRECT("RC[-1]",0),4),LEFT(INDIRECT("RC[-1]",0),2),1), "")</f>
        <v/>
      </c>
      <c r="C64" s="214"/>
      <c r="E64" t="str" cm="1">
        <f t="array" aca="1" ref="E64" ca="1">IF(_xlfn.XLOOKUP(INDIRECT("RC[-1]", 0), CategoryNames, CategoryIdentifiers, "")&lt;&gt;"",INDIRECT("RC[-1]", 0),"")</f>
        <v/>
      </c>
      <c r="G64" t="str" cm="1">
        <f t="array" aca="1" ref="G64" ca="1">IF(COUNTIF($F$2:$F$1000,INDIRECT("RC[-2]",0))&gt;0,"",INDIRECT("RC[-2]",0))</f>
        <v/>
      </c>
    </row>
    <row r="65" spans="2:7" x14ac:dyDescent="0.25">
      <c r="B65" t="str" cm="1">
        <f t="array" aca="1" ref="B65" ca="1">IFERROR(DATE(RIGHT(INDIRECT("RC[-1]",0),4),LEFT(INDIRECT("RC[-1]",0),2),1), "")</f>
        <v/>
      </c>
      <c r="C65" s="214"/>
      <c r="E65" t="str" cm="1">
        <f t="array" aca="1" ref="E65" ca="1">IF(_xlfn.XLOOKUP(INDIRECT("RC[-1]", 0), CategoryNames, CategoryIdentifiers, "")&lt;&gt;"",INDIRECT("RC[-1]", 0),"")</f>
        <v/>
      </c>
      <c r="G65" t="str" cm="1">
        <f t="array" aca="1" ref="G65" ca="1">IF(COUNTIF($F$2:$F$1000,INDIRECT("RC[-2]",0))&gt;0,"",INDIRECT("RC[-2]",0))</f>
        <v/>
      </c>
    </row>
    <row r="66" spans="2:7" x14ac:dyDescent="0.25">
      <c r="B66" t="str" cm="1">
        <f t="array" aca="1" ref="B66" ca="1">IFERROR(DATE(RIGHT(INDIRECT("RC[-1]",0),4),LEFT(INDIRECT("RC[-1]",0),2),1), "")</f>
        <v/>
      </c>
      <c r="C66" s="214"/>
      <c r="E66" t="str" cm="1">
        <f t="array" aca="1" ref="E66" ca="1">IF(_xlfn.XLOOKUP(INDIRECT("RC[-1]", 0), CategoryNames, CategoryIdentifiers, "")&lt;&gt;"",INDIRECT("RC[-1]", 0),"")</f>
        <v/>
      </c>
      <c r="G66" t="str" cm="1">
        <f t="array" aca="1" ref="G66" ca="1">IF(COUNTIF($F$2:$F$1000,INDIRECT("RC[-2]",0))&gt;0,"",INDIRECT("RC[-2]",0))</f>
        <v/>
      </c>
    </row>
    <row r="67" spans="2:7" x14ac:dyDescent="0.25">
      <c r="B67" t="str" cm="1">
        <f t="array" aca="1" ref="B67" ca="1">IFERROR(DATE(RIGHT(INDIRECT("RC[-1]",0),4),LEFT(INDIRECT("RC[-1]",0),2),1), "")</f>
        <v/>
      </c>
      <c r="C67" s="214"/>
      <c r="E67" t="str" cm="1">
        <f t="array" aca="1" ref="E67" ca="1">IF(_xlfn.XLOOKUP(INDIRECT("RC[-1]", 0), CategoryNames, CategoryIdentifiers, "")&lt;&gt;"",INDIRECT("RC[-1]", 0),"")</f>
        <v/>
      </c>
      <c r="G67" t="str" cm="1">
        <f t="array" aca="1" ref="G67" ca="1">IF(COUNTIF($F$2:$F$1000,INDIRECT("RC[-2]",0))&gt;0,"",INDIRECT("RC[-2]",0))</f>
        <v/>
      </c>
    </row>
    <row r="68" spans="2:7" x14ac:dyDescent="0.25">
      <c r="B68" t="str" cm="1">
        <f t="array" aca="1" ref="B68" ca="1">IFERROR(DATE(RIGHT(INDIRECT("RC[-1]",0),4),LEFT(INDIRECT("RC[-1]",0),2),1), "")</f>
        <v/>
      </c>
      <c r="C68" s="214"/>
      <c r="E68" t="str" cm="1">
        <f t="array" aca="1" ref="E68" ca="1">IF(_xlfn.XLOOKUP(INDIRECT("RC[-1]", 0), CategoryNames, CategoryIdentifiers, "")&lt;&gt;"",INDIRECT("RC[-1]", 0),"")</f>
        <v/>
      </c>
      <c r="G68" t="str" cm="1">
        <f t="array" aca="1" ref="G68" ca="1">IF(COUNTIF($F$2:$F$1000,INDIRECT("RC[-2]",0))&gt;0,"",INDIRECT("RC[-2]",0))</f>
        <v/>
      </c>
    </row>
    <row r="69" spans="2:7" x14ac:dyDescent="0.25">
      <c r="B69" t="str" cm="1">
        <f t="array" aca="1" ref="B69" ca="1">IFERROR(DATE(RIGHT(INDIRECT("RC[-1]",0),4),LEFT(INDIRECT("RC[-1]",0),2),1), "")</f>
        <v/>
      </c>
      <c r="C69" s="214"/>
      <c r="E69" t="str" cm="1">
        <f t="array" aca="1" ref="E69" ca="1">IF(_xlfn.XLOOKUP(INDIRECT("RC[-1]", 0), CategoryNames, CategoryIdentifiers, "")&lt;&gt;"",INDIRECT("RC[-1]", 0),"")</f>
        <v/>
      </c>
      <c r="G69" t="str" cm="1">
        <f t="array" aca="1" ref="G69" ca="1">IF(COUNTIF($F$2:$F$1000,INDIRECT("RC[-2]",0))&gt;0,"",INDIRECT("RC[-2]",0))</f>
        <v/>
      </c>
    </row>
    <row r="70" spans="2:7" x14ac:dyDescent="0.25">
      <c r="B70" t="str" cm="1">
        <f t="array" aca="1" ref="B70" ca="1">IFERROR(DATE(RIGHT(INDIRECT("RC[-1]",0),4),LEFT(INDIRECT("RC[-1]",0),2),1), "")</f>
        <v/>
      </c>
      <c r="C70" s="214"/>
      <c r="E70" t="str" cm="1">
        <f t="array" aca="1" ref="E70" ca="1">IF(_xlfn.XLOOKUP(INDIRECT("RC[-1]", 0), CategoryNames, CategoryIdentifiers, "")&lt;&gt;"",INDIRECT("RC[-1]", 0),"")</f>
        <v/>
      </c>
      <c r="G70" t="str" cm="1">
        <f t="array" aca="1" ref="G70" ca="1">IF(COUNTIF($F$2:$F$1000,INDIRECT("RC[-2]",0))&gt;0,"",INDIRECT("RC[-2]",0))</f>
        <v/>
      </c>
    </row>
    <row r="71" spans="2:7" x14ac:dyDescent="0.25">
      <c r="B71" t="str" cm="1">
        <f t="array" aca="1" ref="B71" ca="1">IFERROR(DATE(RIGHT(INDIRECT("RC[-1]",0),4),LEFT(INDIRECT("RC[-1]",0),2),1), "")</f>
        <v/>
      </c>
      <c r="C71" s="214"/>
      <c r="E71" t="str" cm="1">
        <f t="array" aca="1" ref="E71" ca="1">IF(_xlfn.XLOOKUP(INDIRECT("RC[-1]", 0), CategoryNames, CategoryIdentifiers, "")&lt;&gt;"",INDIRECT("RC[-1]", 0),"")</f>
        <v/>
      </c>
      <c r="G71" t="str" cm="1">
        <f t="array" aca="1" ref="G71" ca="1">IF(COUNTIF($F$2:$F$1000,INDIRECT("RC[-2]",0))&gt;0,"",INDIRECT("RC[-2]",0))</f>
        <v/>
      </c>
    </row>
    <row r="72" spans="2:7" x14ac:dyDescent="0.25">
      <c r="B72" t="str" cm="1">
        <f t="array" aca="1" ref="B72" ca="1">IFERROR(DATE(RIGHT(INDIRECT("RC[-1]",0),4),LEFT(INDIRECT("RC[-1]",0),2),1), "")</f>
        <v/>
      </c>
      <c r="C72" s="214"/>
      <c r="E72" t="str" cm="1">
        <f t="array" aca="1" ref="E72" ca="1">IF(_xlfn.XLOOKUP(INDIRECT("RC[-1]", 0), CategoryNames, CategoryIdentifiers, "")&lt;&gt;"",INDIRECT("RC[-1]", 0),"")</f>
        <v/>
      </c>
      <c r="G72" t="str" cm="1">
        <f t="array" aca="1" ref="G72" ca="1">IF(COUNTIF($F$2:$F$1000,INDIRECT("RC[-2]",0))&gt;0,"",INDIRECT("RC[-2]",0))</f>
        <v/>
      </c>
    </row>
    <row r="73" spans="2:7" x14ac:dyDescent="0.25">
      <c r="B73" t="str" cm="1">
        <f t="array" aca="1" ref="B73" ca="1">IFERROR(DATE(RIGHT(INDIRECT("RC[-1]",0),4),LEFT(INDIRECT("RC[-1]",0),2),1), "")</f>
        <v/>
      </c>
      <c r="C73" s="214"/>
      <c r="E73" t="str" cm="1">
        <f t="array" aca="1" ref="E73" ca="1">IF(_xlfn.XLOOKUP(INDIRECT("RC[-1]", 0), CategoryNames, CategoryIdentifiers, "")&lt;&gt;"",INDIRECT("RC[-1]", 0),"")</f>
        <v/>
      </c>
      <c r="G73" t="str" cm="1">
        <f t="array" aca="1" ref="G73" ca="1">IF(COUNTIF($F$2:$F$1000,INDIRECT("RC[-2]",0))&gt;0,"",INDIRECT("RC[-2]",0))</f>
        <v/>
      </c>
    </row>
    <row r="74" spans="2:7" x14ac:dyDescent="0.25">
      <c r="B74" t="str" cm="1">
        <f t="array" aca="1" ref="B74" ca="1">IFERROR(DATE(RIGHT(INDIRECT("RC[-1]",0),4),LEFT(INDIRECT("RC[-1]",0),2),1), "")</f>
        <v/>
      </c>
      <c r="C74" s="214"/>
      <c r="E74" t="str" cm="1">
        <f t="array" aca="1" ref="E74" ca="1">IF(_xlfn.XLOOKUP(INDIRECT("RC[-1]", 0), CategoryNames, CategoryIdentifiers, "")&lt;&gt;"",INDIRECT("RC[-1]", 0),"")</f>
        <v/>
      </c>
      <c r="G74" t="str" cm="1">
        <f t="array" aca="1" ref="G74" ca="1">IF(COUNTIF($F$2:$F$1000,INDIRECT("RC[-2]",0))&gt;0,"",INDIRECT("RC[-2]",0))</f>
        <v/>
      </c>
    </row>
    <row r="75" spans="2:7" x14ac:dyDescent="0.25">
      <c r="B75" t="str" cm="1">
        <f t="array" aca="1" ref="B75" ca="1">IFERROR(DATE(RIGHT(INDIRECT("RC[-1]",0),4),LEFT(INDIRECT("RC[-1]",0),2),1), "")</f>
        <v/>
      </c>
      <c r="C75" s="214"/>
      <c r="E75" t="str" cm="1">
        <f t="array" aca="1" ref="E75" ca="1">IF(_xlfn.XLOOKUP(INDIRECT("RC[-1]", 0), CategoryNames, CategoryIdentifiers, "")&lt;&gt;"",INDIRECT("RC[-1]", 0),"")</f>
        <v/>
      </c>
      <c r="G75" t="str" cm="1">
        <f t="array" aca="1" ref="G75" ca="1">IF(COUNTIF($F$2:$F$1000,INDIRECT("RC[-2]",0))&gt;0,"",INDIRECT("RC[-2]",0))</f>
        <v/>
      </c>
    </row>
    <row r="76" spans="2:7" x14ac:dyDescent="0.25">
      <c r="B76" t="str" cm="1">
        <f t="array" aca="1" ref="B76" ca="1">IFERROR(DATE(RIGHT(INDIRECT("RC[-1]",0),4),LEFT(INDIRECT("RC[-1]",0),2),1), "")</f>
        <v/>
      </c>
      <c r="C76" s="214"/>
      <c r="E76" t="str" cm="1">
        <f t="array" aca="1" ref="E76" ca="1">IF(_xlfn.XLOOKUP(INDIRECT("RC[-1]", 0), CategoryNames, CategoryIdentifiers, "")&lt;&gt;"",INDIRECT("RC[-1]", 0),"")</f>
        <v/>
      </c>
      <c r="G76" t="str" cm="1">
        <f t="array" aca="1" ref="G76" ca="1">IF(COUNTIF($F$2:$F$1000,INDIRECT("RC[-2]",0))&gt;0,"",INDIRECT("RC[-2]",0))</f>
        <v/>
      </c>
    </row>
    <row r="77" spans="2:7" x14ac:dyDescent="0.25">
      <c r="B77" t="str" cm="1">
        <f t="array" aca="1" ref="B77" ca="1">IFERROR(DATE(RIGHT(INDIRECT("RC[-1]",0),4),LEFT(INDIRECT("RC[-1]",0),2),1), "")</f>
        <v/>
      </c>
      <c r="C77" s="214"/>
      <c r="E77" t="str" cm="1">
        <f t="array" aca="1" ref="E77" ca="1">IF(_xlfn.XLOOKUP(INDIRECT("RC[-1]", 0), CategoryNames, CategoryIdentifiers, "")&lt;&gt;"",INDIRECT("RC[-1]", 0),"")</f>
        <v/>
      </c>
      <c r="G77" t="str" cm="1">
        <f t="array" aca="1" ref="G77" ca="1">IF(COUNTIF($F$2:$F$1000,INDIRECT("RC[-2]",0))&gt;0,"",INDIRECT("RC[-2]",0))</f>
        <v/>
      </c>
    </row>
    <row r="78" spans="2:7" x14ac:dyDescent="0.25">
      <c r="B78" t="str" cm="1">
        <f t="array" aca="1" ref="B78" ca="1">IFERROR(DATE(RIGHT(INDIRECT("RC[-1]",0),4),LEFT(INDIRECT("RC[-1]",0),2),1), "")</f>
        <v/>
      </c>
      <c r="C78" s="214"/>
      <c r="E78" t="str" cm="1">
        <f t="array" aca="1" ref="E78" ca="1">IF(_xlfn.XLOOKUP(INDIRECT("RC[-1]", 0), CategoryNames, CategoryIdentifiers, "")&lt;&gt;"",INDIRECT("RC[-1]", 0),"")</f>
        <v/>
      </c>
      <c r="G78" t="str" cm="1">
        <f t="array" aca="1" ref="G78" ca="1">IF(COUNTIF($F$2:$F$1000,INDIRECT("RC[-2]",0))&gt;0,"",INDIRECT("RC[-2]",0))</f>
        <v/>
      </c>
    </row>
    <row r="79" spans="2:7" x14ac:dyDescent="0.25">
      <c r="B79" t="str" cm="1">
        <f t="array" aca="1" ref="B79" ca="1">IFERROR(DATE(RIGHT(INDIRECT("RC[-1]",0),4),LEFT(INDIRECT("RC[-1]",0),2),1), "")</f>
        <v/>
      </c>
      <c r="C79" s="214"/>
      <c r="E79" t="str" cm="1">
        <f t="array" aca="1" ref="E79" ca="1">IF(_xlfn.XLOOKUP(INDIRECT("RC[-1]", 0), CategoryNames, CategoryIdentifiers, "")&lt;&gt;"",INDIRECT("RC[-1]", 0),"")</f>
        <v/>
      </c>
      <c r="G79" t="str" cm="1">
        <f t="array" aca="1" ref="G79" ca="1">IF(COUNTIF($F$2:$F$1000,INDIRECT("RC[-2]",0))&gt;0,"",INDIRECT("RC[-2]",0))</f>
        <v/>
      </c>
    </row>
    <row r="80" spans="2:7" x14ac:dyDescent="0.25">
      <c r="B80" t="str" cm="1">
        <f t="array" aca="1" ref="B80" ca="1">IFERROR(DATE(RIGHT(INDIRECT("RC[-1]",0),4),LEFT(INDIRECT("RC[-1]",0),2),1), "")</f>
        <v/>
      </c>
      <c r="C80" s="214"/>
      <c r="E80" t="str" cm="1">
        <f t="array" aca="1" ref="E80" ca="1">IF(_xlfn.XLOOKUP(INDIRECT("RC[-1]", 0), CategoryNames, CategoryIdentifiers, "")&lt;&gt;"",INDIRECT("RC[-1]", 0),"")</f>
        <v/>
      </c>
      <c r="G80" t="str" cm="1">
        <f t="array" aca="1" ref="G80" ca="1">IF(COUNTIF($F$2:$F$1000,INDIRECT("RC[-2]",0))&gt;0,"",INDIRECT("RC[-2]",0))</f>
        <v/>
      </c>
    </row>
    <row r="81" spans="2:7" x14ac:dyDescent="0.25">
      <c r="B81" t="str" cm="1">
        <f t="array" aca="1" ref="B81" ca="1">IFERROR(DATE(RIGHT(INDIRECT("RC[-1]",0),4),LEFT(INDIRECT("RC[-1]",0),2),1), "")</f>
        <v/>
      </c>
      <c r="C81" s="214"/>
      <c r="E81" t="str" cm="1">
        <f t="array" aca="1" ref="E81" ca="1">IF(_xlfn.XLOOKUP(INDIRECT("RC[-1]", 0), CategoryNames, CategoryIdentifiers, "")&lt;&gt;"",INDIRECT("RC[-1]", 0),"")</f>
        <v/>
      </c>
      <c r="G81" t="str" cm="1">
        <f t="array" aca="1" ref="G81" ca="1">IF(COUNTIF($F$2:$F$1000,INDIRECT("RC[-2]",0))&gt;0,"",INDIRECT("RC[-2]",0))</f>
        <v/>
      </c>
    </row>
    <row r="82" spans="2:7" x14ac:dyDescent="0.25">
      <c r="B82" t="str" cm="1">
        <f t="array" aca="1" ref="B82" ca="1">IFERROR(DATE(RIGHT(INDIRECT("RC[-1]",0),4),LEFT(INDIRECT("RC[-1]",0),2),1), "")</f>
        <v/>
      </c>
      <c r="C82" s="214"/>
      <c r="E82" t="str" cm="1">
        <f t="array" aca="1" ref="E82" ca="1">IF(_xlfn.XLOOKUP(INDIRECT("RC[-1]", 0), CategoryNames, CategoryIdentifiers, "")&lt;&gt;"",INDIRECT("RC[-1]", 0),"")</f>
        <v/>
      </c>
      <c r="G82" t="str" cm="1">
        <f t="array" aca="1" ref="G82" ca="1">IF(COUNTIF($F$2:$F$1000,INDIRECT("RC[-2]",0))&gt;0,"",INDIRECT("RC[-2]",0))</f>
        <v/>
      </c>
    </row>
    <row r="83" spans="2:7" x14ac:dyDescent="0.25">
      <c r="B83" t="str" cm="1">
        <f t="array" aca="1" ref="B83" ca="1">IFERROR(DATE(RIGHT(INDIRECT("RC[-1]",0),4),LEFT(INDIRECT("RC[-1]",0),2),1), "")</f>
        <v/>
      </c>
      <c r="C83" s="214"/>
      <c r="E83" t="str" cm="1">
        <f t="array" aca="1" ref="E83" ca="1">IF(_xlfn.XLOOKUP(INDIRECT("RC[-1]", 0), CategoryNames, CategoryIdentifiers, "")&lt;&gt;"",INDIRECT("RC[-1]", 0),"")</f>
        <v/>
      </c>
      <c r="G83" t="str" cm="1">
        <f t="array" aca="1" ref="G83" ca="1">IF(COUNTIF($F$2:$F$1000,INDIRECT("RC[-2]",0))&gt;0,"",INDIRECT("RC[-2]",0))</f>
        <v/>
      </c>
    </row>
    <row r="84" spans="2:7" x14ac:dyDescent="0.25">
      <c r="B84" t="str" cm="1">
        <f t="array" aca="1" ref="B84" ca="1">IFERROR(DATE(RIGHT(INDIRECT("RC[-1]",0),4),LEFT(INDIRECT("RC[-1]",0),2),1), "")</f>
        <v/>
      </c>
      <c r="C84" s="214"/>
      <c r="E84" t="str" cm="1">
        <f t="array" aca="1" ref="E84" ca="1">IF(_xlfn.XLOOKUP(INDIRECT("RC[-1]", 0), CategoryNames, CategoryIdentifiers, "")&lt;&gt;"",INDIRECT("RC[-1]", 0),"")</f>
        <v/>
      </c>
      <c r="G84" t="str" cm="1">
        <f t="array" aca="1" ref="G84" ca="1">IF(COUNTIF($F$2:$F$1000,INDIRECT("RC[-2]",0))&gt;0,"",INDIRECT("RC[-2]",0))</f>
        <v/>
      </c>
    </row>
    <row r="85" spans="2:7" x14ac:dyDescent="0.25">
      <c r="B85" t="str" cm="1">
        <f t="array" aca="1" ref="B85" ca="1">IFERROR(DATE(RIGHT(INDIRECT("RC[-1]",0),4),LEFT(INDIRECT("RC[-1]",0),2),1), "")</f>
        <v/>
      </c>
      <c r="C85" s="214"/>
      <c r="E85" t="str" cm="1">
        <f t="array" aca="1" ref="E85" ca="1">IF(_xlfn.XLOOKUP(INDIRECT("RC[-1]", 0), CategoryNames, CategoryIdentifiers, "")&lt;&gt;"",INDIRECT("RC[-1]", 0),"")</f>
        <v/>
      </c>
      <c r="G85" t="str" cm="1">
        <f t="array" aca="1" ref="G85" ca="1">IF(COUNTIF($F$2:$F$1000,INDIRECT("RC[-2]",0))&gt;0,"",INDIRECT("RC[-2]",0))</f>
        <v/>
      </c>
    </row>
    <row r="86" spans="2:7" x14ac:dyDescent="0.25">
      <c r="B86" t="str" cm="1">
        <f t="array" aca="1" ref="B86" ca="1">IFERROR(DATE(RIGHT(INDIRECT("RC[-1]",0),4),LEFT(INDIRECT("RC[-1]",0),2),1), "")</f>
        <v/>
      </c>
      <c r="C86" s="214"/>
      <c r="E86" t="str" cm="1">
        <f t="array" aca="1" ref="E86" ca="1">IF(_xlfn.XLOOKUP(INDIRECT("RC[-1]", 0), CategoryNames, CategoryIdentifiers, "")&lt;&gt;"",INDIRECT("RC[-1]", 0),"")</f>
        <v/>
      </c>
      <c r="G86" t="str" cm="1">
        <f t="array" aca="1" ref="G86" ca="1">IF(COUNTIF($F$2:$F$1000,INDIRECT("RC[-2]",0))&gt;0,"",INDIRECT("RC[-2]",0))</f>
        <v/>
      </c>
    </row>
    <row r="87" spans="2:7" x14ac:dyDescent="0.25">
      <c r="B87" t="str" cm="1">
        <f t="array" aca="1" ref="B87" ca="1">IFERROR(DATE(RIGHT(INDIRECT("RC[-1]",0),4),LEFT(INDIRECT("RC[-1]",0),2),1), "")</f>
        <v/>
      </c>
      <c r="C87" s="214"/>
      <c r="E87" t="str" cm="1">
        <f t="array" aca="1" ref="E87" ca="1">IF(_xlfn.XLOOKUP(INDIRECT("RC[-1]", 0), CategoryNames, CategoryIdentifiers, "")&lt;&gt;"",INDIRECT("RC[-1]", 0),"")</f>
        <v/>
      </c>
      <c r="G87" t="str" cm="1">
        <f t="array" aca="1" ref="G87" ca="1">IF(COUNTIF($F$2:$F$1000,INDIRECT("RC[-2]",0))&gt;0,"",INDIRECT("RC[-2]",0))</f>
        <v/>
      </c>
    </row>
    <row r="88" spans="2:7" x14ac:dyDescent="0.25">
      <c r="B88" t="str" cm="1">
        <f t="array" aca="1" ref="B88" ca="1">IFERROR(DATE(RIGHT(INDIRECT("RC[-1]",0),4),LEFT(INDIRECT("RC[-1]",0),2),1), "")</f>
        <v/>
      </c>
      <c r="C88" s="214"/>
      <c r="E88" t="str" cm="1">
        <f t="array" aca="1" ref="E88" ca="1">IF(_xlfn.XLOOKUP(INDIRECT("RC[-1]", 0), CategoryNames, CategoryIdentifiers, "")&lt;&gt;"",INDIRECT("RC[-1]", 0),"")</f>
        <v/>
      </c>
      <c r="G88" t="str" cm="1">
        <f t="array" aca="1" ref="G88" ca="1">IF(COUNTIF($F$2:$F$1000,INDIRECT("RC[-2]",0))&gt;0,"",INDIRECT("RC[-2]",0))</f>
        <v/>
      </c>
    </row>
    <row r="89" spans="2:7" x14ac:dyDescent="0.25">
      <c r="B89" t="str" cm="1">
        <f t="array" aca="1" ref="B89" ca="1">IFERROR(DATE(RIGHT(INDIRECT("RC[-1]",0),4),LEFT(INDIRECT("RC[-1]",0),2),1), "")</f>
        <v/>
      </c>
      <c r="C89" s="214"/>
      <c r="E89" t="str" cm="1">
        <f t="array" aca="1" ref="E89" ca="1">IF(_xlfn.XLOOKUP(INDIRECT("RC[-1]", 0), CategoryNames, CategoryIdentifiers, "")&lt;&gt;"",INDIRECT("RC[-1]", 0),"")</f>
        <v/>
      </c>
      <c r="G89" t="str" cm="1">
        <f t="array" aca="1" ref="G89" ca="1">IF(COUNTIF($F$2:$F$1000,INDIRECT("RC[-2]",0))&gt;0,"",INDIRECT("RC[-2]",0))</f>
        <v/>
      </c>
    </row>
    <row r="90" spans="2:7" x14ac:dyDescent="0.25">
      <c r="B90" t="str" cm="1">
        <f t="array" aca="1" ref="B90" ca="1">IFERROR(DATE(RIGHT(INDIRECT("RC[-1]",0),4),LEFT(INDIRECT("RC[-1]",0),2),1), "")</f>
        <v/>
      </c>
      <c r="C90" s="214"/>
      <c r="E90" t="str" cm="1">
        <f t="array" aca="1" ref="E90" ca="1">IF(_xlfn.XLOOKUP(INDIRECT("RC[-1]", 0), CategoryNames, CategoryIdentifiers, "")&lt;&gt;"",INDIRECT("RC[-1]", 0),"")</f>
        <v/>
      </c>
      <c r="G90" t="str" cm="1">
        <f t="array" aca="1" ref="G90" ca="1">IF(COUNTIF($F$2:$F$1000,INDIRECT("RC[-2]",0))&gt;0,"",INDIRECT("RC[-2]",0))</f>
        <v/>
      </c>
    </row>
    <row r="91" spans="2:7" x14ac:dyDescent="0.25">
      <c r="B91" t="str" cm="1">
        <f t="array" aca="1" ref="B91" ca="1">IFERROR(DATE(RIGHT(INDIRECT("RC[-1]",0),4),LEFT(INDIRECT("RC[-1]",0),2),1), "")</f>
        <v/>
      </c>
      <c r="C91" s="214"/>
      <c r="E91" t="str" cm="1">
        <f t="array" aca="1" ref="E91" ca="1">IF(_xlfn.XLOOKUP(INDIRECT("RC[-1]", 0), CategoryNames, CategoryIdentifiers, "")&lt;&gt;"",INDIRECT("RC[-1]", 0),"")</f>
        <v/>
      </c>
      <c r="G91" t="str" cm="1">
        <f t="array" aca="1" ref="G91" ca="1">IF(COUNTIF($F$2:$F$1000,INDIRECT("RC[-2]",0))&gt;0,"",INDIRECT("RC[-2]",0))</f>
        <v/>
      </c>
    </row>
    <row r="92" spans="2:7" x14ac:dyDescent="0.25">
      <c r="B92" t="str" cm="1">
        <f t="array" aca="1" ref="B92" ca="1">IFERROR(DATE(RIGHT(INDIRECT("RC[-1]",0),4),LEFT(INDIRECT("RC[-1]",0),2),1), "")</f>
        <v/>
      </c>
      <c r="C92" s="214"/>
      <c r="E92" t="str" cm="1">
        <f t="array" aca="1" ref="E92" ca="1">IF(_xlfn.XLOOKUP(INDIRECT("RC[-1]", 0), CategoryNames, CategoryIdentifiers, "")&lt;&gt;"",INDIRECT("RC[-1]", 0),"")</f>
        <v/>
      </c>
      <c r="G92" t="str" cm="1">
        <f t="array" aca="1" ref="G92" ca="1">IF(COUNTIF($F$2:$F$1000,INDIRECT("RC[-2]",0))&gt;0,"",INDIRECT("RC[-2]",0))</f>
        <v/>
      </c>
    </row>
    <row r="93" spans="2:7" x14ac:dyDescent="0.25">
      <c r="B93" t="str" cm="1">
        <f t="array" aca="1" ref="B93" ca="1">IFERROR(DATE(RIGHT(INDIRECT("RC[-1]",0),4),LEFT(INDIRECT("RC[-1]",0),2),1), "")</f>
        <v/>
      </c>
      <c r="C93" s="214"/>
      <c r="E93" t="str" cm="1">
        <f t="array" aca="1" ref="E93" ca="1">IF(_xlfn.XLOOKUP(INDIRECT("RC[-1]", 0), CategoryNames, CategoryIdentifiers, "")&lt;&gt;"",INDIRECT("RC[-1]", 0),"")</f>
        <v/>
      </c>
      <c r="G93" t="str" cm="1">
        <f t="array" aca="1" ref="G93" ca="1">IF(COUNTIF($F$2:$F$1000,INDIRECT("RC[-2]",0))&gt;0,"",INDIRECT("RC[-2]",0))</f>
        <v/>
      </c>
    </row>
    <row r="94" spans="2:7" x14ac:dyDescent="0.25">
      <c r="B94" t="str" cm="1">
        <f t="array" aca="1" ref="B94" ca="1">IFERROR(DATE(RIGHT(INDIRECT("RC[-1]",0),4),LEFT(INDIRECT("RC[-1]",0),2),1), "")</f>
        <v/>
      </c>
      <c r="C94" s="214"/>
      <c r="E94" t="str" cm="1">
        <f t="array" aca="1" ref="E94" ca="1">IF(_xlfn.XLOOKUP(INDIRECT("RC[-1]", 0), CategoryNames, CategoryIdentifiers, "")&lt;&gt;"",INDIRECT("RC[-1]", 0),"")</f>
        <v/>
      </c>
      <c r="G94" t="str" cm="1">
        <f t="array" aca="1" ref="G94" ca="1">IF(COUNTIF($F$2:$F$1000,INDIRECT("RC[-2]",0))&gt;0,"",INDIRECT("RC[-2]",0))</f>
        <v/>
      </c>
    </row>
    <row r="95" spans="2:7" x14ac:dyDescent="0.25">
      <c r="B95" t="str" cm="1">
        <f t="array" aca="1" ref="B95" ca="1">IFERROR(DATE(RIGHT(INDIRECT("RC[-1]",0),4),LEFT(INDIRECT("RC[-1]",0),2),1), "")</f>
        <v/>
      </c>
      <c r="C95" s="214"/>
      <c r="E95" t="str" cm="1">
        <f t="array" aca="1" ref="E95" ca="1">IF(_xlfn.XLOOKUP(INDIRECT("RC[-1]", 0), CategoryNames, CategoryIdentifiers, "")&lt;&gt;"",INDIRECT("RC[-1]", 0),"")</f>
        <v/>
      </c>
      <c r="G95" t="str" cm="1">
        <f t="array" aca="1" ref="G95" ca="1">IF(COUNTIF($F$2:$F$1000,INDIRECT("RC[-2]",0))&gt;0,"",INDIRECT("RC[-2]",0))</f>
        <v/>
      </c>
    </row>
    <row r="96" spans="2:7" x14ac:dyDescent="0.25">
      <c r="B96" t="str" cm="1">
        <f t="array" aca="1" ref="B96" ca="1">IFERROR(DATE(RIGHT(INDIRECT("RC[-1]",0),4),LEFT(INDIRECT("RC[-1]",0),2),1), "")</f>
        <v/>
      </c>
      <c r="C96" s="214"/>
      <c r="E96" t="str" cm="1">
        <f t="array" aca="1" ref="E96" ca="1">IF(_xlfn.XLOOKUP(INDIRECT("RC[-1]", 0), CategoryNames, CategoryIdentifiers, "")&lt;&gt;"",INDIRECT("RC[-1]", 0),"")</f>
        <v/>
      </c>
      <c r="G96" t="str" cm="1">
        <f t="array" aca="1" ref="G96" ca="1">IF(COUNTIF($F$2:$F$1000,INDIRECT("RC[-2]",0))&gt;0,"",INDIRECT("RC[-2]",0))</f>
        <v/>
      </c>
    </row>
    <row r="97" spans="2:7" x14ac:dyDescent="0.25">
      <c r="B97" t="str" cm="1">
        <f t="array" aca="1" ref="B97" ca="1">IFERROR(DATE(RIGHT(INDIRECT("RC[-1]",0),4),LEFT(INDIRECT("RC[-1]",0),2),1), "")</f>
        <v/>
      </c>
      <c r="C97" s="214"/>
      <c r="E97" t="str" cm="1">
        <f t="array" aca="1" ref="E97" ca="1">IF(_xlfn.XLOOKUP(INDIRECT("RC[-1]", 0), CategoryNames, CategoryIdentifiers, "")&lt;&gt;"",INDIRECT("RC[-1]", 0),"")</f>
        <v/>
      </c>
      <c r="G97" t="str" cm="1">
        <f t="array" aca="1" ref="G97" ca="1">IF(COUNTIF($F$2:$F$1000,INDIRECT("RC[-2]",0))&gt;0,"",INDIRECT("RC[-2]",0))</f>
        <v/>
      </c>
    </row>
    <row r="98" spans="2:7" x14ac:dyDescent="0.25">
      <c r="B98" t="str" cm="1">
        <f t="array" aca="1" ref="B98" ca="1">IFERROR(DATE(RIGHT(INDIRECT("RC[-1]",0),4),LEFT(INDIRECT("RC[-1]",0),2),1), "")</f>
        <v/>
      </c>
      <c r="C98" s="214"/>
      <c r="E98" t="str" cm="1">
        <f t="array" aca="1" ref="E98" ca="1">IF(_xlfn.XLOOKUP(INDIRECT("RC[-1]", 0), CategoryNames, CategoryIdentifiers, "")&lt;&gt;"",INDIRECT("RC[-1]", 0),"")</f>
        <v/>
      </c>
      <c r="G98" t="str" cm="1">
        <f t="array" aca="1" ref="G98" ca="1">IF(COUNTIF($F$2:$F$1000,INDIRECT("RC[-2]",0))&gt;0,"",INDIRECT("RC[-2]",0))</f>
        <v/>
      </c>
    </row>
    <row r="99" spans="2:7" x14ac:dyDescent="0.25">
      <c r="B99" t="str" cm="1">
        <f t="array" aca="1" ref="B99" ca="1">IFERROR(DATE(RIGHT(INDIRECT("RC[-1]",0),4),LEFT(INDIRECT("RC[-1]",0),2),1), "")</f>
        <v/>
      </c>
      <c r="C99" s="214"/>
      <c r="E99" t="str" cm="1">
        <f t="array" aca="1" ref="E99" ca="1">IF(_xlfn.XLOOKUP(INDIRECT("RC[-1]", 0), CategoryNames, CategoryIdentifiers, "")&lt;&gt;"",INDIRECT("RC[-1]", 0),"")</f>
        <v/>
      </c>
      <c r="G99" t="str" cm="1">
        <f t="array" aca="1" ref="G99" ca="1">IF(COUNTIF($F$2:$F$1000,INDIRECT("RC[-2]",0))&gt;0,"",INDIRECT("RC[-2]",0))</f>
        <v/>
      </c>
    </row>
    <row r="100" spans="2:7" x14ac:dyDescent="0.25">
      <c r="B100" t="str" cm="1">
        <f t="array" aca="1" ref="B100" ca="1">IFERROR(DATE(RIGHT(INDIRECT("RC[-1]",0),4),LEFT(INDIRECT("RC[-1]",0),2),1), "")</f>
        <v/>
      </c>
      <c r="C100" s="214"/>
      <c r="E100" t="str" cm="1">
        <f t="array" aca="1" ref="E100" ca="1">IF(_xlfn.XLOOKUP(INDIRECT("RC[-1]", 0), CategoryNames, CategoryIdentifiers, "")&lt;&gt;"",INDIRECT("RC[-1]", 0),"")</f>
        <v/>
      </c>
      <c r="G100" t="str" cm="1">
        <f t="array" aca="1" ref="G100" ca="1">IF(COUNTIF($F$2:$F$1000,INDIRECT("RC[-2]",0))&gt;0,"",INDIRECT("RC[-2]",0))</f>
        <v/>
      </c>
    </row>
    <row r="101" spans="2:7" x14ac:dyDescent="0.25">
      <c r="B101" t="str" cm="1">
        <f t="array" aca="1" ref="B101" ca="1">IFERROR(DATE(RIGHT(INDIRECT("RC[-1]",0),4),LEFT(INDIRECT("RC[-1]",0),2),1), "")</f>
        <v/>
      </c>
      <c r="C101" s="214"/>
      <c r="E101" t="str" cm="1">
        <f t="array" aca="1" ref="E101" ca="1">IF(_xlfn.XLOOKUP(INDIRECT("RC[-1]", 0), CategoryNames, CategoryIdentifiers, "")&lt;&gt;"",INDIRECT("RC[-1]", 0),"")</f>
        <v/>
      </c>
      <c r="G101" t="str" cm="1">
        <f t="array" aca="1" ref="G101" ca="1">IF(COUNTIF($F$2:$F$1000,INDIRECT("RC[-2]",0))&gt;0,"",INDIRECT("RC[-2]",0))</f>
        <v/>
      </c>
    </row>
    <row r="102" spans="2:7" x14ac:dyDescent="0.25">
      <c r="B102" t="str" cm="1">
        <f t="array" aca="1" ref="B102" ca="1">IFERROR(DATE(RIGHT(INDIRECT("RC[-1]",0),4),LEFT(INDIRECT("RC[-1]",0),2),1), "")</f>
        <v/>
      </c>
      <c r="C102" s="214"/>
      <c r="E102" t="str" cm="1">
        <f t="array" aca="1" ref="E102" ca="1">IF(_xlfn.XLOOKUP(INDIRECT("RC[-1]", 0), CategoryNames, CategoryIdentifiers, "")&lt;&gt;"",INDIRECT("RC[-1]", 0),"")</f>
        <v/>
      </c>
      <c r="G102" t="str" cm="1">
        <f t="array" aca="1" ref="G102" ca="1">IF(COUNTIF($F$2:$F$1000,INDIRECT("RC[-2]",0))&gt;0,"",INDIRECT("RC[-2]",0))</f>
        <v/>
      </c>
    </row>
    <row r="103" spans="2:7" x14ac:dyDescent="0.25">
      <c r="B103" t="str" cm="1">
        <f t="array" aca="1" ref="B103" ca="1">IFERROR(DATE(RIGHT(INDIRECT("RC[-1]",0),4),LEFT(INDIRECT("RC[-1]",0),2),1), "")</f>
        <v/>
      </c>
      <c r="C103" s="214"/>
      <c r="E103" t="str" cm="1">
        <f t="array" aca="1" ref="E103" ca="1">IF(_xlfn.XLOOKUP(INDIRECT("RC[-1]", 0), CategoryNames, CategoryIdentifiers, "")&lt;&gt;"",INDIRECT("RC[-1]", 0),"")</f>
        <v/>
      </c>
      <c r="G103" t="str" cm="1">
        <f t="array" aca="1" ref="G103" ca="1">IF(COUNTIF($F$2:$F$1000,INDIRECT("RC[-2]",0))&gt;0,"",INDIRECT("RC[-2]",0))</f>
        <v/>
      </c>
    </row>
    <row r="104" spans="2:7" x14ac:dyDescent="0.25">
      <c r="B104" t="str" cm="1">
        <f t="array" aca="1" ref="B104" ca="1">IFERROR(DATE(RIGHT(INDIRECT("RC[-1]",0),4),LEFT(INDIRECT("RC[-1]",0),2),1), "")</f>
        <v/>
      </c>
      <c r="C104" s="214"/>
      <c r="E104" t="str" cm="1">
        <f t="array" aca="1" ref="E104" ca="1">IF(_xlfn.XLOOKUP(INDIRECT("RC[-1]", 0), CategoryNames, CategoryIdentifiers, "")&lt;&gt;"",INDIRECT("RC[-1]", 0),"")</f>
        <v/>
      </c>
      <c r="G104" t="str" cm="1">
        <f t="array" aca="1" ref="G104" ca="1">IF(COUNTIF($F$2:$F$1000,INDIRECT("RC[-2]",0))&gt;0,"",INDIRECT("RC[-2]",0))</f>
        <v/>
      </c>
    </row>
    <row r="105" spans="2:7" x14ac:dyDescent="0.25">
      <c r="B105" t="str" cm="1">
        <f t="array" aca="1" ref="B105" ca="1">IFERROR(DATE(RIGHT(INDIRECT("RC[-1]",0),4),LEFT(INDIRECT("RC[-1]",0),2),1), "")</f>
        <v/>
      </c>
      <c r="C105" s="214"/>
      <c r="E105" t="str" cm="1">
        <f t="array" aca="1" ref="E105" ca="1">IF(_xlfn.XLOOKUP(INDIRECT("RC[-1]", 0), CategoryNames, CategoryIdentifiers, "")&lt;&gt;"",INDIRECT("RC[-1]", 0),"")</f>
        <v/>
      </c>
      <c r="G105" t="str" cm="1">
        <f t="array" aca="1" ref="G105" ca="1">IF(COUNTIF($F$2:$F$1000,INDIRECT("RC[-2]",0))&gt;0,"",INDIRECT("RC[-2]",0))</f>
        <v/>
      </c>
    </row>
    <row r="106" spans="2:7" x14ac:dyDescent="0.25">
      <c r="B106" t="str" cm="1">
        <f t="array" aca="1" ref="B106" ca="1">IFERROR(DATE(RIGHT(INDIRECT("RC[-1]",0),4),LEFT(INDIRECT("RC[-1]",0),2),1), "")</f>
        <v/>
      </c>
      <c r="C106" s="214"/>
      <c r="E106" t="str" cm="1">
        <f t="array" aca="1" ref="E106" ca="1">IF(_xlfn.XLOOKUP(INDIRECT("RC[-1]", 0), CategoryNames, CategoryIdentifiers, "")&lt;&gt;"",INDIRECT("RC[-1]", 0),"")</f>
        <v/>
      </c>
      <c r="G106" t="str" cm="1">
        <f t="array" aca="1" ref="G106" ca="1">IF(COUNTIF($F$2:$F$1000,INDIRECT("RC[-2]",0))&gt;0,"",INDIRECT("RC[-2]",0))</f>
        <v/>
      </c>
    </row>
    <row r="107" spans="2:7" x14ac:dyDescent="0.25">
      <c r="B107" t="str" cm="1">
        <f t="array" aca="1" ref="B107" ca="1">IFERROR(DATE(RIGHT(INDIRECT("RC[-1]",0),4),LEFT(INDIRECT("RC[-1]",0),2),1), "")</f>
        <v/>
      </c>
      <c r="C107" s="214"/>
      <c r="E107" t="str" cm="1">
        <f t="array" aca="1" ref="E107" ca="1">IF(_xlfn.XLOOKUP(INDIRECT("RC[-1]", 0), CategoryNames, CategoryIdentifiers, "")&lt;&gt;"",INDIRECT("RC[-1]", 0),"")</f>
        <v/>
      </c>
      <c r="G107" t="str" cm="1">
        <f t="array" aca="1" ref="G107" ca="1">IF(COUNTIF($F$2:$F$1000,INDIRECT("RC[-2]",0))&gt;0,"",INDIRECT("RC[-2]",0))</f>
        <v/>
      </c>
    </row>
    <row r="108" spans="2:7" x14ac:dyDescent="0.25">
      <c r="B108" t="str" cm="1">
        <f t="array" aca="1" ref="B108" ca="1">IFERROR(DATE(RIGHT(INDIRECT("RC[-1]",0),4),LEFT(INDIRECT("RC[-1]",0),2),1), "")</f>
        <v/>
      </c>
      <c r="C108" s="214"/>
      <c r="E108" t="str" cm="1">
        <f t="array" aca="1" ref="E108" ca="1">IF(_xlfn.XLOOKUP(INDIRECT("RC[-1]", 0), CategoryNames, CategoryIdentifiers, "")&lt;&gt;"",INDIRECT("RC[-1]", 0),"")</f>
        <v/>
      </c>
      <c r="G108" t="str" cm="1">
        <f t="array" aca="1" ref="G108" ca="1">IF(COUNTIF($F$2:$F$1000,INDIRECT("RC[-2]",0))&gt;0,"",INDIRECT("RC[-2]",0))</f>
        <v/>
      </c>
    </row>
    <row r="109" spans="2:7" x14ac:dyDescent="0.25">
      <c r="B109" t="str" cm="1">
        <f t="array" aca="1" ref="B109" ca="1">IFERROR(DATE(RIGHT(INDIRECT("RC[-1]",0),4),LEFT(INDIRECT("RC[-1]",0),2),1), "")</f>
        <v/>
      </c>
      <c r="C109" s="214"/>
      <c r="E109" t="str" cm="1">
        <f t="array" aca="1" ref="E109" ca="1">IF(_xlfn.XLOOKUP(INDIRECT("RC[-1]", 0), CategoryNames, CategoryIdentifiers, "")&lt;&gt;"",INDIRECT("RC[-1]", 0),"")</f>
        <v/>
      </c>
      <c r="G109" t="str" cm="1">
        <f t="array" aca="1" ref="G109" ca="1">IF(COUNTIF($F$2:$F$1000,INDIRECT("RC[-2]",0))&gt;0,"",INDIRECT("RC[-2]",0))</f>
        <v/>
      </c>
    </row>
    <row r="110" spans="2:7" x14ac:dyDescent="0.25">
      <c r="B110" t="str" cm="1">
        <f t="array" aca="1" ref="B110" ca="1">IFERROR(DATE(RIGHT(INDIRECT("RC[-1]",0),4),LEFT(INDIRECT("RC[-1]",0),2),1), "")</f>
        <v/>
      </c>
      <c r="C110" s="214"/>
      <c r="E110" t="str" cm="1">
        <f t="array" aca="1" ref="E110" ca="1">IF(_xlfn.XLOOKUP(INDIRECT("RC[-1]", 0), CategoryNames, CategoryIdentifiers, "")&lt;&gt;"",INDIRECT("RC[-1]", 0),"")</f>
        <v/>
      </c>
      <c r="G110" t="str" cm="1">
        <f t="array" aca="1" ref="G110" ca="1">IF(COUNTIF($F$2:$F$1000,INDIRECT("RC[-2]",0))&gt;0,"",INDIRECT("RC[-2]",0))</f>
        <v/>
      </c>
    </row>
    <row r="111" spans="2:7" x14ac:dyDescent="0.25">
      <c r="B111" t="str" cm="1">
        <f t="array" aca="1" ref="B111" ca="1">IFERROR(DATE(RIGHT(INDIRECT("RC[-1]",0),4),LEFT(INDIRECT("RC[-1]",0),2),1), "")</f>
        <v/>
      </c>
      <c r="C111" s="214"/>
      <c r="E111" t="str" cm="1">
        <f t="array" aca="1" ref="E111" ca="1">IF(_xlfn.XLOOKUP(INDIRECT("RC[-1]", 0), CategoryNames, CategoryIdentifiers, "")&lt;&gt;"",INDIRECT("RC[-1]", 0),"")</f>
        <v/>
      </c>
      <c r="G111" t="str" cm="1">
        <f t="array" aca="1" ref="G111" ca="1">IF(COUNTIF($F$2:$F$1000,INDIRECT("RC[-2]",0))&gt;0,"",INDIRECT("RC[-2]",0))</f>
        <v/>
      </c>
    </row>
    <row r="112" spans="2:7" x14ac:dyDescent="0.25">
      <c r="B112" t="str" cm="1">
        <f t="array" aca="1" ref="B112" ca="1">IFERROR(DATE(RIGHT(INDIRECT("RC[-1]",0),4),LEFT(INDIRECT("RC[-1]",0),2),1), "")</f>
        <v/>
      </c>
      <c r="C112" s="214"/>
      <c r="E112" t="str" cm="1">
        <f t="array" aca="1" ref="E112" ca="1">IF(_xlfn.XLOOKUP(INDIRECT("RC[-1]", 0), CategoryNames, CategoryIdentifiers, "")&lt;&gt;"",INDIRECT("RC[-1]", 0),"")</f>
        <v/>
      </c>
      <c r="G112" t="str" cm="1">
        <f t="array" aca="1" ref="G112" ca="1">IF(COUNTIF($F$2:$F$1000,INDIRECT("RC[-2]",0))&gt;0,"",INDIRECT("RC[-2]",0))</f>
        <v/>
      </c>
    </row>
    <row r="113" spans="2:7" x14ac:dyDescent="0.25">
      <c r="B113" t="str" cm="1">
        <f t="array" aca="1" ref="B113" ca="1">IFERROR(DATE(RIGHT(INDIRECT("RC[-1]",0),4),LEFT(INDIRECT("RC[-1]",0),2),1), "")</f>
        <v/>
      </c>
      <c r="C113" s="214"/>
      <c r="E113" t="str" cm="1">
        <f t="array" aca="1" ref="E113" ca="1">IF(_xlfn.XLOOKUP(INDIRECT("RC[-1]", 0), CategoryNames, CategoryIdentifiers, "")&lt;&gt;"",INDIRECT("RC[-1]", 0),"")</f>
        <v/>
      </c>
      <c r="G113" t="str" cm="1">
        <f t="array" aca="1" ref="G113" ca="1">IF(COUNTIF($F$2:$F$1000,INDIRECT("RC[-2]",0))&gt;0,"",INDIRECT("RC[-2]",0))</f>
        <v/>
      </c>
    </row>
    <row r="114" spans="2:7" x14ac:dyDescent="0.25">
      <c r="B114" t="str" cm="1">
        <f t="array" aca="1" ref="B114" ca="1">IFERROR(DATE(RIGHT(INDIRECT("RC[-1]",0),4),LEFT(INDIRECT("RC[-1]",0),2),1), "")</f>
        <v/>
      </c>
      <c r="C114" s="214"/>
      <c r="E114" t="str" cm="1">
        <f t="array" aca="1" ref="E114" ca="1">IF(_xlfn.XLOOKUP(INDIRECT("RC[-1]", 0), CategoryNames, CategoryIdentifiers, "")&lt;&gt;"",INDIRECT("RC[-1]", 0),"")</f>
        <v/>
      </c>
      <c r="G114" t="str" cm="1">
        <f t="array" aca="1" ref="G114" ca="1">IF(COUNTIF($F$2:$F$1000,INDIRECT("RC[-2]",0))&gt;0,"",INDIRECT("RC[-2]",0))</f>
        <v/>
      </c>
    </row>
    <row r="115" spans="2:7" x14ac:dyDescent="0.25">
      <c r="B115" t="str" cm="1">
        <f t="array" aca="1" ref="B115" ca="1">IFERROR(DATE(RIGHT(INDIRECT("RC[-1]",0),4),LEFT(INDIRECT("RC[-1]",0),2),1), "")</f>
        <v/>
      </c>
      <c r="C115" s="214"/>
      <c r="E115" t="str" cm="1">
        <f t="array" aca="1" ref="E115" ca="1">IF(_xlfn.XLOOKUP(INDIRECT("RC[-1]", 0), CategoryNames, CategoryIdentifiers, "")&lt;&gt;"",INDIRECT("RC[-1]", 0),"")</f>
        <v/>
      </c>
      <c r="G115" t="str" cm="1">
        <f t="array" aca="1" ref="G115" ca="1">IF(COUNTIF($F$2:$F$1000,INDIRECT("RC[-2]",0))&gt;0,"",INDIRECT("RC[-2]",0))</f>
        <v/>
      </c>
    </row>
    <row r="116" spans="2:7" x14ac:dyDescent="0.25">
      <c r="B116" t="str" cm="1">
        <f t="array" aca="1" ref="B116" ca="1">IFERROR(DATE(RIGHT(INDIRECT("RC[-1]",0),4),LEFT(INDIRECT("RC[-1]",0),2),1), "")</f>
        <v/>
      </c>
      <c r="C116" s="214"/>
      <c r="E116" t="str" cm="1">
        <f t="array" aca="1" ref="E116" ca="1">IF(_xlfn.XLOOKUP(INDIRECT("RC[-1]", 0), CategoryNames, CategoryIdentifiers, "")&lt;&gt;"",INDIRECT("RC[-1]", 0),"")</f>
        <v/>
      </c>
      <c r="G116" t="str" cm="1">
        <f t="array" aca="1" ref="G116" ca="1">IF(COUNTIF($F$2:$F$1000,INDIRECT("RC[-2]",0))&gt;0,"",INDIRECT("RC[-2]",0))</f>
        <v/>
      </c>
    </row>
    <row r="117" spans="2:7" x14ac:dyDescent="0.25">
      <c r="B117" t="str" cm="1">
        <f t="array" aca="1" ref="B117" ca="1">IFERROR(DATE(RIGHT(INDIRECT("RC[-1]",0),4),LEFT(INDIRECT("RC[-1]",0),2),1), "")</f>
        <v/>
      </c>
      <c r="C117" s="214"/>
      <c r="E117" t="str" cm="1">
        <f t="array" aca="1" ref="E117" ca="1">IF(_xlfn.XLOOKUP(INDIRECT("RC[-1]", 0), CategoryNames, CategoryIdentifiers, "")&lt;&gt;"",INDIRECT("RC[-1]", 0),"")</f>
        <v/>
      </c>
      <c r="G117" t="str" cm="1">
        <f t="array" aca="1" ref="G117" ca="1">IF(COUNTIF($F$2:$F$1000,INDIRECT("RC[-2]",0))&gt;0,"",INDIRECT("RC[-2]",0))</f>
        <v/>
      </c>
    </row>
    <row r="118" spans="2:7" x14ac:dyDescent="0.25">
      <c r="B118" t="str" cm="1">
        <f t="array" aca="1" ref="B118" ca="1">IFERROR(DATE(RIGHT(INDIRECT("RC[-1]",0),4),LEFT(INDIRECT("RC[-1]",0),2),1), "")</f>
        <v/>
      </c>
      <c r="C118" s="214"/>
      <c r="E118" t="str" cm="1">
        <f t="array" aca="1" ref="E118" ca="1">IF(_xlfn.XLOOKUP(INDIRECT("RC[-1]", 0), CategoryNames, CategoryIdentifiers, "")&lt;&gt;"",INDIRECT("RC[-1]", 0),"")</f>
        <v/>
      </c>
      <c r="G118" t="str" cm="1">
        <f t="array" aca="1" ref="G118" ca="1">IF(COUNTIF($F$2:$F$1000,INDIRECT("RC[-2]",0))&gt;0,"",INDIRECT("RC[-2]",0))</f>
        <v/>
      </c>
    </row>
    <row r="119" spans="2:7" x14ac:dyDescent="0.25">
      <c r="B119" t="str" cm="1">
        <f t="array" aca="1" ref="B119" ca="1">IFERROR(DATE(RIGHT(INDIRECT("RC[-1]",0),4),LEFT(INDIRECT("RC[-1]",0),2),1), "")</f>
        <v/>
      </c>
      <c r="C119" s="214"/>
      <c r="E119" t="str" cm="1">
        <f t="array" aca="1" ref="E119" ca="1">IF(_xlfn.XLOOKUP(INDIRECT("RC[-1]", 0), CategoryNames, CategoryIdentifiers, "")&lt;&gt;"",INDIRECT("RC[-1]", 0),"")</f>
        <v/>
      </c>
      <c r="G119" t="str" cm="1">
        <f t="array" aca="1" ref="G119" ca="1">IF(COUNTIF($F$2:$F$1000,INDIRECT("RC[-2]",0))&gt;0,"",INDIRECT("RC[-2]",0))</f>
        <v/>
      </c>
    </row>
    <row r="120" spans="2:7" x14ac:dyDescent="0.25">
      <c r="B120" t="str" cm="1">
        <f t="array" aca="1" ref="B120" ca="1">IFERROR(DATE(RIGHT(INDIRECT("RC[-1]",0),4),LEFT(INDIRECT("RC[-1]",0),2),1), "")</f>
        <v/>
      </c>
      <c r="C120" s="214"/>
      <c r="E120" t="str" cm="1">
        <f t="array" aca="1" ref="E120" ca="1">IF(_xlfn.XLOOKUP(INDIRECT("RC[-1]", 0), CategoryNames, CategoryIdentifiers, "")&lt;&gt;"",INDIRECT("RC[-1]", 0),"")</f>
        <v/>
      </c>
      <c r="G120" t="str" cm="1">
        <f t="array" aca="1" ref="G120" ca="1">IF(COUNTIF($F$2:$F$1000,INDIRECT("RC[-2]",0))&gt;0,"",INDIRECT("RC[-2]",0))</f>
        <v/>
      </c>
    </row>
    <row r="121" spans="2:7" x14ac:dyDescent="0.25">
      <c r="B121" t="str" cm="1">
        <f t="array" aca="1" ref="B121" ca="1">IFERROR(DATE(RIGHT(INDIRECT("RC[-1]",0),4),LEFT(INDIRECT("RC[-1]",0),2),1), "")</f>
        <v/>
      </c>
      <c r="C121" s="214"/>
      <c r="E121" t="str" cm="1">
        <f t="array" aca="1" ref="E121" ca="1">IF(_xlfn.XLOOKUP(INDIRECT("RC[-1]", 0), CategoryNames, CategoryIdentifiers, "")&lt;&gt;"",INDIRECT("RC[-1]", 0),"")</f>
        <v/>
      </c>
      <c r="G121" t="str" cm="1">
        <f t="array" aca="1" ref="G121" ca="1">IF(COUNTIF($F$2:$F$1000,INDIRECT("RC[-2]",0))&gt;0,"",INDIRECT("RC[-2]",0))</f>
        <v/>
      </c>
    </row>
    <row r="122" spans="2:7" x14ac:dyDescent="0.25">
      <c r="B122" t="str" cm="1">
        <f t="array" aca="1" ref="B122" ca="1">IFERROR(DATE(RIGHT(INDIRECT("RC[-1]",0),4),LEFT(INDIRECT("RC[-1]",0),2),1), "")</f>
        <v/>
      </c>
      <c r="C122" s="214"/>
      <c r="E122" t="str" cm="1">
        <f t="array" aca="1" ref="E122" ca="1">IF(_xlfn.XLOOKUP(INDIRECT("RC[-1]", 0), CategoryNames, CategoryIdentifiers, "")&lt;&gt;"",INDIRECT("RC[-1]", 0),"")</f>
        <v/>
      </c>
      <c r="G122" t="str" cm="1">
        <f t="array" aca="1" ref="G122" ca="1">IF(COUNTIF($F$2:$F$1000,INDIRECT("RC[-2]",0))&gt;0,"",INDIRECT("RC[-2]",0))</f>
        <v/>
      </c>
    </row>
    <row r="123" spans="2:7" x14ac:dyDescent="0.25">
      <c r="B123" t="str" cm="1">
        <f t="array" aca="1" ref="B123" ca="1">IFERROR(DATE(RIGHT(INDIRECT("RC[-1]",0),4),LEFT(INDIRECT("RC[-1]",0),2),1), "")</f>
        <v/>
      </c>
      <c r="C123" s="214"/>
      <c r="E123" t="str" cm="1">
        <f t="array" aca="1" ref="E123" ca="1">IF(_xlfn.XLOOKUP(INDIRECT("RC[-1]", 0), CategoryNames, CategoryIdentifiers, "")&lt;&gt;"",INDIRECT("RC[-1]", 0),"")</f>
        <v/>
      </c>
      <c r="G123" t="str" cm="1">
        <f t="array" aca="1" ref="G123" ca="1">IF(COUNTIF($F$2:$F$1000,INDIRECT("RC[-2]",0))&gt;0,"",INDIRECT("RC[-2]",0))</f>
        <v/>
      </c>
    </row>
    <row r="124" spans="2:7" x14ac:dyDescent="0.25">
      <c r="B124" t="str" cm="1">
        <f t="array" aca="1" ref="B124" ca="1">IFERROR(DATE(RIGHT(INDIRECT("RC[-1]",0),4),LEFT(INDIRECT("RC[-1]",0),2),1), "")</f>
        <v/>
      </c>
      <c r="C124" s="214"/>
      <c r="E124" t="str" cm="1">
        <f t="array" aca="1" ref="E124" ca="1">IF(_xlfn.XLOOKUP(INDIRECT("RC[-1]", 0), CategoryNames, CategoryIdentifiers, "")&lt;&gt;"",INDIRECT("RC[-1]", 0),"")</f>
        <v/>
      </c>
      <c r="G124" t="str" cm="1">
        <f t="array" aca="1" ref="G124" ca="1">IF(COUNTIF($F$2:$F$1000,INDIRECT("RC[-2]",0))&gt;0,"",INDIRECT("RC[-2]",0))</f>
        <v/>
      </c>
    </row>
    <row r="125" spans="2:7" x14ac:dyDescent="0.25">
      <c r="B125" t="str" cm="1">
        <f t="array" aca="1" ref="B125" ca="1">IFERROR(DATE(RIGHT(INDIRECT("RC[-1]",0),4),LEFT(INDIRECT("RC[-1]",0),2),1), "")</f>
        <v/>
      </c>
      <c r="C125" s="214"/>
      <c r="E125" t="str" cm="1">
        <f t="array" aca="1" ref="E125" ca="1">IF(_xlfn.XLOOKUP(INDIRECT("RC[-1]", 0), CategoryNames, CategoryIdentifiers, "")&lt;&gt;"",INDIRECT("RC[-1]", 0),"")</f>
        <v/>
      </c>
      <c r="G125" t="str" cm="1">
        <f t="array" aca="1" ref="G125" ca="1">IF(COUNTIF($F$2:$F$1000,INDIRECT("RC[-2]",0))&gt;0,"",INDIRECT("RC[-2]",0))</f>
        <v/>
      </c>
    </row>
    <row r="126" spans="2:7" x14ac:dyDescent="0.25">
      <c r="B126" t="str" cm="1">
        <f t="array" aca="1" ref="B126" ca="1">IFERROR(DATE(RIGHT(INDIRECT("RC[-1]",0),4),LEFT(INDIRECT("RC[-1]",0),2),1), "")</f>
        <v/>
      </c>
      <c r="C126" s="214"/>
      <c r="E126" t="str" cm="1">
        <f t="array" aca="1" ref="E126" ca="1">IF(_xlfn.XLOOKUP(INDIRECT("RC[-1]", 0), CategoryNames, CategoryIdentifiers, "")&lt;&gt;"",INDIRECT("RC[-1]", 0),"")</f>
        <v/>
      </c>
      <c r="G126" t="str" cm="1">
        <f t="array" aca="1" ref="G126" ca="1">IF(COUNTIF($F$2:$F$1000,INDIRECT("RC[-2]",0))&gt;0,"",INDIRECT("RC[-2]",0))</f>
        <v/>
      </c>
    </row>
    <row r="127" spans="2:7" x14ac:dyDescent="0.25">
      <c r="B127" t="str" cm="1">
        <f t="array" aca="1" ref="B127" ca="1">IFERROR(DATE(RIGHT(INDIRECT("RC[-1]",0),4),LEFT(INDIRECT("RC[-1]",0),2),1), "")</f>
        <v/>
      </c>
      <c r="C127" s="214"/>
      <c r="E127" t="str" cm="1">
        <f t="array" aca="1" ref="E127" ca="1">IF(_xlfn.XLOOKUP(INDIRECT("RC[-1]", 0), CategoryNames, CategoryIdentifiers, "")&lt;&gt;"",INDIRECT("RC[-1]", 0),"")</f>
        <v/>
      </c>
      <c r="G127" t="str" cm="1">
        <f t="array" aca="1" ref="G127" ca="1">IF(COUNTIF($F$2:$F$1000,INDIRECT("RC[-2]",0))&gt;0,"",INDIRECT("RC[-2]",0))</f>
        <v/>
      </c>
    </row>
    <row r="128" spans="2:7" x14ac:dyDescent="0.25">
      <c r="B128" t="str" cm="1">
        <f t="array" aca="1" ref="B128" ca="1">IFERROR(DATE(RIGHT(INDIRECT("RC[-1]",0),4),LEFT(INDIRECT("RC[-1]",0),2),1), "")</f>
        <v/>
      </c>
      <c r="C128" s="214"/>
      <c r="E128" t="str" cm="1">
        <f t="array" aca="1" ref="E128" ca="1">IF(_xlfn.XLOOKUP(INDIRECT("RC[-1]", 0), CategoryNames, CategoryIdentifiers, "")&lt;&gt;"",INDIRECT("RC[-1]", 0),"")</f>
        <v/>
      </c>
      <c r="G128" t="str" cm="1">
        <f t="array" aca="1" ref="G128" ca="1">IF(COUNTIF($F$2:$F$1000,INDIRECT("RC[-2]",0))&gt;0,"",INDIRECT("RC[-2]",0))</f>
        <v/>
      </c>
    </row>
    <row r="129" spans="2:7" x14ac:dyDescent="0.25">
      <c r="B129" t="str" cm="1">
        <f t="array" aca="1" ref="B129" ca="1">IFERROR(DATE(RIGHT(INDIRECT("RC[-1]",0),4),LEFT(INDIRECT("RC[-1]",0),2),1), "")</f>
        <v/>
      </c>
      <c r="C129" s="214"/>
      <c r="E129" t="str" cm="1">
        <f t="array" aca="1" ref="E129" ca="1">IF(_xlfn.XLOOKUP(INDIRECT("RC[-1]", 0), CategoryNames, CategoryIdentifiers, "")&lt;&gt;"",INDIRECT("RC[-1]", 0),"")</f>
        <v/>
      </c>
      <c r="G129" t="str" cm="1">
        <f t="array" aca="1" ref="G129" ca="1">IF(COUNTIF($F$2:$F$1000,INDIRECT("RC[-2]",0))&gt;0,"",INDIRECT("RC[-2]",0))</f>
        <v/>
      </c>
    </row>
    <row r="130" spans="2:7" x14ac:dyDescent="0.25">
      <c r="B130" t="str" cm="1">
        <f t="array" aca="1" ref="B130" ca="1">IFERROR(DATE(RIGHT(INDIRECT("RC[-1]",0),4),LEFT(INDIRECT("RC[-1]",0),2),1), "")</f>
        <v/>
      </c>
      <c r="C130" s="214"/>
      <c r="E130" t="str" cm="1">
        <f t="array" aca="1" ref="E130" ca="1">IF(_xlfn.XLOOKUP(INDIRECT("RC[-1]", 0), CategoryNames, CategoryIdentifiers, "")&lt;&gt;"",INDIRECT("RC[-1]", 0),"")</f>
        <v/>
      </c>
      <c r="G130" t="str" cm="1">
        <f t="array" aca="1" ref="G130" ca="1">IF(COUNTIF($F$2:$F$1000,INDIRECT("RC[-2]",0))&gt;0,"",INDIRECT("RC[-2]",0))</f>
        <v/>
      </c>
    </row>
    <row r="131" spans="2:7" x14ac:dyDescent="0.25">
      <c r="B131" t="str" cm="1">
        <f t="array" aca="1" ref="B131" ca="1">IFERROR(DATE(RIGHT(INDIRECT("RC[-1]",0),4),LEFT(INDIRECT("RC[-1]",0),2),1), "")</f>
        <v/>
      </c>
      <c r="C131" s="214"/>
      <c r="E131" t="str" cm="1">
        <f t="array" aca="1" ref="E131" ca="1">IF(_xlfn.XLOOKUP(INDIRECT("RC[-1]", 0), CategoryNames, CategoryIdentifiers, "")&lt;&gt;"",INDIRECT("RC[-1]", 0),"")</f>
        <v/>
      </c>
      <c r="G131" t="str" cm="1">
        <f t="array" aca="1" ref="G131" ca="1">IF(COUNTIF($F$2:$F$1000,INDIRECT("RC[-2]",0))&gt;0,"",INDIRECT("RC[-2]",0))</f>
        <v/>
      </c>
    </row>
    <row r="132" spans="2:7" x14ac:dyDescent="0.25">
      <c r="B132" t="str" cm="1">
        <f t="array" aca="1" ref="B132" ca="1">IFERROR(DATE(RIGHT(INDIRECT("RC[-1]",0),4),LEFT(INDIRECT("RC[-1]",0),2),1), "")</f>
        <v/>
      </c>
      <c r="C132" s="214"/>
      <c r="E132" t="str" cm="1">
        <f t="array" aca="1" ref="E132" ca="1">IF(_xlfn.XLOOKUP(INDIRECT("RC[-1]", 0), CategoryNames, CategoryIdentifiers, "")&lt;&gt;"",INDIRECT("RC[-1]", 0),"")</f>
        <v/>
      </c>
      <c r="G132" t="str" cm="1">
        <f t="array" aca="1" ref="G132" ca="1">IF(COUNTIF($F$2:$F$1000,INDIRECT("RC[-2]",0))&gt;0,"",INDIRECT("RC[-2]",0))</f>
        <v/>
      </c>
    </row>
    <row r="133" spans="2:7" x14ac:dyDescent="0.25">
      <c r="B133" t="str" cm="1">
        <f t="array" aca="1" ref="B133" ca="1">IFERROR(DATE(RIGHT(INDIRECT("RC[-1]",0),4),LEFT(INDIRECT("RC[-1]",0),2),1), "")</f>
        <v/>
      </c>
      <c r="C133" s="214"/>
      <c r="E133" t="str" cm="1">
        <f t="array" aca="1" ref="E133" ca="1">IF(_xlfn.XLOOKUP(INDIRECT("RC[-1]", 0), CategoryNames, CategoryIdentifiers, "")&lt;&gt;"",INDIRECT("RC[-1]", 0),"")</f>
        <v/>
      </c>
      <c r="G133" t="str" cm="1">
        <f t="array" aca="1" ref="G133" ca="1">IF(COUNTIF($F$2:$F$1000,INDIRECT("RC[-2]",0))&gt;0,"",INDIRECT("RC[-2]",0))</f>
        <v/>
      </c>
    </row>
    <row r="134" spans="2:7" x14ac:dyDescent="0.25">
      <c r="B134" t="str" cm="1">
        <f t="array" aca="1" ref="B134" ca="1">IFERROR(DATE(RIGHT(INDIRECT("RC[-1]",0),4),LEFT(INDIRECT("RC[-1]",0),2),1), "")</f>
        <v/>
      </c>
      <c r="C134" s="214"/>
      <c r="E134" t="str" cm="1">
        <f t="array" aca="1" ref="E134" ca="1">IF(_xlfn.XLOOKUP(INDIRECT("RC[-1]", 0), CategoryNames, CategoryIdentifiers, "")&lt;&gt;"",INDIRECT("RC[-1]", 0),"")</f>
        <v/>
      </c>
      <c r="G134" t="str" cm="1">
        <f t="array" aca="1" ref="G134" ca="1">IF(COUNTIF($F$2:$F$1000,INDIRECT("RC[-2]",0))&gt;0,"",INDIRECT("RC[-2]",0))</f>
        <v/>
      </c>
    </row>
    <row r="135" spans="2:7" x14ac:dyDescent="0.25">
      <c r="B135" t="str" cm="1">
        <f t="array" aca="1" ref="B135" ca="1">IFERROR(DATE(RIGHT(INDIRECT("RC[-1]",0),4),LEFT(INDIRECT("RC[-1]",0),2),1), "")</f>
        <v/>
      </c>
      <c r="C135" s="214"/>
      <c r="E135" t="str" cm="1">
        <f t="array" aca="1" ref="E135" ca="1">IF(_xlfn.XLOOKUP(INDIRECT("RC[-1]", 0), CategoryNames, CategoryIdentifiers, "")&lt;&gt;"",INDIRECT("RC[-1]", 0),"")</f>
        <v/>
      </c>
      <c r="G135" t="str" cm="1">
        <f t="array" aca="1" ref="G135" ca="1">IF(COUNTIF($F$2:$F$1000,INDIRECT("RC[-2]",0))&gt;0,"",INDIRECT("RC[-2]",0))</f>
        <v/>
      </c>
    </row>
    <row r="136" spans="2:7" x14ac:dyDescent="0.25">
      <c r="B136" t="str" cm="1">
        <f t="array" aca="1" ref="B136" ca="1">IFERROR(DATE(RIGHT(INDIRECT("RC[-1]",0),4),LEFT(INDIRECT("RC[-1]",0),2),1), "")</f>
        <v/>
      </c>
      <c r="C136" s="214"/>
      <c r="E136" t="str" cm="1">
        <f t="array" aca="1" ref="E136" ca="1">IF(_xlfn.XLOOKUP(INDIRECT("RC[-1]", 0), CategoryNames, CategoryIdentifiers, "")&lt;&gt;"",INDIRECT("RC[-1]", 0),"")</f>
        <v/>
      </c>
      <c r="G136" t="str" cm="1">
        <f t="array" aca="1" ref="G136" ca="1">IF(COUNTIF($F$2:$F$1000,INDIRECT("RC[-2]",0))&gt;0,"",INDIRECT("RC[-2]",0))</f>
        <v/>
      </c>
    </row>
    <row r="137" spans="2:7" x14ac:dyDescent="0.25">
      <c r="B137" t="str" cm="1">
        <f t="array" aca="1" ref="B137" ca="1">IFERROR(DATE(RIGHT(INDIRECT("RC[-1]",0),4),LEFT(INDIRECT("RC[-1]",0),2),1), "")</f>
        <v/>
      </c>
      <c r="C137" s="214"/>
      <c r="E137" t="str" cm="1">
        <f t="array" aca="1" ref="E137" ca="1">IF(_xlfn.XLOOKUP(INDIRECT("RC[-1]", 0), CategoryNames, CategoryIdentifiers, "")&lt;&gt;"",INDIRECT("RC[-1]", 0),"")</f>
        <v/>
      </c>
      <c r="G137" t="str" cm="1">
        <f t="array" aca="1" ref="G137" ca="1">IF(COUNTIF($F$2:$F$1000,INDIRECT("RC[-2]",0))&gt;0,"",INDIRECT("RC[-2]",0))</f>
        <v/>
      </c>
    </row>
    <row r="138" spans="2:7" x14ac:dyDescent="0.25">
      <c r="B138" t="str" cm="1">
        <f t="array" aca="1" ref="B138" ca="1">IFERROR(DATE(RIGHT(INDIRECT("RC[-1]",0),4),LEFT(INDIRECT("RC[-1]",0),2),1), "")</f>
        <v/>
      </c>
      <c r="C138" s="214"/>
      <c r="E138" t="str" cm="1">
        <f t="array" aca="1" ref="E138" ca="1">IF(_xlfn.XLOOKUP(INDIRECT("RC[-1]", 0), CategoryNames, CategoryIdentifiers, "")&lt;&gt;"",INDIRECT("RC[-1]", 0),"")</f>
        <v/>
      </c>
      <c r="G138" t="str" cm="1">
        <f t="array" aca="1" ref="G138" ca="1">IF(COUNTIF($F$2:$F$1000,INDIRECT("RC[-2]",0))&gt;0,"",INDIRECT("RC[-2]",0))</f>
        <v/>
      </c>
    </row>
    <row r="139" spans="2:7" x14ac:dyDescent="0.25">
      <c r="B139" t="str" cm="1">
        <f t="array" aca="1" ref="B139" ca="1">IFERROR(DATE(RIGHT(INDIRECT("RC[-1]",0),4),LEFT(INDIRECT("RC[-1]",0),2),1), "")</f>
        <v/>
      </c>
      <c r="C139" s="214"/>
      <c r="E139" t="str" cm="1">
        <f t="array" aca="1" ref="E139" ca="1">IF(_xlfn.XLOOKUP(INDIRECT("RC[-1]", 0), CategoryNames, CategoryIdentifiers, "")&lt;&gt;"",INDIRECT("RC[-1]", 0),"")</f>
        <v/>
      </c>
      <c r="G139" t="str" cm="1">
        <f t="array" aca="1" ref="G139" ca="1">IF(COUNTIF($F$2:$F$1000,INDIRECT("RC[-2]",0))&gt;0,"",INDIRECT("RC[-2]",0))</f>
        <v/>
      </c>
    </row>
    <row r="140" spans="2:7" x14ac:dyDescent="0.25">
      <c r="B140" t="str" cm="1">
        <f t="array" aca="1" ref="B140" ca="1">IFERROR(DATE(RIGHT(INDIRECT("RC[-1]",0),4),LEFT(INDIRECT("RC[-1]",0),2),1), "")</f>
        <v/>
      </c>
      <c r="C140" s="214"/>
      <c r="E140" t="str" cm="1">
        <f t="array" aca="1" ref="E140" ca="1">IF(_xlfn.XLOOKUP(INDIRECT("RC[-1]", 0), CategoryNames, CategoryIdentifiers, "")&lt;&gt;"",INDIRECT("RC[-1]", 0),"")</f>
        <v/>
      </c>
      <c r="G140" t="str" cm="1">
        <f t="array" aca="1" ref="G140" ca="1">IF(COUNTIF($F$2:$F$1000,INDIRECT("RC[-2]",0))&gt;0,"",INDIRECT("RC[-2]",0))</f>
        <v/>
      </c>
    </row>
    <row r="141" spans="2:7" x14ac:dyDescent="0.25">
      <c r="B141" t="str" cm="1">
        <f t="array" aca="1" ref="B141" ca="1">IFERROR(DATE(RIGHT(INDIRECT("RC[-1]",0),4),LEFT(INDIRECT("RC[-1]",0),2),1), "")</f>
        <v/>
      </c>
      <c r="C141" s="214"/>
      <c r="E141" t="str" cm="1">
        <f t="array" aca="1" ref="E141" ca="1">IF(_xlfn.XLOOKUP(INDIRECT("RC[-1]", 0), CategoryNames, CategoryIdentifiers, "")&lt;&gt;"",INDIRECT("RC[-1]", 0),"")</f>
        <v/>
      </c>
      <c r="G141" t="str" cm="1">
        <f t="array" aca="1" ref="G141" ca="1">IF(COUNTIF($F$2:$F$1000,INDIRECT("RC[-2]",0))&gt;0,"",INDIRECT("RC[-2]",0))</f>
        <v/>
      </c>
    </row>
    <row r="142" spans="2:7" x14ac:dyDescent="0.25">
      <c r="B142" t="str" cm="1">
        <f t="array" aca="1" ref="B142" ca="1">IFERROR(DATE(RIGHT(INDIRECT("RC[-1]",0),4),LEFT(INDIRECT("RC[-1]",0),2),1), "")</f>
        <v/>
      </c>
      <c r="C142" s="214"/>
      <c r="E142" t="str" cm="1">
        <f t="array" aca="1" ref="E142" ca="1">IF(_xlfn.XLOOKUP(INDIRECT("RC[-1]", 0), CategoryNames, CategoryIdentifiers, "")&lt;&gt;"",INDIRECT("RC[-1]", 0),"")</f>
        <v/>
      </c>
      <c r="G142" t="str" cm="1">
        <f t="array" aca="1" ref="G142" ca="1">IF(COUNTIF($F$2:$F$1000,INDIRECT("RC[-2]",0))&gt;0,"",INDIRECT("RC[-2]",0))</f>
        <v/>
      </c>
    </row>
    <row r="143" spans="2:7" x14ac:dyDescent="0.25">
      <c r="B143" t="str" cm="1">
        <f t="array" aca="1" ref="B143" ca="1">IFERROR(DATE(RIGHT(INDIRECT("RC[-1]",0),4),LEFT(INDIRECT("RC[-1]",0),2),1), "")</f>
        <v/>
      </c>
      <c r="C143" s="214"/>
      <c r="E143" t="str" cm="1">
        <f t="array" aca="1" ref="E143" ca="1">IF(_xlfn.XLOOKUP(INDIRECT("RC[-1]", 0), CategoryNames, CategoryIdentifiers, "")&lt;&gt;"",INDIRECT("RC[-1]", 0),"")</f>
        <v/>
      </c>
      <c r="G143" t="str" cm="1">
        <f t="array" aca="1" ref="G143" ca="1">IF(COUNTIF($F$2:$F$1000,INDIRECT("RC[-2]",0))&gt;0,"",INDIRECT("RC[-2]",0))</f>
        <v/>
      </c>
    </row>
    <row r="144" spans="2:7" x14ac:dyDescent="0.25">
      <c r="B144" t="str" cm="1">
        <f t="array" aca="1" ref="B144" ca="1">IFERROR(DATE(RIGHT(INDIRECT("RC[-1]",0),4),LEFT(INDIRECT("RC[-1]",0),2),1), "")</f>
        <v/>
      </c>
      <c r="C144" s="214"/>
      <c r="E144" t="str" cm="1">
        <f t="array" aca="1" ref="E144" ca="1">IF(_xlfn.XLOOKUP(INDIRECT("RC[-1]", 0), CategoryNames, CategoryIdentifiers, "")&lt;&gt;"",INDIRECT("RC[-1]", 0),"")</f>
        <v/>
      </c>
      <c r="G144" t="str" cm="1">
        <f t="array" aca="1" ref="G144" ca="1">IF(COUNTIF($F$2:$F$1000,INDIRECT("RC[-2]",0))&gt;0,"",INDIRECT("RC[-2]",0))</f>
        <v/>
      </c>
    </row>
    <row r="145" spans="2:7" x14ac:dyDescent="0.25">
      <c r="B145" t="str" cm="1">
        <f t="array" aca="1" ref="B145" ca="1">IFERROR(DATE(RIGHT(INDIRECT("RC[-1]",0),4),LEFT(INDIRECT("RC[-1]",0),2),1), "")</f>
        <v/>
      </c>
      <c r="C145" s="214"/>
      <c r="E145" t="str" cm="1">
        <f t="array" aca="1" ref="E145" ca="1">IF(_xlfn.XLOOKUP(INDIRECT("RC[-1]", 0), CategoryNames, CategoryIdentifiers, "")&lt;&gt;"",INDIRECT("RC[-1]", 0),"")</f>
        <v/>
      </c>
      <c r="G145" t="str" cm="1">
        <f t="array" aca="1" ref="G145" ca="1">IF(COUNTIF($F$2:$F$1000,INDIRECT("RC[-2]",0))&gt;0,"",INDIRECT("RC[-2]",0))</f>
        <v/>
      </c>
    </row>
    <row r="146" spans="2:7" x14ac:dyDescent="0.25">
      <c r="B146" t="str" cm="1">
        <f t="array" aca="1" ref="B146" ca="1">IFERROR(DATE(RIGHT(INDIRECT("RC[-1]",0),4),LEFT(INDIRECT("RC[-1]",0),2),1), "")</f>
        <v/>
      </c>
      <c r="C146" s="214"/>
      <c r="E146" t="str" cm="1">
        <f t="array" aca="1" ref="E146" ca="1">IF(_xlfn.XLOOKUP(INDIRECT("RC[-1]", 0), CategoryNames, CategoryIdentifiers, "")&lt;&gt;"",INDIRECT("RC[-1]", 0),"")</f>
        <v/>
      </c>
      <c r="G146" t="str" cm="1">
        <f t="array" aca="1" ref="G146" ca="1">IF(COUNTIF($F$2:$F$1000,INDIRECT("RC[-2]",0))&gt;0,"",INDIRECT("RC[-2]",0))</f>
        <v/>
      </c>
    </row>
    <row r="147" spans="2:7" x14ac:dyDescent="0.25">
      <c r="B147" t="str" cm="1">
        <f t="array" aca="1" ref="B147" ca="1">IFERROR(DATE(RIGHT(INDIRECT("RC[-1]",0),4),LEFT(INDIRECT("RC[-1]",0),2),1), "")</f>
        <v/>
      </c>
      <c r="C147" s="214"/>
      <c r="E147" t="str" cm="1">
        <f t="array" aca="1" ref="E147" ca="1">IF(_xlfn.XLOOKUP(INDIRECT("RC[-1]", 0), CategoryNames, CategoryIdentifiers, "")&lt;&gt;"",INDIRECT("RC[-1]", 0),"")</f>
        <v/>
      </c>
      <c r="G147" t="str" cm="1">
        <f t="array" aca="1" ref="G147" ca="1">IF(COUNTIF($F$2:$F$1000,INDIRECT("RC[-2]",0))&gt;0,"",INDIRECT("RC[-2]",0))</f>
        <v/>
      </c>
    </row>
    <row r="148" spans="2:7" x14ac:dyDescent="0.25">
      <c r="B148" t="str" cm="1">
        <f t="array" aca="1" ref="B148" ca="1">IFERROR(DATE(RIGHT(INDIRECT("RC[-1]",0),4),LEFT(INDIRECT("RC[-1]",0),2),1), "")</f>
        <v/>
      </c>
      <c r="C148" s="214"/>
      <c r="E148" t="str" cm="1">
        <f t="array" aca="1" ref="E148" ca="1">IF(_xlfn.XLOOKUP(INDIRECT("RC[-1]", 0), CategoryNames, CategoryIdentifiers, "")&lt;&gt;"",INDIRECT("RC[-1]", 0),"")</f>
        <v/>
      </c>
      <c r="G148" t="str" cm="1">
        <f t="array" aca="1" ref="G148" ca="1">IF(COUNTIF($F$2:$F$1000,INDIRECT("RC[-2]",0))&gt;0,"",INDIRECT("RC[-2]",0))</f>
        <v/>
      </c>
    </row>
    <row r="149" spans="2:7" x14ac:dyDescent="0.25">
      <c r="B149" t="str" cm="1">
        <f t="array" aca="1" ref="B149" ca="1">IFERROR(DATE(RIGHT(INDIRECT("RC[-1]",0),4),LEFT(INDIRECT("RC[-1]",0),2),1), "")</f>
        <v/>
      </c>
      <c r="C149" s="214"/>
      <c r="E149" t="str" cm="1">
        <f t="array" aca="1" ref="E149" ca="1">IF(_xlfn.XLOOKUP(INDIRECT("RC[-1]", 0), CategoryNames, CategoryIdentifiers, "")&lt;&gt;"",INDIRECT("RC[-1]", 0),"")</f>
        <v/>
      </c>
      <c r="G149" t="str" cm="1">
        <f t="array" aca="1" ref="G149" ca="1">IF(COUNTIF($F$2:$F$1000,INDIRECT("RC[-2]",0))&gt;0,"",INDIRECT("RC[-2]",0))</f>
        <v/>
      </c>
    </row>
    <row r="150" spans="2:7" x14ac:dyDescent="0.25">
      <c r="B150" t="str" cm="1">
        <f t="array" aca="1" ref="B150" ca="1">IFERROR(DATE(RIGHT(INDIRECT("RC[-1]",0),4),LEFT(INDIRECT("RC[-1]",0),2),1), "")</f>
        <v/>
      </c>
      <c r="C150" s="214"/>
      <c r="E150" t="str" cm="1">
        <f t="array" aca="1" ref="E150" ca="1">IF(_xlfn.XLOOKUP(INDIRECT("RC[-1]", 0), CategoryNames, CategoryIdentifiers, "")&lt;&gt;"",INDIRECT("RC[-1]", 0),"")</f>
        <v/>
      </c>
      <c r="G150" t="str" cm="1">
        <f t="array" aca="1" ref="G150" ca="1">IF(COUNTIF($F$2:$F$1000,INDIRECT("RC[-2]",0))&gt;0,"",INDIRECT("RC[-2]",0))</f>
        <v/>
      </c>
    </row>
    <row r="151" spans="2:7" x14ac:dyDescent="0.25">
      <c r="B151" t="str" cm="1">
        <f t="array" aca="1" ref="B151" ca="1">IFERROR(DATE(RIGHT(INDIRECT("RC[-1]",0),4),LEFT(INDIRECT("RC[-1]",0),2),1), "")</f>
        <v/>
      </c>
      <c r="C151" s="214"/>
      <c r="E151" t="str" cm="1">
        <f t="array" aca="1" ref="E151" ca="1">IF(_xlfn.XLOOKUP(INDIRECT("RC[-1]", 0), CategoryNames, CategoryIdentifiers, "")&lt;&gt;"",INDIRECT("RC[-1]", 0),"")</f>
        <v/>
      </c>
      <c r="G151" t="str" cm="1">
        <f t="array" aca="1" ref="G151" ca="1">IF(COUNTIF($F$2:$F$1000,INDIRECT("RC[-2]",0))&gt;0,"",INDIRECT("RC[-2]",0))</f>
        <v/>
      </c>
    </row>
    <row r="152" spans="2:7" x14ac:dyDescent="0.25">
      <c r="B152" t="str" cm="1">
        <f t="array" aca="1" ref="B152" ca="1">IFERROR(DATE(RIGHT(INDIRECT("RC[-1]",0),4),LEFT(INDIRECT("RC[-1]",0),2),1), "")</f>
        <v/>
      </c>
      <c r="C152" s="214"/>
      <c r="E152" t="str" cm="1">
        <f t="array" aca="1" ref="E152" ca="1">IF(_xlfn.XLOOKUP(INDIRECT("RC[-1]", 0), CategoryNames, CategoryIdentifiers, "")&lt;&gt;"",INDIRECT("RC[-1]", 0),"")</f>
        <v/>
      </c>
      <c r="G152" t="str" cm="1">
        <f t="array" aca="1" ref="G152" ca="1">IF(COUNTIF($F$2:$F$1000,INDIRECT("RC[-2]",0))&gt;0,"",INDIRECT("RC[-2]",0))</f>
        <v/>
      </c>
    </row>
    <row r="153" spans="2:7" x14ac:dyDescent="0.25">
      <c r="B153" t="str" cm="1">
        <f t="array" aca="1" ref="B153" ca="1">IFERROR(DATE(RIGHT(INDIRECT("RC[-1]",0),4),LEFT(INDIRECT("RC[-1]",0),2),1), "")</f>
        <v/>
      </c>
      <c r="C153" s="214"/>
      <c r="E153" t="str" cm="1">
        <f t="array" aca="1" ref="E153" ca="1">IF(_xlfn.XLOOKUP(INDIRECT("RC[-1]", 0), CategoryNames, CategoryIdentifiers, "")&lt;&gt;"",INDIRECT("RC[-1]", 0),"")</f>
        <v/>
      </c>
      <c r="G153" t="str" cm="1">
        <f t="array" aca="1" ref="G153" ca="1">IF(COUNTIF($F$2:$F$1000,INDIRECT("RC[-2]",0))&gt;0,"",INDIRECT("RC[-2]",0))</f>
        <v/>
      </c>
    </row>
    <row r="154" spans="2:7" x14ac:dyDescent="0.25">
      <c r="B154" t="str" cm="1">
        <f t="array" aca="1" ref="B154" ca="1">IFERROR(DATE(RIGHT(INDIRECT("RC[-1]",0),4),LEFT(INDIRECT("RC[-1]",0),2),1), "")</f>
        <v/>
      </c>
      <c r="C154" s="214"/>
      <c r="E154" t="str" cm="1">
        <f t="array" aca="1" ref="E154" ca="1">IF(_xlfn.XLOOKUP(INDIRECT("RC[-1]", 0), CategoryNames, CategoryIdentifiers, "")&lt;&gt;"",INDIRECT("RC[-1]", 0),"")</f>
        <v/>
      </c>
      <c r="G154" t="str" cm="1">
        <f t="array" aca="1" ref="G154" ca="1">IF(COUNTIF($F$2:$F$1000,INDIRECT("RC[-2]",0))&gt;0,"",INDIRECT("RC[-2]",0))</f>
        <v/>
      </c>
    </row>
    <row r="155" spans="2:7" x14ac:dyDescent="0.25">
      <c r="B155" t="str" cm="1">
        <f t="array" aca="1" ref="B155" ca="1">IFERROR(DATE(RIGHT(INDIRECT("RC[-1]",0),4),LEFT(INDIRECT("RC[-1]",0),2),1), "")</f>
        <v/>
      </c>
      <c r="C155" s="214"/>
      <c r="E155" t="str" cm="1">
        <f t="array" aca="1" ref="E155" ca="1">IF(_xlfn.XLOOKUP(INDIRECT("RC[-1]", 0), CategoryNames, CategoryIdentifiers, "")&lt;&gt;"",INDIRECT("RC[-1]", 0),"")</f>
        <v/>
      </c>
      <c r="G155" t="str" cm="1">
        <f t="array" aca="1" ref="G155" ca="1">IF(COUNTIF($F$2:$F$1000,INDIRECT("RC[-2]",0))&gt;0,"",INDIRECT("RC[-2]",0))</f>
        <v/>
      </c>
    </row>
    <row r="156" spans="2:7" x14ac:dyDescent="0.25">
      <c r="B156" t="str" cm="1">
        <f t="array" aca="1" ref="B156" ca="1">IFERROR(DATE(RIGHT(INDIRECT("RC[-1]",0),4),LEFT(INDIRECT("RC[-1]",0),2),1), "")</f>
        <v/>
      </c>
      <c r="C156" s="214"/>
      <c r="E156" t="str" cm="1">
        <f t="array" aca="1" ref="E156" ca="1">IF(_xlfn.XLOOKUP(INDIRECT("RC[-1]", 0), CategoryNames, CategoryIdentifiers, "")&lt;&gt;"",INDIRECT("RC[-1]", 0),"")</f>
        <v/>
      </c>
      <c r="G156" t="str" cm="1">
        <f t="array" aca="1" ref="G156" ca="1">IF(COUNTIF($F$2:$F$1000,INDIRECT("RC[-2]",0))&gt;0,"",INDIRECT("RC[-2]",0))</f>
        <v/>
      </c>
    </row>
    <row r="157" spans="2:7" x14ac:dyDescent="0.25">
      <c r="B157" t="str" cm="1">
        <f t="array" aca="1" ref="B157" ca="1">IFERROR(DATE(RIGHT(INDIRECT("RC[-1]",0),4),LEFT(INDIRECT("RC[-1]",0),2),1), "")</f>
        <v/>
      </c>
      <c r="C157" s="214"/>
      <c r="E157" t="str" cm="1">
        <f t="array" aca="1" ref="E157" ca="1">IF(_xlfn.XLOOKUP(INDIRECT("RC[-1]", 0), CategoryNames, CategoryIdentifiers, "")&lt;&gt;"",INDIRECT("RC[-1]", 0),"")</f>
        <v/>
      </c>
      <c r="G157" t="str" cm="1">
        <f t="array" aca="1" ref="G157" ca="1">IF(COUNTIF($F$2:$F$1000,INDIRECT("RC[-2]",0))&gt;0,"",INDIRECT("RC[-2]",0))</f>
        <v/>
      </c>
    </row>
    <row r="158" spans="2:7" x14ac:dyDescent="0.25">
      <c r="B158" t="str" cm="1">
        <f t="array" aca="1" ref="B158" ca="1">IFERROR(DATE(RIGHT(INDIRECT("RC[-1]",0),4),LEFT(INDIRECT("RC[-1]",0),2),1), "")</f>
        <v/>
      </c>
      <c r="C158" s="214"/>
      <c r="E158" t="str" cm="1">
        <f t="array" aca="1" ref="E158" ca="1">IF(_xlfn.XLOOKUP(INDIRECT("RC[-1]", 0), CategoryNames, CategoryIdentifiers, "")&lt;&gt;"",INDIRECT("RC[-1]", 0),"")</f>
        <v/>
      </c>
      <c r="G158" t="str" cm="1">
        <f t="array" aca="1" ref="G158" ca="1">IF(COUNTIF($F$2:$F$1000,INDIRECT("RC[-2]",0))&gt;0,"",INDIRECT("RC[-2]",0))</f>
        <v/>
      </c>
    </row>
    <row r="159" spans="2:7" x14ac:dyDescent="0.25">
      <c r="B159" t="str" cm="1">
        <f t="array" aca="1" ref="B159" ca="1">IFERROR(DATE(RIGHT(INDIRECT("RC[-1]",0),4),LEFT(INDIRECT("RC[-1]",0),2),1), "")</f>
        <v/>
      </c>
      <c r="C159" s="214"/>
      <c r="E159" t="str" cm="1">
        <f t="array" aca="1" ref="E159" ca="1">IF(_xlfn.XLOOKUP(INDIRECT("RC[-1]", 0), CategoryNames, CategoryIdentifiers, "")&lt;&gt;"",INDIRECT("RC[-1]", 0),"")</f>
        <v/>
      </c>
      <c r="G159" t="str" cm="1">
        <f t="array" aca="1" ref="G159" ca="1">IF(COUNTIF($F$2:$F$1000,INDIRECT("RC[-2]",0))&gt;0,"",INDIRECT("RC[-2]",0))</f>
        <v/>
      </c>
    </row>
    <row r="160" spans="2:7" x14ac:dyDescent="0.25">
      <c r="B160" t="str" cm="1">
        <f t="array" aca="1" ref="B160" ca="1">IFERROR(DATE(RIGHT(INDIRECT("RC[-1]",0),4),LEFT(INDIRECT("RC[-1]",0),2),1), "")</f>
        <v/>
      </c>
      <c r="C160" s="214"/>
      <c r="E160" t="str" cm="1">
        <f t="array" aca="1" ref="E160" ca="1">IF(_xlfn.XLOOKUP(INDIRECT("RC[-1]", 0), CategoryNames, CategoryIdentifiers, "")&lt;&gt;"",INDIRECT("RC[-1]", 0),"")</f>
        <v/>
      </c>
      <c r="G160" t="str" cm="1">
        <f t="array" aca="1" ref="G160" ca="1">IF(COUNTIF($F$2:$F$1000,INDIRECT("RC[-2]",0))&gt;0,"",INDIRECT("RC[-2]",0))</f>
        <v/>
      </c>
    </row>
    <row r="161" spans="2:7" x14ac:dyDescent="0.25">
      <c r="B161" t="str" cm="1">
        <f t="array" aca="1" ref="B161" ca="1">IFERROR(DATE(RIGHT(INDIRECT("RC[-1]",0),4),LEFT(INDIRECT("RC[-1]",0),2),1), "")</f>
        <v/>
      </c>
      <c r="C161" s="214"/>
      <c r="E161" t="str" cm="1">
        <f t="array" aca="1" ref="E161" ca="1">IF(_xlfn.XLOOKUP(INDIRECT("RC[-1]", 0), CategoryNames, CategoryIdentifiers, "")&lt;&gt;"",INDIRECT("RC[-1]", 0),"")</f>
        <v/>
      </c>
      <c r="G161" t="str" cm="1">
        <f t="array" aca="1" ref="G161" ca="1">IF(COUNTIF($F$2:$F$1000,INDIRECT("RC[-2]",0))&gt;0,"",INDIRECT("RC[-2]",0))</f>
        <v/>
      </c>
    </row>
    <row r="162" spans="2:7" x14ac:dyDescent="0.25">
      <c r="B162" t="str" cm="1">
        <f t="array" aca="1" ref="B162" ca="1">IFERROR(DATE(RIGHT(INDIRECT("RC[-1]",0),4),LEFT(INDIRECT("RC[-1]",0),2),1), "")</f>
        <v/>
      </c>
      <c r="C162" s="214"/>
      <c r="E162" t="str" cm="1">
        <f t="array" aca="1" ref="E162" ca="1">IF(_xlfn.XLOOKUP(INDIRECT("RC[-1]", 0), CategoryNames, CategoryIdentifiers, "")&lt;&gt;"",INDIRECT("RC[-1]", 0),"")</f>
        <v/>
      </c>
      <c r="G162" t="str" cm="1">
        <f t="array" aca="1" ref="G162" ca="1">IF(COUNTIF($F$2:$F$1000,INDIRECT("RC[-2]",0))&gt;0,"",INDIRECT("RC[-2]",0))</f>
        <v/>
      </c>
    </row>
    <row r="163" spans="2:7" x14ac:dyDescent="0.25">
      <c r="B163" t="str" cm="1">
        <f t="array" aca="1" ref="B163" ca="1">IFERROR(DATE(RIGHT(INDIRECT("RC[-1]",0),4),LEFT(INDIRECT("RC[-1]",0),2),1), "")</f>
        <v/>
      </c>
      <c r="C163" s="214"/>
      <c r="E163" t="str" cm="1">
        <f t="array" aca="1" ref="E163" ca="1">IF(_xlfn.XLOOKUP(INDIRECT("RC[-1]", 0), CategoryNames, CategoryIdentifiers, "")&lt;&gt;"",INDIRECT("RC[-1]", 0),"")</f>
        <v/>
      </c>
      <c r="G163" t="str" cm="1">
        <f t="array" aca="1" ref="G163" ca="1">IF(COUNTIF($F$2:$F$1000,INDIRECT("RC[-2]",0))&gt;0,"",INDIRECT("RC[-2]",0))</f>
        <v/>
      </c>
    </row>
    <row r="164" spans="2:7" x14ac:dyDescent="0.25">
      <c r="B164" t="str" cm="1">
        <f t="array" aca="1" ref="B164" ca="1">IFERROR(DATE(RIGHT(INDIRECT("RC[-1]",0),4),LEFT(INDIRECT("RC[-1]",0),2),1), "")</f>
        <v/>
      </c>
      <c r="C164" s="214"/>
      <c r="E164" t="str" cm="1">
        <f t="array" aca="1" ref="E164" ca="1">IF(_xlfn.XLOOKUP(INDIRECT("RC[-1]", 0), CategoryNames, CategoryIdentifiers, "")&lt;&gt;"",INDIRECT("RC[-1]", 0),"")</f>
        <v/>
      </c>
      <c r="G164" t="str" cm="1">
        <f t="array" aca="1" ref="G164" ca="1">IF(COUNTIF($F$2:$F$1000,INDIRECT("RC[-2]",0))&gt;0,"",INDIRECT("RC[-2]",0))</f>
        <v/>
      </c>
    </row>
    <row r="165" spans="2:7" x14ac:dyDescent="0.25">
      <c r="B165" t="str" cm="1">
        <f t="array" aca="1" ref="B165" ca="1">IFERROR(DATE(RIGHT(INDIRECT("RC[-1]",0),4),LEFT(INDIRECT("RC[-1]",0),2),1), "")</f>
        <v/>
      </c>
      <c r="C165" s="214"/>
      <c r="E165" t="str" cm="1">
        <f t="array" aca="1" ref="E165" ca="1">IF(_xlfn.XLOOKUP(INDIRECT("RC[-1]", 0), CategoryNames, CategoryIdentifiers, "")&lt;&gt;"",INDIRECT("RC[-1]", 0),"")</f>
        <v/>
      </c>
      <c r="G165" t="str" cm="1">
        <f t="array" aca="1" ref="G165" ca="1">IF(COUNTIF($F$2:$F$1000,INDIRECT("RC[-2]",0))&gt;0,"",INDIRECT("RC[-2]",0))</f>
        <v/>
      </c>
    </row>
    <row r="166" spans="2:7" x14ac:dyDescent="0.25">
      <c r="B166" t="str" cm="1">
        <f t="array" aca="1" ref="B166" ca="1">IFERROR(DATE(RIGHT(INDIRECT("RC[-1]",0),4),LEFT(INDIRECT("RC[-1]",0),2),1), "")</f>
        <v/>
      </c>
      <c r="C166" s="214"/>
      <c r="E166" t="str" cm="1">
        <f t="array" aca="1" ref="E166" ca="1">IF(_xlfn.XLOOKUP(INDIRECT("RC[-1]", 0), CategoryNames, CategoryIdentifiers, "")&lt;&gt;"",INDIRECT("RC[-1]", 0),"")</f>
        <v/>
      </c>
      <c r="G166" t="str" cm="1">
        <f t="array" aca="1" ref="G166" ca="1">IF(COUNTIF($F$2:$F$1000,INDIRECT("RC[-2]",0))&gt;0,"",INDIRECT("RC[-2]",0))</f>
        <v/>
      </c>
    </row>
    <row r="167" spans="2:7" x14ac:dyDescent="0.25">
      <c r="B167" t="str" cm="1">
        <f t="array" aca="1" ref="B167" ca="1">IFERROR(DATE(RIGHT(INDIRECT("RC[-1]",0),4),LEFT(INDIRECT("RC[-1]",0),2),1), "")</f>
        <v/>
      </c>
      <c r="C167" s="214"/>
      <c r="E167" t="str" cm="1">
        <f t="array" aca="1" ref="E167" ca="1">IF(_xlfn.XLOOKUP(INDIRECT("RC[-1]", 0), CategoryNames, CategoryIdentifiers, "")&lt;&gt;"",INDIRECT("RC[-1]", 0),"")</f>
        <v/>
      </c>
      <c r="G167" t="str" cm="1">
        <f t="array" aca="1" ref="G167" ca="1">IF(COUNTIF($F$2:$F$1000,INDIRECT("RC[-2]",0))&gt;0,"",INDIRECT("RC[-2]",0))</f>
        <v/>
      </c>
    </row>
    <row r="168" spans="2:7" x14ac:dyDescent="0.25">
      <c r="B168" t="str" cm="1">
        <f t="array" aca="1" ref="B168" ca="1">IFERROR(DATE(RIGHT(INDIRECT("RC[-1]",0),4),LEFT(INDIRECT("RC[-1]",0),2),1), "")</f>
        <v/>
      </c>
      <c r="C168" s="214"/>
      <c r="E168" t="str" cm="1">
        <f t="array" aca="1" ref="E168" ca="1">IF(_xlfn.XLOOKUP(INDIRECT("RC[-1]", 0), CategoryNames, CategoryIdentifiers, "")&lt;&gt;"",INDIRECT("RC[-1]", 0),"")</f>
        <v/>
      </c>
      <c r="G168" t="str" cm="1">
        <f t="array" aca="1" ref="G168" ca="1">IF(COUNTIF($F$2:$F$1000,INDIRECT("RC[-2]",0))&gt;0,"",INDIRECT("RC[-2]",0))</f>
        <v/>
      </c>
    </row>
    <row r="169" spans="2:7" x14ac:dyDescent="0.25">
      <c r="B169" t="str" cm="1">
        <f t="array" aca="1" ref="B169" ca="1">IFERROR(DATE(RIGHT(INDIRECT("RC[-1]",0),4),LEFT(INDIRECT("RC[-1]",0),2),1), "")</f>
        <v/>
      </c>
      <c r="C169" s="214"/>
      <c r="E169" t="str" cm="1">
        <f t="array" aca="1" ref="E169" ca="1">IF(_xlfn.XLOOKUP(INDIRECT("RC[-1]", 0), CategoryNames, CategoryIdentifiers, "")&lt;&gt;"",INDIRECT("RC[-1]", 0),"")</f>
        <v/>
      </c>
      <c r="G169" t="str" cm="1">
        <f t="array" aca="1" ref="G169" ca="1">IF(COUNTIF($F$2:$F$1000,INDIRECT("RC[-2]",0))&gt;0,"",INDIRECT("RC[-2]",0))</f>
        <v/>
      </c>
    </row>
    <row r="170" spans="2:7" x14ac:dyDescent="0.25">
      <c r="B170" t="str" cm="1">
        <f t="array" aca="1" ref="B170" ca="1">IFERROR(DATE(RIGHT(INDIRECT("RC[-1]",0),4),LEFT(INDIRECT("RC[-1]",0),2),1), "")</f>
        <v/>
      </c>
      <c r="C170" s="214"/>
      <c r="E170" t="str" cm="1">
        <f t="array" aca="1" ref="E170" ca="1">IF(_xlfn.XLOOKUP(INDIRECT("RC[-1]", 0), CategoryNames, CategoryIdentifiers, "")&lt;&gt;"",INDIRECT("RC[-1]", 0),"")</f>
        <v/>
      </c>
      <c r="G170" t="str" cm="1">
        <f t="array" aca="1" ref="G170" ca="1">IF(COUNTIF($F$2:$F$1000,INDIRECT("RC[-2]",0))&gt;0,"",INDIRECT("RC[-2]",0))</f>
        <v/>
      </c>
    </row>
    <row r="171" spans="2:7" x14ac:dyDescent="0.25">
      <c r="B171" t="str" cm="1">
        <f t="array" aca="1" ref="B171" ca="1">IFERROR(DATE(RIGHT(INDIRECT("RC[-1]",0),4),LEFT(INDIRECT("RC[-1]",0),2),1), "")</f>
        <v/>
      </c>
      <c r="C171" s="214"/>
      <c r="E171" t="str" cm="1">
        <f t="array" aca="1" ref="E171" ca="1">IF(_xlfn.XLOOKUP(INDIRECT("RC[-1]", 0), CategoryNames, CategoryIdentifiers, "")&lt;&gt;"",INDIRECT("RC[-1]", 0),"")</f>
        <v/>
      </c>
      <c r="G171" t="str" cm="1">
        <f t="array" aca="1" ref="G171" ca="1">IF(COUNTIF($F$2:$F$1000,INDIRECT("RC[-2]",0))&gt;0,"",INDIRECT("RC[-2]",0))</f>
        <v/>
      </c>
    </row>
    <row r="172" spans="2:7" x14ac:dyDescent="0.25">
      <c r="B172" t="str" cm="1">
        <f t="array" aca="1" ref="B172" ca="1">IFERROR(DATE(RIGHT(INDIRECT("RC[-1]",0),4),LEFT(INDIRECT("RC[-1]",0),2),1), "")</f>
        <v/>
      </c>
      <c r="C172" s="214"/>
      <c r="E172" t="str" cm="1">
        <f t="array" aca="1" ref="E172" ca="1">IF(_xlfn.XLOOKUP(INDIRECT("RC[-1]", 0), CategoryNames, CategoryIdentifiers, "")&lt;&gt;"",INDIRECT("RC[-1]", 0),"")</f>
        <v/>
      </c>
      <c r="G172" t="str" cm="1">
        <f t="array" aca="1" ref="G172" ca="1">IF(COUNTIF($F$2:$F$1000,INDIRECT("RC[-2]",0))&gt;0,"",INDIRECT("RC[-2]",0))</f>
        <v/>
      </c>
    </row>
    <row r="173" spans="2:7" x14ac:dyDescent="0.25">
      <c r="B173" t="str" cm="1">
        <f t="array" aca="1" ref="B173" ca="1">IFERROR(DATE(RIGHT(INDIRECT("RC[-1]",0),4),LEFT(INDIRECT("RC[-1]",0),2),1), "")</f>
        <v/>
      </c>
      <c r="C173" s="214"/>
      <c r="E173" t="str" cm="1">
        <f t="array" aca="1" ref="E173" ca="1">IF(_xlfn.XLOOKUP(INDIRECT("RC[-1]", 0), CategoryNames, CategoryIdentifiers, "")&lt;&gt;"",INDIRECT("RC[-1]", 0),"")</f>
        <v/>
      </c>
      <c r="G173" t="str" cm="1">
        <f t="array" aca="1" ref="G173" ca="1">IF(COUNTIF($F$2:$F$1000,INDIRECT("RC[-2]",0))&gt;0,"",INDIRECT("RC[-2]",0))</f>
        <v/>
      </c>
    </row>
    <row r="174" spans="2:7" x14ac:dyDescent="0.25">
      <c r="B174" t="str" cm="1">
        <f t="array" aca="1" ref="B174" ca="1">IFERROR(DATE(RIGHT(INDIRECT("RC[-1]",0),4),LEFT(INDIRECT("RC[-1]",0),2),1), "")</f>
        <v/>
      </c>
      <c r="C174" s="214"/>
      <c r="E174" t="str" cm="1">
        <f t="array" aca="1" ref="E174" ca="1">IF(_xlfn.XLOOKUP(INDIRECT("RC[-1]", 0), CategoryNames, CategoryIdentifiers, "")&lt;&gt;"",INDIRECT("RC[-1]", 0),"")</f>
        <v/>
      </c>
      <c r="G174" t="str" cm="1">
        <f t="array" aca="1" ref="G174" ca="1">IF(COUNTIF($F$2:$F$1000,INDIRECT("RC[-2]",0))&gt;0,"",INDIRECT("RC[-2]",0))</f>
        <v/>
      </c>
    </row>
    <row r="175" spans="2:7" x14ac:dyDescent="0.25">
      <c r="B175" t="str" cm="1">
        <f t="array" aca="1" ref="B175" ca="1">IFERROR(DATE(RIGHT(INDIRECT("RC[-1]",0),4),LEFT(INDIRECT("RC[-1]",0),2),1), "")</f>
        <v/>
      </c>
      <c r="C175" s="214"/>
      <c r="E175" t="str" cm="1">
        <f t="array" aca="1" ref="E175" ca="1">IF(_xlfn.XLOOKUP(INDIRECT("RC[-1]", 0), CategoryNames, CategoryIdentifiers, "")&lt;&gt;"",INDIRECT("RC[-1]", 0),"")</f>
        <v/>
      </c>
      <c r="G175" t="str" cm="1">
        <f t="array" aca="1" ref="G175" ca="1">IF(COUNTIF($F$2:$F$1000,INDIRECT("RC[-2]",0))&gt;0,"",INDIRECT("RC[-2]",0))</f>
        <v/>
      </c>
    </row>
    <row r="176" spans="2:7" x14ac:dyDescent="0.25">
      <c r="B176" t="str" cm="1">
        <f t="array" aca="1" ref="B176" ca="1">IFERROR(DATE(RIGHT(INDIRECT("RC[-1]",0),4),LEFT(INDIRECT("RC[-1]",0),2),1), "")</f>
        <v/>
      </c>
      <c r="C176" s="214"/>
      <c r="E176" t="str" cm="1">
        <f t="array" aca="1" ref="E176" ca="1">IF(_xlfn.XLOOKUP(INDIRECT("RC[-1]", 0), CategoryNames, CategoryIdentifiers, "")&lt;&gt;"",INDIRECT("RC[-1]", 0),"")</f>
        <v/>
      </c>
      <c r="G176" t="str" cm="1">
        <f t="array" aca="1" ref="G176" ca="1">IF(COUNTIF($F$2:$F$1000,INDIRECT("RC[-2]",0))&gt;0,"",INDIRECT("RC[-2]",0))</f>
        <v/>
      </c>
    </row>
    <row r="177" spans="2:7" x14ac:dyDescent="0.25">
      <c r="B177" t="str" cm="1">
        <f t="array" aca="1" ref="B177" ca="1">IFERROR(DATE(RIGHT(INDIRECT("RC[-1]",0),4),LEFT(INDIRECT("RC[-1]",0),2),1), "")</f>
        <v/>
      </c>
      <c r="C177" s="214"/>
      <c r="E177" t="str" cm="1">
        <f t="array" aca="1" ref="E177" ca="1">IF(_xlfn.XLOOKUP(INDIRECT("RC[-1]", 0), CategoryNames, CategoryIdentifiers, "")&lt;&gt;"",INDIRECT("RC[-1]", 0),"")</f>
        <v/>
      </c>
      <c r="G177" t="str" cm="1">
        <f t="array" aca="1" ref="G177" ca="1">IF(COUNTIF($F$2:$F$1000,INDIRECT("RC[-2]",0))&gt;0,"",INDIRECT("RC[-2]",0))</f>
        <v/>
      </c>
    </row>
    <row r="178" spans="2:7" x14ac:dyDescent="0.25">
      <c r="B178" t="str" cm="1">
        <f t="array" aca="1" ref="B178" ca="1">IFERROR(DATE(RIGHT(INDIRECT("RC[-1]",0),4),LEFT(INDIRECT("RC[-1]",0),2),1), "")</f>
        <v/>
      </c>
      <c r="C178" s="214"/>
      <c r="E178" t="str" cm="1">
        <f t="array" aca="1" ref="E178" ca="1">IF(_xlfn.XLOOKUP(INDIRECT("RC[-1]", 0), CategoryNames, CategoryIdentifiers, "")&lt;&gt;"",INDIRECT("RC[-1]", 0),"")</f>
        <v/>
      </c>
      <c r="G178" t="str" cm="1">
        <f t="array" aca="1" ref="G178" ca="1">IF(COUNTIF($F$2:$F$1000,INDIRECT("RC[-2]",0))&gt;0,"",INDIRECT("RC[-2]",0))</f>
        <v/>
      </c>
    </row>
    <row r="179" spans="2:7" x14ac:dyDescent="0.25">
      <c r="B179" t="str" cm="1">
        <f t="array" aca="1" ref="B179" ca="1">IFERROR(DATE(RIGHT(INDIRECT("RC[-1]",0),4),LEFT(INDIRECT("RC[-1]",0),2),1), "")</f>
        <v/>
      </c>
      <c r="C179" s="214"/>
      <c r="E179" t="str" cm="1">
        <f t="array" aca="1" ref="E179" ca="1">IF(_xlfn.XLOOKUP(INDIRECT("RC[-1]", 0), CategoryNames, CategoryIdentifiers, "")&lt;&gt;"",INDIRECT("RC[-1]", 0),"")</f>
        <v/>
      </c>
      <c r="G179" t="str" cm="1">
        <f t="array" aca="1" ref="G179" ca="1">IF(COUNTIF($F$2:$F$1000,INDIRECT("RC[-2]",0))&gt;0,"",INDIRECT("RC[-2]",0))</f>
        <v/>
      </c>
    </row>
    <row r="180" spans="2:7" x14ac:dyDescent="0.25">
      <c r="B180" t="str" cm="1">
        <f t="array" aca="1" ref="B180" ca="1">IFERROR(DATE(RIGHT(INDIRECT("RC[-1]",0),4),LEFT(INDIRECT("RC[-1]",0),2),1), "")</f>
        <v/>
      </c>
      <c r="C180" s="214"/>
      <c r="E180" t="str" cm="1">
        <f t="array" aca="1" ref="E180" ca="1">IF(_xlfn.XLOOKUP(INDIRECT("RC[-1]", 0), CategoryNames, CategoryIdentifiers, "")&lt;&gt;"",INDIRECT("RC[-1]", 0),"")</f>
        <v/>
      </c>
      <c r="G180" t="str" cm="1">
        <f t="array" aca="1" ref="G180" ca="1">IF(COUNTIF($F$2:$F$1000,INDIRECT("RC[-2]",0))&gt;0,"",INDIRECT("RC[-2]",0))</f>
        <v/>
      </c>
    </row>
    <row r="181" spans="2:7" x14ac:dyDescent="0.25">
      <c r="B181" t="str" cm="1">
        <f t="array" aca="1" ref="B181" ca="1">IFERROR(DATE(RIGHT(INDIRECT("RC[-1]",0),4),LEFT(INDIRECT("RC[-1]",0),2),1), "")</f>
        <v/>
      </c>
      <c r="C181" s="214"/>
      <c r="E181" t="str" cm="1">
        <f t="array" aca="1" ref="E181" ca="1">IF(_xlfn.XLOOKUP(INDIRECT("RC[-1]", 0), CategoryNames, CategoryIdentifiers, "")&lt;&gt;"",INDIRECT("RC[-1]", 0),"")</f>
        <v/>
      </c>
      <c r="G181" t="str" cm="1">
        <f t="array" aca="1" ref="G181" ca="1">IF(COUNTIF($F$2:$F$1000,INDIRECT("RC[-2]",0))&gt;0,"",INDIRECT("RC[-2]",0))</f>
        <v/>
      </c>
    </row>
    <row r="182" spans="2:7" x14ac:dyDescent="0.25">
      <c r="B182" t="str" cm="1">
        <f t="array" aca="1" ref="B182" ca="1">IFERROR(DATE(RIGHT(INDIRECT("RC[-1]",0),4),LEFT(INDIRECT("RC[-1]",0),2),1), "")</f>
        <v/>
      </c>
      <c r="C182" s="214"/>
      <c r="E182" t="str" cm="1">
        <f t="array" aca="1" ref="E182" ca="1">IF(_xlfn.XLOOKUP(INDIRECT("RC[-1]", 0), CategoryNames, CategoryIdentifiers, "")&lt;&gt;"",INDIRECT("RC[-1]", 0),"")</f>
        <v/>
      </c>
      <c r="G182" t="str" cm="1">
        <f t="array" aca="1" ref="G182" ca="1">IF(COUNTIF($F$2:$F$1000,INDIRECT("RC[-2]",0))&gt;0,"",INDIRECT("RC[-2]",0))</f>
        <v/>
      </c>
    </row>
    <row r="183" spans="2:7" x14ac:dyDescent="0.25">
      <c r="B183" t="str" cm="1">
        <f t="array" aca="1" ref="B183" ca="1">IFERROR(DATE(RIGHT(INDIRECT("RC[-1]",0),4),LEFT(INDIRECT("RC[-1]",0),2),1), "")</f>
        <v/>
      </c>
      <c r="C183" s="214"/>
      <c r="E183" t="str" cm="1">
        <f t="array" aca="1" ref="E183" ca="1">IF(_xlfn.XLOOKUP(INDIRECT("RC[-1]", 0), CategoryNames, CategoryIdentifiers, "")&lt;&gt;"",INDIRECT("RC[-1]", 0),"")</f>
        <v/>
      </c>
      <c r="G183" t="str" cm="1">
        <f t="array" aca="1" ref="G183" ca="1">IF(COUNTIF($F$2:$F$1000,INDIRECT("RC[-2]",0))&gt;0,"",INDIRECT("RC[-2]",0))</f>
        <v/>
      </c>
    </row>
    <row r="184" spans="2:7" x14ac:dyDescent="0.25">
      <c r="B184" t="str" cm="1">
        <f t="array" aca="1" ref="B184" ca="1">IFERROR(DATE(RIGHT(INDIRECT("RC[-1]",0),4),LEFT(INDIRECT("RC[-1]",0),2),1), "")</f>
        <v/>
      </c>
      <c r="C184" s="214"/>
      <c r="E184" t="str" cm="1">
        <f t="array" aca="1" ref="E184" ca="1">IF(_xlfn.XLOOKUP(INDIRECT("RC[-1]", 0), CategoryNames, CategoryIdentifiers, "")&lt;&gt;"",INDIRECT("RC[-1]", 0),"")</f>
        <v/>
      </c>
      <c r="G184" t="str" cm="1">
        <f t="array" aca="1" ref="G184" ca="1">IF(COUNTIF($F$2:$F$1000,INDIRECT("RC[-2]",0))&gt;0,"",INDIRECT("RC[-2]",0))</f>
        <v/>
      </c>
    </row>
    <row r="185" spans="2:7" x14ac:dyDescent="0.25">
      <c r="B185" t="str" cm="1">
        <f t="array" aca="1" ref="B185" ca="1">IFERROR(DATE(RIGHT(INDIRECT("RC[-1]",0),4),LEFT(INDIRECT("RC[-1]",0),2),1), "")</f>
        <v/>
      </c>
      <c r="C185" s="214"/>
      <c r="E185" t="str" cm="1">
        <f t="array" aca="1" ref="E185" ca="1">IF(_xlfn.XLOOKUP(INDIRECT("RC[-1]", 0), CategoryNames, CategoryIdentifiers, "")&lt;&gt;"",INDIRECT("RC[-1]", 0),"")</f>
        <v/>
      </c>
      <c r="G185" t="str" cm="1">
        <f t="array" aca="1" ref="G185" ca="1">IF(COUNTIF($F$2:$F$1000,INDIRECT("RC[-2]",0))&gt;0,"",INDIRECT("RC[-2]",0))</f>
        <v/>
      </c>
    </row>
    <row r="186" spans="2:7" x14ac:dyDescent="0.25">
      <c r="B186" t="str" cm="1">
        <f t="array" aca="1" ref="B186" ca="1">IFERROR(DATE(RIGHT(INDIRECT("RC[-1]",0),4),LEFT(INDIRECT("RC[-1]",0),2),1), "")</f>
        <v/>
      </c>
      <c r="C186" s="214"/>
      <c r="E186" t="str" cm="1">
        <f t="array" aca="1" ref="E186" ca="1">IF(_xlfn.XLOOKUP(INDIRECT("RC[-1]", 0), CategoryNames, CategoryIdentifiers, "")&lt;&gt;"",INDIRECT("RC[-1]", 0),"")</f>
        <v/>
      </c>
      <c r="G186" t="str" cm="1">
        <f t="array" aca="1" ref="G186" ca="1">IF(COUNTIF($F$2:$F$1000,INDIRECT("RC[-2]",0))&gt;0,"",INDIRECT("RC[-2]",0))</f>
        <v/>
      </c>
    </row>
    <row r="187" spans="2:7" x14ac:dyDescent="0.25">
      <c r="B187" t="str" cm="1">
        <f t="array" aca="1" ref="B187" ca="1">IFERROR(DATE(RIGHT(INDIRECT("RC[-1]",0),4),LEFT(INDIRECT("RC[-1]",0),2),1), "")</f>
        <v/>
      </c>
      <c r="C187" s="214"/>
      <c r="E187" t="str" cm="1">
        <f t="array" aca="1" ref="E187" ca="1">IF(_xlfn.XLOOKUP(INDIRECT("RC[-1]", 0), CategoryNames, CategoryIdentifiers, "")&lt;&gt;"",INDIRECT("RC[-1]", 0),"")</f>
        <v/>
      </c>
      <c r="G187" t="str" cm="1">
        <f t="array" aca="1" ref="G187" ca="1">IF(COUNTIF($F$2:$F$1000,INDIRECT("RC[-2]",0))&gt;0,"",INDIRECT("RC[-2]",0))</f>
        <v/>
      </c>
    </row>
    <row r="188" spans="2:7" x14ac:dyDescent="0.25">
      <c r="B188" t="str" cm="1">
        <f t="array" aca="1" ref="B188" ca="1">IFERROR(DATE(RIGHT(INDIRECT("RC[-1]",0),4),LEFT(INDIRECT("RC[-1]",0),2),1), "")</f>
        <v/>
      </c>
      <c r="C188" s="214"/>
      <c r="E188" t="str" cm="1">
        <f t="array" aca="1" ref="E188" ca="1">IF(_xlfn.XLOOKUP(INDIRECT("RC[-1]", 0), CategoryNames, CategoryIdentifiers, "")&lt;&gt;"",INDIRECT("RC[-1]", 0),"")</f>
        <v/>
      </c>
      <c r="G188" t="str" cm="1">
        <f t="array" aca="1" ref="G188" ca="1">IF(COUNTIF($F$2:$F$1000,INDIRECT("RC[-2]",0))&gt;0,"",INDIRECT("RC[-2]",0))</f>
        <v/>
      </c>
    </row>
    <row r="189" spans="2:7" x14ac:dyDescent="0.25">
      <c r="B189" t="str" cm="1">
        <f t="array" aca="1" ref="B189" ca="1">IFERROR(DATE(RIGHT(INDIRECT("RC[-1]",0),4),LEFT(INDIRECT("RC[-1]",0),2),1), "")</f>
        <v/>
      </c>
      <c r="C189" s="214"/>
      <c r="E189" t="str" cm="1">
        <f t="array" aca="1" ref="E189" ca="1">IF(_xlfn.XLOOKUP(INDIRECT("RC[-1]", 0), CategoryNames, CategoryIdentifiers, "")&lt;&gt;"",INDIRECT("RC[-1]", 0),"")</f>
        <v/>
      </c>
      <c r="G189" t="str" cm="1">
        <f t="array" aca="1" ref="G189" ca="1">IF(COUNTIF($F$2:$F$1000,INDIRECT("RC[-2]",0))&gt;0,"",INDIRECT("RC[-2]",0))</f>
        <v/>
      </c>
    </row>
    <row r="190" spans="2:7" x14ac:dyDescent="0.25">
      <c r="B190" t="str" cm="1">
        <f t="array" aca="1" ref="B190" ca="1">IFERROR(DATE(RIGHT(INDIRECT("RC[-1]",0),4),LEFT(INDIRECT("RC[-1]",0),2),1), "")</f>
        <v/>
      </c>
      <c r="C190" s="214"/>
      <c r="E190" t="str" cm="1">
        <f t="array" aca="1" ref="E190" ca="1">IF(_xlfn.XLOOKUP(INDIRECT("RC[-1]", 0), CategoryNames, CategoryIdentifiers, "")&lt;&gt;"",INDIRECT("RC[-1]", 0),"")</f>
        <v/>
      </c>
      <c r="G190" t="str" cm="1">
        <f t="array" aca="1" ref="G190" ca="1">IF(COUNTIF($F$2:$F$1000,INDIRECT("RC[-2]",0))&gt;0,"",INDIRECT("RC[-2]",0))</f>
        <v/>
      </c>
    </row>
    <row r="191" spans="2:7" x14ac:dyDescent="0.25">
      <c r="B191" t="str" cm="1">
        <f t="array" aca="1" ref="B191" ca="1">IFERROR(DATE(RIGHT(INDIRECT("RC[-1]",0),4),LEFT(INDIRECT("RC[-1]",0),2),1), "")</f>
        <v/>
      </c>
      <c r="C191" s="214"/>
      <c r="E191" t="str" cm="1">
        <f t="array" aca="1" ref="E191" ca="1">IF(_xlfn.XLOOKUP(INDIRECT("RC[-1]", 0), CategoryNames, CategoryIdentifiers, "")&lt;&gt;"",INDIRECT("RC[-1]", 0),"")</f>
        <v/>
      </c>
      <c r="G191" t="str" cm="1">
        <f t="array" aca="1" ref="G191" ca="1">IF(COUNTIF($F$2:$F$1000,INDIRECT("RC[-2]",0))&gt;0,"",INDIRECT("RC[-2]",0))</f>
        <v/>
      </c>
    </row>
    <row r="192" spans="2:7" x14ac:dyDescent="0.25">
      <c r="B192" t="str" cm="1">
        <f t="array" aca="1" ref="B192" ca="1">IFERROR(DATE(RIGHT(INDIRECT("RC[-1]",0),4),LEFT(INDIRECT("RC[-1]",0),2),1), "")</f>
        <v/>
      </c>
      <c r="C192" s="214"/>
      <c r="E192" t="str" cm="1">
        <f t="array" aca="1" ref="E192" ca="1">IF(_xlfn.XLOOKUP(INDIRECT("RC[-1]", 0), CategoryNames, CategoryIdentifiers, "")&lt;&gt;"",INDIRECT("RC[-1]", 0),"")</f>
        <v/>
      </c>
      <c r="G192" t="str" cm="1">
        <f t="array" aca="1" ref="G192" ca="1">IF(COUNTIF($F$2:$F$1000,INDIRECT("RC[-2]",0))&gt;0,"",INDIRECT("RC[-2]",0))</f>
        <v/>
      </c>
    </row>
    <row r="193" spans="2:7" x14ac:dyDescent="0.25">
      <c r="B193" t="str" cm="1">
        <f t="array" aca="1" ref="B193" ca="1">IFERROR(DATE(RIGHT(INDIRECT("RC[-1]",0),4),LEFT(INDIRECT("RC[-1]",0),2),1), "")</f>
        <v/>
      </c>
      <c r="C193" s="214"/>
      <c r="E193" t="str" cm="1">
        <f t="array" aca="1" ref="E193" ca="1">IF(_xlfn.XLOOKUP(INDIRECT("RC[-1]", 0), CategoryNames, CategoryIdentifiers, "")&lt;&gt;"",INDIRECT("RC[-1]", 0),"")</f>
        <v/>
      </c>
      <c r="G193" t="str" cm="1">
        <f t="array" aca="1" ref="G193" ca="1">IF(COUNTIF($F$2:$F$1000,INDIRECT("RC[-2]",0))&gt;0,"",INDIRECT("RC[-2]",0))</f>
        <v/>
      </c>
    </row>
    <row r="194" spans="2:7" x14ac:dyDescent="0.25">
      <c r="B194" t="str" cm="1">
        <f t="array" aca="1" ref="B194" ca="1">IFERROR(DATE(RIGHT(INDIRECT("RC[-1]",0),4),LEFT(INDIRECT("RC[-1]",0),2),1), "")</f>
        <v/>
      </c>
      <c r="C194" s="214"/>
      <c r="E194" t="str" cm="1">
        <f t="array" aca="1" ref="E194" ca="1">IF(_xlfn.XLOOKUP(INDIRECT("RC[-1]", 0), CategoryNames, CategoryIdentifiers, "")&lt;&gt;"",INDIRECT("RC[-1]", 0),"")</f>
        <v/>
      </c>
      <c r="G194" t="str" cm="1">
        <f t="array" aca="1" ref="G194" ca="1">IF(COUNTIF($F$2:$F$1000,INDIRECT("RC[-2]",0))&gt;0,"",INDIRECT("RC[-2]",0))</f>
        <v/>
      </c>
    </row>
    <row r="195" spans="2:7" x14ac:dyDescent="0.25">
      <c r="B195" t="str" cm="1">
        <f t="array" aca="1" ref="B195" ca="1">IFERROR(DATE(RIGHT(INDIRECT("RC[-1]",0),4),LEFT(INDIRECT("RC[-1]",0),2),1), "")</f>
        <v/>
      </c>
      <c r="C195" s="214"/>
      <c r="E195" t="str" cm="1">
        <f t="array" aca="1" ref="E195" ca="1">IF(_xlfn.XLOOKUP(INDIRECT("RC[-1]", 0), CategoryNames, CategoryIdentifiers, "")&lt;&gt;"",INDIRECT("RC[-1]", 0),"")</f>
        <v/>
      </c>
      <c r="G195" t="str" cm="1">
        <f t="array" aca="1" ref="G195" ca="1">IF(COUNTIF($F$2:$F$1000,INDIRECT("RC[-2]",0))&gt;0,"",INDIRECT("RC[-2]",0))</f>
        <v/>
      </c>
    </row>
    <row r="196" spans="2:7" x14ac:dyDescent="0.25">
      <c r="B196" t="str" cm="1">
        <f t="array" aca="1" ref="B196" ca="1">IFERROR(DATE(RIGHT(INDIRECT("RC[-1]",0),4),LEFT(INDIRECT("RC[-1]",0),2),1), "")</f>
        <v/>
      </c>
      <c r="C196" s="214"/>
      <c r="E196" t="str" cm="1">
        <f t="array" aca="1" ref="E196" ca="1">IF(_xlfn.XLOOKUP(INDIRECT("RC[-1]", 0), CategoryNames, CategoryIdentifiers, "")&lt;&gt;"",INDIRECT("RC[-1]", 0),"")</f>
        <v/>
      </c>
      <c r="G196" t="str" cm="1">
        <f t="array" aca="1" ref="G196" ca="1">IF(COUNTIF($F$2:$F$1000,INDIRECT("RC[-2]",0))&gt;0,"",INDIRECT("RC[-2]",0))</f>
        <v/>
      </c>
    </row>
    <row r="197" spans="2:7" x14ac:dyDescent="0.25">
      <c r="B197" t="str" cm="1">
        <f t="array" aca="1" ref="B197" ca="1">IFERROR(DATE(RIGHT(INDIRECT("RC[-1]",0),4),LEFT(INDIRECT("RC[-1]",0),2),1), "")</f>
        <v/>
      </c>
      <c r="C197" s="214"/>
      <c r="E197" t="str" cm="1">
        <f t="array" aca="1" ref="E197" ca="1">IF(_xlfn.XLOOKUP(INDIRECT("RC[-1]", 0), CategoryNames, CategoryIdentifiers, "")&lt;&gt;"",INDIRECT("RC[-1]", 0),"")</f>
        <v/>
      </c>
      <c r="G197" t="str" cm="1">
        <f t="array" aca="1" ref="G197" ca="1">IF(COUNTIF($F$2:$F$1000,INDIRECT("RC[-2]",0))&gt;0,"",INDIRECT("RC[-2]",0))</f>
        <v/>
      </c>
    </row>
    <row r="198" spans="2:7" x14ac:dyDescent="0.25">
      <c r="B198" t="str" cm="1">
        <f t="array" aca="1" ref="B198" ca="1">IFERROR(DATE(RIGHT(INDIRECT("RC[-1]",0),4),LEFT(INDIRECT("RC[-1]",0),2),1), "")</f>
        <v/>
      </c>
      <c r="C198" s="214"/>
      <c r="E198" t="str" cm="1">
        <f t="array" aca="1" ref="E198" ca="1">IF(_xlfn.XLOOKUP(INDIRECT("RC[-1]", 0), CategoryNames, CategoryIdentifiers, "")&lt;&gt;"",INDIRECT("RC[-1]", 0),"")</f>
        <v/>
      </c>
      <c r="G198" t="str" cm="1">
        <f t="array" aca="1" ref="G198" ca="1">IF(COUNTIF($F$2:$F$1000,INDIRECT("RC[-2]",0))&gt;0,"",INDIRECT("RC[-2]",0))</f>
        <v/>
      </c>
    </row>
    <row r="199" spans="2:7" x14ac:dyDescent="0.25">
      <c r="B199" t="str" cm="1">
        <f t="array" aca="1" ref="B199" ca="1">IFERROR(DATE(RIGHT(INDIRECT("RC[-1]",0),4),LEFT(INDIRECT("RC[-1]",0),2),1), "")</f>
        <v/>
      </c>
      <c r="C199" s="214"/>
      <c r="E199" t="str" cm="1">
        <f t="array" aca="1" ref="E199" ca="1">IF(_xlfn.XLOOKUP(INDIRECT("RC[-1]", 0), CategoryNames, CategoryIdentifiers, "")&lt;&gt;"",INDIRECT("RC[-1]", 0),"")</f>
        <v/>
      </c>
      <c r="G199" t="str" cm="1">
        <f t="array" aca="1" ref="G199" ca="1">IF(COUNTIF($F$2:$F$1000,INDIRECT("RC[-2]",0))&gt;0,"",INDIRECT("RC[-2]",0))</f>
        <v/>
      </c>
    </row>
    <row r="200" spans="2:7" x14ac:dyDescent="0.25">
      <c r="B200" t="str" cm="1">
        <f t="array" aca="1" ref="B200" ca="1">IFERROR(DATE(RIGHT(INDIRECT("RC[-1]",0),4),LEFT(INDIRECT("RC[-1]",0),2),1), "")</f>
        <v/>
      </c>
      <c r="C200" s="214"/>
      <c r="E200" t="str" cm="1">
        <f t="array" aca="1" ref="E200" ca="1">IF(_xlfn.XLOOKUP(INDIRECT("RC[-1]", 0), CategoryNames, CategoryIdentifiers, "")&lt;&gt;"",INDIRECT("RC[-1]", 0),"")</f>
        <v/>
      </c>
      <c r="G200" t="str" cm="1">
        <f t="array" aca="1" ref="G200" ca="1">IF(COUNTIF($F$2:$F$1000,INDIRECT("RC[-2]",0))&gt;0,"",INDIRECT("RC[-2]",0))</f>
        <v/>
      </c>
    </row>
    <row r="201" spans="2:7" x14ac:dyDescent="0.25">
      <c r="B201" t="str" cm="1">
        <f t="array" aca="1" ref="B201" ca="1">IFERROR(DATE(RIGHT(INDIRECT("RC[-1]",0),4),LEFT(INDIRECT("RC[-1]",0),2),1), "")</f>
        <v/>
      </c>
      <c r="C201" s="214"/>
      <c r="E201" t="str" cm="1">
        <f t="array" aca="1" ref="E201" ca="1">IF(_xlfn.XLOOKUP(INDIRECT("RC[-1]", 0), CategoryNames, CategoryIdentifiers, "")&lt;&gt;"",INDIRECT("RC[-1]", 0),"")</f>
        <v/>
      </c>
      <c r="G201" t="str" cm="1">
        <f t="array" aca="1" ref="G201" ca="1">IF(COUNTIF($F$2:$F$1000,INDIRECT("RC[-2]",0))&gt;0,"",INDIRECT("RC[-2]",0))</f>
        <v/>
      </c>
    </row>
    <row r="202" spans="2:7" x14ac:dyDescent="0.25">
      <c r="B202" t="str" cm="1">
        <f t="array" aca="1" ref="B202" ca="1">IFERROR(DATE(RIGHT(INDIRECT("RC[-1]",0),4),LEFT(INDIRECT("RC[-1]",0),2),1), "")</f>
        <v/>
      </c>
      <c r="C202" s="214"/>
      <c r="E202" t="str" cm="1">
        <f t="array" aca="1" ref="E202" ca="1">IF(_xlfn.XLOOKUP(INDIRECT("RC[-1]", 0), CategoryNames, CategoryIdentifiers, "")&lt;&gt;"",INDIRECT("RC[-1]", 0),"")</f>
        <v/>
      </c>
      <c r="G202" t="str" cm="1">
        <f t="array" aca="1" ref="G202" ca="1">IF(COUNTIF($F$2:$F$1000,INDIRECT("RC[-2]",0))&gt;0,"",INDIRECT("RC[-2]",0))</f>
        <v/>
      </c>
    </row>
    <row r="203" spans="2:7" x14ac:dyDescent="0.25">
      <c r="B203" t="str" cm="1">
        <f t="array" aca="1" ref="B203" ca="1">IFERROR(DATE(RIGHT(INDIRECT("RC[-1]",0),4),LEFT(INDIRECT("RC[-1]",0),2),1), "")</f>
        <v/>
      </c>
      <c r="C203" s="214"/>
      <c r="E203" t="str" cm="1">
        <f t="array" aca="1" ref="E203" ca="1">IF(_xlfn.XLOOKUP(INDIRECT("RC[-1]", 0), CategoryNames, CategoryIdentifiers, "")&lt;&gt;"",INDIRECT("RC[-1]", 0),"")</f>
        <v/>
      </c>
      <c r="G203" t="str" cm="1">
        <f t="array" aca="1" ref="G203" ca="1">IF(COUNTIF($F$2:$F$1000,INDIRECT("RC[-2]",0))&gt;0,"",INDIRECT("RC[-2]",0))</f>
        <v/>
      </c>
    </row>
    <row r="204" spans="2:7" x14ac:dyDescent="0.25">
      <c r="B204" t="str" cm="1">
        <f t="array" aca="1" ref="B204" ca="1">IFERROR(DATE(RIGHT(INDIRECT("RC[-1]",0),4),LEFT(INDIRECT("RC[-1]",0),2),1), "")</f>
        <v/>
      </c>
      <c r="C204" s="214"/>
      <c r="E204" t="str" cm="1">
        <f t="array" aca="1" ref="E204" ca="1">IF(_xlfn.XLOOKUP(INDIRECT("RC[-1]", 0), CategoryNames, CategoryIdentifiers, "")&lt;&gt;"",INDIRECT("RC[-1]", 0),"")</f>
        <v/>
      </c>
      <c r="G204" t="str" cm="1">
        <f t="array" aca="1" ref="G204" ca="1">IF(COUNTIF($F$2:$F$1000,INDIRECT("RC[-2]",0))&gt;0,"",INDIRECT("RC[-2]",0))</f>
        <v/>
      </c>
    </row>
    <row r="205" spans="2:7" x14ac:dyDescent="0.25">
      <c r="B205" t="str" cm="1">
        <f t="array" aca="1" ref="B205" ca="1">IFERROR(DATE(RIGHT(INDIRECT("RC[-1]",0),4),LEFT(INDIRECT("RC[-1]",0),2),1), "")</f>
        <v/>
      </c>
      <c r="C205" s="214"/>
      <c r="E205" t="str" cm="1">
        <f t="array" aca="1" ref="E205" ca="1">IF(_xlfn.XLOOKUP(INDIRECT("RC[-1]", 0), CategoryNames, CategoryIdentifiers, "")&lt;&gt;"",INDIRECT("RC[-1]", 0),"")</f>
        <v/>
      </c>
      <c r="G205" t="str" cm="1">
        <f t="array" aca="1" ref="G205" ca="1">IF(COUNTIF($F$2:$F$1000,INDIRECT("RC[-2]",0))&gt;0,"",INDIRECT("RC[-2]",0))</f>
        <v/>
      </c>
    </row>
    <row r="206" spans="2:7" x14ac:dyDescent="0.25">
      <c r="B206" t="str" cm="1">
        <f t="array" aca="1" ref="B206" ca="1">IFERROR(DATE(RIGHT(INDIRECT("RC[-1]",0),4),LEFT(INDIRECT("RC[-1]",0),2),1), "")</f>
        <v/>
      </c>
      <c r="C206" s="214"/>
      <c r="E206" t="str" cm="1">
        <f t="array" aca="1" ref="E206" ca="1">IF(_xlfn.XLOOKUP(INDIRECT("RC[-1]", 0), CategoryNames, CategoryIdentifiers, "")&lt;&gt;"",INDIRECT("RC[-1]", 0),"")</f>
        <v/>
      </c>
      <c r="G206" t="str" cm="1">
        <f t="array" aca="1" ref="G206" ca="1">IF(COUNTIF($F$2:$F$1000,INDIRECT("RC[-2]",0))&gt;0,"",INDIRECT("RC[-2]",0))</f>
        <v/>
      </c>
    </row>
    <row r="207" spans="2:7" x14ac:dyDescent="0.25">
      <c r="B207" t="str" cm="1">
        <f t="array" aca="1" ref="B207" ca="1">IFERROR(DATE(RIGHT(INDIRECT("RC[-1]",0),4),LEFT(INDIRECT("RC[-1]",0),2),1), "")</f>
        <v/>
      </c>
      <c r="C207" s="214"/>
      <c r="E207" t="str" cm="1">
        <f t="array" aca="1" ref="E207" ca="1">IF(_xlfn.XLOOKUP(INDIRECT("RC[-1]", 0), CategoryNames, CategoryIdentifiers, "")&lt;&gt;"",INDIRECT("RC[-1]", 0),"")</f>
        <v/>
      </c>
      <c r="G207" t="str" cm="1">
        <f t="array" aca="1" ref="G207" ca="1">IF(COUNTIF($F$2:$F$1000,INDIRECT("RC[-2]",0))&gt;0,"",INDIRECT("RC[-2]",0))</f>
        <v/>
      </c>
    </row>
    <row r="208" spans="2:7" x14ac:dyDescent="0.25">
      <c r="B208" t="str" cm="1">
        <f t="array" aca="1" ref="B208" ca="1">IFERROR(DATE(RIGHT(INDIRECT("RC[-1]",0),4),LEFT(INDIRECT("RC[-1]",0),2),1), "")</f>
        <v/>
      </c>
      <c r="C208" s="214"/>
      <c r="E208" t="str" cm="1">
        <f t="array" aca="1" ref="E208" ca="1">IF(_xlfn.XLOOKUP(INDIRECT("RC[-1]", 0), CategoryNames, CategoryIdentifiers, "")&lt;&gt;"",INDIRECT("RC[-1]", 0),"")</f>
        <v/>
      </c>
      <c r="G208" t="str" cm="1">
        <f t="array" aca="1" ref="G208" ca="1">IF(COUNTIF($F$2:$F$1000,INDIRECT("RC[-2]",0))&gt;0,"",INDIRECT("RC[-2]",0))</f>
        <v/>
      </c>
    </row>
    <row r="209" spans="2:7" x14ac:dyDescent="0.25">
      <c r="B209" t="str" cm="1">
        <f t="array" aca="1" ref="B209" ca="1">IFERROR(DATE(RIGHT(INDIRECT("RC[-1]",0),4),LEFT(INDIRECT("RC[-1]",0),2),1), "")</f>
        <v/>
      </c>
      <c r="C209" s="214"/>
      <c r="E209" t="str" cm="1">
        <f t="array" aca="1" ref="E209" ca="1">IF(_xlfn.XLOOKUP(INDIRECT("RC[-1]", 0), CategoryNames, CategoryIdentifiers, "")&lt;&gt;"",INDIRECT("RC[-1]", 0),"")</f>
        <v/>
      </c>
      <c r="G209" t="str" cm="1">
        <f t="array" aca="1" ref="G209" ca="1">IF(COUNTIF($F$2:$F$1000,INDIRECT("RC[-2]",0))&gt;0,"",INDIRECT("RC[-2]",0))</f>
        <v/>
      </c>
    </row>
    <row r="210" spans="2:7" x14ac:dyDescent="0.25">
      <c r="B210" t="str" cm="1">
        <f t="array" aca="1" ref="B210" ca="1">IFERROR(DATE(RIGHT(INDIRECT("RC[-1]",0),4),LEFT(INDIRECT("RC[-1]",0),2),1), "")</f>
        <v/>
      </c>
      <c r="C210" s="214"/>
      <c r="E210" t="str" cm="1">
        <f t="array" aca="1" ref="E210" ca="1">IF(_xlfn.XLOOKUP(INDIRECT("RC[-1]", 0), CategoryNames, CategoryIdentifiers, "")&lt;&gt;"",INDIRECT("RC[-1]", 0),"")</f>
        <v/>
      </c>
      <c r="G210" t="str" cm="1">
        <f t="array" aca="1" ref="G210" ca="1">IF(COUNTIF($F$2:$F$1000,INDIRECT("RC[-2]",0))&gt;0,"",INDIRECT("RC[-2]",0))</f>
        <v/>
      </c>
    </row>
    <row r="211" spans="2:7" x14ac:dyDescent="0.25">
      <c r="B211" t="str" cm="1">
        <f t="array" aca="1" ref="B211" ca="1">IFERROR(DATE(RIGHT(INDIRECT("RC[-1]",0),4),LEFT(INDIRECT("RC[-1]",0),2),1), "")</f>
        <v/>
      </c>
      <c r="C211" s="214"/>
      <c r="E211" t="str" cm="1">
        <f t="array" aca="1" ref="E211" ca="1">IF(_xlfn.XLOOKUP(INDIRECT("RC[-1]", 0), CategoryNames, CategoryIdentifiers, "")&lt;&gt;"",INDIRECT("RC[-1]", 0),"")</f>
        <v/>
      </c>
      <c r="G211" t="str" cm="1">
        <f t="array" aca="1" ref="G211" ca="1">IF(COUNTIF($F$2:$F$1000,INDIRECT("RC[-2]",0))&gt;0,"",INDIRECT("RC[-2]",0))</f>
        <v/>
      </c>
    </row>
    <row r="212" spans="2:7" x14ac:dyDescent="0.25">
      <c r="B212" t="str" cm="1">
        <f t="array" aca="1" ref="B212" ca="1">IFERROR(DATE(RIGHT(INDIRECT("RC[-1]",0),4),LEFT(INDIRECT("RC[-1]",0),2),1), "")</f>
        <v/>
      </c>
      <c r="C212" s="214"/>
      <c r="E212" t="str" cm="1">
        <f t="array" aca="1" ref="E212" ca="1">IF(_xlfn.XLOOKUP(INDIRECT("RC[-1]", 0), CategoryNames, CategoryIdentifiers, "")&lt;&gt;"",INDIRECT("RC[-1]", 0),"")</f>
        <v/>
      </c>
      <c r="G212" t="str" cm="1">
        <f t="array" aca="1" ref="G212" ca="1">IF(COUNTIF($F$2:$F$1000,INDIRECT("RC[-2]",0))&gt;0,"",INDIRECT("RC[-2]",0))</f>
        <v/>
      </c>
    </row>
    <row r="213" spans="2:7" x14ac:dyDescent="0.25">
      <c r="B213" t="str" cm="1">
        <f t="array" aca="1" ref="B213" ca="1">IFERROR(DATE(RIGHT(INDIRECT("RC[-1]",0),4),LEFT(INDIRECT("RC[-1]",0),2),1), "")</f>
        <v/>
      </c>
      <c r="C213" s="214"/>
      <c r="E213" t="str" cm="1">
        <f t="array" aca="1" ref="E213" ca="1">IF(_xlfn.XLOOKUP(INDIRECT("RC[-1]", 0), CategoryNames, CategoryIdentifiers, "")&lt;&gt;"",INDIRECT("RC[-1]", 0),"")</f>
        <v/>
      </c>
      <c r="G213" t="str" cm="1">
        <f t="array" aca="1" ref="G213" ca="1">IF(COUNTIF($F$2:$F$1000,INDIRECT("RC[-2]",0))&gt;0,"",INDIRECT("RC[-2]",0))</f>
        <v/>
      </c>
    </row>
    <row r="214" spans="2:7" x14ac:dyDescent="0.25">
      <c r="B214" t="str" cm="1">
        <f t="array" aca="1" ref="B214" ca="1">IFERROR(DATE(RIGHT(INDIRECT("RC[-1]",0),4),LEFT(INDIRECT("RC[-1]",0),2),1), "")</f>
        <v/>
      </c>
      <c r="C214" s="214"/>
      <c r="E214" t="str" cm="1">
        <f t="array" aca="1" ref="E214" ca="1">IF(_xlfn.XLOOKUP(INDIRECT("RC[-1]", 0), CategoryNames, CategoryIdentifiers, "")&lt;&gt;"",INDIRECT("RC[-1]", 0),"")</f>
        <v/>
      </c>
      <c r="G214" t="str" cm="1">
        <f t="array" aca="1" ref="G214" ca="1">IF(COUNTIF($F$2:$F$1000,INDIRECT("RC[-2]",0))&gt;0,"",INDIRECT("RC[-2]",0))</f>
        <v/>
      </c>
    </row>
    <row r="215" spans="2:7" x14ac:dyDescent="0.25">
      <c r="B215" t="str" cm="1">
        <f t="array" aca="1" ref="B215" ca="1">IFERROR(DATE(RIGHT(INDIRECT("RC[-1]",0),4),LEFT(INDIRECT("RC[-1]",0),2),1), "")</f>
        <v/>
      </c>
      <c r="C215" s="214"/>
      <c r="E215" t="str" cm="1">
        <f t="array" aca="1" ref="E215" ca="1">IF(_xlfn.XLOOKUP(INDIRECT("RC[-1]", 0), CategoryNames, CategoryIdentifiers, "")&lt;&gt;"",INDIRECT("RC[-1]", 0),"")</f>
        <v/>
      </c>
      <c r="G215" t="str" cm="1">
        <f t="array" aca="1" ref="G215" ca="1">IF(COUNTIF($F$2:$F$1000,INDIRECT("RC[-2]",0))&gt;0,"",INDIRECT("RC[-2]",0))</f>
        <v/>
      </c>
    </row>
    <row r="216" spans="2:7" x14ac:dyDescent="0.25">
      <c r="B216" t="str" cm="1">
        <f t="array" aca="1" ref="B216" ca="1">IFERROR(DATE(RIGHT(INDIRECT("RC[-1]",0),4),LEFT(INDIRECT("RC[-1]",0),2),1), "")</f>
        <v/>
      </c>
      <c r="C216" s="214"/>
      <c r="E216" t="str" cm="1">
        <f t="array" aca="1" ref="E216" ca="1">IF(_xlfn.XLOOKUP(INDIRECT("RC[-1]", 0), CategoryNames, CategoryIdentifiers, "")&lt;&gt;"",INDIRECT("RC[-1]", 0),"")</f>
        <v/>
      </c>
      <c r="G216" t="str" cm="1">
        <f t="array" aca="1" ref="G216" ca="1">IF(COUNTIF($F$2:$F$1000,INDIRECT("RC[-2]",0))&gt;0,"",INDIRECT("RC[-2]",0))</f>
        <v/>
      </c>
    </row>
    <row r="217" spans="2:7" x14ac:dyDescent="0.25">
      <c r="B217" t="str" cm="1">
        <f t="array" aca="1" ref="B217" ca="1">IFERROR(DATE(RIGHT(INDIRECT("RC[-1]",0),4),LEFT(INDIRECT("RC[-1]",0),2),1), "")</f>
        <v/>
      </c>
      <c r="C217" s="214"/>
      <c r="E217" t="str" cm="1">
        <f t="array" aca="1" ref="E217" ca="1">IF(_xlfn.XLOOKUP(INDIRECT("RC[-1]", 0), CategoryNames, CategoryIdentifiers, "")&lt;&gt;"",INDIRECT("RC[-1]", 0),"")</f>
        <v/>
      </c>
      <c r="G217" t="str" cm="1">
        <f t="array" aca="1" ref="G217" ca="1">IF(COUNTIF($F$2:$F$1000,INDIRECT("RC[-2]",0))&gt;0,"",INDIRECT("RC[-2]",0))</f>
        <v/>
      </c>
    </row>
    <row r="218" spans="2:7" x14ac:dyDescent="0.25">
      <c r="B218" t="str" cm="1">
        <f t="array" aca="1" ref="B218" ca="1">IFERROR(DATE(RIGHT(INDIRECT("RC[-1]",0),4),LEFT(INDIRECT("RC[-1]",0),2),1), "")</f>
        <v/>
      </c>
      <c r="C218" s="214"/>
      <c r="E218" t="str" cm="1">
        <f t="array" aca="1" ref="E218" ca="1">IF(_xlfn.XLOOKUP(INDIRECT("RC[-1]", 0), CategoryNames, CategoryIdentifiers, "")&lt;&gt;"",INDIRECT("RC[-1]", 0),"")</f>
        <v/>
      </c>
      <c r="G218" t="str" cm="1">
        <f t="array" aca="1" ref="G218" ca="1">IF(COUNTIF($F$2:$F$1000,INDIRECT("RC[-2]",0))&gt;0,"",INDIRECT("RC[-2]",0))</f>
        <v/>
      </c>
    </row>
    <row r="219" spans="2:7" x14ac:dyDescent="0.25">
      <c r="B219" t="str" cm="1">
        <f t="array" aca="1" ref="B219" ca="1">IFERROR(DATE(RIGHT(INDIRECT("RC[-1]",0),4),LEFT(INDIRECT("RC[-1]",0),2),1), "")</f>
        <v/>
      </c>
      <c r="C219" s="214"/>
      <c r="E219" t="str" cm="1">
        <f t="array" aca="1" ref="E219" ca="1">IF(_xlfn.XLOOKUP(INDIRECT("RC[-1]", 0), CategoryNames, CategoryIdentifiers, "")&lt;&gt;"",INDIRECT("RC[-1]", 0),"")</f>
        <v/>
      </c>
      <c r="G219" t="str" cm="1">
        <f t="array" aca="1" ref="G219" ca="1">IF(COUNTIF($F$2:$F$1000,INDIRECT("RC[-2]",0))&gt;0,"",INDIRECT("RC[-2]",0))</f>
        <v/>
      </c>
    </row>
    <row r="220" spans="2:7" x14ac:dyDescent="0.25">
      <c r="B220" t="str" cm="1">
        <f t="array" aca="1" ref="B220" ca="1">IFERROR(DATE(RIGHT(INDIRECT("RC[-1]",0),4),LEFT(INDIRECT("RC[-1]",0),2),1), "")</f>
        <v/>
      </c>
      <c r="C220" s="214"/>
      <c r="E220" t="str" cm="1">
        <f t="array" aca="1" ref="E220" ca="1">IF(_xlfn.XLOOKUP(INDIRECT("RC[-1]", 0), CategoryNames, CategoryIdentifiers, "")&lt;&gt;"",INDIRECT("RC[-1]", 0),"")</f>
        <v/>
      </c>
      <c r="G220" t="str" cm="1">
        <f t="array" aca="1" ref="G220" ca="1">IF(COUNTIF($F$2:$F$1000,INDIRECT("RC[-2]",0))&gt;0,"",INDIRECT("RC[-2]",0))</f>
        <v/>
      </c>
    </row>
    <row r="221" spans="2:7" x14ac:dyDescent="0.25">
      <c r="B221" t="str" cm="1">
        <f t="array" aca="1" ref="B221" ca="1">IFERROR(DATE(RIGHT(INDIRECT("RC[-1]",0),4),LEFT(INDIRECT("RC[-1]",0),2),1), "")</f>
        <v/>
      </c>
      <c r="C221" s="214"/>
      <c r="E221" t="str" cm="1">
        <f t="array" aca="1" ref="E221" ca="1">IF(_xlfn.XLOOKUP(INDIRECT("RC[-1]", 0), CategoryNames, CategoryIdentifiers, "")&lt;&gt;"",INDIRECT("RC[-1]", 0),"")</f>
        <v/>
      </c>
      <c r="G221" t="str" cm="1">
        <f t="array" aca="1" ref="G221" ca="1">IF(COUNTIF($F$2:$F$1000,INDIRECT("RC[-2]",0))&gt;0,"",INDIRECT("RC[-2]",0))</f>
        <v/>
      </c>
    </row>
    <row r="222" spans="2:7" x14ac:dyDescent="0.25">
      <c r="B222" t="str" cm="1">
        <f t="array" aca="1" ref="B222" ca="1">IFERROR(DATE(RIGHT(INDIRECT("RC[-1]",0),4),LEFT(INDIRECT("RC[-1]",0),2),1), "")</f>
        <v/>
      </c>
      <c r="C222" s="214"/>
      <c r="E222" t="str" cm="1">
        <f t="array" aca="1" ref="E222" ca="1">IF(_xlfn.XLOOKUP(INDIRECT("RC[-1]", 0), CategoryNames, CategoryIdentifiers, "")&lt;&gt;"",INDIRECT("RC[-1]", 0),"")</f>
        <v/>
      </c>
      <c r="G222" t="str" cm="1">
        <f t="array" aca="1" ref="G222" ca="1">IF(COUNTIF($F$2:$F$1000,INDIRECT("RC[-2]",0))&gt;0,"",INDIRECT("RC[-2]",0))</f>
        <v/>
      </c>
    </row>
    <row r="223" spans="2:7" x14ac:dyDescent="0.25">
      <c r="B223" t="str" cm="1">
        <f t="array" aca="1" ref="B223" ca="1">IFERROR(DATE(RIGHT(INDIRECT("RC[-1]",0),4),LEFT(INDIRECT("RC[-1]",0),2),1), "")</f>
        <v/>
      </c>
      <c r="C223" s="214"/>
      <c r="E223" t="str" cm="1">
        <f t="array" aca="1" ref="E223" ca="1">IF(_xlfn.XLOOKUP(INDIRECT("RC[-1]", 0), CategoryNames, CategoryIdentifiers, "")&lt;&gt;"",INDIRECT("RC[-1]", 0),"")</f>
        <v/>
      </c>
      <c r="G223" t="str" cm="1">
        <f t="array" aca="1" ref="G223" ca="1">IF(COUNTIF($F$2:$F$1000,INDIRECT("RC[-2]",0))&gt;0,"",INDIRECT("RC[-2]",0))</f>
        <v/>
      </c>
    </row>
    <row r="224" spans="2:7" x14ac:dyDescent="0.25">
      <c r="B224" t="str" cm="1">
        <f t="array" aca="1" ref="B224" ca="1">IFERROR(DATE(RIGHT(INDIRECT("RC[-1]",0),4),LEFT(INDIRECT("RC[-1]",0),2),1), "")</f>
        <v/>
      </c>
      <c r="C224" s="214"/>
      <c r="E224" t="str" cm="1">
        <f t="array" aca="1" ref="E224" ca="1">IF(_xlfn.XLOOKUP(INDIRECT("RC[-1]", 0), CategoryNames, CategoryIdentifiers, "")&lt;&gt;"",INDIRECT("RC[-1]", 0),"")</f>
        <v/>
      </c>
      <c r="G224" t="str" cm="1">
        <f t="array" aca="1" ref="G224" ca="1">IF(COUNTIF($F$2:$F$1000,INDIRECT("RC[-2]",0))&gt;0,"",INDIRECT("RC[-2]",0))</f>
        <v/>
      </c>
    </row>
    <row r="225" spans="2:7" x14ac:dyDescent="0.25">
      <c r="B225" t="str" cm="1">
        <f t="array" aca="1" ref="B225" ca="1">IFERROR(DATE(RIGHT(INDIRECT("RC[-1]",0),4),LEFT(INDIRECT("RC[-1]",0),2),1), "")</f>
        <v/>
      </c>
      <c r="C225" s="214"/>
      <c r="E225" t="str" cm="1">
        <f t="array" aca="1" ref="E225" ca="1">IF(_xlfn.XLOOKUP(INDIRECT("RC[-1]", 0), CategoryNames, CategoryIdentifiers, "")&lt;&gt;"",INDIRECT("RC[-1]", 0),"")</f>
        <v/>
      </c>
      <c r="G225" t="str" cm="1">
        <f t="array" aca="1" ref="G225" ca="1">IF(COUNTIF($F$2:$F$1000,INDIRECT("RC[-2]",0))&gt;0,"",INDIRECT("RC[-2]",0))</f>
        <v/>
      </c>
    </row>
    <row r="226" spans="2:7" x14ac:dyDescent="0.25">
      <c r="B226" t="str" cm="1">
        <f t="array" aca="1" ref="B226" ca="1">IFERROR(DATE(RIGHT(INDIRECT("RC[-1]",0),4),LEFT(INDIRECT("RC[-1]",0),2),1), "")</f>
        <v/>
      </c>
      <c r="C226" s="214"/>
      <c r="E226" t="str" cm="1">
        <f t="array" aca="1" ref="E226" ca="1">IF(_xlfn.XLOOKUP(INDIRECT("RC[-1]", 0), CategoryNames, CategoryIdentifiers, "")&lt;&gt;"",INDIRECT("RC[-1]", 0),"")</f>
        <v/>
      </c>
      <c r="G226" t="str" cm="1">
        <f t="array" aca="1" ref="G226" ca="1">IF(COUNTIF($F$2:$F$1000,INDIRECT("RC[-2]",0))&gt;0,"",INDIRECT("RC[-2]",0))</f>
        <v/>
      </c>
    </row>
    <row r="227" spans="2:7" x14ac:dyDescent="0.25">
      <c r="B227" t="str" cm="1">
        <f t="array" aca="1" ref="B227" ca="1">IFERROR(DATE(RIGHT(INDIRECT("RC[-1]",0),4),LEFT(INDIRECT("RC[-1]",0),2),1), "")</f>
        <v/>
      </c>
      <c r="C227" s="214"/>
      <c r="E227" t="str" cm="1">
        <f t="array" aca="1" ref="E227" ca="1">IF(_xlfn.XLOOKUP(INDIRECT("RC[-1]", 0), CategoryNames, CategoryIdentifiers, "")&lt;&gt;"",INDIRECT("RC[-1]", 0),"")</f>
        <v/>
      </c>
      <c r="G227" t="str" cm="1">
        <f t="array" aca="1" ref="G227" ca="1">IF(COUNTIF($F$2:$F$1000,INDIRECT("RC[-2]",0))&gt;0,"",INDIRECT("RC[-2]",0))</f>
        <v/>
      </c>
    </row>
    <row r="228" spans="2:7" x14ac:dyDescent="0.25">
      <c r="B228" t="str" cm="1">
        <f t="array" aca="1" ref="B228" ca="1">IFERROR(DATE(RIGHT(INDIRECT("RC[-1]",0),4),LEFT(INDIRECT("RC[-1]",0),2),1), "")</f>
        <v/>
      </c>
      <c r="C228" s="214"/>
      <c r="E228" t="str" cm="1">
        <f t="array" aca="1" ref="E228" ca="1">IF(_xlfn.XLOOKUP(INDIRECT("RC[-1]", 0), CategoryNames, CategoryIdentifiers, "")&lt;&gt;"",INDIRECT("RC[-1]", 0),"")</f>
        <v/>
      </c>
      <c r="G228" t="str" cm="1">
        <f t="array" aca="1" ref="G228" ca="1">IF(COUNTIF($F$2:$F$1000,INDIRECT("RC[-2]",0))&gt;0,"",INDIRECT("RC[-2]",0))</f>
        <v/>
      </c>
    </row>
    <row r="229" spans="2:7" x14ac:dyDescent="0.25">
      <c r="B229" t="str" cm="1">
        <f t="array" aca="1" ref="B229" ca="1">IFERROR(DATE(RIGHT(INDIRECT("RC[-1]",0),4),LEFT(INDIRECT("RC[-1]",0),2),1), "")</f>
        <v/>
      </c>
      <c r="C229" s="214"/>
      <c r="E229" t="str" cm="1">
        <f t="array" aca="1" ref="E229" ca="1">IF(_xlfn.XLOOKUP(INDIRECT("RC[-1]", 0), CategoryNames, CategoryIdentifiers, "")&lt;&gt;"",INDIRECT("RC[-1]", 0),"")</f>
        <v/>
      </c>
      <c r="G229" t="str" cm="1">
        <f t="array" aca="1" ref="G229" ca="1">IF(COUNTIF($F$2:$F$1000,INDIRECT("RC[-2]",0))&gt;0,"",INDIRECT("RC[-2]",0))</f>
        <v/>
      </c>
    </row>
    <row r="230" spans="2:7" x14ac:dyDescent="0.25">
      <c r="B230" t="str" cm="1">
        <f t="array" aca="1" ref="B230" ca="1">IFERROR(DATE(RIGHT(INDIRECT("RC[-1]",0),4),LEFT(INDIRECT("RC[-1]",0),2),1), "")</f>
        <v/>
      </c>
      <c r="C230" s="214"/>
      <c r="E230" t="str" cm="1">
        <f t="array" aca="1" ref="E230" ca="1">IF(_xlfn.XLOOKUP(INDIRECT("RC[-1]", 0), CategoryNames, CategoryIdentifiers, "")&lt;&gt;"",INDIRECT("RC[-1]", 0),"")</f>
        <v/>
      </c>
      <c r="G230" t="str" cm="1">
        <f t="array" aca="1" ref="G230" ca="1">IF(COUNTIF($F$2:$F$1000,INDIRECT("RC[-2]",0))&gt;0,"",INDIRECT("RC[-2]",0))</f>
        <v/>
      </c>
    </row>
    <row r="231" spans="2:7" x14ac:dyDescent="0.25">
      <c r="B231" t="str" cm="1">
        <f t="array" aca="1" ref="B231" ca="1">IFERROR(DATE(RIGHT(INDIRECT("RC[-1]",0),4),LEFT(INDIRECT("RC[-1]",0),2),1), "")</f>
        <v/>
      </c>
      <c r="C231" s="214"/>
      <c r="E231" t="str" cm="1">
        <f t="array" aca="1" ref="E231" ca="1">IF(_xlfn.XLOOKUP(INDIRECT("RC[-1]", 0), CategoryNames, CategoryIdentifiers, "")&lt;&gt;"",INDIRECT("RC[-1]", 0),"")</f>
        <v/>
      </c>
      <c r="G231" t="str" cm="1">
        <f t="array" aca="1" ref="G231" ca="1">IF(COUNTIF($F$2:$F$1000,INDIRECT("RC[-2]",0))&gt;0,"",INDIRECT("RC[-2]",0))</f>
        <v/>
      </c>
    </row>
    <row r="232" spans="2:7" x14ac:dyDescent="0.25">
      <c r="B232" t="str" cm="1">
        <f t="array" aca="1" ref="B232" ca="1">IFERROR(DATE(RIGHT(INDIRECT("RC[-1]",0),4),LEFT(INDIRECT("RC[-1]",0),2),1), "")</f>
        <v/>
      </c>
      <c r="C232" s="214"/>
      <c r="E232" t="str" cm="1">
        <f t="array" aca="1" ref="E232" ca="1">IF(_xlfn.XLOOKUP(INDIRECT("RC[-1]", 0), CategoryNames, CategoryIdentifiers, "")&lt;&gt;"",INDIRECT("RC[-1]", 0),"")</f>
        <v/>
      </c>
      <c r="G232" t="str" cm="1">
        <f t="array" aca="1" ref="G232" ca="1">IF(COUNTIF($F$2:$F$1000,INDIRECT("RC[-2]",0))&gt;0,"",INDIRECT("RC[-2]",0))</f>
        <v/>
      </c>
    </row>
    <row r="233" spans="2:7" x14ac:dyDescent="0.25">
      <c r="B233" t="str" cm="1">
        <f t="array" aca="1" ref="B233" ca="1">IFERROR(DATE(RIGHT(INDIRECT("RC[-1]",0),4),LEFT(INDIRECT("RC[-1]",0),2),1), "")</f>
        <v/>
      </c>
      <c r="C233" s="214"/>
      <c r="E233" t="str" cm="1">
        <f t="array" aca="1" ref="E233" ca="1">IF(_xlfn.XLOOKUP(INDIRECT("RC[-1]", 0), CategoryNames, CategoryIdentifiers, "")&lt;&gt;"",INDIRECT("RC[-1]", 0),"")</f>
        <v/>
      </c>
      <c r="G233" t="str" cm="1">
        <f t="array" aca="1" ref="G233" ca="1">IF(COUNTIF($F$2:$F$1000,INDIRECT("RC[-2]",0))&gt;0,"",INDIRECT("RC[-2]",0))</f>
        <v/>
      </c>
    </row>
    <row r="234" spans="2:7" x14ac:dyDescent="0.25">
      <c r="B234" t="str" cm="1">
        <f t="array" aca="1" ref="B234" ca="1">IFERROR(DATE(RIGHT(INDIRECT("RC[-1]",0),4),LEFT(INDIRECT("RC[-1]",0),2),1), "")</f>
        <v/>
      </c>
      <c r="C234" s="214"/>
      <c r="E234" t="str" cm="1">
        <f t="array" aca="1" ref="E234" ca="1">IF(_xlfn.XLOOKUP(INDIRECT("RC[-1]", 0), CategoryNames, CategoryIdentifiers, "")&lt;&gt;"",INDIRECT("RC[-1]", 0),"")</f>
        <v/>
      </c>
      <c r="G234" t="str" cm="1">
        <f t="array" aca="1" ref="G234" ca="1">IF(COUNTIF($F$2:$F$1000,INDIRECT("RC[-2]",0))&gt;0,"",INDIRECT("RC[-2]",0))</f>
        <v/>
      </c>
    </row>
    <row r="235" spans="2:7" x14ac:dyDescent="0.25">
      <c r="B235" t="str" cm="1">
        <f t="array" aca="1" ref="B235" ca="1">IFERROR(DATE(RIGHT(INDIRECT("RC[-1]",0),4),LEFT(INDIRECT("RC[-1]",0),2),1), "")</f>
        <v/>
      </c>
      <c r="C235" s="214"/>
      <c r="E235" t="str" cm="1">
        <f t="array" aca="1" ref="E235" ca="1">IF(_xlfn.XLOOKUP(INDIRECT("RC[-1]", 0), CategoryNames, CategoryIdentifiers, "")&lt;&gt;"",INDIRECT("RC[-1]", 0),"")</f>
        <v/>
      </c>
      <c r="G235" t="str" cm="1">
        <f t="array" aca="1" ref="G235" ca="1">IF(COUNTIF($F$2:$F$1000,INDIRECT("RC[-2]",0))&gt;0,"",INDIRECT("RC[-2]",0))</f>
        <v/>
      </c>
    </row>
    <row r="236" spans="2:7" x14ac:dyDescent="0.25">
      <c r="B236" t="str" cm="1">
        <f t="array" aca="1" ref="B236" ca="1">IFERROR(DATE(RIGHT(INDIRECT("RC[-1]",0),4),LEFT(INDIRECT("RC[-1]",0),2),1), "")</f>
        <v/>
      </c>
      <c r="C236" s="214"/>
      <c r="E236" t="str" cm="1">
        <f t="array" aca="1" ref="E236" ca="1">IF(_xlfn.XLOOKUP(INDIRECT("RC[-1]", 0), CategoryNames, CategoryIdentifiers, "")&lt;&gt;"",INDIRECT("RC[-1]", 0),"")</f>
        <v/>
      </c>
      <c r="G236" t="str" cm="1">
        <f t="array" aca="1" ref="G236" ca="1">IF(COUNTIF($F$2:$F$1000,INDIRECT("RC[-2]",0))&gt;0,"",INDIRECT("RC[-2]",0))</f>
        <v/>
      </c>
    </row>
    <row r="237" spans="2:7" x14ac:dyDescent="0.25">
      <c r="B237" t="str" cm="1">
        <f t="array" aca="1" ref="B237" ca="1">IFERROR(DATE(RIGHT(INDIRECT("RC[-1]",0),4),LEFT(INDIRECT("RC[-1]",0),2),1), "")</f>
        <v/>
      </c>
      <c r="C237" s="214"/>
      <c r="E237" t="str" cm="1">
        <f t="array" aca="1" ref="E237" ca="1">IF(_xlfn.XLOOKUP(INDIRECT("RC[-1]", 0), CategoryNames, CategoryIdentifiers, "")&lt;&gt;"",INDIRECT("RC[-1]", 0),"")</f>
        <v/>
      </c>
      <c r="G237" t="str" cm="1">
        <f t="array" aca="1" ref="G237" ca="1">IF(COUNTIF($F$2:$F$1000,INDIRECT("RC[-2]",0))&gt;0,"",INDIRECT("RC[-2]",0))</f>
        <v/>
      </c>
    </row>
    <row r="238" spans="2:7" x14ac:dyDescent="0.25">
      <c r="B238" t="str" cm="1">
        <f t="array" aca="1" ref="B238" ca="1">IFERROR(DATE(RIGHT(INDIRECT("RC[-1]",0),4),LEFT(INDIRECT("RC[-1]",0),2),1), "")</f>
        <v/>
      </c>
      <c r="C238" s="214"/>
      <c r="E238" t="str" cm="1">
        <f t="array" aca="1" ref="E238" ca="1">IF(_xlfn.XLOOKUP(INDIRECT("RC[-1]", 0), CategoryNames, CategoryIdentifiers, "")&lt;&gt;"",INDIRECT("RC[-1]", 0),"")</f>
        <v/>
      </c>
      <c r="G238" t="str" cm="1">
        <f t="array" aca="1" ref="G238" ca="1">IF(COUNTIF($F$2:$F$1000,INDIRECT("RC[-2]",0))&gt;0,"",INDIRECT("RC[-2]",0))</f>
        <v/>
      </c>
    </row>
    <row r="239" spans="2:7" x14ac:dyDescent="0.25">
      <c r="B239" t="str" cm="1">
        <f t="array" aca="1" ref="B239" ca="1">IFERROR(DATE(RIGHT(INDIRECT("RC[-1]",0),4),LEFT(INDIRECT("RC[-1]",0),2),1), "")</f>
        <v/>
      </c>
      <c r="C239" s="214"/>
      <c r="E239" t="str" cm="1">
        <f t="array" aca="1" ref="E239" ca="1">IF(_xlfn.XLOOKUP(INDIRECT("RC[-1]", 0), CategoryNames, CategoryIdentifiers, "")&lt;&gt;"",INDIRECT("RC[-1]", 0),"")</f>
        <v/>
      </c>
      <c r="G239" t="str" cm="1">
        <f t="array" aca="1" ref="G239" ca="1">IF(COUNTIF($F$2:$F$1000,INDIRECT("RC[-2]",0))&gt;0,"",INDIRECT("RC[-2]",0))</f>
        <v/>
      </c>
    </row>
    <row r="240" spans="2:7" x14ac:dyDescent="0.25">
      <c r="B240" t="str" cm="1">
        <f t="array" aca="1" ref="B240" ca="1">IFERROR(DATE(RIGHT(INDIRECT("RC[-1]",0),4),LEFT(INDIRECT("RC[-1]",0),2),1), "")</f>
        <v/>
      </c>
      <c r="C240" s="214"/>
      <c r="E240" t="str" cm="1">
        <f t="array" aca="1" ref="E240" ca="1">IF(_xlfn.XLOOKUP(INDIRECT("RC[-1]", 0), CategoryNames, CategoryIdentifiers, "")&lt;&gt;"",INDIRECT("RC[-1]", 0),"")</f>
        <v/>
      </c>
      <c r="G240" t="str" cm="1">
        <f t="array" aca="1" ref="G240" ca="1">IF(COUNTIF($F$2:$F$1000,INDIRECT("RC[-2]",0))&gt;0,"",INDIRECT("RC[-2]",0))</f>
        <v/>
      </c>
    </row>
    <row r="241" spans="2:7" x14ac:dyDescent="0.25">
      <c r="B241" t="str" cm="1">
        <f t="array" aca="1" ref="B241" ca="1">IFERROR(DATE(RIGHT(INDIRECT("RC[-1]",0),4),LEFT(INDIRECT("RC[-1]",0),2),1), "")</f>
        <v/>
      </c>
      <c r="C241" s="214"/>
      <c r="E241" t="str" cm="1">
        <f t="array" aca="1" ref="E241" ca="1">IF(_xlfn.XLOOKUP(INDIRECT("RC[-1]", 0), CategoryNames, CategoryIdentifiers, "")&lt;&gt;"",INDIRECT("RC[-1]", 0),"")</f>
        <v/>
      </c>
      <c r="G241" t="str" cm="1">
        <f t="array" aca="1" ref="G241" ca="1">IF(COUNTIF($F$2:$F$1000,INDIRECT("RC[-2]",0))&gt;0,"",INDIRECT("RC[-2]",0))</f>
        <v/>
      </c>
    </row>
    <row r="242" spans="2:7" x14ac:dyDescent="0.25">
      <c r="B242" t="str" cm="1">
        <f t="array" aca="1" ref="B242" ca="1">IFERROR(DATE(RIGHT(INDIRECT("RC[-1]",0),4),LEFT(INDIRECT("RC[-1]",0),2),1), "")</f>
        <v/>
      </c>
      <c r="C242" s="214"/>
      <c r="E242" t="str" cm="1">
        <f t="array" aca="1" ref="E242" ca="1">IF(_xlfn.XLOOKUP(INDIRECT("RC[-1]", 0), CategoryNames, CategoryIdentifiers, "")&lt;&gt;"",INDIRECT("RC[-1]", 0),"")</f>
        <v/>
      </c>
      <c r="G242" t="str" cm="1">
        <f t="array" aca="1" ref="G242" ca="1">IF(COUNTIF($F$2:$F$1000,INDIRECT("RC[-2]",0))&gt;0,"",INDIRECT("RC[-2]",0))</f>
        <v/>
      </c>
    </row>
    <row r="243" spans="2:7" x14ac:dyDescent="0.25">
      <c r="B243" t="str" cm="1">
        <f t="array" aca="1" ref="B243" ca="1">IFERROR(DATE(RIGHT(INDIRECT("RC[-1]",0),4),LEFT(INDIRECT("RC[-1]",0),2),1), "")</f>
        <v/>
      </c>
      <c r="C243" s="214"/>
      <c r="E243" t="str" cm="1">
        <f t="array" aca="1" ref="E243" ca="1">IF(_xlfn.XLOOKUP(INDIRECT("RC[-1]", 0), CategoryNames, CategoryIdentifiers, "")&lt;&gt;"",INDIRECT("RC[-1]", 0),"")</f>
        <v/>
      </c>
      <c r="G243" t="str" cm="1">
        <f t="array" aca="1" ref="G243" ca="1">IF(COUNTIF($F$2:$F$1000,INDIRECT("RC[-2]",0))&gt;0,"",INDIRECT("RC[-2]",0))</f>
        <v/>
      </c>
    </row>
    <row r="244" spans="2:7" x14ac:dyDescent="0.25">
      <c r="B244" t="str" cm="1">
        <f t="array" aca="1" ref="B244" ca="1">IFERROR(DATE(RIGHT(INDIRECT("RC[-1]",0),4),LEFT(INDIRECT("RC[-1]",0),2),1), "")</f>
        <v/>
      </c>
      <c r="C244" s="214"/>
      <c r="E244" t="str" cm="1">
        <f t="array" aca="1" ref="E244" ca="1">IF(_xlfn.XLOOKUP(INDIRECT("RC[-1]", 0), CategoryNames, CategoryIdentifiers, "")&lt;&gt;"",INDIRECT("RC[-1]", 0),"")</f>
        <v/>
      </c>
      <c r="G244" t="str" cm="1">
        <f t="array" aca="1" ref="G244" ca="1">IF(COUNTIF($F$2:$F$1000,INDIRECT("RC[-2]",0))&gt;0,"",INDIRECT("RC[-2]",0))</f>
        <v/>
      </c>
    </row>
    <row r="245" spans="2:7" x14ac:dyDescent="0.25">
      <c r="B245" t="str" cm="1">
        <f t="array" aca="1" ref="B245" ca="1">IFERROR(DATE(RIGHT(INDIRECT("RC[-1]",0),4),LEFT(INDIRECT("RC[-1]",0),2),1), "")</f>
        <v/>
      </c>
      <c r="C245" s="214"/>
      <c r="E245" t="str" cm="1">
        <f t="array" aca="1" ref="E245" ca="1">IF(_xlfn.XLOOKUP(INDIRECT("RC[-1]", 0), CategoryNames, CategoryIdentifiers, "")&lt;&gt;"",INDIRECT("RC[-1]", 0),"")</f>
        <v/>
      </c>
      <c r="G245" t="str" cm="1">
        <f t="array" aca="1" ref="G245" ca="1">IF(COUNTIF($F$2:$F$1000,INDIRECT("RC[-2]",0))&gt;0,"",INDIRECT("RC[-2]",0))</f>
        <v/>
      </c>
    </row>
    <row r="246" spans="2:7" x14ac:dyDescent="0.25">
      <c r="B246" t="str" cm="1">
        <f t="array" aca="1" ref="B246" ca="1">IFERROR(DATE(RIGHT(INDIRECT("RC[-1]",0),4),LEFT(INDIRECT("RC[-1]",0),2),1), "")</f>
        <v/>
      </c>
      <c r="C246" s="214"/>
      <c r="E246" t="str" cm="1">
        <f t="array" aca="1" ref="E246" ca="1">IF(_xlfn.XLOOKUP(INDIRECT("RC[-1]", 0), CategoryNames, CategoryIdentifiers, "")&lt;&gt;"",INDIRECT("RC[-1]", 0),"")</f>
        <v/>
      </c>
      <c r="G246" t="str" cm="1">
        <f t="array" aca="1" ref="G246" ca="1">IF(COUNTIF($F$2:$F$1000,INDIRECT("RC[-2]",0))&gt;0,"",INDIRECT("RC[-2]",0))</f>
        <v/>
      </c>
    </row>
    <row r="247" spans="2:7" x14ac:dyDescent="0.25">
      <c r="B247" t="str" cm="1">
        <f t="array" aca="1" ref="B247" ca="1">IFERROR(DATE(RIGHT(INDIRECT("RC[-1]",0),4),LEFT(INDIRECT("RC[-1]",0),2),1), "")</f>
        <v/>
      </c>
      <c r="C247" s="214"/>
      <c r="E247" t="str" cm="1">
        <f t="array" aca="1" ref="E247" ca="1">IF(_xlfn.XLOOKUP(INDIRECT("RC[-1]", 0), CategoryNames, CategoryIdentifiers, "")&lt;&gt;"",INDIRECT("RC[-1]", 0),"")</f>
        <v/>
      </c>
      <c r="G247" t="str" cm="1">
        <f t="array" aca="1" ref="G247" ca="1">IF(COUNTIF($F$2:$F$1000,INDIRECT("RC[-2]",0))&gt;0,"",INDIRECT("RC[-2]",0))</f>
        <v/>
      </c>
    </row>
    <row r="248" spans="2:7" x14ac:dyDescent="0.25">
      <c r="B248" t="str" cm="1">
        <f t="array" aca="1" ref="B248" ca="1">IFERROR(DATE(RIGHT(INDIRECT("RC[-1]",0),4),LEFT(INDIRECT("RC[-1]",0),2),1), "")</f>
        <v/>
      </c>
      <c r="C248" s="214"/>
      <c r="E248" t="str" cm="1">
        <f t="array" aca="1" ref="E248" ca="1">IF(_xlfn.XLOOKUP(INDIRECT("RC[-1]", 0), CategoryNames, CategoryIdentifiers, "")&lt;&gt;"",INDIRECT("RC[-1]", 0),"")</f>
        <v/>
      </c>
      <c r="G248" t="str" cm="1">
        <f t="array" aca="1" ref="G248" ca="1">IF(COUNTIF($F$2:$F$1000,INDIRECT("RC[-2]",0))&gt;0,"",INDIRECT("RC[-2]",0))</f>
        <v/>
      </c>
    </row>
    <row r="249" spans="2:7" x14ac:dyDescent="0.25">
      <c r="B249" t="str" cm="1">
        <f t="array" aca="1" ref="B249" ca="1">IFERROR(DATE(RIGHT(INDIRECT("RC[-1]",0),4),LEFT(INDIRECT("RC[-1]",0),2),1), "")</f>
        <v/>
      </c>
      <c r="C249" s="214"/>
      <c r="E249" t="str" cm="1">
        <f t="array" aca="1" ref="E249" ca="1">IF(_xlfn.XLOOKUP(INDIRECT("RC[-1]", 0), CategoryNames, CategoryIdentifiers, "")&lt;&gt;"",INDIRECT("RC[-1]", 0),"")</f>
        <v/>
      </c>
      <c r="G249" t="str" cm="1">
        <f t="array" aca="1" ref="G249" ca="1">IF(COUNTIF($F$2:$F$1000,INDIRECT("RC[-2]",0))&gt;0,"",INDIRECT("RC[-2]",0))</f>
        <v/>
      </c>
    </row>
    <row r="250" spans="2:7" x14ac:dyDescent="0.25">
      <c r="B250" t="str" cm="1">
        <f t="array" aca="1" ref="B250" ca="1">IFERROR(DATE(RIGHT(INDIRECT("RC[-1]",0),4),LEFT(INDIRECT("RC[-1]",0),2),1), "")</f>
        <v/>
      </c>
      <c r="C250" s="214"/>
      <c r="E250" t="str" cm="1">
        <f t="array" aca="1" ref="E250" ca="1">IF(_xlfn.XLOOKUP(INDIRECT("RC[-1]", 0), CategoryNames, CategoryIdentifiers, "")&lt;&gt;"",INDIRECT("RC[-1]", 0),"")</f>
        <v/>
      </c>
      <c r="G250" t="str" cm="1">
        <f t="array" aca="1" ref="G250" ca="1">IF(COUNTIF($F$2:$F$1000,INDIRECT("RC[-2]",0))&gt;0,"",INDIRECT("RC[-2]",0))</f>
        <v/>
      </c>
    </row>
    <row r="251" spans="2:7" x14ac:dyDescent="0.25">
      <c r="B251" t="str" cm="1">
        <f t="array" aca="1" ref="B251" ca="1">IFERROR(DATE(RIGHT(INDIRECT("RC[-1]",0),4),LEFT(INDIRECT("RC[-1]",0),2),1), "")</f>
        <v/>
      </c>
      <c r="C251" s="214"/>
      <c r="E251" t="str" cm="1">
        <f t="array" aca="1" ref="E251" ca="1">IF(_xlfn.XLOOKUP(INDIRECT("RC[-1]", 0), CategoryNames, CategoryIdentifiers, "")&lt;&gt;"",INDIRECT("RC[-1]", 0),"")</f>
        <v/>
      </c>
      <c r="G251" t="str" cm="1">
        <f t="array" aca="1" ref="G251" ca="1">IF(COUNTIF($F$2:$F$1000,INDIRECT("RC[-2]",0))&gt;0,"",INDIRECT("RC[-2]",0))</f>
        <v/>
      </c>
    </row>
    <row r="252" spans="2:7" x14ac:dyDescent="0.25">
      <c r="B252" t="str" cm="1">
        <f t="array" aca="1" ref="B252" ca="1">IFERROR(DATE(RIGHT(INDIRECT("RC[-1]",0),4),LEFT(INDIRECT("RC[-1]",0),2),1), "")</f>
        <v/>
      </c>
      <c r="C252" s="214"/>
      <c r="E252" t="str" cm="1">
        <f t="array" aca="1" ref="E252" ca="1">IF(_xlfn.XLOOKUP(INDIRECT("RC[-1]", 0), CategoryNames, CategoryIdentifiers, "")&lt;&gt;"",INDIRECT("RC[-1]", 0),"")</f>
        <v/>
      </c>
      <c r="G252" t="str" cm="1">
        <f t="array" aca="1" ref="G252" ca="1">IF(COUNTIF($F$2:$F$1000,INDIRECT("RC[-2]",0))&gt;0,"",INDIRECT("RC[-2]",0))</f>
        <v/>
      </c>
    </row>
    <row r="253" spans="2:7" x14ac:dyDescent="0.25">
      <c r="B253" t="str" cm="1">
        <f t="array" aca="1" ref="B253" ca="1">IFERROR(DATE(RIGHT(INDIRECT("RC[-1]",0),4),LEFT(INDIRECT("RC[-1]",0),2),1), "")</f>
        <v/>
      </c>
      <c r="C253" s="214"/>
      <c r="E253" t="str" cm="1">
        <f t="array" aca="1" ref="E253" ca="1">IF(_xlfn.XLOOKUP(INDIRECT("RC[-1]", 0), CategoryNames, CategoryIdentifiers, "")&lt;&gt;"",INDIRECT("RC[-1]", 0),"")</f>
        <v/>
      </c>
      <c r="G253" t="str" cm="1">
        <f t="array" aca="1" ref="G253" ca="1">IF(COUNTIF($F$2:$F$1000,INDIRECT("RC[-2]",0))&gt;0,"",INDIRECT("RC[-2]",0))</f>
        <v/>
      </c>
    </row>
    <row r="254" spans="2:7" x14ac:dyDescent="0.25">
      <c r="B254" t="str" cm="1">
        <f t="array" aca="1" ref="B254" ca="1">IFERROR(DATE(RIGHT(INDIRECT("RC[-1]",0),4),LEFT(INDIRECT("RC[-1]",0),2),1), "")</f>
        <v/>
      </c>
      <c r="C254" s="214"/>
      <c r="E254" t="str" cm="1">
        <f t="array" aca="1" ref="E254" ca="1">IF(_xlfn.XLOOKUP(INDIRECT("RC[-1]", 0), CategoryNames, CategoryIdentifiers, "")&lt;&gt;"",INDIRECT("RC[-1]", 0),"")</f>
        <v/>
      </c>
      <c r="G254" t="str" cm="1">
        <f t="array" aca="1" ref="G254" ca="1">IF(COUNTIF($F$2:$F$1000,INDIRECT("RC[-2]",0))&gt;0,"",INDIRECT("RC[-2]",0))</f>
        <v/>
      </c>
    </row>
    <row r="255" spans="2:7" x14ac:dyDescent="0.25">
      <c r="B255" t="str" cm="1">
        <f t="array" aca="1" ref="B255" ca="1">IFERROR(DATE(RIGHT(INDIRECT("RC[-1]",0),4),LEFT(INDIRECT("RC[-1]",0),2),1), "")</f>
        <v/>
      </c>
      <c r="C255" s="214"/>
      <c r="E255" t="str" cm="1">
        <f t="array" aca="1" ref="E255" ca="1">IF(_xlfn.XLOOKUP(INDIRECT("RC[-1]", 0), CategoryNames, CategoryIdentifiers, "")&lt;&gt;"",INDIRECT("RC[-1]", 0),"")</f>
        <v/>
      </c>
      <c r="G255" t="str" cm="1">
        <f t="array" aca="1" ref="G255" ca="1">IF(COUNTIF($F$2:$F$1000,INDIRECT("RC[-2]",0))&gt;0,"",INDIRECT("RC[-2]",0))</f>
        <v/>
      </c>
    </row>
    <row r="256" spans="2:7" x14ac:dyDescent="0.25">
      <c r="B256" t="str" cm="1">
        <f t="array" aca="1" ref="B256" ca="1">IFERROR(DATE(RIGHT(INDIRECT("RC[-1]",0),4),LEFT(INDIRECT("RC[-1]",0),2),1), "")</f>
        <v/>
      </c>
      <c r="C256" s="214"/>
      <c r="E256" t="str" cm="1">
        <f t="array" aca="1" ref="E256" ca="1">IF(_xlfn.XLOOKUP(INDIRECT("RC[-1]", 0), CategoryNames, CategoryIdentifiers, "")&lt;&gt;"",INDIRECT("RC[-1]", 0),"")</f>
        <v/>
      </c>
      <c r="G256" t="str" cm="1">
        <f t="array" aca="1" ref="G256" ca="1">IF(COUNTIF($F$2:$F$1000,INDIRECT("RC[-2]",0))&gt;0,"",INDIRECT("RC[-2]",0))</f>
        <v/>
      </c>
    </row>
    <row r="257" spans="2:7" x14ac:dyDescent="0.25">
      <c r="B257" t="str" cm="1">
        <f t="array" aca="1" ref="B257" ca="1">IFERROR(DATE(RIGHT(INDIRECT("RC[-1]",0),4),LEFT(INDIRECT("RC[-1]",0),2),1), "")</f>
        <v/>
      </c>
      <c r="C257" s="214"/>
      <c r="E257" t="str" cm="1">
        <f t="array" aca="1" ref="E257" ca="1">IF(_xlfn.XLOOKUP(INDIRECT("RC[-1]", 0), CategoryNames, CategoryIdentifiers, "")&lt;&gt;"",INDIRECT("RC[-1]", 0),"")</f>
        <v/>
      </c>
      <c r="G257" t="str" cm="1">
        <f t="array" aca="1" ref="G257" ca="1">IF(COUNTIF($F$2:$F$1000,INDIRECT("RC[-2]",0))&gt;0,"",INDIRECT("RC[-2]",0))</f>
        <v/>
      </c>
    </row>
    <row r="258" spans="2:7" x14ac:dyDescent="0.25">
      <c r="B258" t="str" cm="1">
        <f t="array" aca="1" ref="B258" ca="1">IFERROR(DATE(RIGHT(INDIRECT("RC[-1]",0),4),LEFT(INDIRECT("RC[-1]",0),2),1), "")</f>
        <v/>
      </c>
      <c r="C258" s="214"/>
      <c r="E258" t="str" cm="1">
        <f t="array" aca="1" ref="E258" ca="1">IF(_xlfn.XLOOKUP(INDIRECT("RC[-1]", 0), CategoryNames, CategoryIdentifiers, "")&lt;&gt;"",INDIRECT("RC[-1]", 0),"")</f>
        <v/>
      </c>
      <c r="G258" t="str" cm="1">
        <f t="array" aca="1" ref="G258" ca="1">IF(COUNTIF($F$2:$F$1000,INDIRECT("RC[-2]",0))&gt;0,"",INDIRECT("RC[-2]",0))</f>
        <v/>
      </c>
    </row>
    <row r="259" spans="2:7" x14ac:dyDescent="0.25">
      <c r="B259" t="str" cm="1">
        <f t="array" aca="1" ref="B259" ca="1">IFERROR(DATE(RIGHT(INDIRECT("RC[-1]",0),4),LEFT(INDIRECT("RC[-1]",0),2),1), "")</f>
        <v/>
      </c>
      <c r="C259" s="214"/>
      <c r="E259" t="str" cm="1">
        <f t="array" aca="1" ref="E259" ca="1">IF(_xlfn.XLOOKUP(INDIRECT("RC[-1]", 0), CategoryNames, CategoryIdentifiers, "")&lt;&gt;"",INDIRECT("RC[-1]", 0),"")</f>
        <v/>
      </c>
      <c r="G259" t="str" cm="1">
        <f t="array" aca="1" ref="G259" ca="1">IF(COUNTIF($F$2:$F$1000,INDIRECT("RC[-2]",0))&gt;0,"",INDIRECT("RC[-2]",0))</f>
        <v/>
      </c>
    </row>
    <row r="260" spans="2:7" x14ac:dyDescent="0.25">
      <c r="B260" t="str" cm="1">
        <f t="array" aca="1" ref="B260" ca="1">IFERROR(DATE(RIGHT(INDIRECT("RC[-1]",0),4),LEFT(INDIRECT("RC[-1]",0),2),1), "")</f>
        <v/>
      </c>
      <c r="C260" s="214"/>
      <c r="E260" t="str" cm="1">
        <f t="array" aca="1" ref="E260" ca="1">IF(_xlfn.XLOOKUP(INDIRECT("RC[-1]", 0), CategoryNames, CategoryIdentifiers, "")&lt;&gt;"",INDIRECT("RC[-1]", 0),"")</f>
        <v/>
      </c>
      <c r="G260" t="str" cm="1">
        <f t="array" aca="1" ref="G260" ca="1">IF(COUNTIF($F$2:$F$1000,INDIRECT("RC[-2]",0))&gt;0,"",INDIRECT("RC[-2]",0))</f>
        <v/>
      </c>
    </row>
    <row r="261" spans="2:7" x14ac:dyDescent="0.25">
      <c r="B261" t="str" cm="1">
        <f t="array" aca="1" ref="B261" ca="1">IFERROR(DATE(RIGHT(INDIRECT("RC[-1]",0),4),LEFT(INDIRECT("RC[-1]",0),2),1), "")</f>
        <v/>
      </c>
      <c r="C261" s="214"/>
      <c r="E261" t="str" cm="1">
        <f t="array" aca="1" ref="E261" ca="1">IF(_xlfn.XLOOKUP(INDIRECT("RC[-1]", 0), CategoryNames, CategoryIdentifiers, "")&lt;&gt;"",INDIRECT("RC[-1]", 0),"")</f>
        <v/>
      </c>
      <c r="G261" t="str" cm="1">
        <f t="array" aca="1" ref="G261" ca="1">IF(COUNTIF($F$2:$F$1000,INDIRECT("RC[-2]",0))&gt;0,"",INDIRECT("RC[-2]",0))</f>
        <v/>
      </c>
    </row>
    <row r="262" spans="2:7" x14ac:dyDescent="0.25">
      <c r="B262" t="str" cm="1">
        <f t="array" aca="1" ref="B262" ca="1">IFERROR(DATE(RIGHT(INDIRECT("RC[-1]",0),4),LEFT(INDIRECT("RC[-1]",0),2),1), "")</f>
        <v/>
      </c>
      <c r="C262" s="214"/>
      <c r="E262" t="str" cm="1">
        <f t="array" aca="1" ref="E262" ca="1">IF(_xlfn.XLOOKUP(INDIRECT("RC[-1]", 0), CategoryNames, CategoryIdentifiers, "")&lt;&gt;"",INDIRECT("RC[-1]", 0),"")</f>
        <v/>
      </c>
      <c r="G262" t="str" cm="1">
        <f t="array" aca="1" ref="G262" ca="1">IF(COUNTIF($F$2:$F$1000,INDIRECT("RC[-2]",0))&gt;0,"",INDIRECT("RC[-2]",0))</f>
        <v/>
      </c>
    </row>
    <row r="263" spans="2:7" x14ac:dyDescent="0.25">
      <c r="B263" t="str" cm="1">
        <f t="array" aca="1" ref="B263" ca="1">IFERROR(DATE(RIGHT(INDIRECT("RC[-1]",0),4),LEFT(INDIRECT("RC[-1]",0),2),1), "")</f>
        <v/>
      </c>
      <c r="C263" s="214"/>
      <c r="E263" t="str" cm="1">
        <f t="array" aca="1" ref="E263" ca="1">IF(_xlfn.XLOOKUP(INDIRECT("RC[-1]", 0), CategoryNames, CategoryIdentifiers, "")&lt;&gt;"",INDIRECT("RC[-1]", 0),"")</f>
        <v/>
      </c>
      <c r="G263" t="str" cm="1">
        <f t="array" aca="1" ref="G263" ca="1">IF(COUNTIF($F$2:$F$1000,INDIRECT("RC[-2]",0))&gt;0,"",INDIRECT("RC[-2]",0))</f>
        <v/>
      </c>
    </row>
    <row r="264" spans="2:7" x14ac:dyDescent="0.25">
      <c r="B264" t="str" cm="1">
        <f t="array" aca="1" ref="B264" ca="1">IFERROR(DATE(RIGHT(INDIRECT("RC[-1]",0),4),LEFT(INDIRECT("RC[-1]",0),2),1), "")</f>
        <v/>
      </c>
      <c r="C264" s="214"/>
      <c r="E264" t="str" cm="1">
        <f t="array" aca="1" ref="E264" ca="1">IF(_xlfn.XLOOKUP(INDIRECT("RC[-1]", 0), CategoryNames, CategoryIdentifiers, "")&lt;&gt;"",INDIRECT("RC[-1]", 0),"")</f>
        <v/>
      </c>
      <c r="G264" t="str" cm="1">
        <f t="array" aca="1" ref="G264" ca="1">IF(COUNTIF($F$2:$F$1000,INDIRECT("RC[-2]",0))&gt;0,"",INDIRECT("RC[-2]",0))</f>
        <v/>
      </c>
    </row>
    <row r="265" spans="2:7" x14ac:dyDescent="0.25">
      <c r="B265" t="str" cm="1">
        <f t="array" aca="1" ref="B265" ca="1">IFERROR(DATE(RIGHT(INDIRECT("RC[-1]",0),4),LEFT(INDIRECT("RC[-1]",0),2),1), "")</f>
        <v/>
      </c>
      <c r="C265" s="214"/>
      <c r="E265" t="str" cm="1">
        <f t="array" aca="1" ref="E265" ca="1">IF(_xlfn.XLOOKUP(INDIRECT("RC[-1]", 0), CategoryNames, CategoryIdentifiers, "")&lt;&gt;"",INDIRECT("RC[-1]", 0),"")</f>
        <v/>
      </c>
      <c r="G265" t="str" cm="1">
        <f t="array" aca="1" ref="G265" ca="1">IF(COUNTIF($F$2:$F$1000,INDIRECT("RC[-2]",0))&gt;0,"",INDIRECT("RC[-2]",0))</f>
        <v/>
      </c>
    </row>
    <row r="266" spans="2:7" x14ac:dyDescent="0.25">
      <c r="B266" t="str" cm="1">
        <f t="array" aca="1" ref="B266" ca="1">IFERROR(DATE(RIGHT(INDIRECT("RC[-1]",0),4),LEFT(INDIRECT("RC[-1]",0),2),1), "")</f>
        <v/>
      </c>
      <c r="C266" s="214"/>
      <c r="E266" t="str" cm="1">
        <f t="array" aca="1" ref="E266" ca="1">IF(_xlfn.XLOOKUP(INDIRECT("RC[-1]", 0), CategoryNames, CategoryIdentifiers, "")&lt;&gt;"",INDIRECT("RC[-1]", 0),"")</f>
        <v/>
      </c>
      <c r="G266" t="str" cm="1">
        <f t="array" aca="1" ref="G266" ca="1">IF(COUNTIF($F$2:$F$1000,INDIRECT("RC[-2]",0))&gt;0,"",INDIRECT("RC[-2]",0))</f>
        <v/>
      </c>
    </row>
    <row r="267" spans="2:7" x14ac:dyDescent="0.25">
      <c r="B267" t="str" cm="1">
        <f t="array" aca="1" ref="B267" ca="1">IFERROR(DATE(RIGHT(INDIRECT("RC[-1]",0),4),LEFT(INDIRECT("RC[-1]",0),2),1), "")</f>
        <v/>
      </c>
      <c r="C267" s="214"/>
      <c r="E267" t="str" cm="1">
        <f t="array" aca="1" ref="E267" ca="1">IF(_xlfn.XLOOKUP(INDIRECT("RC[-1]", 0), CategoryNames, CategoryIdentifiers, "")&lt;&gt;"",INDIRECT("RC[-1]", 0),"")</f>
        <v/>
      </c>
      <c r="G267" t="str" cm="1">
        <f t="array" aca="1" ref="G267" ca="1">IF(COUNTIF($F$2:$F$1000,INDIRECT("RC[-2]",0))&gt;0,"",INDIRECT("RC[-2]",0))</f>
        <v/>
      </c>
    </row>
    <row r="268" spans="2:7" x14ac:dyDescent="0.25">
      <c r="B268" t="str" cm="1">
        <f t="array" aca="1" ref="B268" ca="1">IFERROR(DATE(RIGHT(INDIRECT("RC[-1]",0),4),LEFT(INDIRECT("RC[-1]",0),2),1), "")</f>
        <v/>
      </c>
      <c r="C268" s="214"/>
      <c r="E268" t="str" cm="1">
        <f t="array" aca="1" ref="E268" ca="1">IF(_xlfn.XLOOKUP(INDIRECT("RC[-1]", 0), CategoryNames, CategoryIdentifiers, "")&lt;&gt;"",INDIRECT("RC[-1]", 0),"")</f>
        <v/>
      </c>
      <c r="G268" t="str" cm="1">
        <f t="array" aca="1" ref="G268" ca="1">IF(COUNTIF($F$2:$F$1000,INDIRECT("RC[-2]",0))&gt;0,"",INDIRECT("RC[-2]",0))</f>
        <v/>
      </c>
    </row>
    <row r="269" spans="2:7" x14ac:dyDescent="0.25">
      <c r="B269" t="str" cm="1">
        <f t="array" aca="1" ref="B269" ca="1">IFERROR(DATE(RIGHT(INDIRECT("RC[-1]",0),4),LEFT(INDIRECT("RC[-1]",0),2),1), "")</f>
        <v/>
      </c>
      <c r="C269" s="214"/>
      <c r="E269" t="str" cm="1">
        <f t="array" aca="1" ref="E269" ca="1">IF(_xlfn.XLOOKUP(INDIRECT("RC[-1]", 0), CategoryNames, CategoryIdentifiers, "")&lt;&gt;"",INDIRECT("RC[-1]", 0),"")</f>
        <v/>
      </c>
      <c r="G269" t="str" cm="1">
        <f t="array" aca="1" ref="G269" ca="1">IF(COUNTIF($F$2:$F$1000,INDIRECT("RC[-2]",0))&gt;0,"",INDIRECT("RC[-2]",0))</f>
        <v/>
      </c>
    </row>
    <row r="270" spans="2:7" x14ac:dyDescent="0.25">
      <c r="B270" t="str" cm="1">
        <f t="array" aca="1" ref="B270" ca="1">IFERROR(DATE(RIGHT(INDIRECT("RC[-1]",0),4),LEFT(INDIRECT("RC[-1]",0),2),1), "")</f>
        <v/>
      </c>
      <c r="C270" s="214"/>
      <c r="E270" t="str" cm="1">
        <f t="array" aca="1" ref="E270" ca="1">IF(_xlfn.XLOOKUP(INDIRECT("RC[-1]", 0), CategoryNames, CategoryIdentifiers, "")&lt;&gt;"",INDIRECT("RC[-1]", 0),"")</f>
        <v/>
      </c>
      <c r="G270" t="str" cm="1">
        <f t="array" aca="1" ref="G270" ca="1">IF(COUNTIF($F$2:$F$1000,INDIRECT("RC[-2]",0))&gt;0,"",INDIRECT("RC[-2]",0))</f>
        <v/>
      </c>
    </row>
    <row r="271" spans="2:7" x14ac:dyDescent="0.25">
      <c r="B271" t="str" cm="1">
        <f t="array" aca="1" ref="B271" ca="1">IFERROR(DATE(RIGHT(INDIRECT("RC[-1]",0),4),LEFT(INDIRECT("RC[-1]",0),2),1), "")</f>
        <v/>
      </c>
      <c r="C271" s="214"/>
      <c r="E271" t="str" cm="1">
        <f t="array" aca="1" ref="E271" ca="1">IF(_xlfn.XLOOKUP(INDIRECT("RC[-1]", 0), CategoryNames, CategoryIdentifiers, "")&lt;&gt;"",INDIRECT("RC[-1]", 0),"")</f>
        <v/>
      </c>
      <c r="G271" t="str" cm="1">
        <f t="array" aca="1" ref="G271" ca="1">IF(COUNTIF($F$2:$F$1000,INDIRECT("RC[-2]",0))&gt;0,"",INDIRECT("RC[-2]",0))</f>
        <v/>
      </c>
    </row>
    <row r="272" spans="2:7" x14ac:dyDescent="0.25">
      <c r="B272" t="str" cm="1">
        <f t="array" aca="1" ref="B272" ca="1">IFERROR(DATE(RIGHT(INDIRECT("RC[-1]",0),4),LEFT(INDIRECT("RC[-1]",0),2),1), "")</f>
        <v/>
      </c>
      <c r="C272" s="214"/>
      <c r="E272" t="str" cm="1">
        <f t="array" aca="1" ref="E272" ca="1">IF(_xlfn.XLOOKUP(INDIRECT("RC[-1]", 0), CategoryNames, CategoryIdentifiers, "")&lt;&gt;"",INDIRECT("RC[-1]", 0),"")</f>
        <v/>
      </c>
      <c r="G272" t="str" cm="1">
        <f t="array" aca="1" ref="G272" ca="1">IF(COUNTIF($F$2:$F$1000,INDIRECT("RC[-2]",0))&gt;0,"",INDIRECT("RC[-2]",0))</f>
        <v/>
      </c>
    </row>
    <row r="273" spans="2:7" x14ac:dyDescent="0.25">
      <c r="B273" t="str" cm="1">
        <f t="array" aca="1" ref="B273" ca="1">IFERROR(DATE(RIGHT(INDIRECT("RC[-1]",0),4),LEFT(INDIRECT("RC[-1]",0),2),1), "")</f>
        <v/>
      </c>
      <c r="C273" s="214"/>
      <c r="E273" t="str" cm="1">
        <f t="array" aca="1" ref="E273" ca="1">IF(_xlfn.XLOOKUP(INDIRECT("RC[-1]", 0), CategoryNames, CategoryIdentifiers, "")&lt;&gt;"",INDIRECT("RC[-1]", 0),"")</f>
        <v/>
      </c>
      <c r="G273" t="str" cm="1">
        <f t="array" aca="1" ref="G273" ca="1">IF(COUNTIF($F$2:$F$1000,INDIRECT("RC[-2]",0))&gt;0,"",INDIRECT("RC[-2]",0))</f>
        <v/>
      </c>
    </row>
    <row r="274" spans="2:7" x14ac:dyDescent="0.25">
      <c r="B274" t="str" cm="1">
        <f t="array" aca="1" ref="B274" ca="1">IFERROR(DATE(RIGHT(INDIRECT("RC[-1]",0),4),LEFT(INDIRECT("RC[-1]",0),2),1), "")</f>
        <v/>
      </c>
      <c r="C274" s="214"/>
      <c r="E274" t="str" cm="1">
        <f t="array" aca="1" ref="E274" ca="1">IF(_xlfn.XLOOKUP(INDIRECT("RC[-1]", 0), CategoryNames, CategoryIdentifiers, "")&lt;&gt;"",INDIRECT("RC[-1]", 0),"")</f>
        <v/>
      </c>
      <c r="G274" t="str" cm="1">
        <f t="array" aca="1" ref="G274" ca="1">IF(COUNTIF($F$2:$F$1000,INDIRECT("RC[-2]",0))&gt;0,"",INDIRECT("RC[-2]",0))</f>
        <v/>
      </c>
    </row>
    <row r="275" spans="2:7" x14ac:dyDescent="0.25">
      <c r="B275" t="str" cm="1">
        <f t="array" aca="1" ref="B275" ca="1">IFERROR(DATE(RIGHT(INDIRECT("RC[-1]",0),4),LEFT(INDIRECT("RC[-1]",0),2),1), "")</f>
        <v/>
      </c>
      <c r="C275" s="214"/>
      <c r="E275" t="str" cm="1">
        <f t="array" aca="1" ref="E275" ca="1">IF(_xlfn.XLOOKUP(INDIRECT("RC[-1]", 0), CategoryNames, CategoryIdentifiers, "")&lt;&gt;"",INDIRECT("RC[-1]", 0),"")</f>
        <v/>
      </c>
      <c r="G275" t="str" cm="1">
        <f t="array" aca="1" ref="G275" ca="1">IF(COUNTIF($F$2:$F$1000,INDIRECT("RC[-2]",0))&gt;0,"",INDIRECT("RC[-2]",0))</f>
        <v/>
      </c>
    </row>
    <row r="276" spans="2:7" x14ac:dyDescent="0.25">
      <c r="B276" t="str" cm="1">
        <f t="array" aca="1" ref="B276" ca="1">IFERROR(DATE(RIGHT(INDIRECT("RC[-1]",0),4),LEFT(INDIRECT("RC[-1]",0),2),1), "")</f>
        <v/>
      </c>
      <c r="C276" s="214"/>
      <c r="E276" t="str" cm="1">
        <f t="array" aca="1" ref="E276" ca="1">IF(_xlfn.XLOOKUP(INDIRECT("RC[-1]", 0), CategoryNames, CategoryIdentifiers, "")&lt;&gt;"",INDIRECT("RC[-1]", 0),"")</f>
        <v/>
      </c>
      <c r="G276" t="str" cm="1">
        <f t="array" aca="1" ref="G276" ca="1">IF(COUNTIF($F$2:$F$1000,INDIRECT("RC[-2]",0))&gt;0,"",INDIRECT("RC[-2]",0))</f>
        <v/>
      </c>
    </row>
    <row r="277" spans="2:7" x14ac:dyDescent="0.25">
      <c r="B277" t="str" cm="1">
        <f t="array" aca="1" ref="B277" ca="1">IFERROR(DATE(RIGHT(INDIRECT("RC[-1]",0),4),LEFT(INDIRECT("RC[-1]",0),2),1), "")</f>
        <v/>
      </c>
      <c r="C277" s="214"/>
      <c r="E277" t="str" cm="1">
        <f t="array" aca="1" ref="E277" ca="1">IF(_xlfn.XLOOKUP(INDIRECT("RC[-1]", 0), CategoryNames, CategoryIdentifiers, "")&lt;&gt;"",INDIRECT("RC[-1]", 0),"")</f>
        <v/>
      </c>
      <c r="G277" t="str" cm="1">
        <f t="array" aca="1" ref="G277" ca="1">IF(COUNTIF($F$2:$F$1000,INDIRECT("RC[-2]",0))&gt;0,"",INDIRECT("RC[-2]",0))</f>
        <v/>
      </c>
    </row>
    <row r="278" spans="2:7" x14ac:dyDescent="0.25">
      <c r="B278" t="str" cm="1">
        <f t="array" aca="1" ref="B278" ca="1">IFERROR(DATE(RIGHT(INDIRECT("RC[-1]",0),4),LEFT(INDIRECT("RC[-1]",0),2),1), "")</f>
        <v/>
      </c>
      <c r="C278" s="214"/>
      <c r="E278" t="str" cm="1">
        <f t="array" aca="1" ref="E278" ca="1">IF(_xlfn.XLOOKUP(INDIRECT("RC[-1]", 0), CategoryNames, CategoryIdentifiers, "")&lt;&gt;"",INDIRECT("RC[-1]", 0),"")</f>
        <v/>
      </c>
      <c r="G278" t="str" cm="1">
        <f t="array" aca="1" ref="G278" ca="1">IF(COUNTIF($F$2:$F$1000,INDIRECT("RC[-2]",0))&gt;0,"",INDIRECT("RC[-2]",0))</f>
        <v/>
      </c>
    </row>
    <row r="279" spans="2:7" x14ac:dyDescent="0.25">
      <c r="B279" t="str" cm="1">
        <f t="array" aca="1" ref="B279" ca="1">IFERROR(DATE(RIGHT(INDIRECT("RC[-1]",0),4),LEFT(INDIRECT("RC[-1]",0),2),1), "")</f>
        <v/>
      </c>
      <c r="C279" s="214"/>
      <c r="E279" t="str" cm="1">
        <f t="array" aca="1" ref="E279" ca="1">IF(_xlfn.XLOOKUP(INDIRECT("RC[-1]", 0), CategoryNames, CategoryIdentifiers, "")&lt;&gt;"",INDIRECT("RC[-1]", 0),"")</f>
        <v/>
      </c>
      <c r="G279" t="str" cm="1">
        <f t="array" aca="1" ref="G279" ca="1">IF(COUNTIF($F$2:$F$1000,INDIRECT("RC[-2]",0))&gt;0,"",INDIRECT("RC[-2]",0))</f>
        <v/>
      </c>
    </row>
    <row r="280" spans="2:7" x14ac:dyDescent="0.25">
      <c r="B280" t="str" cm="1">
        <f t="array" aca="1" ref="B280" ca="1">IFERROR(DATE(RIGHT(INDIRECT("RC[-1]",0),4),LEFT(INDIRECT("RC[-1]",0),2),1), "")</f>
        <v/>
      </c>
      <c r="C280" s="214"/>
      <c r="E280" t="str" cm="1">
        <f t="array" aca="1" ref="E280" ca="1">IF(_xlfn.XLOOKUP(INDIRECT("RC[-1]", 0), CategoryNames, CategoryIdentifiers, "")&lt;&gt;"",INDIRECT("RC[-1]", 0),"")</f>
        <v/>
      </c>
      <c r="G280" t="str" cm="1">
        <f t="array" aca="1" ref="G280" ca="1">IF(COUNTIF($F$2:$F$1000,INDIRECT("RC[-2]",0))&gt;0,"",INDIRECT("RC[-2]",0))</f>
        <v/>
      </c>
    </row>
    <row r="281" spans="2:7" x14ac:dyDescent="0.25">
      <c r="B281" t="str" cm="1">
        <f t="array" aca="1" ref="B281" ca="1">IFERROR(DATE(RIGHT(INDIRECT("RC[-1]",0),4),LEFT(INDIRECT("RC[-1]",0),2),1), "")</f>
        <v/>
      </c>
      <c r="C281" s="214"/>
      <c r="E281" t="str" cm="1">
        <f t="array" aca="1" ref="E281" ca="1">IF(_xlfn.XLOOKUP(INDIRECT("RC[-1]", 0), CategoryNames, CategoryIdentifiers, "")&lt;&gt;"",INDIRECT("RC[-1]", 0),"")</f>
        <v/>
      </c>
      <c r="G281" t="str" cm="1">
        <f t="array" aca="1" ref="G281" ca="1">IF(COUNTIF($F$2:$F$1000,INDIRECT("RC[-2]",0))&gt;0,"",INDIRECT("RC[-2]",0))</f>
        <v/>
      </c>
    </row>
    <row r="282" spans="2:7" x14ac:dyDescent="0.25">
      <c r="B282" t="str" cm="1">
        <f t="array" aca="1" ref="B282" ca="1">IFERROR(DATE(RIGHT(INDIRECT("RC[-1]",0),4),LEFT(INDIRECT("RC[-1]",0),2),1), "")</f>
        <v/>
      </c>
      <c r="C282" s="214"/>
      <c r="E282" t="str" cm="1">
        <f t="array" aca="1" ref="E282" ca="1">IF(_xlfn.XLOOKUP(INDIRECT("RC[-1]", 0), CategoryNames, CategoryIdentifiers, "")&lt;&gt;"",INDIRECT("RC[-1]", 0),"")</f>
        <v/>
      </c>
      <c r="G282" t="str" cm="1">
        <f t="array" aca="1" ref="G282" ca="1">IF(COUNTIF($F$2:$F$1000,INDIRECT("RC[-2]",0))&gt;0,"",INDIRECT("RC[-2]",0))</f>
        <v/>
      </c>
    </row>
    <row r="283" spans="2:7" x14ac:dyDescent="0.25">
      <c r="B283" t="str" cm="1">
        <f t="array" aca="1" ref="B283" ca="1">IFERROR(DATE(RIGHT(INDIRECT("RC[-1]",0),4),LEFT(INDIRECT("RC[-1]",0),2),1), "")</f>
        <v/>
      </c>
      <c r="C283" s="214"/>
      <c r="E283" t="str" cm="1">
        <f t="array" aca="1" ref="E283" ca="1">IF(_xlfn.XLOOKUP(INDIRECT("RC[-1]", 0), CategoryNames, CategoryIdentifiers, "")&lt;&gt;"",INDIRECT("RC[-1]", 0),"")</f>
        <v/>
      </c>
      <c r="G283" t="str" cm="1">
        <f t="array" aca="1" ref="G283" ca="1">IF(COUNTIF($F$2:$F$1000,INDIRECT("RC[-2]",0))&gt;0,"",INDIRECT("RC[-2]",0))</f>
        <v/>
      </c>
    </row>
    <row r="284" spans="2:7" x14ac:dyDescent="0.25">
      <c r="B284" t="str" cm="1">
        <f t="array" aca="1" ref="B284" ca="1">IFERROR(DATE(RIGHT(INDIRECT("RC[-1]",0),4),LEFT(INDIRECT("RC[-1]",0),2),1), "")</f>
        <v/>
      </c>
      <c r="C284" s="214"/>
      <c r="E284" t="str" cm="1">
        <f t="array" aca="1" ref="E284" ca="1">IF(_xlfn.XLOOKUP(INDIRECT("RC[-1]", 0), CategoryNames, CategoryIdentifiers, "")&lt;&gt;"",INDIRECT("RC[-1]", 0),"")</f>
        <v/>
      </c>
      <c r="G284" t="str" cm="1">
        <f t="array" aca="1" ref="G284" ca="1">IF(COUNTIF($F$2:$F$1000,INDIRECT("RC[-2]",0))&gt;0,"",INDIRECT("RC[-2]",0))</f>
        <v/>
      </c>
    </row>
    <row r="285" spans="2:7" x14ac:dyDescent="0.25">
      <c r="B285" t="str" cm="1">
        <f t="array" aca="1" ref="B285" ca="1">IFERROR(DATE(RIGHT(INDIRECT("RC[-1]",0),4),LEFT(INDIRECT("RC[-1]",0),2),1), "")</f>
        <v/>
      </c>
      <c r="C285" s="214"/>
      <c r="E285" t="str" cm="1">
        <f t="array" aca="1" ref="E285" ca="1">IF(_xlfn.XLOOKUP(INDIRECT("RC[-1]", 0), CategoryNames, CategoryIdentifiers, "")&lt;&gt;"",INDIRECT("RC[-1]", 0),"")</f>
        <v/>
      </c>
      <c r="G285" t="str" cm="1">
        <f t="array" aca="1" ref="G285" ca="1">IF(COUNTIF($F$2:$F$1000,INDIRECT("RC[-2]",0))&gt;0,"",INDIRECT("RC[-2]",0))</f>
        <v/>
      </c>
    </row>
    <row r="286" spans="2:7" x14ac:dyDescent="0.25">
      <c r="B286" t="str" cm="1">
        <f t="array" aca="1" ref="B286" ca="1">IFERROR(DATE(RIGHT(INDIRECT("RC[-1]",0),4),LEFT(INDIRECT("RC[-1]",0),2),1), "")</f>
        <v/>
      </c>
      <c r="C286" s="214"/>
      <c r="E286" t="str" cm="1">
        <f t="array" aca="1" ref="E286" ca="1">IF(_xlfn.XLOOKUP(INDIRECT("RC[-1]", 0), CategoryNames, CategoryIdentifiers, "")&lt;&gt;"",INDIRECT("RC[-1]", 0),"")</f>
        <v/>
      </c>
      <c r="G286" t="str" cm="1">
        <f t="array" aca="1" ref="G286" ca="1">IF(COUNTIF($F$2:$F$1000,INDIRECT("RC[-2]",0))&gt;0,"",INDIRECT("RC[-2]",0))</f>
        <v/>
      </c>
    </row>
    <row r="287" spans="2:7" x14ac:dyDescent="0.25">
      <c r="B287" t="str" cm="1">
        <f t="array" aca="1" ref="B287" ca="1">IFERROR(DATE(RIGHT(INDIRECT("RC[-1]",0),4),LEFT(INDIRECT("RC[-1]",0),2),1), "")</f>
        <v/>
      </c>
      <c r="C287" s="214"/>
      <c r="E287" t="str" cm="1">
        <f t="array" aca="1" ref="E287" ca="1">IF(_xlfn.XLOOKUP(INDIRECT("RC[-1]", 0), CategoryNames, CategoryIdentifiers, "")&lt;&gt;"",INDIRECT("RC[-1]", 0),"")</f>
        <v/>
      </c>
      <c r="G287" t="str" cm="1">
        <f t="array" aca="1" ref="G287" ca="1">IF(COUNTIF($F$2:$F$1000,INDIRECT("RC[-2]",0))&gt;0,"",INDIRECT("RC[-2]",0))</f>
        <v/>
      </c>
    </row>
    <row r="288" spans="2:7" x14ac:dyDescent="0.25">
      <c r="B288" t="str" cm="1">
        <f t="array" aca="1" ref="B288" ca="1">IFERROR(DATE(RIGHT(INDIRECT("RC[-1]",0),4),LEFT(INDIRECT("RC[-1]",0),2),1), "")</f>
        <v/>
      </c>
      <c r="C288" s="214"/>
      <c r="E288" t="str" cm="1">
        <f t="array" aca="1" ref="E288" ca="1">IF(_xlfn.XLOOKUP(INDIRECT("RC[-1]", 0), CategoryNames, CategoryIdentifiers, "")&lt;&gt;"",INDIRECT("RC[-1]", 0),"")</f>
        <v/>
      </c>
      <c r="G288" t="str" cm="1">
        <f t="array" aca="1" ref="G288" ca="1">IF(COUNTIF($F$2:$F$1000,INDIRECT("RC[-2]",0))&gt;0,"",INDIRECT("RC[-2]",0))</f>
        <v/>
      </c>
    </row>
    <row r="289" spans="2:7" x14ac:dyDescent="0.25">
      <c r="B289" t="str" cm="1">
        <f t="array" aca="1" ref="B289" ca="1">IFERROR(DATE(RIGHT(INDIRECT("RC[-1]",0),4),LEFT(INDIRECT("RC[-1]",0),2),1), "")</f>
        <v/>
      </c>
      <c r="C289" s="214"/>
      <c r="E289" t="str" cm="1">
        <f t="array" aca="1" ref="E289" ca="1">IF(_xlfn.XLOOKUP(INDIRECT("RC[-1]", 0), CategoryNames, CategoryIdentifiers, "")&lt;&gt;"",INDIRECT("RC[-1]", 0),"")</f>
        <v/>
      </c>
      <c r="G289" t="str" cm="1">
        <f t="array" aca="1" ref="G289" ca="1">IF(COUNTIF($F$2:$F$1000,INDIRECT("RC[-2]",0))&gt;0,"",INDIRECT("RC[-2]",0))</f>
        <v/>
      </c>
    </row>
    <row r="290" spans="2:7" x14ac:dyDescent="0.25">
      <c r="B290" t="str" cm="1">
        <f t="array" aca="1" ref="B290" ca="1">IFERROR(DATE(RIGHT(INDIRECT("RC[-1]",0),4),LEFT(INDIRECT("RC[-1]",0),2),1), "")</f>
        <v/>
      </c>
      <c r="C290" s="214"/>
      <c r="E290" t="str" cm="1">
        <f t="array" aca="1" ref="E290" ca="1">IF(_xlfn.XLOOKUP(INDIRECT("RC[-1]", 0), CategoryNames, CategoryIdentifiers, "")&lt;&gt;"",INDIRECT("RC[-1]", 0),"")</f>
        <v/>
      </c>
      <c r="G290" t="str" cm="1">
        <f t="array" aca="1" ref="G290" ca="1">IF(COUNTIF($F$2:$F$1000,INDIRECT("RC[-2]",0))&gt;0,"",INDIRECT("RC[-2]",0))</f>
        <v/>
      </c>
    </row>
    <row r="291" spans="2:7" x14ac:dyDescent="0.25">
      <c r="B291" t="str" cm="1">
        <f t="array" aca="1" ref="B291" ca="1">IFERROR(DATE(RIGHT(INDIRECT("RC[-1]",0),4),LEFT(INDIRECT("RC[-1]",0),2),1), "")</f>
        <v/>
      </c>
      <c r="C291" s="214"/>
      <c r="E291" t="str" cm="1">
        <f t="array" aca="1" ref="E291" ca="1">IF(_xlfn.XLOOKUP(INDIRECT("RC[-1]", 0), CategoryNames, CategoryIdentifiers, "")&lt;&gt;"",INDIRECT("RC[-1]", 0),"")</f>
        <v/>
      </c>
      <c r="G291" t="str" cm="1">
        <f t="array" aca="1" ref="G291" ca="1">IF(COUNTIF($F$2:$F$1000,INDIRECT("RC[-2]",0))&gt;0,"",INDIRECT("RC[-2]",0))</f>
        <v/>
      </c>
    </row>
    <row r="292" spans="2:7" x14ac:dyDescent="0.25">
      <c r="B292" t="str" cm="1">
        <f t="array" aca="1" ref="B292" ca="1">IFERROR(DATE(RIGHT(INDIRECT("RC[-1]",0),4),LEFT(INDIRECT("RC[-1]",0),2),1), "")</f>
        <v/>
      </c>
      <c r="C292" s="214"/>
      <c r="E292" t="str" cm="1">
        <f t="array" aca="1" ref="E292" ca="1">IF(_xlfn.XLOOKUP(INDIRECT("RC[-1]", 0), CategoryNames, CategoryIdentifiers, "")&lt;&gt;"",INDIRECT("RC[-1]", 0),"")</f>
        <v/>
      </c>
      <c r="G292" t="str" cm="1">
        <f t="array" aca="1" ref="G292" ca="1">IF(COUNTIF($F$2:$F$1000,INDIRECT("RC[-2]",0))&gt;0,"",INDIRECT("RC[-2]",0))</f>
        <v/>
      </c>
    </row>
    <row r="293" spans="2:7" x14ac:dyDescent="0.25">
      <c r="B293" t="str" cm="1">
        <f t="array" aca="1" ref="B293" ca="1">IFERROR(DATE(RIGHT(INDIRECT("RC[-1]",0),4),LEFT(INDIRECT("RC[-1]",0),2),1), "")</f>
        <v/>
      </c>
      <c r="C293" s="214"/>
      <c r="E293" t="str" cm="1">
        <f t="array" aca="1" ref="E293" ca="1">IF(_xlfn.XLOOKUP(INDIRECT("RC[-1]", 0), CategoryNames, CategoryIdentifiers, "")&lt;&gt;"",INDIRECT("RC[-1]", 0),"")</f>
        <v/>
      </c>
      <c r="G293" t="str" cm="1">
        <f t="array" aca="1" ref="G293" ca="1">IF(COUNTIF($F$2:$F$1000,INDIRECT("RC[-2]",0))&gt;0,"",INDIRECT("RC[-2]",0))</f>
        <v/>
      </c>
    </row>
    <row r="294" spans="2:7" x14ac:dyDescent="0.25">
      <c r="B294" t="str" cm="1">
        <f t="array" aca="1" ref="B294" ca="1">IFERROR(DATE(RIGHT(INDIRECT("RC[-1]",0),4),LEFT(INDIRECT("RC[-1]",0),2),1), "")</f>
        <v/>
      </c>
      <c r="C294" s="214"/>
      <c r="E294" t="str" cm="1">
        <f t="array" aca="1" ref="E294" ca="1">IF(_xlfn.XLOOKUP(INDIRECT("RC[-1]", 0), CategoryNames, CategoryIdentifiers, "")&lt;&gt;"",INDIRECT("RC[-1]", 0),"")</f>
        <v/>
      </c>
      <c r="G294" t="str" cm="1">
        <f t="array" aca="1" ref="G294" ca="1">IF(COUNTIF($F$2:$F$1000,INDIRECT("RC[-2]",0))&gt;0,"",INDIRECT("RC[-2]",0))</f>
        <v/>
      </c>
    </row>
    <row r="295" spans="2:7" x14ac:dyDescent="0.25">
      <c r="B295" t="str" cm="1">
        <f t="array" aca="1" ref="B295" ca="1">IFERROR(DATE(RIGHT(INDIRECT("RC[-1]",0),4),LEFT(INDIRECT("RC[-1]",0),2),1), "")</f>
        <v/>
      </c>
      <c r="C295" s="214"/>
      <c r="E295" t="str" cm="1">
        <f t="array" aca="1" ref="E295" ca="1">IF(_xlfn.XLOOKUP(INDIRECT("RC[-1]", 0), CategoryNames, CategoryIdentifiers, "")&lt;&gt;"",INDIRECT("RC[-1]", 0),"")</f>
        <v/>
      </c>
      <c r="G295" t="str" cm="1">
        <f t="array" aca="1" ref="G295" ca="1">IF(COUNTIF($F$2:$F$1000,INDIRECT("RC[-2]",0))&gt;0,"",INDIRECT("RC[-2]",0))</f>
        <v/>
      </c>
    </row>
    <row r="296" spans="2:7" x14ac:dyDescent="0.25">
      <c r="B296" t="str" cm="1">
        <f t="array" aca="1" ref="B296" ca="1">IFERROR(DATE(RIGHT(INDIRECT("RC[-1]",0),4),LEFT(INDIRECT("RC[-1]",0),2),1), "")</f>
        <v/>
      </c>
      <c r="C296" s="214"/>
      <c r="E296" t="str" cm="1">
        <f t="array" aca="1" ref="E296" ca="1">IF(_xlfn.XLOOKUP(INDIRECT("RC[-1]", 0), CategoryNames, CategoryIdentifiers, "")&lt;&gt;"",INDIRECT("RC[-1]", 0),"")</f>
        <v/>
      </c>
      <c r="G296" t="str" cm="1">
        <f t="array" aca="1" ref="G296" ca="1">IF(COUNTIF($F$2:$F$1000,INDIRECT("RC[-2]",0))&gt;0,"",INDIRECT("RC[-2]",0))</f>
        <v/>
      </c>
    </row>
    <row r="297" spans="2:7" x14ac:dyDescent="0.25">
      <c r="B297" t="str" cm="1">
        <f t="array" aca="1" ref="B297" ca="1">IFERROR(DATE(RIGHT(INDIRECT("RC[-1]",0),4),LEFT(INDIRECT("RC[-1]",0),2),1), "")</f>
        <v/>
      </c>
      <c r="C297" s="214"/>
      <c r="E297" t="str" cm="1">
        <f t="array" aca="1" ref="E297" ca="1">IF(_xlfn.XLOOKUP(INDIRECT("RC[-1]", 0), CategoryNames, CategoryIdentifiers, "")&lt;&gt;"",INDIRECT("RC[-1]", 0),"")</f>
        <v/>
      </c>
      <c r="G297" t="str" cm="1">
        <f t="array" aca="1" ref="G297" ca="1">IF(COUNTIF($F$2:$F$1000,INDIRECT("RC[-2]",0))&gt;0,"",INDIRECT("RC[-2]",0))</f>
        <v/>
      </c>
    </row>
    <row r="298" spans="2:7" x14ac:dyDescent="0.25">
      <c r="B298" t="str" cm="1">
        <f t="array" aca="1" ref="B298" ca="1">IFERROR(DATE(RIGHT(INDIRECT("RC[-1]",0),4),LEFT(INDIRECT("RC[-1]",0),2),1), "")</f>
        <v/>
      </c>
      <c r="C298" s="214"/>
      <c r="E298" t="str" cm="1">
        <f t="array" aca="1" ref="E298" ca="1">IF(_xlfn.XLOOKUP(INDIRECT("RC[-1]", 0), CategoryNames, CategoryIdentifiers, "")&lt;&gt;"",INDIRECT("RC[-1]", 0),"")</f>
        <v/>
      </c>
      <c r="G298" t="str" cm="1">
        <f t="array" aca="1" ref="G298" ca="1">IF(COUNTIF($F$2:$F$1000,INDIRECT("RC[-2]",0))&gt;0,"",INDIRECT("RC[-2]",0))</f>
        <v/>
      </c>
    </row>
    <row r="299" spans="2:7" x14ac:dyDescent="0.25">
      <c r="B299" t="str" cm="1">
        <f t="array" aca="1" ref="B299" ca="1">IFERROR(DATE(RIGHT(INDIRECT("RC[-1]",0),4),LEFT(INDIRECT("RC[-1]",0),2),1), "")</f>
        <v/>
      </c>
      <c r="C299" s="214"/>
      <c r="E299" t="str" cm="1">
        <f t="array" aca="1" ref="E299" ca="1">IF(_xlfn.XLOOKUP(INDIRECT("RC[-1]", 0), CategoryNames, CategoryIdentifiers, "")&lt;&gt;"",INDIRECT("RC[-1]", 0),"")</f>
        <v/>
      </c>
      <c r="G299" t="str" cm="1">
        <f t="array" aca="1" ref="G299" ca="1">IF(COUNTIF($F$2:$F$1000,INDIRECT("RC[-2]",0))&gt;0,"",INDIRECT("RC[-2]",0))</f>
        <v/>
      </c>
    </row>
    <row r="300" spans="2:7" x14ac:dyDescent="0.25">
      <c r="B300" t="str" cm="1">
        <f t="array" aca="1" ref="B300" ca="1">IFERROR(DATE(RIGHT(INDIRECT("RC[-1]",0),4),LEFT(INDIRECT("RC[-1]",0),2),1), "")</f>
        <v/>
      </c>
      <c r="C300" s="214"/>
      <c r="E300" t="str" cm="1">
        <f t="array" aca="1" ref="E300" ca="1">IF(_xlfn.XLOOKUP(INDIRECT("RC[-1]", 0), CategoryNames, CategoryIdentifiers, "")&lt;&gt;"",INDIRECT("RC[-1]", 0),"")</f>
        <v/>
      </c>
      <c r="G300" t="str" cm="1">
        <f t="array" aca="1" ref="G300" ca="1">IF(COUNTIF($F$2:$F$1000,INDIRECT("RC[-2]",0))&gt;0,"",INDIRECT("RC[-2]",0))</f>
        <v/>
      </c>
    </row>
    <row r="301" spans="2:7" x14ac:dyDescent="0.25">
      <c r="B301" t="str" cm="1">
        <f t="array" aca="1" ref="B301" ca="1">IFERROR(DATE(RIGHT(INDIRECT("RC[-1]",0),4),LEFT(INDIRECT("RC[-1]",0),2),1), "")</f>
        <v/>
      </c>
      <c r="C301" s="214"/>
      <c r="E301" t="str" cm="1">
        <f t="array" aca="1" ref="E301" ca="1">IF(_xlfn.XLOOKUP(INDIRECT("RC[-1]", 0), CategoryNames, CategoryIdentifiers, "")&lt;&gt;"",INDIRECT("RC[-1]", 0),"")</f>
        <v/>
      </c>
      <c r="G301" t="str" cm="1">
        <f t="array" aca="1" ref="G301" ca="1">IF(COUNTIF($F$2:$F$1000,INDIRECT("RC[-2]",0))&gt;0,"",INDIRECT("RC[-2]",0))</f>
        <v/>
      </c>
    </row>
    <row r="302" spans="2:7" x14ac:dyDescent="0.25">
      <c r="B302" t="str" cm="1">
        <f t="array" aca="1" ref="B302" ca="1">IFERROR(DATE(RIGHT(INDIRECT("RC[-1]",0),4),LEFT(INDIRECT("RC[-1]",0),2),1), "")</f>
        <v/>
      </c>
      <c r="C302" s="214"/>
      <c r="E302" t="str" cm="1">
        <f t="array" aca="1" ref="E302" ca="1">IF(_xlfn.XLOOKUP(INDIRECT("RC[-1]", 0), CategoryNames, CategoryIdentifiers, "")&lt;&gt;"",INDIRECT("RC[-1]", 0),"")</f>
        <v/>
      </c>
      <c r="G302" t="str" cm="1">
        <f t="array" aca="1" ref="G302" ca="1">IF(COUNTIF($F$2:$F$1000,INDIRECT("RC[-2]",0))&gt;0,"",INDIRECT("RC[-2]",0))</f>
        <v/>
      </c>
    </row>
    <row r="303" spans="2:7" x14ac:dyDescent="0.25">
      <c r="B303" t="str" cm="1">
        <f t="array" aca="1" ref="B303" ca="1">IFERROR(DATE(RIGHT(INDIRECT("RC[-1]",0),4),LEFT(INDIRECT("RC[-1]",0),2),1), "")</f>
        <v/>
      </c>
      <c r="C303" s="214"/>
      <c r="E303" t="str" cm="1">
        <f t="array" aca="1" ref="E303" ca="1">IF(_xlfn.XLOOKUP(INDIRECT("RC[-1]", 0), CategoryNames, CategoryIdentifiers, "")&lt;&gt;"",INDIRECT("RC[-1]", 0),"")</f>
        <v/>
      </c>
      <c r="G303" t="str" cm="1">
        <f t="array" aca="1" ref="G303" ca="1">IF(COUNTIF($F$2:$F$1000,INDIRECT("RC[-2]",0))&gt;0,"",INDIRECT("RC[-2]",0))</f>
        <v/>
      </c>
    </row>
    <row r="304" spans="2:7" x14ac:dyDescent="0.25">
      <c r="B304" t="str" cm="1">
        <f t="array" aca="1" ref="B304" ca="1">IFERROR(DATE(RIGHT(INDIRECT("RC[-1]",0),4),LEFT(INDIRECT("RC[-1]",0),2),1), "")</f>
        <v/>
      </c>
      <c r="C304" s="214"/>
      <c r="E304" t="str" cm="1">
        <f t="array" aca="1" ref="E304" ca="1">IF(_xlfn.XLOOKUP(INDIRECT("RC[-1]", 0), CategoryNames, CategoryIdentifiers, "")&lt;&gt;"",INDIRECT("RC[-1]", 0),"")</f>
        <v/>
      </c>
      <c r="G304" t="str" cm="1">
        <f t="array" aca="1" ref="G304" ca="1">IF(COUNTIF($F$2:$F$1000,INDIRECT("RC[-2]",0))&gt;0,"",INDIRECT("RC[-2]",0))</f>
        <v/>
      </c>
    </row>
    <row r="305" spans="2:7" x14ac:dyDescent="0.25">
      <c r="B305" t="str" cm="1">
        <f t="array" aca="1" ref="B305" ca="1">IFERROR(DATE(RIGHT(INDIRECT("RC[-1]",0),4),LEFT(INDIRECT("RC[-1]",0),2),1), "")</f>
        <v/>
      </c>
      <c r="C305" s="214"/>
      <c r="E305" t="str" cm="1">
        <f t="array" aca="1" ref="E305" ca="1">IF(_xlfn.XLOOKUP(INDIRECT("RC[-1]", 0), CategoryNames, CategoryIdentifiers, "")&lt;&gt;"",INDIRECT("RC[-1]", 0),"")</f>
        <v/>
      </c>
      <c r="G305" t="str" cm="1">
        <f t="array" aca="1" ref="G305" ca="1">IF(COUNTIF($F$2:$F$1000,INDIRECT("RC[-2]",0))&gt;0,"",INDIRECT("RC[-2]",0))</f>
        <v/>
      </c>
    </row>
    <row r="306" spans="2:7" x14ac:dyDescent="0.25">
      <c r="B306" t="str" cm="1">
        <f t="array" aca="1" ref="B306" ca="1">IFERROR(DATE(RIGHT(INDIRECT("RC[-1]",0),4),LEFT(INDIRECT("RC[-1]",0),2),1), "")</f>
        <v/>
      </c>
      <c r="C306" s="214"/>
      <c r="E306" t="str" cm="1">
        <f t="array" aca="1" ref="E306" ca="1">IF(_xlfn.XLOOKUP(INDIRECT("RC[-1]", 0), CategoryNames, CategoryIdentifiers, "")&lt;&gt;"",INDIRECT("RC[-1]", 0),"")</f>
        <v/>
      </c>
      <c r="G306" t="str" cm="1">
        <f t="array" aca="1" ref="G306" ca="1">IF(COUNTIF($F$2:$F$1000,INDIRECT("RC[-2]",0))&gt;0,"",INDIRECT("RC[-2]",0))</f>
        <v/>
      </c>
    </row>
    <row r="307" spans="2:7" x14ac:dyDescent="0.25">
      <c r="B307" t="str" cm="1">
        <f t="array" aca="1" ref="B307" ca="1">IFERROR(DATE(RIGHT(INDIRECT("RC[-1]",0),4),LEFT(INDIRECT("RC[-1]",0),2),1), "")</f>
        <v/>
      </c>
      <c r="C307" s="214"/>
      <c r="E307" t="str" cm="1">
        <f t="array" aca="1" ref="E307" ca="1">IF(_xlfn.XLOOKUP(INDIRECT("RC[-1]", 0), CategoryNames, CategoryIdentifiers, "")&lt;&gt;"",INDIRECT("RC[-1]", 0),"")</f>
        <v/>
      </c>
      <c r="G307" t="str" cm="1">
        <f t="array" aca="1" ref="G307" ca="1">IF(COUNTIF($F$2:$F$1000,INDIRECT("RC[-2]",0))&gt;0,"",INDIRECT("RC[-2]",0))</f>
        <v/>
      </c>
    </row>
    <row r="308" spans="2:7" x14ac:dyDescent="0.25">
      <c r="B308" t="str" cm="1">
        <f t="array" aca="1" ref="B308" ca="1">IFERROR(DATE(RIGHT(INDIRECT("RC[-1]",0),4),LEFT(INDIRECT("RC[-1]",0),2),1), "")</f>
        <v/>
      </c>
      <c r="C308" s="214"/>
      <c r="E308" t="str" cm="1">
        <f t="array" aca="1" ref="E308" ca="1">IF(_xlfn.XLOOKUP(INDIRECT("RC[-1]", 0), CategoryNames, CategoryIdentifiers, "")&lt;&gt;"",INDIRECT("RC[-1]", 0),"")</f>
        <v/>
      </c>
      <c r="G308" t="str" cm="1">
        <f t="array" aca="1" ref="G308" ca="1">IF(COUNTIF($F$2:$F$1000,INDIRECT("RC[-2]",0))&gt;0,"",INDIRECT("RC[-2]",0))</f>
        <v/>
      </c>
    </row>
    <row r="309" spans="2:7" x14ac:dyDescent="0.25">
      <c r="B309" t="str" cm="1">
        <f t="array" aca="1" ref="B309" ca="1">IFERROR(DATE(RIGHT(INDIRECT("RC[-1]",0),4),LEFT(INDIRECT("RC[-1]",0),2),1), "")</f>
        <v/>
      </c>
      <c r="C309" s="214"/>
      <c r="E309" t="str" cm="1">
        <f t="array" aca="1" ref="E309" ca="1">IF(_xlfn.XLOOKUP(INDIRECT("RC[-1]", 0), CategoryNames, CategoryIdentifiers, "")&lt;&gt;"",INDIRECT("RC[-1]", 0),"")</f>
        <v/>
      </c>
      <c r="G309" t="str" cm="1">
        <f t="array" aca="1" ref="G309" ca="1">IF(COUNTIF($F$2:$F$1000,INDIRECT("RC[-2]",0))&gt;0,"",INDIRECT("RC[-2]",0))</f>
        <v/>
      </c>
    </row>
    <row r="310" spans="2:7" x14ac:dyDescent="0.25">
      <c r="B310" t="str" cm="1">
        <f t="array" aca="1" ref="B310" ca="1">IFERROR(DATE(RIGHT(INDIRECT("RC[-1]",0),4),LEFT(INDIRECT("RC[-1]",0),2),1), "")</f>
        <v/>
      </c>
      <c r="C310" s="214"/>
      <c r="E310" t="str" cm="1">
        <f t="array" aca="1" ref="E310" ca="1">IF(_xlfn.XLOOKUP(INDIRECT("RC[-1]", 0), CategoryNames, CategoryIdentifiers, "")&lt;&gt;"",INDIRECT("RC[-1]", 0),"")</f>
        <v/>
      </c>
      <c r="G310" t="str" cm="1">
        <f t="array" aca="1" ref="G310" ca="1">IF(COUNTIF($F$2:$F$1000,INDIRECT("RC[-2]",0))&gt;0,"",INDIRECT("RC[-2]",0))</f>
        <v/>
      </c>
    </row>
    <row r="311" spans="2:7" x14ac:dyDescent="0.25">
      <c r="B311" t="str" cm="1">
        <f t="array" aca="1" ref="B311" ca="1">IFERROR(DATE(RIGHT(INDIRECT("RC[-1]",0),4),LEFT(INDIRECT("RC[-1]",0),2),1), "")</f>
        <v/>
      </c>
      <c r="C311" s="214"/>
      <c r="E311" t="str" cm="1">
        <f t="array" aca="1" ref="E311" ca="1">IF(_xlfn.XLOOKUP(INDIRECT("RC[-1]", 0), CategoryNames, CategoryIdentifiers, "")&lt;&gt;"",INDIRECT("RC[-1]", 0),"")</f>
        <v/>
      </c>
      <c r="G311" t="str" cm="1">
        <f t="array" aca="1" ref="G311" ca="1">IF(COUNTIF($F$2:$F$1000,INDIRECT("RC[-2]",0))&gt;0,"",INDIRECT("RC[-2]",0))</f>
        <v/>
      </c>
    </row>
    <row r="312" spans="2:7" x14ac:dyDescent="0.25">
      <c r="B312" t="str" cm="1">
        <f t="array" aca="1" ref="B312" ca="1">IFERROR(DATE(RIGHT(INDIRECT("RC[-1]",0),4),LEFT(INDIRECT("RC[-1]",0),2),1), "")</f>
        <v/>
      </c>
      <c r="C312" s="214"/>
      <c r="E312" t="str" cm="1">
        <f t="array" aca="1" ref="E312" ca="1">IF(_xlfn.XLOOKUP(INDIRECT("RC[-1]", 0), CategoryNames, CategoryIdentifiers, "")&lt;&gt;"",INDIRECT("RC[-1]", 0),"")</f>
        <v/>
      </c>
      <c r="G312" t="str" cm="1">
        <f t="array" aca="1" ref="G312" ca="1">IF(COUNTIF($F$2:$F$1000,INDIRECT("RC[-2]",0))&gt;0,"",INDIRECT("RC[-2]",0))</f>
        <v/>
      </c>
    </row>
    <row r="313" spans="2:7" x14ac:dyDescent="0.25">
      <c r="B313" t="str" cm="1">
        <f t="array" aca="1" ref="B313" ca="1">IFERROR(DATE(RIGHT(INDIRECT("RC[-1]",0),4),LEFT(INDIRECT("RC[-1]",0),2),1), "")</f>
        <v/>
      </c>
      <c r="C313" s="214"/>
      <c r="E313" t="str" cm="1">
        <f t="array" aca="1" ref="E313" ca="1">IF(_xlfn.XLOOKUP(INDIRECT("RC[-1]", 0), CategoryNames, CategoryIdentifiers, "")&lt;&gt;"",INDIRECT("RC[-1]", 0),"")</f>
        <v/>
      </c>
      <c r="G313" t="str" cm="1">
        <f t="array" aca="1" ref="G313" ca="1">IF(COUNTIF($F$2:$F$1000,INDIRECT("RC[-2]",0))&gt;0,"",INDIRECT("RC[-2]",0))</f>
        <v/>
      </c>
    </row>
    <row r="314" spans="2:7" x14ac:dyDescent="0.25">
      <c r="B314" t="str" cm="1">
        <f t="array" aca="1" ref="B314" ca="1">IFERROR(DATE(RIGHT(INDIRECT("RC[-1]",0),4),LEFT(INDIRECT("RC[-1]",0),2),1), "")</f>
        <v/>
      </c>
      <c r="C314" s="214"/>
      <c r="E314" t="str" cm="1">
        <f t="array" aca="1" ref="E314" ca="1">IF(_xlfn.XLOOKUP(INDIRECT("RC[-1]", 0), CategoryNames, CategoryIdentifiers, "")&lt;&gt;"",INDIRECT("RC[-1]", 0),"")</f>
        <v/>
      </c>
      <c r="G314" t="str" cm="1">
        <f t="array" aca="1" ref="G314" ca="1">IF(COUNTIF($F$2:$F$1000,INDIRECT("RC[-2]",0))&gt;0,"",INDIRECT("RC[-2]",0))</f>
        <v/>
      </c>
    </row>
    <row r="315" spans="2:7" x14ac:dyDescent="0.25">
      <c r="B315" t="str" cm="1">
        <f t="array" aca="1" ref="B315" ca="1">IFERROR(DATE(RIGHT(INDIRECT("RC[-1]",0),4),LEFT(INDIRECT("RC[-1]",0),2),1), "")</f>
        <v/>
      </c>
      <c r="C315" s="214"/>
      <c r="E315" t="str" cm="1">
        <f t="array" aca="1" ref="E315" ca="1">IF(_xlfn.XLOOKUP(INDIRECT("RC[-1]", 0), CategoryNames, CategoryIdentifiers, "")&lt;&gt;"",INDIRECT("RC[-1]", 0),"")</f>
        <v/>
      </c>
      <c r="G315" t="str" cm="1">
        <f t="array" aca="1" ref="G315" ca="1">IF(COUNTIF($F$2:$F$1000,INDIRECT("RC[-2]",0))&gt;0,"",INDIRECT("RC[-2]",0))</f>
        <v/>
      </c>
    </row>
    <row r="316" spans="2:7" x14ac:dyDescent="0.25">
      <c r="B316" t="str" cm="1">
        <f t="array" aca="1" ref="B316" ca="1">IFERROR(DATE(RIGHT(INDIRECT("RC[-1]",0),4),LEFT(INDIRECT("RC[-1]",0),2),1), "")</f>
        <v/>
      </c>
      <c r="C316" s="214"/>
      <c r="E316" t="str" cm="1">
        <f t="array" aca="1" ref="E316" ca="1">IF(_xlfn.XLOOKUP(INDIRECT("RC[-1]", 0), CategoryNames, CategoryIdentifiers, "")&lt;&gt;"",INDIRECT("RC[-1]", 0),"")</f>
        <v/>
      </c>
      <c r="G316" t="str" cm="1">
        <f t="array" aca="1" ref="G316" ca="1">IF(COUNTIF($F$2:$F$1000,INDIRECT("RC[-2]",0))&gt;0,"",INDIRECT("RC[-2]",0))</f>
        <v/>
      </c>
    </row>
    <row r="317" spans="2:7" x14ac:dyDescent="0.25">
      <c r="B317" t="str" cm="1">
        <f t="array" aca="1" ref="B317" ca="1">IFERROR(DATE(RIGHT(INDIRECT("RC[-1]",0),4),LEFT(INDIRECT("RC[-1]",0),2),1), "")</f>
        <v/>
      </c>
      <c r="C317" s="214"/>
      <c r="E317" t="str" cm="1">
        <f t="array" aca="1" ref="E317" ca="1">IF(_xlfn.XLOOKUP(INDIRECT("RC[-1]", 0), CategoryNames, CategoryIdentifiers, "")&lt;&gt;"",INDIRECT("RC[-1]", 0),"")</f>
        <v/>
      </c>
      <c r="G317" t="str" cm="1">
        <f t="array" aca="1" ref="G317" ca="1">IF(COUNTIF($F$2:$F$1000,INDIRECT("RC[-2]",0))&gt;0,"",INDIRECT("RC[-2]",0))</f>
        <v/>
      </c>
    </row>
    <row r="318" spans="2:7" x14ac:dyDescent="0.25">
      <c r="B318" t="str" cm="1">
        <f t="array" aca="1" ref="B318" ca="1">IFERROR(DATE(RIGHT(INDIRECT("RC[-1]",0),4),LEFT(INDIRECT("RC[-1]",0),2),1), "")</f>
        <v/>
      </c>
      <c r="C318" s="214"/>
      <c r="E318" t="str" cm="1">
        <f t="array" aca="1" ref="E318" ca="1">IF(_xlfn.XLOOKUP(INDIRECT("RC[-1]", 0), CategoryNames, CategoryIdentifiers, "")&lt;&gt;"",INDIRECT("RC[-1]", 0),"")</f>
        <v/>
      </c>
      <c r="G318" t="str" cm="1">
        <f t="array" aca="1" ref="G318" ca="1">IF(COUNTIF($F$2:$F$1000,INDIRECT("RC[-2]",0))&gt;0,"",INDIRECT("RC[-2]",0))</f>
        <v/>
      </c>
    </row>
    <row r="319" spans="2:7" x14ac:dyDescent="0.25">
      <c r="B319" t="str" cm="1">
        <f t="array" aca="1" ref="B319" ca="1">IFERROR(DATE(RIGHT(INDIRECT("RC[-1]",0),4),LEFT(INDIRECT("RC[-1]",0),2),1), "")</f>
        <v/>
      </c>
      <c r="C319" s="214"/>
      <c r="E319" t="str" cm="1">
        <f t="array" aca="1" ref="E319" ca="1">IF(_xlfn.XLOOKUP(INDIRECT("RC[-1]", 0), CategoryNames, CategoryIdentifiers, "")&lt;&gt;"",INDIRECT("RC[-1]", 0),"")</f>
        <v/>
      </c>
      <c r="G319" t="str" cm="1">
        <f t="array" aca="1" ref="G319" ca="1">IF(COUNTIF($F$2:$F$1000,INDIRECT("RC[-2]",0))&gt;0,"",INDIRECT("RC[-2]",0))</f>
        <v/>
      </c>
    </row>
    <row r="320" spans="2:7" x14ac:dyDescent="0.25">
      <c r="B320" t="str" cm="1">
        <f t="array" aca="1" ref="B320" ca="1">IFERROR(DATE(RIGHT(INDIRECT("RC[-1]",0),4),LEFT(INDIRECT("RC[-1]",0),2),1), "")</f>
        <v/>
      </c>
      <c r="C320" s="214"/>
      <c r="E320" t="str" cm="1">
        <f t="array" aca="1" ref="E320" ca="1">IF(_xlfn.XLOOKUP(INDIRECT("RC[-1]", 0), CategoryNames, CategoryIdentifiers, "")&lt;&gt;"",INDIRECT("RC[-1]", 0),"")</f>
        <v/>
      </c>
      <c r="G320" t="str" cm="1">
        <f t="array" aca="1" ref="G320" ca="1">IF(COUNTIF($F$2:$F$1000,INDIRECT("RC[-2]",0))&gt;0,"",INDIRECT("RC[-2]",0))</f>
        <v/>
      </c>
    </row>
    <row r="321" spans="2:7" x14ac:dyDescent="0.25">
      <c r="B321" t="str" cm="1">
        <f t="array" aca="1" ref="B321" ca="1">IFERROR(DATE(RIGHT(INDIRECT("RC[-1]",0),4),LEFT(INDIRECT("RC[-1]",0),2),1), "")</f>
        <v/>
      </c>
      <c r="C321" s="214"/>
      <c r="E321" t="str" cm="1">
        <f t="array" aca="1" ref="E321" ca="1">IF(_xlfn.XLOOKUP(INDIRECT("RC[-1]", 0), CategoryNames, CategoryIdentifiers, "")&lt;&gt;"",INDIRECT("RC[-1]", 0),"")</f>
        <v/>
      </c>
      <c r="G321" t="str" cm="1">
        <f t="array" aca="1" ref="G321" ca="1">IF(COUNTIF($F$2:$F$1000,INDIRECT("RC[-2]",0))&gt;0,"",INDIRECT("RC[-2]",0))</f>
        <v/>
      </c>
    </row>
    <row r="322" spans="2:7" x14ac:dyDescent="0.25">
      <c r="B322" t="str" cm="1">
        <f t="array" aca="1" ref="B322" ca="1">IFERROR(DATE(RIGHT(INDIRECT("RC[-1]",0),4),LEFT(INDIRECT("RC[-1]",0),2),1), "")</f>
        <v/>
      </c>
      <c r="C322" s="214"/>
      <c r="E322" t="str" cm="1">
        <f t="array" aca="1" ref="E322" ca="1">IF(_xlfn.XLOOKUP(INDIRECT("RC[-1]", 0), CategoryNames, CategoryIdentifiers, "")&lt;&gt;"",INDIRECT("RC[-1]", 0),"")</f>
        <v/>
      </c>
      <c r="G322" t="str" cm="1">
        <f t="array" aca="1" ref="G322" ca="1">IF(COUNTIF($F$2:$F$1000,INDIRECT("RC[-2]",0))&gt;0,"",INDIRECT("RC[-2]",0))</f>
        <v/>
      </c>
    </row>
    <row r="323" spans="2:7" x14ac:dyDescent="0.25">
      <c r="B323" t="str" cm="1">
        <f t="array" aca="1" ref="B323" ca="1">IFERROR(DATE(RIGHT(INDIRECT("RC[-1]",0),4),LEFT(INDIRECT("RC[-1]",0),2),1), "")</f>
        <v/>
      </c>
      <c r="C323" s="214"/>
      <c r="E323" t="str" cm="1">
        <f t="array" aca="1" ref="E323" ca="1">IF(_xlfn.XLOOKUP(INDIRECT("RC[-1]", 0), CategoryNames, CategoryIdentifiers, "")&lt;&gt;"",INDIRECT("RC[-1]", 0),"")</f>
        <v/>
      </c>
      <c r="G323" t="str" cm="1">
        <f t="array" aca="1" ref="G323" ca="1">IF(COUNTIF($F$2:$F$1000,INDIRECT("RC[-2]",0))&gt;0,"",INDIRECT("RC[-2]",0))</f>
        <v/>
      </c>
    </row>
    <row r="324" spans="2:7" x14ac:dyDescent="0.25">
      <c r="B324" t="str" cm="1">
        <f t="array" aca="1" ref="B324" ca="1">IFERROR(DATE(RIGHT(INDIRECT("RC[-1]",0),4),LEFT(INDIRECT("RC[-1]",0),2),1), "")</f>
        <v/>
      </c>
      <c r="C324" s="214"/>
      <c r="E324" t="str" cm="1">
        <f t="array" aca="1" ref="E324" ca="1">IF(_xlfn.XLOOKUP(INDIRECT("RC[-1]", 0), CategoryNames, CategoryIdentifiers, "")&lt;&gt;"",INDIRECT("RC[-1]", 0),"")</f>
        <v/>
      </c>
      <c r="G324" t="str" cm="1">
        <f t="array" aca="1" ref="G324" ca="1">IF(COUNTIF($F$2:$F$1000,INDIRECT("RC[-2]",0))&gt;0,"",INDIRECT("RC[-2]",0))</f>
        <v/>
      </c>
    </row>
    <row r="325" spans="2:7" x14ac:dyDescent="0.25">
      <c r="B325" t="str" cm="1">
        <f t="array" aca="1" ref="B325" ca="1">IFERROR(DATE(RIGHT(INDIRECT("RC[-1]",0),4),LEFT(INDIRECT("RC[-1]",0),2),1), "")</f>
        <v/>
      </c>
      <c r="C325" s="214"/>
      <c r="E325" t="str" cm="1">
        <f t="array" aca="1" ref="E325" ca="1">IF(_xlfn.XLOOKUP(INDIRECT("RC[-1]", 0), CategoryNames, CategoryIdentifiers, "")&lt;&gt;"",INDIRECT("RC[-1]", 0),"")</f>
        <v/>
      </c>
      <c r="G325" t="str" cm="1">
        <f t="array" aca="1" ref="G325" ca="1">IF(COUNTIF($F$2:$F$1000,INDIRECT("RC[-2]",0))&gt;0,"",INDIRECT("RC[-2]",0))</f>
        <v/>
      </c>
    </row>
    <row r="326" spans="2:7" x14ac:dyDescent="0.25">
      <c r="B326" t="str" cm="1">
        <f t="array" aca="1" ref="B326" ca="1">IFERROR(DATE(RIGHT(INDIRECT("RC[-1]",0),4),LEFT(INDIRECT("RC[-1]",0),2),1), "")</f>
        <v/>
      </c>
      <c r="C326" s="214"/>
      <c r="E326" t="str" cm="1">
        <f t="array" aca="1" ref="E326" ca="1">IF(_xlfn.XLOOKUP(INDIRECT("RC[-1]", 0), CategoryNames, CategoryIdentifiers, "")&lt;&gt;"",INDIRECT("RC[-1]", 0),"")</f>
        <v/>
      </c>
      <c r="G326" t="str" cm="1">
        <f t="array" aca="1" ref="G326" ca="1">IF(COUNTIF($F$2:$F$1000,INDIRECT("RC[-2]",0))&gt;0,"",INDIRECT("RC[-2]",0))</f>
        <v/>
      </c>
    </row>
    <row r="327" spans="2:7" x14ac:dyDescent="0.25">
      <c r="B327" t="str" cm="1">
        <f t="array" aca="1" ref="B327" ca="1">IFERROR(DATE(RIGHT(INDIRECT("RC[-1]",0),4),LEFT(INDIRECT("RC[-1]",0),2),1), "")</f>
        <v/>
      </c>
      <c r="C327" s="214"/>
      <c r="E327" t="str" cm="1">
        <f t="array" aca="1" ref="E327" ca="1">IF(_xlfn.XLOOKUP(INDIRECT("RC[-1]", 0), CategoryNames, CategoryIdentifiers, "")&lt;&gt;"",INDIRECT("RC[-1]", 0),"")</f>
        <v/>
      </c>
      <c r="G327" t="str" cm="1">
        <f t="array" aca="1" ref="G327" ca="1">IF(COUNTIF($F$2:$F$1000,INDIRECT("RC[-2]",0))&gt;0,"",INDIRECT("RC[-2]",0))</f>
        <v/>
      </c>
    </row>
    <row r="328" spans="2:7" x14ac:dyDescent="0.25">
      <c r="B328" t="str" cm="1">
        <f t="array" aca="1" ref="B328" ca="1">IFERROR(DATE(RIGHT(INDIRECT("RC[-1]",0),4),LEFT(INDIRECT("RC[-1]",0),2),1), "")</f>
        <v/>
      </c>
      <c r="C328" s="214"/>
      <c r="E328" t="str" cm="1">
        <f t="array" aca="1" ref="E328" ca="1">IF(_xlfn.XLOOKUP(INDIRECT("RC[-1]", 0), CategoryNames, CategoryIdentifiers, "")&lt;&gt;"",INDIRECT("RC[-1]", 0),"")</f>
        <v/>
      </c>
      <c r="G328" t="str" cm="1">
        <f t="array" aca="1" ref="G328" ca="1">IF(COUNTIF($F$2:$F$1000,INDIRECT("RC[-2]",0))&gt;0,"",INDIRECT("RC[-2]",0))</f>
        <v/>
      </c>
    </row>
    <row r="329" spans="2:7" x14ac:dyDescent="0.25">
      <c r="B329" t="str" cm="1">
        <f t="array" aca="1" ref="B329" ca="1">IFERROR(DATE(RIGHT(INDIRECT("RC[-1]",0),4),LEFT(INDIRECT("RC[-1]",0),2),1), "")</f>
        <v/>
      </c>
      <c r="C329" s="214"/>
      <c r="E329" t="str" cm="1">
        <f t="array" aca="1" ref="E329" ca="1">IF(_xlfn.XLOOKUP(INDIRECT("RC[-1]", 0), CategoryNames, CategoryIdentifiers, "")&lt;&gt;"",INDIRECT("RC[-1]", 0),"")</f>
        <v/>
      </c>
      <c r="G329" t="str" cm="1">
        <f t="array" aca="1" ref="G329" ca="1">IF(COUNTIF($F$2:$F$1000,INDIRECT("RC[-2]",0))&gt;0,"",INDIRECT("RC[-2]",0))</f>
        <v/>
      </c>
    </row>
    <row r="330" spans="2:7" x14ac:dyDescent="0.25">
      <c r="B330" t="str" cm="1">
        <f t="array" aca="1" ref="B330" ca="1">IFERROR(DATE(RIGHT(INDIRECT("RC[-1]",0),4),LEFT(INDIRECT("RC[-1]",0),2),1), "")</f>
        <v/>
      </c>
      <c r="C330" s="214"/>
      <c r="E330" t="str" cm="1">
        <f t="array" aca="1" ref="E330" ca="1">IF(_xlfn.XLOOKUP(INDIRECT("RC[-1]", 0), CategoryNames, CategoryIdentifiers, "")&lt;&gt;"",INDIRECT("RC[-1]", 0),"")</f>
        <v/>
      </c>
      <c r="G330" t="str" cm="1">
        <f t="array" aca="1" ref="G330" ca="1">IF(COUNTIF($F$2:$F$1000,INDIRECT("RC[-2]",0))&gt;0,"",INDIRECT("RC[-2]",0))</f>
        <v/>
      </c>
    </row>
    <row r="331" spans="2:7" x14ac:dyDescent="0.25">
      <c r="B331" t="str" cm="1">
        <f t="array" aca="1" ref="B331" ca="1">IFERROR(DATE(RIGHT(INDIRECT("RC[-1]",0),4),LEFT(INDIRECT("RC[-1]",0),2),1), "")</f>
        <v/>
      </c>
      <c r="C331" s="214"/>
      <c r="E331" t="str" cm="1">
        <f t="array" aca="1" ref="E331" ca="1">IF(_xlfn.XLOOKUP(INDIRECT("RC[-1]", 0), CategoryNames, CategoryIdentifiers, "")&lt;&gt;"",INDIRECT("RC[-1]", 0),"")</f>
        <v/>
      </c>
      <c r="G331" t="str" cm="1">
        <f t="array" aca="1" ref="G331" ca="1">IF(COUNTIF($F$2:$F$1000,INDIRECT("RC[-2]",0))&gt;0,"",INDIRECT("RC[-2]",0))</f>
        <v/>
      </c>
    </row>
    <row r="332" spans="2:7" x14ac:dyDescent="0.25">
      <c r="B332" t="str" cm="1">
        <f t="array" aca="1" ref="B332" ca="1">IFERROR(DATE(RIGHT(INDIRECT("RC[-1]",0),4),LEFT(INDIRECT("RC[-1]",0),2),1), "")</f>
        <v/>
      </c>
      <c r="C332" s="214"/>
      <c r="E332" t="str" cm="1">
        <f t="array" aca="1" ref="E332" ca="1">IF(_xlfn.XLOOKUP(INDIRECT("RC[-1]", 0), CategoryNames, CategoryIdentifiers, "")&lt;&gt;"",INDIRECT("RC[-1]", 0),"")</f>
        <v/>
      </c>
      <c r="G332" t="str" cm="1">
        <f t="array" aca="1" ref="G332" ca="1">IF(COUNTIF($F$2:$F$1000,INDIRECT("RC[-2]",0))&gt;0,"",INDIRECT("RC[-2]",0))</f>
        <v/>
      </c>
    </row>
    <row r="333" spans="2:7" x14ac:dyDescent="0.25">
      <c r="B333" t="str" cm="1">
        <f t="array" aca="1" ref="B333" ca="1">IFERROR(DATE(RIGHT(INDIRECT("RC[-1]",0),4),LEFT(INDIRECT("RC[-1]",0),2),1), "")</f>
        <v/>
      </c>
      <c r="C333" s="214"/>
      <c r="E333" t="str" cm="1">
        <f t="array" aca="1" ref="E333" ca="1">IF(_xlfn.XLOOKUP(INDIRECT("RC[-1]", 0), CategoryNames, CategoryIdentifiers, "")&lt;&gt;"",INDIRECT("RC[-1]", 0),"")</f>
        <v/>
      </c>
      <c r="G333" t="str" cm="1">
        <f t="array" aca="1" ref="G333" ca="1">IF(COUNTIF($F$2:$F$1000,INDIRECT("RC[-2]",0))&gt;0,"",INDIRECT("RC[-2]",0))</f>
        <v/>
      </c>
    </row>
    <row r="334" spans="2:7" x14ac:dyDescent="0.25">
      <c r="B334" t="str" cm="1">
        <f t="array" aca="1" ref="B334" ca="1">IFERROR(DATE(RIGHT(INDIRECT("RC[-1]",0),4),LEFT(INDIRECT("RC[-1]",0),2),1), "")</f>
        <v/>
      </c>
      <c r="C334" s="214"/>
      <c r="E334" t="str" cm="1">
        <f t="array" aca="1" ref="E334" ca="1">IF(_xlfn.XLOOKUP(INDIRECT("RC[-1]", 0), CategoryNames, CategoryIdentifiers, "")&lt;&gt;"",INDIRECT("RC[-1]", 0),"")</f>
        <v/>
      </c>
      <c r="G334" t="str" cm="1">
        <f t="array" aca="1" ref="G334" ca="1">IF(COUNTIF($F$2:$F$1000,INDIRECT("RC[-2]",0))&gt;0,"",INDIRECT("RC[-2]",0))</f>
        <v/>
      </c>
    </row>
    <row r="335" spans="2:7" x14ac:dyDescent="0.25">
      <c r="B335" t="str" cm="1">
        <f t="array" aca="1" ref="B335" ca="1">IFERROR(DATE(RIGHT(INDIRECT("RC[-1]",0),4),LEFT(INDIRECT("RC[-1]",0),2),1), "")</f>
        <v/>
      </c>
      <c r="C335" s="214"/>
      <c r="E335" t="str" cm="1">
        <f t="array" aca="1" ref="E335" ca="1">IF(_xlfn.XLOOKUP(INDIRECT("RC[-1]", 0), CategoryNames, CategoryIdentifiers, "")&lt;&gt;"",INDIRECT("RC[-1]", 0),"")</f>
        <v/>
      </c>
      <c r="G335" t="str" cm="1">
        <f t="array" aca="1" ref="G335" ca="1">IF(COUNTIF($F$2:$F$1000,INDIRECT("RC[-2]",0))&gt;0,"",INDIRECT("RC[-2]",0))</f>
        <v/>
      </c>
    </row>
    <row r="336" spans="2:7" x14ac:dyDescent="0.25">
      <c r="B336" t="str" cm="1">
        <f t="array" aca="1" ref="B336" ca="1">IFERROR(DATE(RIGHT(INDIRECT("RC[-1]",0),4),LEFT(INDIRECT("RC[-1]",0),2),1), "")</f>
        <v/>
      </c>
      <c r="C336" s="214"/>
      <c r="E336" t="str" cm="1">
        <f t="array" aca="1" ref="E336" ca="1">IF(_xlfn.XLOOKUP(INDIRECT("RC[-1]", 0), CategoryNames, CategoryIdentifiers, "")&lt;&gt;"",INDIRECT("RC[-1]", 0),"")</f>
        <v/>
      </c>
      <c r="G336" t="str" cm="1">
        <f t="array" aca="1" ref="G336" ca="1">IF(COUNTIF($F$2:$F$1000,INDIRECT("RC[-2]",0))&gt;0,"",INDIRECT("RC[-2]",0))</f>
        <v/>
      </c>
    </row>
    <row r="337" spans="2:7" x14ac:dyDescent="0.25">
      <c r="B337" t="str" cm="1">
        <f t="array" aca="1" ref="B337" ca="1">IFERROR(DATE(RIGHT(INDIRECT("RC[-1]",0),4),LEFT(INDIRECT("RC[-1]",0),2),1), "")</f>
        <v/>
      </c>
      <c r="C337" s="214"/>
      <c r="E337" t="str" cm="1">
        <f t="array" aca="1" ref="E337" ca="1">IF(_xlfn.XLOOKUP(INDIRECT("RC[-1]", 0), CategoryNames, CategoryIdentifiers, "")&lt;&gt;"",INDIRECT("RC[-1]", 0),"")</f>
        <v/>
      </c>
      <c r="G337" t="str" cm="1">
        <f t="array" aca="1" ref="G337" ca="1">IF(COUNTIF($F$2:$F$1000,INDIRECT("RC[-2]",0))&gt;0,"",INDIRECT("RC[-2]",0))</f>
        <v/>
      </c>
    </row>
    <row r="338" spans="2:7" x14ac:dyDescent="0.25">
      <c r="B338" t="str" cm="1">
        <f t="array" aca="1" ref="B338" ca="1">IFERROR(DATE(RIGHT(INDIRECT("RC[-1]",0),4),LEFT(INDIRECT("RC[-1]",0),2),1), "")</f>
        <v/>
      </c>
      <c r="C338" s="214"/>
      <c r="E338" t="str" cm="1">
        <f t="array" aca="1" ref="E338" ca="1">IF(_xlfn.XLOOKUP(INDIRECT("RC[-1]", 0), CategoryNames, CategoryIdentifiers, "")&lt;&gt;"",INDIRECT("RC[-1]", 0),"")</f>
        <v/>
      </c>
      <c r="G338" t="str" cm="1">
        <f t="array" aca="1" ref="G338" ca="1">IF(COUNTIF($F$2:$F$1000,INDIRECT("RC[-2]",0))&gt;0,"",INDIRECT("RC[-2]",0))</f>
        <v/>
      </c>
    </row>
    <row r="339" spans="2:7" x14ac:dyDescent="0.25">
      <c r="B339" t="str" cm="1">
        <f t="array" aca="1" ref="B339" ca="1">IFERROR(DATE(RIGHT(INDIRECT("RC[-1]",0),4),LEFT(INDIRECT("RC[-1]",0),2),1), "")</f>
        <v/>
      </c>
      <c r="C339" s="214"/>
      <c r="E339" t="str" cm="1">
        <f t="array" aca="1" ref="E339" ca="1">IF(_xlfn.XLOOKUP(INDIRECT("RC[-1]", 0), CategoryNames, CategoryIdentifiers, "")&lt;&gt;"",INDIRECT("RC[-1]", 0),"")</f>
        <v/>
      </c>
      <c r="G339" t="str" cm="1">
        <f t="array" aca="1" ref="G339" ca="1">IF(COUNTIF($F$2:$F$1000,INDIRECT("RC[-2]",0))&gt;0,"",INDIRECT("RC[-2]",0))</f>
        <v/>
      </c>
    </row>
    <row r="340" spans="2:7" x14ac:dyDescent="0.25">
      <c r="B340" t="str" cm="1">
        <f t="array" aca="1" ref="B340" ca="1">IFERROR(DATE(RIGHT(INDIRECT("RC[-1]",0),4),LEFT(INDIRECT("RC[-1]",0),2),1), "")</f>
        <v/>
      </c>
      <c r="C340" s="214"/>
      <c r="E340" t="str" cm="1">
        <f t="array" aca="1" ref="E340" ca="1">IF(_xlfn.XLOOKUP(INDIRECT("RC[-1]", 0), CategoryNames, CategoryIdentifiers, "")&lt;&gt;"",INDIRECT("RC[-1]", 0),"")</f>
        <v/>
      </c>
      <c r="G340" t="str" cm="1">
        <f t="array" aca="1" ref="G340" ca="1">IF(COUNTIF($F$2:$F$1000,INDIRECT("RC[-2]",0))&gt;0,"",INDIRECT("RC[-2]",0))</f>
        <v/>
      </c>
    </row>
    <row r="341" spans="2:7" x14ac:dyDescent="0.25">
      <c r="B341" t="str" cm="1">
        <f t="array" aca="1" ref="B341" ca="1">IFERROR(DATE(RIGHT(INDIRECT("RC[-1]",0),4),LEFT(INDIRECT("RC[-1]",0),2),1), "")</f>
        <v/>
      </c>
      <c r="C341" s="214"/>
      <c r="E341" t="str" cm="1">
        <f t="array" aca="1" ref="E341" ca="1">IF(_xlfn.XLOOKUP(INDIRECT("RC[-1]", 0), CategoryNames, CategoryIdentifiers, "")&lt;&gt;"",INDIRECT("RC[-1]", 0),"")</f>
        <v/>
      </c>
      <c r="G341" t="str" cm="1">
        <f t="array" aca="1" ref="G341" ca="1">IF(COUNTIF($F$2:$F$1000,INDIRECT("RC[-2]",0))&gt;0,"",INDIRECT("RC[-2]",0))</f>
        <v/>
      </c>
    </row>
    <row r="342" spans="2:7" x14ac:dyDescent="0.25">
      <c r="B342" t="str" cm="1">
        <f t="array" aca="1" ref="B342" ca="1">IFERROR(DATE(RIGHT(INDIRECT("RC[-1]",0),4),LEFT(INDIRECT("RC[-1]",0),2),1), "")</f>
        <v/>
      </c>
      <c r="C342" s="214"/>
      <c r="E342" t="str" cm="1">
        <f t="array" aca="1" ref="E342" ca="1">IF(_xlfn.XLOOKUP(INDIRECT("RC[-1]", 0), CategoryNames, CategoryIdentifiers, "")&lt;&gt;"",INDIRECT("RC[-1]", 0),"")</f>
        <v/>
      </c>
      <c r="G342" t="str" cm="1">
        <f t="array" aca="1" ref="G342" ca="1">IF(COUNTIF($F$2:$F$1000,INDIRECT("RC[-2]",0))&gt;0,"",INDIRECT("RC[-2]",0))</f>
        <v/>
      </c>
    </row>
    <row r="343" spans="2:7" x14ac:dyDescent="0.25">
      <c r="B343" t="str" cm="1">
        <f t="array" aca="1" ref="B343" ca="1">IFERROR(DATE(RIGHT(INDIRECT("RC[-1]",0),4),LEFT(INDIRECT("RC[-1]",0),2),1), "")</f>
        <v/>
      </c>
      <c r="C343" s="214"/>
      <c r="E343" t="str" cm="1">
        <f t="array" aca="1" ref="E343" ca="1">IF(_xlfn.XLOOKUP(INDIRECT("RC[-1]", 0), CategoryNames, CategoryIdentifiers, "")&lt;&gt;"",INDIRECT("RC[-1]", 0),"")</f>
        <v/>
      </c>
      <c r="G343" t="str" cm="1">
        <f t="array" aca="1" ref="G343" ca="1">IF(COUNTIF($F$2:$F$1000,INDIRECT("RC[-2]",0))&gt;0,"",INDIRECT("RC[-2]",0))</f>
        <v/>
      </c>
    </row>
    <row r="344" spans="2:7" x14ac:dyDescent="0.25">
      <c r="B344" t="str" cm="1">
        <f t="array" aca="1" ref="B344" ca="1">IFERROR(DATE(RIGHT(INDIRECT("RC[-1]",0),4),LEFT(INDIRECT("RC[-1]",0),2),1), "")</f>
        <v/>
      </c>
      <c r="C344" s="214"/>
      <c r="E344" t="str" cm="1">
        <f t="array" aca="1" ref="E344" ca="1">IF(_xlfn.XLOOKUP(INDIRECT("RC[-1]", 0), CategoryNames, CategoryIdentifiers, "")&lt;&gt;"",INDIRECT("RC[-1]", 0),"")</f>
        <v/>
      </c>
      <c r="G344" t="str" cm="1">
        <f t="array" aca="1" ref="G344" ca="1">IF(COUNTIF($F$2:$F$1000,INDIRECT("RC[-2]",0))&gt;0,"",INDIRECT("RC[-2]",0))</f>
        <v/>
      </c>
    </row>
    <row r="345" spans="2:7" x14ac:dyDescent="0.25">
      <c r="B345" t="str" cm="1">
        <f t="array" aca="1" ref="B345" ca="1">IFERROR(DATE(RIGHT(INDIRECT("RC[-1]",0),4),LEFT(INDIRECT("RC[-1]",0),2),1), "")</f>
        <v/>
      </c>
      <c r="C345" s="214"/>
      <c r="E345" t="str" cm="1">
        <f t="array" aca="1" ref="E345" ca="1">IF(_xlfn.XLOOKUP(INDIRECT("RC[-1]", 0), CategoryNames, CategoryIdentifiers, "")&lt;&gt;"",INDIRECT("RC[-1]", 0),"")</f>
        <v/>
      </c>
      <c r="G345" t="str" cm="1">
        <f t="array" aca="1" ref="G345" ca="1">IF(COUNTIF($F$2:$F$1000,INDIRECT("RC[-2]",0))&gt;0,"",INDIRECT("RC[-2]",0))</f>
        <v/>
      </c>
    </row>
    <row r="346" spans="2:7" x14ac:dyDescent="0.25">
      <c r="B346" t="str" cm="1">
        <f t="array" aca="1" ref="B346" ca="1">IFERROR(DATE(RIGHT(INDIRECT("RC[-1]",0),4),LEFT(INDIRECT("RC[-1]",0),2),1), "")</f>
        <v/>
      </c>
      <c r="C346" s="214"/>
      <c r="E346" t="str" cm="1">
        <f t="array" aca="1" ref="E346" ca="1">IF(_xlfn.XLOOKUP(INDIRECT("RC[-1]", 0), CategoryNames, CategoryIdentifiers, "")&lt;&gt;"",INDIRECT("RC[-1]", 0),"")</f>
        <v/>
      </c>
      <c r="G346" t="str" cm="1">
        <f t="array" aca="1" ref="G346" ca="1">IF(COUNTIF($F$2:$F$1000,INDIRECT("RC[-2]",0))&gt;0,"",INDIRECT("RC[-2]",0))</f>
        <v/>
      </c>
    </row>
    <row r="347" spans="2:7" x14ac:dyDescent="0.25">
      <c r="B347" t="str" cm="1">
        <f t="array" aca="1" ref="B347" ca="1">IFERROR(DATE(RIGHT(INDIRECT("RC[-1]",0),4),LEFT(INDIRECT("RC[-1]",0),2),1), "")</f>
        <v/>
      </c>
      <c r="C347" s="214"/>
      <c r="E347" t="str" cm="1">
        <f t="array" aca="1" ref="E347" ca="1">IF(_xlfn.XLOOKUP(INDIRECT("RC[-1]", 0), CategoryNames, CategoryIdentifiers, "")&lt;&gt;"",INDIRECT("RC[-1]", 0),"")</f>
        <v/>
      </c>
      <c r="G347" t="str" cm="1">
        <f t="array" aca="1" ref="G347" ca="1">IF(COUNTIF($F$2:$F$1000,INDIRECT("RC[-2]",0))&gt;0,"",INDIRECT("RC[-2]",0))</f>
        <v/>
      </c>
    </row>
    <row r="348" spans="2:7" x14ac:dyDescent="0.25">
      <c r="B348" t="str" cm="1">
        <f t="array" aca="1" ref="B348" ca="1">IFERROR(DATE(RIGHT(INDIRECT("RC[-1]",0),4),LEFT(INDIRECT("RC[-1]",0),2),1), "")</f>
        <v/>
      </c>
      <c r="C348" s="214"/>
      <c r="E348" t="str" cm="1">
        <f t="array" aca="1" ref="E348" ca="1">IF(_xlfn.XLOOKUP(INDIRECT("RC[-1]", 0), CategoryNames, CategoryIdentifiers, "")&lt;&gt;"",INDIRECT("RC[-1]", 0),"")</f>
        <v/>
      </c>
      <c r="G348" t="str" cm="1">
        <f t="array" aca="1" ref="G348" ca="1">IF(COUNTIF($F$2:$F$1000,INDIRECT("RC[-2]",0))&gt;0,"",INDIRECT("RC[-2]",0))</f>
        <v/>
      </c>
    </row>
    <row r="349" spans="2:7" x14ac:dyDescent="0.25">
      <c r="B349" t="str" cm="1">
        <f t="array" aca="1" ref="B349" ca="1">IFERROR(DATE(RIGHT(INDIRECT("RC[-1]",0),4),LEFT(INDIRECT("RC[-1]",0),2),1), "")</f>
        <v/>
      </c>
      <c r="C349" s="214"/>
      <c r="E349" t="str" cm="1">
        <f t="array" aca="1" ref="E349" ca="1">IF(_xlfn.XLOOKUP(INDIRECT("RC[-1]", 0), CategoryNames, CategoryIdentifiers, "")&lt;&gt;"",INDIRECT("RC[-1]", 0),"")</f>
        <v/>
      </c>
      <c r="G349" t="str" cm="1">
        <f t="array" aca="1" ref="G349" ca="1">IF(COUNTIF($F$2:$F$1000,INDIRECT("RC[-2]",0))&gt;0,"",INDIRECT("RC[-2]",0))</f>
        <v/>
      </c>
    </row>
    <row r="350" spans="2:7" x14ac:dyDescent="0.25">
      <c r="B350" t="str" cm="1">
        <f t="array" aca="1" ref="B350" ca="1">IFERROR(DATE(RIGHT(INDIRECT("RC[-1]",0),4),LEFT(INDIRECT("RC[-1]",0),2),1), "")</f>
        <v/>
      </c>
      <c r="C350" s="214"/>
      <c r="E350" t="str" cm="1">
        <f t="array" aca="1" ref="E350" ca="1">IF(_xlfn.XLOOKUP(INDIRECT("RC[-1]", 0), CategoryNames, CategoryIdentifiers, "")&lt;&gt;"",INDIRECT("RC[-1]", 0),"")</f>
        <v/>
      </c>
      <c r="G350" t="str" cm="1">
        <f t="array" aca="1" ref="G350" ca="1">IF(COUNTIF($F$2:$F$1000,INDIRECT("RC[-2]",0))&gt;0,"",INDIRECT("RC[-2]",0))</f>
        <v/>
      </c>
    </row>
    <row r="351" spans="2:7" x14ac:dyDescent="0.25">
      <c r="B351" t="str" cm="1">
        <f t="array" aca="1" ref="B351" ca="1">IFERROR(DATE(RIGHT(INDIRECT("RC[-1]",0),4),LEFT(INDIRECT("RC[-1]",0),2),1), "")</f>
        <v/>
      </c>
      <c r="C351" s="214"/>
      <c r="E351" t="str" cm="1">
        <f t="array" aca="1" ref="E351" ca="1">IF(_xlfn.XLOOKUP(INDIRECT("RC[-1]", 0), CategoryNames, CategoryIdentifiers, "")&lt;&gt;"",INDIRECT("RC[-1]", 0),"")</f>
        <v/>
      </c>
      <c r="G351" t="str" cm="1">
        <f t="array" aca="1" ref="G351" ca="1">IF(COUNTIF($F$2:$F$1000,INDIRECT("RC[-2]",0))&gt;0,"",INDIRECT("RC[-2]",0))</f>
        <v/>
      </c>
    </row>
    <row r="352" spans="2:7" x14ac:dyDescent="0.25">
      <c r="B352" t="str" cm="1">
        <f t="array" aca="1" ref="B352" ca="1">IFERROR(DATE(RIGHT(INDIRECT("RC[-1]",0),4),LEFT(INDIRECT("RC[-1]",0),2),1), "")</f>
        <v/>
      </c>
      <c r="C352" s="214"/>
      <c r="E352" t="str" cm="1">
        <f t="array" aca="1" ref="E352" ca="1">IF(_xlfn.XLOOKUP(INDIRECT("RC[-1]", 0), CategoryNames, CategoryIdentifiers, "")&lt;&gt;"",INDIRECT("RC[-1]", 0),"")</f>
        <v/>
      </c>
      <c r="G352" t="str" cm="1">
        <f t="array" aca="1" ref="G352" ca="1">IF(COUNTIF($F$2:$F$1000,INDIRECT("RC[-2]",0))&gt;0,"",INDIRECT("RC[-2]",0))</f>
        <v/>
      </c>
    </row>
    <row r="353" spans="2:7" x14ac:dyDescent="0.25">
      <c r="B353" t="str" cm="1">
        <f t="array" aca="1" ref="B353" ca="1">IFERROR(DATE(RIGHT(INDIRECT("RC[-1]",0),4),LEFT(INDIRECT("RC[-1]",0),2),1), "")</f>
        <v/>
      </c>
      <c r="C353" s="214"/>
      <c r="E353" t="str" cm="1">
        <f t="array" aca="1" ref="E353" ca="1">IF(_xlfn.XLOOKUP(INDIRECT("RC[-1]", 0), CategoryNames, CategoryIdentifiers, "")&lt;&gt;"",INDIRECT("RC[-1]", 0),"")</f>
        <v/>
      </c>
      <c r="G353" t="str" cm="1">
        <f t="array" aca="1" ref="G353" ca="1">IF(COUNTIF($F$2:$F$1000,INDIRECT("RC[-2]",0))&gt;0,"",INDIRECT("RC[-2]",0))</f>
        <v/>
      </c>
    </row>
    <row r="354" spans="2:7" x14ac:dyDescent="0.25">
      <c r="B354" t="str" cm="1">
        <f t="array" aca="1" ref="B354" ca="1">IFERROR(DATE(RIGHT(INDIRECT("RC[-1]",0),4),LEFT(INDIRECT("RC[-1]",0),2),1), "")</f>
        <v/>
      </c>
      <c r="C354" s="214"/>
      <c r="E354" t="str" cm="1">
        <f t="array" aca="1" ref="E354" ca="1">IF(_xlfn.XLOOKUP(INDIRECT("RC[-1]", 0), CategoryNames, CategoryIdentifiers, "")&lt;&gt;"",INDIRECT("RC[-1]", 0),"")</f>
        <v/>
      </c>
      <c r="G354" t="str" cm="1">
        <f t="array" aca="1" ref="G354" ca="1">IF(COUNTIF($F$2:$F$1000,INDIRECT("RC[-2]",0))&gt;0,"",INDIRECT("RC[-2]",0))</f>
        <v/>
      </c>
    </row>
    <row r="355" spans="2:7" x14ac:dyDescent="0.25">
      <c r="B355" t="str" cm="1">
        <f t="array" aca="1" ref="B355" ca="1">IFERROR(DATE(RIGHT(INDIRECT("RC[-1]",0),4),LEFT(INDIRECT("RC[-1]",0),2),1), "")</f>
        <v/>
      </c>
      <c r="C355" s="214"/>
      <c r="E355" t="str" cm="1">
        <f t="array" aca="1" ref="E355" ca="1">IF(_xlfn.XLOOKUP(INDIRECT("RC[-1]", 0), CategoryNames, CategoryIdentifiers, "")&lt;&gt;"",INDIRECT("RC[-1]", 0),"")</f>
        <v/>
      </c>
      <c r="G355" t="str" cm="1">
        <f t="array" aca="1" ref="G355" ca="1">IF(COUNTIF($F$2:$F$1000,INDIRECT("RC[-2]",0))&gt;0,"",INDIRECT("RC[-2]",0))</f>
        <v/>
      </c>
    </row>
    <row r="356" spans="2:7" x14ac:dyDescent="0.25">
      <c r="B356" t="str" cm="1">
        <f t="array" aca="1" ref="B356" ca="1">IFERROR(DATE(RIGHT(INDIRECT("RC[-1]",0),4),LEFT(INDIRECT("RC[-1]",0),2),1), "")</f>
        <v/>
      </c>
      <c r="C356" s="214"/>
      <c r="E356" t="str" cm="1">
        <f t="array" aca="1" ref="E356" ca="1">IF(_xlfn.XLOOKUP(INDIRECT("RC[-1]", 0), CategoryNames, CategoryIdentifiers, "")&lt;&gt;"",INDIRECT("RC[-1]", 0),"")</f>
        <v/>
      </c>
      <c r="G356" t="str" cm="1">
        <f t="array" aca="1" ref="G356" ca="1">IF(COUNTIF($F$2:$F$1000,INDIRECT("RC[-2]",0))&gt;0,"",INDIRECT("RC[-2]",0))</f>
        <v/>
      </c>
    </row>
    <row r="357" spans="2:7" x14ac:dyDescent="0.25">
      <c r="B357" t="str" cm="1">
        <f t="array" aca="1" ref="B357" ca="1">IFERROR(DATE(RIGHT(INDIRECT("RC[-1]",0),4),LEFT(INDIRECT("RC[-1]",0),2),1), "")</f>
        <v/>
      </c>
      <c r="C357" s="214"/>
      <c r="E357" t="str" cm="1">
        <f t="array" aca="1" ref="E357" ca="1">IF(_xlfn.XLOOKUP(INDIRECT("RC[-1]", 0), CategoryNames, CategoryIdentifiers, "")&lt;&gt;"",INDIRECT("RC[-1]", 0),"")</f>
        <v/>
      </c>
      <c r="G357" t="str" cm="1">
        <f t="array" aca="1" ref="G357" ca="1">IF(COUNTIF($F$2:$F$1000,INDIRECT("RC[-2]",0))&gt;0,"",INDIRECT("RC[-2]",0))</f>
        <v/>
      </c>
    </row>
    <row r="358" spans="2:7" x14ac:dyDescent="0.25">
      <c r="B358" t="str" cm="1">
        <f t="array" aca="1" ref="B358" ca="1">IFERROR(DATE(RIGHT(INDIRECT("RC[-1]",0),4),LEFT(INDIRECT("RC[-1]",0),2),1), "")</f>
        <v/>
      </c>
      <c r="C358" s="214"/>
      <c r="E358" t="str" cm="1">
        <f t="array" aca="1" ref="E358" ca="1">IF(_xlfn.XLOOKUP(INDIRECT("RC[-1]", 0), CategoryNames, CategoryIdentifiers, "")&lt;&gt;"",INDIRECT("RC[-1]", 0),"")</f>
        <v/>
      </c>
      <c r="G358" t="str" cm="1">
        <f t="array" aca="1" ref="G358" ca="1">IF(COUNTIF($F$2:$F$1000,INDIRECT("RC[-2]",0))&gt;0,"",INDIRECT("RC[-2]",0))</f>
        <v/>
      </c>
    </row>
    <row r="359" spans="2:7" x14ac:dyDescent="0.25">
      <c r="B359" t="str" cm="1">
        <f t="array" aca="1" ref="B359" ca="1">IFERROR(DATE(RIGHT(INDIRECT("RC[-1]",0),4),LEFT(INDIRECT("RC[-1]",0),2),1), "")</f>
        <v/>
      </c>
      <c r="C359" s="214"/>
      <c r="E359" t="str" cm="1">
        <f t="array" aca="1" ref="E359" ca="1">IF(_xlfn.XLOOKUP(INDIRECT("RC[-1]", 0), CategoryNames, CategoryIdentifiers, "")&lt;&gt;"",INDIRECT("RC[-1]", 0),"")</f>
        <v/>
      </c>
      <c r="G359" t="str" cm="1">
        <f t="array" aca="1" ref="G359" ca="1">IF(COUNTIF($F$2:$F$1000,INDIRECT("RC[-2]",0))&gt;0,"",INDIRECT("RC[-2]",0))</f>
        <v/>
      </c>
    </row>
    <row r="360" spans="2:7" x14ac:dyDescent="0.25">
      <c r="B360" t="str" cm="1">
        <f t="array" aca="1" ref="B360" ca="1">IFERROR(DATE(RIGHT(INDIRECT("RC[-1]",0),4),LEFT(INDIRECT("RC[-1]",0),2),1), "")</f>
        <v/>
      </c>
      <c r="C360" s="214"/>
      <c r="E360" t="str" cm="1">
        <f t="array" aca="1" ref="E360" ca="1">IF(_xlfn.XLOOKUP(INDIRECT("RC[-1]", 0), CategoryNames, CategoryIdentifiers, "")&lt;&gt;"",INDIRECT("RC[-1]", 0),"")</f>
        <v/>
      </c>
      <c r="G360" t="str" cm="1">
        <f t="array" aca="1" ref="G360" ca="1">IF(COUNTIF($F$2:$F$1000,INDIRECT("RC[-2]",0))&gt;0,"",INDIRECT("RC[-2]",0))</f>
        <v/>
      </c>
    </row>
    <row r="361" spans="2:7" x14ac:dyDescent="0.25">
      <c r="B361" t="str" cm="1">
        <f t="array" aca="1" ref="B361" ca="1">IFERROR(DATE(RIGHT(INDIRECT("RC[-1]",0),4),LEFT(INDIRECT("RC[-1]",0),2),1), "")</f>
        <v/>
      </c>
      <c r="C361" s="214"/>
      <c r="E361" t="str" cm="1">
        <f t="array" aca="1" ref="E361" ca="1">IF(_xlfn.XLOOKUP(INDIRECT("RC[-1]", 0), CategoryNames, CategoryIdentifiers, "")&lt;&gt;"",INDIRECT("RC[-1]", 0),"")</f>
        <v/>
      </c>
      <c r="G361" t="str" cm="1">
        <f t="array" aca="1" ref="G361" ca="1">IF(COUNTIF($F$2:$F$1000,INDIRECT("RC[-2]",0))&gt;0,"",INDIRECT("RC[-2]",0))</f>
        <v/>
      </c>
    </row>
    <row r="362" spans="2:7" x14ac:dyDescent="0.25">
      <c r="B362" t="str" cm="1">
        <f t="array" aca="1" ref="B362" ca="1">IFERROR(DATE(RIGHT(INDIRECT("RC[-1]",0),4),LEFT(INDIRECT("RC[-1]",0),2),1), "")</f>
        <v/>
      </c>
      <c r="C362" s="214"/>
      <c r="E362" t="str" cm="1">
        <f t="array" aca="1" ref="E362" ca="1">IF(_xlfn.XLOOKUP(INDIRECT("RC[-1]", 0), CategoryNames, CategoryIdentifiers, "")&lt;&gt;"",INDIRECT("RC[-1]", 0),"")</f>
        <v/>
      </c>
      <c r="G362" t="str" cm="1">
        <f t="array" aca="1" ref="G362" ca="1">IF(COUNTIF($F$2:$F$1000,INDIRECT("RC[-2]",0))&gt;0,"",INDIRECT("RC[-2]",0))</f>
        <v/>
      </c>
    </row>
    <row r="363" spans="2:7" x14ac:dyDescent="0.25">
      <c r="B363" t="str" cm="1">
        <f t="array" aca="1" ref="B363" ca="1">IFERROR(DATE(RIGHT(INDIRECT("RC[-1]",0),4),LEFT(INDIRECT("RC[-1]",0),2),1), "")</f>
        <v/>
      </c>
      <c r="C363" s="214"/>
      <c r="E363" t="str" cm="1">
        <f t="array" aca="1" ref="E363" ca="1">IF(_xlfn.XLOOKUP(INDIRECT("RC[-1]", 0), CategoryNames, CategoryIdentifiers, "")&lt;&gt;"",INDIRECT("RC[-1]", 0),"")</f>
        <v/>
      </c>
      <c r="G363" t="str" cm="1">
        <f t="array" aca="1" ref="G363" ca="1">IF(COUNTIF($F$2:$F$1000,INDIRECT("RC[-2]",0))&gt;0,"",INDIRECT("RC[-2]",0))</f>
        <v/>
      </c>
    </row>
    <row r="364" spans="2:7" x14ac:dyDescent="0.25">
      <c r="B364" t="str" cm="1">
        <f t="array" aca="1" ref="B364" ca="1">IFERROR(DATE(RIGHT(INDIRECT("RC[-1]",0),4),LEFT(INDIRECT("RC[-1]",0),2),1), "")</f>
        <v/>
      </c>
      <c r="C364" s="214"/>
      <c r="E364" t="str" cm="1">
        <f t="array" aca="1" ref="E364" ca="1">IF(_xlfn.XLOOKUP(INDIRECT("RC[-1]", 0), CategoryNames, CategoryIdentifiers, "")&lt;&gt;"",INDIRECT("RC[-1]", 0),"")</f>
        <v/>
      </c>
      <c r="G364" t="str" cm="1">
        <f t="array" aca="1" ref="G364" ca="1">IF(COUNTIF($F$2:$F$1000,INDIRECT("RC[-2]",0))&gt;0,"",INDIRECT("RC[-2]",0))</f>
        <v/>
      </c>
    </row>
    <row r="365" spans="2:7" x14ac:dyDescent="0.25">
      <c r="B365" t="str" cm="1">
        <f t="array" aca="1" ref="B365" ca="1">IFERROR(DATE(RIGHT(INDIRECT("RC[-1]",0),4),LEFT(INDIRECT("RC[-1]",0),2),1), "")</f>
        <v/>
      </c>
      <c r="C365" s="214"/>
      <c r="E365" t="str" cm="1">
        <f t="array" aca="1" ref="E365" ca="1">IF(_xlfn.XLOOKUP(INDIRECT("RC[-1]", 0), CategoryNames, CategoryIdentifiers, "")&lt;&gt;"",INDIRECT("RC[-1]", 0),"")</f>
        <v/>
      </c>
      <c r="G365" t="str" cm="1">
        <f t="array" aca="1" ref="G365" ca="1">IF(COUNTIF($F$2:$F$1000,INDIRECT("RC[-2]",0))&gt;0,"",INDIRECT("RC[-2]",0))</f>
        <v/>
      </c>
    </row>
    <row r="366" spans="2:7" x14ac:dyDescent="0.25">
      <c r="B366" t="str" cm="1">
        <f t="array" aca="1" ref="B366" ca="1">IFERROR(DATE(RIGHT(INDIRECT("RC[-1]",0),4),LEFT(INDIRECT("RC[-1]",0),2),1), "")</f>
        <v/>
      </c>
      <c r="C366" s="214"/>
      <c r="E366" t="str" cm="1">
        <f t="array" aca="1" ref="E366" ca="1">IF(_xlfn.XLOOKUP(INDIRECT("RC[-1]", 0), CategoryNames, CategoryIdentifiers, "")&lt;&gt;"",INDIRECT("RC[-1]", 0),"")</f>
        <v/>
      </c>
      <c r="G366" t="str" cm="1">
        <f t="array" aca="1" ref="G366" ca="1">IF(COUNTIF($F$2:$F$1000,INDIRECT("RC[-2]",0))&gt;0,"",INDIRECT("RC[-2]",0))</f>
        <v/>
      </c>
    </row>
    <row r="367" spans="2:7" x14ac:dyDescent="0.25">
      <c r="B367" t="str" cm="1">
        <f t="array" aca="1" ref="B367" ca="1">IFERROR(DATE(RIGHT(INDIRECT("RC[-1]",0),4),LEFT(INDIRECT("RC[-1]",0),2),1), "")</f>
        <v/>
      </c>
      <c r="C367" s="214"/>
      <c r="E367" t="str" cm="1">
        <f t="array" aca="1" ref="E367" ca="1">IF(_xlfn.XLOOKUP(INDIRECT("RC[-1]", 0), CategoryNames, CategoryIdentifiers, "")&lt;&gt;"",INDIRECT("RC[-1]", 0),"")</f>
        <v/>
      </c>
      <c r="G367" t="str" cm="1">
        <f t="array" aca="1" ref="G367" ca="1">IF(COUNTIF($F$2:$F$1000,INDIRECT("RC[-2]",0))&gt;0,"",INDIRECT("RC[-2]",0))</f>
        <v/>
      </c>
    </row>
    <row r="368" spans="2:7" x14ac:dyDescent="0.25">
      <c r="B368" t="str" cm="1">
        <f t="array" aca="1" ref="B368" ca="1">IFERROR(DATE(RIGHT(INDIRECT("RC[-1]",0),4),LEFT(INDIRECT("RC[-1]",0),2),1), "")</f>
        <v/>
      </c>
      <c r="C368" s="214"/>
      <c r="E368" t="str" cm="1">
        <f t="array" aca="1" ref="E368" ca="1">IF(_xlfn.XLOOKUP(INDIRECT("RC[-1]", 0), CategoryNames, CategoryIdentifiers, "")&lt;&gt;"",INDIRECT("RC[-1]", 0),"")</f>
        <v/>
      </c>
      <c r="G368" t="str" cm="1">
        <f t="array" aca="1" ref="G368" ca="1">IF(COUNTIF($F$2:$F$1000,INDIRECT("RC[-2]",0))&gt;0,"",INDIRECT("RC[-2]",0))</f>
        <v/>
      </c>
    </row>
    <row r="369" spans="2:7" x14ac:dyDescent="0.25">
      <c r="B369" t="str" cm="1">
        <f t="array" aca="1" ref="B369" ca="1">IFERROR(DATE(RIGHT(INDIRECT("RC[-1]",0),4),LEFT(INDIRECT("RC[-1]",0),2),1), "")</f>
        <v/>
      </c>
      <c r="C369" s="214"/>
      <c r="E369" t="str" cm="1">
        <f t="array" aca="1" ref="E369" ca="1">IF(_xlfn.XLOOKUP(INDIRECT("RC[-1]", 0), CategoryNames, CategoryIdentifiers, "")&lt;&gt;"",INDIRECT("RC[-1]", 0),"")</f>
        <v/>
      </c>
      <c r="G369" t="str" cm="1">
        <f t="array" aca="1" ref="G369" ca="1">IF(COUNTIF($F$2:$F$1000,INDIRECT("RC[-2]",0))&gt;0,"",INDIRECT("RC[-2]",0))</f>
        <v/>
      </c>
    </row>
    <row r="370" spans="2:7" x14ac:dyDescent="0.25">
      <c r="B370" t="str" cm="1">
        <f t="array" aca="1" ref="B370" ca="1">IFERROR(DATE(RIGHT(INDIRECT("RC[-1]",0),4),LEFT(INDIRECT("RC[-1]",0),2),1), "")</f>
        <v/>
      </c>
      <c r="C370" s="214"/>
      <c r="E370" t="str" cm="1">
        <f t="array" aca="1" ref="E370" ca="1">IF(_xlfn.XLOOKUP(INDIRECT("RC[-1]", 0), CategoryNames, CategoryIdentifiers, "")&lt;&gt;"",INDIRECT("RC[-1]", 0),"")</f>
        <v/>
      </c>
      <c r="G370" t="str" cm="1">
        <f t="array" aca="1" ref="G370" ca="1">IF(COUNTIF($F$2:$F$1000,INDIRECT("RC[-2]",0))&gt;0,"",INDIRECT("RC[-2]",0))</f>
        <v/>
      </c>
    </row>
    <row r="371" spans="2:7" x14ac:dyDescent="0.25">
      <c r="B371" t="str" cm="1">
        <f t="array" aca="1" ref="B371" ca="1">IFERROR(DATE(RIGHT(INDIRECT("RC[-1]",0),4),LEFT(INDIRECT("RC[-1]",0),2),1), "")</f>
        <v/>
      </c>
      <c r="C371" s="214"/>
      <c r="E371" t="str" cm="1">
        <f t="array" aca="1" ref="E371" ca="1">IF(_xlfn.XLOOKUP(INDIRECT("RC[-1]", 0), CategoryNames, CategoryIdentifiers, "")&lt;&gt;"",INDIRECT("RC[-1]", 0),"")</f>
        <v/>
      </c>
      <c r="G371" t="str" cm="1">
        <f t="array" aca="1" ref="G371" ca="1">IF(COUNTIF($F$2:$F$1000,INDIRECT("RC[-2]",0))&gt;0,"",INDIRECT("RC[-2]",0))</f>
        <v/>
      </c>
    </row>
    <row r="372" spans="2:7" x14ac:dyDescent="0.25">
      <c r="B372" t="str" cm="1">
        <f t="array" aca="1" ref="B372" ca="1">IFERROR(DATE(RIGHT(INDIRECT("RC[-1]",0),4),LEFT(INDIRECT("RC[-1]",0),2),1), "")</f>
        <v/>
      </c>
      <c r="C372" s="214"/>
      <c r="E372" t="str" cm="1">
        <f t="array" aca="1" ref="E372" ca="1">IF(_xlfn.XLOOKUP(INDIRECT("RC[-1]", 0), CategoryNames, CategoryIdentifiers, "")&lt;&gt;"",INDIRECT("RC[-1]", 0),"")</f>
        <v/>
      </c>
      <c r="G372" t="str" cm="1">
        <f t="array" aca="1" ref="G372" ca="1">IF(COUNTIF($F$2:$F$1000,INDIRECT("RC[-2]",0))&gt;0,"",INDIRECT("RC[-2]",0))</f>
        <v/>
      </c>
    </row>
    <row r="373" spans="2:7" x14ac:dyDescent="0.25">
      <c r="B373" t="str" cm="1">
        <f t="array" aca="1" ref="B373" ca="1">IFERROR(DATE(RIGHT(INDIRECT("RC[-1]",0),4),LEFT(INDIRECT("RC[-1]",0),2),1), "")</f>
        <v/>
      </c>
      <c r="C373" s="214"/>
      <c r="E373" t="str" cm="1">
        <f t="array" aca="1" ref="E373" ca="1">IF(_xlfn.XLOOKUP(INDIRECT("RC[-1]", 0), CategoryNames, CategoryIdentifiers, "")&lt;&gt;"",INDIRECT("RC[-1]", 0),"")</f>
        <v/>
      </c>
      <c r="G373" t="str" cm="1">
        <f t="array" aca="1" ref="G373" ca="1">IF(COUNTIF($F$2:$F$1000,INDIRECT("RC[-2]",0))&gt;0,"",INDIRECT("RC[-2]",0))</f>
        <v/>
      </c>
    </row>
    <row r="374" spans="2:7" x14ac:dyDescent="0.25">
      <c r="B374" t="str" cm="1">
        <f t="array" aca="1" ref="B374" ca="1">IFERROR(DATE(RIGHT(INDIRECT("RC[-1]",0),4),LEFT(INDIRECT("RC[-1]",0),2),1), "")</f>
        <v/>
      </c>
      <c r="C374" s="214"/>
      <c r="E374" t="str" cm="1">
        <f t="array" aca="1" ref="E374" ca="1">IF(_xlfn.XLOOKUP(INDIRECT("RC[-1]", 0), CategoryNames, CategoryIdentifiers, "")&lt;&gt;"",INDIRECT("RC[-1]", 0),"")</f>
        <v/>
      </c>
      <c r="G374" t="str" cm="1">
        <f t="array" aca="1" ref="G374" ca="1">IF(COUNTIF($F$2:$F$1000,INDIRECT("RC[-2]",0))&gt;0,"",INDIRECT("RC[-2]",0))</f>
        <v/>
      </c>
    </row>
    <row r="375" spans="2:7" x14ac:dyDescent="0.25">
      <c r="B375" t="str" cm="1">
        <f t="array" aca="1" ref="B375" ca="1">IFERROR(DATE(RIGHT(INDIRECT("RC[-1]",0),4),LEFT(INDIRECT("RC[-1]",0),2),1), "")</f>
        <v/>
      </c>
      <c r="C375" s="214"/>
      <c r="E375" t="str" cm="1">
        <f t="array" aca="1" ref="E375" ca="1">IF(_xlfn.XLOOKUP(INDIRECT("RC[-1]", 0), CategoryNames, CategoryIdentifiers, "")&lt;&gt;"",INDIRECT("RC[-1]", 0),"")</f>
        <v/>
      </c>
      <c r="G375" t="str" cm="1">
        <f t="array" aca="1" ref="G375" ca="1">IF(COUNTIF($F$2:$F$1000,INDIRECT("RC[-2]",0))&gt;0,"",INDIRECT("RC[-2]",0))</f>
        <v/>
      </c>
    </row>
    <row r="376" spans="2:7" x14ac:dyDescent="0.25">
      <c r="B376" t="str" cm="1">
        <f t="array" aca="1" ref="B376" ca="1">IFERROR(DATE(RIGHT(INDIRECT("RC[-1]",0),4),LEFT(INDIRECT("RC[-1]",0),2),1), "")</f>
        <v/>
      </c>
      <c r="C376" s="214"/>
      <c r="E376" t="str" cm="1">
        <f t="array" aca="1" ref="E376" ca="1">IF(_xlfn.XLOOKUP(INDIRECT("RC[-1]", 0), CategoryNames, CategoryIdentifiers, "")&lt;&gt;"",INDIRECT("RC[-1]", 0),"")</f>
        <v/>
      </c>
      <c r="G376" t="str" cm="1">
        <f t="array" aca="1" ref="G376" ca="1">IF(COUNTIF($F$2:$F$1000,INDIRECT("RC[-2]",0))&gt;0,"",INDIRECT("RC[-2]",0))</f>
        <v/>
      </c>
    </row>
    <row r="377" spans="2:7" x14ac:dyDescent="0.25">
      <c r="B377" t="str" cm="1">
        <f t="array" aca="1" ref="B377" ca="1">IFERROR(DATE(RIGHT(INDIRECT("RC[-1]",0),4),LEFT(INDIRECT("RC[-1]",0),2),1), "")</f>
        <v/>
      </c>
      <c r="C377" s="214"/>
      <c r="E377" t="str" cm="1">
        <f t="array" aca="1" ref="E377" ca="1">IF(_xlfn.XLOOKUP(INDIRECT("RC[-1]", 0), CategoryNames, CategoryIdentifiers, "")&lt;&gt;"",INDIRECT("RC[-1]", 0),"")</f>
        <v/>
      </c>
      <c r="G377" t="str" cm="1">
        <f t="array" aca="1" ref="G377" ca="1">IF(COUNTIF($F$2:$F$1000,INDIRECT("RC[-2]",0))&gt;0,"",INDIRECT("RC[-2]",0))</f>
        <v/>
      </c>
    </row>
    <row r="378" spans="2:7" x14ac:dyDescent="0.25">
      <c r="B378" t="str" cm="1">
        <f t="array" aca="1" ref="B378" ca="1">IFERROR(DATE(RIGHT(INDIRECT("RC[-1]",0),4),LEFT(INDIRECT("RC[-1]",0),2),1), "")</f>
        <v/>
      </c>
      <c r="C378" s="214"/>
      <c r="E378" t="str" cm="1">
        <f t="array" aca="1" ref="E378" ca="1">IF(_xlfn.XLOOKUP(INDIRECT("RC[-1]", 0), CategoryNames, CategoryIdentifiers, "")&lt;&gt;"",INDIRECT("RC[-1]", 0),"")</f>
        <v/>
      </c>
      <c r="G378" t="str" cm="1">
        <f t="array" aca="1" ref="G378" ca="1">IF(COUNTIF($F$2:$F$1000,INDIRECT("RC[-2]",0))&gt;0,"",INDIRECT("RC[-2]",0))</f>
        <v/>
      </c>
    </row>
    <row r="379" spans="2:7" x14ac:dyDescent="0.25">
      <c r="B379" t="str" cm="1">
        <f t="array" aca="1" ref="B379" ca="1">IFERROR(DATE(RIGHT(INDIRECT("RC[-1]",0),4),LEFT(INDIRECT("RC[-1]",0),2),1), "")</f>
        <v/>
      </c>
      <c r="C379" s="214"/>
      <c r="E379" t="str" cm="1">
        <f t="array" aca="1" ref="E379" ca="1">IF(_xlfn.XLOOKUP(INDIRECT("RC[-1]", 0), CategoryNames, CategoryIdentifiers, "")&lt;&gt;"",INDIRECT("RC[-1]", 0),"")</f>
        <v/>
      </c>
      <c r="G379" t="str" cm="1">
        <f t="array" aca="1" ref="G379" ca="1">IF(COUNTIF($F$2:$F$1000,INDIRECT("RC[-2]",0))&gt;0,"",INDIRECT("RC[-2]",0))</f>
        <v/>
      </c>
    </row>
    <row r="380" spans="2:7" x14ac:dyDescent="0.25">
      <c r="B380" t="str" cm="1">
        <f t="array" aca="1" ref="B380" ca="1">IFERROR(DATE(RIGHT(INDIRECT("RC[-1]",0),4),LEFT(INDIRECT("RC[-1]",0),2),1), "")</f>
        <v/>
      </c>
      <c r="C380" s="214"/>
      <c r="E380" t="str" cm="1">
        <f t="array" aca="1" ref="E380" ca="1">IF(_xlfn.XLOOKUP(INDIRECT("RC[-1]", 0), CategoryNames, CategoryIdentifiers, "")&lt;&gt;"",INDIRECT("RC[-1]", 0),"")</f>
        <v/>
      </c>
      <c r="G380" t="str" cm="1">
        <f t="array" aca="1" ref="G380" ca="1">IF(COUNTIF($F$2:$F$1000,INDIRECT("RC[-2]",0))&gt;0,"",INDIRECT("RC[-2]",0))</f>
        <v/>
      </c>
    </row>
    <row r="381" spans="2:7" x14ac:dyDescent="0.25">
      <c r="B381" t="str" cm="1">
        <f t="array" aca="1" ref="B381" ca="1">IFERROR(DATE(RIGHT(INDIRECT("RC[-1]",0),4),LEFT(INDIRECT("RC[-1]",0),2),1), "")</f>
        <v/>
      </c>
      <c r="C381" s="214"/>
      <c r="E381" t="str" cm="1">
        <f t="array" aca="1" ref="E381" ca="1">IF(_xlfn.XLOOKUP(INDIRECT("RC[-1]", 0), CategoryNames, CategoryIdentifiers, "")&lt;&gt;"",INDIRECT("RC[-1]", 0),"")</f>
        <v/>
      </c>
      <c r="G381" t="str" cm="1">
        <f t="array" aca="1" ref="G381" ca="1">IF(COUNTIF($F$2:$F$1000,INDIRECT("RC[-2]",0))&gt;0,"",INDIRECT("RC[-2]",0))</f>
        <v/>
      </c>
    </row>
    <row r="382" spans="2:7" x14ac:dyDescent="0.25">
      <c r="B382" t="str" cm="1">
        <f t="array" aca="1" ref="B382" ca="1">IFERROR(DATE(RIGHT(INDIRECT("RC[-1]",0),4),LEFT(INDIRECT("RC[-1]",0),2),1), "")</f>
        <v/>
      </c>
      <c r="C382" s="214"/>
      <c r="E382" t="str" cm="1">
        <f t="array" aca="1" ref="E382" ca="1">IF(_xlfn.XLOOKUP(INDIRECT("RC[-1]", 0), CategoryNames, CategoryIdentifiers, "")&lt;&gt;"",INDIRECT("RC[-1]", 0),"")</f>
        <v/>
      </c>
      <c r="G382" t="str" cm="1">
        <f t="array" aca="1" ref="G382" ca="1">IF(COUNTIF($F$2:$F$1000,INDIRECT("RC[-2]",0))&gt;0,"",INDIRECT("RC[-2]",0))</f>
        <v/>
      </c>
    </row>
    <row r="383" spans="2:7" x14ac:dyDescent="0.25">
      <c r="B383" t="str" cm="1">
        <f t="array" aca="1" ref="B383" ca="1">IFERROR(DATE(RIGHT(INDIRECT("RC[-1]",0),4),LEFT(INDIRECT("RC[-1]",0),2),1), "")</f>
        <v/>
      </c>
      <c r="C383" s="214"/>
      <c r="E383" t="str" cm="1">
        <f t="array" aca="1" ref="E383" ca="1">IF(_xlfn.XLOOKUP(INDIRECT("RC[-1]", 0), CategoryNames, CategoryIdentifiers, "")&lt;&gt;"",INDIRECT("RC[-1]", 0),"")</f>
        <v/>
      </c>
      <c r="G383" t="str" cm="1">
        <f t="array" aca="1" ref="G383" ca="1">IF(COUNTIF($F$2:$F$1000,INDIRECT("RC[-2]",0))&gt;0,"",INDIRECT("RC[-2]",0))</f>
        <v/>
      </c>
    </row>
    <row r="384" spans="2:7" x14ac:dyDescent="0.25">
      <c r="B384" t="str" cm="1">
        <f t="array" aca="1" ref="B384" ca="1">IFERROR(DATE(RIGHT(INDIRECT("RC[-1]",0),4),LEFT(INDIRECT("RC[-1]",0),2),1), "")</f>
        <v/>
      </c>
      <c r="C384" s="214"/>
      <c r="E384" t="str" cm="1">
        <f t="array" aca="1" ref="E384" ca="1">IF(_xlfn.XLOOKUP(INDIRECT("RC[-1]", 0), CategoryNames, CategoryIdentifiers, "")&lt;&gt;"",INDIRECT("RC[-1]", 0),"")</f>
        <v/>
      </c>
      <c r="G384" t="str" cm="1">
        <f t="array" aca="1" ref="G384" ca="1">IF(COUNTIF($F$2:$F$1000,INDIRECT("RC[-2]",0))&gt;0,"",INDIRECT("RC[-2]",0))</f>
        <v/>
      </c>
    </row>
    <row r="385" spans="2:7" x14ac:dyDescent="0.25">
      <c r="B385" t="str" cm="1">
        <f t="array" aca="1" ref="B385" ca="1">IFERROR(DATE(RIGHT(INDIRECT("RC[-1]",0),4),LEFT(INDIRECT("RC[-1]",0),2),1), "")</f>
        <v/>
      </c>
      <c r="C385" s="214"/>
      <c r="E385" t="str" cm="1">
        <f t="array" aca="1" ref="E385" ca="1">IF(_xlfn.XLOOKUP(INDIRECT("RC[-1]", 0), CategoryNames, CategoryIdentifiers, "")&lt;&gt;"",INDIRECT("RC[-1]", 0),"")</f>
        <v/>
      </c>
      <c r="G385" t="str" cm="1">
        <f t="array" aca="1" ref="G385" ca="1">IF(COUNTIF($F$2:$F$1000,INDIRECT("RC[-2]",0))&gt;0,"",INDIRECT("RC[-2]",0))</f>
        <v/>
      </c>
    </row>
    <row r="386" spans="2:7" x14ac:dyDescent="0.25">
      <c r="B386" t="str" cm="1">
        <f t="array" aca="1" ref="B386" ca="1">IFERROR(DATE(RIGHT(INDIRECT("RC[-1]",0),4),LEFT(INDIRECT("RC[-1]",0),2),1), "")</f>
        <v/>
      </c>
      <c r="C386" s="214"/>
      <c r="E386" t="str" cm="1">
        <f t="array" aca="1" ref="E386" ca="1">IF(_xlfn.XLOOKUP(INDIRECT("RC[-1]", 0), CategoryNames, CategoryIdentifiers, "")&lt;&gt;"",INDIRECT("RC[-1]", 0),"")</f>
        <v/>
      </c>
      <c r="G386" t="str" cm="1">
        <f t="array" aca="1" ref="G386" ca="1">IF(COUNTIF($F$2:$F$1000,INDIRECT("RC[-2]",0))&gt;0,"",INDIRECT("RC[-2]",0))</f>
        <v/>
      </c>
    </row>
    <row r="387" spans="2:7" x14ac:dyDescent="0.25">
      <c r="B387" t="str" cm="1">
        <f t="array" aca="1" ref="B387" ca="1">IFERROR(DATE(RIGHT(INDIRECT("RC[-1]",0),4),LEFT(INDIRECT("RC[-1]",0),2),1), "")</f>
        <v/>
      </c>
      <c r="C387" s="214"/>
      <c r="E387" t="str" cm="1">
        <f t="array" aca="1" ref="E387" ca="1">IF(_xlfn.XLOOKUP(INDIRECT("RC[-1]", 0), CategoryNames, CategoryIdentifiers, "")&lt;&gt;"",INDIRECT("RC[-1]", 0),"")</f>
        <v/>
      </c>
      <c r="G387" t="str" cm="1">
        <f t="array" aca="1" ref="G387" ca="1">IF(COUNTIF($F$2:$F$1000,INDIRECT("RC[-2]",0))&gt;0,"",INDIRECT("RC[-2]",0))</f>
        <v/>
      </c>
    </row>
    <row r="388" spans="2:7" x14ac:dyDescent="0.25">
      <c r="B388" t="str" cm="1">
        <f t="array" aca="1" ref="B388" ca="1">IFERROR(DATE(RIGHT(INDIRECT("RC[-1]",0),4),LEFT(INDIRECT("RC[-1]",0),2),1), "")</f>
        <v/>
      </c>
      <c r="C388" s="214"/>
      <c r="E388" t="str" cm="1">
        <f t="array" aca="1" ref="E388" ca="1">IF(_xlfn.XLOOKUP(INDIRECT("RC[-1]", 0), CategoryNames, CategoryIdentifiers, "")&lt;&gt;"",INDIRECT("RC[-1]", 0),"")</f>
        <v/>
      </c>
      <c r="G388" t="str" cm="1">
        <f t="array" aca="1" ref="G388" ca="1">IF(COUNTIF($F$2:$F$1000,INDIRECT("RC[-2]",0))&gt;0,"",INDIRECT("RC[-2]",0))</f>
        <v/>
      </c>
    </row>
    <row r="389" spans="2:7" x14ac:dyDescent="0.25">
      <c r="B389" t="str" cm="1">
        <f t="array" aca="1" ref="B389" ca="1">IFERROR(DATE(RIGHT(INDIRECT("RC[-1]",0),4),LEFT(INDIRECT("RC[-1]",0),2),1), "")</f>
        <v/>
      </c>
      <c r="C389" s="214"/>
      <c r="E389" t="str" cm="1">
        <f t="array" aca="1" ref="E389" ca="1">IF(_xlfn.XLOOKUP(INDIRECT("RC[-1]", 0), CategoryNames, CategoryIdentifiers, "")&lt;&gt;"",INDIRECT("RC[-1]", 0),"")</f>
        <v/>
      </c>
      <c r="G389" t="str" cm="1">
        <f t="array" aca="1" ref="G389" ca="1">IF(COUNTIF($F$2:$F$1000,INDIRECT("RC[-2]",0))&gt;0,"",INDIRECT("RC[-2]",0))</f>
        <v/>
      </c>
    </row>
    <row r="390" spans="2:7" x14ac:dyDescent="0.25">
      <c r="B390" t="str" cm="1">
        <f t="array" aca="1" ref="B390" ca="1">IFERROR(DATE(RIGHT(INDIRECT("RC[-1]",0),4),LEFT(INDIRECT("RC[-1]",0),2),1), "")</f>
        <v/>
      </c>
      <c r="C390" s="214"/>
      <c r="E390" t="str" cm="1">
        <f t="array" aca="1" ref="E390" ca="1">IF(_xlfn.XLOOKUP(INDIRECT("RC[-1]", 0), CategoryNames, CategoryIdentifiers, "")&lt;&gt;"",INDIRECT("RC[-1]", 0),"")</f>
        <v/>
      </c>
      <c r="G390" t="str" cm="1">
        <f t="array" aca="1" ref="G390" ca="1">IF(COUNTIF($F$2:$F$1000,INDIRECT("RC[-2]",0))&gt;0,"",INDIRECT("RC[-2]",0))</f>
        <v/>
      </c>
    </row>
    <row r="391" spans="2:7" x14ac:dyDescent="0.25">
      <c r="B391" t="str" cm="1">
        <f t="array" aca="1" ref="B391" ca="1">IFERROR(DATE(RIGHT(INDIRECT("RC[-1]",0),4),LEFT(INDIRECT("RC[-1]",0),2),1), "")</f>
        <v/>
      </c>
      <c r="C391" s="214"/>
      <c r="E391" t="str" cm="1">
        <f t="array" aca="1" ref="E391" ca="1">IF(_xlfn.XLOOKUP(INDIRECT("RC[-1]", 0), CategoryNames, CategoryIdentifiers, "")&lt;&gt;"",INDIRECT("RC[-1]", 0),"")</f>
        <v/>
      </c>
      <c r="G391" t="str" cm="1">
        <f t="array" aca="1" ref="G391" ca="1">IF(COUNTIF($F$2:$F$1000,INDIRECT("RC[-2]",0))&gt;0,"",INDIRECT("RC[-2]",0))</f>
        <v/>
      </c>
    </row>
    <row r="392" spans="2:7" x14ac:dyDescent="0.25">
      <c r="B392" t="str" cm="1">
        <f t="array" aca="1" ref="B392" ca="1">IFERROR(DATE(RIGHT(INDIRECT("RC[-1]",0),4),LEFT(INDIRECT("RC[-1]",0),2),1), "")</f>
        <v/>
      </c>
      <c r="C392" s="214"/>
      <c r="E392" t="str" cm="1">
        <f t="array" aca="1" ref="E392" ca="1">IF(_xlfn.XLOOKUP(INDIRECT("RC[-1]", 0), CategoryNames, CategoryIdentifiers, "")&lt;&gt;"",INDIRECT("RC[-1]", 0),"")</f>
        <v/>
      </c>
      <c r="G392" t="str" cm="1">
        <f t="array" aca="1" ref="G392" ca="1">IF(COUNTIF($F$2:$F$1000,INDIRECT("RC[-2]",0))&gt;0,"",INDIRECT("RC[-2]",0))</f>
        <v/>
      </c>
    </row>
    <row r="393" spans="2:7" x14ac:dyDescent="0.25">
      <c r="B393" t="str" cm="1">
        <f t="array" aca="1" ref="B393" ca="1">IFERROR(DATE(RIGHT(INDIRECT("RC[-1]",0),4),LEFT(INDIRECT("RC[-1]",0),2),1), "")</f>
        <v/>
      </c>
      <c r="C393" s="214"/>
      <c r="E393" t="str" cm="1">
        <f t="array" aca="1" ref="E393" ca="1">IF(_xlfn.XLOOKUP(INDIRECT("RC[-1]", 0), CategoryNames, CategoryIdentifiers, "")&lt;&gt;"",INDIRECT("RC[-1]", 0),"")</f>
        <v/>
      </c>
      <c r="G393" t="str" cm="1">
        <f t="array" aca="1" ref="G393" ca="1">IF(COUNTIF($F$2:$F$1000,INDIRECT("RC[-2]",0))&gt;0,"",INDIRECT("RC[-2]",0))</f>
        <v/>
      </c>
    </row>
    <row r="394" spans="2:7" x14ac:dyDescent="0.25">
      <c r="B394" t="str" cm="1">
        <f t="array" aca="1" ref="B394" ca="1">IFERROR(DATE(RIGHT(INDIRECT("RC[-1]",0),4),LEFT(INDIRECT("RC[-1]",0),2),1), "")</f>
        <v/>
      </c>
      <c r="C394" s="214"/>
      <c r="E394" t="str" cm="1">
        <f t="array" aca="1" ref="E394" ca="1">IF(_xlfn.XLOOKUP(INDIRECT("RC[-1]", 0), CategoryNames, CategoryIdentifiers, "")&lt;&gt;"",INDIRECT("RC[-1]", 0),"")</f>
        <v/>
      </c>
      <c r="G394" t="str" cm="1">
        <f t="array" aca="1" ref="G394" ca="1">IF(COUNTIF($F$2:$F$1000,INDIRECT("RC[-2]",0))&gt;0,"",INDIRECT("RC[-2]",0))</f>
        <v/>
      </c>
    </row>
    <row r="395" spans="2:7" x14ac:dyDescent="0.25">
      <c r="B395" t="str" cm="1">
        <f t="array" aca="1" ref="B395" ca="1">IFERROR(DATE(RIGHT(INDIRECT("RC[-1]",0),4),LEFT(INDIRECT("RC[-1]",0),2),1), "")</f>
        <v/>
      </c>
      <c r="C395" s="214"/>
      <c r="E395" t="str" cm="1">
        <f t="array" aca="1" ref="E395" ca="1">IF(_xlfn.XLOOKUP(INDIRECT("RC[-1]", 0), CategoryNames, CategoryIdentifiers, "")&lt;&gt;"",INDIRECT("RC[-1]", 0),"")</f>
        <v/>
      </c>
      <c r="G395" t="str" cm="1">
        <f t="array" aca="1" ref="G395" ca="1">IF(COUNTIF($F$2:$F$1000,INDIRECT("RC[-2]",0))&gt;0,"",INDIRECT("RC[-2]",0))</f>
        <v/>
      </c>
    </row>
    <row r="396" spans="2:7" x14ac:dyDescent="0.25">
      <c r="B396" t="str" cm="1">
        <f t="array" aca="1" ref="B396" ca="1">IFERROR(DATE(RIGHT(INDIRECT("RC[-1]",0),4),LEFT(INDIRECT("RC[-1]",0),2),1), "")</f>
        <v/>
      </c>
      <c r="C396" s="214"/>
      <c r="E396" t="str" cm="1">
        <f t="array" aca="1" ref="E396" ca="1">IF(_xlfn.XLOOKUP(INDIRECT("RC[-1]", 0), CategoryNames, CategoryIdentifiers, "")&lt;&gt;"",INDIRECT("RC[-1]", 0),"")</f>
        <v/>
      </c>
      <c r="G396" t="str" cm="1">
        <f t="array" aca="1" ref="G396" ca="1">IF(COUNTIF($F$2:$F$1000,INDIRECT("RC[-2]",0))&gt;0,"",INDIRECT("RC[-2]",0))</f>
        <v/>
      </c>
    </row>
    <row r="397" spans="2:7" x14ac:dyDescent="0.25">
      <c r="B397" t="str" cm="1">
        <f t="array" aca="1" ref="B397" ca="1">IFERROR(DATE(RIGHT(INDIRECT("RC[-1]",0),4),LEFT(INDIRECT("RC[-1]",0),2),1), "")</f>
        <v/>
      </c>
      <c r="C397" s="214"/>
      <c r="E397" t="str" cm="1">
        <f t="array" aca="1" ref="E397" ca="1">IF(_xlfn.XLOOKUP(INDIRECT("RC[-1]", 0), CategoryNames, CategoryIdentifiers, "")&lt;&gt;"",INDIRECT("RC[-1]", 0),"")</f>
        <v/>
      </c>
      <c r="G397" t="str" cm="1">
        <f t="array" aca="1" ref="G397" ca="1">IF(COUNTIF($F$2:$F$1000,INDIRECT("RC[-2]",0))&gt;0,"",INDIRECT("RC[-2]",0))</f>
        <v/>
      </c>
    </row>
    <row r="398" spans="2:7" x14ac:dyDescent="0.25">
      <c r="B398" t="str" cm="1">
        <f t="array" aca="1" ref="B398" ca="1">IFERROR(DATE(RIGHT(INDIRECT("RC[-1]",0),4),LEFT(INDIRECT("RC[-1]",0),2),1), "")</f>
        <v/>
      </c>
      <c r="C398" s="214"/>
      <c r="E398" t="str" cm="1">
        <f t="array" aca="1" ref="E398" ca="1">IF(_xlfn.XLOOKUP(INDIRECT("RC[-1]", 0), CategoryNames, CategoryIdentifiers, "")&lt;&gt;"",INDIRECT("RC[-1]", 0),"")</f>
        <v/>
      </c>
      <c r="G398" t="str" cm="1">
        <f t="array" aca="1" ref="G398" ca="1">IF(COUNTIF($F$2:$F$1000,INDIRECT("RC[-2]",0))&gt;0,"",INDIRECT("RC[-2]",0))</f>
        <v/>
      </c>
    </row>
    <row r="399" spans="2:7" x14ac:dyDescent="0.25">
      <c r="B399" t="str" cm="1">
        <f t="array" aca="1" ref="B399" ca="1">IFERROR(DATE(RIGHT(INDIRECT("RC[-1]",0),4),LEFT(INDIRECT("RC[-1]",0),2),1), "")</f>
        <v/>
      </c>
      <c r="C399" s="214"/>
      <c r="E399" t="str" cm="1">
        <f t="array" aca="1" ref="E399" ca="1">IF(_xlfn.XLOOKUP(INDIRECT("RC[-1]", 0), CategoryNames, CategoryIdentifiers, "")&lt;&gt;"",INDIRECT("RC[-1]", 0),"")</f>
        <v/>
      </c>
      <c r="G399" t="str" cm="1">
        <f t="array" aca="1" ref="G399" ca="1">IF(COUNTIF($F$2:$F$1000,INDIRECT("RC[-2]",0))&gt;0,"",INDIRECT("RC[-2]",0))</f>
        <v/>
      </c>
    </row>
    <row r="400" spans="2:7" x14ac:dyDescent="0.25">
      <c r="B400" t="str" cm="1">
        <f t="array" aca="1" ref="B400" ca="1">IFERROR(DATE(RIGHT(INDIRECT("RC[-1]",0),4),LEFT(INDIRECT("RC[-1]",0),2),1), "")</f>
        <v/>
      </c>
      <c r="C400" s="214"/>
      <c r="E400" t="str" cm="1">
        <f t="array" aca="1" ref="E400" ca="1">IF(_xlfn.XLOOKUP(INDIRECT("RC[-1]", 0), CategoryNames, CategoryIdentifiers, "")&lt;&gt;"",INDIRECT("RC[-1]", 0),"")</f>
        <v/>
      </c>
      <c r="G400" t="str" cm="1">
        <f t="array" aca="1" ref="G400" ca="1">IF(COUNTIF($F$2:$F$1000,INDIRECT("RC[-2]",0))&gt;0,"",INDIRECT("RC[-2]",0))</f>
        <v/>
      </c>
    </row>
    <row r="401" spans="2:7" x14ac:dyDescent="0.25">
      <c r="B401" t="str" cm="1">
        <f t="array" aca="1" ref="B401" ca="1">IFERROR(DATE(RIGHT(INDIRECT("RC[-1]",0),4),LEFT(INDIRECT("RC[-1]",0),2),1), "")</f>
        <v/>
      </c>
      <c r="C401" s="214"/>
      <c r="E401" t="str" cm="1">
        <f t="array" aca="1" ref="E401" ca="1">IF(_xlfn.XLOOKUP(INDIRECT("RC[-1]", 0), CategoryNames, CategoryIdentifiers, "")&lt;&gt;"",INDIRECT("RC[-1]", 0),"")</f>
        <v/>
      </c>
      <c r="G401" t="str" cm="1">
        <f t="array" aca="1" ref="G401" ca="1">IF(COUNTIF($F$2:$F$1000,INDIRECT("RC[-2]",0))&gt;0,"",INDIRECT("RC[-2]",0))</f>
        <v/>
      </c>
    </row>
    <row r="402" spans="2:7" x14ac:dyDescent="0.25">
      <c r="B402" t="str" cm="1">
        <f t="array" aca="1" ref="B402" ca="1">IFERROR(DATE(RIGHT(INDIRECT("RC[-1]",0),4),LEFT(INDIRECT("RC[-1]",0),2),1), "")</f>
        <v/>
      </c>
      <c r="C402" s="214"/>
      <c r="E402" t="str" cm="1">
        <f t="array" aca="1" ref="E402" ca="1">IF(_xlfn.XLOOKUP(INDIRECT("RC[-1]", 0), CategoryNames, CategoryIdentifiers, "")&lt;&gt;"",INDIRECT("RC[-1]", 0),"")</f>
        <v/>
      </c>
      <c r="G402" t="str" cm="1">
        <f t="array" aca="1" ref="G402" ca="1">IF(COUNTIF($F$2:$F$1000,INDIRECT("RC[-2]",0))&gt;0,"",INDIRECT("RC[-2]",0))</f>
        <v/>
      </c>
    </row>
    <row r="403" spans="2:7" x14ac:dyDescent="0.25">
      <c r="B403" t="str" cm="1">
        <f t="array" aca="1" ref="B403" ca="1">IFERROR(DATE(RIGHT(INDIRECT("RC[-1]",0),4),LEFT(INDIRECT("RC[-1]",0),2),1), "")</f>
        <v/>
      </c>
      <c r="C403" s="214"/>
      <c r="E403" t="str" cm="1">
        <f t="array" aca="1" ref="E403" ca="1">IF(_xlfn.XLOOKUP(INDIRECT("RC[-1]", 0), CategoryNames, CategoryIdentifiers, "")&lt;&gt;"",INDIRECT("RC[-1]", 0),"")</f>
        <v/>
      </c>
      <c r="G403" t="str" cm="1">
        <f t="array" aca="1" ref="G403" ca="1">IF(COUNTIF($F$2:$F$1000,INDIRECT("RC[-2]",0))&gt;0,"",INDIRECT("RC[-2]",0))</f>
        <v/>
      </c>
    </row>
    <row r="404" spans="2:7" x14ac:dyDescent="0.25">
      <c r="B404" t="str" cm="1">
        <f t="array" aca="1" ref="B404" ca="1">IFERROR(DATE(RIGHT(INDIRECT("RC[-1]",0),4),LEFT(INDIRECT("RC[-1]",0),2),1), "")</f>
        <v/>
      </c>
      <c r="C404" s="214"/>
      <c r="E404" t="str" cm="1">
        <f t="array" aca="1" ref="E404" ca="1">IF(_xlfn.XLOOKUP(INDIRECT("RC[-1]", 0), CategoryNames, CategoryIdentifiers, "")&lt;&gt;"",INDIRECT("RC[-1]", 0),"")</f>
        <v/>
      </c>
      <c r="G404" t="str" cm="1">
        <f t="array" aca="1" ref="G404" ca="1">IF(COUNTIF($F$2:$F$1000,INDIRECT("RC[-2]",0))&gt;0,"",INDIRECT("RC[-2]",0))</f>
        <v/>
      </c>
    </row>
    <row r="405" spans="2:7" x14ac:dyDescent="0.25">
      <c r="B405" t="str" cm="1">
        <f t="array" aca="1" ref="B405" ca="1">IFERROR(DATE(RIGHT(INDIRECT("RC[-1]",0),4),LEFT(INDIRECT("RC[-1]",0),2),1), "")</f>
        <v/>
      </c>
      <c r="C405" s="214"/>
      <c r="E405" t="str" cm="1">
        <f t="array" aca="1" ref="E405" ca="1">IF(_xlfn.XLOOKUP(INDIRECT("RC[-1]", 0), CategoryNames, CategoryIdentifiers, "")&lt;&gt;"",INDIRECT("RC[-1]", 0),"")</f>
        <v/>
      </c>
      <c r="G405" t="str" cm="1">
        <f t="array" aca="1" ref="G405" ca="1">IF(COUNTIF($F$2:$F$1000,INDIRECT("RC[-2]",0))&gt;0,"",INDIRECT("RC[-2]",0))</f>
        <v/>
      </c>
    </row>
    <row r="406" spans="2:7" x14ac:dyDescent="0.25">
      <c r="B406" t="str" cm="1">
        <f t="array" aca="1" ref="B406" ca="1">IFERROR(DATE(RIGHT(INDIRECT("RC[-1]",0),4),LEFT(INDIRECT("RC[-1]",0),2),1), "")</f>
        <v/>
      </c>
      <c r="C406" s="214"/>
      <c r="E406" t="str" cm="1">
        <f t="array" aca="1" ref="E406" ca="1">IF(_xlfn.XLOOKUP(INDIRECT("RC[-1]", 0), CategoryNames, CategoryIdentifiers, "")&lt;&gt;"",INDIRECT("RC[-1]", 0),"")</f>
        <v/>
      </c>
      <c r="G406" t="str" cm="1">
        <f t="array" aca="1" ref="G406" ca="1">IF(COUNTIF($F$2:$F$1000,INDIRECT("RC[-2]",0))&gt;0,"",INDIRECT("RC[-2]",0))</f>
        <v/>
      </c>
    </row>
    <row r="407" spans="2:7" x14ac:dyDescent="0.25">
      <c r="B407" t="str" cm="1">
        <f t="array" aca="1" ref="B407" ca="1">IFERROR(DATE(RIGHT(INDIRECT("RC[-1]",0),4),LEFT(INDIRECT("RC[-1]",0),2),1), "")</f>
        <v/>
      </c>
      <c r="C407" s="214"/>
      <c r="E407" t="str" cm="1">
        <f t="array" aca="1" ref="E407" ca="1">IF(_xlfn.XLOOKUP(INDIRECT("RC[-1]", 0), CategoryNames, CategoryIdentifiers, "")&lt;&gt;"",INDIRECT("RC[-1]", 0),"")</f>
        <v/>
      </c>
      <c r="G407" t="str" cm="1">
        <f t="array" aca="1" ref="G407" ca="1">IF(COUNTIF($F$2:$F$1000,INDIRECT("RC[-2]",0))&gt;0,"",INDIRECT("RC[-2]",0))</f>
        <v/>
      </c>
    </row>
    <row r="408" spans="2:7" x14ac:dyDescent="0.25">
      <c r="B408" t="str" cm="1">
        <f t="array" aca="1" ref="B408" ca="1">IFERROR(DATE(RIGHT(INDIRECT("RC[-1]",0),4),LEFT(INDIRECT("RC[-1]",0),2),1), "")</f>
        <v/>
      </c>
      <c r="C408" s="214"/>
      <c r="E408" t="str" cm="1">
        <f t="array" aca="1" ref="E408" ca="1">IF(_xlfn.XLOOKUP(INDIRECT("RC[-1]", 0), CategoryNames, CategoryIdentifiers, "")&lt;&gt;"",INDIRECT("RC[-1]", 0),"")</f>
        <v/>
      </c>
      <c r="G408" t="str" cm="1">
        <f t="array" aca="1" ref="G408" ca="1">IF(COUNTIF($F$2:$F$1000,INDIRECT("RC[-2]",0))&gt;0,"",INDIRECT("RC[-2]",0))</f>
        <v/>
      </c>
    </row>
    <row r="409" spans="2:7" x14ac:dyDescent="0.25">
      <c r="B409" t="str" cm="1">
        <f t="array" aca="1" ref="B409" ca="1">IFERROR(DATE(RIGHT(INDIRECT("RC[-1]",0),4),LEFT(INDIRECT("RC[-1]",0),2),1), "")</f>
        <v/>
      </c>
      <c r="C409" s="214"/>
      <c r="E409" t="str" cm="1">
        <f t="array" aca="1" ref="E409" ca="1">IF(_xlfn.XLOOKUP(INDIRECT("RC[-1]", 0), CategoryNames, CategoryIdentifiers, "")&lt;&gt;"",INDIRECT("RC[-1]", 0),"")</f>
        <v/>
      </c>
      <c r="G409" t="str" cm="1">
        <f t="array" aca="1" ref="G409" ca="1">IF(COUNTIF($F$2:$F$1000,INDIRECT("RC[-2]",0))&gt;0,"",INDIRECT("RC[-2]",0))</f>
        <v/>
      </c>
    </row>
    <row r="410" spans="2:7" x14ac:dyDescent="0.25">
      <c r="B410" t="str" cm="1">
        <f t="array" aca="1" ref="B410" ca="1">IFERROR(DATE(RIGHT(INDIRECT("RC[-1]",0),4),LEFT(INDIRECT("RC[-1]",0),2),1), "")</f>
        <v/>
      </c>
      <c r="C410" s="214"/>
      <c r="E410" t="str" cm="1">
        <f t="array" aca="1" ref="E410" ca="1">IF(_xlfn.XLOOKUP(INDIRECT("RC[-1]", 0), CategoryNames, CategoryIdentifiers, "")&lt;&gt;"",INDIRECT("RC[-1]", 0),"")</f>
        <v/>
      </c>
      <c r="G410" t="str" cm="1">
        <f t="array" aca="1" ref="G410" ca="1">IF(COUNTIF($F$2:$F$1000,INDIRECT("RC[-2]",0))&gt;0,"",INDIRECT("RC[-2]",0))</f>
        <v/>
      </c>
    </row>
    <row r="411" spans="2:7" x14ac:dyDescent="0.25">
      <c r="B411" t="str" cm="1">
        <f t="array" aca="1" ref="B411" ca="1">IFERROR(DATE(RIGHT(INDIRECT("RC[-1]",0),4),LEFT(INDIRECT("RC[-1]",0),2),1), "")</f>
        <v/>
      </c>
      <c r="C411" s="214"/>
      <c r="E411" t="str" cm="1">
        <f t="array" aca="1" ref="E411" ca="1">IF(_xlfn.XLOOKUP(INDIRECT("RC[-1]", 0), CategoryNames, CategoryIdentifiers, "")&lt;&gt;"",INDIRECT("RC[-1]", 0),"")</f>
        <v/>
      </c>
      <c r="G411" t="str" cm="1">
        <f t="array" aca="1" ref="G411" ca="1">IF(COUNTIF($F$2:$F$1000,INDIRECT("RC[-2]",0))&gt;0,"",INDIRECT("RC[-2]",0))</f>
        <v/>
      </c>
    </row>
    <row r="412" spans="2:7" x14ac:dyDescent="0.25">
      <c r="B412" t="str" cm="1">
        <f t="array" aca="1" ref="B412" ca="1">IFERROR(DATE(RIGHT(INDIRECT("RC[-1]",0),4),LEFT(INDIRECT("RC[-1]",0),2),1), "")</f>
        <v/>
      </c>
      <c r="C412" s="214"/>
      <c r="E412" t="str" cm="1">
        <f t="array" aca="1" ref="E412" ca="1">IF(_xlfn.XLOOKUP(INDIRECT("RC[-1]", 0), CategoryNames, CategoryIdentifiers, "")&lt;&gt;"",INDIRECT("RC[-1]", 0),"")</f>
        <v/>
      </c>
      <c r="G412" t="str" cm="1">
        <f t="array" aca="1" ref="G412" ca="1">IF(COUNTIF($F$2:$F$1000,INDIRECT("RC[-2]",0))&gt;0,"",INDIRECT("RC[-2]",0))</f>
        <v/>
      </c>
    </row>
    <row r="413" spans="2:7" x14ac:dyDescent="0.25">
      <c r="B413" t="str" cm="1">
        <f t="array" aca="1" ref="B413" ca="1">IFERROR(DATE(RIGHT(INDIRECT("RC[-1]",0),4),LEFT(INDIRECT("RC[-1]",0),2),1), "")</f>
        <v/>
      </c>
      <c r="C413" s="214"/>
      <c r="E413" t="str" cm="1">
        <f t="array" aca="1" ref="E413" ca="1">IF(_xlfn.XLOOKUP(INDIRECT("RC[-1]", 0), CategoryNames, CategoryIdentifiers, "")&lt;&gt;"",INDIRECT("RC[-1]", 0),"")</f>
        <v/>
      </c>
      <c r="G413" t="str" cm="1">
        <f t="array" aca="1" ref="G413" ca="1">IF(COUNTIF($F$2:$F$1000,INDIRECT("RC[-2]",0))&gt;0,"",INDIRECT("RC[-2]",0))</f>
        <v/>
      </c>
    </row>
    <row r="414" spans="2:7" x14ac:dyDescent="0.25">
      <c r="B414" t="str" cm="1">
        <f t="array" aca="1" ref="B414" ca="1">IFERROR(DATE(RIGHT(INDIRECT("RC[-1]",0),4),LEFT(INDIRECT("RC[-1]",0),2),1), "")</f>
        <v/>
      </c>
      <c r="C414" s="214"/>
      <c r="E414" t="str" cm="1">
        <f t="array" aca="1" ref="E414" ca="1">IF(_xlfn.XLOOKUP(INDIRECT("RC[-1]", 0), CategoryNames, CategoryIdentifiers, "")&lt;&gt;"",INDIRECT("RC[-1]", 0),"")</f>
        <v/>
      </c>
      <c r="G414" t="str" cm="1">
        <f t="array" aca="1" ref="G414" ca="1">IF(COUNTIF($F$2:$F$1000,INDIRECT("RC[-2]",0))&gt;0,"",INDIRECT("RC[-2]",0))</f>
        <v/>
      </c>
    </row>
    <row r="415" spans="2:7" x14ac:dyDescent="0.25">
      <c r="B415" t="str" cm="1">
        <f t="array" aca="1" ref="B415" ca="1">IFERROR(DATE(RIGHT(INDIRECT("RC[-1]",0),4),LEFT(INDIRECT("RC[-1]",0),2),1), "")</f>
        <v/>
      </c>
      <c r="C415" s="214"/>
      <c r="E415" t="str" cm="1">
        <f t="array" aca="1" ref="E415" ca="1">IF(_xlfn.XLOOKUP(INDIRECT("RC[-1]", 0), CategoryNames, CategoryIdentifiers, "")&lt;&gt;"",INDIRECT("RC[-1]", 0),"")</f>
        <v/>
      </c>
      <c r="G415" t="str" cm="1">
        <f t="array" aca="1" ref="G415" ca="1">IF(COUNTIF($F$2:$F$1000,INDIRECT("RC[-2]",0))&gt;0,"",INDIRECT("RC[-2]",0))</f>
        <v/>
      </c>
    </row>
    <row r="416" spans="2:7" x14ac:dyDescent="0.25">
      <c r="B416" t="str" cm="1">
        <f t="array" aca="1" ref="B416" ca="1">IFERROR(DATE(RIGHT(INDIRECT("RC[-1]",0),4),LEFT(INDIRECT("RC[-1]",0),2),1), "")</f>
        <v/>
      </c>
      <c r="C416" s="214"/>
      <c r="E416" t="str" cm="1">
        <f t="array" aca="1" ref="E416" ca="1">IF(_xlfn.XLOOKUP(INDIRECT("RC[-1]", 0), CategoryNames, CategoryIdentifiers, "")&lt;&gt;"",INDIRECT("RC[-1]", 0),"")</f>
        <v/>
      </c>
      <c r="G416" t="str" cm="1">
        <f t="array" aca="1" ref="G416" ca="1">IF(COUNTIF($F$2:$F$1000,INDIRECT("RC[-2]",0))&gt;0,"",INDIRECT("RC[-2]",0))</f>
        <v/>
      </c>
    </row>
    <row r="417" spans="2:7" x14ac:dyDescent="0.25">
      <c r="B417" t="str" cm="1">
        <f t="array" aca="1" ref="B417" ca="1">IFERROR(DATE(RIGHT(INDIRECT("RC[-1]",0),4),LEFT(INDIRECT("RC[-1]",0),2),1), "")</f>
        <v/>
      </c>
      <c r="C417" s="214"/>
      <c r="E417" t="str" cm="1">
        <f t="array" aca="1" ref="E417" ca="1">IF(_xlfn.XLOOKUP(INDIRECT("RC[-1]", 0), CategoryNames, CategoryIdentifiers, "")&lt;&gt;"",INDIRECT("RC[-1]", 0),"")</f>
        <v/>
      </c>
      <c r="G417" t="str" cm="1">
        <f t="array" aca="1" ref="G417" ca="1">IF(COUNTIF($F$2:$F$1000,INDIRECT("RC[-2]",0))&gt;0,"",INDIRECT("RC[-2]",0))</f>
        <v/>
      </c>
    </row>
    <row r="418" spans="2:7" x14ac:dyDescent="0.25">
      <c r="B418" t="str" cm="1">
        <f t="array" aca="1" ref="B418" ca="1">IFERROR(DATE(RIGHT(INDIRECT("RC[-1]",0),4),LEFT(INDIRECT("RC[-1]",0),2),1), "")</f>
        <v/>
      </c>
      <c r="C418" s="214"/>
      <c r="E418" t="str" cm="1">
        <f t="array" aca="1" ref="E418" ca="1">IF(_xlfn.XLOOKUP(INDIRECT("RC[-1]", 0), CategoryNames, CategoryIdentifiers, "")&lt;&gt;"",INDIRECT("RC[-1]", 0),"")</f>
        <v/>
      </c>
      <c r="G418" t="str" cm="1">
        <f t="array" aca="1" ref="G418" ca="1">IF(COUNTIF($F$2:$F$1000,INDIRECT("RC[-2]",0))&gt;0,"",INDIRECT("RC[-2]",0))</f>
        <v/>
      </c>
    </row>
    <row r="419" spans="2:7" x14ac:dyDescent="0.25">
      <c r="B419" t="str" cm="1">
        <f t="array" aca="1" ref="B419" ca="1">IFERROR(DATE(RIGHT(INDIRECT("RC[-1]",0),4),LEFT(INDIRECT("RC[-1]",0),2),1), "")</f>
        <v/>
      </c>
      <c r="C419" s="214"/>
      <c r="E419" t="str" cm="1">
        <f t="array" aca="1" ref="E419" ca="1">IF(_xlfn.XLOOKUP(INDIRECT("RC[-1]", 0), CategoryNames, CategoryIdentifiers, "")&lt;&gt;"",INDIRECT("RC[-1]", 0),"")</f>
        <v/>
      </c>
      <c r="G419" t="str" cm="1">
        <f t="array" aca="1" ref="G419" ca="1">IF(COUNTIF($F$2:$F$1000,INDIRECT("RC[-2]",0))&gt;0,"",INDIRECT("RC[-2]",0))</f>
        <v/>
      </c>
    </row>
    <row r="420" spans="2:7" x14ac:dyDescent="0.25">
      <c r="B420" t="str" cm="1">
        <f t="array" aca="1" ref="B420" ca="1">IFERROR(DATE(RIGHT(INDIRECT("RC[-1]",0),4),LEFT(INDIRECT("RC[-1]",0),2),1), "")</f>
        <v/>
      </c>
      <c r="C420" s="214"/>
      <c r="E420" t="str" cm="1">
        <f t="array" aca="1" ref="E420" ca="1">IF(_xlfn.XLOOKUP(INDIRECT("RC[-1]", 0), CategoryNames, CategoryIdentifiers, "")&lt;&gt;"",INDIRECT("RC[-1]", 0),"")</f>
        <v/>
      </c>
      <c r="G420" t="str" cm="1">
        <f t="array" aca="1" ref="G420" ca="1">IF(COUNTIF($F$2:$F$1000,INDIRECT("RC[-2]",0))&gt;0,"",INDIRECT("RC[-2]",0))</f>
        <v/>
      </c>
    </row>
    <row r="421" spans="2:7" x14ac:dyDescent="0.25">
      <c r="B421" t="str" cm="1">
        <f t="array" aca="1" ref="B421" ca="1">IFERROR(DATE(RIGHT(INDIRECT("RC[-1]",0),4),LEFT(INDIRECT("RC[-1]",0),2),1), "")</f>
        <v/>
      </c>
      <c r="C421" s="214"/>
      <c r="E421" t="str" cm="1">
        <f t="array" aca="1" ref="E421" ca="1">IF(_xlfn.XLOOKUP(INDIRECT("RC[-1]", 0), CategoryNames, CategoryIdentifiers, "")&lt;&gt;"",INDIRECT("RC[-1]", 0),"")</f>
        <v/>
      </c>
      <c r="G421" t="str" cm="1">
        <f t="array" aca="1" ref="G421" ca="1">IF(COUNTIF($F$2:$F$1000,INDIRECT("RC[-2]",0))&gt;0,"",INDIRECT("RC[-2]",0))</f>
        <v/>
      </c>
    </row>
    <row r="422" spans="2:7" x14ac:dyDescent="0.25">
      <c r="B422" t="str" cm="1">
        <f t="array" aca="1" ref="B422" ca="1">IFERROR(DATE(RIGHT(INDIRECT("RC[-1]",0),4),LEFT(INDIRECT("RC[-1]",0),2),1), "")</f>
        <v/>
      </c>
      <c r="C422" s="214"/>
      <c r="E422" t="str" cm="1">
        <f t="array" aca="1" ref="E422" ca="1">IF(_xlfn.XLOOKUP(INDIRECT("RC[-1]", 0), CategoryNames, CategoryIdentifiers, "")&lt;&gt;"",INDIRECT("RC[-1]", 0),"")</f>
        <v/>
      </c>
      <c r="G422" t="str" cm="1">
        <f t="array" aca="1" ref="G422" ca="1">IF(COUNTIF($F$2:$F$1000,INDIRECT("RC[-2]",0))&gt;0,"",INDIRECT("RC[-2]",0))</f>
        <v/>
      </c>
    </row>
    <row r="423" spans="2:7" x14ac:dyDescent="0.25">
      <c r="B423" t="str" cm="1">
        <f t="array" aca="1" ref="B423" ca="1">IFERROR(DATE(RIGHT(INDIRECT("RC[-1]",0),4),LEFT(INDIRECT("RC[-1]",0),2),1), "")</f>
        <v/>
      </c>
      <c r="C423" s="214"/>
      <c r="E423" t="str" cm="1">
        <f t="array" aca="1" ref="E423" ca="1">IF(_xlfn.XLOOKUP(INDIRECT("RC[-1]", 0), CategoryNames, CategoryIdentifiers, "")&lt;&gt;"",INDIRECT("RC[-1]", 0),"")</f>
        <v/>
      </c>
      <c r="G423" t="str" cm="1">
        <f t="array" aca="1" ref="G423" ca="1">IF(COUNTIF($F$2:$F$1000,INDIRECT("RC[-2]",0))&gt;0,"",INDIRECT("RC[-2]",0))</f>
        <v/>
      </c>
    </row>
    <row r="424" spans="2:7" x14ac:dyDescent="0.25">
      <c r="B424" t="str" cm="1">
        <f t="array" aca="1" ref="B424" ca="1">IFERROR(DATE(RIGHT(INDIRECT("RC[-1]",0),4),LEFT(INDIRECT("RC[-1]",0),2),1), "")</f>
        <v/>
      </c>
      <c r="C424" s="214"/>
      <c r="E424" t="str" cm="1">
        <f t="array" aca="1" ref="E424" ca="1">IF(_xlfn.XLOOKUP(INDIRECT("RC[-1]", 0), CategoryNames, CategoryIdentifiers, "")&lt;&gt;"",INDIRECT("RC[-1]", 0),"")</f>
        <v/>
      </c>
      <c r="G424" t="str" cm="1">
        <f t="array" aca="1" ref="G424" ca="1">IF(COUNTIF($F$2:$F$1000,INDIRECT("RC[-2]",0))&gt;0,"",INDIRECT("RC[-2]",0))</f>
        <v/>
      </c>
    </row>
    <row r="425" spans="2:7" x14ac:dyDescent="0.25">
      <c r="B425" t="str" cm="1">
        <f t="array" aca="1" ref="B425" ca="1">IFERROR(DATE(RIGHT(INDIRECT("RC[-1]",0),4),LEFT(INDIRECT("RC[-1]",0),2),1), "")</f>
        <v/>
      </c>
      <c r="C425" s="214"/>
      <c r="E425" t="str" cm="1">
        <f t="array" aca="1" ref="E425" ca="1">IF(_xlfn.XLOOKUP(INDIRECT("RC[-1]", 0), CategoryNames, CategoryIdentifiers, "")&lt;&gt;"",INDIRECT("RC[-1]", 0),"")</f>
        <v/>
      </c>
      <c r="G425" t="str" cm="1">
        <f t="array" aca="1" ref="G425" ca="1">IF(COUNTIF($F$2:$F$1000,INDIRECT("RC[-2]",0))&gt;0,"",INDIRECT("RC[-2]",0))</f>
        <v/>
      </c>
    </row>
    <row r="426" spans="2:7" x14ac:dyDescent="0.25">
      <c r="B426" t="str" cm="1">
        <f t="array" aca="1" ref="B426" ca="1">IFERROR(DATE(RIGHT(INDIRECT("RC[-1]",0),4),LEFT(INDIRECT("RC[-1]",0),2),1), "")</f>
        <v/>
      </c>
      <c r="C426" s="214"/>
      <c r="E426" t="str" cm="1">
        <f t="array" aca="1" ref="E426" ca="1">IF(_xlfn.XLOOKUP(INDIRECT("RC[-1]", 0), CategoryNames, CategoryIdentifiers, "")&lt;&gt;"",INDIRECT("RC[-1]", 0),"")</f>
        <v/>
      </c>
      <c r="G426" t="str" cm="1">
        <f t="array" aca="1" ref="G426" ca="1">IF(COUNTIF($F$2:$F$1000,INDIRECT("RC[-2]",0))&gt;0,"",INDIRECT("RC[-2]",0))</f>
        <v/>
      </c>
    </row>
    <row r="427" spans="2:7" x14ac:dyDescent="0.25">
      <c r="B427" t="str" cm="1">
        <f t="array" aca="1" ref="B427" ca="1">IFERROR(DATE(RIGHT(INDIRECT("RC[-1]",0),4),LEFT(INDIRECT("RC[-1]",0),2),1), "")</f>
        <v/>
      </c>
      <c r="C427" s="214"/>
      <c r="E427" t="str" cm="1">
        <f t="array" aca="1" ref="E427" ca="1">IF(_xlfn.XLOOKUP(INDIRECT("RC[-1]", 0), CategoryNames, CategoryIdentifiers, "")&lt;&gt;"",INDIRECT("RC[-1]", 0),"")</f>
        <v/>
      </c>
      <c r="G427" t="str" cm="1">
        <f t="array" aca="1" ref="G427" ca="1">IF(COUNTIF($F$2:$F$1000,INDIRECT("RC[-2]",0))&gt;0,"",INDIRECT("RC[-2]",0))</f>
        <v/>
      </c>
    </row>
    <row r="428" spans="2:7" x14ac:dyDescent="0.25">
      <c r="B428" t="str" cm="1">
        <f t="array" aca="1" ref="B428" ca="1">IFERROR(DATE(RIGHT(INDIRECT("RC[-1]",0),4),LEFT(INDIRECT("RC[-1]",0),2),1), "")</f>
        <v/>
      </c>
      <c r="C428" s="214"/>
      <c r="E428" t="str" cm="1">
        <f t="array" aca="1" ref="E428" ca="1">IF(_xlfn.XLOOKUP(INDIRECT("RC[-1]", 0), CategoryNames, CategoryIdentifiers, "")&lt;&gt;"",INDIRECT("RC[-1]", 0),"")</f>
        <v/>
      </c>
      <c r="G428" t="str" cm="1">
        <f t="array" aca="1" ref="G428" ca="1">IF(COUNTIF($F$2:$F$1000,INDIRECT("RC[-2]",0))&gt;0,"",INDIRECT("RC[-2]",0))</f>
        <v/>
      </c>
    </row>
    <row r="429" spans="2:7" x14ac:dyDescent="0.25">
      <c r="B429" t="str" cm="1">
        <f t="array" aca="1" ref="B429" ca="1">IFERROR(DATE(RIGHT(INDIRECT("RC[-1]",0),4),LEFT(INDIRECT("RC[-1]",0),2),1), "")</f>
        <v/>
      </c>
      <c r="C429" s="214"/>
      <c r="E429" t="str" cm="1">
        <f t="array" aca="1" ref="E429" ca="1">IF(_xlfn.XLOOKUP(INDIRECT("RC[-1]", 0), CategoryNames, CategoryIdentifiers, "")&lt;&gt;"",INDIRECT("RC[-1]", 0),"")</f>
        <v/>
      </c>
      <c r="G429" t="str" cm="1">
        <f t="array" aca="1" ref="G429" ca="1">IF(COUNTIF($F$2:$F$1000,INDIRECT("RC[-2]",0))&gt;0,"",INDIRECT("RC[-2]",0))</f>
        <v/>
      </c>
    </row>
    <row r="430" spans="2:7" x14ac:dyDescent="0.25">
      <c r="B430" t="str" cm="1">
        <f t="array" aca="1" ref="B430" ca="1">IFERROR(DATE(RIGHT(INDIRECT("RC[-1]",0),4),LEFT(INDIRECT("RC[-1]",0),2),1), "")</f>
        <v/>
      </c>
      <c r="C430" s="214"/>
      <c r="E430" t="str" cm="1">
        <f t="array" aca="1" ref="E430" ca="1">IF(_xlfn.XLOOKUP(INDIRECT("RC[-1]", 0), CategoryNames, CategoryIdentifiers, "")&lt;&gt;"",INDIRECT("RC[-1]", 0),"")</f>
        <v/>
      </c>
      <c r="G430" t="str" cm="1">
        <f t="array" aca="1" ref="G430" ca="1">IF(COUNTIF($F$2:$F$1000,INDIRECT("RC[-2]",0))&gt;0,"",INDIRECT("RC[-2]",0))</f>
        <v/>
      </c>
    </row>
    <row r="431" spans="2:7" x14ac:dyDescent="0.25">
      <c r="B431" t="str" cm="1">
        <f t="array" aca="1" ref="B431" ca="1">IFERROR(DATE(RIGHT(INDIRECT("RC[-1]",0),4),LEFT(INDIRECT("RC[-1]",0),2),1), "")</f>
        <v/>
      </c>
      <c r="C431" s="214"/>
      <c r="E431" t="str" cm="1">
        <f t="array" aca="1" ref="E431" ca="1">IF(_xlfn.XLOOKUP(INDIRECT("RC[-1]", 0), CategoryNames, CategoryIdentifiers, "")&lt;&gt;"",INDIRECT("RC[-1]", 0),"")</f>
        <v/>
      </c>
      <c r="G431" t="str" cm="1">
        <f t="array" aca="1" ref="G431" ca="1">IF(COUNTIF($F$2:$F$1000,INDIRECT("RC[-2]",0))&gt;0,"",INDIRECT("RC[-2]",0))</f>
        <v/>
      </c>
    </row>
    <row r="432" spans="2:7" x14ac:dyDescent="0.25">
      <c r="B432" t="str" cm="1">
        <f t="array" aca="1" ref="B432" ca="1">IFERROR(DATE(RIGHT(INDIRECT("RC[-1]",0),4),LEFT(INDIRECT("RC[-1]",0),2),1), "")</f>
        <v/>
      </c>
      <c r="C432" s="214"/>
      <c r="E432" t="str" cm="1">
        <f t="array" aca="1" ref="E432" ca="1">IF(_xlfn.XLOOKUP(INDIRECT("RC[-1]", 0), CategoryNames, CategoryIdentifiers, "")&lt;&gt;"",INDIRECT("RC[-1]", 0),"")</f>
        <v/>
      </c>
      <c r="G432" t="str" cm="1">
        <f t="array" aca="1" ref="G432" ca="1">IF(COUNTIF($F$2:$F$1000,INDIRECT("RC[-2]",0))&gt;0,"",INDIRECT("RC[-2]",0))</f>
        <v/>
      </c>
    </row>
    <row r="433" spans="2:7" x14ac:dyDescent="0.25">
      <c r="B433" t="str" cm="1">
        <f t="array" aca="1" ref="B433" ca="1">IFERROR(DATE(RIGHT(INDIRECT("RC[-1]",0),4),LEFT(INDIRECT("RC[-1]",0),2),1), "")</f>
        <v/>
      </c>
      <c r="C433" s="214"/>
      <c r="E433" t="str" cm="1">
        <f t="array" aca="1" ref="E433" ca="1">IF(_xlfn.XLOOKUP(INDIRECT("RC[-1]", 0), CategoryNames, CategoryIdentifiers, "")&lt;&gt;"",INDIRECT("RC[-1]", 0),"")</f>
        <v/>
      </c>
      <c r="G433" t="str" cm="1">
        <f t="array" aca="1" ref="G433" ca="1">IF(COUNTIF($F$2:$F$1000,INDIRECT("RC[-2]",0))&gt;0,"",INDIRECT("RC[-2]",0))</f>
        <v/>
      </c>
    </row>
    <row r="434" spans="2:7" x14ac:dyDescent="0.25">
      <c r="B434" t="str" cm="1">
        <f t="array" aca="1" ref="B434" ca="1">IFERROR(DATE(RIGHT(INDIRECT("RC[-1]",0),4),LEFT(INDIRECT("RC[-1]",0),2),1), "")</f>
        <v/>
      </c>
      <c r="C434" s="214"/>
      <c r="E434" t="str" cm="1">
        <f t="array" aca="1" ref="E434" ca="1">IF(_xlfn.XLOOKUP(INDIRECT("RC[-1]", 0), CategoryNames, CategoryIdentifiers, "")&lt;&gt;"",INDIRECT("RC[-1]", 0),"")</f>
        <v/>
      </c>
      <c r="G434" t="str" cm="1">
        <f t="array" aca="1" ref="G434" ca="1">IF(COUNTIF($F$2:$F$1000,INDIRECT("RC[-2]",0))&gt;0,"",INDIRECT("RC[-2]",0))</f>
        <v/>
      </c>
    </row>
    <row r="435" spans="2:7" x14ac:dyDescent="0.25">
      <c r="B435" t="str" cm="1">
        <f t="array" aca="1" ref="B435" ca="1">IFERROR(DATE(RIGHT(INDIRECT("RC[-1]",0),4),LEFT(INDIRECT("RC[-1]",0),2),1), "")</f>
        <v/>
      </c>
      <c r="C435" s="214"/>
      <c r="E435" t="str" cm="1">
        <f t="array" aca="1" ref="E435" ca="1">IF(_xlfn.XLOOKUP(INDIRECT("RC[-1]", 0), CategoryNames, CategoryIdentifiers, "")&lt;&gt;"",INDIRECT("RC[-1]", 0),"")</f>
        <v/>
      </c>
      <c r="G435" t="str" cm="1">
        <f t="array" aca="1" ref="G435" ca="1">IF(COUNTIF($F$2:$F$1000,INDIRECT("RC[-2]",0))&gt;0,"",INDIRECT("RC[-2]",0))</f>
        <v/>
      </c>
    </row>
    <row r="436" spans="2:7" x14ac:dyDescent="0.25">
      <c r="B436" t="str" cm="1">
        <f t="array" aca="1" ref="B436" ca="1">IFERROR(DATE(RIGHT(INDIRECT("RC[-1]",0),4),LEFT(INDIRECT("RC[-1]",0),2),1), "")</f>
        <v/>
      </c>
      <c r="C436" s="214"/>
      <c r="E436" t="str" cm="1">
        <f t="array" aca="1" ref="E436" ca="1">IF(_xlfn.XLOOKUP(INDIRECT("RC[-1]", 0), CategoryNames, CategoryIdentifiers, "")&lt;&gt;"",INDIRECT("RC[-1]", 0),"")</f>
        <v/>
      </c>
      <c r="G436" t="str" cm="1">
        <f t="array" aca="1" ref="G436" ca="1">IF(COUNTIF($F$2:$F$1000,INDIRECT("RC[-2]",0))&gt;0,"",INDIRECT("RC[-2]",0))</f>
        <v/>
      </c>
    </row>
    <row r="437" spans="2:7" x14ac:dyDescent="0.25">
      <c r="B437" t="str" cm="1">
        <f t="array" aca="1" ref="B437" ca="1">IFERROR(DATE(RIGHT(INDIRECT("RC[-1]",0),4),LEFT(INDIRECT("RC[-1]",0),2),1), "")</f>
        <v/>
      </c>
      <c r="C437" s="214"/>
      <c r="E437" t="str" cm="1">
        <f t="array" aca="1" ref="E437" ca="1">IF(_xlfn.XLOOKUP(INDIRECT("RC[-1]", 0), CategoryNames, CategoryIdentifiers, "")&lt;&gt;"",INDIRECT("RC[-1]", 0),"")</f>
        <v/>
      </c>
      <c r="G437" t="str" cm="1">
        <f t="array" aca="1" ref="G437" ca="1">IF(COUNTIF($F$2:$F$1000,INDIRECT("RC[-2]",0))&gt;0,"",INDIRECT("RC[-2]",0))</f>
        <v/>
      </c>
    </row>
    <row r="438" spans="2:7" x14ac:dyDescent="0.25">
      <c r="B438" t="str" cm="1">
        <f t="array" aca="1" ref="B438" ca="1">IFERROR(DATE(RIGHT(INDIRECT("RC[-1]",0),4),LEFT(INDIRECT("RC[-1]",0),2),1), "")</f>
        <v/>
      </c>
      <c r="C438" s="214"/>
      <c r="E438" t="str" cm="1">
        <f t="array" aca="1" ref="E438" ca="1">IF(_xlfn.XLOOKUP(INDIRECT("RC[-1]", 0), CategoryNames, CategoryIdentifiers, "")&lt;&gt;"",INDIRECT("RC[-1]", 0),"")</f>
        <v/>
      </c>
      <c r="G438" t="str" cm="1">
        <f t="array" aca="1" ref="G438" ca="1">IF(COUNTIF($F$2:$F$1000,INDIRECT("RC[-2]",0))&gt;0,"",INDIRECT("RC[-2]",0))</f>
        <v/>
      </c>
    </row>
    <row r="439" spans="2:7" x14ac:dyDescent="0.25">
      <c r="B439" t="str" cm="1">
        <f t="array" aca="1" ref="B439" ca="1">IFERROR(DATE(RIGHT(INDIRECT("RC[-1]",0),4),LEFT(INDIRECT("RC[-1]",0),2),1), "")</f>
        <v/>
      </c>
      <c r="C439" s="214"/>
      <c r="E439" t="str" cm="1">
        <f t="array" aca="1" ref="E439" ca="1">IF(_xlfn.XLOOKUP(INDIRECT("RC[-1]", 0), CategoryNames, CategoryIdentifiers, "")&lt;&gt;"",INDIRECT("RC[-1]", 0),"")</f>
        <v/>
      </c>
      <c r="G439" t="str" cm="1">
        <f t="array" aca="1" ref="G439" ca="1">IF(COUNTIF($F$2:$F$1000,INDIRECT("RC[-2]",0))&gt;0,"",INDIRECT("RC[-2]",0))</f>
        <v/>
      </c>
    </row>
    <row r="440" spans="2:7" x14ac:dyDescent="0.25">
      <c r="B440" t="str" cm="1">
        <f t="array" aca="1" ref="B440" ca="1">IFERROR(DATE(RIGHT(INDIRECT("RC[-1]",0),4),LEFT(INDIRECT("RC[-1]",0),2),1), "")</f>
        <v/>
      </c>
      <c r="C440" s="214"/>
      <c r="E440" t="str" cm="1">
        <f t="array" aca="1" ref="E440" ca="1">IF(_xlfn.XLOOKUP(INDIRECT("RC[-1]", 0), CategoryNames, CategoryIdentifiers, "")&lt;&gt;"",INDIRECT("RC[-1]", 0),"")</f>
        <v/>
      </c>
      <c r="G440" t="str" cm="1">
        <f t="array" aca="1" ref="G440" ca="1">IF(COUNTIF($F$2:$F$1000,INDIRECT("RC[-2]",0))&gt;0,"",INDIRECT("RC[-2]",0))</f>
        <v/>
      </c>
    </row>
    <row r="441" spans="2:7" x14ac:dyDescent="0.25">
      <c r="B441" t="str" cm="1">
        <f t="array" aca="1" ref="B441" ca="1">IFERROR(DATE(RIGHT(INDIRECT("RC[-1]",0),4),LEFT(INDIRECT("RC[-1]",0),2),1), "")</f>
        <v/>
      </c>
      <c r="C441" s="214"/>
      <c r="E441" t="str" cm="1">
        <f t="array" aca="1" ref="E441" ca="1">IF(_xlfn.XLOOKUP(INDIRECT("RC[-1]", 0), CategoryNames, CategoryIdentifiers, "")&lt;&gt;"",INDIRECT("RC[-1]", 0),"")</f>
        <v/>
      </c>
      <c r="G441" t="str" cm="1">
        <f t="array" aca="1" ref="G441" ca="1">IF(COUNTIF($F$2:$F$1000,INDIRECT("RC[-2]",0))&gt;0,"",INDIRECT("RC[-2]",0))</f>
        <v/>
      </c>
    </row>
    <row r="442" spans="2:7" x14ac:dyDescent="0.25">
      <c r="B442" t="str" cm="1">
        <f t="array" aca="1" ref="B442" ca="1">IFERROR(DATE(RIGHT(INDIRECT("RC[-1]",0),4),LEFT(INDIRECT("RC[-1]",0),2),1), "")</f>
        <v/>
      </c>
      <c r="C442" s="214"/>
      <c r="E442" t="str" cm="1">
        <f t="array" aca="1" ref="E442" ca="1">IF(_xlfn.XLOOKUP(INDIRECT("RC[-1]", 0), CategoryNames, CategoryIdentifiers, "")&lt;&gt;"",INDIRECT("RC[-1]", 0),"")</f>
        <v/>
      </c>
      <c r="G442" t="str" cm="1">
        <f t="array" aca="1" ref="G442" ca="1">IF(COUNTIF($F$2:$F$1000,INDIRECT("RC[-2]",0))&gt;0,"",INDIRECT("RC[-2]",0))</f>
        <v/>
      </c>
    </row>
    <row r="443" spans="2:7" x14ac:dyDescent="0.25">
      <c r="B443" t="str" cm="1">
        <f t="array" aca="1" ref="B443" ca="1">IFERROR(DATE(RIGHT(INDIRECT("RC[-1]",0),4),LEFT(INDIRECT("RC[-1]",0),2),1), "")</f>
        <v/>
      </c>
      <c r="C443" s="214"/>
      <c r="E443" t="str" cm="1">
        <f t="array" aca="1" ref="E443" ca="1">IF(_xlfn.XLOOKUP(INDIRECT("RC[-1]", 0), CategoryNames, CategoryIdentifiers, "")&lt;&gt;"",INDIRECT("RC[-1]", 0),"")</f>
        <v/>
      </c>
      <c r="G443" t="str" cm="1">
        <f t="array" aca="1" ref="G443" ca="1">IF(COUNTIF($F$2:$F$1000,INDIRECT("RC[-2]",0))&gt;0,"",INDIRECT("RC[-2]",0))</f>
        <v/>
      </c>
    </row>
    <row r="444" spans="2:7" x14ac:dyDescent="0.25">
      <c r="B444" t="str" cm="1">
        <f t="array" aca="1" ref="B444" ca="1">IFERROR(DATE(RIGHT(INDIRECT("RC[-1]",0),4),LEFT(INDIRECT("RC[-1]",0),2),1), "")</f>
        <v/>
      </c>
      <c r="C444" s="214"/>
      <c r="E444" t="str" cm="1">
        <f t="array" aca="1" ref="E444" ca="1">IF(_xlfn.XLOOKUP(INDIRECT("RC[-1]", 0), CategoryNames, CategoryIdentifiers, "")&lt;&gt;"",INDIRECT("RC[-1]", 0),"")</f>
        <v/>
      </c>
      <c r="G444" t="str" cm="1">
        <f t="array" aca="1" ref="G444" ca="1">IF(COUNTIF($F$2:$F$1000,INDIRECT("RC[-2]",0))&gt;0,"",INDIRECT("RC[-2]",0))</f>
        <v/>
      </c>
    </row>
    <row r="445" spans="2:7" x14ac:dyDescent="0.25">
      <c r="B445" t="str" cm="1">
        <f t="array" aca="1" ref="B445" ca="1">IFERROR(DATE(RIGHT(INDIRECT("RC[-1]",0),4),LEFT(INDIRECT("RC[-1]",0),2),1), "")</f>
        <v/>
      </c>
      <c r="C445" s="214"/>
      <c r="E445" t="str" cm="1">
        <f t="array" aca="1" ref="E445" ca="1">IF(_xlfn.XLOOKUP(INDIRECT("RC[-1]", 0), CategoryNames, CategoryIdentifiers, "")&lt;&gt;"",INDIRECT("RC[-1]", 0),"")</f>
        <v/>
      </c>
      <c r="G445" t="str" cm="1">
        <f t="array" aca="1" ref="G445" ca="1">IF(COUNTIF($F$2:$F$1000,INDIRECT("RC[-2]",0))&gt;0,"",INDIRECT("RC[-2]",0))</f>
        <v/>
      </c>
    </row>
    <row r="446" spans="2:7" x14ac:dyDescent="0.25">
      <c r="B446" t="str" cm="1">
        <f t="array" aca="1" ref="B446" ca="1">IFERROR(DATE(RIGHT(INDIRECT("RC[-1]",0),4),LEFT(INDIRECT("RC[-1]",0),2),1), "")</f>
        <v/>
      </c>
      <c r="C446" s="214"/>
      <c r="E446" t="str" cm="1">
        <f t="array" aca="1" ref="E446" ca="1">IF(_xlfn.XLOOKUP(INDIRECT("RC[-1]", 0), CategoryNames, CategoryIdentifiers, "")&lt;&gt;"",INDIRECT("RC[-1]", 0),"")</f>
        <v/>
      </c>
      <c r="G446" t="str" cm="1">
        <f t="array" aca="1" ref="G446" ca="1">IF(COUNTIF($F$2:$F$1000,INDIRECT("RC[-2]",0))&gt;0,"",INDIRECT("RC[-2]",0))</f>
        <v/>
      </c>
    </row>
    <row r="447" spans="2:7" x14ac:dyDescent="0.25">
      <c r="B447" t="str" cm="1">
        <f t="array" aca="1" ref="B447" ca="1">IFERROR(DATE(RIGHT(INDIRECT("RC[-1]",0),4),LEFT(INDIRECT("RC[-1]",0),2),1), "")</f>
        <v/>
      </c>
      <c r="C447" s="214"/>
      <c r="E447" t="str" cm="1">
        <f t="array" aca="1" ref="E447" ca="1">IF(_xlfn.XLOOKUP(INDIRECT("RC[-1]", 0), CategoryNames, CategoryIdentifiers, "")&lt;&gt;"",INDIRECT("RC[-1]", 0),"")</f>
        <v/>
      </c>
      <c r="G447" t="str" cm="1">
        <f t="array" aca="1" ref="G447" ca="1">IF(COUNTIF($F$2:$F$1000,INDIRECT("RC[-2]",0))&gt;0,"",INDIRECT("RC[-2]",0))</f>
        <v/>
      </c>
    </row>
    <row r="448" spans="2:7" x14ac:dyDescent="0.25">
      <c r="B448" t="str" cm="1">
        <f t="array" aca="1" ref="B448" ca="1">IFERROR(DATE(RIGHT(INDIRECT("RC[-1]",0),4),LEFT(INDIRECT("RC[-1]",0),2),1), "")</f>
        <v/>
      </c>
      <c r="C448" s="214"/>
      <c r="E448" t="str" cm="1">
        <f t="array" aca="1" ref="E448" ca="1">IF(_xlfn.XLOOKUP(INDIRECT("RC[-1]", 0), CategoryNames, CategoryIdentifiers, "")&lt;&gt;"",INDIRECT("RC[-1]", 0),"")</f>
        <v/>
      </c>
      <c r="G448" t="str" cm="1">
        <f t="array" aca="1" ref="G448" ca="1">IF(COUNTIF($F$2:$F$1000,INDIRECT("RC[-2]",0))&gt;0,"",INDIRECT("RC[-2]",0))</f>
        <v/>
      </c>
    </row>
    <row r="449" spans="2:7" x14ac:dyDescent="0.25">
      <c r="B449" t="str" cm="1">
        <f t="array" aca="1" ref="B449" ca="1">IFERROR(DATE(RIGHT(INDIRECT("RC[-1]",0),4),LEFT(INDIRECT("RC[-1]",0),2),1), "")</f>
        <v/>
      </c>
      <c r="C449" s="214"/>
      <c r="E449" t="str" cm="1">
        <f t="array" aca="1" ref="E449" ca="1">IF(_xlfn.XLOOKUP(INDIRECT("RC[-1]", 0), CategoryNames, CategoryIdentifiers, "")&lt;&gt;"",INDIRECT("RC[-1]", 0),"")</f>
        <v/>
      </c>
      <c r="G449" t="str" cm="1">
        <f t="array" aca="1" ref="G449" ca="1">IF(COUNTIF($F$2:$F$1000,INDIRECT("RC[-2]",0))&gt;0,"",INDIRECT("RC[-2]",0))</f>
        <v/>
      </c>
    </row>
    <row r="450" spans="2:7" x14ac:dyDescent="0.25">
      <c r="B450" t="str" cm="1">
        <f t="array" aca="1" ref="B450" ca="1">IFERROR(DATE(RIGHT(INDIRECT("RC[-1]",0),4),LEFT(INDIRECT("RC[-1]",0),2),1), "")</f>
        <v/>
      </c>
      <c r="C450" s="214"/>
      <c r="E450" t="str" cm="1">
        <f t="array" aca="1" ref="E450" ca="1">IF(_xlfn.XLOOKUP(INDIRECT("RC[-1]", 0), CategoryNames, CategoryIdentifiers, "")&lt;&gt;"",INDIRECT("RC[-1]", 0),"")</f>
        <v/>
      </c>
      <c r="G450" t="str" cm="1">
        <f t="array" aca="1" ref="G450" ca="1">IF(COUNTIF($F$2:$F$1000,INDIRECT("RC[-2]",0))&gt;0,"",INDIRECT("RC[-2]",0))</f>
        <v/>
      </c>
    </row>
    <row r="451" spans="2:7" x14ac:dyDescent="0.25">
      <c r="B451" t="str" cm="1">
        <f t="array" aca="1" ref="B451" ca="1">IFERROR(DATE(RIGHT(INDIRECT("RC[-1]",0),4),LEFT(INDIRECT("RC[-1]",0),2),1), "")</f>
        <v/>
      </c>
      <c r="C451" s="214"/>
      <c r="E451" t="str" cm="1">
        <f t="array" aca="1" ref="E451" ca="1">IF(_xlfn.XLOOKUP(INDIRECT("RC[-1]", 0), CategoryNames, CategoryIdentifiers, "")&lt;&gt;"",INDIRECT("RC[-1]", 0),"")</f>
        <v/>
      </c>
      <c r="G451" t="str" cm="1">
        <f t="array" aca="1" ref="G451" ca="1">IF(COUNTIF($F$2:$F$1000,INDIRECT("RC[-2]",0))&gt;0,"",INDIRECT("RC[-2]",0))</f>
        <v/>
      </c>
    </row>
    <row r="452" spans="2:7" x14ac:dyDescent="0.25">
      <c r="B452" t="str" cm="1">
        <f t="array" aca="1" ref="B452" ca="1">IFERROR(DATE(RIGHT(INDIRECT("RC[-1]",0),4),LEFT(INDIRECT("RC[-1]",0),2),1), "")</f>
        <v/>
      </c>
      <c r="C452" s="214"/>
      <c r="E452" t="str" cm="1">
        <f t="array" aca="1" ref="E452" ca="1">IF(_xlfn.XLOOKUP(INDIRECT("RC[-1]", 0), CategoryNames, CategoryIdentifiers, "")&lt;&gt;"",INDIRECT("RC[-1]", 0),"")</f>
        <v/>
      </c>
      <c r="G452" t="str" cm="1">
        <f t="array" aca="1" ref="G452" ca="1">IF(COUNTIF($F$2:$F$1000,INDIRECT("RC[-2]",0))&gt;0,"",INDIRECT("RC[-2]",0))</f>
        <v/>
      </c>
    </row>
    <row r="453" spans="2:7" x14ac:dyDescent="0.25">
      <c r="B453" t="str" cm="1">
        <f t="array" aca="1" ref="B453" ca="1">IFERROR(DATE(RIGHT(INDIRECT("RC[-1]",0),4),LEFT(INDIRECT("RC[-1]",0),2),1), "")</f>
        <v/>
      </c>
      <c r="C453" s="214"/>
      <c r="E453" t="str" cm="1">
        <f t="array" aca="1" ref="E453" ca="1">IF(_xlfn.XLOOKUP(INDIRECT("RC[-1]", 0), CategoryNames, CategoryIdentifiers, "")&lt;&gt;"",INDIRECT("RC[-1]", 0),"")</f>
        <v/>
      </c>
      <c r="G453" t="str" cm="1">
        <f t="array" aca="1" ref="G453" ca="1">IF(COUNTIF($F$2:$F$1000,INDIRECT("RC[-2]",0))&gt;0,"",INDIRECT("RC[-2]",0))</f>
        <v/>
      </c>
    </row>
    <row r="454" spans="2:7" x14ac:dyDescent="0.25">
      <c r="B454" t="str" cm="1">
        <f t="array" aca="1" ref="B454" ca="1">IFERROR(DATE(RIGHT(INDIRECT("RC[-1]",0),4),LEFT(INDIRECT("RC[-1]",0),2),1), "")</f>
        <v/>
      </c>
      <c r="C454" s="214"/>
      <c r="E454" t="str" cm="1">
        <f t="array" aca="1" ref="E454" ca="1">IF(_xlfn.XLOOKUP(INDIRECT("RC[-1]", 0), CategoryNames, CategoryIdentifiers, "")&lt;&gt;"",INDIRECT("RC[-1]", 0),"")</f>
        <v/>
      </c>
      <c r="G454" t="str" cm="1">
        <f t="array" aca="1" ref="G454" ca="1">IF(COUNTIF($F$2:$F$1000,INDIRECT("RC[-2]",0))&gt;0,"",INDIRECT("RC[-2]",0))</f>
        <v/>
      </c>
    </row>
    <row r="455" spans="2:7" x14ac:dyDescent="0.25">
      <c r="B455" t="str" cm="1">
        <f t="array" aca="1" ref="B455" ca="1">IFERROR(DATE(RIGHT(INDIRECT("RC[-1]",0),4),LEFT(INDIRECT("RC[-1]",0),2),1), "")</f>
        <v/>
      </c>
      <c r="C455" s="214"/>
      <c r="E455" t="str" cm="1">
        <f t="array" aca="1" ref="E455" ca="1">IF(_xlfn.XLOOKUP(INDIRECT("RC[-1]", 0), CategoryNames, CategoryIdentifiers, "")&lt;&gt;"",INDIRECT("RC[-1]", 0),"")</f>
        <v/>
      </c>
      <c r="G455" t="str" cm="1">
        <f t="array" aca="1" ref="G455" ca="1">IF(COUNTIF($F$2:$F$1000,INDIRECT("RC[-2]",0))&gt;0,"",INDIRECT("RC[-2]",0))</f>
        <v/>
      </c>
    </row>
    <row r="456" spans="2:7" x14ac:dyDescent="0.25">
      <c r="B456" t="str" cm="1">
        <f t="array" aca="1" ref="B456" ca="1">IFERROR(DATE(RIGHT(INDIRECT("RC[-1]",0),4),LEFT(INDIRECT("RC[-1]",0),2),1), "")</f>
        <v/>
      </c>
      <c r="C456" s="214"/>
      <c r="E456" t="str" cm="1">
        <f t="array" aca="1" ref="E456" ca="1">IF(_xlfn.XLOOKUP(INDIRECT("RC[-1]", 0), CategoryNames, CategoryIdentifiers, "")&lt;&gt;"",INDIRECT("RC[-1]", 0),"")</f>
        <v/>
      </c>
      <c r="G456" t="str" cm="1">
        <f t="array" aca="1" ref="G456" ca="1">IF(COUNTIF($F$2:$F$1000,INDIRECT("RC[-2]",0))&gt;0,"",INDIRECT("RC[-2]",0))</f>
        <v/>
      </c>
    </row>
    <row r="457" spans="2:7" x14ac:dyDescent="0.25">
      <c r="B457" t="str" cm="1">
        <f t="array" aca="1" ref="B457" ca="1">IFERROR(DATE(RIGHT(INDIRECT("RC[-1]",0),4),LEFT(INDIRECT("RC[-1]",0),2),1), "")</f>
        <v/>
      </c>
      <c r="C457" s="214"/>
      <c r="E457" t="str" cm="1">
        <f t="array" aca="1" ref="E457" ca="1">IF(_xlfn.XLOOKUP(INDIRECT("RC[-1]", 0), CategoryNames, CategoryIdentifiers, "")&lt;&gt;"",INDIRECT("RC[-1]", 0),"")</f>
        <v/>
      </c>
      <c r="G457" t="str" cm="1">
        <f t="array" aca="1" ref="G457" ca="1">IF(COUNTIF($F$2:$F$1000,INDIRECT("RC[-2]",0))&gt;0,"",INDIRECT("RC[-2]",0))</f>
        <v/>
      </c>
    </row>
    <row r="458" spans="2:7" x14ac:dyDescent="0.25">
      <c r="B458" t="str" cm="1">
        <f t="array" aca="1" ref="B458" ca="1">IFERROR(DATE(RIGHT(INDIRECT("RC[-1]",0),4),LEFT(INDIRECT("RC[-1]",0),2),1), "")</f>
        <v/>
      </c>
      <c r="C458" s="214"/>
      <c r="E458" t="str" cm="1">
        <f t="array" aca="1" ref="E458" ca="1">IF(_xlfn.XLOOKUP(INDIRECT("RC[-1]", 0), CategoryNames, CategoryIdentifiers, "")&lt;&gt;"",INDIRECT("RC[-1]", 0),"")</f>
        <v/>
      </c>
      <c r="G458" t="str" cm="1">
        <f t="array" aca="1" ref="G458" ca="1">IF(COUNTIF($F$2:$F$1000,INDIRECT("RC[-2]",0))&gt;0,"",INDIRECT("RC[-2]",0))</f>
        <v/>
      </c>
    </row>
    <row r="459" spans="2:7" x14ac:dyDescent="0.25">
      <c r="B459" t="str" cm="1">
        <f t="array" aca="1" ref="B459" ca="1">IFERROR(DATE(RIGHT(INDIRECT("RC[-1]",0),4),LEFT(INDIRECT("RC[-1]",0),2),1), "")</f>
        <v/>
      </c>
      <c r="C459" s="214"/>
      <c r="E459" t="str" cm="1">
        <f t="array" aca="1" ref="E459" ca="1">IF(_xlfn.XLOOKUP(INDIRECT("RC[-1]", 0), CategoryNames, CategoryIdentifiers, "")&lt;&gt;"",INDIRECT("RC[-1]", 0),"")</f>
        <v/>
      </c>
      <c r="G459" t="str" cm="1">
        <f t="array" aca="1" ref="G459" ca="1">IF(COUNTIF($F$2:$F$1000,INDIRECT("RC[-2]",0))&gt;0,"",INDIRECT("RC[-2]",0))</f>
        <v/>
      </c>
    </row>
    <row r="460" spans="2:7" x14ac:dyDescent="0.25">
      <c r="B460" t="str" cm="1">
        <f t="array" aca="1" ref="B460" ca="1">IFERROR(DATE(RIGHT(INDIRECT("RC[-1]",0),4),LEFT(INDIRECT("RC[-1]",0),2),1), "")</f>
        <v/>
      </c>
      <c r="C460" s="214"/>
      <c r="E460" t="str" cm="1">
        <f t="array" aca="1" ref="E460" ca="1">IF(_xlfn.XLOOKUP(INDIRECT("RC[-1]", 0), CategoryNames, CategoryIdentifiers, "")&lt;&gt;"",INDIRECT("RC[-1]", 0),"")</f>
        <v/>
      </c>
      <c r="G460" t="str" cm="1">
        <f t="array" aca="1" ref="G460" ca="1">IF(COUNTIF($F$2:$F$1000,INDIRECT("RC[-2]",0))&gt;0,"",INDIRECT("RC[-2]",0))</f>
        <v/>
      </c>
    </row>
    <row r="461" spans="2:7" x14ac:dyDescent="0.25">
      <c r="B461" t="str" cm="1">
        <f t="array" aca="1" ref="B461" ca="1">IFERROR(DATE(RIGHT(INDIRECT("RC[-1]",0),4),LEFT(INDIRECT("RC[-1]",0),2),1), "")</f>
        <v/>
      </c>
      <c r="C461" s="214"/>
      <c r="E461" t="str" cm="1">
        <f t="array" aca="1" ref="E461" ca="1">IF(_xlfn.XLOOKUP(INDIRECT("RC[-1]", 0), CategoryNames, CategoryIdentifiers, "")&lt;&gt;"",INDIRECT("RC[-1]", 0),"")</f>
        <v/>
      </c>
      <c r="G461" t="str" cm="1">
        <f t="array" aca="1" ref="G461" ca="1">IF(COUNTIF($F$2:$F$1000,INDIRECT("RC[-2]",0))&gt;0,"",INDIRECT("RC[-2]",0))</f>
        <v/>
      </c>
    </row>
    <row r="462" spans="2:7" x14ac:dyDescent="0.25">
      <c r="B462" t="str" cm="1">
        <f t="array" aca="1" ref="B462" ca="1">IFERROR(DATE(RIGHT(INDIRECT("RC[-1]",0),4),LEFT(INDIRECT("RC[-1]",0),2),1), "")</f>
        <v/>
      </c>
      <c r="C462" s="214"/>
      <c r="E462" t="str" cm="1">
        <f t="array" aca="1" ref="E462" ca="1">IF(_xlfn.XLOOKUP(INDIRECT("RC[-1]", 0), CategoryNames, CategoryIdentifiers, "")&lt;&gt;"",INDIRECT("RC[-1]", 0),"")</f>
        <v/>
      </c>
      <c r="G462" t="str" cm="1">
        <f t="array" aca="1" ref="G462" ca="1">IF(COUNTIF($F$2:$F$1000,INDIRECT("RC[-2]",0))&gt;0,"",INDIRECT("RC[-2]",0))</f>
        <v/>
      </c>
    </row>
    <row r="463" spans="2:7" x14ac:dyDescent="0.25">
      <c r="B463" t="str" cm="1">
        <f t="array" aca="1" ref="B463" ca="1">IFERROR(DATE(RIGHT(INDIRECT("RC[-1]",0),4),LEFT(INDIRECT("RC[-1]",0),2),1), "")</f>
        <v/>
      </c>
      <c r="C463" s="214"/>
      <c r="E463" t="str" cm="1">
        <f t="array" aca="1" ref="E463" ca="1">IF(_xlfn.XLOOKUP(INDIRECT("RC[-1]", 0), CategoryNames, CategoryIdentifiers, "")&lt;&gt;"",INDIRECT("RC[-1]", 0),"")</f>
        <v/>
      </c>
      <c r="G463" t="str" cm="1">
        <f t="array" aca="1" ref="G463" ca="1">IF(COUNTIF($F$2:$F$1000,INDIRECT("RC[-2]",0))&gt;0,"",INDIRECT("RC[-2]",0))</f>
        <v/>
      </c>
    </row>
    <row r="464" spans="2:7" x14ac:dyDescent="0.25">
      <c r="B464" t="str" cm="1">
        <f t="array" aca="1" ref="B464" ca="1">IFERROR(DATE(RIGHT(INDIRECT("RC[-1]",0),4),LEFT(INDIRECT("RC[-1]",0),2),1), "")</f>
        <v/>
      </c>
      <c r="C464" s="214"/>
      <c r="E464" t="str" cm="1">
        <f t="array" aca="1" ref="E464" ca="1">IF(_xlfn.XLOOKUP(INDIRECT("RC[-1]", 0), CategoryNames, CategoryIdentifiers, "")&lt;&gt;"",INDIRECT("RC[-1]", 0),"")</f>
        <v/>
      </c>
      <c r="G464" t="str" cm="1">
        <f t="array" aca="1" ref="G464" ca="1">IF(COUNTIF($F$2:$F$1000,INDIRECT("RC[-2]",0))&gt;0,"",INDIRECT("RC[-2]",0))</f>
        <v/>
      </c>
    </row>
    <row r="465" spans="2:7" x14ac:dyDescent="0.25">
      <c r="B465" t="str" cm="1">
        <f t="array" aca="1" ref="B465" ca="1">IFERROR(DATE(RIGHT(INDIRECT("RC[-1]",0),4),LEFT(INDIRECT("RC[-1]",0),2),1), "")</f>
        <v/>
      </c>
      <c r="C465" s="214"/>
      <c r="E465" t="str" cm="1">
        <f t="array" aca="1" ref="E465" ca="1">IF(_xlfn.XLOOKUP(INDIRECT("RC[-1]", 0), CategoryNames, CategoryIdentifiers, "")&lt;&gt;"",INDIRECT("RC[-1]", 0),"")</f>
        <v/>
      </c>
      <c r="G465" t="str" cm="1">
        <f t="array" aca="1" ref="G465" ca="1">IF(COUNTIF($F$2:$F$1000,INDIRECT("RC[-2]",0))&gt;0,"",INDIRECT("RC[-2]",0))</f>
        <v/>
      </c>
    </row>
    <row r="466" spans="2:7" x14ac:dyDescent="0.25">
      <c r="B466" t="str" cm="1">
        <f t="array" aca="1" ref="B466" ca="1">IFERROR(DATE(RIGHT(INDIRECT("RC[-1]",0),4),LEFT(INDIRECT("RC[-1]",0),2),1), "")</f>
        <v/>
      </c>
      <c r="C466" s="214"/>
      <c r="E466" t="str" cm="1">
        <f t="array" aca="1" ref="E466" ca="1">IF(_xlfn.XLOOKUP(INDIRECT("RC[-1]", 0), CategoryNames, CategoryIdentifiers, "")&lt;&gt;"",INDIRECT("RC[-1]", 0),"")</f>
        <v/>
      </c>
      <c r="G466" t="str" cm="1">
        <f t="array" aca="1" ref="G466" ca="1">IF(COUNTIF($F$2:$F$1000,INDIRECT("RC[-2]",0))&gt;0,"",INDIRECT("RC[-2]",0))</f>
        <v/>
      </c>
    </row>
    <row r="467" spans="2:7" x14ac:dyDescent="0.25">
      <c r="B467" t="str" cm="1">
        <f t="array" aca="1" ref="B467" ca="1">IFERROR(DATE(RIGHT(INDIRECT("RC[-1]",0),4),LEFT(INDIRECT("RC[-1]",0),2),1), "")</f>
        <v/>
      </c>
      <c r="C467" s="214"/>
      <c r="E467" t="str" cm="1">
        <f t="array" aca="1" ref="E467" ca="1">IF(_xlfn.XLOOKUP(INDIRECT("RC[-1]", 0), CategoryNames, CategoryIdentifiers, "")&lt;&gt;"",INDIRECT("RC[-1]", 0),"")</f>
        <v/>
      </c>
      <c r="G467" t="str" cm="1">
        <f t="array" aca="1" ref="G467" ca="1">IF(COUNTIF($F$2:$F$1000,INDIRECT("RC[-2]",0))&gt;0,"",INDIRECT("RC[-2]",0))</f>
        <v/>
      </c>
    </row>
    <row r="468" spans="2:7" x14ac:dyDescent="0.25">
      <c r="B468" t="str" cm="1">
        <f t="array" aca="1" ref="B468" ca="1">IFERROR(DATE(RIGHT(INDIRECT("RC[-1]",0),4),LEFT(INDIRECT("RC[-1]",0),2),1), "")</f>
        <v/>
      </c>
      <c r="C468" s="214"/>
      <c r="E468" t="str" cm="1">
        <f t="array" aca="1" ref="E468" ca="1">IF(_xlfn.XLOOKUP(INDIRECT("RC[-1]", 0), CategoryNames, CategoryIdentifiers, "")&lt;&gt;"",INDIRECT("RC[-1]", 0),"")</f>
        <v/>
      </c>
      <c r="G468" t="str" cm="1">
        <f t="array" aca="1" ref="G468" ca="1">IF(COUNTIF($F$2:$F$1000,INDIRECT("RC[-2]",0))&gt;0,"",INDIRECT("RC[-2]",0))</f>
        <v/>
      </c>
    </row>
    <row r="469" spans="2:7" x14ac:dyDescent="0.25">
      <c r="B469" t="str" cm="1">
        <f t="array" aca="1" ref="B469" ca="1">IFERROR(DATE(RIGHT(INDIRECT("RC[-1]",0),4),LEFT(INDIRECT("RC[-1]",0),2),1), "")</f>
        <v/>
      </c>
      <c r="C469" s="214"/>
      <c r="E469" t="str" cm="1">
        <f t="array" aca="1" ref="E469" ca="1">IF(_xlfn.XLOOKUP(INDIRECT("RC[-1]", 0), CategoryNames, CategoryIdentifiers, "")&lt;&gt;"",INDIRECT("RC[-1]", 0),"")</f>
        <v/>
      </c>
      <c r="G469" t="str" cm="1">
        <f t="array" aca="1" ref="G469" ca="1">IF(COUNTIF($F$2:$F$1000,INDIRECT("RC[-2]",0))&gt;0,"",INDIRECT("RC[-2]",0))</f>
        <v/>
      </c>
    </row>
    <row r="470" spans="2:7" x14ac:dyDescent="0.25">
      <c r="B470" t="str" cm="1">
        <f t="array" aca="1" ref="B470" ca="1">IFERROR(DATE(RIGHT(INDIRECT("RC[-1]",0),4),LEFT(INDIRECT("RC[-1]",0),2),1), "")</f>
        <v/>
      </c>
      <c r="C470" s="214"/>
      <c r="E470" t="str" cm="1">
        <f t="array" aca="1" ref="E470" ca="1">IF(_xlfn.XLOOKUP(INDIRECT("RC[-1]", 0), CategoryNames, CategoryIdentifiers, "")&lt;&gt;"",INDIRECT("RC[-1]", 0),"")</f>
        <v/>
      </c>
      <c r="G470" t="str" cm="1">
        <f t="array" aca="1" ref="G470" ca="1">IF(COUNTIF($F$2:$F$1000,INDIRECT("RC[-2]",0))&gt;0,"",INDIRECT("RC[-2]",0))</f>
        <v/>
      </c>
    </row>
    <row r="471" spans="2:7" x14ac:dyDescent="0.25">
      <c r="B471" t="str" cm="1">
        <f t="array" aca="1" ref="B471" ca="1">IFERROR(DATE(RIGHT(INDIRECT("RC[-1]",0),4),LEFT(INDIRECT("RC[-1]",0),2),1), "")</f>
        <v/>
      </c>
      <c r="C471" s="214"/>
      <c r="E471" t="str" cm="1">
        <f t="array" aca="1" ref="E471" ca="1">IF(_xlfn.XLOOKUP(INDIRECT("RC[-1]", 0), CategoryNames, CategoryIdentifiers, "")&lt;&gt;"",INDIRECT("RC[-1]", 0),"")</f>
        <v/>
      </c>
      <c r="G471" t="str" cm="1">
        <f t="array" aca="1" ref="G471" ca="1">IF(COUNTIF($F$2:$F$1000,INDIRECT("RC[-2]",0))&gt;0,"",INDIRECT("RC[-2]",0))</f>
        <v/>
      </c>
    </row>
    <row r="472" spans="2:7" x14ac:dyDescent="0.25">
      <c r="B472" t="str" cm="1">
        <f t="array" aca="1" ref="B472" ca="1">IFERROR(DATE(RIGHT(INDIRECT("RC[-1]",0),4),LEFT(INDIRECT("RC[-1]",0),2),1), "")</f>
        <v/>
      </c>
      <c r="C472" s="214"/>
      <c r="E472" t="str" cm="1">
        <f t="array" aca="1" ref="E472" ca="1">IF(_xlfn.XLOOKUP(INDIRECT("RC[-1]", 0), CategoryNames, CategoryIdentifiers, "")&lt;&gt;"",INDIRECT("RC[-1]", 0),"")</f>
        <v/>
      </c>
      <c r="G472" t="str" cm="1">
        <f t="array" aca="1" ref="G472" ca="1">IF(COUNTIF($F$2:$F$1000,INDIRECT("RC[-2]",0))&gt;0,"",INDIRECT("RC[-2]",0))</f>
        <v/>
      </c>
    </row>
    <row r="473" spans="2:7" x14ac:dyDescent="0.25">
      <c r="B473" t="str" cm="1">
        <f t="array" aca="1" ref="B473" ca="1">IFERROR(DATE(RIGHT(INDIRECT("RC[-1]",0),4),LEFT(INDIRECT("RC[-1]",0),2),1), "")</f>
        <v/>
      </c>
      <c r="C473" s="214"/>
      <c r="E473" t="str" cm="1">
        <f t="array" aca="1" ref="E473" ca="1">IF(_xlfn.XLOOKUP(INDIRECT("RC[-1]", 0), CategoryNames, CategoryIdentifiers, "")&lt;&gt;"",INDIRECT("RC[-1]", 0),"")</f>
        <v/>
      </c>
      <c r="G473" t="str" cm="1">
        <f t="array" aca="1" ref="G473" ca="1">IF(COUNTIF($F$2:$F$1000,INDIRECT("RC[-2]",0))&gt;0,"",INDIRECT("RC[-2]",0))</f>
        <v/>
      </c>
    </row>
    <row r="474" spans="2:7" x14ac:dyDescent="0.25">
      <c r="B474" t="str" cm="1">
        <f t="array" aca="1" ref="B474" ca="1">IFERROR(DATE(RIGHT(INDIRECT("RC[-1]",0),4),LEFT(INDIRECT("RC[-1]",0),2),1), "")</f>
        <v/>
      </c>
      <c r="C474" s="214"/>
      <c r="E474" t="str" cm="1">
        <f t="array" aca="1" ref="E474" ca="1">IF(_xlfn.XLOOKUP(INDIRECT("RC[-1]", 0), CategoryNames, CategoryIdentifiers, "")&lt;&gt;"",INDIRECT("RC[-1]", 0),"")</f>
        <v/>
      </c>
      <c r="G474" t="str" cm="1">
        <f t="array" aca="1" ref="G474" ca="1">IF(COUNTIF($F$2:$F$1000,INDIRECT("RC[-2]",0))&gt;0,"",INDIRECT("RC[-2]",0))</f>
        <v/>
      </c>
    </row>
    <row r="475" spans="2:7" x14ac:dyDescent="0.25">
      <c r="B475" t="str" cm="1">
        <f t="array" aca="1" ref="B475" ca="1">IFERROR(DATE(RIGHT(INDIRECT("RC[-1]",0),4),LEFT(INDIRECT("RC[-1]",0),2),1), "")</f>
        <v/>
      </c>
      <c r="C475" s="214"/>
      <c r="E475" t="str" cm="1">
        <f t="array" aca="1" ref="E475" ca="1">IF(_xlfn.XLOOKUP(INDIRECT("RC[-1]", 0), CategoryNames, CategoryIdentifiers, "")&lt;&gt;"",INDIRECT("RC[-1]", 0),"")</f>
        <v/>
      </c>
      <c r="G475" t="str" cm="1">
        <f t="array" aca="1" ref="G475" ca="1">IF(COUNTIF($F$2:$F$1000,INDIRECT("RC[-2]",0))&gt;0,"",INDIRECT("RC[-2]",0))</f>
        <v/>
      </c>
    </row>
    <row r="476" spans="2:7" x14ac:dyDescent="0.25">
      <c r="B476" t="str" cm="1">
        <f t="array" aca="1" ref="B476" ca="1">IFERROR(DATE(RIGHT(INDIRECT("RC[-1]",0),4),LEFT(INDIRECT("RC[-1]",0),2),1), "")</f>
        <v/>
      </c>
      <c r="C476" s="214"/>
      <c r="E476" t="str" cm="1">
        <f t="array" aca="1" ref="E476" ca="1">IF(_xlfn.XLOOKUP(INDIRECT("RC[-1]", 0), CategoryNames, CategoryIdentifiers, "")&lt;&gt;"",INDIRECT("RC[-1]", 0),"")</f>
        <v/>
      </c>
      <c r="G476" t="str" cm="1">
        <f t="array" aca="1" ref="G476" ca="1">IF(COUNTIF($F$2:$F$1000,INDIRECT("RC[-2]",0))&gt;0,"",INDIRECT("RC[-2]",0))</f>
        <v/>
      </c>
    </row>
    <row r="477" spans="2:7" x14ac:dyDescent="0.25">
      <c r="B477" t="str" cm="1">
        <f t="array" aca="1" ref="B477" ca="1">IFERROR(DATE(RIGHT(INDIRECT("RC[-1]",0),4),LEFT(INDIRECT("RC[-1]",0),2),1), "")</f>
        <v/>
      </c>
      <c r="C477" s="214"/>
      <c r="E477" t="str" cm="1">
        <f t="array" aca="1" ref="E477" ca="1">IF(_xlfn.XLOOKUP(INDIRECT("RC[-1]", 0), CategoryNames, CategoryIdentifiers, "")&lt;&gt;"",INDIRECT("RC[-1]", 0),"")</f>
        <v/>
      </c>
      <c r="G477" t="str" cm="1">
        <f t="array" aca="1" ref="G477" ca="1">IF(COUNTIF($F$2:$F$1000,INDIRECT("RC[-2]",0))&gt;0,"",INDIRECT("RC[-2]",0))</f>
        <v/>
      </c>
    </row>
    <row r="478" spans="2:7" x14ac:dyDescent="0.25">
      <c r="B478" t="str" cm="1">
        <f t="array" aca="1" ref="B478" ca="1">IFERROR(DATE(RIGHT(INDIRECT("RC[-1]",0),4),LEFT(INDIRECT("RC[-1]",0),2),1), "")</f>
        <v/>
      </c>
      <c r="C478" s="214"/>
      <c r="E478" t="str" cm="1">
        <f t="array" aca="1" ref="E478" ca="1">IF(_xlfn.XLOOKUP(INDIRECT("RC[-1]", 0), CategoryNames, CategoryIdentifiers, "")&lt;&gt;"",INDIRECT("RC[-1]", 0),"")</f>
        <v/>
      </c>
      <c r="G478" t="str" cm="1">
        <f t="array" aca="1" ref="G478" ca="1">IF(COUNTIF($F$2:$F$1000,INDIRECT("RC[-2]",0))&gt;0,"",INDIRECT("RC[-2]",0))</f>
        <v/>
      </c>
    </row>
    <row r="479" spans="2:7" x14ac:dyDescent="0.25">
      <c r="B479" t="str" cm="1">
        <f t="array" aca="1" ref="B479" ca="1">IFERROR(DATE(RIGHT(INDIRECT("RC[-1]",0),4),LEFT(INDIRECT("RC[-1]",0),2),1), "")</f>
        <v/>
      </c>
      <c r="C479" s="214"/>
      <c r="E479" t="str" cm="1">
        <f t="array" aca="1" ref="E479" ca="1">IF(_xlfn.XLOOKUP(INDIRECT("RC[-1]", 0), CategoryNames, CategoryIdentifiers, "")&lt;&gt;"",INDIRECT("RC[-1]", 0),"")</f>
        <v/>
      </c>
      <c r="G479" t="str" cm="1">
        <f t="array" aca="1" ref="G479" ca="1">IF(COUNTIF($F$2:$F$1000,INDIRECT("RC[-2]",0))&gt;0,"",INDIRECT("RC[-2]",0))</f>
        <v/>
      </c>
    </row>
    <row r="480" spans="2:7" x14ac:dyDescent="0.25">
      <c r="B480" t="str" cm="1">
        <f t="array" aca="1" ref="B480" ca="1">IFERROR(DATE(RIGHT(INDIRECT("RC[-1]",0),4),LEFT(INDIRECT("RC[-1]",0),2),1), "")</f>
        <v/>
      </c>
      <c r="C480" s="214"/>
      <c r="E480" t="str" cm="1">
        <f t="array" aca="1" ref="E480" ca="1">IF(_xlfn.XLOOKUP(INDIRECT("RC[-1]", 0), CategoryNames, CategoryIdentifiers, "")&lt;&gt;"",INDIRECT("RC[-1]", 0),"")</f>
        <v/>
      </c>
      <c r="G480" t="str" cm="1">
        <f t="array" aca="1" ref="G480" ca="1">IF(COUNTIF($F$2:$F$1000,INDIRECT("RC[-2]",0))&gt;0,"",INDIRECT("RC[-2]",0))</f>
        <v/>
      </c>
    </row>
    <row r="481" spans="2:7" x14ac:dyDescent="0.25">
      <c r="B481" t="str" cm="1">
        <f t="array" aca="1" ref="B481" ca="1">IFERROR(DATE(RIGHT(INDIRECT("RC[-1]",0),4),LEFT(INDIRECT("RC[-1]",0),2),1), "")</f>
        <v/>
      </c>
      <c r="C481" s="214"/>
      <c r="E481" t="str" cm="1">
        <f t="array" aca="1" ref="E481" ca="1">IF(_xlfn.XLOOKUP(INDIRECT("RC[-1]", 0), CategoryNames, CategoryIdentifiers, "")&lt;&gt;"",INDIRECT("RC[-1]", 0),"")</f>
        <v/>
      </c>
      <c r="G481" t="str" cm="1">
        <f t="array" aca="1" ref="G481" ca="1">IF(COUNTIF($F$2:$F$1000,INDIRECT("RC[-2]",0))&gt;0,"",INDIRECT("RC[-2]",0))</f>
        <v/>
      </c>
    </row>
    <row r="482" spans="2:7" x14ac:dyDescent="0.25">
      <c r="B482" t="str" cm="1">
        <f t="array" aca="1" ref="B482" ca="1">IFERROR(DATE(RIGHT(INDIRECT("RC[-1]",0),4),LEFT(INDIRECT("RC[-1]",0),2),1), "")</f>
        <v/>
      </c>
      <c r="C482" s="214"/>
      <c r="E482" t="str" cm="1">
        <f t="array" aca="1" ref="E482" ca="1">IF(_xlfn.XLOOKUP(INDIRECT("RC[-1]", 0), CategoryNames, CategoryIdentifiers, "")&lt;&gt;"",INDIRECT("RC[-1]", 0),"")</f>
        <v/>
      </c>
      <c r="G482" t="str" cm="1">
        <f t="array" aca="1" ref="G482" ca="1">IF(COUNTIF($F$2:$F$1000,INDIRECT("RC[-2]",0))&gt;0,"",INDIRECT("RC[-2]",0))</f>
        <v/>
      </c>
    </row>
    <row r="483" spans="2:7" x14ac:dyDescent="0.25">
      <c r="B483" t="str" cm="1">
        <f t="array" aca="1" ref="B483" ca="1">IFERROR(DATE(RIGHT(INDIRECT("RC[-1]",0),4),LEFT(INDIRECT("RC[-1]",0),2),1), "")</f>
        <v/>
      </c>
      <c r="C483" s="214"/>
      <c r="E483" t="str" cm="1">
        <f t="array" aca="1" ref="E483" ca="1">IF(_xlfn.XLOOKUP(INDIRECT("RC[-1]", 0), CategoryNames, CategoryIdentifiers, "")&lt;&gt;"",INDIRECT("RC[-1]", 0),"")</f>
        <v/>
      </c>
      <c r="G483" t="str" cm="1">
        <f t="array" aca="1" ref="G483" ca="1">IF(COUNTIF($F$2:$F$1000,INDIRECT("RC[-2]",0))&gt;0,"",INDIRECT("RC[-2]",0))</f>
        <v/>
      </c>
    </row>
    <row r="484" spans="2:7" x14ac:dyDescent="0.25">
      <c r="B484" t="str" cm="1">
        <f t="array" aca="1" ref="B484" ca="1">IFERROR(DATE(RIGHT(INDIRECT("RC[-1]",0),4),LEFT(INDIRECT("RC[-1]",0),2),1), "")</f>
        <v/>
      </c>
      <c r="C484" s="214"/>
      <c r="E484" t="str" cm="1">
        <f t="array" aca="1" ref="E484" ca="1">IF(_xlfn.XLOOKUP(INDIRECT("RC[-1]", 0), CategoryNames, CategoryIdentifiers, "")&lt;&gt;"",INDIRECT("RC[-1]", 0),"")</f>
        <v/>
      </c>
      <c r="G484" t="str" cm="1">
        <f t="array" aca="1" ref="G484" ca="1">IF(COUNTIF($F$2:$F$1000,INDIRECT("RC[-2]",0))&gt;0,"",INDIRECT("RC[-2]",0))</f>
        <v/>
      </c>
    </row>
    <row r="485" spans="2:7" x14ac:dyDescent="0.25">
      <c r="B485" t="str" cm="1">
        <f t="array" aca="1" ref="B485" ca="1">IFERROR(DATE(RIGHT(INDIRECT("RC[-1]",0),4),LEFT(INDIRECT("RC[-1]",0),2),1), "")</f>
        <v/>
      </c>
      <c r="C485" s="214"/>
      <c r="E485" t="str" cm="1">
        <f t="array" aca="1" ref="E485" ca="1">IF(_xlfn.XLOOKUP(INDIRECT("RC[-1]", 0), CategoryNames, CategoryIdentifiers, "")&lt;&gt;"",INDIRECT("RC[-1]", 0),"")</f>
        <v/>
      </c>
      <c r="G485" t="str" cm="1">
        <f t="array" aca="1" ref="G485" ca="1">IF(COUNTIF($F$2:$F$1000,INDIRECT("RC[-2]",0))&gt;0,"",INDIRECT("RC[-2]",0))</f>
        <v/>
      </c>
    </row>
    <row r="486" spans="2:7" x14ac:dyDescent="0.25">
      <c r="B486" t="str" cm="1">
        <f t="array" aca="1" ref="B486" ca="1">IFERROR(DATE(RIGHT(INDIRECT("RC[-1]",0),4),LEFT(INDIRECT("RC[-1]",0),2),1), "")</f>
        <v/>
      </c>
      <c r="C486" s="214"/>
      <c r="E486" t="str" cm="1">
        <f t="array" aca="1" ref="E486" ca="1">IF(_xlfn.XLOOKUP(INDIRECT("RC[-1]", 0), CategoryNames, CategoryIdentifiers, "")&lt;&gt;"",INDIRECT("RC[-1]", 0),"")</f>
        <v/>
      </c>
      <c r="G486" t="str" cm="1">
        <f t="array" aca="1" ref="G486" ca="1">IF(COUNTIF($F$2:$F$1000,INDIRECT("RC[-2]",0))&gt;0,"",INDIRECT("RC[-2]",0))</f>
        <v/>
      </c>
    </row>
    <row r="487" spans="2:7" x14ac:dyDescent="0.25">
      <c r="B487" t="str" cm="1">
        <f t="array" aca="1" ref="B487" ca="1">IFERROR(DATE(RIGHT(INDIRECT("RC[-1]",0),4),LEFT(INDIRECT("RC[-1]",0),2),1), "")</f>
        <v/>
      </c>
      <c r="C487" s="214"/>
      <c r="E487" t="str" cm="1">
        <f t="array" aca="1" ref="E487" ca="1">IF(_xlfn.XLOOKUP(INDIRECT("RC[-1]", 0), CategoryNames, CategoryIdentifiers, "")&lt;&gt;"",INDIRECT("RC[-1]", 0),"")</f>
        <v/>
      </c>
      <c r="G487" t="str" cm="1">
        <f t="array" aca="1" ref="G487" ca="1">IF(COUNTIF($F$2:$F$1000,INDIRECT("RC[-2]",0))&gt;0,"",INDIRECT("RC[-2]",0))</f>
        <v/>
      </c>
    </row>
    <row r="488" spans="2:7" x14ac:dyDescent="0.25">
      <c r="B488" t="str" cm="1">
        <f t="array" aca="1" ref="B488" ca="1">IFERROR(DATE(RIGHT(INDIRECT("RC[-1]",0),4),LEFT(INDIRECT("RC[-1]",0),2),1), "")</f>
        <v/>
      </c>
      <c r="C488" s="214"/>
      <c r="E488" t="str" cm="1">
        <f t="array" aca="1" ref="E488" ca="1">IF(_xlfn.XLOOKUP(INDIRECT("RC[-1]", 0), CategoryNames, CategoryIdentifiers, "")&lt;&gt;"",INDIRECT("RC[-1]", 0),"")</f>
        <v/>
      </c>
      <c r="G488" t="str" cm="1">
        <f t="array" aca="1" ref="G488" ca="1">IF(COUNTIF($F$2:$F$1000,INDIRECT("RC[-2]",0))&gt;0,"",INDIRECT("RC[-2]",0))</f>
        <v/>
      </c>
    </row>
    <row r="489" spans="2:7" x14ac:dyDescent="0.25">
      <c r="B489" t="str" cm="1">
        <f t="array" aca="1" ref="B489" ca="1">IFERROR(DATE(RIGHT(INDIRECT("RC[-1]",0),4),LEFT(INDIRECT("RC[-1]",0),2),1), "")</f>
        <v/>
      </c>
      <c r="C489" s="214"/>
      <c r="E489" t="str" cm="1">
        <f t="array" aca="1" ref="E489" ca="1">IF(_xlfn.XLOOKUP(INDIRECT("RC[-1]", 0), CategoryNames, CategoryIdentifiers, "")&lt;&gt;"",INDIRECT("RC[-1]", 0),"")</f>
        <v/>
      </c>
      <c r="G489" t="str" cm="1">
        <f t="array" aca="1" ref="G489" ca="1">IF(COUNTIF($F$2:$F$1000,INDIRECT("RC[-2]",0))&gt;0,"",INDIRECT("RC[-2]",0))</f>
        <v/>
      </c>
    </row>
    <row r="490" spans="2:7" x14ac:dyDescent="0.25">
      <c r="B490" t="str" cm="1">
        <f t="array" aca="1" ref="B490" ca="1">IFERROR(DATE(RIGHT(INDIRECT("RC[-1]",0),4),LEFT(INDIRECT("RC[-1]",0),2),1), "")</f>
        <v/>
      </c>
      <c r="C490" s="214"/>
      <c r="E490" t="str" cm="1">
        <f t="array" aca="1" ref="E490" ca="1">IF(_xlfn.XLOOKUP(INDIRECT("RC[-1]", 0), CategoryNames, CategoryIdentifiers, "")&lt;&gt;"",INDIRECT("RC[-1]", 0),"")</f>
        <v/>
      </c>
      <c r="G490" t="str" cm="1">
        <f t="array" aca="1" ref="G490" ca="1">IF(COUNTIF($F$2:$F$1000,INDIRECT("RC[-2]",0))&gt;0,"",INDIRECT("RC[-2]",0))</f>
        <v/>
      </c>
    </row>
    <row r="491" spans="2:7" x14ac:dyDescent="0.25">
      <c r="B491" t="str" cm="1">
        <f t="array" aca="1" ref="B491" ca="1">IFERROR(DATE(RIGHT(INDIRECT("RC[-1]",0),4),LEFT(INDIRECT("RC[-1]",0),2),1), "")</f>
        <v/>
      </c>
      <c r="C491" s="214"/>
      <c r="E491" t="str" cm="1">
        <f t="array" aca="1" ref="E491" ca="1">IF(_xlfn.XLOOKUP(INDIRECT("RC[-1]", 0), CategoryNames, CategoryIdentifiers, "")&lt;&gt;"",INDIRECT("RC[-1]", 0),"")</f>
        <v/>
      </c>
      <c r="G491" t="str" cm="1">
        <f t="array" aca="1" ref="G491" ca="1">IF(COUNTIF($F$2:$F$1000,INDIRECT("RC[-2]",0))&gt;0,"",INDIRECT("RC[-2]",0))</f>
        <v/>
      </c>
    </row>
    <row r="492" spans="2:7" x14ac:dyDescent="0.25">
      <c r="B492" t="str" cm="1">
        <f t="array" aca="1" ref="B492" ca="1">IFERROR(DATE(RIGHT(INDIRECT("RC[-1]",0),4),LEFT(INDIRECT("RC[-1]",0),2),1), "")</f>
        <v/>
      </c>
      <c r="C492" s="214"/>
      <c r="E492" t="str" cm="1">
        <f t="array" aca="1" ref="E492" ca="1">IF(_xlfn.XLOOKUP(INDIRECT("RC[-1]", 0), CategoryNames, CategoryIdentifiers, "")&lt;&gt;"",INDIRECT("RC[-1]", 0),"")</f>
        <v/>
      </c>
      <c r="G492" t="str" cm="1">
        <f t="array" aca="1" ref="G492" ca="1">IF(COUNTIF($F$2:$F$1000,INDIRECT("RC[-2]",0))&gt;0,"",INDIRECT("RC[-2]",0))</f>
        <v/>
      </c>
    </row>
    <row r="493" spans="2:7" x14ac:dyDescent="0.25">
      <c r="B493" t="str" cm="1">
        <f t="array" aca="1" ref="B493" ca="1">IFERROR(DATE(RIGHT(INDIRECT("RC[-1]",0),4),LEFT(INDIRECT("RC[-1]",0),2),1), "")</f>
        <v/>
      </c>
      <c r="C493" s="214"/>
      <c r="E493" t="str" cm="1">
        <f t="array" aca="1" ref="E493" ca="1">IF(_xlfn.XLOOKUP(INDIRECT("RC[-1]", 0), CategoryNames, CategoryIdentifiers, "")&lt;&gt;"",INDIRECT("RC[-1]", 0),"")</f>
        <v/>
      </c>
      <c r="G493" t="str" cm="1">
        <f t="array" aca="1" ref="G493" ca="1">IF(COUNTIF($F$2:$F$1000,INDIRECT("RC[-2]",0))&gt;0,"",INDIRECT("RC[-2]",0))</f>
        <v/>
      </c>
    </row>
    <row r="494" spans="2:7" x14ac:dyDescent="0.25">
      <c r="B494" t="str" cm="1">
        <f t="array" aca="1" ref="B494" ca="1">IFERROR(DATE(RIGHT(INDIRECT("RC[-1]",0),4),LEFT(INDIRECT("RC[-1]",0),2),1), "")</f>
        <v/>
      </c>
      <c r="C494" s="214"/>
      <c r="E494" t="str" cm="1">
        <f t="array" aca="1" ref="E494" ca="1">IF(_xlfn.XLOOKUP(INDIRECT("RC[-1]", 0), CategoryNames, CategoryIdentifiers, "")&lt;&gt;"",INDIRECT("RC[-1]", 0),"")</f>
        <v/>
      </c>
      <c r="G494" t="str" cm="1">
        <f t="array" aca="1" ref="G494" ca="1">IF(COUNTIF($F$2:$F$1000,INDIRECT("RC[-2]",0))&gt;0,"",INDIRECT("RC[-2]",0))</f>
        <v/>
      </c>
    </row>
    <row r="495" spans="2:7" x14ac:dyDescent="0.25">
      <c r="B495" t="str" cm="1">
        <f t="array" aca="1" ref="B495" ca="1">IFERROR(DATE(RIGHT(INDIRECT("RC[-1]",0),4),LEFT(INDIRECT("RC[-1]",0),2),1), "")</f>
        <v/>
      </c>
      <c r="C495" s="214"/>
      <c r="E495" t="str" cm="1">
        <f t="array" aca="1" ref="E495" ca="1">IF(_xlfn.XLOOKUP(INDIRECT("RC[-1]", 0), CategoryNames, CategoryIdentifiers, "")&lt;&gt;"",INDIRECT("RC[-1]", 0),"")</f>
        <v/>
      </c>
      <c r="G495" t="str" cm="1">
        <f t="array" aca="1" ref="G495" ca="1">IF(COUNTIF($F$2:$F$1000,INDIRECT("RC[-2]",0))&gt;0,"",INDIRECT("RC[-2]",0))</f>
        <v/>
      </c>
    </row>
    <row r="496" spans="2:7" x14ac:dyDescent="0.25">
      <c r="B496" t="str" cm="1">
        <f t="array" aca="1" ref="B496" ca="1">IFERROR(DATE(RIGHT(INDIRECT("RC[-1]",0),4),LEFT(INDIRECT("RC[-1]",0),2),1), "")</f>
        <v/>
      </c>
      <c r="C496" s="214"/>
      <c r="E496" t="str" cm="1">
        <f t="array" aca="1" ref="E496" ca="1">IF(_xlfn.XLOOKUP(INDIRECT("RC[-1]", 0), CategoryNames, CategoryIdentifiers, "")&lt;&gt;"",INDIRECT("RC[-1]", 0),"")</f>
        <v/>
      </c>
      <c r="G496" t="str" cm="1">
        <f t="array" aca="1" ref="G496" ca="1">IF(COUNTIF($F$2:$F$1000,INDIRECT("RC[-2]",0))&gt;0,"",INDIRECT("RC[-2]",0))</f>
        <v/>
      </c>
    </row>
    <row r="497" spans="2:7" x14ac:dyDescent="0.25">
      <c r="B497" t="str" cm="1">
        <f t="array" aca="1" ref="B497" ca="1">IFERROR(DATE(RIGHT(INDIRECT("RC[-1]",0),4),LEFT(INDIRECT("RC[-1]",0),2),1), "")</f>
        <v/>
      </c>
      <c r="C497" s="214"/>
      <c r="E497" t="str" cm="1">
        <f t="array" aca="1" ref="E497" ca="1">IF(_xlfn.XLOOKUP(INDIRECT("RC[-1]", 0), CategoryNames, CategoryIdentifiers, "")&lt;&gt;"",INDIRECT("RC[-1]", 0),"")</f>
        <v/>
      </c>
      <c r="G497" t="str" cm="1">
        <f t="array" aca="1" ref="G497" ca="1">IF(COUNTIF($F$2:$F$1000,INDIRECT("RC[-2]",0))&gt;0,"",INDIRECT("RC[-2]",0))</f>
        <v/>
      </c>
    </row>
    <row r="498" spans="2:7" x14ac:dyDescent="0.25">
      <c r="B498" t="str" cm="1">
        <f t="array" aca="1" ref="B498" ca="1">IFERROR(DATE(RIGHT(INDIRECT("RC[-1]",0),4),LEFT(INDIRECT("RC[-1]",0),2),1), "")</f>
        <v/>
      </c>
      <c r="C498" s="214"/>
      <c r="E498" t="str" cm="1">
        <f t="array" aca="1" ref="E498" ca="1">IF(_xlfn.XLOOKUP(INDIRECT("RC[-1]", 0), CategoryNames, CategoryIdentifiers, "")&lt;&gt;"",INDIRECT("RC[-1]", 0),"")</f>
        <v/>
      </c>
      <c r="G498" t="str" cm="1">
        <f t="array" aca="1" ref="G498" ca="1">IF(COUNTIF($F$2:$F$1000,INDIRECT("RC[-2]",0))&gt;0,"",INDIRECT("RC[-2]",0))</f>
        <v/>
      </c>
    </row>
    <row r="499" spans="2:7" x14ac:dyDescent="0.25">
      <c r="B499" t="str" cm="1">
        <f t="array" aca="1" ref="B499" ca="1">IFERROR(DATE(RIGHT(INDIRECT("RC[-1]",0),4),LEFT(INDIRECT("RC[-1]",0),2),1), "")</f>
        <v/>
      </c>
      <c r="C499" s="214"/>
      <c r="E499" t="str" cm="1">
        <f t="array" aca="1" ref="E499" ca="1">IF(_xlfn.XLOOKUP(INDIRECT("RC[-1]", 0), CategoryNames, CategoryIdentifiers, "")&lt;&gt;"",INDIRECT("RC[-1]", 0),"")</f>
        <v/>
      </c>
      <c r="G499" t="str" cm="1">
        <f t="array" aca="1" ref="G499" ca="1">IF(COUNTIF($F$2:$F$1000,INDIRECT("RC[-2]",0))&gt;0,"",INDIRECT("RC[-2]",0))</f>
        <v/>
      </c>
    </row>
    <row r="500" spans="2:7" x14ac:dyDescent="0.25">
      <c r="B500" t="str" cm="1">
        <f t="array" aca="1" ref="B500" ca="1">IFERROR(DATE(RIGHT(INDIRECT("RC[-1]",0),4),LEFT(INDIRECT("RC[-1]",0),2),1), "")</f>
        <v/>
      </c>
      <c r="C500" s="214"/>
      <c r="E500" t="str" cm="1">
        <f t="array" aca="1" ref="E500" ca="1">IF(_xlfn.XLOOKUP(INDIRECT("RC[-1]", 0), CategoryNames, CategoryIdentifiers, "")&lt;&gt;"",INDIRECT("RC[-1]", 0),"")</f>
        <v/>
      </c>
      <c r="G500" t="str" cm="1">
        <f t="array" aca="1" ref="G500" ca="1">IF(COUNTIF($F$2:$F$1000,INDIRECT("RC[-2]",0))&gt;0,"",INDIRECT("RC[-2]",0))</f>
        <v/>
      </c>
    </row>
    <row r="501" spans="2:7" x14ac:dyDescent="0.25">
      <c r="B501" t="str" cm="1">
        <f t="array" aca="1" ref="B501" ca="1">IFERROR(DATE(RIGHT(INDIRECT("RC[-1]",0),4),LEFT(INDIRECT("RC[-1]",0),2),1), "")</f>
        <v/>
      </c>
      <c r="C501" s="214"/>
      <c r="E501" t="str" cm="1">
        <f t="array" aca="1" ref="E501" ca="1">IF(_xlfn.XLOOKUP(INDIRECT("RC[-1]", 0), CategoryNames, CategoryIdentifiers, "")&lt;&gt;"",INDIRECT("RC[-1]", 0),"")</f>
        <v/>
      </c>
      <c r="G501" t="str" cm="1">
        <f t="array" aca="1" ref="G501" ca="1">IF(COUNTIF($F$2:$F$1000,INDIRECT("RC[-2]",0))&gt;0,"",INDIRECT("RC[-2]",0))</f>
        <v/>
      </c>
    </row>
    <row r="502" spans="2:7" x14ac:dyDescent="0.25">
      <c r="B502" t="str" cm="1">
        <f t="array" aca="1" ref="B502" ca="1">IFERROR(DATE(RIGHT(INDIRECT("RC[-1]",0),4),LEFT(INDIRECT("RC[-1]",0),2),1), "")</f>
        <v/>
      </c>
      <c r="C502" s="214"/>
      <c r="E502" t="str" cm="1">
        <f t="array" aca="1" ref="E502" ca="1">IF(_xlfn.XLOOKUP(INDIRECT("RC[-1]", 0), CategoryNames, CategoryIdentifiers, "")&lt;&gt;"",INDIRECT("RC[-1]", 0),"")</f>
        <v/>
      </c>
      <c r="G502" t="str" cm="1">
        <f t="array" aca="1" ref="G502" ca="1">IF(COUNTIF($F$2:$F$1000,INDIRECT("RC[-2]",0))&gt;0,"",INDIRECT("RC[-2]",0))</f>
        <v/>
      </c>
    </row>
    <row r="503" spans="2:7" x14ac:dyDescent="0.25">
      <c r="B503" t="str" cm="1">
        <f t="array" aca="1" ref="B503" ca="1">IFERROR(DATE(RIGHT(INDIRECT("RC[-1]",0),4),LEFT(INDIRECT("RC[-1]",0),2),1), "")</f>
        <v/>
      </c>
      <c r="C503" s="214"/>
      <c r="E503" t="str" cm="1">
        <f t="array" aca="1" ref="E503" ca="1">IF(_xlfn.XLOOKUP(INDIRECT("RC[-1]", 0), CategoryNames, CategoryIdentifiers, "")&lt;&gt;"",INDIRECT("RC[-1]", 0),"")</f>
        <v/>
      </c>
      <c r="G503" t="str" cm="1">
        <f t="array" aca="1" ref="G503" ca="1">IF(COUNTIF($F$2:$F$1000,INDIRECT("RC[-2]",0))&gt;0,"",INDIRECT("RC[-2]",0))</f>
        <v/>
      </c>
    </row>
    <row r="504" spans="2:7" x14ac:dyDescent="0.25">
      <c r="B504" t="str" cm="1">
        <f t="array" aca="1" ref="B504" ca="1">IFERROR(DATE(RIGHT(INDIRECT("RC[-1]",0),4),LEFT(INDIRECT("RC[-1]",0),2),1), "")</f>
        <v/>
      </c>
      <c r="C504" s="214"/>
      <c r="E504" t="str" cm="1">
        <f t="array" aca="1" ref="E504" ca="1">IF(_xlfn.XLOOKUP(INDIRECT("RC[-1]", 0), CategoryNames, CategoryIdentifiers, "")&lt;&gt;"",INDIRECT("RC[-1]", 0),"")</f>
        <v/>
      </c>
      <c r="G504" t="str" cm="1">
        <f t="array" aca="1" ref="G504" ca="1">IF(COUNTIF($F$2:$F$1000,INDIRECT("RC[-2]",0))&gt;0,"",INDIRECT("RC[-2]",0))</f>
        <v/>
      </c>
    </row>
    <row r="505" spans="2:7" x14ac:dyDescent="0.25">
      <c r="B505" t="str" cm="1">
        <f t="array" aca="1" ref="B505" ca="1">IFERROR(DATE(RIGHT(INDIRECT("RC[-1]",0),4),LEFT(INDIRECT("RC[-1]",0),2),1), "")</f>
        <v/>
      </c>
      <c r="C505" s="214"/>
      <c r="E505" t="str" cm="1">
        <f t="array" aca="1" ref="E505" ca="1">IF(_xlfn.XLOOKUP(INDIRECT("RC[-1]", 0), CategoryNames, CategoryIdentifiers, "")&lt;&gt;"",INDIRECT("RC[-1]", 0),"")</f>
        <v/>
      </c>
      <c r="G505" t="str" cm="1">
        <f t="array" aca="1" ref="G505" ca="1">IF(COUNTIF($F$2:$F$1000,INDIRECT("RC[-2]",0))&gt;0,"",INDIRECT("RC[-2]",0))</f>
        <v/>
      </c>
    </row>
    <row r="506" spans="2:7" x14ac:dyDescent="0.25">
      <c r="B506" t="str" cm="1">
        <f t="array" aca="1" ref="B506" ca="1">IFERROR(DATE(RIGHT(INDIRECT("RC[-1]",0),4),LEFT(INDIRECT("RC[-1]",0),2),1), "")</f>
        <v/>
      </c>
      <c r="C506" s="214"/>
      <c r="E506" t="str" cm="1">
        <f t="array" aca="1" ref="E506" ca="1">IF(_xlfn.XLOOKUP(INDIRECT("RC[-1]", 0), CategoryNames, CategoryIdentifiers, "")&lt;&gt;"",INDIRECT("RC[-1]", 0),"")</f>
        <v/>
      </c>
      <c r="G506" t="str" cm="1">
        <f t="array" aca="1" ref="G506" ca="1">IF(COUNTIF($F$2:$F$1000,INDIRECT("RC[-2]",0))&gt;0,"",INDIRECT("RC[-2]",0))</f>
        <v/>
      </c>
    </row>
    <row r="507" spans="2:7" x14ac:dyDescent="0.25">
      <c r="B507" t="str" cm="1">
        <f t="array" aca="1" ref="B507" ca="1">IFERROR(DATE(RIGHT(INDIRECT("RC[-1]",0),4),LEFT(INDIRECT("RC[-1]",0),2),1), "")</f>
        <v/>
      </c>
      <c r="C507" s="214"/>
      <c r="E507" t="str" cm="1">
        <f t="array" aca="1" ref="E507" ca="1">IF(_xlfn.XLOOKUP(INDIRECT("RC[-1]", 0), CategoryNames, CategoryIdentifiers, "")&lt;&gt;"",INDIRECT("RC[-1]", 0),"")</f>
        <v/>
      </c>
      <c r="G507" t="str" cm="1">
        <f t="array" aca="1" ref="G507" ca="1">IF(COUNTIF($F$2:$F$1000,INDIRECT("RC[-2]",0))&gt;0,"",INDIRECT("RC[-2]",0))</f>
        <v/>
      </c>
    </row>
    <row r="508" spans="2:7" x14ac:dyDescent="0.25">
      <c r="B508" t="str" cm="1">
        <f t="array" aca="1" ref="B508" ca="1">IFERROR(DATE(RIGHT(INDIRECT("RC[-1]",0),4),LEFT(INDIRECT("RC[-1]",0),2),1), "")</f>
        <v/>
      </c>
      <c r="C508" s="214"/>
      <c r="E508" t="str" cm="1">
        <f t="array" aca="1" ref="E508" ca="1">IF(_xlfn.XLOOKUP(INDIRECT("RC[-1]", 0), CategoryNames, CategoryIdentifiers, "")&lt;&gt;"",INDIRECT("RC[-1]", 0),"")</f>
        <v/>
      </c>
      <c r="G508" t="str" cm="1">
        <f t="array" aca="1" ref="G508" ca="1">IF(COUNTIF($F$2:$F$1000,INDIRECT("RC[-2]",0))&gt;0,"",INDIRECT("RC[-2]",0))</f>
        <v/>
      </c>
    </row>
    <row r="509" spans="2:7" x14ac:dyDescent="0.25">
      <c r="B509" t="str" cm="1">
        <f t="array" aca="1" ref="B509" ca="1">IFERROR(DATE(RIGHT(INDIRECT("RC[-1]",0),4),LEFT(INDIRECT("RC[-1]",0),2),1), "")</f>
        <v/>
      </c>
      <c r="C509" s="214"/>
      <c r="E509" t="str" cm="1">
        <f t="array" aca="1" ref="E509" ca="1">IF(_xlfn.XLOOKUP(INDIRECT("RC[-1]", 0), CategoryNames, CategoryIdentifiers, "")&lt;&gt;"",INDIRECT("RC[-1]", 0),"")</f>
        <v/>
      </c>
      <c r="G509" t="str" cm="1">
        <f t="array" aca="1" ref="G509" ca="1">IF(COUNTIF($F$2:$F$1000,INDIRECT("RC[-2]",0))&gt;0,"",INDIRECT("RC[-2]",0))</f>
        <v/>
      </c>
    </row>
    <row r="510" spans="2:7" x14ac:dyDescent="0.25">
      <c r="B510" t="str" cm="1">
        <f t="array" aca="1" ref="B510" ca="1">IFERROR(DATE(RIGHT(INDIRECT("RC[-1]",0),4),LEFT(INDIRECT("RC[-1]",0),2),1), "")</f>
        <v/>
      </c>
      <c r="C510" s="214"/>
      <c r="E510" t="str" cm="1">
        <f t="array" aca="1" ref="E510" ca="1">IF(_xlfn.XLOOKUP(INDIRECT("RC[-1]", 0), CategoryNames, CategoryIdentifiers, "")&lt;&gt;"",INDIRECT("RC[-1]", 0),"")</f>
        <v/>
      </c>
      <c r="G510" t="str" cm="1">
        <f t="array" aca="1" ref="G510" ca="1">IF(COUNTIF($F$2:$F$1000,INDIRECT("RC[-2]",0))&gt;0,"",INDIRECT("RC[-2]",0))</f>
        <v/>
      </c>
    </row>
    <row r="511" spans="2:7" x14ac:dyDescent="0.25">
      <c r="B511" t="str" cm="1">
        <f t="array" aca="1" ref="B511" ca="1">IFERROR(DATE(RIGHT(INDIRECT("RC[-1]",0),4),LEFT(INDIRECT("RC[-1]",0),2),1), "")</f>
        <v/>
      </c>
      <c r="C511" s="214"/>
      <c r="E511" t="str" cm="1">
        <f t="array" aca="1" ref="E511" ca="1">IF(_xlfn.XLOOKUP(INDIRECT("RC[-1]", 0), CategoryNames, CategoryIdentifiers, "")&lt;&gt;"",INDIRECT("RC[-1]", 0),"")</f>
        <v/>
      </c>
      <c r="G511" t="str" cm="1">
        <f t="array" aca="1" ref="G511" ca="1">IF(COUNTIF($F$2:$F$1000,INDIRECT("RC[-2]",0))&gt;0,"",INDIRECT("RC[-2]",0))</f>
        <v/>
      </c>
    </row>
    <row r="512" spans="2:7" x14ac:dyDescent="0.25">
      <c r="B512" t="str" cm="1">
        <f t="array" aca="1" ref="B512" ca="1">IFERROR(DATE(RIGHT(INDIRECT("RC[-1]",0),4),LEFT(INDIRECT("RC[-1]",0),2),1), "")</f>
        <v/>
      </c>
      <c r="C512" s="214"/>
      <c r="E512" t="str" cm="1">
        <f t="array" aca="1" ref="E512" ca="1">IF(_xlfn.XLOOKUP(INDIRECT("RC[-1]", 0), CategoryNames, CategoryIdentifiers, "")&lt;&gt;"",INDIRECT("RC[-1]", 0),"")</f>
        <v/>
      </c>
      <c r="G512" t="str" cm="1">
        <f t="array" aca="1" ref="G512" ca="1">IF(COUNTIF($F$2:$F$1000,INDIRECT("RC[-2]",0))&gt;0,"",INDIRECT("RC[-2]",0))</f>
        <v/>
      </c>
    </row>
    <row r="513" spans="2:7" x14ac:dyDescent="0.25">
      <c r="B513" t="str" cm="1">
        <f t="array" aca="1" ref="B513" ca="1">IFERROR(DATE(RIGHT(INDIRECT("RC[-1]",0),4),LEFT(INDIRECT("RC[-1]",0),2),1), "")</f>
        <v/>
      </c>
      <c r="C513" s="214"/>
      <c r="E513" t="str" cm="1">
        <f t="array" aca="1" ref="E513" ca="1">IF(_xlfn.XLOOKUP(INDIRECT("RC[-1]", 0), CategoryNames, CategoryIdentifiers, "")&lt;&gt;"",INDIRECT("RC[-1]", 0),"")</f>
        <v/>
      </c>
      <c r="G513" t="str" cm="1">
        <f t="array" aca="1" ref="G513" ca="1">IF(COUNTIF($F$2:$F$1000,INDIRECT("RC[-2]",0))&gt;0,"",INDIRECT("RC[-2]",0))</f>
        <v/>
      </c>
    </row>
    <row r="514" spans="2:7" x14ac:dyDescent="0.25">
      <c r="B514" t="str" cm="1">
        <f t="array" aca="1" ref="B514" ca="1">IFERROR(DATE(RIGHT(INDIRECT("RC[-1]",0),4),LEFT(INDIRECT("RC[-1]",0),2),1), "")</f>
        <v/>
      </c>
      <c r="C514" s="214"/>
      <c r="E514" t="str" cm="1">
        <f t="array" aca="1" ref="E514" ca="1">IF(_xlfn.XLOOKUP(INDIRECT("RC[-1]", 0), CategoryNames, CategoryIdentifiers, "")&lt;&gt;"",INDIRECT("RC[-1]", 0),"")</f>
        <v/>
      </c>
      <c r="G514" t="str" cm="1">
        <f t="array" aca="1" ref="G514" ca="1">IF(COUNTIF($F$2:$F$1000,INDIRECT("RC[-2]",0))&gt;0,"",INDIRECT("RC[-2]",0))</f>
        <v/>
      </c>
    </row>
    <row r="515" spans="2:7" x14ac:dyDescent="0.25">
      <c r="B515" t="str" cm="1">
        <f t="array" aca="1" ref="B515" ca="1">IFERROR(DATE(RIGHT(INDIRECT("RC[-1]",0),4),LEFT(INDIRECT("RC[-1]",0),2),1), "")</f>
        <v/>
      </c>
      <c r="C515" s="214"/>
      <c r="E515" t="str" cm="1">
        <f t="array" aca="1" ref="E515" ca="1">IF(_xlfn.XLOOKUP(INDIRECT("RC[-1]", 0), CategoryNames, CategoryIdentifiers, "")&lt;&gt;"",INDIRECT("RC[-1]", 0),"")</f>
        <v/>
      </c>
      <c r="G515" t="str" cm="1">
        <f t="array" aca="1" ref="G515" ca="1">IF(COUNTIF($F$2:$F$1000,INDIRECT("RC[-2]",0))&gt;0,"",INDIRECT("RC[-2]",0))</f>
        <v/>
      </c>
    </row>
    <row r="516" spans="2:7" x14ac:dyDescent="0.25">
      <c r="B516" t="str" cm="1">
        <f t="array" aca="1" ref="B516" ca="1">IFERROR(DATE(RIGHT(INDIRECT("RC[-1]",0),4),LEFT(INDIRECT("RC[-1]",0),2),1), "")</f>
        <v/>
      </c>
      <c r="C516" s="214"/>
      <c r="E516" t="str" cm="1">
        <f t="array" aca="1" ref="E516" ca="1">IF(_xlfn.XLOOKUP(INDIRECT("RC[-1]", 0), CategoryNames, CategoryIdentifiers, "")&lt;&gt;"",INDIRECT("RC[-1]", 0),"")</f>
        <v/>
      </c>
      <c r="G516" t="str" cm="1">
        <f t="array" aca="1" ref="G516" ca="1">IF(COUNTIF($F$2:$F$1000,INDIRECT("RC[-2]",0))&gt;0,"",INDIRECT("RC[-2]",0))</f>
        <v/>
      </c>
    </row>
    <row r="517" spans="2:7" x14ac:dyDescent="0.25">
      <c r="B517" t="str" cm="1">
        <f t="array" aca="1" ref="B517" ca="1">IFERROR(DATE(RIGHT(INDIRECT("RC[-1]",0),4),LEFT(INDIRECT("RC[-1]",0),2),1), "")</f>
        <v/>
      </c>
      <c r="C517" s="214"/>
      <c r="E517" t="str" cm="1">
        <f t="array" aca="1" ref="E517" ca="1">IF(_xlfn.XLOOKUP(INDIRECT("RC[-1]", 0), CategoryNames, CategoryIdentifiers, "")&lt;&gt;"",INDIRECT("RC[-1]", 0),"")</f>
        <v/>
      </c>
      <c r="G517" t="str" cm="1">
        <f t="array" aca="1" ref="G517" ca="1">IF(COUNTIF($F$2:$F$1000,INDIRECT("RC[-2]",0))&gt;0,"",INDIRECT("RC[-2]",0))</f>
        <v/>
      </c>
    </row>
    <row r="518" spans="2:7" x14ac:dyDescent="0.25">
      <c r="B518" t="str" cm="1">
        <f t="array" aca="1" ref="B518" ca="1">IFERROR(DATE(RIGHT(INDIRECT("RC[-1]",0),4),LEFT(INDIRECT("RC[-1]",0),2),1), "")</f>
        <v/>
      </c>
      <c r="C518" s="214"/>
      <c r="E518" t="str" cm="1">
        <f t="array" aca="1" ref="E518" ca="1">IF(_xlfn.XLOOKUP(INDIRECT("RC[-1]", 0), CategoryNames, CategoryIdentifiers, "")&lt;&gt;"",INDIRECT("RC[-1]", 0),"")</f>
        <v/>
      </c>
      <c r="G518" t="str" cm="1">
        <f t="array" aca="1" ref="G518" ca="1">IF(COUNTIF($F$2:$F$1000,INDIRECT("RC[-2]",0))&gt;0,"",INDIRECT("RC[-2]",0))</f>
        <v/>
      </c>
    </row>
    <row r="519" spans="2:7" x14ac:dyDescent="0.25">
      <c r="B519" t="str" cm="1">
        <f t="array" aca="1" ref="B519" ca="1">IFERROR(DATE(RIGHT(INDIRECT("RC[-1]",0),4),LEFT(INDIRECT("RC[-1]",0),2),1), "")</f>
        <v/>
      </c>
      <c r="C519" s="214"/>
      <c r="E519" t="str" cm="1">
        <f t="array" aca="1" ref="E519" ca="1">IF(_xlfn.XLOOKUP(INDIRECT("RC[-1]", 0), CategoryNames, CategoryIdentifiers, "")&lt;&gt;"",INDIRECT("RC[-1]", 0),"")</f>
        <v/>
      </c>
      <c r="G519" t="str" cm="1">
        <f t="array" aca="1" ref="G519" ca="1">IF(COUNTIF($F$2:$F$1000,INDIRECT("RC[-2]",0))&gt;0,"",INDIRECT("RC[-2]",0))</f>
        <v/>
      </c>
    </row>
    <row r="520" spans="2:7" x14ac:dyDescent="0.25">
      <c r="B520" t="str" cm="1">
        <f t="array" aca="1" ref="B520" ca="1">IFERROR(DATE(RIGHT(INDIRECT("RC[-1]",0),4),LEFT(INDIRECT("RC[-1]",0),2),1), "")</f>
        <v/>
      </c>
      <c r="C520" s="214"/>
      <c r="E520" t="str" cm="1">
        <f t="array" aca="1" ref="E520" ca="1">IF(_xlfn.XLOOKUP(INDIRECT("RC[-1]", 0), CategoryNames, CategoryIdentifiers, "")&lt;&gt;"",INDIRECT("RC[-1]", 0),"")</f>
        <v/>
      </c>
      <c r="G520" t="str" cm="1">
        <f t="array" aca="1" ref="G520" ca="1">IF(COUNTIF($F$2:$F$1000,INDIRECT("RC[-2]",0))&gt;0,"",INDIRECT("RC[-2]",0))</f>
        <v/>
      </c>
    </row>
    <row r="521" spans="2:7" x14ac:dyDescent="0.25">
      <c r="B521" t="str" cm="1">
        <f t="array" aca="1" ref="B521" ca="1">IFERROR(DATE(RIGHT(INDIRECT("RC[-1]",0),4),LEFT(INDIRECT("RC[-1]",0),2),1), "")</f>
        <v/>
      </c>
      <c r="C521" s="214"/>
      <c r="E521" t="str" cm="1">
        <f t="array" aca="1" ref="E521" ca="1">IF(_xlfn.XLOOKUP(INDIRECT("RC[-1]", 0), CategoryNames, CategoryIdentifiers, "")&lt;&gt;"",INDIRECT("RC[-1]", 0),"")</f>
        <v/>
      </c>
      <c r="G521" t="str" cm="1">
        <f t="array" aca="1" ref="G521" ca="1">IF(COUNTIF($F$2:$F$1000,INDIRECT("RC[-2]",0))&gt;0,"",INDIRECT("RC[-2]",0))</f>
        <v/>
      </c>
    </row>
    <row r="522" spans="2:7" x14ac:dyDescent="0.25">
      <c r="B522" t="str" cm="1">
        <f t="array" aca="1" ref="B522" ca="1">IFERROR(DATE(RIGHT(INDIRECT("RC[-1]",0),4),LEFT(INDIRECT("RC[-1]",0),2),1), "")</f>
        <v/>
      </c>
      <c r="C522" s="214"/>
      <c r="E522" t="str" cm="1">
        <f t="array" aca="1" ref="E522" ca="1">IF(_xlfn.XLOOKUP(INDIRECT("RC[-1]", 0), CategoryNames, CategoryIdentifiers, "")&lt;&gt;"",INDIRECT("RC[-1]", 0),"")</f>
        <v/>
      </c>
      <c r="G522" t="str" cm="1">
        <f t="array" aca="1" ref="G522" ca="1">IF(COUNTIF($F$2:$F$1000,INDIRECT("RC[-2]",0))&gt;0,"",INDIRECT("RC[-2]",0))</f>
        <v/>
      </c>
    </row>
    <row r="523" spans="2:7" x14ac:dyDescent="0.25">
      <c r="B523" t="str" cm="1">
        <f t="array" aca="1" ref="B523" ca="1">IFERROR(DATE(RIGHT(INDIRECT("RC[-1]",0),4),LEFT(INDIRECT("RC[-1]",0),2),1), "")</f>
        <v/>
      </c>
      <c r="C523" s="214"/>
      <c r="E523" t="str" cm="1">
        <f t="array" aca="1" ref="E523" ca="1">IF(_xlfn.XLOOKUP(INDIRECT("RC[-1]", 0), CategoryNames, CategoryIdentifiers, "")&lt;&gt;"",INDIRECT("RC[-1]", 0),"")</f>
        <v/>
      </c>
      <c r="G523" t="str" cm="1">
        <f t="array" aca="1" ref="G523" ca="1">IF(COUNTIF($F$2:$F$1000,INDIRECT("RC[-2]",0))&gt;0,"",INDIRECT("RC[-2]",0))</f>
        <v/>
      </c>
    </row>
    <row r="524" spans="2:7" x14ac:dyDescent="0.25">
      <c r="B524" t="str" cm="1">
        <f t="array" aca="1" ref="B524" ca="1">IFERROR(DATE(RIGHT(INDIRECT("RC[-1]",0),4),LEFT(INDIRECT("RC[-1]",0),2),1), "")</f>
        <v/>
      </c>
      <c r="C524" s="214"/>
      <c r="E524" t="str" cm="1">
        <f t="array" aca="1" ref="E524" ca="1">IF(_xlfn.XLOOKUP(INDIRECT("RC[-1]", 0), CategoryNames, CategoryIdentifiers, "")&lt;&gt;"",INDIRECT("RC[-1]", 0),"")</f>
        <v/>
      </c>
      <c r="G524" t="str" cm="1">
        <f t="array" aca="1" ref="G524" ca="1">IF(COUNTIF($F$2:$F$1000,INDIRECT("RC[-2]",0))&gt;0,"",INDIRECT("RC[-2]",0))</f>
        <v/>
      </c>
    </row>
    <row r="525" spans="2:7" x14ac:dyDescent="0.25">
      <c r="B525" t="str" cm="1">
        <f t="array" aca="1" ref="B525" ca="1">IFERROR(DATE(RIGHT(INDIRECT("RC[-1]",0),4),LEFT(INDIRECT("RC[-1]",0),2),1), "")</f>
        <v/>
      </c>
      <c r="C525" s="214"/>
      <c r="E525" t="str" cm="1">
        <f t="array" aca="1" ref="E525" ca="1">IF(_xlfn.XLOOKUP(INDIRECT("RC[-1]", 0), CategoryNames, CategoryIdentifiers, "")&lt;&gt;"",INDIRECT("RC[-1]", 0),"")</f>
        <v/>
      </c>
      <c r="G525" t="str" cm="1">
        <f t="array" aca="1" ref="G525" ca="1">IF(COUNTIF($F$2:$F$1000,INDIRECT("RC[-2]",0))&gt;0,"",INDIRECT("RC[-2]",0))</f>
        <v/>
      </c>
    </row>
    <row r="526" spans="2:7" x14ac:dyDescent="0.25">
      <c r="B526" t="str" cm="1">
        <f t="array" aca="1" ref="B526" ca="1">IFERROR(DATE(RIGHT(INDIRECT("RC[-1]",0),4),LEFT(INDIRECT("RC[-1]",0),2),1), "")</f>
        <v/>
      </c>
      <c r="C526" s="214"/>
      <c r="E526" t="str" cm="1">
        <f t="array" aca="1" ref="E526" ca="1">IF(_xlfn.XLOOKUP(INDIRECT("RC[-1]", 0), CategoryNames, CategoryIdentifiers, "")&lt;&gt;"",INDIRECT("RC[-1]", 0),"")</f>
        <v/>
      </c>
      <c r="G526" t="str" cm="1">
        <f t="array" aca="1" ref="G526" ca="1">IF(COUNTIF($F$2:$F$1000,INDIRECT("RC[-2]",0))&gt;0,"",INDIRECT("RC[-2]",0))</f>
        <v/>
      </c>
    </row>
    <row r="527" spans="2:7" x14ac:dyDescent="0.25">
      <c r="B527" t="str" cm="1">
        <f t="array" aca="1" ref="B527" ca="1">IFERROR(DATE(RIGHT(INDIRECT("RC[-1]",0),4),LEFT(INDIRECT("RC[-1]",0),2),1), "")</f>
        <v/>
      </c>
      <c r="C527" s="214"/>
      <c r="E527" t="str" cm="1">
        <f t="array" aca="1" ref="E527" ca="1">IF(_xlfn.XLOOKUP(INDIRECT("RC[-1]", 0), CategoryNames, CategoryIdentifiers, "")&lt;&gt;"",INDIRECT("RC[-1]", 0),"")</f>
        <v/>
      </c>
      <c r="G527" t="str" cm="1">
        <f t="array" aca="1" ref="G527" ca="1">IF(COUNTIF($F$2:$F$1000,INDIRECT("RC[-2]",0))&gt;0,"",INDIRECT("RC[-2]",0))</f>
        <v/>
      </c>
    </row>
    <row r="528" spans="2:7" x14ac:dyDescent="0.25">
      <c r="B528" t="str" cm="1">
        <f t="array" aca="1" ref="B528" ca="1">IFERROR(DATE(RIGHT(INDIRECT("RC[-1]",0),4),LEFT(INDIRECT("RC[-1]",0),2),1), "")</f>
        <v/>
      </c>
      <c r="C528" s="214"/>
      <c r="E528" t="str" cm="1">
        <f t="array" aca="1" ref="E528" ca="1">IF(_xlfn.XLOOKUP(INDIRECT("RC[-1]", 0), CategoryNames, CategoryIdentifiers, "")&lt;&gt;"",INDIRECT("RC[-1]", 0),"")</f>
        <v/>
      </c>
      <c r="G528" t="str" cm="1">
        <f t="array" aca="1" ref="G528" ca="1">IF(COUNTIF($F$2:$F$1000,INDIRECT("RC[-2]",0))&gt;0,"",INDIRECT("RC[-2]",0))</f>
        <v/>
      </c>
    </row>
    <row r="529" spans="2:7" x14ac:dyDescent="0.25">
      <c r="B529" t="str" cm="1">
        <f t="array" aca="1" ref="B529" ca="1">IFERROR(DATE(RIGHT(INDIRECT("RC[-1]",0),4),LEFT(INDIRECT("RC[-1]",0),2),1), "")</f>
        <v/>
      </c>
      <c r="C529" s="214"/>
      <c r="E529" t="str" cm="1">
        <f t="array" aca="1" ref="E529" ca="1">IF(_xlfn.XLOOKUP(INDIRECT("RC[-1]", 0), CategoryNames, CategoryIdentifiers, "")&lt;&gt;"",INDIRECT("RC[-1]", 0),"")</f>
        <v/>
      </c>
      <c r="G529" t="str" cm="1">
        <f t="array" aca="1" ref="G529" ca="1">IF(COUNTIF($F$2:$F$1000,INDIRECT("RC[-2]",0))&gt;0,"",INDIRECT("RC[-2]",0))</f>
        <v/>
      </c>
    </row>
    <row r="530" spans="2:7" x14ac:dyDescent="0.25">
      <c r="B530" t="str" cm="1">
        <f t="array" aca="1" ref="B530" ca="1">IFERROR(DATE(RIGHT(INDIRECT("RC[-1]",0),4),LEFT(INDIRECT("RC[-1]",0),2),1), "")</f>
        <v/>
      </c>
      <c r="C530" s="214"/>
      <c r="E530" t="str" cm="1">
        <f t="array" aca="1" ref="E530" ca="1">IF(_xlfn.XLOOKUP(INDIRECT("RC[-1]", 0), CategoryNames, CategoryIdentifiers, "")&lt;&gt;"",INDIRECT("RC[-1]", 0),"")</f>
        <v/>
      </c>
      <c r="G530" t="str" cm="1">
        <f t="array" aca="1" ref="G530" ca="1">IF(COUNTIF($F$2:$F$1000,INDIRECT("RC[-2]",0))&gt;0,"",INDIRECT("RC[-2]",0))</f>
        <v/>
      </c>
    </row>
    <row r="531" spans="2:7" x14ac:dyDescent="0.25">
      <c r="B531" t="str" cm="1">
        <f t="array" aca="1" ref="B531" ca="1">IFERROR(DATE(RIGHT(INDIRECT("RC[-1]",0),4),LEFT(INDIRECT("RC[-1]",0),2),1), "")</f>
        <v/>
      </c>
      <c r="C531" s="214"/>
      <c r="E531" t="str" cm="1">
        <f t="array" aca="1" ref="E531" ca="1">IF(_xlfn.XLOOKUP(INDIRECT("RC[-1]", 0), CategoryNames, CategoryIdentifiers, "")&lt;&gt;"",INDIRECT("RC[-1]", 0),"")</f>
        <v/>
      </c>
      <c r="G531" t="str" cm="1">
        <f t="array" aca="1" ref="G531" ca="1">IF(COUNTIF($F$2:$F$1000,INDIRECT("RC[-2]",0))&gt;0,"",INDIRECT("RC[-2]",0))</f>
        <v/>
      </c>
    </row>
    <row r="532" spans="2:7" x14ac:dyDescent="0.25">
      <c r="B532" t="str" cm="1">
        <f t="array" aca="1" ref="B532" ca="1">IFERROR(DATE(RIGHT(INDIRECT("RC[-1]",0),4),LEFT(INDIRECT("RC[-1]",0),2),1), "")</f>
        <v/>
      </c>
      <c r="C532" s="214"/>
      <c r="E532" t="str" cm="1">
        <f t="array" aca="1" ref="E532" ca="1">IF(_xlfn.XLOOKUP(INDIRECT("RC[-1]", 0), CategoryNames, CategoryIdentifiers, "")&lt;&gt;"",INDIRECT("RC[-1]", 0),"")</f>
        <v/>
      </c>
      <c r="G532" t="str" cm="1">
        <f t="array" aca="1" ref="G532" ca="1">IF(COUNTIF($F$2:$F$1000,INDIRECT("RC[-2]",0))&gt;0,"",INDIRECT("RC[-2]",0))</f>
        <v/>
      </c>
    </row>
    <row r="533" spans="2:7" x14ac:dyDescent="0.25">
      <c r="B533" t="str" cm="1">
        <f t="array" aca="1" ref="B533" ca="1">IFERROR(DATE(RIGHT(INDIRECT("RC[-1]",0),4),LEFT(INDIRECT("RC[-1]",0),2),1), "")</f>
        <v/>
      </c>
      <c r="C533" s="214"/>
      <c r="E533" t="str" cm="1">
        <f t="array" aca="1" ref="E533" ca="1">IF(_xlfn.XLOOKUP(INDIRECT("RC[-1]", 0), CategoryNames, CategoryIdentifiers, "")&lt;&gt;"",INDIRECT("RC[-1]", 0),"")</f>
        <v/>
      </c>
      <c r="G533" t="str" cm="1">
        <f t="array" aca="1" ref="G533" ca="1">IF(COUNTIF($F$2:$F$1000,INDIRECT("RC[-2]",0))&gt;0,"",INDIRECT("RC[-2]",0))</f>
        <v/>
      </c>
    </row>
    <row r="534" spans="2:7" x14ac:dyDescent="0.25">
      <c r="B534" t="str" cm="1">
        <f t="array" aca="1" ref="B534" ca="1">IFERROR(DATE(RIGHT(INDIRECT("RC[-1]",0),4),LEFT(INDIRECT("RC[-1]",0),2),1), "")</f>
        <v/>
      </c>
      <c r="C534" s="214"/>
      <c r="E534" t="str" cm="1">
        <f t="array" aca="1" ref="E534" ca="1">IF(_xlfn.XLOOKUP(INDIRECT("RC[-1]", 0), CategoryNames, CategoryIdentifiers, "")&lt;&gt;"",INDIRECT("RC[-1]", 0),"")</f>
        <v/>
      </c>
      <c r="G534" t="str" cm="1">
        <f t="array" aca="1" ref="G534" ca="1">IF(COUNTIF($F$2:$F$1000,INDIRECT("RC[-2]",0))&gt;0,"",INDIRECT("RC[-2]",0))</f>
        <v/>
      </c>
    </row>
    <row r="535" spans="2:7" x14ac:dyDescent="0.25">
      <c r="B535" t="str" cm="1">
        <f t="array" aca="1" ref="B535" ca="1">IFERROR(DATE(RIGHT(INDIRECT("RC[-1]",0),4),LEFT(INDIRECT("RC[-1]",0),2),1), "")</f>
        <v/>
      </c>
      <c r="C535" s="214"/>
      <c r="E535" t="str" cm="1">
        <f t="array" aca="1" ref="E535" ca="1">IF(_xlfn.XLOOKUP(INDIRECT("RC[-1]", 0), CategoryNames, CategoryIdentifiers, "")&lt;&gt;"",INDIRECT("RC[-1]", 0),"")</f>
        <v/>
      </c>
      <c r="G535" t="str" cm="1">
        <f t="array" aca="1" ref="G535" ca="1">IF(COUNTIF($F$2:$F$1000,INDIRECT("RC[-2]",0))&gt;0,"",INDIRECT("RC[-2]",0))</f>
        <v/>
      </c>
    </row>
    <row r="536" spans="2:7" x14ac:dyDescent="0.25">
      <c r="B536" t="str" cm="1">
        <f t="array" aca="1" ref="B536" ca="1">IFERROR(DATE(RIGHT(INDIRECT("RC[-1]",0),4),LEFT(INDIRECT("RC[-1]",0),2),1), "")</f>
        <v/>
      </c>
      <c r="C536" s="214"/>
      <c r="E536" t="str" cm="1">
        <f t="array" aca="1" ref="E536" ca="1">IF(_xlfn.XLOOKUP(INDIRECT("RC[-1]", 0), CategoryNames, CategoryIdentifiers, "")&lt;&gt;"",INDIRECT("RC[-1]", 0),"")</f>
        <v/>
      </c>
      <c r="G536" t="str" cm="1">
        <f t="array" aca="1" ref="G536" ca="1">IF(COUNTIF($F$2:$F$1000,INDIRECT("RC[-2]",0))&gt;0,"",INDIRECT("RC[-2]",0))</f>
        <v/>
      </c>
    </row>
    <row r="537" spans="2:7" x14ac:dyDescent="0.25">
      <c r="B537" t="str" cm="1">
        <f t="array" aca="1" ref="B537" ca="1">IFERROR(DATE(RIGHT(INDIRECT("RC[-1]",0),4),LEFT(INDIRECT("RC[-1]",0),2),1), "")</f>
        <v/>
      </c>
      <c r="C537" s="214"/>
      <c r="E537" t="str" cm="1">
        <f t="array" aca="1" ref="E537" ca="1">IF(_xlfn.XLOOKUP(INDIRECT("RC[-1]", 0), CategoryNames, CategoryIdentifiers, "")&lt;&gt;"",INDIRECT("RC[-1]", 0),"")</f>
        <v/>
      </c>
      <c r="G537" t="str" cm="1">
        <f t="array" aca="1" ref="G537" ca="1">IF(COUNTIF($F$2:$F$1000,INDIRECT("RC[-2]",0))&gt;0,"",INDIRECT("RC[-2]",0))</f>
        <v/>
      </c>
    </row>
    <row r="538" spans="2:7" x14ac:dyDescent="0.25">
      <c r="B538" t="str" cm="1">
        <f t="array" aca="1" ref="B538" ca="1">IFERROR(DATE(RIGHT(INDIRECT("RC[-1]",0),4),LEFT(INDIRECT("RC[-1]",0),2),1), "")</f>
        <v/>
      </c>
      <c r="C538" s="214"/>
      <c r="E538" t="str" cm="1">
        <f t="array" aca="1" ref="E538" ca="1">IF(_xlfn.XLOOKUP(INDIRECT("RC[-1]", 0), CategoryNames, CategoryIdentifiers, "")&lt;&gt;"",INDIRECT("RC[-1]", 0),"")</f>
        <v/>
      </c>
      <c r="G538" t="str" cm="1">
        <f t="array" aca="1" ref="G538" ca="1">IF(COUNTIF($F$2:$F$1000,INDIRECT("RC[-2]",0))&gt;0,"",INDIRECT("RC[-2]",0))</f>
        <v/>
      </c>
    </row>
    <row r="539" spans="2:7" x14ac:dyDescent="0.25">
      <c r="B539" t="str" cm="1">
        <f t="array" aca="1" ref="B539" ca="1">IFERROR(DATE(RIGHT(INDIRECT("RC[-1]",0),4),LEFT(INDIRECT("RC[-1]",0),2),1), "")</f>
        <v/>
      </c>
      <c r="C539" s="214"/>
      <c r="E539" t="str" cm="1">
        <f t="array" aca="1" ref="E539" ca="1">IF(_xlfn.XLOOKUP(INDIRECT("RC[-1]", 0), CategoryNames, CategoryIdentifiers, "")&lt;&gt;"",INDIRECT("RC[-1]", 0),"")</f>
        <v/>
      </c>
      <c r="G539" t="str" cm="1">
        <f t="array" aca="1" ref="G539" ca="1">IF(COUNTIF($F$2:$F$1000,INDIRECT("RC[-2]",0))&gt;0,"",INDIRECT("RC[-2]",0))</f>
        <v/>
      </c>
    </row>
    <row r="540" spans="2:7" x14ac:dyDescent="0.25">
      <c r="B540" t="str" cm="1">
        <f t="array" aca="1" ref="B540" ca="1">IFERROR(DATE(RIGHT(INDIRECT("RC[-1]",0),4),LEFT(INDIRECT("RC[-1]",0),2),1), "")</f>
        <v/>
      </c>
      <c r="C540" s="214"/>
      <c r="E540" t="str" cm="1">
        <f t="array" aca="1" ref="E540" ca="1">IF(_xlfn.XLOOKUP(INDIRECT("RC[-1]", 0), CategoryNames, CategoryIdentifiers, "")&lt;&gt;"",INDIRECT("RC[-1]", 0),"")</f>
        <v/>
      </c>
      <c r="G540" t="str" cm="1">
        <f t="array" aca="1" ref="G540" ca="1">IF(COUNTIF($F$2:$F$1000,INDIRECT("RC[-2]",0))&gt;0,"",INDIRECT("RC[-2]",0))</f>
        <v/>
      </c>
    </row>
    <row r="541" spans="2:7" x14ac:dyDescent="0.25">
      <c r="B541" t="str" cm="1">
        <f t="array" aca="1" ref="B541" ca="1">IFERROR(DATE(RIGHT(INDIRECT("RC[-1]",0),4),LEFT(INDIRECT("RC[-1]",0),2),1), "")</f>
        <v/>
      </c>
      <c r="C541" s="214"/>
      <c r="E541" t="str" cm="1">
        <f t="array" aca="1" ref="E541" ca="1">IF(_xlfn.XLOOKUP(INDIRECT("RC[-1]", 0), CategoryNames, CategoryIdentifiers, "")&lt;&gt;"",INDIRECT("RC[-1]", 0),"")</f>
        <v/>
      </c>
      <c r="G541" t="str" cm="1">
        <f t="array" aca="1" ref="G541" ca="1">IF(COUNTIF($F$2:$F$1000,INDIRECT("RC[-2]",0))&gt;0,"",INDIRECT("RC[-2]",0))</f>
        <v/>
      </c>
    </row>
    <row r="542" spans="2:7" x14ac:dyDescent="0.25">
      <c r="B542" t="str" cm="1">
        <f t="array" aca="1" ref="B542" ca="1">IFERROR(DATE(RIGHT(INDIRECT("RC[-1]",0),4),LEFT(INDIRECT("RC[-1]",0),2),1), "")</f>
        <v/>
      </c>
      <c r="C542" s="214"/>
      <c r="E542" t="str" cm="1">
        <f t="array" aca="1" ref="E542" ca="1">IF(_xlfn.XLOOKUP(INDIRECT("RC[-1]", 0), CategoryNames, CategoryIdentifiers, "")&lt;&gt;"",INDIRECT("RC[-1]", 0),"")</f>
        <v/>
      </c>
      <c r="G542" t="str" cm="1">
        <f t="array" aca="1" ref="G542" ca="1">IF(COUNTIF($F$2:$F$1000,INDIRECT("RC[-2]",0))&gt;0,"",INDIRECT("RC[-2]",0))</f>
        <v/>
      </c>
    </row>
    <row r="543" spans="2:7" x14ac:dyDescent="0.25">
      <c r="B543" t="str" cm="1">
        <f t="array" aca="1" ref="B543" ca="1">IFERROR(DATE(RIGHT(INDIRECT("RC[-1]",0),4),LEFT(INDIRECT("RC[-1]",0),2),1), "")</f>
        <v/>
      </c>
      <c r="C543" s="214"/>
      <c r="E543" t="str" cm="1">
        <f t="array" aca="1" ref="E543" ca="1">IF(_xlfn.XLOOKUP(INDIRECT("RC[-1]", 0), CategoryNames, CategoryIdentifiers, "")&lt;&gt;"",INDIRECT("RC[-1]", 0),"")</f>
        <v/>
      </c>
      <c r="G543" t="str" cm="1">
        <f t="array" aca="1" ref="G543" ca="1">IF(COUNTIF($F$2:$F$1000,INDIRECT("RC[-2]",0))&gt;0,"",INDIRECT("RC[-2]",0))</f>
        <v/>
      </c>
    </row>
    <row r="544" spans="2:7" x14ac:dyDescent="0.25">
      <c r="B544" t="str" cm="1">
        <f t="array" aca="1" ref="B544" ca="1">IFERROR(DATE(RIGHT(INDIRECT("RC[-1]",0),4),LEFT(INDIRECT("RC[-1]",0),2),1), "")</f>
        <v/>
      </c>
      <c r="C544" s="214"/>
      <c r="E544" t="str" cm="1">
        <f t="array" aca="1" ref="E544" ca="1">IF(_xlfn.XLOOKUP(INDIRECT("RC[-1]", 0), CategoryNames, CategoryIdentifiers, "")&lt;&gt;"",INDIRECT("RC[-1]", 0),"")</f>
        <v/>
      </c>
      <c r="G544" t="str" cm="1">
        <f t="array" aca="1" ref="G544" ca="1">IF(COUNTIF($F$2:$F$1000,INDIRECT("RC[-2]",0))&gt;0,"",INDIRECT("RC[-2]",0))</f>
        <v/>
      </c>
    </row>
    <row r="545" spans="2:7" x14ac:dyDescent="0.25">
      <c r="B545" t="str" cm="1">
        <f t="array" aca="1" ref="B545" ca="1">IFERROR(DATE(RIGHT(INDIRECT("RC[-1]",0),4),LEFT(INDIRECT("RC[-1]",0),2),1), "")</f>
        <v/>
      </c>
      <c r="C545" s="214"/>
      <c r="E545" t="str" cm="1">
        <f t="array" aca="1" ref="E545" ca="1">IF(_xlfn.XLOOKUP(INDIRECT("RC[-1]", 0), CategoryNames, CategoryIdentifiers, "")&lt;&gt;"",INDIRECT("RC[-1]", 0),"")</f>
        <v/>
      </c>
      <c r="G545" t="str" cm="1">
        <f t="array" aca="1" ref="G545" ca="1">IF(COUNTIF($F$2:$F$1000,INDIRECT("RC[-2]",0))&gt;0,"",INDIRECT("RC[-2]",0))</f>
        <v/>
      </c>
    </row>
    <row r="546" spans="2:7" x14ac:dyDescent="0.25">
      <c r="B546" t="str" cm="1">
        <f t="array" aca="1" ref="B546" ca="1">IFERROR(DATE(RIGHT(INDIRECT("RC[-1]",0),4),LEFT(INDIRECT("RC[-1]",0),2),1), "")</f>
        <v/>
      </c>
      <c r="C546" s="214"/>
      <c r="E546" t="str" cm="1">
        <f t="array" aca="1" ref="E546" ca="1">IF(_xlfn.XLOOKUP(INDIRECT("RC[-1]", 0), CategoryNames, CategoryIdentifiers, "")&lt;&gt;"",INDIRECT("RC[-1]", 0),"")</f>
        <v/>
      </c>
      <c r="G546" t="str" cm="1">
        <f t="array" aca="1" ref="G546" ca="1">IF(COUNTIF($F$2:$F$1000,INDIRECT("RC[-2]",0))&gt;0,"",INDIRECT("RC[-2]",0))</f>
        <v/>
      </c>
    </row>
    <row r="547" spans="2:7" x14ac:dyDescent="0.25">
      <c r="B547" t="str" cm="1">
        <f t="array" aca="1" ref="B547" ca="1">IFERROR(DATE(RIGHT(INDIRECT("RC[-1]",0),4),LEFT(INDIRECT("RC[-1]",0),2),1), "")</f>
        <v/>
      </c>
      <c r="C547" s="214"/>
      <c r="E547" t="str" cm="1">
        <f t="array" aca="1" ref="E547" ca="1">IF(_xlfn.XLOOKUP(INDIRECT("RC[-1]", 0), CategoryNames, CategoryIdentifiers, "")&lt;&gt;"",INDIRECT("RC[-1]", 0),"")</f>
        <v/>
      </c>
      <c r="G547" t="str" cm="1">
        <f t="array" aca="1" ref="G547" ca="1">IF(COUNTIF($F$2:$F$1000,INDIRECT("RC[-2]",0))&gt;0,"",INDIRECT("RC[-2]",0))</f>
        <v/>
      </c>
    </row>
    <row r="548" spans="2:7" x14ac:dyDescent="0.25">
      <c r="B548" t="str" cm="1">
        <f t="array" aca="1" ref="B548" ca="1">IFERROR(DATE(RIGHT(INDIRECT("RC[-1]",0),4),LEFT(INDIRECT("RC[-1]",0),2),1), "")</f>
        <v/>
      </c>
      <c r="C548" s="214"/>
      <c r="E548" t="str" cm="1">
        <f t="array" aca="1" ref="E548" ca="1">IF(_xlfn.XLOOKUP(INDIRECT("RC[-1]", 0), CategoryNames, CategoryIdentifiers, "")&lt;&gt;"",INDIRECT("RC[-1]", 0),"")</f>
        <v/>
      </c>
      <c r="G548" t="str" cm="1">
        <f t="array" aca="1" ref="G548" ca="1">IF(COUNTIF($F$2:$F$1000,INDIRECT("RC[-2]",0))&gt;0,"",INDIRECT("RC[-2]",0))</f>
        <v/>
      </c>
    </row>
    <row r="549" spans="2:7" x14ac:dyDescent="0.25">
      <c r="B549" t="str" cm="1">
        <f t="array" aca="1" ref="B549" ca="1">IFERROR(DATE(RIGHT(INDIRECT("RC[-1]",0),4),LEFT(INDIRECT("RC[-1]",0),2),1), "")</f>
        <v/>
      </c>
      <c r="C549" s="214"/>
      <c r="E549" t="str" cm="1">
        <f t="array" aca="1" ref="E549" ca="1">IF(_xlfn.XLOOKUP(INDIRECT("RC[-1]", 0), CategoryNames, CategoryIdentifiers, "")&lt;&gt;"",INDIRECT("RC[-1]", 0),"")</f>
        <v/>
      </c>
      <c r="G549" t="str" cm="1">
        <f t="array" aca="1" ref="G549" ca="1">IF(COUNTIF($F$2:$F$1000,INDIRECT("RC[-2]",0))&gt;0,"",INDIRECT("RC[-2]",0))</f>
        <v/>
      </c>
    </row>
    <row r="550" spans="2:7" x14ac:dyDescent="0.25">
      <c r="B550" t="str" cm="1">
        <f t="array" aca="1" ref="B550" ca="1">IFERROR(DATE(RIGHT(INDIRECT("RC[-1]",0),4),LEFT(INDIRECT("RC[-1]",0),2),1), "")</f>
        <v/>
      </c>
      <c r="C550" s="214"/>
      <c r="E550" t="str" cm="1">
        <f t="array" aca="1" ref="E550" ca="1">IF(_xlfn.XLOOKUP(INDIRECT("RC[-1]", 0), CategoryNames, CategoryIdentifiers, "")&lt;&gt;"",INDIRECT("RC[-1]", 0),"")</f>
        <v/>
      </c>
      <c r="G550" t="str" cm="1">
        <f t="array" aca="1" ref="G550" ca="1">IF(COUNTIF($F$2:$F$1000,INDIRECT("RC[-2]",0))&gt;0,"",INDIRECT("RC[-2]",0))</f>
        <v/>
      </c>
    </row>
    <row r="551" spans="2:7" x14ac:dyDescent="0.25">
      <c r="B551" t="str" cm="1">
        <f t="array" aca="1" ref="B551" ca="1">IFERROR(DATE(RIGHT(INDIRECT("RC[-1]",0),4),LEFT(INDIRECT("RC[-1]",0),2),1), "")</f>
        <v/>
      </c>
      <c r="C551" s="214"/>
      <c r="E551" t="str" cm="1">
        <f t="array" aca="1" ref="E551" ca="1">IF(_xlfn.XLOOKUP(INDIRECT("RC[-1]", 0), CategoryNames, CategoryIdentifiers, "")&lt;&gt;"",INDIRECT("RC[-1]", 0),"")</f>
        <v/>
      </c>
      <c r="G551" t="str" cm="1">
        <f t="array" aca="1" ref="G551" ca="1">IF(COUNTIF($F$2:$F$1000,INDIRECT("RC[-2]",0))&gt;0,"",INDIRECT("RC[-2]",0))</f>
        <v/>
      </c>
    </row>
    <row r="552" spans="2:7" x14ac:dyDescent="0.25">
      <c r="B552" t="str" cm="1">
        <f t="array" aca="1" ref="B552" ca="1">IFERROR(DATE(RIGHT(INDIRECT("RC[-1]",0),4),LEFT(INDIRECT("RC[-1]",0),2),1), "")</f>
        <v/>
      </c>
      <c r="C552" s="214"/>
      <c r="E552" t="str" cm="1">
        <f t="array" aca="1" ref="E552" ca="1">IF(_xlfn.XLOOKUP(INDIRECT("RC[-1]", 0), CategoryNames, CategoryIdentifiers, "")&lt;&gt;"",INDIRECT("RC[-1]", 0),"")</f>
        <v/>
      </c>
      <c r="G552" t="str" cm="1">
        <f t="array" aca="1" ref="G552" ca="1">IF(COUNTIF($F$2:$F$1000,INDIRECT("RC[-2]",0))&gt;0,"",INDIRECT("RC[-2]",0))</f>
        <v/>
      </c>
    </row>
    <row r="553" spans="2:7" x14ac:dyDescent="0.25">
      <c r="B553" t="str" cm="1">
        <f t="array" aca="1" ref="B553" ca="1">IFERROR(DATE(RIGHT(INDIRECT("RC[-1]",0),4),LEFT(INDIRECT("RC[-1]",0),2),1), "")</f>
        <v/>
      </c>
      <c r="C553" s="214"/>
      <c r="E553" t="str" cm="1">
        <f t="array" aca="1" ref="E553" ca="1">IF(_xlfn.XLOOKUP(INDIRECT("RC[-1]", 0), CategoryNames, CategoryIdentifiers, "")&lt;&gt;"",INDIRECT("RC[-1]", 0),"")</f>
        <v/>
      </c>
      <c r="G553" t="str" cm="1">
        <f t="array" aca="1" ref="G553" ca="1">IF(COUNTIF($F$2:$F$1000,INDIRECT("RC[-2]",0))&gt;0,"",INDIRECT("RC[-2]",0))</f>
        <v/>
      </c>
    </row>
    <row r="554" spans="2:7" x14ac:dyDescent="0.25">
      <c r="B554" t="str" cm="1">
        <f t="array" aca="1" ref="B554" ca="1">IFERROR(DATE(RIGHT(INDIRECT("RC[-1]",0),4),LEFT(INDIRECT("RC[-1]",0),2),1), "")</f>
        <v/>
      </c>
      <c r="C554" s="214"/>
      <c r="E554" t="str" cm="1">
        <f t="array" aca="1" ref="E554" ca="1">IF(_xlfn.XLOOKUP(INDIRECT("RC[-1]", 0), CategoryNames, CategoryIdentifiers, "")&lt;&gt;"",INDIRECT("RC[-1]", 0),"")</f>
        <v/>
      </c>
      <c r="G554" t="str" cm="1">
        <f t="array" aca="1" ref="G554" ca="1">IF(COUNTIF($F$2:$F$1000,INDIRECT("RC[-2]",0))&gt;0,"",INDIRECT("RC[-2]",0))</f>
        <v/>
      </c>
    </row>
    <row r="555" spans="2:7" x14ac:dyDescent="0.25">
      <c r="B555" t="str" cm="1">
        <f t="array" aca="1" ref="B555" ca="1">IFERROR(DATE(RIGHT(INDIRECT("RC[-1]",0),4),LEFT(INDIRECT("RC[-1]",0),2),1), "")</f>
        <v/>
      </c>
      <c r="C555" s="214"/>
      <c r="E555" t="str" cm="1">
        <f t="array" aca="1" ref="E555" ca="1">IF(_xlfn.XLOOKUP(INDIRECT("RC[-1]", 0), CategoryNames, CategoryIdentifiers, "")&lt;&gt;"",INDIRECT("RC[-1]", 0),"")</f>
        <v/>
      </c>
      <c r="G555" t="str" cm="1">
        <f t="array" aca="1" ref="G555" ca="1">IF(COUNTIF($F$2:$F$1000,INDIRECT("RC[-2]",0))&gt;0,"",INDIRECT("RC[-2]",0))</f>
        <v/>
      </c>
    </row>
    <row r="556" spans="2:7" x14ac:dyDescent="0.25">
      <c r="B556" t="str" cm="1">
        <f t="array" aca="1" ref="B556" ca="1">IFERROR(DATE(RIGHT(INDIRECT("RC[-1]",0),4),LEFT(INDIRECT("RC[-1]",0),2),1), "")</f>
        <v/>
      </c>
      <c r="C556" s="214"/>
      <c r="E556" t="str" cm="1">
        <f t="array" aca="1" ref="E556" ca="1">IF(_xlfn.XLOOKUP(INDIRECT("RC[-1]", 0), CategoryNames, CategoryIdentifiers, "")&lt;&gt;"",INDIRECT("RC[-1]", 0),"")</f>
        <v/>
      </c>
      <c r="G556" t="str" cm="1">
        <f t="array" aca="1" ref="G556" ca="1">IF(COUNTIF($F$2:$F$1000,INDIRECT("RC[-2]",0))&gt;0,"",INDIRECT("RC[-2]",0))</f>
        <v/>
      </c>
    </row>
    <row r="557" spans="2:7" x14ac:dyDescent="0.25">
      <c r="B557" t="str" cm="1">
        <f t="array" aca="1" ref="B557" ca="1">IFERROR(DATE(RIGHT(INDIRECT("RC[-1]",0),4),LEFT(INDIRECT("RC[-1]",0),2),1), "")</f>
        <v/>
      </c>
      <c r="C557" s="214"/>
      <c r="E557" t="str" cm="1">
        <f t="array" aca="1" ref="E557" ca="1">IF(_xlfn.XLOOKUP(INDIRECT("RC[-1]", 0), CategoryNames, CategoryIdentifiers, "")&lt;&gt;"",INDIRECT("RC[-1]", 0),"")</f>
        <v/>
      </c>
      <c r="G557" t="str" cm="1">
        <f t="array" aca="1" ref="G557" ca="1">IF(COUNTIF($F$2:$F$1000,INDIRECT("RC[-2]",0))&gt;0,"",INDIRECT("RC[-2]",0))</f>
        <v/>
      </c>
    </row>
    <row r="558" spans="2:7" x14ac:dyDescent="0.25">
      <c r="B558" t="str" cm="1">
        <f t="array" aca="1" ref="B558" ca="1">IFERROR(DATE(RIGHT(INDIRECT("RC[-1]",0),4),LEFT(INDIRECT("RC[-1]",0),2),1), "")</f>
        <v/>
      </c>
      <c r="C558" s="214"/>
      <c r="E558" t="str" cm="1">
        <f t="array" aca="1" ref="E558" ca="1">IF(_xlfn.XLOOKUP(INDIRECT("RC[-1]", 0), CategoryNames, CategoryIdentifiers, "")&lt;&gt;"",INDIRECT("RC[-1]", 0),"")</f>
        <v/>
      </c>
      <c r="G558" t="str" cm="1">
        <f t="array" aca="1" ref="G558" ca="1">IF(COUNTIF($F$2:$F$1000,INDIRECT("RC[-2]",0))&gt;0,"",INDIRECT("RC[-2]",0))</f>
        <v/>
      </c>
    </row>
    <row r="559" spans="2:7" x14ac:dyDescent="0.25">
      <c r="B559" t="str" cm="1">
        <f t="array" aca="1" ref="B559" ca="1">IFERROR(DATE(RIGHT(INDIRECT("RC[-1]",0),4),LEFT(INDIRECT("RC[-1]",0),2),1), "")</f>
        <v/>
      </c>
      <c r="C559" s="214"/>
      <c r="E559" t="str" cm="1">
        <f t="array" aca="1" ref="E559" ca="1">IF(_xlfn.XLOOKUP(INDIRECT("RC[-1]", 0), CategoryNames, CategoryIdentifiers, "")&lt;&gt;"",INDIRECT("RC[-1]", 0),"")</f>
        <v/>
      </c>
      <c r="G559" t="str" cm="1">
        <f t="array" aca="1" ref="G559" ca="1">IF(COUNTIF($F$2:$F$1000,INDIRECT("RC[-2]",0))&gt;0,"",INDIRECT("RC[-2]",0))</f>
        <v/>
      </c>
    </row>
    <row r="560" spans="2:7" x14ac:dyDescent="0.25">
      <c r="B560" t="str" cm="1">
        <f t="array" aca="1" ref="B560" ca="1">IFERROR(DATE(RIGHT(INDIRECT("RC[-1]",0),4),LEFT(INDIRECT("RC[-1]",0),2),1), "")</f>
        <v/>
      </c>
      <c r="C560" s="214"/>
      <c r="E560" t="str" cm="1">
        <f t="array" aca="1" ref="E560" ca="1">IF(_xlfn.XLOOKUP(INDIRECT("RC[-1]", 0), CategoryNames, CategoryIdentifiers, "")&lt;&gt;"",INDIRECT("RC[-1]", 0),"")</f>
        <v/>
      </c>
      <c r="G560" t="str" cm="1">
        <f t="array" aca="1" ref="G560" ca="1">IF(COUNTIF($F$2:$F$1000,INDIRECT("RC[-2]",0))&gt;0,"",INDIRECT("RC[-2]",0))</f>
        <v/>
      </c>
    </row>
    <row r="561" spans="2:7" x14ac:dyDescent="0.25">
      <c r="B561" t="str" cm="1">
        <f t="array" aca="1" ref="B561" ca="1">IFERROR(DATE(RIGHT(INDIRECT("RC[-1]",0),4),LEFT(INDIRECT("RC[-1]",0),2),1), "")</f>
        <v/>
      </c>
      <c r="C561" s="214"/>
      <c r="E561" t="str" cm="1">
        <f t="array" aca="1" ref="E561" ca="1">IF(_xlfn.XLOOKUP(INDIRECT("RC[-1]", 0), CategoryNames, CategoryIdentifiers, "")&lt;&gt;"",INDIRECT("RC[-1]", 0),"")</f>
        <v/>
      </c>
      <c r="G561" t="str" cm="1">
        <f t="array" aca="1" ref="G561" ca="1">IF(COUNTIF($F$2:$F$1000,INDIRECT("RC[-2]",0))&gt;0,"",INDIRECT("RC[-2]",0))</f>
        <v/>
      </c>
    </row>
    <row r="562" spans="2:7" x14ac:dyDescent="0.25">
      <c r="B562" t="str" cm="1">
        <f t="array" aca="1" ref="B562" ca="1">IFERROR(DATE(RIGHT(INDIRECT("RC[-1]",0),4),LEFT(INDIRECT("RC[-1]",0),2),1), "")</f>
        <v/>
      </c>
      <c r="C562" s="214"/>
      <c r="E562" t="str" cm="1">
        <f t="array" aca="1" ref="E562" ca="1">IF(_xlfn.XLOOKUP(INDIRECT("RC[-1]", 0), CategoryNames, CategoryIdentifiers, "")&lt;&gt;"",INDIRECT("RC[-1]", 0),"")</f>
        <v/>
      </c>
      <c r="G562" t="str" cm="1">
        <f t="array" aca="1" ref="G562" ca="1">IF(COUNTIF($F$2:$F$1000,INDIRECT("RC[-2]",0))&gt;0,"",INDIRECT("RC[-2]",0))</f>
        <v/>
      </c>
    </row>
    <row r="563" spans="2:7" x14ac:dyDescent="0.25">
      <c r="B563" t="str" cm="1">
        <f t="array" aca="1" ref="B563" ca="1">IFERROR(DATE(RIGHT(INDIRECT("RC[-1]",0),4),LEFT(INDIRECT("RC[-1]",0),2),1), "")</f>
        <v/>
      </c>
      <c r="C563" s="214"/>
      <c r="E563" t="str" cm="1">
        <f t="array" aca="1" ref="E563" ca="1">IF(_xlfn.XLOOKUP(INDIRECT("RC[-1]", 0), CategoryNames, CategoryIdentifiers, "")&lt;&gt;"",INDIRECT("RC[-1]", 0),"")</f>
        <v/>
      </c>
      <c r="G563" t="str" cm="1">
        <f t="array" aca="1" ref="G563" ca="1">IF(COUNTIF($F$2:$F$1000,INDIRECT("RC[-2]",0))&gt;0,"",INDIRECT("RC[-2]",0))</f>
        <v/>
      </c>
    </row>
    <row r="564" spans="2:7" x14ac:dyDescent="0.25">
      <c r="B564" t="str" cm="1">
        <f t="array" aca="1" ref="B564" ca="1">IFERROR(DATE(RIGHT(INDIRECT("RC[-1]",0),4),LEFT(INDIRECT("RC[-1]",0),2),1), "")</f>
        <v/>
      </c>
      <c r="C564" s="214"/>
      <c r="E564" t="str" cm="1">
        <f t="array" aca="1" ref="E564" ca="1">IF(_xlfn.XLOOKUP(INDIRECT("RC[-1]", 0), CategoryNames, CategoryIdentifiers, "")&lt;&gt;"",INDIRECT("RC[-1]", 0),"")</f>
        <v/>
      </c>
      <c r="G564" t="str" cm="1">
        <f t="array" aca="1" ref="G564" ca="1">IF(COUNTIF($F$2:$F$1000,INDIRECT("RC[-2]",0))&gt;0,"",INDIRECT("RC[-2]",0))</f>
        <v/>
      </c>
    </row>
    <row r="565" spans="2:7" x14ac:dyDescent="0.25">
      <c r="B565" t="str" cm="1">
        <f t="array" aca="1" ref="B565" ca="1">IFERROR(DATE(RIGHT(INDIRECT("RC[-1]",0),4),LEFT(INDIRECT("RC[-1]",0),2),1), "")</f>
        <v/>
      </c>
      <c r="C565" s="214"/>
      <c r="E565" t="str" cm="1">
        <f t="array" aca="1" ref="E565" ca="1">IF(_xlfn.XLOOKUP(INDIRECT("RC[-1]", 0), CategoryNames, CategoryIdentifiers, "")&lt;&gt;"",INDIRECT("RC[-1]", 0),"")</f>
        <v/>
      </c>
      <c r="G565" t="str" cm="1">
        <f t="array" aca="1" ref="G565" ca="1">IF(COUNTIF($F$2:$F$1000,INDIRECT("RC[-2]",0))&gt;0,"",INDIRECT("RC[-2]",0))</f>
        <v/>
      </c>
    </row>
    <row r="566" spans="2:7" x14ac:dyDescent="0.25">
      <c r="B566" t="str" cm="1">
        <f t="array" aca="1" ref="B566" ca="1">IFERROR(DATE(RIGHT(INDIRECT("RC[-1]",0),4),LEFT(INDIRECT("RC[-1]",0),2),1), "")</f>
        <v/>
      </c>
      <c r="C566" s="214"/>
      <c r="E566" t="str" cm="1">
        <f t="array" aca="1" ref="E566" ca="1">IF(_xlfn.XLOOKUP(INDIRECT("RC[-1]", 0), CategoryNames, CategoryIdentifiers, "")&lt;&gt;"",INDIRECT("RC[-1]", 0),"")</f>
        <v/>
      </c>
      <c r="G566" t="str" cm="1">
        <f t="array" aca="1" ref="G566" ca="1">IF(COUNTIF($F$2:$F$1000,INDIRECT("RC[-2]",0))&gt;0,"",INDIRECT("RC[-2]",0))</f>
        <v/>
      </c>
    </row>
    <row r="567" spans="2:7" x14ac:dyDescent="0.25">
      <c r="B567" t="str" cm="1">
        <f t="array" aca="1" ref="B567" ca="1">IFERROR(DATE(RIGHT(INDIRECT("RC[-1]",0),4),LEFT(INDIRECT("RC[-1]",0),2),1), "")</f>
        <v/>
      </c>
      <c r="C567" s="214"/>
      <c r="E567" t="str" cm="1">
        <f t="array" aca="1" ref="E567" ca="1">IF(_xlfn.XLOOKUP(INDIRECT("RC[-1]", 0), CategoryNames, CategoryIdentifiers, "")&lt;&gt;"",INDIRECT("RC[-1]", 0),"")</f>
        <v/>
      </c>
      <c r="G567" t="str" cm="1">
        <f t="array" aca="1" ref="G567" ca="1">IF(COUNTIF($F$2:$F$1000,INDIRECT("RC[-2]",0))&gt;0,"",INDIRECT("RC[-2]",0))</f>
        <v/>
      </c>
    </row>
    <row r="568" spans="2:7" x14ac:dyDescent="0.25">
      <c r="B568" t="str" cm="1">
        <f t="array" aca="1" ref="B568" ca="1">IFERROR(DATE(RIGHT(INDIRECT("RC[-1]",0),4),LEFT(INDIRECT("RC[-1]",0),2),1), "")</f>
        <v/>
      </c>
      <c r="C568" s="214"/>
      <c r="E568" t="str" cm="1">
        <f t="array" aca="1" ref="E568" ca="1">IF(_xlfn.XLOOKUP(INDIRECT("RC[-1]", 0), CategoryNames, CategoryIdentifiers, "")&lt;&gt;"",INDIRECT("RC[-1]", 0),"")</f>
        <v/>
      </c>
      <c r="G568" t="str" cm="1">
        <f t="array" aca="1" ref="G568" ca="1">IF(COUNTIF($F$2:$F$1000,INDIRECT("RC[-2]",0))&gt;0,"",INDIRECT("RC[-2]",0))</f>
        <v/>
      </c>
    </row>
    <row r="569" spans="2:7" x14ac:dyDescent="0.25">
      <c r="B569" t="str" cm="1">
        <f t="array" aca="1" ref="B569" ca="1">IFERROR(DATE(RIGHT(INDIRECT("RC[-1]",0),4),LEFT(INDIRECT("RC[-1]",0),2),1), "")</f>
        <v/>
      </c>
      <c r="C569" s="214"/>
      <c r="E569" t="str" cm="1">
        <f t="array" aca="1" ref="E569" ca="1">IF(_xlfn.XLOOKUP(INDIRECT("RC[-1]", 0), CategoryNames, CategoryIdentifiers, "")&lt;&gt;"",INDIRECT("RC[-1]", 0),"")</f>
        <v/>
      </c>
      <c r="G569" t="str" cm="1">
        <f t="array" aca="1" ref="G569" ca="1">IF(COUNTIF($F$2:$F$1000,INDIRECT("RC[-2]",0))&gt;0,"",INDIRECT("RC[-2]",0))</f>
        <v/>
      </c>
    </row>
    <row r="570" spans="2:7" x14ac:dyDescent="0.25">
      <c r="B570" t="str" cm="1">
        <f t="array" aca="1" ref="B570" ca="1">IFERROR(DATE(RIGHT(INDIRECT("RC[-1]",0),4),LEFT(INDIRECT("RC[-1]",0),2),1), "")</f>
        <v/>
      </c>
      <c r="C570" s="214"/>
      <c r="E570" t="str" cm="1">
        <f t="array" aca="1" ref="E570" ca="1">IF(_xlfn.XLOOKUP(INDIRECT("RC[-1]", 0), CategoryNames, CategoryIdentifiers, "")&lt;&gt;"",INDIRECT("RC[-1]", 0),"")</f>
        <v/>
      </c>
      <c r="G570" t="str" cm="1">
        <f t="array" aca="1" ref="G570" ca="1">IF(COUNTIF($F$2:$F$1000,INDIRECT("RC[-2]",0))&gt;0,"",INDIRECT("RC[-2]",0))</f>
        <v/>
      </c>
    </row>
    <row r="571" spans="2:7" x14ac:dyDescent="0.25">
      <c r="B571" t="str" cm="1">
        <f t="array" aca="1" ref="B571" ca="1">IFERROR(DATE(RIGHT(INDIRECT("RC[-1]",0),4),LEFT(INDIRECT("RC[-1]",0),2),1), "")</f>
        <v/>
      </c>
      <c r="C571" s="214"/>
      <c r="E571" t="str" cm="1">
        <f t="array" aca="1" ref="E571" ca="1">IF(_xlfn.XLOOKUP(INDIRECT("RC[-1]", 0), CategoryNames, CategoryIdentifiers, "")&lt;&gt;"",INDIRECT("RC[-1]", 0),"")</f>
        <v/>
      </c>
      <c r="G571" t="str" cm="1">
        <f t="array" aca="1" ref="G571" ca="1">IF(COUNTIF($F$2:$F$1000,INDIRECT("RC[-2]",0))&gt;0,"",INDIRECT("RC[-2]",0))</f>
        <v/>
      </c>
    </row>
    <row r="572" spans="2:7" x14ac:dyDescent="0.25">
      <c r="B572" t="str" cm="1">
        <f t="array" aca="1" ref="B572" ca="1">IFERROR(DATE(RIGHT(INDIRECT("RC[-1]",0),4),LEFT(INDIRECT("RC[-1]",0),2),1), "")</f>
        <v/>
      </c>
      <c r="C572" s="214"/>
      <c r="E572" t="str" cm="1">
        <f t="array" aca="1" ref="E572" ca="1">IF(_xlfn.XLOOKUP(INDIRECT("RC[-1]", 0), CategoryNames, CategoryIdentifiers, "")&lt;&gt;"",INDIRECT("RC[-1]", 0),"")</f>
        <v/>
      </c>
      <c r="G572" t="str" cm="1">
        <f t="array" aca="1" ref="G572" ca="1">IF(COUNTIF($F$2:$F$1000,INDIRECT("RC[-2]",0))&gt;0,"",INDIRECT("RC[-2]",0))</f>
        <v/>
      </c>
    </row>
    <row r="573" spans="2:7" x14ac:dyDescent="0.25">
      <c r="B573" t="str" cm="1">
        <f t="array" aca="1" ref="B573" ca="1">IFERROR(DATE(RIGHT(INDIRECT("RC[-1]",0),4),LEFT(INDIRECT("RC[-1]",0),2),1), "")</f>
        <v/>
      </c>
      <c r="C573" s="214"/>
      <c r="E573" t="str" cm="1">
        <f t="array" aca="1" ref="E573" ca="1">IF(_xlfn.XLOOKUP(INDIRECT("RC[-1]", 0), CategoryNames, CategoryIdentifiers, "")&lt;&gt;"",INDIRECT("RC[-1]", 0),"")</f>
        <v/>
      </c>
      <c r="G573" t="str" cm="1">
        <f t="array" aca="1" ref="G573" ca="1">IF(COUNTIF($F$2:$F$1000,INDIRECT("RC[-2]",0))&gt;0,"",INDIRECT("RC[-2]",0))</f>
        <v/>
      </c>
    </row>
    <row r="574" spans="2:7" x14ac:dyDescent="0.25">
      <c r="B574" t="str" cm="1">
        <f t="array" aca="1" ref="B574" ca="1">IFERROR(DATE(RIGHT(INDIRECT("RC[-1]",0),4),LEFT(INDIRECT("RC[-1]",0),2),1), "")</f>
        <v/>
      </c>
      <c r="C574" s="214"/>
      <c r="E574" t="str" cm="1">
        <f t="array" aca="1" ref="E574" ca="1">IF(_xlfn.XLOOKUP(INDIRECT("RC[-1]", 0), CategoryNames, CategoryIdentifiers, "")&lt;&gt;"",INDIRECT("RC[-1]", 0),"")</f>
        <v/>
      </c>
      <c r="G574" t="str" cm="1">
        <f t="array" aca="1" ref="G574" ca="1">IF(COUNTIF($F$2:$F$1000,INDIRECT("RC[-2]",0))&gt;0,"",INDIRECT("RC[-2]",0))</f>
        <v/>
      </c>
    </row>
    <row r="575" spans="2:7" x14ac:dyDescent="0.25">
      <c r="B575" t="str" cm="1">
        <f t="array" aca="1" ref="B575" ca="1">IFERROR(DATE(RIGHT(INDIRECT("RC[-1]",0),4),LEFT(INDIRECT("RC[-1]",0),2),1), "")</f>
        <v/>
      </c>
      <c r="C575" s="214"/>
      <c r="E575" t="str" cm="1">
        <f t="array" aca="1" ref="E575" ca="1">IF(_xlfn.XLOOKUP(INDIRECT("RC[-1]", 0), CategoryNames, CategoryIdentifiers, "")&lt;&gt;"",INDIRECT("RC[-1]", 0),"")</f>
        <v/>
      </c>
      <c r="G575" t="str" cm="1">
        <f t="array" aca="1" ref="G575" ca="1">IF(COUNTIF($F$2:$F$1000,INDIRECT("RC[-2]",0))&gt;0,"",INDIRECT("RC[-2]",0))</f>
        <v/>
      </c>
    </row>
    <row r="576" spans="2:7" x14ac:dyDescent="0.25">
      <c r="B576" t="str" cm="1">
        <f t="array" aca="1" ref="B576" ca="1">IFERROR(DATE(RIGHT(INDIRECT("RC[-1]",0),4),LEFT(INDIRECT("RC[-1]",0),2),1), "")</f>
        <v/>
      </c>
      <c r="C576" s="214"/>
      <c r="E576" t="str" cm="1">
        <f t="array" aca="1" ref="E576" ca="1">IF(_xlfn.XLOOKUP(INDIRECT("RC[-1]", 0), CategoryNames, CategoryIdentifiers, "")&lt;&gt;"",INDIRECT("RC[-1]", 0),"")</f>
        <v/>
      </c>
      <c r="G576" t="str" cm="1">
        <f t="array" aca="1" ref="G576" ca="1">IF(COUNTIF($F$2:$F$1000,INDIRECT("RC[-2]",0))&gt;0,"",INDIRECT("RC[-2]",0))</f>
        <v/>
      </c>
    </row>
    <row r="577" spans="2:7" x14ac:dyDescent="0.25">
      <c r="B577" t="str" cm="1">
        <f t="array" aca="1" ref="B577" ca="1">IFERROR(DATE(RIGHT(INDIRECT("RC[-1]",0),4),LEFT(INDIRECT("RC[-1]",0),2),1), "")</f>
        <v/>
      </c>
      <c r="C577" s="214"/>
      <c r="E577" t="str" cm="1">
        <f t="array" aca="1" ref="E577" ca="1">IF(_xlfn.XLOOKUP(INDIRECT("RC[-1]", 0), CategoryNames, CategoryIdentifiers, "")&lt;&gt;"",INDIRECT("RC[-1]", 0),"")</f>
        <v/>
      </c>
      <c r="G577" t="str" cm="1">
        <f t="array" aca="1" ref="G577" ca="1">IF(COUNTIF($F$2:$F$1000,INDIRECT("RC[-2]",0))&gt;0,"",INDIRECT("RC[-2]",0))</f>
        <v/>
      </c>
    </row>
    <row r="578" spans="2:7" x14ac:dyDescent="0.25">
      <c r="B578" t="str" cm="1">
        <f t="array" aca="1" ref="B578" ca="1">IFERROR(DATE(RIGHT(INDIRECT("RC[-1]",0),4),LEFT(INDIRECT("RC[-1]",0),2),1), "")</f>
        <v/>
      </c>
      <c r="C578" s="214"/>
      <c r="E578" t="str" cm="1">
        <f t="array" aca="1" ref="E578" ca="1">IF(_xlfn.XLOOKUP(INDIRECT("RC[-1]", 0), CategoryNames, CategoryIdentifiers, "")&lt;&gt;"",INDIRECT("RC[-1]", 0),"")</f>
        <v/>
      </c>
      <c r="G578" t="str" cm="1">
        <f t="array" aca="1" ref="G578" ca="1">IF(COUNTIF($F$2:$F$1000,INDIRECT("RC[-2]",0))&gt;0,"",INDIRECT("RC[-2]",0))</f>
        <v/>
      </c>
    </row>
    <row r="579" spans="2:7" x14ac:dyDescent="0.25">
      <c r="B579" t="str" cm="1">
        <f t="array" aca="1" ref="B579" ca="1">IFERROR(DATE(RIGHT(INDIRECT("RC[-1]",0),4),LEFT(INDIRECT("RC[-1]",0),2),1), "")</f>
        <v/>
      </c>
      <c r="C579" s="214"/>
      <c r="E579" t="str" cm="1">
        <f t="array" aca="1" ref="E579" ca="1">IF(_xlfn.XLOOKUP(INDIRECT("RC[-1]", 0), CategoryNames, CategoryIdentifiers, "")&lt;&gt;"",INDIRECT("RC[-1]", 0),"")</f>
        <v/>
      </c>
      <c r="G579" t="str" cm="1">
        <f t="array" aca="1" ref="G579" ca="1">IF(COUNTIF($F$2:$F$1000,INDIRECT("RC[-2]",0))&gt;0,"",INDIRECT("RC[-2]",0))</f>
        <v/>
      </c>
    </row>
    <row r="580" spans="2:7" x14ac:dyDescent="0.25">
      <c r="B580" t="str" cm="1">
        <f t="array" aca="1" ref="B580" ca="1">IFERROR(DATE(RIGHT(INDIRECT("RC[-1]",0),4),LEFT(INDIRECT("RC[-1]",0),2),1), "")</f>
        <v/>
      </c>
      <c r="C580" s="214"/>
      <c r="E580" t="str" cm="1">
        <f t="array" aca="1" ref="E580" ca="1">IF(_xlfn.XLOOKUP(INDIRECT("RC[-1]", 0), CategoryNames, CategoryIdentifiers, "")&lt;&gt;"",INDIRECT("RC[-1]", 0),"")</f>
        <v/>
      </c>
      <c r="G580" t="str" cm="1">
        <f t="array" aca="1" ref="G580" ca="1">IF(COUNTIF($F$2:$F$1000,INDIRECT("RC[-2]",0))&gt;0,"",INDIRECT("RC[-2]",0))</f>
        <v/>
      </c>
    </row>
    <row r="581" spans="2:7" x14ac:dyDescent="0.25">
      <c r="B581" t="str" cm="1">
        <f t="array" aca="1" ref="B581" ca="1">IFERROR(DATE(RIGHT(INDIRECT("RC[-1]",0),4),LEFT(INDIRECT("RC[-1]",0),2),1), "")</f>
        <v/>
      </c>
      <c r="C581" s="214"/>
      <c r="E581" t="str" cm="1">
        <f t="array" aca="1" ref="E581" ca="1">IF(_xlfn.XLOOKUP(INDIRECT("RC[-1]", 0), CategoryNames, CategoryIdentifiers, "")&lt;&gt;"",INDIRECT("RC[-1]", 0),"")</f>
        <v/>
      </c>
      <c r="G581" t="str" cm="1">
        <f t="array" aca="1" ref="G581" ca="1">IF(COUNTIF($F$2:$F$1000,INDIRECT("RC[-2]",0))&gt;0,"",INDIRECT("RC[-2]",0))</f>
        <v/>
      </c>
    </row>
    <row r="582" spans="2:7" x14ac:dyDescent="0.25">
      <c r="B582" t="str" cm="1">
        <f t="array" aca="1" ref="B582" ca="1">IFERROR(DATE(RIGHT(INDIRECT("RC[-1]",0),4),LEFT(INDIRECT("RC[-1]",0),2),1), "")</f>
        <v/>
      </c>
      <c r="C582" s="214"/>
      <c r="E582" t="str" cm="1">
        <f t="array" aca="1" ref="E582" ca="1">IF(_xlfn.XLOOKUP(INDIRECT("RC[-1]", 0), CategoryNames, CategoryIdentifiers, "")&lt;&gt;"",INDIRECT("RC[-1]", 0),"")</f>
        <v/>
      </c>
      <c r="G582" t="str" cm="1">
        <f t="array" aca="1" ref="G582" ca="1">IF(COUNTIF($F$2:$F$1000,INDIRECT("RC[-2]",0))&gt;0,"",INDIRECT("RC[-2]",0))</f>
        <v/>
      </c>
    </row>
    <row r="583" spans="2:7" x14ac:dyDescent="0.25">
      <c r="B583" t="str" cm="1">
        <f t="array" aca="1" ref="B583" ca="1">IFERROR(DATE(RIGHT(INDIRECT("RC[-1]",0),4),LEFT(INDIRECT("RC[-1]",0),2),1), "")</f>
        <v/>
      </c>
      <c r="C583" s="214"/>
      <c r="E583" t="str" cm="1">
        <f t="array" aca="1" ref="E583" ca="1">IF(_xlfn.XLOOKUP(INDIRECT("RC[-1]", 0), CategoryNames, CategoryIdentifiers, "")&lt;&gt;"",INDIRECT("RC[-1]", 0),"")</f>
        <v/>
      </c>
      <c r="G583" t="str" cm="1">
        <f t="array" aca="1" ref="G583" ca="1">IF(COUNTIF($F$2:$F$1000,INDIRECT("RC[-2]",0))&gt;0,"",INDIRECT("RC[-2]",0))</f>
        <v/>
      </c>
    </row>
    <row r="584" spans="2:7" x14ac:dyDescent="0.25">
      <c r="B584" t="str" cm="1">
        <f t="array" aca="1" ref="B584" ca="1">IFERROR(DATE(RIGHT(INDIRECT("RC[-1]",0),4),LEFT(INDIRECT("RC[-1]",0),2),1), "")</f>
        <v/>
      </c>
      <c r="C584" s="214"/>
      <c r="E584" t="str" cm="1">
        <f t="array" aca="1" ref="E584" ca="1">IF(_xlfn.XLOOKUP(INDIRECT("RC[-1]", 0), CategoryNames, CategoryIdentifiers, "")&lt;&gt;"",INDIRECT("RC[-1]", 0),"")</f>
        <v/>
      </c>
      <c r="G584" t="str" cm="1">
        <f t="array" aca="1" ref="G584" ca="1">IF(COUNTIF($F$2:$F$1000,INDIRECT("RC[-2]",0))&gt;0,"",INDIRECT("RC[-2]",0))</f>
        <v/>
      </c>
    </row>
    <row r="585" spans="2:7" x14ac:dyDescent="0.25">
      <c r="B585" t="str" cm="1">
        <f t="array" aca="1" ref="B585" ca="1">IFERROR(DATE(RIGHT(INDIRECT("RC[-1]",0),4),LEFT(INDIRECT("RC[-1]",0),2),1), "")</f>
        <v/>
      </c>
      <c r="C585" s="214"/>
      <c r="E585" t="str" cm="1">
        <f t="array" aca="1" ref="E585" ca="1">IF(_xlfn.XLOOKUP(INDIRECT("RC[-1]", 0), CategoryNames, CategoryIdentifiers, "")&lt;&gt;"",INDIRECT("RC[-1]", 0),"")</f>
        <v/>
      </c>
      <c r="G585" t="str" cm="1">
        <f t="array" aca="1" ref="G585" ca="1">IF(COUNTIF($F$2:$F$1000,INDIRECT("RC[-2]",0))&gt;0,"",INDIRECT("RC[-2]",0))</f>
        <v/>
      </c>
    </row>
    <row r="586" spans="2:7" x14ac:dyDescent="0.25">
      <c r="B586" t="str" cm="1">
        <f t="array" aca="1" ref="B586" ca="1">IFERROR(DATE(RIGHT(INDIRECT("RC[-1]",0),4),LEFT(INDIRECT("RC[-1]",0),2),1), "")</f>
        <v/>
      </c>
      <c r="C586" s="214"/>
      <c r="E586" t="str" cm="1">
        <f t="array" aca="1" ref="E586" ca="1">IF(_xlfn.XLOOKUP(INDIRECT("RC[-1]", 0), CategoryNames, CategoryIdentifiers, "")&lt;&gt;"",INDIRECT("RC[-1]", 0),"")</f>
        <v/>
      </c>
      <c r="G586" t="str" cm="1">
        <f t="array" aca="1" ref="G586" ca="1">IF(COUNTIF($F$2:$F$1000,INDIRECT("RC[-2]",0))&gt;0,"",INDIRECT("RC[-2]",0))</f>
        <v/>
      </c>
    </row>
    <row r="587" spans="2:7" x14ac:dyDescent="0.25">
      <c r="B587" t="str" cm="1">
        <f t="array" aca="1" ref="B587" ca="1">IFERROR(DATE(RIGHT(INDIRECT("RC[-1]",0),4),LEFT(INDIRECT("RC[-1]",0),2),1), "")</f>
        <v/>
      </c>
      <c r="C587" s="214"/>
      <c r="E587" t="str" cm="1">
        <f t="array" aca="1" ref="E587" ca="1">IF(_xlfn.XLOOKUP(INDIRECT("RC[-1]", 0), CategoryNames, CategoryIdentifiers, "")&lt;&gt;"",INDIRECT("RC[-1]", 0),"")</f>
        <v/>
      </c>
      <c r="G587" t="str" cm="1">
        <f t="array" aca="1" ref="G587" ca="1">IF(COUNTIF($F$2:$F$1000,INDIRECT("RC[-2]",0))&gt;0,"",INDIRECT("RC[-2]",0))</f>
        <v/>
      </c>
    </row>
    <row r="588" spans="2:7" x14ac:dyDescent="0.25">
      <c r="B588" t="str" cm="1">
        <f t="array" aca="1" ref="B588" ca="1">IFERROR(DATE(RIGHT(INDIRECT("RC[-1]",0),4),LEFT(INDIRECT("RC[-1]",0),2),1), "")</f>
        <v/>
      </c>
      <c r="C588" s="214"/>
      <c r="E588" t="str" cm="1">
        <f t="array" aca="1" ref="E588" ca="1">IF(_xlfn.XLOOKUP(INDIRECT("RC[-1]", 0), CategoryNames, CategoryIdentifiers, "")&lt;&gt;"",INDIRECT("RC[-1]", 0),"")</f>
        <v/>
      </c>
      <c r="G588" t="str" cm="1">
        <f t="array" aca="1" ref="G588" ca="1">IF(COUNTIF($F$2:$F$1000,INDIRECT("RC[-2]",0))&gt;0,"",INDIRECT("RC[-2]",0))</f>
        <v/>
      </c>
    </row>
    <row r="589" spans="2:7" x14ac:dyDescent="0.25">
      <c r="B589" t="str" cm="1">
        <f t="array" aca="1" ref="B589" ca="1">IFERROR(DATE(RIGHT(INDIRECT("RC[-1]",0),4),LEFT(INDIRECT("RC[-1]",0),2),1), "")</f>
        <v/>
      </c>
      <c r="C589" s="214"/>
      <c r="E589" t="str" cm="1">
        <f t="array" aca="1" ref="E589" ca="1">IF(_xlfn.XLOOKUP(INDIRECT("RC[-1]", 0), CategoryNames, CategoryIdentifiers, "")&lt;&gt;"",INDIRECT("RC[-1]", 0),"")</f>
        <v/>
      </c>
      <c r="G589" t="str" cm="1">
        <f t="array" aca="1" ref="G589" ca="1">IF(COUNTIF($F$2:$F$1000,INDIRECT("RC[-2]",0))&gt;0,"",INDIRECT("RC[-2]",0))</f>
        <v/>
      </c>
    </row>
    <row r="590" spans="2:7" x14ac:dyDescent="0.25">
      <c r="B590" t="str" cm="1">
        <f t="array" aca="1" ref="B590" ca="1">IFERROR(DATE(RIGHT(INDIRECT("RC[-1]",0),4),LEFT(INDIRECT("RC[-1]",0),2),1), "")</f>
        <v/>
      </c>
      <c r="C590" s="214"/>
      <c r="E590" t="str" cm="1">
        <f t="array" aca="1" ref="E590" ca="1">IF(_xlfn.XLOOKUP(INDIRECT("RC[-1]", 0), CategoryNames, CategoryIdentifiers, "")&lt;&gt;"",INDIRECT("RC[-1]", 0),"")</f>
        <v/>
      </c>
      <c r="G590" t="str" cm="1">
        <f t="array" aca="1" ref="G590" ca="1">IF(COUNTIF($F$2:$F$1000,INDIRECT("RC[-2]",0))&gt;0,"",INDIRECT("RC[-2]",0))</f>
        <v/>
      </c>
    </row>
    <row r="591" spans="2:7" x14ac:dyDescent="0.25">
      <c r="B591" t="str" cm="1">
        <f t="array" aca="1" ref="B591" ca="1">IFERROR(DATE(RIGHT(INDIRECT("RC[-1]",0),4),LEFT(INDIRECT("RC[-1]",0),2),1), "")</f>
        <v/>
      </c>
      <c r="C591" s="214"/>
      <c r="E591" t="str" cm="1">
        <f t="array" aca="1" ref="E591" ca="1">IF(_xlfn.XLOOKUP(INDIRECT("RC[-1]", 0), CategoryNames, CategoryIdentifiers, "")&lt;&gt;"",INDIRECT("RC[-1]", 0),"")</f>
        <v/>
      </c>
      <c r="G591" t="str" cm="1">
        <f t="array" aca="1" ref="G591" ca="1">IF(COUNTIF($F$2:$F$1000,INDIRECT("RC[-2]",0))&gt;0,"",INDIRECT("RC[-2]",0))</f>
        <v/>
      </c>
    </row>
    <row r="592" spans="2:7" x14ac:dyDescent="0.25">
      <c r="B592" t="str" cm="1">
        <f t="array" aca="1" ref="B592" ca="1">IFERROR(DATE(RIGHT(INDIRECT("RC[-1]",0),4),LEFT(INDIRECT("RC[-1]",0),2),1), "")</f>
        <v/>
      </c>
      <c r="C592" s="214"/>
      <c r="E592" t="str" cm="1">
        <f t="array" aca="1" ref="E592" ca="1">IF(_xlfn.XLOOKUP(INDIRECT("RC[-1]", 0), CategoryNames, CategoryIdentifiers, "")&lt;&gt;"",INDIRECT("RC[-1]", 0),"")</f>
        <v/>
      </c>
      <c r="G592" t="str" cm="1">
        <f t="array" aca="1" ref="G592" ca="1">IF(COUNTIF($F$2:$F$1000,INDIRECT("RC[-2]",0))&gt;0,"",INDIRECT("RC[-2]",0))</f>
        <v/>
      </c>
    </row>
    <row r="593" spans="2:7" x14ac:dyDescent="0.25">
      <c r="B593" t="str" cm="1">
        <f t="array" aca="1" ref="B593" ca="1">IFERROR(DATE(RIGHT(INDIRECT("RC[-1]",0),4),LEFT(INDIRECT("RC[-1]",0),2),1), "")</f>
        <v/>
      </c>
      <c r="C593" s="214"/>
      <c r="E593" t="str" cm="1">
        <f t="array" aca="1" ref="E593" ca="1">IF(_xlfn.XLOOKUP(INDIRECT("RC[-1]", 0), CategoryNames, CategoryIdentifiers, "")&lt;&gt;"",INDIRECT("RC[-1]", 0),"")</f>
        <v/>
      </c>
      <c r="G593" t="str" cm="1">
        <f t="array" aca="1" ref="G593" ca="1">IF(COUNTIF($F$2:$F$1000,INDIRECT("RC[-2]",0))&gt;0,"",INDIRECT("RC[-2]",0))</f>
        <v/>
      </c>
    </row>
    <row r="594" spans="2:7" x14ac:dyDescent="0.25">
      <c r="B594" t="str" cm="1">
        <f t="array" aca="1" ref="B594" ca="1">IFERROR(DATE(RIGHT(INDIRECT("RC[-1]",0),4),LEFT(INDIRECT("RC[-1]",0),2),1), "")</f>
        <v/>
      </c>
      <c r="C594" s="214"/>
      <c r="E594" t="str" cm="1">
        <f t="array" aca="1" ref="E594" ca="1">IF(_xlfn.XLOOKUP(INDIRECT("RC[-1]", 0), CategoryNames, CategoryIdentifiers, "")&lt;&gt;"",INDIRECT("RC[-1]", 0),"")</f>
        <v/>
      </c>
      <c r="G594" t="str" cm="1">
        <f t="array" aca="1" ref="G594" ca="1">IF(COUNTIF($F$2:$F$1000,INDIRECT("RC[-2]",0))&gt;0,"",INDIRECT("RC[-2]",0))</f>
        <v/>
      </c>
    </row>
    <row r="595" spans="2:7" x14ac:dyDescent="0.25">
      <c r="B595" t="str" cm="1">
        <f t="array" aca="1" ref="B595" ca="1">IFERROR(DATE(RIGHT(INDIRECT("RC[-1]",0),4),LEFT(INDIRECT("RC[-1]",0),2),1), "")</f>
        <v/>
      </c>
      <c r="C595" s="214"/>
      <c r="E595" t="str" cm="1">
        <f t="array" aca="1" ref="E595" ca="1">IF(_xlfn.XLOOKUP(INDIRECT("RC[-1]", 0), CategoryNames, CategoryIdentifiers, "")&lt;&gt;"",INDIRECT("RC[-1]", 0),"")</f>
        <v/>
      </c>
      <c r="G595" t="str" cm="1">
        <f t="array" aca="1" ref="G595" ca="1">IF(COUNTIF($F$2:$F$1000,INDIRECT("RC[-2]",0))&gt;0,"",INDIRECT("RC[-2]",0))</f>
        <v/>
      </c>
    </row>
    <row r="596" spans="2:7" x14ac:dyDescent="0.25">
      <c r="B596" t="str" cm="1">
        <f t="array" aca="1" ref="B596" ca="1">IFERROR(DATE(RIGHT(INDIRECT("RC[-1]",0),4),LEFT(INDIRECT("RC[-1]",0),2),1), "")</f>
        <v/>
      </c>
      <c r="C596" s="214"/>
      <c r="E596" t="str" cm="1">
        <f t="array" aca="1" ref="E596" ca="1">IF(_xlfn.XLOOKUP(INDIRECT("RC[-1]", 0), CategoryNames, CategoryIdentifiers, "")&lt;&gt;"",INDIRECT("RC[-1]", 0),"")</f>
        <v/>
      </c>
      <c r="G596" t="str" cm="1">
        <f t="array" aca="1" ref="G596" ca="1">IF(COUNTIF($F$2:$F$1000,INDIRECT("RC[-2]",0))&gt;0,"",INDIRECT("RC[-2]",0))</f>
        <v/>
      </c>
    </row>
    <row r="597" spans="2:7" x14ac:dyDescent="0.25">
      <c r="B597" t="str" cm="1">
        <f t="array" aca="1" ref="B597" ca="1">IFERROR(DATE(RIGHT(INDIRECT("RC[-1]",0),4),LEFT(INDIRECT("RC[-1]",0),2),1), "")</f>
        <v/>
      </c>
      <c r="C597" s="214"/>
      <c r="E597" t="str" cm="1">
        <f t="array" aca="1" ref="E597" ca="1">IF(_xlfn.XLOOKUP(INDIRECT("RC[-1]", 0), CategoryNames, CategoryIdentifiers, "")&lt;&gt;"",INDIRECT("RC[-1]", 0),"")</f>
        <v/>
      </c>
      <c r="G597" t="str" cm="1">
        <f t="array" aca="1" ref="G597" ca="1">IF(COUNTIF($F$2:$F$1000,INDIRECT("RC[-2]",0))&gt;0,"",INDIRECT("RC[-2]",0))</f>
        <v/>
      </c>
    </row>
    <row r="598" spans="2:7" x14ac:dyDescent="0.25">
      <c r="B598" t="str" cm="1">
        <f t="array" aca="1" ref="B598" ca="1">IFERROR(DATE(RIGHT(INDIRECT("RC[-1]",0),4),LEFT(INDIRECT("RC[-1]",0),2),1), "")</f>
        <v/>
      </c>
      <c r="C598" s="214"/>
      <c r="E598" t="str" cm="1">
        <f t="array" aca="1" ref="E598" ca="1">IF(_xlfn.XLOOKUP(INDIRECT("RC[-1]", 0), CategoryNames, CategoryIdentifiers, "")&lt;&gt;"",INDIRECT("RC[-1]", 0),"")</f>
        <v/>
      </c>
      <c r="G598" t="str" cm="1">
        <f t="array" aca="1" ref="G598" ca="1">IF(COUNTIF($F$2:$F$1000,INDIRECT("RC[-2]",0))&gt;0,"",INDIRECT("RC[-2]",0))</f>
        <v/>
      </c>
    </row>
    <row r="599" spans="2:7" x14ac:dyDescent="0.25">
      <c r="B599" t="str" cm="1">
        <f t="array" aca="1" ref="B599" ca="1">IFERROR(DATE(RIGHT(INDIRECT("RC[-1]",0),4),LEFT(INDIRECT("RC[-1]",0),2),1), "")</f>
        <v/>
      </c>
      <c r="C599" s="214"/>
      <c r="E599" t="str" cm="1">
        <f t="array" aca="1" ref="E599" ca="1">IF(_xlfn.XLOOKUP(INDIRECT("RC[-1]", 0), CategoryNames, CategoryIdentifiers, "")&lt;&gt;"",INDIRECT("RC[-1]", 0),"")</f>
        <v/>
      </c>
      <c r="G599" t="str" cm="1">
        <f t="array" aca="1" ref="G599" ca="1">IF(COUNTIF($F$2:$F$1000,INDIRECT("RC[-2]",0))&gt;0,"",INDIRECT("RC[-2]",0))</f>
        <v/>
      </c>
    </row>
    <row r="600" spans="2:7" x14ac:dyDescent="0.25">
      <c r="B600" t="str" cm="1">
        <f t="array" aca="1" ref="B600" ca="1">IFERROR(DATE(RIGHT(INDIRECT("RC[-1]",0),4),LEFT(INDIRECT("RC[-1]",0),2),1), "")</f>
        <v/>
      </c>
      <c r="C600" s="214"/>
      <c r="E600" t="str" cm="1">
        <f t="array" aca="1" ref="E600" ca="1">IF(_xlfn.XLOOKUP(INDIRECT("RC[-1]", 0), CategoryNames, CategoryIdentifiers, "")&lt;&gt;"",INDIRECT("RC[-1]", 0),"")</f>
        <v/>
      </c>
      <c r="G600" t="str" cm="1">
        <f t="array" aca="1" ref="G600" ca="1">IF(COUNTIF($F$2:$F$1000,INDIRECT("RC[-2]",0))&gt;0,"",INDIRECT("RC[-2]",0))</f>
        <v/>
      </c>
    </row>
    <row r="601" spans="2:7" x14ac:dyDescent="0.25">
      <c r="B601" t="str" cm="1">
        <f t="array" aca="1" ref="B601" ca="1">IFERROR(DATE(RIGHT(INDIRECT("RC[-1]",0),4),LEFT(INDIRECT("RC[-1]",0),2),1), "")</f>
        <v/>
      </c>
      <c r="C601" s="214"/>
      <c r="E601" t="str" cm="1">
        <f t="array" aca="1" ref="E601" ca="1">IF(_xlfn.XLOOKUP(INDIRECT("RC[-1]", 0), CategoryNames, CategoryIdentifiers, "")&lt;&gt;"",INDIRECT("RC[-1]", 0),"")</f>
        <v/>
      </c>
      <c r="G601" t="str" cm="1">
        <f t="array" aca="1" ref="G601" ca="1">IF(COUNTIF($F$2:$F$1000,INDIRECT("RC[-2]",0))&gt;0,"",INDIRECT("RC[-2]",0))</f>
        <v/>
      </c>
    </row>
    <row r="602" spans="2:7" x14ac:dyDescent="0.25">
      <c r="B602" t="str" cm="1">
        <f t="array" aca="1" ref="B602" ca="1">IFERROR(DATE(RIGHT(INDIRECT("RC[-1]",0),4),LEFT(INDIRECT("RC[-1]",0),2),1), "")</f>
        <v/>
      </c>
      <c r="C602" s="214"/>
      <c r="E602" t="str" cm="1">
        <f t="array" aca="1" ref="E602" ca="1">IF(_xlfn.XLOOKUP(INDIRECT("RC[-1]", 0), CategoryNames, CategoryIdentifiers, "")&lt;&gt;"",INDIRECT("RC[-1]", 0),"")</f>
        <v/>
      </c>
      <c r="G602" t="str" cm="1">
        <f t="array" aca="1" ref="G602" ca="1">IF(COUNTIF($F$2:$F$1000,INDIRECT("RC[-2]",0))&gt;0,"",INDIRECT("RC[-2]",0))</f>
        <v/>
      </c>
    </row>
    <row r="603" spans="2:7" x14ac:dyDescent="0.25">
      <c r="B603" t="str" cm="1">
        <f t="array" aca="1" ref="B603" ca="1">IFERROR(DATE(RIGHT(INDIRECT("RC[-1]",0),4),LEFT(INDIRECT("RC[-1]",0),2),1), "")</f>
        <v/>
      </c>
      <c r="C603" s="214"/>
      <c r="E603" t="str" cm="1">
        <f t="array" aca="1" ref="E603" ca="1">IF(_xlfn.XLOOKUP(INDIRECT("RC[-1]", 0), CategoryNames, CategoryIdentifiers, "")&lt;&gt;"",INDIRECT("RC[-1]", 0),"")</f>
        <v/>
      </c>
      <c r="G603" t="str" cm="1">
        <f t="array" aca="1" ref="G603" ca="1">IF(COUNTIF($F$2:$F$1000,INDIRECT("RC[-2]",0))&gt;0,"",INDIRECT("RC[-2]",0))</f>
        <v/>
      </c>
    </row>
    <row r="604" spans="2:7" x14ac:dyDescent="0.25">
      <c r="B604" t="str" cm="1">
        <f t="array" aca="1" ref="B604" ca="1">IFERROR(DATE(RIGHT(INDIRECT("RC[-1]",0),4),LEFT(INDIRECT("RC[-1]",0),2),1), "")</f>
        <v/>
      </c>
      <c r="C604" s="214"/>
      <c r="E604" t="str" cm="1">
        <f t="array" aca="1" ref="E604" ca="1">IF(_xlfn.XLOOKUP(INDIRECT("RC[-1]", 0), CategoryNames, CategoryIdentifiers, "")&lt;&gt;"",INDIRECT("RC[-1]", 0),"")</f>
        <v/>
      </c>
      <c r="G604" t="str" cm="1">
        <f t="array" aca="1" ref="G604" ca="1">IF(COUNTIF($F$2:$F$1000,INDIRECT("RC[-2]",0))&gt;0,"",INDIRECT("RC[-2]",0))</f>
        <v/>
      </c>
    </row>
    <row r="605" spans="2:7" x14ac:dyDescent="0.25">
      <c r="B605" t="str" cm="1">
        <f t="array" aca="1" ref="B605" ca="1">IFERROR(DATE(RIGHT(INDIRECT("RC[-1]",0),4),LEFT(INDIRECT("RC[-1]",0),2),1), "")</f>
        <v/>
      </c>
      <c r="C605" s="214"/>
      <c r="E605" t="str" cm="1">
        <f t="array" aca="1" ref="E605" ca="1">IF(_xlfn.XLOOKUP(INDIRECT("RC[-1]", 0), CategoryNames, CategoryIdentifiers, "")&lt;&gt;"",INDIRECT("RC[-1]", 0),"")</f>
        <v/>
      </c>
      <c r="G605" t="str" cm="1">
        <f t="array" aca="1" ref="G605" ca="1">IF(COUNTIF($F$2:$F$1000,INDIRECT("RC[-2]",0))&gt;0,"",INDIRECT("RC[-2]",0))</f>
        <v/>
      </c>
    </row>
    <row r="606" spans="2:7" x14ac:dyDescent="0.25">
      <c r="B606" t="str" cm="1">
        <f t="array" aca="1" ref="B606" ca="1">IFERROR(DATE(RIGHT(INDIRECT("RC[-1]",0),4),LEFT(INDIRECT("RC[-1]",0),2),1), "")</f>
        <v/>
      </c>
      <c r="C606" s="214"/>
      <c r="E606" t="str" cm="1">
        <f t="array" aca="1" ref="E606" ca="1">IF(_xlfn.XLOOKUP(INDIRECT("RC[-1]", 0), CategoryNames, CategoryIdentifiers, "")&lt;&gt;"",INDIRECT("RC[-1]", 0),"")</f>
        <v/>
      </c>
      <c r="G606" t="str" cm="1">
        <f t="array" aca="1" ref="G606" ca="1">IF(COUNTIF($F$2:$F$1000,INDIRECT("RC[-2]",0))&gt;0,"",INDIRECT("RC[-2]",0))</f>
        <v/>
      </c>
    </row>
    <row r="607" spans="2:7" x14ac:dyDescent="0.25">
      <c r="B607" t="str" cm="1">
        <f t="array" aca="1" ref="B607" ca="1">IFERROR(DATE(RIGHT(INDIRECT("RC[-1]",0),4),LEFT(INDIRECT("RC[-1]",0),2),1), "")</f>
        <v/>
      </c>
      <c r="C607" s="214"/>
      <c r="E607" t="str" cm="1">
        <f t="array" aca="1" ref="E607" ca="1">IF(_xlfn.XLOOKUP(INDIRECT("RC[-1]", 0), CategoryNames, CategoryIdentifiers, "")&lt;&gt;"",INDIRECT("RC[-1]", 0),"")</f>
        <v/>
      </c>
      <c r="G607" t="str" cm="1">
        <f t="array" aca="1" ref="G607" ca="1">IF(COUNTIF($F$2:$F$1000,INDIRECT("RC[-2]",0))&gt;0,"",INDIRECT("RC[-2]",0))</f>
        <v/>
      </c>
    </row>
    <row r="608" spans="2:7" x14ac:dyDescent="0.25">
      <c r="B608" t="str" cm="1">
        <f t="array" aca="1" ref="B608" ca="1">IFERROR(DATE(RIGHT(INDIRECT("RC[-1]",0),4),LEFT(INDIRECT("RC[-1]",0),2),1), "")</f>
        <v/>
      </c>
      <c r="C608" s="214"/>
      <c r="E608" t="str" cm="1">
        <f t="array" aca="1" ref="E608" ca="1">IF(_xlfn.XLOOKUP(INDIRECT("RC[-1]", 0), CategoryNames, CategoryIdentifiers, "")&lt;&gt;"",INDIRECT("RC[-1]", 0),"")</f>
        <v/>
      </c>
      <c r="G608" t="str" cm="1">
        <f t="array" aca="1" ref="G608" ca="1">IF(COUNTIF($F$2:$F$1000,INDIRECT("RC[-2]",0))&gt;0,"",INDIRECT("RC[-2]",0))</f>
        <v/>
      </c>
    </row>
    <row r="609" spans="2:7" x14ac:dyDescent="0.25">
      <c r="B609" t="str" cm="1">
        <f t="array" aca="1" ref="B609" ca="1">IFERROR(DATE(RIGHT(INDIRECT("RC[-1]",0),4),LEFT(INDIRECT("RC[-1]",0),2),1), "")</f>
        <v/>
      </c>
      <c r="C609" s="214"/>
      <c r="E609" t="str" cm="1">
        <f t="array" aca="1" ref="E609" ca="1">IF(_xlfn.XLOOKUP(INDIRECT("RC[-1]", 0), CategoryNames, CategoryIdentifiers, "")&lt;&gt;"",INDIRECT("RC[-1]", 0),"")</f>
        <v/>
      </c>
      <c r="G609" t="str" cm="1">
        <f t="array" aca="1" ref="G609" ca="1">IF(COUNTIF($F$2:$F$1000,INDIRECT("RC[-2]",0))&gt;0,"",INDIRECT("RC[-2]",0))</f>
        <v/>
      </c>
    </row>
    <row r="610" spans="2:7" x14ac:dyDescent="0.25">
      <c r="B610" t="str" cm="1">
        <f t="array" aca="1" ref="B610" ca="1">IFERROR(DATE(RIGHT(INDIRECT("RC[-1]",0),4),LEFT(INDIRECT("RC[-1]",0),2),1), "")</f>
        <v/>
      </c>
      <c r="C610" s="214"/>
      <c r="E610" t="str" cm="1">
        <f t="array" aca="1" ref="E610" ca="1">IF(_xlfn.XLOOKUP(INDIRECT("RC[-1]", 0), CategoryNames, CategoryIdentifiers, "")&lt;&gt;"",INDIRECT("RC[-1]", 0),"")</f>
        <v/>
      </c>
      <c r="G610" t="str" cm="1">
        <f t="array" aca="1" ref="G610" ca="1">IF(COUNTIF($F$2:$F$1000,INDIRECT("RC[-2]",0))&gt;0,"",INDIRECT("RC[-2]",0))</f>
        <v/>
      </c>
    </row>
    <row r="611" spans="2:7" x14ac:dyDescent="0.25">
      <c r="B611" t="str" cm="1">
        <f t="array" aca="1" ref="B611" ca="1">IFERROR(DATE(RIGHT(INDIRECT("RC[-1]",0),4),LEFT(INDIRECT("RC[-1]",0),2),1), "")</f>
        <v/>
      </c>
      <c r="C611" s="214"/>
      <c r="E611" t="str" cm="1">
        <f t="array" aca="1" ref="E611" ca="1">IF(_xlfn.XLOOKUP(INDIRECT("RC[-1]", 0), CategoryNames, CategoryIdentifiers, "")&lt;&gt;"",INDIRECT("RC[-1]", 0),"")</f>
        <v/>
      </c>
      <c r="G611" t="str" cm="1">
        <f t="array" aca="1" ref="G611" ca="1">IF(COUNTIF($F$2:$F$1000,INDIRECT("RC[-2]",0))&gt;0,"",INDIRECT("RC[-2]",0))</f>
        <v/>
      </c>
    </row>
    <row r="612" spans="2:7" x14ac:dyDescent="0.25">
      <c r="B612" t="str" cm="1">
        <f t="array" aca="1" ref="B612" ca="1">IFERROR(DATE(RIGHT(INDIRECT("RC[-1]",0),4),LEFT(INDIRECT("RC[-1]",0),2),1), "")</f>
        <v/>
      </c>
      <c r="C612" s="214"/>
      <c r="E612" t="str" cm="1">
        <f t="array" aca="1" ref="E612" ca="1">IF(_xlfn.XLOOKUP(INDIRECT("RC[-1]", 0), CategoryNames, CategoryIdentifiers, "")&lt;&gt;"",INDIRECT("RC[-1]", 0),"")</f>
        <v/>
      </c>
      <c r="G612" t="str" cm="1">
        <f t="array" aca="1" ref="G612" ca="1">IF(COUNTIF($F$2:$F$1000,INDIRECT("RC[-2]",0))&gt;0,"",INDIRECT("RC[-2]",0))</f>
        <v/>
      </c>
    </row>
    <row r="613" spans="2:7" x14ac:dyDescent="0.25">
      <c r="B613" t="str" cm="1">
        <f t="array" aca="1" ref="B613" ca="1">IFERROR(DATE(RIGHT(INDIRECT("RC[-1]",0),4),LEFT(INDIRECT("RC[-1]",0),2),1), "")</f>
        <v/>
      </c>
      <c r="C613" s="214"/>
      <c r="E613" t="str" cm="1">
        <f t="array" aca="1" ref="E613" ca="1">IF(_xlfn.XLOOKUP(INDIRECT("RC[-1]", 0), CategoryNames, CategoryIdentifiers, "")&lt;&gt;"",INDIRECT("RC[-1]", 0),"")</f>
        <v/>
      </c>
      <c r="G613" t="str" cm="1">
        <f t="array" aca="1" ref="G613" ca="1">IF(COUNTIF($F$2:$F$1000,INDIRECT("RC[-2]",0))&gt;0,"",INDIRECT("RC[-2]",0))</f>
        <v/>
      </c>
    </row>
    <row r="614" spans="2:7" x14ac:dyDescent="0.25">
      <c r="B614" t="str" cm="1">
        <f t="array" aca="1" ref="B614" ca="1">IFERROR(DATE(RIGHT(INDIRECT("RC[-1]",0),4),LEFT(INDIRECT("RC[-1]",0),2),1), "")</f>
        <v/>
      </c>
      <c r="C614" s="214"/>
      <c r="E614" t="str" cm="1">
        <f t="array" aca="1" ref="E614" ca="1">IF(_xlfn.XLOOKUP(INDIRECT("RC[-1]", 0), CategoryNames, CategoryIdentifiers, "")&lt;&gt;"",INDIRECT("RC[-1]", 0),"")</f>
        <v/>
      </c>
      <c r="G614" t="str" cm="1">
        <f t="array" aca="1" ref="G614" ca="1">IF(COUNTIF($F$2:$F$1000,INDIRECT("RC[-2]",0))&gt;0,"",INDIRECT("RC[-2]",0))</f>
        <v/>
      </c>
    </row>
    <row r="615" spans="2:7" x14ac:dyDescent="0.25">
      <c r="B615" t="str" cm="1">
        <f t="array" aca="1" ref="B615" ca="1">IFERROR(DATE(RIGHT(INDIRECT("RC[-1]",0),4),LEFT(INDIRECT("RC[-1]",0),2),1), "")</f>
        <v/>
      </c>
      <c r="C615" s="214"/>
      <c r="E615" t="str" cm="1">
        <f t="array" aca="1" ref="E615" ca="1">IF(_xlfn.XLOOKUP(INDIRECT("RC[-1]", 0), CategoryNames, CategoryIdentifiers, "")&lt;&gt;"",INDIRECT("RC[-1]", 0),"")</f>
        <v/>
      </c>
      <c r="G615" t="str" cm="1">
        <f t="array" aca="1" ref="G615" ca="1">IF(COUNTIF($F$2:$F$1000,INDIRECT("RC[-2]",0))&gt;0,"",INDIRECT("RC[-2]",0))</f>
        <v/>
      </c>
    </row>
    <row r="616" spans="2:7" x14ac:dyDescent="0.25">
      <c r="B616" t="str" cm="1">
        <f t="array" aca="1" ref="B616" ca="1">IFERROR(DATE(RIGHT(INDIRECT("RC[-1]",0),4),LEFT(INDIRECT("RC[-1]",0),2),1), "")</f>
        <v/>
      </c>
      <c r="C616" s="214"/>
      <c r="E616" t="str" cm="1">
        <f t="array" aca="1" ref="E616" ca="1">IF(_xlfn.XLOOKUP(INDIRECT("RC[-1]", 0), CategoryNames, CategoryIdentifiers, "")&lt;&gt;"",INDIRECT("RC[-1]", 0),"")</f>
        <v/>
      </c>
      <c r="G616" t="str" cm="1">
        <f t="array" aca="1" ref="G616" ca="1">IF(COUNTIF($F$2:$F$1000,INDIRECT("RC[-2]",0))&gt;0,"",INDIRECT("RC[-2]",0))</f>
        <v/>
      </c>
    </row>
    <row r="617" spans="2:7" x14ac:dyDescent="0.25">
      <c r="B617" t="str" cm="1">
        <f t="array" aca="1" ref="B617" ca="1">IFERROR(DATE(RIGHT(INDIRECT("RC[-1]",0),4),LEFT(INDIRECT("RC[-1]",0),2),1), "")</f>
        <v/>
      </c>
      <c r="C617" s="214"/>
      <c r="E617" t="str" cm="1">
        <f t="array" aca="1" ref="E617" ca="1">IF(_xlfn.XLOOKUP(INDIRECT("RC[-1]", 0), CategoryNames, CategoryIdentifiers, "")&lt;&gt;"",INDIRECT("RC[-1]", 0),"")</f>
        <v/>
      </c>
      <c r="G617" t="str" cm="1">
        <f t="array" aca="1" ref="G617" ca="1">IF(COUNTIF($F$2:$F$1000,INDIRECT("RC[-2]",0))&gt;0,"",INDIRECT("RC[-2]",0))</f>
        <v/>
      </c>
    </row>
    <row r="618" spans="2:7" x14ac:dyDescent="0.25">
      <c r="B618" t="str" cm="1">
        <f t="array" aca="1" ref="B618" ca="1">IFERROR(DATE(RIGHT(INDIRECT("RC[-1]",0),4),LEFT(INDIRECT("RC[-1]",0),2),1), "")</f>
        <v/>
      </c>
      <c r="C618" s="214"/>
      <c r="E618" t="str" cm="1">
        <f t="array" aca="1" ref="E618" ca="1">IF(_xlfn.XLOOKUP(INDIRECT("RC[-1]", 0), CategoryNames, CategoryIdentifiers, "")&lt;&gt;"",INDIRECT("RC[-1]", 0),"")</f>
        <v/>
      </c>
      <c r="G618" t="str" cm="1">
        <f t="array" aca="1" ref="G618" ca="1">IF(COUNTIF($F$2:$F$1000,INDIRECT("RC[-2]",0))&gt;0,"",INDIRECT("RC[-2]",0))</f>
        <v/>
      </c>
    </row>
    <row r="619" spans="2:7" x14ac:dyDescent="0.25">
      <c r="B619" t="str" cm="1">
        <f t="array" aca="1" ref="B619" ca="1">IFERROR(DATE(RIGHT(INDIRECT("RC[-1]",0),4),LEFT(INDIRECT("RC[-1]",0),2),1), "")</f>
        <v/>
      </c>
      <c r="C619" s="214"/>
      <c r="E619" t="str" cm="1">
        <f t="array" aca="1" ref="E619" ca="1">IF(_xlfn.XLOOKUP(INDIRECT("RC[-1]", 0), CategoryNames, CategoryIdentifiers, "")&lt;&gt;"",INDIRECT("RC[-1]", 0),"")</f>
        <v/>
      </c>
      <c r="G619" t="str" cm="1">
        <f t="array" aca="1" ref="G619" ca="1">IF(COUNTIF($F$2:$F$1000,INDIRECT("RC[-2]",0))&gt;0,"",INDIRECT("RC[-2]",0))</f>
        <v/>
      </c>
    </row>
    <row r="620" spans="2:7" x14ac:dyDescent="0.25">
      <c r="B620" t="str" cm="1">
        <f t="array" aca="1" ref="B620" ca="1">IFERROR(DATE(RIGHT(INDIRECT("RC[-1]",0),4),LEFT(INDIRECT("RC[-1]",0),2),1), "")</f>
        <v/>
      </c>
      <c r="C620" s="214"/>
      <c r="E620" t="str" cm="1">
        <f t="array" aca="1" ref="E620" ca="1">IF(_xlfn.XLOOKUP(INDIRECT("RC[-1]", 0), CategoryNames, CategoryIdentifiers, "")&lt;&gt;"",INDIRECT("RC[-1]", 0),"")</f>
        <v/>
      </c>
      <c r="G620" t="str" cm="1">
        <f t="array" aca="1" ref="G620" ca="1">IF(COUNTIF($F$2:$F$1000,INDIRECT("RC[-2]",0))&gt;0,"",INDIRECT("RC[-2]",0))</f>
        <v/>
      </c>
    </row>
    <row r="621" spans="2:7" x14ac:dyDescent="0.25">
      <c r="B621" t="str" cm="1">
        <f t="array" aca="1" ref="B621" ca="1">IFERROR(DATE(RIGHT(INDIRECT("RC[-1]",0),4),LEFT(INDIRECT("RC[-1]",0),2),1), "")</f>
        <v/>
      </c>
      <c r="C621" s="214"/>
      <c r="E621" t="str" cm="1">
        <f t="array" aca="1" ref="E621" ca="1">IF(_xlfn.XLOOKUP(INDIRECT("RC[-1]", 0), CategoryNames, CategoryIdentifiers, "")&lt;&gt;"",INDIRECT("RC[-1]", 0),"")</f>
        <v/>
      </c>
      <c r="G621" t="str" cm="1">
        <f t="array" aca="1" ref="G621" ca="1">IF(COUNTIF($F$2:$F$1000,INDIRECT("RC[-2]",0))&gt;0,"",INDIRECT("RC[-2]",0))</f>
        <v/>
      </c>
    </row>
    <row r="622" spans="2:7" x14ac:dyDescent="0.25">
      <c r="B622" t="str" cm="1">
        <f t="array" aca="1" ref="B622" ca="1">IFERROR(DATE(RIGHT(INDIRECT("RC[-1]",0),4),LEFT(INDIRECT("RC[-1]",0),2),1), "")</f>
        <v/>
      </c>
      <c r="C622" s="214"/>
      <c r="E622" t="str" cm="1">
        <f t="array" aca="1" ref="E622" ca="1">IF(_xlfn.XLOOKUP(INDIRECT("RC[-1]", 0), CategoryNames, CategoryIdentifiers, "")&lt;&gt;"",INDIRECT("RC[-1]", 0),"")</f>
        <v/>
      </c>
      <c r="G622" t="str" cm="1">
        <f t="array" aca="1" ref="G622" ca="1">IF(COUNTIF($F$2:$F$1000,INDIRECT("RC[-2]",0))&gt;0,"",INDIRECT("RC[-2]",0))</f>
        <v/>
      </c>
    </row>
    <row r="623" spans="2:7" x14ac:dyDescent="0.25">
      <c r="B623" t="str" cm="1">
        <f t="array" aca="1" ref="B623" ca="1">IFERROR(DATE(RIGHT(INDIRECT("RC[-1]",0),4),LEFT(INDIRECT("RC[-1]",0),2),1), "")</f>
        <v/>
      </c>
      <c r="C623" s="214"/>
      <c r="E623" t="str" cm="1">
        <f t="array" aca="1" ref="E623" ca="1">IF(_xlfn.XLOOKUP(INDIRECT("RC[-1]", 0), CategoryNames, CategoryIdentifiers, "")&lt;&gt;"",INDIRECT("RC[-1]", 0),"")</f>
        <v/>
      </c>
      <c r="G623" t="str" cm="1">
        <f t="array" aca="1" ref="G623" ca="1">IF(COUNTIF($F$2:$F$1000,INDIRECT("RC[-2]",0))&gt;0,"",INDIRECT("RC[-2]",0))</f>
        <v/>
      </c>
    </row>
    <row r="624" spans="2:7" x14ac:dyDescent="0.25">
      <c r="B624" t="str" cm="1">
        <f t="array" aca="1" ref="B624" ca="1">IFERROR(DATE(RIGHT(INDIRECT("RC[-1]",0),4),LEFT(INDIRECT("RC[-1]",0),2),1), "")</f>
        <v/>
      </c>
      <c r="C624" s="214"/>
      <c r="E624" t="str" cm="1">
        <f t="array" aca="1" ref="E624" ca="1">IF(_xlfn.XLOOKUP(INDIRECT("RC[-1]", 0), CategoryNames, CategoryIdentifiers, "")&lt;&gt;"",INDIRECT("RC[-1]", 0),"")</f>
        <v/>
      </c>
      <c r="G624" t="str" cm="1">
        <f t="array" aca="1" ref="G624" ca="1">IF(COUNTIF($F$2:$F$1000,INDIRECT("RC[-2]",0))&gt;0,"",INDIRECT("RC[-2]",0))</f>
        <v/>
      </c>
    </row>
    <row r="625" spans="2:7" x14ac:dyDescent="0.25">
      <c r="B625" t="str" cm="1">
        <f t="array" aca="1" ref="B625" ca="1">IFERROR(DATE(RIGHT(INDIRECT("RC[-1]",0),4),LEFT(INDIRECT("RC[-1]",0),2),1), "")</f>
        <v/>
      </c>
      <c r="C625" s="214"/>
      <c r="E625" t="str" cm="1">
        <f t="array" aca="1" ref="E625" ca="1">IF(_xlfn.XLOOKUP(INDIRECT("RC[-1]", 0), CategoryNames, CategoryIdentifiers, "")&lt;&gt;"",INDIRECT("RC[-1]", 0),"")</f>
        <v/>
      </c>
      <c r="G625" t="str" cm="1">
        <f t="array" aca="1" ref="G625" ca="1">IF(COUNTIF($F$2:$F$1000,INDIRECT("RC[-2]",0))&gt;0,"",INDIRECT("RC[-2]",0))</f>
        <v/>
      </c>
    </row>
    <row r="626" spans="2:7" x14ac:dyDescent="0.25">
      <c r="B626" t="str" cm="1">
        <f t="array" aca="1" ref="B626" ca="1">IFERROR(DATE(RIGHT(INDIRECT("RC[-1]",0),4),LEFT(INDIRECT("RC[-1]",0),2),1), "")</f>
        <v/>
      </c>
      <c r="C626" s="214"/>
      <c r="E626" t="str" cm="1">
        <f t="array" aca="1" ref="E626" ca="1">IF(_xlfn.XLOOKUP(INDIRECT("RC[-1]", 0), CategoryNames, CategoryIdentifiers, "")&lt;&gt;"",INDIRECT("RC[-1]", 0),"")</f>
        <v/>
      </c>
      <c r="G626" t="str" cm="1">
        <f t="array" aca="1" ref="G626" ca="1">IF(COUNTIF($F$2:$F$1000,INDIRECT("RC[-2]",0))&gt;0,"",INDIRECT("RC[-2]",0))</f>
        <v/>
      </c>
    </row>
    <row r="627" spans="2:7" x14ac:dyDescent="0.25">
      <c r="B627" t="str" cm="1">
        <f t="array" aca="1" ref="B627" ca="1">IFERROR(DATE(RIGHT(INDIRECT("RC[-1]",0),4),LEFT(INDIRECT("RC[-1]",0),2),1), "")</f>
        <v/>
      </c>
      <c r="C627" s="214"/>
      <c r="E627" t="str" cm="1">
        <f t="array" aca="1" ref="E627" ca="1">IF(_xlfn.XLOOKUP(INDIRECT("RC[-1]", 0), CategoryNames, CategoryIdentifiers, "")&lt;&gt;"",INDIRECT("RC[-1]", 0),"")</f>
        <v/>
      </c>
      <c r="G627" t="str" cm="1">
        <f t="array" aca="1" ref="G627" ca="1">IF(COUNTIF($F$2:$F$1000,INDIRECT("RC[-2]",0))&gt;0,"",INDIRECT("RC[-2]",0))</f>
        <v/>
      </c>
    </row>
    <row r="628" spans="2:7" x14ac:dyDescent="0.25">
      <c r="B628" t="str" cm="1">
        <f t="array" aca="1" ref="B628" ca="1">IFERROR(DATE(RIGHT(INDIRECT("RC[-1]",0),4),LEFT(INDIRECT("RC[-1]",0),2),1), "")</f>
        <v/>
      </c>
      <c r="C628" s="214"/>
      <c r="E628" t="str" cm="1">
        <f t="array" aca="1" ref="E628" ca="1">IF(_xlfn.XLOOKUP(INDIRECT("RC[-1]", 0), CategoryNames, CategoryIdentifiers, "")&lt;&gt;"",INDIRECT("RC[-1]", 0),"")</f>
        <v/>
      </c>
      <c r="G628" t="str" cm="1">
        <f t="array" aca="1" ref="G628" ca="1">IF(COUNTIF($F$2:$F$1000,INDIRECT("RC[-2]",0))&gt;0,"",INDIRECT("RC[-2]",0))</f>
        <v/>
      </c>
    </row>
    <row r="629" spans="2:7" x14ac:dyDescent="0.25">
      <c r="B629" t="str" cm="1">
        <f t="array" aca="1" ref="B629" ca="1">IFERROR(DATE(RIGHT(INDIRECT("RC[-1]",0),4),LEFT(INDIRECT("RC[-1]",0),2),1), "")</f>
        <v/>
      </c>
      <c r="C629" s="214"/>
      <c r="E629" t="str" cm="1">
        <f t="array" aca="1" ref="E629" ca="1">IF(_xlfn.XLOOKUP(INDIRECT("RC[-1]", 0), CategoryNames, CategoryIdentifiers, "")&lt;&gt;"",INDIRECT("RC[-1]", 0),"")</f>
        <v/>
      </c>
      <c r="G629" t="str" cm="1">
        <f t="array" aca="1" ref="G629" ca="1">IF(COUNTIF($F$2:$F$1000,INDIRECT("RC[-2]",0))&gt;0,"",INDIRECT("RC[-2]",0))</f>
        <v/>
      </c>
    </row>
    <row r="630" spans="2:7" x14ac:dyDescent="0.25">
      <c r="B630" t="str" cm="1">
        <f t="array" aca="1" ref="B630" ca="1">IFERROR(DATE(RIGHT(INDIRECT("RC[-1]",0),4),LEFT(INDIRECT("RC[-1]",0),2),1), "")</f>
        <v/>
      </c>
      <c r="C630" s="214"/>
      <c r="E630" t="str" cm="1">
        <f t="array" aca="1" ref="E630" ca="1">IF(_xlfn.XLOOKUP(INDIRECT("RC[-1]", 0), CategoryNames, CategoryIdentifiers, "")&lt;&gt;"",INDIRECT("RC[-1]", 0),"")</f>
        <v/>
      </c>
      <c r="G630" t="str" cm="1">
        <f t="array" aca="1" ref="G630" ca="1">IF(COUNTIF($F$2:$F$1000,INDIRECT("RC[-2]",0))&gt;0,"",INDIRECT("RC[-2]",0))</f>
        <v/>
      </c>
    </row>
    <row r="631" spans="2:7" x14ac:dyDescent="0.25">
      <c r="B631" t="str" cm="1">
        <f t="array" aca="1" ref="B631" ca="1">IFERROR(DATE(RIGHT(INDIRECT("RC[-1]",0),4),LEFT(INDIRECT("RC[-1]",0),2),1), "")</f>
        <v/>
      </c>
      <c r="C631" s="214"/>
      <c r="E631" t="str" cm="1">
        <f t="array" aca="1" ref="E631" ca="1">IF(_xlfn.XLOOKUP(INDIRECT("RC[-1]", 0), CategoryNames, CategoryIdentifiers, "")&lt;&gt;"",INDIRECT("RC[-1]", 0),"")</f>
        <v/>
      </c>
      <c r="G631" t="str" cm="1">
        <f t="array" aca="1" ref="G631" ca="1">IF(COUNTIF($F$2:$F$1000,INDIRECT("RC[-2]",0))&gt;0,"",INDIRECT("RC[-2]",0))</f>
        <v/>
      </c>
    </row>
    <row r="632" spans="2:7" x14ac:dyDescent="0.25">
      <c r="B632" t="str" cm="1">
        <f t="array" aca="1" ref="B632" ca="1">IFERROR(DATE(RIGHT(INDIRECT("RC[-1]",0),4),LEFT(INDIRECT("RC[-1]",0),2),1), "")</f>
        <v/>
      </c>
      <c r="C632" s="214"/>
      <c r="E632" t="str" cm="1">
        <f t="array" aca="1" ref="E632" ca="1">IF(_xlfn.XLOOKUP(INDIRECT("RC[-1]", 0), CategoryNames, CategoryIdentifiers, "")&lt;&gt;"",INDIRECT("RC[-1]", 0),"")</f>
        <v/>
      </c>
      <c r="G632" t="str" cm="1">
        <f t="array" aca="1" ref="G632" ca="1">IF(COUNTIF($F$2:$F$1000,INDIRECT("RC[-2]",0))&gt;0,"",INDIRECT("RC[-2]",0))</f>
        <v/>
      </c>
    </row>
    <row r="633" spans="2:7" x14ac:dyDescent="0.25">
      <c r="B633" t="str" cm="1">
        <f t="array" aca="1" ref="B633" ca="1">IFERROR(DATE(RIGHT(INDIRECT("RC[-1]",0),4),LEFT(INDIRECT("RC[-1]",0),2),1), "")</f>
        <v/>
      </c>
      <c r="C633" s="214"/>
      <c r="E633" t="str" cm="1">
        <f t="array" aca="1" ref="E633" ca="1">IF(_xlfn.XLOOKUP(INDIRECT("RC[-1]", 0), CategoryNames, CategoryIdentifiers, "")&lt;&gt;"",INDIRECT("RC[-1]", 0),"")</f>
        <v/>
      </c>
      <c r="G633" t="str" cm="1">
        <f t="array" aca="1" ref="G633" ca="1">IF(COUNTIF($F$2:$F$1000,INDIRECT("RC[-2]",0))&gt;0,"",INDIRECT("RC[-2]",0))</f>
        <v/>
      </c>
    </row>
    <row r="634" spans="2:7" x14ac:dyDescent="0.25">
      <c r="B634" t="str" cm="1">
        <f t="array" aca="1" ref="B634" ca="1">IFERROR(DATE(RIGHT(INDIRECT("RC[-1]",0),4),LEFT(INDIRECT("RC[-1]",0),2),1), "")</f>
        <v/>
      </c>
      <c r="C634" s="214"/>
      <c r="E634" t="str" cm="1">
        <f t="array" aca="1" ref="E634" ca="1">IF(_xlfn.XLOOKUP(INDIRECT("RC[-1]", 0), CategoryNames, CategoryIdentifiers, "")&lt;&gt;"",INDIRECT("RC[-1]", 0),"")</f>
        <v/>
      </c>
      <c r="G634" t="str" cm="1">
        <f t="array" aca="1" ref="G634" ca="1">IF(COUNTIF($F$2:$F$1000,INDIRECT("RC[-2]",0))&gt;0,"",INDIRECT("RC[-2]",0))</f>
        <v/>
      </c>
    </row>
    <row r="635" spans="2:7" x14ac:dyDescent="0.25">
      <c r="B635" t="str" cm="1">
        <f t="array" aca="1" ref="B635" ca="1">IFERROR(DATE(RIGHT(INDIRECT("RC[-1]",0),4),LEFT(INDIRECT("RC[-1]",0),2),1), "")</f>
        <v/>
      </c>
      <c r="C635" s="214"/>
      <c r="E635" t="str" cm="1">
        <f t="array" aca="1" ref="E635" ca="1">IF(_xlfn.XLOOKUP(INDIRECT("RC[-1]", 0), CategoryNames, CategoryIdentifiers, "")&lt;&gt;"",INDIRECT("RC[-1]", 0),"")</f>
        <v/>
      </c>
      <c r="G635" t="str" cm="1">
        <f t="array" aca="1" ref="G635" ca="1">IF(COUNTIF($F$2:$F$1000,INDIRECT("RC[-2]",0))&gt;0,"",INDIRECT("RC[-2]",0))</f>
        <v/>
      </c>
    </row>
    <row r="636" spans="2:7" x14ac:dyDescent="0.25">
      <c r="B636" t="str" cm="1">
        <f t="array" aca="1" ref="B636" ca="1">IFERROR(DATE(RIGHT(INDIRECT("RC[-1]",0),4),LEFT(INDIRECT("RC[-1]",0),2),1), "")</f>
        <v/>
      </c>
      <c r="C636" s="214"/>
      <c r="E636" t="str" cm="1">
        <f t="array" aca="1" ref="E636" ca="1">IF(_xlfn.XLOOKUP(INDIRECT("RC[-1]", 0), CategoryNames, CategoryIdentifiers, "")&lt;&gt;"",INDIRECT("RC[-1]", 0),"")</f>
        <v/>
      </c>
      <c r="G636" t="str" cm="1">
        <f t="array" aca="1" ref="G636" ca="1">IF(COUNTIF($F$2:$F$1000,INDIRECT("RC[-2]",0))&gt;0,"",INDIRECT("RC[-2]",0))</f>
        <v/>
      </c>
    </row>
    <row r="637" spans="2:7" x14ac:dyDescent="0.25">
      <c r="B637" t="str" cm="1">
        <f t="array" aca="1" ref="B637" ca="1">IFERROR(DATE(RIGHT(INDIRECT("RC[-1]",0),4),LEFT(INDIRECT("RC[-1]",0),2),1), "")</f>
        <v/>
      </c>
      <c r="C637" s="214"/>
      <c r="E637" t="str" cm="1">
        <f t="array" aca="1" ref="E637" ca="1">IF(_xlfn.XLOOKUP(INDIRECT("RC[-1]", 0), CategoryNames, CategoryIdentifiers, "")&lt;&gt;"",INDIRECT("RC[-1]", 0),"")</f>
        <v/>
      </c>
      <c r="G637" t="str" cm="1">
        <f t="array" aca="1" ref="G637" ca="1">IF(COUNTIF($F$2:$F$1000,INDIRECT("RC[-2]",0))&gt;0,"",INDIRECT("RC[-2]",0))</f>
        <v/>
      </c>
    </row>
    <row r="638" spans="2:7" x14ac:dyDescent="0.25">
      <c r="B638" t="str" cm="1">
        <f t="array" aca="1" ref="B638" ca="1">IFERROR(DATE(RIGHT(INDIRECT("RC[-1]",0),4),LEFT(INDIRECT("RC[-1]",0),2),1), "")</f>
        <v/>
      </c>
      <c r="C638" s="214"/>
      <c r="E638" t="str" cm="1">
        <f t="array" aca="1" ref="E638" ca="1">IF(_xlfn.XLOOKUP(INDIRECT("RC[-1]", 0), CategoryNames, CategoryIdentifiers, "")&lt;&gt;"",INDIRECT("RC[-1]", 0),"")</f>
        <v/>
      </c>
      <c r="G638" t="str" cm="1">
        <f t="array" aca="1" ref="G638" ca="1">IF(COUNTIF($F$2:$F$1000,INDIRECT("RC[-2]",0))&gt;0,"",INDIRECT("RC[-2]",0))</f>
        <v/>
      </c>
    </row>
    <row r="639" spans="2:7" x14ac:dyDescent="0.25">
      <c r="B639" t="str" cm="1">
        <f t="array" aca="1" ref="B639" ca="1">IFERROR(DATE(RIGHT(INDIRECT("RC[-1]",0),4),LEFT(INDIRECT("RC[-1]",0),2),1), "")</f>
        <v/>
      </c>
      <c r="C639" s="214"/>
      <c r="E639" t="str" cm="1">
        <f t="array" aca="1" ref="E639" ca="1">IF(_xlfn.XLOOKUP(INDIRECT("RC[-1]", 0), CategoryNames, CategoryIdentifiers, "")&lt;&gt;"",INDIRECT("RC[-1]", 0),"")</f>
        <v/>
      </c>
      <c r="G639" t="str" cm="1">
        <f t="array" aca="1" ref="G639" ca="1">IF(COUNTIF($F$2:$F$1000,INDIRECT("RC[-2]",0))&gt;0,"",INDIRECT("RC[-2]",0))</f>
        <v/>
      </c>
    </row>
    <row r="640" spans="2:7" x14ac:dyDescent="0.25">
      <c r="B640" t="str" cm="1">
        <f t="array" aca="1" ref="B640" ca="1">IFERROR(DATE(RIGHT(INDIRECT("RC[-1]",0),4),LEFT(INDIRECT("RC[-1]",0),2),1), "")</f>
        <v/>
      </c>
      <c r="C640" s="214"/>
      <c r="E640" t="str" cm="1">
        <f t="array" aca="1" ref="E640" ca="1">IF(_xlfn.XLOOKUP(INDIRECT("RC[-1]", 0), CategoryNames, CategoryIdentifiers, "")&lt;&gt;"",INDIRECT("RC[-1]", 0),"")</f>
        <v/>
      </c>
      <c r="G640" t="str" cm="1">
        <f t="array" aca="1" ref="G640" ca="1">IF(COUNTIF($F$2:$F$1000,INDIRECT("RC[-2]",0))&gt;0,"",INDIRECT("RC[-2]",0))</f>
        <v/>
      </c>
    </row>
    <row r="641" spans="2:7" x14ac:dyDescent="0.25">
      <c r="B641" t="str" cm="1">
        <f t="array" aca="1" ref="B641" ca="1">IFERROR(DATE(RIGHT(INDIRECT("RC[-1]",0),4),LEFT(INDIRECT("RC[-1]",0),2),1), "")</f>
        <v/>
      </c>
      <c r="C641" s="214"/>
      <c r="E641" t="str" cm="1">
        <f t="array" aca="1" ref="E641" ca="1">IF(_xlfn.XLOOKUP(INDIRECT("RC[-1]", 0), CategoryNames, CategoryIdentifiers, "")&lt;&gt;"",INDIRECT("RC[-1]", 0),"")</f>
        <v/>
      </c>
      <c r="G641" t="str" cm="1">
        <f t="array" aca="1" ref="G641" ca="1">IF(COUNTIF($F$2:$F$1000,INDIRECT("RC[-2]",0))&gt;0,"",INDIRECT("RC[-2]",0))</f>
        <v/>
      </c>
    </row>
    <row r="642" spans="2:7" x14ac:dyDescent="0.25">
      <c r="B642" t="str" cm="1">
        <f t="array" aca="1" ref="B642" ca="1">IFERROR(DATE(RIGHT(INDIRECT("RC[-1]",0),4),LEFT(INDIRECT("RC[-1]",0),2),1), "")</f>
        <v/>
      </c>
      <c r="C642" s="214"/>
      <c r="E642" t="str" cm="1">
        <f t="array" aca="1" ref="E642" ca="1">IF(_xlfn.XLOOKUP(INDIRECT("RC[-1]", 0), CategoryNames, CategoryIdentifiers, "")&lt;&gt;"",INDIRECT("RC[-1]", 0),"")</f>
        <v/>
      </c>
      <c r="G642" t="str" cm="1">
        <f t="array" aca="1" ref="G642" ca="1">IF(COUNTIF($F$2:$F$1000,INDIRECT("RC[-2]",0))&gt;0,"",INDIRECT("RC[-2]",0))</f>
        <v/>
      </c>
    </row>
    <row r="643" spans="2:7" x14ac:dyDescent="0.25">
      <c r="B643" t="str" cm="1">
        <f t="array" aca="1" ref="B643" ca="1">IFERROR(DATE(RIGHT(INDIRECT("RC[-1]",0),4),LEFT(INDIRECT("RC[-1]",0),2),1), "")</f>
        <v/>
      </c>
      <c r="C643" s="214"/>
      <c r="E643" t="str" cm="1">
        <f t="array" aca="1" ref="E643" ca="1">IF(_xlfn.XLOOKUP(INDIRECT("RC[-1]", 0), CategoryNames, CategoryIdentifiers, "")&lt;&gt;"",INDIRECT("RC[-1]", 0),"")</f>
        <v/>
      </c>
      <c r="G643" t="str" cm="1">
        <f t="array" aca="1" ref="G643" ca="1">IF(COUNTIF($F$2:$F$1000,INDIRECT("RC[-2]",0))&gt;0,"",INDIRECT("RC[-2]",0))</f>
        <v/>
      </c>
    </row>
    <row r="644" spans="2:7" x14ac:dyDescent="0.25">
      <c r="B644" t="str" cm="1">
        <f t="array" aca="1" ref="B644" ca="1">IFERROR(DATE(RIGHT(INDIRECT("RC[-1]",0),4),LEFT(INDIRECT("RC[-1]",0),2),1), "")</f>
        <v/>
      </c>
      <c r="C644" s="214"/>
      <c r="E644" t="str" cm="1">
        <f t="array" aca="1" ref="E644" ca="1">IF(_xlfn.XLOOKUP(INDIRECT("RC[-1]", 0), CategoryNames, CategoryIdentifiers, "")&lt;&gt;"",INDIRECT("RC[-1]", 0),"")</f>
        <v/>
      </c>
      <c r="G644" t="str" cm="1">
        <f t="array" aca="1" ref="G644" ca="1">IF(COUNTIF($F$2:$F$1000,INDIRECT("RC[-2]",0))&gt;0,"",INDIRECT("RC[-2]",0))</f>
        <v/>
      </c>
    </row>
    <row r="645" spans="2:7" x14ac:dyDescent="0.25">
      <c r="B645" t="str" cm="1">
        <f t="array" aca="1" ref="B645" ca="1">IFERROR(DATE(RIGHT(INDIRECT("RC[-1]",0),4),LEFT(INDIRECT("RC[-1]",0),2),1), "")</f>
        <v/>
      </c>
      <c r="C645" s="214"/>
      <c r="E645" t="str" cm="1">
        <f t="array" aca="1" ref="E645" ca="1">IF(_xlfn.XLOOKUP(INDIRECT("RC[-1]", 0), CategoryNames, CategoryIdentifiers, "")&lt;&gt;"",INDIRECT("RC[-1]", 0),"")</f>
        <v/>
      </c>
      <c r="G645" t="str" cm="1">
        <f t="array" aca="1" ref="G645" ca="1">IF(COUNTIF($F$2:$F$1000,INDIRECT("RC[-2]",0))&gt;0,"",INDIRECT("RC[-2]",0))</f>
        <v/>
      </c>
    </row>
    <row r="646" spans="2:7" x14ac:dyDescent="0.25">
      <c r="B646" t="str" cm="1">
        <f t="array" aca="1" ref="B646" ca="1">IFERROR(DATE(RIGHT(INDIRECT("RC[-1]",0),4),LEFT(INDIRECT("RC[-1]",0),2),1), "")</f>
        <v/>
      </c>
      <c r="C646" s="214"/>
      <c r="E646" t="str" cm="1">
        <f t="array" aca="1" ref="E646" ca="1">IF(_xlfn.XLOOKUP(INDIRECT("RC[-1]", 0), CategoryNames, CategoryIdentifiers, "")&lt;&gt;"",INDIRECT("RC[-1]", 0),"")</f>
        <v/>
      </c>
      <c r="G646" t="str" cm="1">
        <f t="array" aca="1" ref="G646" ca="1">IF(COUNTIF($F$2:$F$1000,INDIRECT("RC[-2]",0))&gt;0,"",INDIRECT("RC[-2]",0))</f>
        <v/>
      </c>
    </row>
    <row r="647" spans="2:7" x14ac:dyDescent="0.25">
      <c r="B647" t="str" cm="1">
        <f t="array" aca="1" ref="B647" ca="1">IFERROR(DATE(RIGHT(INDIRECT("RC[-1]",0),4),LEFT(INDIRECT("RC[-1]",0),2),1), "")</f>
        <v/>
      </c>
      <c r="C647" s="214"/>
      <c r="E647" t="str" cm="1">
        <f t="array" aca="1" ref="E647" ca="1">IF(_xlfn.XLOOKUP(INDIRECT("RC[-1]", 0), CategoryNames, CategoryIdentifiers, "")&lt;&gt;"",INDIRECT("RC[-1]", 0),"")</f>
        <v/>
      </c>
      <c r="G647" t="str" cm="1">
        <f t="array" aca="1" ref="G647" ca="1">IF(COUNTIF($F$2:$F$1000,INDIRECT("RC[-2]",0))&gt;0,"",INDIRECT("RC[-2]",0))</f>
        <v/>
      </c>
    </row>
    <row r="648" spans="2:7" x14ac:dyDescent="0.25">
      <c r="B648" t="str" cm="1">
        <f t="array" aca="1" ref="B648" ca="1">IFERROR(DATE(RIGHT(INDIRECT("RC[-1]",0),4),LEFT(INDIRECT("RC[-1]",0),2),1), "")</f>
        <v/>
      </c>
      <c r="C648" s="214"/>
      <c r="E648" t="str" cm="1">
        <f t="array" aca="1" ref="E648" ca="1">IF(_xlfn.XLOOKUP(INDIRECT("RC[-1]", 0), CategoryNames, CategoryIdentifiers, "")&lt;&gt;"",INDIRECT("RC[-1]", 0),"")</f>
        <v/>
      </c>
      <c r="G648" t="str" cm="1">
        <f t="array" aca="1" ref="G648" ca="1">IF(COUNTIF($F$2:$F$1000,INDIRECT("RC[-2]",0))&gt;0,"",INDIRECT("RC[-2]",0))</f>
        <v/>
      </c>
    </row>
    <row r="649" spans="2:7" x14ac:dyDescent="0.25">
      <c r="B649" t="str" cm="1">
        <f t="array" aca="1" ref="B649" ca="1">IFERROR(DATE(RIGHT(INDIRECT("RC[-1]",0),4),LEFT(INDIRECT("RC[-1]",0),2),1), "")</f>
        <v/>
      </c>
      <c r="C649" s="214"/>
      <c r="E649" t="str" cm="1">
        <f t="array" aca="1" ref="E649" ca="1">IF(_xlfn.XLOOKUP(INDIRECT("RC[-1]", 0), CategoryNames, CategoryIdentifiers, "")&lt;&gt;"",INDIRECT("RC[-1]", 0),"")</f>
        <v/>
      </c>
      <c r="G649" t="str" cm="1">
        <f t="array" aca="1" ref="G649" ca="1">IF(COUNTIF($F$2:$F$1000,INDIRECT("RC[-2]",0))&gt;0,"",INDIRECT("RC[-2]",0))</f>
        <v/>
      </c>
    </row>
    <row r="650" spans="2:7" x14ac:dyDescent="0.25">
      <c r="B650" t="str" cm="1">
        <f t="array" aca="1" ref="B650" ca="1">IFERROR(DATE(RIGHT(INDIRECT("RC[-1]",0),4),LEFT(INDIRECT("RC[-1]",0),2),1), "")</f>
        <v/>
      </c>
      <c r="C650" s="214"/>
      <c r="E650" t="str" cm="1">
        <f t="array" aca="1" ref="E650" ca="1">IF(_xlfn.XLOOKUP(INDIRECT("RC[-1]", 0), CategoryNames, CategoryIdentifiers, "")&lt;&gt;"",INDIRECT("RC[-1]", 0),"")</f>
        <v/>
      </c>
      <c r="G650" t="str" cm="1">
        <f t="array" aca="1" ref="G650" ca="1">IF(COUNTIF($F$2:$F$1000,INDIRECT("RC[-2]",0))&gt;0,"",INDIRECT("RC[-2]",0))</f>
        <v/>
      </c>
    </row>
    <row r="651" spans="2:7" x14ac:dyDescent="0.25">
      <c r="B651" t="str" cm="1">
        <f t="array" aca="1" ref="B651" ca="1">IFERROR(DATE(RIGHT(INDIRECT("RC[-1]",0),4),LEFT(INDIRECT("RC[-1]",0),2),1), "")</f>
        <v/>
      </c>
      <c r="C651" s="214"/>
      <c r="E651" t="str" cm="1">
        <f t="array" aca="1" ref="E651" ca="1">IF(_xlfn.XLOOKUP(INDIRECT("RC[-1]", 0), CategoryNames, CategoryIdentifiers, "")&lt;&gt;"",INDIRECT("RC[-1]", 0),"")</f>
        <v/>
      </c>
      <c r="G651" t="str" cm="1">
        <f t="array" aca="1" ref="G651" ca="1">IF(COUNTIF($F$2:$F$1000,INDIRECT("RC[-2]",0))&gt;0,"",INDIRECT("RC[-2]",0))</f>
        <v/>
      </c>
    </row>
    <row r="652" spans="2:7" x14ac:dyDescent="0.25">
      <c r="B652" t="str" cm="1">
        <f t="array" aca="1" ref="B652" ca="1">IFERROR(DATE(RIGHT(INDIRECT("RC[-1]",0),4),LEFT(INDIRECT("RC[-1]",0),2),1), "")</f>
        <v/>
      </c>
      <c r="C652" s="214"/>
      <c r="E652" t="str" cm="1">
        <f t="array" aca="1" ref="E652" ca="1">IF(_xlfn.XLOOKUP(INDIRECT("RC[-1]", 0), CategoryNames, CategoryIdentifiers, "")&lt;&gt;"",INDIRECT("RC[-1]", 0),"")</f>
        <v/>
      </c>
      <c r="G652" t="str" cm="1">
        <f t="array" aca="1" ref="G652" ca="1">IF(COUNTIF($F$2:$F$1000,INDIRECT("RC[-2]",0))&gt;0,"",INDIRECT("RC[-2]",0))</f>
        <v/>
      </c>
    </row>
    <row r="653" spans="2:7" x14ac:dyDescent="0.25">
      <c r="B653" t="str" cm="1">
        <f t="array" aca="1" ref="B653" ca="1">IFERROR(DATE(RIGHT(INDIRECT("RC[-1]",0),4),LEFT(INDIRECT("RC[-1]",0),2),1), "")</f>
        <v/>
      </c>
      <c r="C653" s="214"/>
      <c r="E653" t="str" cm="1">
        <f t="array" aca="1" ref="E653" ca="1">IF(_xlfn.XLOOKUP(INDIRECT("RC[-1]", 0), CategoryNames, CategoryIdentifiers, "")&lt;&gt;"",INDIRECT("RC[-1]", 0),"")</f>
        <v/>
      </c>
      <c r="G653" t="str" cm="1">
        <f t="array" aca="1" ref="G653" ca="1">IF(COUNTIF($F$2:$F$1000,INDIRECT("RC[-2]",0))&gt;0,"",INDIRECT("RC[-2]",0))</f>
        <v/>
      </c>
    </row>
    <row r="654" spans="2:7" x14ac:dyDescent="0.25">
      <c r="B654" t="str" cm="1">
        <f t="array" aca="1" ref="B654" ca="1">IFERROR(DATE(RIGHT(INDIRECT("RC[-1]",0),4),LEFT(INDIRECT("RC[-1]",0),2),1), "")</f>
        <v/>
      </c>
      <c r="C654" s="214"/>
      <c r="E654" t="str" cm="1">
        <f t="array" aca="1" ref="E654" ca="1">IF(_xlfn.XLOOKUP(INDIRECT("RC[-1]", 0), CategoryNames, CategoryIdentifiers, "")&lt;&gt;"",INDIRECT("RC[-1]", 0),"")</f>
        <v/>
      </c>
      <c r="G654" t="str" cm="1">
        <f t="array" aca="1" ref="G654" ca="1">IF(COUNTIF($F$2:$F$1000,INDIRECT("RC[-2]",0))&gt;0,"",INDIRECT("RC[-2]",0))</f>
        <v/>
      </c>
    </row>
    <row r="655" spans="2:7" x14ac:dyDescent="0.25">
      <c r="B655" t="str" cm="1">
        <f t="array" aca="1" ref="B655" ca="1">IFERROR(DATE(RIGHT(INDIRECT("RC[-1]",0),4),LEFT(INDIRECT("RC[-1]",0),2),1), "")</f>
        <v/>
      </c>
      <c r="C655" s="214"/>
      <c r="E655" t="str" cm="1">
        <f t="array" aca="1" ref="E655" ca="1">IF(_xlfn.XLOOKUP(INDIRECT("RC[-1]", 0), CategoryNames, CategoryIdentifiers, "")&lt;&gt;"",INDIRECT("RC[-1]", 0),"")</f>
        <v/>
      </c>
      <c r="G655" t="str" cm="1">
        <f t="array" aca="1" ref="G655" ca="1">IF(COUNTIF($F$2:$F$1000,INDIRECT("RC[-2]",0))&gt;0,"",INDIRECT("RC[-2]",0))</f>
        <v/>
      </c>
    </row>
    <row r="656" spans="2:7" x14ac:dyDescent="0.25">
      <c r="B656" t="str" cm="1">
        <f t="array" aca="1" ref="B656" ca="1">IFERROR(DATE(RIGHT(INDIRECT("RC[-1]",0),4),LEFT(INDIRECT("RC[-1]",0),2),1), "")</f>
        <v/>
      </c>
      <c r="C656" s="214"/>
      <c r="E656" t="str" cm="1">
        <f t="array" aca="1" ref="E656" ca="1">IF(_xlfn.XLOOKUP(INDIRECT("RC[-1]", 0), CategoryNames, CategoryIdentifiers, "")&lt;&gt;"",INDIRECT("RC[-1]", 0),"")</f>
        <v/>
      </c>
      <c r="G656" t="str" cm="1">
        <f t="array" aca="1" ref="G656" ca="1">IF(COUNTIF($F$2:$F$1000,INDIRECT("RC[-2]",0))&gt;0,"",INDIRECT("RC[-2]",0))</f>
        <v/>
      </c>
    </row>
    <row r="657" spans="2:7" x14ac:dyDescent="0.25">
      <c r="B657" t="str" cm="1">
        <f t="array" aca="1" ref="B657" ca="1">IFERROR(DATE(RIGHT(INDIRECT("RC[-1]",0),4),LEFT(INDIRECT("RC[-1]",0),2),1), "")</f>
        <v/>
      </c>
      <c r="C657" s="214"/>
      <c r="E657" t="str" cm="1">
        <f t="array" aca="1" ref="E657" ca="1">IF(_xlfn.XLOOKUP(INDIRECT("RC[-1]", 0), CategoryNames, CategoryIdentifiers, "")&lt;&gt;"",INDIRECT("RC[-1]", 0),"")</f>
        <v/>
      </c>
      <c r="G657" t="str" cm="1">
        <f t="array" aca="1" ref="G657" ca="1">IF(COUNTIF($F$2:$F$1000,INDIRECT("RC[-2]",0))&gt;0,"",INDIRECT("RC[-2]",0))</f>
        <v/>
      </c>
    </row>
    <row r="658" spans="2:7" x14ac:dyDescent="0.25">
      <c r="B658" t="str" cm="1">
        <f t="array" aca="1" ref="B658" ca="1">IFERROR(DATE(RIGHT(INDIRECT("RC[-1]",0),4),LEFT(INDIRECT("RC[-1]",0),2),1), "")</f>
        <v/>
      </c>
      <c r="C658" s="214"/>
      <c r="E658" t="str" cm="1">
        <f t="array" aca="1" ref="E658" ca="1">IF(_xlfn.XLOOKUP(INDIRECT("RC[-1]", 0), CategoryNames, CategoryIdentifiers, "")&lt;&gt;"",INDIRECT("RC[-1]", 0),"")</f>
        <v/>
      </c>
      <c r="G658" t="str" cm="1">
        <f t="array" aca="1" ref="G658" ca="1">IF(COUNTIF($F$2:$F$1000,INDIRECT("RC[-2]",0))&gt;0,"",INDIRECT("RC[-2]",0))</f>
        <v/>
      </c>
    </row>
    <row r="659" spans="2:7" x14ac:dyDescent="0.25">
      <c r="B659" t="str" cm="1">
        <f t="array" aca="1" ref="B659" ca="1">IFERROR(DATE(RIGHT(INDIRECT("RC[-1]",0),4),LEFT(INDIRECT("RC[-1]",0),2),1), "")</f>
        <v/>
      </c>
      <c r="C659" s="214"/>
      <c r="E659" t="str" cm="1">
        <f t="array" aca="1" ref="E659" ca="1">IF(_xlfn.XLOOKUP(INDIRECT("RC[-1]", 0), CategoryNames, CategoryIdentifiers, "")&lt;&gt;"",INDIRECT("RC[-1]", 0),"")</f>
        <v/>
      </c>
      <c r="G659" t="str" cm="1">
        <f t="array" aca="1" ref="G659" ca="1">IF(COUNTIF($F$2:$F$1000,INDIRECT("RC[-2]",0))&gt;0,"",INDIRECT("RC[-2]",0))</f>
        <v/>
      </c>
    </row>
    <row r="660" spans="2:7" x14ac:dyDescent="0.25">
      <c r="B660" t="str" cm="1">
        <f t="array" aca="1" ref="B660" ca="1">IFERROR(DATE(RIGHT(INDIRECT("RC[-1]",0),4),LEFT(INDIRECT("RC[-1]",0),2),1), "")</f>
        <v/>
      </c>
      <c r="C660" s="214"/>
      <c r="E660" t="str" cm="1">
        <f t="array" aca="1" ref="E660" ca="1">IF(_xlfn.XLOOKUP(INDIRECT("RC[-1]", 0), CategoryNames, CategoryIdentifiers, "")&lt;&gt;"",INDIRECT("RC[-1]", 0),"")</f>
        <v/>
      </c>
      <c r="G660" t="str" cm="1">
        <f t="array" aca="1" ref="G660" ca="1">IF(COUNTIF($F$2:$F$1000,INDIRECT("RC[-2]",0))&gt;0,"",INDIRECT("RC[-2]",0))</f>
        <v/>
      </c>
    </row>
    <row r="661" spans="2:7" x14ac:dyDescent="0.25">
      <c r="B661" t="str" cm="1">
        <f t="array" aca="1" ref="B661" ca="1">IFERROR(DATE(RIGHT(INDIRECT("RC[-1]",0),4),LEFT(INDIRECT("RC[-1]",0),2),1), "")</f>
        <v/>
      </c>
      <c r="C661" s="214"/>
      <c r="E661" t="str" cm="1">
        <f t="array" aca="1" ref="E661" ca="1">IF(_xlfn.XLOOKUP(INDIRECT("RC[-1]", 0), CategoryNames, CategoryIdentifiers, "")&lt;&gt;"",INDIRECT("RC[-1]", 0),"")</f>
        <v/>
      </c>
      <c r="G661" t="str" cm="1">
        <f t="array" aca="1" ref="G661" ca="1">IF(COUNTIF($F$2:$F$1000,INDIRECT("RC[-2]",0))&gt;0,"",INDIRECT("RC[-2]",0))</f>
        <v/>
      </c>
    </row>
    <row r="662" spans="2:7" x14ac:dyDescent="0.25">
      <c r="B662" t="str" cm="1">
        <f t="array" aca="1" ref="B662" ca="1">IFERROR(DATE(RIGHT(INDIRECT("RC[-1]",0),4),LEFT(INDIRECT("RC[-1]",0),2),1), "")</f>
        <v/>
      </c>
      <c r="C662" s="214"/>
      <c r="E662" t="str" cm="1">
        <f t="array" aca="1" ref="E662" ca="1">IF(_xlfn.XLOOKUP(INDIRECT("RC[-1]", 0), CategoryNames, CategoryIdentifiers, "")&lt;&gt;"",INDIRECT("RC[-1]", 0),"")</f>
        <v/>
      </c>
      <c r="G662" t="str" cm="1">
        <f t="array" aca="1" ref="G662" ca="1">IF(COUNTIF($F$2:$F$1000,INDIRECT("RC[-2]",0))&gt;0,"",INDIRECT("RC[-2]",0))</f>
        <v/>
      </c>
    </row>
    <row r="663" spans="2:7" x14ac:dyDescent="0.25">
      <c r="B663" t="str" cm="1">
        <f t="array" aca="1" ref="B663" ca="1">IFERROR(DATE(RIGHT(INDIRECT("RC[-1]",0),4),LEFT(INDIRECT("RC[-1]",0),2),1), "")</f>
        <v/>
      </c>
      <c r="C663" s="214"/>
      <c r="E663" t="str" cm="1">
        <f t="array" aca="1" ref="E663" ca="1">IF(_xlfn.XLOOKUP(INDIRECT("RC[-1]", 0), CategoryNames, CategoryIdentifiers, "")&lt;&gt;"",INDIRECT("RC[-1]", 0),"")</f>
        <v/>
      </c>
      <c r="G663" t="str" cm="1">
        <f t="array" aca="1" ref="G663" ca="1">IF(COUNTIF($F$2:$F$1000,INDIRECT("RC[-2]",0))&gt;0,"",INDIRECT("RC[-2]",0))</f>
        <v/>
      </c>
    </row>
    <row r="664" spans="2:7" x14ac:dyDescent="0.25">
      <c r="B664" t="str" cm="1">
        <f t="array" aca="1" ref="B664" ca="1">IFERROR(DATE(RIGHT(INDIRECT("RC[-1]",0),4),LEFT(INDIRECT("RC[-1]",0),2),1), "")</f>
        <v/>
      </c>
      <c r="C664" s="214"/>
      <c r="E664" t="str" cm="1">
        <f t="array" aca="1" ref="E664" ca="1">IF(_xlfn.XLOOKUP(INDIRECT("RC[-1]", 0), CategoryNames, CategoryIdentifiers, "")&lt;&gt;"",INDIRECT("RC[-1]", 0),"")</f>
        <v/>
      </c>
      <c r="G664" t="str" cm="1">
        <f t="array" aca="1" ref="G664" ca="1">IF(COUNTIF($F$2:$F$1000,INDIRECT("RC[-2]",0))&gt;0,"",INDIRECT("RC[-2]",0))</f>
        <v/>
      </c>
    </row>
    <row r="665" spans="2:7" x14ac:dyDescent="0.25">
      <c r="B665" t="str" cm="1">
        <f t="array" aca="1" ref="B665" ca="1">IFERROR(DATE(RIGHT(INDIRECT("RC[-1]",0),4),LEFT(INDIRECT("RC[-1]",0),2),1), "")</f>
        <v/>
      </c>
      <c r="C665" s="214"/>
      <c r="E665" t="str" cm="1">
        <f t="array" aca="1" ref="E665" ca="1">IF(_xlfn.XLOOKUP(INDIRECT("RC[-1]", 0), CategoryNames, CategoryIdentifiers, "")&lt;&gt;"",INDIRECT("RC[-1]", 0),"")</f>
        <v/>
      </c>
      <c r="G665" t="str" cm="1">
        <f t="array" aca="1" ref="G665" ca="1">IF(COUNTIF($F$2:$F$1000,INDIRECT("RC[-2]",0))&gt;0,"",INDIRECT("RC[-2]",0))</f>
        <v/>
      </c>
    </row>
    <row r="666" spans="2:7" x14ac:dyDescent="0.25">
      <c r="B666" t="str" cm="1">
        <f t="array" aca="1" ref="B666" ca="1">IFERROR(DATE(RIGHT(INDIRECT("RC[-1]",0),4),LEFT(INDIRECT("RC[-1]",0),2),1), "")</f>
        <v/>
      </c>
      <c r="C666" s="214"/>
      <c r="E666" t="str" cm="1">
        <f t="array" aca="1" ref="E666" ca="1">IF(_xlfn.XLOOKUP(INDIRECT("RC[-1]", 0), CategoryNames, CategoryIdentifiers, "")&lt;&gt;"",INDIRECT("RC[-1]", 0),"")</f>
        <v/>
      </c>
      <c r="G666" t="str" cm="1">
        <f t="array" aca="1" ref="G666" ca="1">IF(COUNTIF($F$2:$F$1000,INDIRECT("RC[-2]",0))&gt;0,"",INDIRECT("RC[-2]",0))</f>
        <v/>
      </c>
    </row>
    <row r="667" spans="2:7" x14ac:dyDescent="0.25">
      <c r="B667" t="str" cm="1">
        <f t="array" aca="1" ref="B667" ca="1">IFERROR(DATE(RIGHT(INDIRECT("RC[-1]",0),4),LEFT(INDIRECT("RC[-1]",0),2),1), "")</f>
        <v/>
      </c>
      <c r="C667" s="214"/>
      <c r="E667" t="str" cm="1">
        <f t="array" aca="1" ref="E667" ca="1">IF(_xlfn.XLOOKUP(INDIRECT("RC[-1]", 0), CategoryNames, CategoryIdentifiers, "")&lt;&gt;"",INDIRECT("RC[-1]", 0),"")</f>
        <v/>
      </c>
      <c r="G667" t="str" cm="1">
        <f t="array" aca="1" ref="G667" ca="1">IF(COUNTIF($F$2:$F$1000,INDIRECT("RC[-2]",0))&gt;0,"",INDIRECT("RC[-2]",0))</f>
        <v/>
      </c>
    </row>
    <row r="668" spans="2:7" x14ac:dyDescent="0.25">
      <c r="B668" t="str" cm="1">
        <f t="array" aca="1" ref="B668" ca="1">IFERROR(DATE(RIGHT(INDIRECT("RC[-1]",0),4),LEFT(INDIRECT("RC[-1]",0),2),1), "")</f>
        <v/>
      </c>
      <c r="C668" s="214"/>
      <c r="E668" t="str" cm="1">
        <f t="array" aca="1" ref="E668" ca="1">IF(_xlfn.XLOOKUP(INDIRECT("RC[-1]", 0), CategoryNames, CategoryIdentifiers, "")&lt;&gt;"",INDIRECT("RC[-1]", 0),"")</f>
        <v/>
      </c>
      <c r="G668" t="str" cm="1">
        <f t="array" aca="1" ref="G668" ca="1">IF(COUNTIF($F$2:$F$1000,INDIRECT("RC[-2]",0))&gt;0,"",INDIRECT("RC[-2]",0))</f>
        <v/>
      </c>
    </row>
    <row r="669" spans="2:7" x14ac:dyDescent="0.25">
      <c r="B669" t="str" cm="1">
        <f t="array" aca="1" ref="B669" ca="1">IFERROR(DATE(RIGHT(INDIRECT("RC[-1]",0),4),LEFT(INDIRECT("RC[-1]",0),2),1), "")</f>
        <v/>
      </c>
      <c r="C669" s="214"/>
      <c r="E669" t="str" cm="1">
        <f t="array" aca="1" ref="E669" ca="1">IF(_xlfn.XLOOKUP(INDIRECT("RC[-1]", 0), CategoryNames, CategoryIdentifiers, "")&lt;&gt;"",INDIRECT("RC[-1]", 0),"")</f>
        <v/>
      </c>
      <c r="G669" t="str" cm="1">
        <f t="array" aca="1" ref="G669" ca="1">IF(COUNTIF($F$2:$F$1000,INDIRECT("RC[-2]",0))&gt;0,"",INDIRECT("RC[-2]",0))</f>
        <v/>
      </c>
    </row>
    <row r="670" spans="2:7" x14ac:dyDescent="0.25">
      <c r="B670" t="str" cm="1">
        <f t="array" aca="1" ref="B670" ca="1">IFERROR(DATE(RIGHT(INDIRECT("RC[-1]",0),4),LEFT(INDIRECT("RC[-1]",0),2),1), "")</f>
        <v/>
      </c>
      <c r="C670" s="214"/>
      <c r="E670" t="str" cm="1">
        <f t="array" aca="1" ref="E670" ca="1">IF(_xlfn.XLOOKUP(INDIRECT("RC[-1]", 0), CategoryNames, CategoryIdentifiers, "")&lt;&gt;"",INDIRECT("RC[-1]", 0),"")</f>
        <v/>
      </c>
      <c r="G670" t="str" cm="1">
        <f t="array" aca="1" ref="G670" ca="1">IF(COUNTIF($F$2:$F$1000,INDIRECT("RC[-2]",0))&gt;0,"",INDIRECT("RC[-2]",0))</f>
        <v/>
      </c>
    </row>
    <row r="671" spans="2:7" x14ac:dyDescent="0.25">
      <c r="B671" t="str" cm="1">
        <f t="array" aca="1" ref="B671" ca="1">IFERROR(DATE(RIGHT(INDIRECT("RC[-1]",0),4),LEFT(INDIRECT("RC[-1]",0),2),1), "")</f>
        <v/>
      </c>
      <c r="C671" s="214"/>
      <c r="E671" t="str" cm="1">
        <f t="array" aca="1" ref="E671" ca="1">IF(_xlfn.XLOOKUP(INDIRECT("RC[-1]", 0), CategoryNames, CategoryIdentifiers, "")&lt;&gt;"",INDIRECT("RC[-1]", 0),"")</f>
        <v/>
      </c>
      <c r="G671" t="str" cm="1">
        <f t="array" aca="1" ref="G671" ca="1">IF(COUNTIF($F$2:$F$1000,INDIRECT("RC[-2]",0))&gt;0,"",INDIRECT("RC[-2]",0))</f>
        <v/>
      </c>
    </row>
    <row r="672" spans="2:7" x14ac:dyDescent="0.25">
      <c r="B672" t="str" cm="1">
        <f t="array" aca="1" ref="B672" ca="1">IFERROR(DATE(RIGHT(INDIRECT("RC[-1]",0),4),LEFT(INDIRECT("RC[-1]",0),2),1), "")</f>
        <v/>
      </c>
      <c r="C672" s="214"/>
      <c r="E672" t="str" cm="1">
        <f t="array" aca="1" ref="E672" ca="1">IF(_xlfn.XLOOKUP(INDIRECT("RC[-1]", 0), CategoryNames, CategoryIdentifiers, "")&lt;&gt;"",INDIRECT("RC[-1]", 0),"")</f>
        <v/>
      </c>
      <c r="G672" t="str" cm="1">
        <f t="array" aca="1" ref="G672" ca="1">IF(COUNTIF($F$2:$F$1000,INDIRECT("RC[-2]",0))&gt;0,"",INDIRECT("RC[-2]",0))</f>
        <v/>
      </c>
    </row>
    <row r="673" spans="2:7" x14ac:dyDescent="0.25">
      <c r="B673" t="str" cm="1">
        <f t="array" aca="1" ref="B673" ca="1">IFERROR(DATE(RIGHT(INDIRECT("RC[-1]",0),4),LEFT(INDIRECT("RC[-1]",0),2),1), "")</f>
        <v/>
      </c>
      <c r="C673" s="214"/>
      <c r="E673" t="str" cm="1">
        <f t="array" aca="1" ref="E673" ca="1">IF(_xlfn.XLOOKUP(INDIRECT("RC[-1]", 0), CategoryNames, CategoryIdentifiers, "")&lt;&gt;"",INDIRECT("RC[-1]", 0),"")</f>
        <v/>
      </c>
      <c r="G673" t="str" cm="1">
        <f t="array" aca="1" ref="G673" ca="1">IF(COUNTIF($F$2:$F$1000,INDIRECT("RC[-2]",0))&gt;0,"",INDIRECT("RC[-2]",0))</f>
        <v/>
      </c>
    </row>
    <row r="674" spans="2:7" x14ac:dyDescent="0.25">
      <c r="B674" t="str" cm="1">
        <f t="array" aca="1" ref="B674" ca="1">IFERROR(DATE(RIGHT(INDIRECT("RC[-1]",0),4),LEFT(INDIRECT("RC[-1]",0),2),1), "")</f>
        <v/>
      </c>
      <c r="C674" s="214"/>
      <c r="E674" t="str" cm="1">
        <f t="array" aca="1" ref="E674" ca="1">IF(_xlfn.XLOOKUP(INDIRECT("RC[-1]", 0), CategoryNames, CategoryIdentifiers, "")&lt;&gt;"",INDIRECT("RC[-1]", 0),"")</f>
        <v/>
      </c>
      <c r="G674" t="str" cm="1">
        <f t="array" aca="1" ref="G674" ca="1">IF(COUNTIF($F$2:$F$1000,INDIRECT("RC[-2]",0))&gt;0,"",INDIRECT("RC[-2]",0))</f>
        <v/>
      </c>
    </row>
    <row r="675" spans="2:7" x14ac:dyDescent="0.25">
      <c r="B675" t="str" cm="1">
        <f t="array" aca="1" ref="B675" ca="1">IFERROR(DATE(RIGHT(INDIRECT("RC[-1]",0),4),LEFT(INDIRECT("RC[-1]",0),2),1), "")</f>
        <v/>
      </c>
      <c r="C675" s="214"/>
      <c r="E675" t="str" cm="1">
        <f t="array" aca="1" ref="E675" ca="1">IF(_xlfn.XLOOKUP(INDIRECT("RC[-1]", 0), CategoryNames, CategoryIdentifiers, "")&lt;&gt;"",INDIRECT("RC[-1]", 0),"")</f>
        <v/>
      </c>
      <c r="G675" t="str" cm="1">
        <f t="array" aca="1" ref="G675" ca="1">IF(COUNTIF($F$2:$F$1000,INDIRECT("RC[-2]",0))&gt;0,"",INDIRECT("RC[-2]",0))</f>
        <v/>
      </c>
    </row>
    <row r="676" spans="2:7" x14ac:dyDescent="0.25">
      <c r="B676" t="str" cm="1">
        <f t="array" aca="1" ref="B676" ca="1">IFERROR(DATE(RIGHT(INDIRECT("RC[-1]",0),4),LEFT(INDIRECT("RC[-1]",0),2),1), "")</f>
        <v/>
      </c>
      <c r="C676" s="214"/>
      <c r="E676" t="str" cm="1">
        <f t="array" aca="1" ref="E676" ca="1">IF(_xlfn.XLOOKUP(INDIRECT("RC[-1]", 0), CategoryNames, CategoryIdentifiers, "")&lt;&gt;"",INDIRECT("RC[-1]", 0),"")</f>
        <v/>
      </c>
      <c r="G676" t="str" cm="1">
        <f t="array" aca="1" ref="G676" ca="1">IF(COUNTIF($F$2:$F$1000,INDIRECT("RC[-2]",0))&gt;0,"",INDIRECT("RC[-2]",0))</f>
        <v/>
      </c>
    </row>
    <row r="677" spans="2:7" x14ac:dyDescent="0.25">
      <c r="B677" t="str" cm="1">
        <f t="array" aca="1" ref="B677" ca="1">IFERROR(DATE(RIGHT(INDIRECT("RC[-1]",0),4),LEFT(INDIRECT("RC[-1]",0),2),1), "")</f>
        <v/>
      </c>
      <c r="C677" s="214"/>
      <c r="E677" t="str" cm="1">
        <f t="array" aca="1" ref="E677" ca="1">IF(_xlfn.XLOOKUP(INDIRECT("RC[-1]", 0), CategoryNames, CategoryIdentifiers, "")&lt;&gt;"",INDIRECT("RC[-1]", 0),"")</f>
        <v/>
      </c>
      <c r="G677" t="str" cm="1">
        <f t="array" aca="1" ref="G677" ca="1">IF(COUNTIF($F$2:$F$1000,INDIRECT("RC[-2]",0))&gt;0,"",INDIRECT("RC[-2]",0))</f>
        <v/>
      </c>
    </row>
    <row r="678" spans="2:7" x14ac:dyDescent="0.25">
      <c r="B678" t="str" cm="1">
        <f t="array" aca="1" ref="B678" ca="1">IFERROR(DATE(RIGHT(INDIRECT("RC[-1]",0),4),LEFT(INDIRECT("RC[-1]",0),2),1), "")</f>
        <v/>
      </c>
      <c r="C678" s="214"/>
      <c r="E678" t="str" cm="1">
        <f t="array" aca="1" ref="E678" ca="1">IF(_xlfn.XLOOKUP(INDIRECT("RC[-1]", 0), CategoryNames, CategoryIdentifiers, "")&lt;&gt;"",INDIRECT("RC[-1]", 0),"")</f>
        <v/>
      </c>
      <c r="G678" t="str" cm="1">
        <f t="array" aca="1" ref="G678" ca="1">IF(COUNTIF($F$2:$F$1000,INDIRECT("RC[-2]",0))&gt;0,"",INDIRECT("RC[-2]",0))</f>
        <v/>
      </c>
    </row>
    <row r="679" spans="2:7" x14ac:dyDescent="0.25">
      <c r="B679" t="str" cm="1">
        <f t="array" aca="1" ref="B679" ca="1">IFERROR(DATE(RIGHT(INDIRECT("RC[-1]",0),4),LEFT(INDIRECT("RC[-1]",0),2),1), "")</f>
        <v/>
      </c>
      <c r="C679" s="214"/>
      <c r="E679" t="str" cm="1">
        <f t="array" aca="1" ref="E679" ca="1">IF(_xlfn.XLOOKUP(INDIRECT("RC[-1]", 0), CategoryNames, CategoryIdentifiers, "")&lt;&gt;"",INDIRECT("RC[-1]", 0),"")</f>
        <v/>
      </c>
      <c r="G679" t="str" cm="1">
        <f t="array" aca="1" ref="G679" ca="1">IF(COUNTIF($F$2:$F$1000,INDIRECT("RC[-2]",0))&gt;0,"",INDIRECT("RC[-2]",0))</f>
        <v/>
      </c>
    </row>
    <row r="680" spans="2:7" x14ac:dyDescent="0.25">
      <c r="B680" t="str" cm="1">
        <f t="array" aca="1" ref="B680" ca="1">IFERROR(DATE(RIGHT(INDIRECT("RC[-1]",0),4),LEFT(INDIRECT("RC[-1]",0),2),1), "")</f>
        <v/>
      </c>
      <c r="C680" s="214"/>
      <c r="E680" t="str" cm="1">
        <f t="array" aca="1" ref="E680" ca="1">IF(_xlfn.XLOOKUP(INDIRECT("RC[-1]", 0), CategoryNames, CategoryIdentifiers, "")&lt;&gt;"",INDIRECT("RC[-1]", 0),"")</f>
        <v/>
      </c>
      <c r="G680" t="str" cm="1">
        <f t="array" aca="1" ref="G680" ca="1">IF(COUNTIF($F$2:$F$1000,INDIRECT("RC[-2]",0))&gt;0,"",INDIRECT("RC[-2]",0))</f>
        <v/>
      </c>
    </row>
    <row r="681" spans="2:7" x14ac:dyDescent="0.25">
      <c r="B681" t="str" cm="1">
        <f t="array" aca="1" ref="B681" ca="1">IFERROR(DATE(RIGHT(INDIRECT("RC[-1]",0),4),LEFT(INDIRECT("RC[-1]",0),2),1), "")</f>
        <v/>
      </c>
      <c r="C681" s="214"/>
      <c r="E681" t="str" cm="1">
        <f t="array" aca="1" ref="E681" ca="1">IF(_xlfn.XLOOKUP(INDIRECT("RC[-1]", 0), CategoryNames, CategoryIdentifiers, "")&lt;&gt;"",INDIRECT("RC[-1]", 0),"")</f>
        <v/>
      </c>
      <c r="G681" t="str" cm="1">
        <f t="array" aca="1" ref="G681" ca="1">IF(COUNTIF($F$2:$F$1000,INDIRECT("RC[-2]",0))&gt;0,"",INDIRECT("RC[-2]",0))</f>
        <v/>
      </c>
    </row>
    <row r="682" spans="2:7" x14ac:dyDescent="0.25">
      <c r="B682" t="str" cm="1">
        <f t="array" aca="1" ref="B682" ca="1">IFERROR(DATE(RIGHT(INDIRECT("RC[-1]",0),4),LEFT(INDIRECT("RC[-1]",0),2),1), "")</f>
        <v/>
      </c>
      <c r="C682" s="214"/>
      <c r="E682" t="str" cm="1">
        <f t="array" aca="1" ref="E682" ca="1">IF(_xlfn.XLOOKUP(INDIRECT("RC[-1]", 0), CategoryNames, CategoryIdentifiers, "")&lt;&gt;"",INDIRECT("RC[-1]", 0),"")</f>
        <v/>
      </c>
      <c r="G682" t="str" cm="1">
        <f t="array" aca="1" ref="G682" ca="1">IF(COUNTIF($F$2:$F$1000,INDIRECT("RC[-2]",0))&gt;0,"",INDIRECT("RC[-2]",0))</f>
        <v/>
      </c>
    </row>
    <row r="683" spans="2:7" x14ac:dyDescent="0.25">
      <c r="B683" t="str" cm="1">
        <f t="array" aca="1" ref="B683" ca="1">IFERROR(DATE(RIGHT(INDIRECT("RC[-1]",0),4),LEFT(INDIRECT("RC[-1]",0),2),1), "")</f>
        <v/>
      </c>
      <c r="C683" s="214"/>
      <c r="E683" t="str" cm="1">
        <f t="array" aca="1" ref="E683" ca="1">IF(_xlfn.XLOOKUP(INDIRECT("RC[-1]", 0), CategoryNames, CategoryIdentifiers, "")&lt;&gt;"",INDIRECT("RC[-1]", 0),"")</f>
        <v/>
      </c>
      <c r="G683" t="str" cm="1">
        <f t="array" aca="1" ref="G683" ca="1">IF(COUNTIF($F$2:$F$1000,INDIRECT("RC[-2]",0))&gt;0,"",INDIRECT("RC[-2]",0))</f>
        <v/>
      </c>
    </row>
    <row r="684" spans="2:7" x14ac:dyDescent="0.25">
      <c r="B684" t="str" cm="1">
        <f t="array" aca="1" ref="B684" ca="1">IFERROR(DATE(RIGHT(INDIRECT("RC[-1]",0),4),LEFT(INDIRECT("RC[-1]",0),2),1), "")</f>
        <v/>
      </c>
      <c r="C684" s="214"/>
      <c r="E684" t="str" cm="1">
        <f t="array" aca="1" ref="E684" ca="1">IF(_xlfn.XLOOKUP(INDIRECT("RC[-1]", 0), CategoryNames, CategoryIdentifiers, "")&lt;&gt;"",INDIRECT("RC[-1]", 0),"")</f>
        <v/>
      </c>
      <c r="G684" t="str" cm="1">
        <f t="array" aca="1" ref="G684" ca="1">IF(COUNTIF($F$2:$F$1000,INDIRECT("RC[-2]",0))&gt;0,"",INDIRECT("RC[-2]",0))</f>
        <v/>
      </c>
    </row>
    <row r="685" spans="2:7" x14ac:dyDescent="0.25">
      <c r="B685" t="str" cm="1">
        <f t="array" aca="1" ref="B685" ca="1">IFERROR(DATE(RIGHT(INDIRECT("RC[-1]",0),4),LEFT(INDIRECT("RC[-1]",0),2),1), "")</f>
        <v/>
      </c>
      <c r="C685" s="214"/>
      <c r="E685" t="str" cm="1">
        <f t="array" aca="1" ref="E685" ca="1">IF(_xlfn.XLOOKUP(INDIRECT("RC[-1]", 0), CategoryNames, CategoryIdentifiers, "")&lt;&gt;"",INDIRECT("RC[-1]", 0),"")</f>
        <v/>
      </c>
      <c r="G685" t="str" cm="1">
        <f t="array" aca="1" ref="G685" ca="1">IF(COUNTIF($F$2:$F$1000,INDIRECT("RC[-2]",0))&gt;0,"",INDIRECT("RC[-2]",0))</f>
        <v/>
      </c>
    </row>
    <row r="686" spans="2:7" x14ac:dyDescent="0.25">
      <c r="B686" t="str" cm="1">
        <f t="array" aca="1" ref="B686" ca="1">IFERROR(DATE(RIGHT(INDIRECT("RC[-1]",0),4),LEFT(INDIRECT("RC[-1]",0),2),1), "")</f>
        <v/>
      </c>
      <c r="C686" s="214"/>
      <c r="E686" t="str" cm="1">
        <f t="array" aca="1" ref="E686" ca="1">IF(_xlfn.XLOOKUP(INDIRECT("RC[-1]", 0), CategoryNames, CategoryIdentifiers, "")&lt;&gt;"",INDIRECT("RC[-1]", 0),"")</f>
        <v/>
      </c>
      <c r="G686" t="str" cm="1">
        <f t="array" aca="1" ref="G686" ca="1">IF(COUNTIF($F$2:$F$1000,INDIRECT("RC[-2]",0))&gt;0,"",INDIRECT("RC[-2]",0))</f>
        <v/>
      </c>
    </row>
    <row r="687" spans="2:7" x14ac:dyDescent="0.25">
      <c r="B687" t="str" cm="1">
        <f t="array" aca="1" ref="B687" ca="1">IFERROR(DATE(RIGHT(INDIRECT("RC[-1]",0),4),LEFT(INDIRECT("RC[-1]",0),2),1), "")</f>
        <v/>
      </c>
      <c r="C687" s="214"/>
      <c r="E687" t="str" cm="1">
        <f t="array" aca="1" ref="E687" ca="1">IF(_xlfn.XLOOKUP(INDIRECT("RC[-1]", 0), CategoryNames, CategoryIdentifiers, "")&lt;&gt;"",INDIRECT("RC[-1]", 0),"")</f>
        <v/>
      </c>
      <c r="G687" t="str" cm="1">
        <f t="array" aca="1" ref="G687" ca="1">IF(COUNTIF($F$2:$F$1000,INDIRECT("RC[-2]",0))&gt;0,"",INDIRECT("RC[-2]",0))</f>
        <v/>
      </c>
    </row>
    <row r="688" spans="2:7" x14ac:dyDescent="0.25">
      <c r="B688" t="str" cm="1">
        <f t="array" aca="1" ref="B688" ca="1">IFERROR(DATE(RIGHT(INDIRECT("RC[-1]",0),4),LEFT(INDIRECT("RC[-1]",0),2),1), "")</f>
        <v/>
      </c>
      <c r="C688" s="214"/>
      <c r="E688" t="str" cm="1">
        <f t="array" aca="1" ref="E688" ca="1">IF(_xlfn.XLOOKUP(INDIRECT("RC[-1]", 0), CategoryNames, CategoryIdentifiers, "")&lt;&gt;"",INDIRECT("RC[-1]", 0),"")</f>
        <v/>
      </c>
      <c r="G688" t="str" cm="1">
        <f t="array" aca="1" ref="G688" ca="1">IF(COUNTIF($F$2:$F$1000,INDIRECT("RC[-2]",0))&gt;0,"",INDIRECT("RC[-2]",0))</f>
        <v/>
      </c>
    </row>
    <row r="689" spans="2:7" x14ac:dyDescent="0.25">
      <c r="B689" t="str" cm="1">
        <f t="array" aca="1" ref="B689" ca="1">IFERROR(DATE(RIGHT(INDIRECT("RC[-1]",0),4),LEFT(INDIRECT("RC[-1]",0),2),1), "")</f>
        <v/>
      </c>
      <c r="C689" s="214"/>
      <c r="E689" t="str" cm="1">
        <f t="array" aca="1" ref="E689" ca="1">IF(_xlfn.XLOOKUP(INDIRECT("RC[-1]", 0), CategoryNames, CategoryIdentifiers, "")&lt;&gt;"",INDIRECT("RC[-1]", 0),"")</f>
        <v/>
      </c>
      <c r="G689" t="str" cm="1">
        <f t="array" aca="1" ref="G689" ca="1">IF(COUNTIF($F$2:$F$1000,INDIRECT("RC[-2]",0))&gt;0,"",INDIRECT("RC[-2]",0))</f>
        <v/>
      </c>
    </row>
    <row r="690" spans="2:7" x14ac:dyDescent="0.25">
      <c r="B690" t="str" cm="1">
        <f t="array" aca="1" ref="B690" ca="1">IFERROR(DATE(RIGHT(INDIRECT("RC[-1]",0),4),LEFT(INDIRECT("RC[-1]",0),2),1), "")</f>
        <v/>
      </c>
      <c r="C690" s="214"/>
      <c r="E690" t="str" cm="1">
        <f t="array" aca="1" ref="E690" ca="1">IF(_xlfn.XLOOKUP(INDIRECT("RC[-1]", 0), CategoryNames, CategoryIdentifiers, "")&lt;&gt;"",INDIRECT("RC[-1]", 0),"")</f>
        <v/>
      </c>
      <c r="G690" t="str" cm="1">
        <f t="array" aca="1" ref="G690" ca="1">IF(COUNTIF($F$2:$F$1000,INDIRECT("RC[-2]",0))&gt;0,"",INDIRECT("RC[-2]",0))</f>
        <v/>
      </c>
    </row>
    <row r="691" spans="2:7" x14ac:dyDescent="0.25">
      <c r="B691" t="str" cm="1">
        <f t="array" aca="1" ref="B691" ca="1">IFERROR(DATE(RIGHT(INDIRECT("RC[-1]",0),4),LEFT(INDIRECT("RC[-1]",0),2),1), "")</f>
        <v/>
      </c>
      <c r="C691" s="214"/>
      <c r="E691" t="str" cm="1">
        <f t="array" aca="1" ref="E691" ca="1">IF(_xlfn.XLOOKUP(INDIRECT("RC[-1]", 0), CategoryNames, CategoryIdentifiers, "")&lt;&gt;"",INDIRECT("RC[-1]", 0),"")</f>
        <v/>
      </c>
      <c r="G691" t="str" cm="1">
        <f t="array" aca="1" ref="G691" ca="1">IF(COUNTIF($F$2:$F$1000,INDIRECT("RC[-2]",0))&gt;0,"",INDIRECT("RC[-2]",0))</f>
        <v/>
      </c>
    </row>
    <row r="692" spans="2:7" x14ac:dyDescent="0.25">
      <c r="B692" t="str" cm="1">
        <f t="array" aca="1" ref="B692" ca="1">IFERROR(DATE(RIGHT(INDIRECT("RC[-1]",0),4),LEFT(INDIRECT("RC[-1]",0),2),1), "")</f>
        <v/>
      </c>
      <c r="C692" s="214"/>
      <c r="E692" t="str" cm="1">
        <f t="array" aca="1" ref="E692" ca="1">IF(_xlfn.XLOOKUP(INDIRECT("RC[-1]", 0), CategoryNames, CategoryIdentifiers, "")&lt;&gt;"",INDIRECT("RC[-1]", 0),"")</f>
        <v/>
      </c>
      <c r="G692" t="str" cm="1">
        <f t="array" aca="1" ref="G692" ca="1">IF(COUNTIF($F$2:$F$1000,INDIRECT("RC[-2]",0))&gt;0,"",INDIRECT("RC[-2]",0))</f>
        <v/>
      </c>
    </row>
    <row r="693" spans="2:7" x14ac:dyDescent="0.25">
      <c r="B693" t="str" cm="1">
        <f t="array" aca="1" ref="B693" ca="1">IFERROR(DATE(RIGHT(INDIRECT("RC[-1]",0),4),LEFT(INDIRECT("RC[-1]",0),2),1), "")</f>
        <v/>
      </c>
      <c r="C693" s="214"/>
      <c r="E693" t="str" cm="1">
        <f t="array" aca="1" ref="E693" ca="1">IF(_xlfn.XLOOKUP(INDIRECT("RC[-1]", 0), CategoryNames, CategoryIdentifiers, "")&lt;&gt;"",INDIRECT("RC[-1]", 0),"")</f>
        <v/>
      </c>
      <c r="G693" t="str" cm="1">
        <f t="array" aca="1" ref="G693" ca="1">IF(COUNTIF($F$2:$F$1000,INDIRECT("RC[-2]",0))&gt;0,"",INDIRECT("RC[-2]",0))</f>
        <v/>
      </c>
    </row>
    <row r="694" spans="2:7" x14ac:dyDescent="0.25">
      <c r="B694" t="str" cm="1">
        <f t="array" aca="1" ref="B694" ca="1">IFERROR(DATE(RIGHT(INDIRECT("RC[-1]",0),4),LEFT(INDIRECT("RC[-1]",0),2),1), "")</f>
        <v/>
      </c>
      <c r="C694" s="214"/>
      <c r="E694" t="str" cm="1">
        <f t="array" aca="1" ref="E694" ca="1">IF(_xlfn.XLOOKUP(INDIRECT("RC[-1]", 0), CategoryNames, CategoryIdentifiers, "")&lt;&gt;"",INDIRECT("RC[-1]", 0),"")</f>
        <v/>
      </c>
      <c r="G694" t="str" cm="1">
        <f t="array" aca="1" ref="G694" ca="1">IF(COUNTIF($F$2:$F$1000,INDIRECT("RC[-2]",0))&gt;0,"",INDIRECT("RC[-2]",0))</f>
        <v/>
      </c>
    </row>
    <row r="695" spans="2:7" x14ac:dyDescent="0.25">
      <c r="B695" t="str" cm="1">
        <f t="array" aca="1" ref="B695" ca="1">IFERROR(DATE(RIGHT(INDIRECT("RC[-1]",0),4),LEFT(INDIRECT("RC[-1]",0),2),1), "")</f>
        <v/>
      </c>
      <c r="C695" s="214"/>
      <c r="E695" t="str" cm="1">
        <f t="array" aca="1" ref="E695" ca="1">IF(_xlfn.XLOOKUP(INDIRECT("RC[-1]", 0), CategoryNames, CategoryIdentifiers, "")&lt;&gt;"",INDIRECT("RC[-1]", 0),"")</f>
        <v/>
      </c>
      <c r="G695" t="str" cm="1">
        <f t="array" aca="1" ref="G695" ca="1">IF(COUNTIF($F$2:$F$1000,INDIRECT("RC[-2]",0))&gt;0,"",INDIRECT("RC[-2]",0))</f>
        <v/>
      </c>
    </row>
    <row r="696" spans="2:7" x14ac:dyDescent="0.25">
      <c r="B696" t="str" cm="1">
        <f t="array" aca="1" ref="B696" ca="1">IFERROR(DATE(RIGHT(INDIRECT("RC[-1]",0),4),LEFT(INDIRECT("RC[-1]",0),2),1), "")</f>
        <v/>
      </c>
      <c r="C696" s="214"/>
      <c r="E696" t="str" cm="1">
        <f t="array" aca="1" ref="E696" ca="1">IF(_xlfn.XLOOKUP(INDIRECT("RC[-1]", 0), CategoryNames, CategoryIdentifiers, "")&lt;&gt;"",INDIRECT("RC[-1]", 0),"")</f>
        <v/>
      </c>
      <c r="G696" t="str" cm="1">
        <f t="array" aca="1" ref="G696" ca="1">IF(COUNTIF($F$2:$F$1000,INDIRECT("RC[-2]",0))&gt;0,"",INDIRECT("RC[-2]",0))</f>
        <v/>
      </c>
    </row>
    <row r="697" spans="2:7" x14ac:dyDescent="0.25">
      <c r="B697" t="str" cm="1">
        <f t="array" aca="1" ref="B697" ca="1">IFERROR(DATE(RIGHT(INDIRECT("RC[-1]",0),4),LEFT(INDIRECT("RC[-1]",0),2),1), "")</f>
        <v/>
      </c>
      <c r="C697" s="214"/>
      <c r="E697" t="str" cm="1">
        <f t="array" aca="1" ref="E697" ca="1">IF(_xlfn.XLOOKUP(INDIRECT("RC[-1]", 0), CategoryNames, CategoryIdentifiers, "")&lt;&gt;"",INDIRECT("RC[-1]", 0),"")</f>
        <v/>
      </c>
      <c r="G697" t="str" cm="1">
        <f t="array" aca="1" ref="G697" ca="1">IF(COUNTIF($F$2:$F$1000,INDIRECT("RC[-2]",0))&gt;0,"",INDIRECT("RC[-2]",0))</f>
        <v/>
      </c>
    </row>
    <row r="698" spans="2:7" x14ac:dyDescent="0.25">
      <c r="B698" t="str" cm="1">
        <f t="array" aca="1" ref="B698" ca="1">IFERROR(DATE(RIGHT(INDIRECT("RC[-1]",0),4),LEFT(INDIRECT("RC[-1]",0),2),1), "")</f>
        <v/>
      </c>
      <c r="C698" s="214"/>
      <c r="E698" t="str" cm="1">
        <f t="array" aca="1" ref="E698" ca="1">IF(_xlfn.XLOOKUP(INDIRECT("RC[-1]", 0), CategoryNames, CategoryIdentifiers, "")&lt;&gt;"",INDIRECT("RC[-1]", 0),"")</f>
        <v/>
      </c>
      <c r="G698" t="str" cm="1">
        <f t="array" aca="1" ref="G698" ca="1">IF(COUNTIF($F$2:$F$1000,INDIRECT("RC[-2]",0))&gt;0,"",INDIRECT("RC[-2]",0))</f>
        <v/>
      </c>
    </row>
    <row r="699" spans="2:7" x14ac:dyDescent="0.25">
      <c r="B699" t="str" cm="1">
        <f t="array" aca="1" ref="B699" ca="1">IFERROR(DATE(RIGHT(INDIRECT("RC[-1]",0),4),LEFT(INDIRECT("RC[-1]",0),2),1), "")</f>
        <v/>
      </c>
      <c r="C699" s="214"/>
      <c r="E699" t="str" cm="1">
        <f t="array" aca="1" ref="E699" ca="1">IF(_xlfn.XLOOKUP(INDIRECT("RC[-1]", 0), CategoryNames, CategoryIdentifiers, "")&lt;&gt;"",INDIRECT("RC[-1]", 0),"")</f>
        <v/>
      </c>
      <c r="G699" t="str" cm="1">
        <f t="array" aca="1" ref="G699" ca="1">IF(COUNTIF($F$2:$F$1000,INDIRECT("RC[-2]",0))&gt;0,"",INDIRECT("RC[-2]",0))</f>
        <v/>
      </c>
    </row>
    <row r="700" spans="2:7" x14ac:dyDescent="0.25">
      <c r="B700" t="str" cm="1">
        <f t="array" aca="1" ref="B700" ca="1">IFERROR(DATE(RIGHT(INDIRECT("RC[-1]",0),4),LEFT(INDIRECT("RC[-1]",0),2),1), "")</f>
        <v/>
      </c>
      <c r="C700" s="214"/>
      <c r="E700" t="str" cm="1">
        <f t="array" aca="1" ref="E700" ca="1">IF(_xlfn.XLOOKUP(INDIRECT("RC[-1]", 0), CategoryNames, CategoryIdentifiers, "")&lt;&gt;"",INDIRECT("RC[-1]", 0),"")</f>
        <v/>
      </c>
      <c r="G700" t="str" cm="1">
        <f t="array" aca="1" ref="G700" ca="1">IF(COUNTIF($F$2:$F$1000,INDIRECT("RC[-2]",0))&gt;0,"",INDIRECT("RC[-2]",0))</f>
        <v/>
      </c>
    </row>
    <row r="701" spans="2:7" x14ac:dyDescent="0.25">
      <c r="B701" t="str" cm="1">
        <f t="array" aca="1" ref="B701" ca="1">IFERROR(DATE(RIGHT(INDIRECT("RC[-1]",0),4),LEFT(INDIRECT("RC[-1]",0),2),1), "")</f>
        <v/>
      </c>
      <c r="C701" s="214"/>
      <c r="E701" t="str" cm="1">
        <f t="array" aca="1" ref="E701" ca="1">IF(_xlfn.XLOOKUP(INDIRECT("RC[-1]", 0), CategoryNames, CategoryIdentifiers, "")&lt;&gt;"",INDIRECT("RC[-1]", 0),"")</f>
        <v/>
      </c>
      <c r="G701" t="str" cm="1">
        <f t="array" aca="1" ref="G701" ca="1">IF(COUNTIF($F$2:$F$1000,INDIRECT("RC[-2]",0))&gt;0,"",INDIRECT("RC[-2]",0))</f>
        <v/>
      </c>
    </row>
    <row r="702" spans="2:7" x14ac:dyDescent="0.25">
      <c r="B702" t="str" cm="1">
        <f t="array" aca="1" ref="B702" ca="1">IFERROR(DATE(RIGHT(INDIRECT("RC[-1]",0),4),LEFT(INDIRECT("RC[-1]",0),2),1), "")</f>
        <v/>
      </c>
      <c r="C702" s="214"/>
      <c r="E702" t="str" cm="1">
        <f t="array" aca="1" ref="E702" ca="1">IF(_xlfn.XLOOKUP(INDIRECT("RC[-1]", 0), CategoryNames, CategoryIdentifiers, "")&lt;&gt;"",INDIRECT("RC[-1]", 0),"")</f>
        <v/>
      </c>
      <c r="G702" t="str" cm="1">
        <f t="array" aca="1" ref="G702" ca="1">IF(COUNTIF($F$2:$F$1000,INDIRECT("RC[-2]",0))&gt;0,"",INDIRECT("RC[-2]",0))</f>
        <v/>
      </c>
    </row>
    <row r="703" spans="2:7" x14ac:dyDescent="0.25">
      <c r="B703" t="str" cm="1">
        <f t="array" aca="1" ref="B703" ca="1">IFERROR(DATE(RIGHT(INDIRECT("RC[-1]",0),4),LEFT(INDIRECT("RC[-1]",0),2),1), "")</f>
        <v/>
      </c>
      <c r="C703" s="214"/>
      <c r="E703" t="str" cm="1">
        <f t="array" aca="1" ref="E703" ca="1">IF(_xlfn.XLOOKUP(INDIRECT("RC[-1]", 0), CategoryNames, CategoryIdentifiers, "")&lt;&gt;"",INDIRECT("RC[-1]", 0),"")</f>
        <v/>
      </c>
      <c r="G703" t="str" cm="1">
        <f t="array" aca="1" ref="G703" ca="1">IF(COUNTIF($F$2:$F$1000,INDIRECT("RC[-2]",0))&gt;0,"",INDIRECT("RC[-2]",0))</f>
        <v/>
      </c>
    </row>
    <row r="704" spans="2:7" x14ac:dyDescent="0.25">
      <c r="B704" t="str" cm="1">
        <f t="array" aca="1" ref="B704" ca="1">IFERROR(DATE(RIGHT(INDIRECT("RC[-1]",0),4),LEFT(INDIRECT("RC[-1]",0),2),1), "")</f>
        <v/>
      </c>
      <c r="C704" s="214"/>
      <c r="E704" t="str" cm="1">
        <f t="array" aca="1" ref="E704" ca="1">IF(_xlfn.XLOOKUP(INDIRECT("RC[-1]", 0), CategoryNames, CategoryIdentifiers, "")&lt;&gt;"",INDIRECT("RC[-1]", 0),"")</f>
        <v/>
      </c>
      <c r="G704" t="str" cm="1">
        <f t="array" aca="1" ref="G704" ca="1">IF(COUNTIF($F$2:$F$1000,INDIRECT("RC[-2]",0))&gt;0,"",INDIRECT("RC[-2]",0))</f>
        <v/>
      </c>
    </row>
    <row r="705" spans="2:7" x14ac:dyDescent="0.25">
      <c r="B705" t="str" cm="1">
        <f t="array" aca="1" ref="B705" ca="1">IFERROR(DATE(RIGHT(INDIRECT("RC[-1]",0),4),LEFT(INDIRECT("RC[-1]",0),2),1), "")</f>
        <v/>
      </c>
      <c r="C705" s="214"/>
      <c r="E705" t="str" cm="1">
        <f t="array" aca="1" ref="E705" ca="1">IF(_xlfn.XLOOKUP(INDIRECT("RC[-1]", 0), CategoryNames, CategoryIdentifiers, "")&lt;&gt;"",INDIRECT("RC[-1]", 0),"")</f>
        <v/>
      </c>
      <c r="G705" t="str" cm="1">
        <f t="array" aca="1" ref="G705" ca="1">IF(COUNTIF($F$2:$F$1000,INDIRECT("RC[-2]",0))&gt;0,"",INDIRECT("RC[-2]",0))</f>
        <v/>
      </c>
    </row>
    <row r="706" spans="2:7" x14ac:dyDescent="0.25">
      <c r="B706" t="str" cm="1">
        <f t="array" aca="1" ref="B706" ca="1">IFERROR(DATE(RIGHT(INDIRECT("RC[-1]",0),4),LEFT(INDIRECT("RC[-1]",0),2),1), "")</f>
        <v/>
      </c>
      <c r="C706" s="214"/>
      <c r="E706" t="str" cm="1">
        <f t="array" aca="1" ref="E706" ca="1">IF(_xlfn.XLOOKUP(INDIRECT("RC[-1]", 0), CategoryNames, CategoryIdentifiers, "")&lt;&gt;"",INDIRECT("RC[-1]", 0),"")</f>
        <v/>
      </c>
      <c r="G706" t="str" cm="1">
        <f t="array" aca="1" ref="G706" ca="1">IF(COUNTIF($F$2:$F$1000,INDIRECT("RC[-2]",0))&gt;0,"",INDIRECT("RC[-2]",0))</f>
        <v/>
      </c>
    </row>
    <row r="707" spans="2:7" x14ac:dyDescent="0.25">
      <c r="B707" t="str" cm="1">
        <f t="array" aca="1" ref="B707" ca="1">IFERROR(DATE(RIGHT(INDIRECT("RC[-1]",0),4),LEFT(INDIRECT("RC[-1]",0),2),1), "")</f>
        <v/>
      </c>
      <c r="C707" s="214"/>
      <c r="E707" t="str" cm="1">
        <f t="array" aca="1" ref="E707" ca="1">IF(_xlfn.XLOOKUP(INDIRECT("RC[-1]", 0), CategoryNames, CategoryIdentifiers, "")&lt;&gt;"",INDIRECT("RC[-1]", 0),"")</f>
        <v/>
      </c>
      <c r="G707" t="str" cm="1">
        <f t="array" aca="1" ref="G707" ca="1">IF(COUNTIF($F$2:$F$1000,INDIRECT("RC[-2]",0))&gt;0,"",INDIRECT("RC[-2]",0))</f>
        <v/>
      </c>
    </row>
    <row r="708" spans="2:7" x14ac:dyDescent="0.25">
      <c r="B708" t="str" cm="1">
        <f t="array" aca="1" ref="B708" ca="1">IFERROR(DATE(RIGHT(INDIRECT("RC[-1]",0),4),LEFT(INDIRECT("RC[-1]",0),2),1), "")</f>
        <v/>
      </c>
      <c r="C708" s="214"/>
      <c r="E708" t="str" cm="1">
        <f t="array" aca="1" ref="E708" ca="1">IF(_xlfn.XLOOKUP(INDIRECT("RC[-1]", 0), CategoryNames, CategoryIdentifiers, "")&lt;&gt;"",INDIRECT("RC[-1]", 0),"")</f>
        <v/>
      </c>
      <c r="G708" t="str" cm="1">
        <f t="array" aca="1" ref="G708" ca="1">IF(COUNTIF($F$2:$F$1000,INDIRECT("RC[-2]",0))&gt;0,"",INDIRECT("RC[-2]",0))</f>
        <v/>
      </c>
    </row>
    <row r="709" spans="2:7" x14ac:dyDescent="0.25">
      <c r="B709" t="str" cm="1">
        <f t="array" aca="1" ref="B709" ca="1">IFERROR(DATE(RIGHT(INDIRECT("RC[-1]",0),4),LEFT(INDIRECT("RC[-1]",0),2),1), "")</f>
        <v/>
      </c>
      <c r="C709" s="214"/>
      <c r="E709" t="str" cm="1">
        <f t="array" aca="1" ref="E709" ca="1">IF(_xlfn.XLOOKUP(INDIRECT("RC[-1]", 0), CategoryNames, CategoryIdentifiers, "")&lt;&gt;"",INDIRECT("RC[-1]", 0),"")</f>
        <v/>
      </c>
      <c r="G709" t="str" cm="1">
        <f t="array" aca="1" ref="G709" ca="1">IF(COUNTIF($F$2:$F$1000,INDIRECT("RC[-2]",0))&gt;0,"",INDIRECT("RC[-2]",0))</f>
        <v/>
      </c>
    </row>
    <row r="710" spans="2:7" x14ac:dyDescent="0.25">
      <c r="B710" t="str" cm="1">
        <f t="array" aca="1" ref="B710" ca="1">IFERROR(DATE(RIGHT(INDIRECT("RC[-1]",0),4),LEFT(INDIRECT("RC[-1]",0),2),1), "")</f>
        <v/>
      </c>
      <c r="C710" s="214"/>
      <c r="E710" t="str" cm="1">
        <f t="array" aca="1" ref="E710" ca="1">IF(_xlfn.XLOOKUP(INDIRECT("RC[-1]", 0), CategoryNames, CategoryIdentifiers, "")&lt;&gt;"",INDIRECT("RC[-1]", 0),"")</f>
        <v/>
      </c>
      <c r="G710" t="str" cm="1">
        <f t="array" aca="1" ref="G710" ca="1">IF(COUNTIF($F$2:$F$1000,INDIRECT("RC[-2]",0))&gt;0,"",INDIRECT("RC[-2]",0))</f>
        <v/>
      </c>
    </row>
    <row r="711" spans="2:7" x14ac:dyDescent="0.25">
      <c r="B711" t="str" cm="1">
        <f t="array" aca="1" ref="B711" ca="1">IFERROR(DATE(RIGHT(INDIRECT("RC[-1]",0),4),LEFT(INDIRECT("RC[-1]",0),2),1), "")</f>
        <v/>
      </c>
      <c r="C711" s="214"/>
      <c r="E711" t="str" cm="1">
        <f t="array" aca="1" ref="E711" ca="1">IF(_xlfn.XLOOKUP(INDIRECT("RC[-1]", 0), CategoryNames, CategoryIdentifiers, "")&lt;&gt;"",INDIRECT("RC[-1]", 0),"")</f>
        <v/>
      </c>
      <c r="G711" t="str" cm="1">
        <f t="array" aca="1" ref="G711" ca="1">IF(COUNTIF($F$2:$F$1000,INDIRECT("RC[-2]",0))&gt;0,"",INDIRECT("RC[-2]",0))</f>
        <v/>
      </c>
    </row>
    <row r="712" spans="2:7" x14ac:dyDescent="0.25">
      <c r="B712" t="str" cm="1">
        <f t="array" aca="1" ref="B712" ca="1">IFERROR(DATE(RIGHT(INDIRECT("RC[-1]",0),4),LEFT(INDIRECT("RC[-1]",0),2),1), "")</f>
        <v/>
      </c>
      <c r="C712" s="214"/>
      <c r="E712" t="str" cm="1">
        <f t="array" aca="1" ref="E712" ca="1">IF(_xlfn.XLOOKUP(INDIRECT("RC[-1]", 0), CategoryNames, CategoryIdentifiers, "")&lt;&gt;"",INDIRECT("RC[-1]", 0),"")</f>
        <v/>
      </c>
      <c r="G712" t="str" cm="1">
        <f t="array" aca="1" ref="G712" ca="1">IF(COUNTIF($F$2:$F$1000,INDIRECT("RC[-2]",0))&gt;0,"",INDIRECT("RC[-2]",0))</f>
        <v/>
      </c>
    </row>
    <row r="713" spans="2:7" x14ac:dyDescent="0.25">
      <c r="B713" t="str" cm="1">
        <f t="array" aca="1" ref="B713" ca="1">IFERROR(DATE(RIGHT(INDIRECT("RC[-1]",0),4),LEFT(INDIRECT("RC[-1]",0),2),1), "")</f>
        <v/>
      </c>
      <c r="C713" s="214"/>
      <c r="E713" t="str" cm="1">
        <f t="array" aca="1" ref="E713" ca="1">IF(_xlfn.XLOOKUP(INDIRECT("RC[-1]", 0), CategoryNames, CategoryIdentifiers, "")&lt;&gt;"",INDIRECT("RC[-1]", 0),"")</f>
        <v/>
      </c>
      <c r="G713" t="str" cm="1">
        <f t="array" aca="1" ref="G713" ca="1">IF(COUNTIF($F$2:$F$1000,INDIRECT("RC[-2]",0))&gt;0,"",INDIRECT("RC[-2]",0))</f>
        <v/>
      </c>
    </row>
    <row r="714" spans="2:7" x14ac:dyDescent="0.25">
      <c r="B714" t="str" cm="1">
        <f t="array" aca="1" ref="B714" ca="1">IFERROR(DATE(RIGHT(INDIRECT("RC[-1]",0),4),LEFT(INDIRECT("RC[-1]",0),2),1), "")</f>
        <v/>
      </c>
      <c r="C714" s="214"/>
      <c r="E714" t="str" cm="1">
        <f t="array" aca="1" ref="E714" ca="1">IF(_xlfn.XLOOKUP(INDIRECT("RC[-1]", 0), CategoryNames, CategoryIdentifiers, "")&lt;&gt;"",INDIRECT("RC[-1]", 0),"")</f>
        <v/>
      </c>
      <c r="G714" t="str" cm="1">
        <f t="array" aca="1" ref="G714" ca="1">IF(COUNTIF($F$2:$F$1000,INDIRECT("RC[-2]",0))&gt;0,"",INDIRECT("RC[-2]",0))</f>
        <v/>
      </c>
    </row>
    <row r="715" spans="2:7" x14ac:dyDescent="0.25">
      <c r="B715" t="str" cm="1">
        <f t="array" aca="1" ref="B715" ca="1">IFERROR(DATE(RIGHT(INDIRECT("RC[-1]",0),4),LEFT(INDIRECT("RC[-1]",0),2),1), "")</f>
        <v/>
      </c>
      <c r="C715" s="214"/>
      <c r="E715" t="str" cm="1">
        <f t="array" aca="1" ref="E715" ca="1">IF(_xlfn.XLOOKUP(INDIRECT("RC[-1]", 0), CategoryNames, CategoryIdentifiers, "")&lt;&gt;"",INDIRECT("RC[-1]", 0),"")</f>
        <v/>
      </c>
      <c r="G715" t="str" cm="1">
        <f t="array" aca="1" ref="G715" ca="1">IF(COUNTIF($F$2:$F$1000,INDIRECT("RC[-2]",0))&gt;0,"",INDIRECT("RC[-2]",0))</f>
        <v/>
      </c>
    </row>
    <row r="716" spans="2:7" x14ac:dyDescent="0.25">
      <c r="B716" t="str" cm="1">
        <f t="array" aca="1" ref="B716" ca="1">IFERROR(DATE(RIGHT(INDIRECT("RC[-1]",0),4),LEFT(INDIRECT("RC[-1]",0),2),1), "")</f>
        <v/>
      </c>
      <c r="C716" s="214"/>
      <c r="E716" t="str" cm="1">
        <f t="array" aca="1" ref="E716" ca="1">IF(_xlfn.XLOOKUP(INDIRECT("RC[-1]", 0), CategoryNames, CategoryIdentifiers, "")&lt;&gt;"",INDIRECT("RC[-1]", 0),"")</f>
        <v/>
      </c>
      <c r="G716" t="str" cm="1">
        <f t="array" aca="1" ref="G716" ca="1">IF(COUNTIF($F$2:$F$1000,INDIRECT("RC[-2]",0))&gt;0,"",INDIRECT("RC[-2]",0))</f>
        <v/>
      </c>
    </row>
    <row r="717" spans="2:7" x14ac:dyDescent="0.25">
      <c r="B717" t="str" cm="1">
        <f t="array" aca="1" ref="B717" ca="1">IFERROR(DATE(RIGHT(INDIRECT("RC[-1]",0),4),LEFT(INDIRECT("RC[-1]",0),2),1), "")</f>
        <v/>
      </c>
      <c r="C717" s="214"/>
      <c r="E717" t="str" cm="1">
        <f t="array" aca="1" ref="E717" ca="1">IF(_xlfn.XLOOKUP(INDIRECT("RC[-1]", 0), CategoryNames, CategoryIdentifiers, "")&lt;&gt;"",INDIRECT("RC[-1]", 0),"")</f>
        <v/>
      </c>
      <c r="G717" t="str" cm="1">
        <f t="array" aca="1" ref="G717" ca="1">IF(COUNTIF($F$2:$F$1000,INDIRECT("RC[-2]",0))&gt;0,"",INDIRECT("RC[-2]",0))</f>
        <v/>
      </c>
    </row>
    <row r="718" spans="2:7" x14ac:dyDescent="0.25">
      <c r="B718" t="str" cm="1">
        <f t="array" aca="1" ref="B718" ca="1">IFERROR(DATE(RIGHT(INDIRECT("RC[-1]",0),4),LEFT(INDIRECT("RC[-1]",0),2),1), "")</f>
        <v/>
      </c>
      <c r="C718" s="214"/>
      <c r="E718" t="str" cm="1">
        <f t="array" aca="1" ref="E718" ca="1">IF(_xlfn.XLOOKUP(INDIRECT("RC[-1]", 0), CategoryNames, CategoryIdentifiers, "")&lt;&gt;"",INDIRECT("RC[-1]", 0),"")</f>
        <v/>
      </c>
      <c r="G718" t="str" cm="1">
        <f t="array" aca="1" ref="G718" ca="1">IF(COUNTIF($F$2:$F$1000,INDIRECT("RC[-2]",0))&gt;0,"",INDIRECT("RC[-2]",0))</f>
        <v/>
      </c>
    </row>
    <row r="719" spans="2:7" x14ac:dyDescent="0.25">
      <c r="B719" t="str" cm="1">
        <f t="array" aca="1" ref="B719" ca="1">IFERROR(DATE(RIGHT(INDIRECT("RC[-1]",0),4),LEFT(INDIRECT("RC[-1]",0),2),1), "")</f>
        <v/>
      </c>
      <c r="C719" s="214"/>
      <c r="E719" t="str" cm="1">
        <f t="array" aca="1" ref="E719" ca="1">IF(_xlfn.XLOOKUP(INDIRECT("RC[-1]", 0), CategoryNames, CategoryIdentifiers, "")&lt;&gt;"",INDIRECT("RC[-1]", 0),"")</f>
        <v/>
      </c>
      <c r="G719" t="str" cm="1">
        <f t="array" aca="1" ref="G719" ca="1">IF(COUNTIF($F$2:$F$1000,INDIRECT("RC[-2]",0))&gt;0,"",INDIRECT("RC[-2]",0))</f>
        <v/>
      </c>
    </row>
    <row r="720" spans="2:7" x14ac:dyDescent="0.25">
      <c r="B720" t="str" cm="1">
        <f t="array" aca="1" ref="B720" ca="1">IFERROR(DATE(RIGHT(INDIRECT("RC[-1]",0),4),LEFT(INDIRECT("RC[-1]",0),2),1), "")</f>
        <v/>
      </c>
      <c r="C720" s="214"/>
      <c r="E720" t="str" cm="1">
        <f t="array" aca="1" ref="E720" ca="1">IF(_xlfn.XLOOKUP(INDIRECT("RC[-1]", 0), CategoryNames, CategoryIdentifiers, "")&lt;&gt;"",INDIRECT("RC[-1]", 0),"")</f>
        <v/>
      </c>
      <c r="G720" t="str" cm="1">
        <f t="array" aca="1" ref="G720" ca="1">IF(COUNTIF($F$2:$F$1000,INDIRECT("RC[-2]",0))&gt;0,"",INDIRECT("RC[-2]",0))</f>
        <v/>
      </c>
    </row>
    <row r="721" spans="2:7" x14ac:dyDescent="0.25">
      <c r="B721" t="str" cm="1">
        <f t="array" aca="1" ref="B721" ca="1">IFERROR(DATE(RIGHT(INDIRECT("RC[-1]",0),4),LEFT(INDIRECT("RC[-1]",0),2),1), "")</f>
        <v/>
      </c>
      <c r="C721" s="214"/>
      <c r="E721" t="str" cm="1">
        <f t="array" aca="1" ref="E721" ca="1">IF(_xlfn.XLOOKUP(INDIRECT("RC[-1]", 0), CategoryNames, CategoryIdentifiers, "")&lt;&gt;"",INDIRECT("RC[-1]", 0),"")</f>
        <v/>
      </c>
      <c r="G721" t="str" cm="1">
        <f t="array" aca="1" ref="G721" ca="1">IF(COUNTIF($F$2:$F$1000,INDIRECT("RC[-2]",0))&gt;0,"",INDIRECT("RC[-2]",0))</f>
        <v/>
      </c>
    </row>
    <row r="722" spans="2:7" x14ac:dyDescent="0.25">
      <c r="B722" t="str" cm="1">
        <f t="array" aca="1" ref="B722" ca="1">IFERROR(DATE(RIGHT(INDIRECT("RC[-1]",0),4),LEFT(INDIRECT("RC[-1]",0),2),1), "")</f>
        <v/>
      </c>
      <c r="C722" s="214"/>
      <c r="E722" t="str" cm="1">
        <f t="array" aca="1" ref="E722" ca="1">IF(_xlfn.XLOOKUP(INDIRECT("RC[-1]", 0), CategoryNames, CategoryIdentifiers, "")&lt;&gt;"",INDIRECT("RC[-1]", 0),"")</f>
        <v/>
      </c>
      <c r="G722" t="str" cm="1">
        <f t="array" aca="1" ref="G722" ca="1">IF(COUNTIF($F$2:$F$1000,INDIRECT("RC[-2]",0))&gt;0,"",INDIRECT("RC[-2]",0))</f>
        <v/>
      </c>
    </row>
    <row r="723" spans="2:7" x14ac:dyDescent="0.25">
      <c r="B723" t="str" cm="1">
        <f t="array" aca="1" ref="B723" ca="1">IFERROR(DATE(RIGHT(INDIRECT("RC[-1]",0),4),LEFT(INDIRECT("RC[-1]",0),2),1), "")</f>
        <v/>
      </c>
      <c r="C723" s="214"/>
      <c r="E723" t="str" cm="1">
        <f t="array" aca="1" ref="E723" ca="1">IF(_xlfn.XLOOKUP(INDIRECT("RC[-1]", 0), CategoryNames, CategoryIdentifiers, "")&lt;&gt;"",INDIRECT("RC[-1]", 0),"")</f>
        <v/>
      </c>
      <c r="G723" t="str" cm="1">
        <f t="array" aca="1" ref="G723" ca="1">IF(COUNTIF($F$2:$F$1000,INDIRECT("RC[-2]",0))&gt;0,"",INDIRECT("RC[-2]",0))</f>
        <v/>
      </c>
    </row>
    <row r="724" spans="2:7" x14ac:dyDescent="0.25">
      <c r="B724" t="str" cm="1">
        <f t="array" aca="1" ref="B724" ca="1">IFERROR(DATE(RIGHT(INDIRECT("RC[-1]",0),4),LEFT(INDIRECT("RC[-1]",0),2),1), "")</f>
        <v/>
      </c>
      <c r="C724" s="214"/>
      <c r="E724" t="str" cm="1">
        <f t="array" aca="1" ref="E724" ca="1">IF(_xlfn.XLOOKUP(INDIRECT("RC[-1]", 0), CategoryNames, CategoryIdentifiers, "")&lt;&gt;"",INDIRECT("RC[-1]", 0),"")</f>
        <v/>
      </c>
      <c r="G724" t="str" cm="1">
        <f t="array" aca="1" ref="G724" ca="1">IF(COUNTIF($F$2:$F$1000,INDIRECT("RC[-2]",0))&gt;0,"",INDIRECT("RC[-2]",0))</f>
        <v/>
      </c>
    </row>
    <row r="725" spans="2:7" x14ac:dyDescent="0.25">
      <c r="B725" t="str" cm="1">
        <f t="array" aca="1" ref="B725" ca="1">IFERROR(DATE(RIGHT(INDIRECT("RC[-1]",0),4),LEFT(INDIRECT("RC[-1]",0),2),1), "")</f>
        <v/>
      </c>
      <c r="C725" s="214"/>
      <c r="E725" t="str" cm="1">
        <f t="array" aca="1" ref="E725" ca="1">IF(_xlfn.XLOOKUP(INDIRECT("RC[-1]", 0), CategoryNames, CategoryIdentifiers, "")&lt;&gt;"",INDIRECT("RC[-1]", 0),"")</f>
        <v/>
      </c>
      <c r="G725" t="str" cm="1">
        <f t="array" aca="1" ref="G725" ca="1">IF(COUNTIF($F$2:$F$1000,INDIRECT("RC[-2]",0))&gt;0,"",INDIRECT("RC[-2]",0))</f>
        <v/>
      </c>
    </row>
    <row r="726" spans="2:7" x14ac:dyDescent="0.25">
      <c r="B726" t="str" cm="1">
        <f t="array" aca="1" ref="B726" ca="1">IFERROR(DATE(RIGHT(INDIRECT("RC[-1]",0),4),LEFT(INDIRECT("RC[-1]",0),2),1), "")</f>
        <v/>
      </c>
      <c r="C726" s="214"/>
      <c r="E726" t="str" cm="1">
        <f t="array" aca="1" ref="E726" ca="1">IF(_xlfn.XLOOKUP(INDIRECT("RC[-1]", 0), CategoryNames, CategoryIdentifiers, "")&lt;&gt;"",INDIRECT("RC[-1]", 0),"")</f>
        <v/>
      </c>
      <c r="G726" t="str" cm="1">
        <f t="array" aca="1" ref="G726" ca="1">IF(COUNTIF($F$2:$F$1000,INDIRECT("RC[-2]",0))&gt;0,"",INDIRECT("RC[-2]",0))</f>
        <v/>
      </c>
    </row>
    <row r="727" spans="2:7" x14ac:dyDescent="0.25">
      <c r="B727" t="str" cm="1">
        <f t="array" aca="1" ref="B727" ca="1">IFERROR(DATE(RIGHT(INDIRECT("RC[-1]",0),4),LEFT(INDIRECT("RC[-1]",0),2),1), "")</f>
        <v/>
      </c>
      <c r="C727" s="214"/>
      <c r="E727" t="str" cm="1">
        <f t="array" aca="1" ref="E727" ca="1">IF(_xlfn.XLOOKUP(INDIRECT("RC[-1]", 0), CategoryNames, CategoryIdentifiers, "")&lt;&gt;"",INDIRECT("RC[-1]", 0),"")</f>
        <v/>
      </c>
      <c r="G727" t="str" cm="1">
        <f t="array" aca="1" ref="G727" ca="1">IF(COUNTIF($F$2:$F$1000,INDIRECT("RC[-2]",0))&gt;0,"",INDIRECT("RC[-2]",0))</f>
        <v/>
      </c>
    </row>
    <row r="728" spans="2:7" x14ac:dyDescent="0.25">
      <c r="B728" t="str" cm="1">
        <f t="array" aca="1" ref="B728" ca="1">IFERROR(DATE(RIGHT(INDIRECT("RC[-1]",0),4),LEFT(INDIRECT("RC[-1]",0),2),1), "")</f>
        <v/>
      </c>
      <c r="C728" s="214"/>
      <c r="E728" t="str" cm="1">
        <f t="array" aca="1" ref="E728" ca="1">IF(_xlfn.XLOOKUP(INDIRECT("RC[-1]", 0), CategoryNames, CategoryIdentifiers, "")&lt;&gt;"",INDIRECT("RC[-1]", 0),"")</f>
        <v/>
      </c>
      <c r="G728" t="str" cm="1">
        <f t="array" aca="1" ref="G728" ca="1">IF(COUNTIF($F$2:$F$1000,INDIRECT("RC[-2]",0))&gt;0,"",INDIRECT("RC[-2]",0))</f>
        <v/>
      </c>
    </row>
    <row r="729" spans="2:7" x14ac:dyDescent="0.25">
      <c r="B729" t="str" cm="1">
        <f t="array" aca="1" ref="B729" ca="1">IFERROR(DATE(RIGHT(INDIRECT("RC[-1]",0),4),LEFT(INDIRECT("RC[-1]",0),2),1), "")</f>
        <v/>
      </c>
      <c r="C729" s="214"/>
      <c r="E729" t="str" cm="1">
        <f t="array" aca="1" ref="E729" ca="1">IF(_xlfn.XLOOKUP(INDIRECT("RC[-1]", 0), CategoryNames, CategoryIdentifiers, "")&lt;&gt;"",INDIRECT("RC[-1]", 0),"")</f>
        <v/>
      </c>
      <c r="G729" t="str" cm="1">
        <f t="array" aca="1" ref="G729" ca="1">IF(COUNTIF($F$2:$F$1000,INDIRECT("RC[-2]",0))&gt;0,"",INDIRECT("RC[-2]",0))</f>
        <v/>
      </c>
    </row>
    <row r="730" spans="2:7" x14ac:dyDescent="0.25">
      <c r="B730" t="str" cm="1">
        <f t="array" aca="1" ref="B730" ca="1">IFERROR(DATE(RIGHT(INDIRECT("RC[-1]",0),4),LEFT(INDIRECT("RC[-1]",0),2),1), "")</f>
        <v/>
      </c>
      <c r="C730" s="214"/>
      <c r="E730" t="str" cm="1">
        <f t="array" aca="1" ref="E730" ca="1">IF(_xlfn.XLOOKUP(INDIRECT("RC[-1]", 0), CategoryNames, CategoryIdentifiers, "")&lt;&gt;"",INDIRECT("RC[-1]", 0),"")</f>
        <v/>
      </c>
      <c r="G730" t="str" cm="1">
        <f t="array" aca="1" ref="G730" ca="1">IF(COUNTIF($F$2:$F$1000,INDIRECT("RC[-2]",0))&gt;0,"",INDIRECT("RC[-2]",0))</f>
        <v/>
      </c>
    </row>
    <row r="731" spans="2:7" x14ac:dyDescent="0.25">
      <c r="B731" t="str" cm="1">
        <f t="array" aca="1" ref="B731" ca="1">IFERROR(DATE(RIGHT(INDIRECT("RC[-1]",0),4),LEFT(INDIRECT("RC[-1]",0),2),1), "")</f>
        <v/>
      </c>
      <c r="C731" s="214"/>
      <c r="E731" t="str" cm="1">
        <f t="array" aca="1" ref="E731" ca="1">IF(_xlfn.XLOOKUP(INDIRECT("RC[-1]", 0), CategoryNames, CategoryIdentifiers, "")&lt;&gt;"",INDIRECT("RC[-1]", 0),"")</f>
        <v/>
      </c>
      <c r="G731" t="str" cm="1">
        <f t="array" aca="1" ref="G731" ca="1">IF(COUNTIF($F$2:$F$1000,INDIRECT("RC[-2]",0))&gt;0,"",INDIRECT("RC[-2]",0))</f>
        <v/>
      </c>
    </row>
    <row r="732" spans="2:7" x14ac:dyDescent="0.25">
      <c r="B732" t="str" cm="1">
        <f t="array" aca="1" ref="B732" ca="1">IFERROR(DATE(RIGHT(INDIRECT("RC[-1]",0),4),LEFT(INDIRECT("RC[-1]",0),2),1), "")</f>
        <v/>
      </c>
      <c r="C732" s="214"/>
      <c r="E732" t="str" cm="1">
        <f t="array" aca="1" ref="E732" ca="1">IF(_xlfn.XLOOKUP(INDIRECT("RC[-1]", 0), CategoryNames, CategoryIdentifiers, "")&lt;&gt;"",INDIRECT("RC[-1]", 0),"")</f>
        <v/>
      </c>
      <c r="G732" t="str" cm="1">
        <f t="array" aca="1" ref="G732" ca="1">IF(COUNTIF($F$2:$F$1000,INDIRECT("RC[-2]",0))&gt;0,"",INDIRECT("RC[-2]",0))</f>
        <v/>
      </c>
    </row>
    <row r="733" spans="2:7" x14ac:dyDescent="0.25">
      <c r="B733" t="str" cm="1">
        <f t="array" aca="1" ref="B733" ca="1">IFERROR(DATE(RIGHT(INDIRECT("RC[-1]",0),4),LEFT(INDIRECT("RC[-1]",0),2),1), "")</f>
        <v/>
      </c>
      <c r="C733" s="214"/>
      <c r="E733" t="str" cm="1">
        <f t="array" aca="1" ref="E733" ca="1">IF(_xlfn.XLOOKUP(INDIRECT("RC[-1]", 0), CategoryNames, CategoryIdentifiers, "")&lt;&gt;"",INDIRECT("RC[-1]", 0),"")</f>
        <v/>
      </c>
      <c r="G733" t="str" cm="1">
        <f t="array" aca="1" ref="G733" ca="1">IF(COUNTIF($F$2:$F$1000,INDIRECT("RC[-2]",0))&gt;0,"",INDIRECT("RC[-2]",0))</f>
        <v/>
      </c>
    </row>
    <row r="734" spans="2:7" x14ac:dyDescent="0.25">
      <c r="B734" t="str" cm="1">
        <f t="array" aca="1" ref="B734" ca="1">IFERROR(DATE(RIGHT(INDIRECT("RC[-1]",0),4),LEFT(INDIRECT("RC[-1]",0),2),1), "")</f>
        <v/>
      </c>
      <c r="C734" s="214"/>
      <c r="E734" t="str" cm="1">
        <f t="array" aca="1" ref="E734" ca="1">IF(_xlfn.XLOOKUP(INDIRECT("RC[-1]", 0), CategoryNames, CategoryIdentifiers, "")&lt;&gt;"",INDIRECT("RC[-1]", 0),"")</f>
        <v/>
      </c>
      <c r="G734" t="str" cm="1">
        <f t="array" aca="1" ref="G734" ca="1">IF(COUNTIF($F$2:$F$1000,INDIRECT("RC[-2]",0))&gt;0,"",INDIRECT("RC[-2]",0))</f>
        <v/>
      </c>
    </row>
    <row r="735" spans="2:7" x14ac:dyDescent="0.25">
      <c r="B735" t="str" cm="1">
        <f t="array" aca="1" ref="B735" ca="1">IFERROR(DATE(RIGHT(INDIRECT("RC[-1]",0),4),LEFT(INDIRECT("RC[-1]",0),2),1), "")</f>
        <v/>
      </c>
      <c r="C735" s="214"/>
      <c r="E735" t="str" cm="1">
        <f t="array" aca="1" ref="E735" ca="1">IF(_xlfn.XLOOKUP(INDIRECT("RC[-1]", 0), CategoryNames, CategoryIdentifiers, "")&lt;&gt;"",INDIRECT("RC[-1]", 0),"")</f>
        <v/>
      </c>
      <c r="G735" t="str" cm="1">
        <f t="array" aca="1" ref="G735" ca="1">IF(COUNTIF($F$2:$F$1000,INDIRECT("RC[-2]",0))&gt;0,"",INDIRECT("RC[-2]",0))</f>
        <v/>
      </c>
    </row>
    <row r="736" spans="2:7" x14ac:dyDescent="0.25">
      <c r="B736" t="str" cm="1">
        <f t="array" aca="1" ref="B736" ca="1">IFERROR(DATE(RIGHT(INDIRECT("RC[-1]",0),4),LEFT(INDIRECT("RC[-1]",0),2),1), "")</f>
        <v/>
      </c>
      <c r="C736" s="214"/>
      <c r="E736" t="str" cm="1">
        <f t="array" aca="1" ref="E736" ca="1">IF(_xlfn.XLOOKUP(INDIRECT("RC[-1]", 0), CategoryNames, CategoryIdentifiers, "")&lt;&gt;"",INDIRECT("RC[-1]", 0),"")</f>
        <v/>
      </c>
      <c r="G736" t="str" cm="1">
        <f t="array" aca="1" ref="G736" ca="1">IF(COUNTIF($F$2:$F$1000,INDIRECT("RC[-2]",0))&gt;0,"",INDIRECT("RC[-2]",0))</f>
        <v/>
      </c>
    </row>
    <row r="737" spans="2:7" x14ac:dyDescent="0.25">
      <c r="B737" t="str" cm="1">
        <f t="array" aca="1" ref="B737" ca="1">IFERROR(DATE(RIGHT(INDIRECT("RC[-1]",0),4),LEFT(INDIRECT("RC[-1]",0),2),1), "")</f>
        <v/>
      </c>
      <c r="C737" s="214"/>
      <c r="E737" t="str" cm="1">
        <f t="array" aca="1" ref="E737" ca="1">IF(_xlfn.XLOOKUP(INDIRECT("RC[-1]", 0), CategoryNames, CategoryIdentifiers, "")&lt;&gt;"",INDIRECT("RC[-1]", 0),"")</f>
        <v/>
      </c>
      <c r="G737" t="str" cm="1">
        <f t="array" aca="1" ref="G737" ca="1">IF(COUNTIF($F$2:$F$1000,INDIRECT("RC[-2]",0))&gt;0,"",INDIRECT("RC[-2]",0))</f>
        <v/>
      </c>
    </row>
    <row r="738" spans="2:7" x14ac:dyDescent="0.25">
      <c r="B738" t="str" cm="1">
        <f t="array" aca="1" ref="B738" ca="1">IFERROR(DATE(RIGHT(INDIRECT("RC[-1]",0),4),LEFT(INDIRECT("RC[-1]",0),2),1), "")</f>
        <v/>
      </c>
      <c r="C738" s="214"/>
      <c r="E738" t="str" cm="1">
        <f t="array" aca="1" ref="E738" ca="1">IF(_xlfn.XLOOKUP(INDIRECT("RC[-1]", 0), CategoryNames, CategoryIdentifiers, "")&lt;&gt;"",INDIRECT("RC[-1]", 0),"")</f>
        <v/>
      </c>
      <c r="G738" t="str" cm="1">
        <f t="array" aca="1" ref="G738" ca="1">IF(COUNTIF($F$2:$F$1000,INDIRECT("RC[-2]",0))&gt;0,"",INDIRECT("RC[-2]",0))</f>
        <v/>
      </c>
    </row>
    <row r="739" spans="2:7" x14ac:dyDescent="0.25">
      <c r="B739" t="str" cm="1">
        <f t="array" aca="1" ref="B739" ca="1">IFERROR(DATE(RIGHT(INDIRECT("RC[-1]",0),4),LEFT(INDIRECT("RC[-1]",0),2),1), "")</f>
        <v/>
      </c>
      <c r="C739" s="214"/>
      <c r="E739" t="str" cm="1">
        <f t="array" aca="1" ref="E739" ca="1">IF(_xlfn.XLOOKUP(INDIRECT("RC[-1]", 0), CategoryNames, CategoryIdentifiers, "")&lt;&gt;"",INDIRECT("RC[-1]", 0),"")</f>
        <v/>
      </c>
      <c r="G739" t="str" cm="1">
        <f t="array" aca="1" ref="G739" ca="1">IF(COUNTIF($F$2:$F$1000,INDIRECT("RC[-2]",0))&gt;0,"",INDIRECT("RC[-2]",0))</f>
        <v/>
      </c>
    </row>
    <row r="740" spans="2:7" x14ac:dyDescent="0.25">
      <c r="B740" t="str" cm="1">
        <f t="array" aca="1" ref="B740" ca="1">IFERROR(DATE(RIGHT(INDIRECT("RC[-1]",0),4),LEFT(INDIRECT("RC[-1]",0),2),1), "")</f>
        <v/>
      </c>
      <c r="C740" s="214"/>
      <c r="E740" t="str" cm="1">
        <f t="array" aca="1" ref="E740" ca="1">IF(_xlfn.XLOOKUP(INDIRECT("RC[-1]", 0), CategoryNames, CategoryIdentifiers, "")&lt;&gt;"",INDIRECT("RC[-1]", 0),"")</f>
        <v/>
      </c>
      <c r="G740" t="str" cm="1">
        <f t="array" aca="1" ref="G740" ca="1">IF(COUNTIF($F$2:$F$1000,INDIRECT("RC[-2]",0))&gt;0,"",INDIRECT("RC[-2]",0))</f>
        <v/>
      </c>
    </row>
    <row r="741" spans="2:7" x14ac:dyDescent="0.25">
      <c r="B741" t="str" cm="1">
        <f t="array" aca="1" ref="B741" ca="1">IFERROR(DATE(RIGHT(INDIRECT("RC[-1]",0),4),LEFT(INDIRECT("RC[-1]",0),2),1), "")</f>
        <v/>
      </c>
      <c r="C741" s="214"/>
      <c r="E741" t="str" cm="1">
        <f t="array" aca="1" ref="E741" ca="1">IF(_xlfn.XLOOKUP(INDIRECT("RC[-1]", 0), CategoryNames, CategoryIdentifiers, "")&lt;&gt;"",INDIRECT("RC[-1]", 0),"")</f>
        <v/>
      </c>
      <c r="G741" t="str" cm="1">
        <f t="array" aca="1" ref="G741" ca="1">IF(COUNTIF($F$2:$F$1000,INDIRECT("RC[-2]",0))&gt;0,"",INDIRECT("RC[-2]",0))</f>
        <v/>
      </c>
    </row>
    <row r="742" spans="2:7" x14ac:dyDescent="0.25">
      <c r="B742" t="str" cm="1">
        <f t="array" aca="1" ref="B742" ca="1">IFERROR(DATE(RIGHT(INDIRECT("RC[-1]",0),4),LEFT(INDIRECT("RC[-1]",0),2),1), "")</f>
        <v/>
      </c>
      <c r="C742" s="214"/>
      <c r="E742" t="str" cm="1">
        <f t="array" aca="1" ref="E742" ca="1">IF(_xlfn.XLOOKUP(INDIRECT("RC[-1]", 0), CategoryNames, CategoryIdentifiers, "")&lt;&gt;"",INDIRECT("RC[-1]", 0),"")</f>
        <v/>
      </c>
      <c r="G742" t="str" cm="1">
        <f t="array" aca="1" ref="G742" ca="1">IF(COUNTIF($F$2:$F$1000,INDIRECT("RC[-2]",0))&gt;0,"",INDIRECT("RC[-2]",0))</f>
        <v/>
      </c>
    </row>
    <row r="743" spans="2:7" x14ac:dyDescent="0.25">
      <c r="B743" t="str" cm="1">
        <f t="array" aca="1" ref="B743" ca="1">IFERROR(DATE(RIGHT(INDIRECT("RC[-1]",0),4),LEFT(INDIRECT("RC[-1]",0),2),1), "")</f>
        <v/>
      </c>
      <c r="C743" s="214"/>
      <c r="E743" t="str" cm="1">
        <f t="array" aca="1" ref="E743" ca="1">IF(_xlfn.XLOOKUP(INDIRECT("RC[-1]", 0), CategoryNames, CategoryIdentifiers, "")&lt;&gt;"",INDIRECT("RC[-1]", 0),"")</f>
        <v/>
      </c>
      <c r="G743" t="str" cm="1">
        <f t="array" aca="1" ref="G743" ca="1">IF(COUNTIF($F$2:$F$1000,INDIRECT("RC[-2]",0))&gt;0,"",INDIRECT("RC[-2]",0))</f>
        <v/>
      </c>
    </row>
    <row r="744" spans="2:7" x14ac:dyDescent="0.25">
      <c r="B744" t="str" cm="1">
        <f t="array" aca="1" ref="B744" ca="1">IFERROR(DATE(RIGHT(INDIRECT("RC[-1]",0),4),LEFT(INDIRECT("RC[-1]",0),2),1), "")</f>
        <v/>
      </c>
      <c r="C744" s="214"/>
      <c r="E744" t="str" cm="1">
        <f t="array" aca="1" ref="E744" ca="1">IF(_xlfn.XLOOKUP(INDIRECT("RC[-1]", 0), CategoryNames, CategoryIdentifiers, "")&lt;&gt;"",INDIRECT("RC[-1]", 0),"")</f>
        <v/>
      </c>
      <c r="G744" t="str" cm="1">
        <f t="array" aca="1" ref="G744" ca="1">IF(COUNTIF($F$2:$F$1000,INDIRECT("RC[-2]",0))&gt;0,"",INDIRECT("RC[-2]",0))</f>
        <v/>
      </c>
    </row>
    <row r="745" spans="2:7" x14ac:dyDescent="0.25">
      <c r="B745" t="str" cm="1">
        <f t="array" aca="1" ref="B745" ca="1">IFERROR(DATE(RIGHT(INDIRECT("RC[-1]",0),4),LEFT(INDIRECT("RC[-1]",0),2),1), "")</f>
        <v/>
      </c>
      <c r="C745" s="214"/>
      <c r="E745" t="str" cm="1">
        <f t="array" aca="1" ref="E745" ca="1">IF(_xlfn.XLOOKUP(INDIRECT("RC[-1]", 0), CategoryNames, CategoryIdentifiers, "")&lt;&gt;"",INDIRECT("RC[-1]", 0),"")</f>
        <v/>
      </c>
      <c r="G745" t="str" cm="1">
        <f t="array" aca="1" ref="G745" ca="1">IF(COUNTIF($F$2:$F$1000,INDIRECT("RC[-2]",0))&gt;0,"",INDIRECT("RC[-2]",0))</f>
        <v/>
      </c>
    </row>
    <row r="746" spans="2:7" x14ac:dyDescent="0.25">
      <c r="B746" t="str" cm="1">
        <f t="array" aca="1" ref="B746" ca="1">IFERROR(DATE(RIGHT(INDIRECT("RC[-1]",0),4),LEFT(INDIRECT("RC[-1]",0),2),1), "")</f>
        <v/>
      </c>
      <c r="C746" s="214"/>
      <c r="E746" t="str" cm="1">
        <f t="array" aca="1" ref="E746" ca="1">IF(_xlfn.XLOOKUP(INDIRECT("RC[-1]", 0), CategoryNames, CategoryIdentifiers, "")&lt;&gt;"",INDIRECT("RC[-1]", 0),"")</f>
        <v/>
      </c>
      <c r="G746" t="str" cm="1">
        <f t="array" aca="1" ref="G746" ca="1">IF(COUNTIF($F$2:$F$1000,INDIRECT("RC[-2]",0))&gt;0,"",INDIRECT("RC[-2]",0))</f>
        <v/>
      </c>
    </row>
    <row r="747" spans="2:7" x14ac:dyDescent="0.25">
      <c r="B747" t="str" cm="1">
        <f t="array" aca="1" ref="B747" ca="1">IFERROR(DATE(RIGHT(INDIRECT("RC[-1]",0),4),LEFT(INDIRECT("RC[-1]",0),2),1), "")</f>
        <v/>
      </c>
      <c r="C747" s="214"/>
      <c r="E747" t="str" cm="1">
        <f t="array" aca="1" ref="E747" ca="1">IF(_xlfn.XLOOKUP(INDIRECT("RC[-1]", 0), CategoryNames, CategoryIdentifiers, "")&lt;&gt;"",INDIRECT("RC[-1]", 0),"")</f>
        <v/>
      </c>
      <c r="G747" t="str" cm="1">
        <f t="array" aca="1" ref="G747" ca="1">IF(COUNTIF($F$2:$F$1000,INDIRECT("RC[-2]",0))&gt;0,"",INDIRECT("RC[-2]",0))</f>
        <v/>
      </c>
    </row>
    <row r="748" spans="2:7" x14ac:dyDescent="0.25">
      <c r="B748" t="str" cm="1">
        <f t="array" aca="1" ref="B748" ca="1">IFERROR(DATE(RIGHT(INDIRECT("RC[-1]",0),4),LEFT(INDIRECT("RC[-1]",0),2),1), "")</f>
        <v/>
      </c>
      <c r="C748" s="214"/>
      <c r="E748" t="str" cm="1">
        <f t="array" aca="1" ref="E748" ca="1">IF(_xlfn.XLOOKUP(INDIRECT("RC[-1]", 0), CategoryNames, CategoryIdentifiers, "")&lt;&gt;"",INDIRECT("RC[-1]", 0),"")</f>
        <v/>
      </c>
      <c r="G748" t="str" cm="1">
        <f t="array" aca="1" ref="G748" ca="1">IF(COUNTIF($F$2:$F$1000,INDIRECT("RC[-2]",0))&gt;0,"",INDIRECT("RC[-2]",0))</f>
        <v/>
      </c>
    </row>
    <row r="749" spans="2:7" x14ac:dyDescent="0.25">
      <c r="B749" t="str" cm="1">
        <f t="array" aca="1" ref="B749" ca="1">IFERROR(DATE(RIGHT(INDIRECT("RC[-1]",0),4),LEFT(INDIRECT("RC[-1]",0),2),1), "")</f>
        <v/>
      </c>
      <c r="C749" s="214"/>
      <c r="E749" t="str" cm="1">
        <f t="array" aca="1" ref="E749" ca="1">IF(_xlfn.XLOOKUP(INDIRECT("RC[-1]", 0), CategoryNames, CategoryIdentifiers, "")&lt;&gt;"",INDIRECT("RC[-1]", 0),"")</f>
        <v/>
      </c>
      <c r="G749" t="str" cm="1">
        <f t="array" aca="1" ref="G749" ca="1">IF(COUNTIF($F$2:$F$1000,INDIRECT("RC[-2]",0))&gt;0,"",INDIRECT("RC[-2]",0))</f>
        <v/>
      </c>
    </row>
    <row r="750" spans="2:7" x14ac:dyDescent="0.25">
      <c r="B750" t="str" cm="1">
        <f t="array" aca="1" ref="B750" ca="1">IFERROR(DATE(RIGHT(INDIRECT("RC[-1]",0),4),LEFT(INDIRECT("RC[-1]",0),2),1), "")</f>
        <v/>
      </c>
      <c r="C750" s="214"/>
      <c r="E750" t="str" cm="1">
        <f t="array" aca="1" ref="E750" ca="1">IF(_xlfn.XLOOKUP(INDIRECT("RC[-1]", 0), CategoryNames, CategoryIdentifiers, "")&lt;&gt;"",INDIRECT("RC[-1]", 0),"")</f>
        <v/>
      </c>
      <c r="G750" t="str" cm="1">
        <f t="array" aca="1" ref="G750" ca="1">IF(COUNTIF($F$2:$F$1000,INDIRECT("RC[-2]",0))&gt;0,"",INDIRECT("RC[-2]",0))</f>
        <v/>
      </c>
    </row>
    <row r="751" spans="2:7" x14ac:dyDescent="0.25">
      <c r="B751" t="str" cm="1">
        <f t="array" aca="1" ref="B751" ca="1">IFERROR(DATE(RIGHT(INDIRECT("RC[-1]",0),4),LEFT(INDIRECT("RC[-1]",0),2),1), "")</f>
        <v/>
      </c>
      <c r="C751" s="214"/>
      <c r="E751" t="str" cm="1">
        <f t="array" aca="1" ref="E751" ca="1">IF(_xlfn.XLOOKUP(INDIRECT("RC[-1]", 0), CategoryNames, CategoryIdentifiers, "")&lt;&gt;"",INDIRECT("RC[-1]", 0),"")</f>
        <v/>
      </c>
      <c r="G751" t="str" cm="1">
        <f t="array" aca="1" ref="G751" ca="1">IF(COUNTIF($F$2:$F$1000,INDIRECT("RC[-2]",0))&gt;0,"",INDIRECT("RC[-2]",0))</f>
        <v/>
      </c>
    </row>
    <row r="752" spans="2:7" x14ac:dyDescent="0.25">
      <c r="B752" t="str" cm="1">
        <f t="array" aca="1" ref="B752" ca="1">IFERROR(DATE(RIGHT(INDIRECT("RC[-1]",0),4),LEFT(INDIRECT("RC[-1]",0),2),1), "")</f>
        <v/>
      </c>
      <c r="C752" s="214"/>
      <c r="E752" t="str" cm="1">
        <f t="array" aca="1" ref="E752" ca="1">IF(_xlfn.XLOOKUP(INDIRECT("RC[-1]", 0), CategoryNames, CategoryIdentifiers, "")&lt;&gt;"",INDIRECT("RC[-1]", 0),"")</f>
        <v/>
      </c>
      <c r="G752" t="str" cm="1">
        <f t="array" aca="1" ref="G752" ca="1">IF(COUNTIF($F$2:$F$1000,INDIRECT("RC[-2]",0))&gt;0,"",INDIRECT("RC[-2]",0))</f>
        <v/>
      </c>
    </row>
    <row r="753" spans="2:7" x14ac:dyDescent="0.25">
      <c r="B753" t="str" cm="1">
        <f t="array" aca="1" ref="B753" ca="1">IFERROR(DATE(RIGHT(INDIRECT("RC[-1]",0),4),LEFT(INDIRECT("RC[-1]",0),2),1), "")</f>
        <v/>
      </c>
      <c r="C753" s="214"/>
      <c r="E753" t="str" cm="1">
        <f t="array" aca="1" ref="E753" ca="1">IF(_xlfn.XLOOKUP(INDIRECT("RC[-1]", 0), CategoryNames, CategoryIdentifiers, "")&lt;&gt;"",INDIRECT("RC[-1]", 0),"")</f>
        <v/>
      </c>
      <c r="G753" t="str" cm="1">
        <f t="array" aca="1" ref="G753" ca="1">IF(COUNTIF($F$2:$F$1000,INDIRECT("RC[-2]",0))&gt;0,"",INDIRECT("RC[-2]",0))</f>
        <v/>
      </c>
    </row>
    <row r="754" spans="2:7" x14ac:dyDescent="0.25">
      <c r="B754" t="str" cm="1">
        <f t="array" aca="1" ref="B754" ca="1">IFERROR(DATE(RIGHT(INDIRECT("RC[-1]",0),4),LEFT(INDIRECT("RC[-1]",0),2),1), "")</f>
        <v/>
      </c>
      <c r="C754" s="214"/>
      <c r="E754" t="str" cm="1">
        <f t="array" aca="1" ref="E754" ca="1">IF(_xlfn.XLOOKUP(INDIRECT("RC[-1]", 0), CategoryNames, CategoryIdentifiers, "")&lt;&gt;"",INDIRECT("RC[-1]", 0),"")</f>
        <v/>
      </c>
      <c r="G754" t="str" cm="1">
        <f t="array" aca="1" ref="G754" ca="1">IF(COUNTIF($F$2:$F$1000,INDIRECT("RC[-2]",0))&gt;0,"",INDIRECT("RC[-2]",0))</f>
        <v/>
      </c>
    </row>
    <row r="755" spans="2:7" x14ac:dyDescent="0.25">
      <c r="B755" t="str" cm="1">
        <f t="array" aca="1" ref="B755" ca="1">IFERROR(DATE(RIGHT(INDIRECT("RC[-1]",0),4),LEFT(INDIRECT("RC[-1]",0),2),1), "")</f>
        <v/>
      </c>
      <c r="C755" s="214"/>
      <c r="E755" t="str" cm="1">
        <f t="array" aca="1" ref="E755" ca="1">IF(_xlfn.XLOOKUP(INDIRECT("RC[-1]", 0), CategoryNames, CategoryIdentifiers, "")&lt;&gt;"",INDIRECT("RC[-1]", 0),"")</f>
        <v/>
      </c>
      <c r="G755" t="str" cm="1">
        <f t="array" aca="1" ref="G755" ca="1">IF(COUNTIF($F$2:$F$1000,INDIRECT("RC[-2]",0))&gt;0,"",INDIRECT("RC[-2]",0))</f>
        <v/>
      </c>
    </row>
    <row r="756" spans="2:7" x14ac:dyDescent="0.25">
      <c r="B756" t="str" cm="1">
        <f t="array" aca="1" ref="B756" ca="1">IFERROR(DATE(RIGHT(INDIRECT("RC[-1]",0),4),LEFT(INDIRECT("RC[-1]",0),2),1), "")</f>
        <v/>
      </c>
      <c r="C756" s="214"/>
      <c r="E756" t="str" cm="1">
        <f t="array" aca="1" ref="E756" ca="1">IF(_xlfn.XLOOKUP(INDIRECT("RC[-1]", 0), CategoryNames, CategoryIdentifiers, "")&lt;&gt;"",INDIRECT("RC[-1]", 0),"")</f>
        <v/>
      </c>
      <c r="G756" t="str" cm="1">
        <f t="array" aca="1" ref="G756" ca="1">IF(COUNTIF($F$2:$F$1000,INDIRECT("RC[-2]",0))&gt;0,"",INDIRECT("RC[-2]",0))</f>
        <v/>
      </c>
    </row>
    <row r="757" spans="2:7" x14ac:dyDescent="0.25">
      <c r="B757" t="str" cm="1">
        <f t="array" aca="1" ref="B757" ca="1">IFERROR(DATE(RIGHT(INDIRECT("RC[-1]",0),4),LEFT(INDIRECT("RC[-1]",0),2),1), "")</f>
        <v/>
      </c>
      <c r="C757" s="214"/>
      <c r="E757" t="str" cm="1">
        <f t="array" aca="1" ref="E757" ca="1">IF(_xlfn.XLOOKUP(INDIRECT("RC[-1]", 0), CategoryNames, CategoryIdentifiers, "")&lt;&gt;"",INDIRECT("RC[-1]", 0),"")</f>
        <v/>
      </c>
      <c r="G757" t="str" cm="1">
        <f t="array" aca="1" ref="G757" ca="1">IF(COUNTIF($F$2:$F$1000,INDIRECT("RC[-2]",0))&gt;0,"",INDIRECT("RC[-2]",0))</f>
        <v/>
      </c>
    </row>
    <row r="758" spans="2:7" x14ac:dyDescent="0.25">
      <c r="B758" t="str" cm="1">
        <f t="array" aca="1" ref="B758" ca="1">IFERROR(DATE(RIGHT(INDIRECT("RC[-1]",0),4),LEFT(INDIRECT("RC[-1]",0),2),1), "")</f>
        <v/>
      </c>
      <c r="C758" s="214"/>
      <c r="E758" t="str" cm="1">
        <f t="array" aca="1" ref="E758" ca="1">IF(_xlfn.XLOOKUP(INDIRECT("RC[-1]", 0), CategoryNames, CategoryIdentifiers, "")&lt;&gt;"",INDIRECT("RC[-1]", 0),"")</f>
        <v/>
      </c>
      <c r="G758" t="str" cm="1">
        <f t="array" aca="1" ref="G758" ca="1">IF(COUNTIF($F$2:$F$1000,INDIRECT("RC[-2]",0))&gt;0,"",INDIRECT("RC[-2]",0))</f>
        <v/>
      </c>
    </row>
    <row r="759" spans="2:7" x14ac:dyDescent="0.25">
      <c r="B759" t="str" cm="1">
        <f t="array" aca="1" ref="B759" ca="1">IFERROR(DATE(RIGHT(INDIRECT("RC[-1]",0),4),LEFT(INDIRECT("RC[-1]",0),2),1), "")</f>
        <v/>
      </c>
      <c r="C759" s="214"/>
      <c r="E759" t="str" cm="1">
        <f t="array" aca="1" ref="E759" ca="1">IF(_xlfn.XLOOKUP(INDIRECT("RC[-1]", 0), CategoryNames, CategoryIdentifiers, "")&lt;&gt;"",INDIRECT("RC[-1]", 0),"")</f>
        <v/>
      </c>
      <c r="G759" t="str" cm="1">
        <f t="array" aca="1" ref="G759" ca="1">IF(COUNTIF($F$2:$F$1000,INDIRECT("RC[-2]",0))&gt;0,"",INDIRECT("RC[-2]",0))</f>
        <v/>
      </c>
    </row>
    <row r="760" spans="2:7" x14ac:dyDescent="0.25">
      <c r="B760" t="str" cm="1">
        <f t="array" aca="1" ref="B760" ca="1">IFERROR(DATE(RIGHT(INDIRECT("RC[-1]",0),4),LEFT(INDIRECT("RC[-1]",0),2),1), "")</f>
        <v/>
      </c>
      <c r="C760" s="214"/>
      <c r="E760" t="str" cm="1">
        <f t="array" aca="1" ref="E760" ca="1">IF(_xlfn.XLOOKUP(INDIRECT("RC[-1]", 0), CategoryNames, CategoryIdentifiers, "")&lt;&gt;"",INDIRECT("RC[-1]", 0),"")</f>
        <v/>
      </c>
      <c r="G760" t="str" cm="1">
        <f t="array" aca="1" ref="G760" ca="1">IF(COUNTIF($F$2:$F$1000,INDIRECT("RC[-2]",0))&gt;0,"",INDIRECT("RC[-2]",0))</f>
        <v/>
      </c>
    </row>
    <row r="761" spans="2:7" x14ac:dyDescent="0.25">
      <c r="B761" t="str" cm="1">
        <f t="array" aca="1" ref="B761" ca="1">IFERROR(DATE(RIGHT(INDIRECT("RC[-1]",0),4),LEFT(INDIRECT("RC[-1]",0),2),1), "")</f>
        <v/>
      </c>
      <c r="C761" s="214"/>
      <c r="E761" t="str" cm="1">
        <f t="array" aca="1" ref="E761" ca="1">IF(_xlfn.XLOOKUP(INDIRECT("RC[-1]", 0), CategoryNames, CategoryIdentifiers, "")&lt;&gt;"",INDIRECT("RC[-1]", 0),"")</f>
        <v/>
      </c>
      <c r="G761" t="str" cm="1">
        <f t="array" aca="1" ref="G761" ca="1">IF(COUNTIF($F$2:$F$1000,INDIRECT("RC[-2]",0))&gt;0,"",INDIRECT("RC[-2]",0))</f>
        <v/>
      </c>
    </row>
    <row r="762" spans="2:7" x14ac:dyDescent="0.25">
      <c r="B762" t="str" cm="1">
        <f t="array" aca="1" ref="B762" ca="1">IFERROR(DATE(RIGHT(INDIRECT("RC[-1]",0),4),LEFT(INDIRECT("RC[-1]",0),2),1), "")</f>
        <v/>
      </c>
      <c r="C762" s="214"/>
      <c r="E762" t="str" cm="1">
        <f t="array" aca="1" ref="E762" ca="1">IF(_xlfn.XLOOKUP(INDIRECT("RC[-1]", 0), CategoryNames, CategoryIdentifiers, "")&lt;&gt;"",INDIRECT("RC[-1]", 0),"")</f>
        <v/>
      </c>
      <c r="G762" t="str" cm="1">
        <f t="array" aca="1" ref="G762" ca="1">IF(COUNTIF($F$2:$F$1000,INDIRECT("RC[-2]",0))&gt;0,"",INDIRECT("RC[-2]",0))</f>
        <v/>
      </c>
    </row>
    <row r="763" spans="2:7" x14ac:dyDescent="0.25">
      <c r="B763" t="str" cm="1">
        <f t="array" aca="1" ref="B763" ca="1">IFERROR(DATE(RIGHT(INDIRECT("RC[-1]",0),4),LEFT(INDIRECT("RC[-1]",0),2),1), "")</f>
        <v/>
      </c>
      <c r="C763" s="214"/>
      <c r="E763" t="str" cm="1">
        <f t="array" aca="1" ref="E763" ca="1">IF(_xlfn.XLOOKUP(INDIRECT("RC[-1]", 0), CategoryNames, CategoryIdentifiers, "")&lt;&gt;"",INDIRECT("RC[-1]", 0),"")</f>
        <v/>
      </c>
      <c r="G763" t="str" cm="1">
        <f t="array" aca="1" ref="G763" ca="1">IF(COUNTIF($F$2:$F$1000,INDIRECT("RC[-2]",0))&gt;0,"",INDIRECT("RC[-2]",0))</f>
        <v/>
      </c>
    </row>
    <row r="764" spans="2:7" x14ac:dyDescent="0.25">
      <c r="B764" t="str" cm="1">
        <f t="array" aca="1" ref="B764" ca="1">IFERROR(DATE(RIGHT(INDIRECT("RC[-1]",0),4),LEFT(INDIRECT("RC[-1]",0),2),1), "")</f>
        <v/>
      </c>
      <c r="C764" s="214"/>
      <c r="E764" t="str" cm="1">
        <f t="array" aca="1" ref="E764" ca="1">IF(_xlfn.XLOOKUP(INDIRECT("RC[-1]", 0), CategoryNames, CategoryIdentifiers, "")&lt;&gt;"",INDIRECT("RC[-1]", 0),"")</f>
        <v/>
      </c>
      <c r="G764" t="str" cm="1">
        <f t="array" aca="1" ref="G764" ca="1">IF(COUNTIF($F$2:$F$1000,INDIRECT("RC[-2]",0))&gt;0,"",INDIRECT("RC[-2]",0))</f>
        <v/>
      </c>
    </row>
    <row r="765" spans="2:7" x14ac:dyDescent="0.25">
      <c r="B765" t="str" cm="1">
        <f t="array" aca="1" ref="B765" ca="1">IFERROR(DATE(RIGHT(INDIRECT("RC[-1]",0),4),LEFT(INDIRECT("RC[-1]",0),2),1), "")</f>
        <v/>
      </c>
      <c r="C765" s="214"/>
      <c r="E765" t="str" cm="1">
        <f t="array" aca="1" ref="E765" ca="1">IF(_xlfn.XLOOKUP(INDIRECT("RC[-1]", 0), CategoryNames, CategoryIdentifiers, "")&lt;&gt;"",INDIRECT("RC[-1]", 0),"")</f>
        <v/>
      </c>
      <c r="G765" t="str" cm="1">
        <f t="array" aca="1" ref="G765" ca="1">IF(COUNTIF($F$2:$F$1000,INDIRECT("RC[-2]",0))&gt;0,"",INDIRECT("RC[-2]",0))</f>
        <v/>
      </c>
    </row>
    <row r="766" spans="2:7" x14ac:dyDescent="0.25">
      <c r="B766" t="str" cm="1">
        <f t="array" aca="1" ref="B766" ca="1">IFERROR(DATE(RIGHT(INDIRECT("RC[-1]",0),4),LEFT(INDIRECT("RC[-1]",0),2),1), "")</f>
        <v/>
      </c>
      <c r="C766" s="214"/>
      <c r="E766" t="str" cm="1">
        <f t="array" aca="1" ref="E766" ca="1">IF(_xlfn.XLOOKUP(INDIRECT("RC[-1]", 0), CategoryNames, CategoryIdentifiers, "")&lt;&gt;"",INDIRECT("RC[-1]", 0),"")</f>
        <v/>
      </c>
      <c r="G766" t="str" cm="1">
        <f t="array" aca="1" ref="G766" ca="1">IF(COUNTIF($F$2:$F$1000,INDIRECT("RC[-2]",0))&gt;0,"",INDIRECT("RC[-2]",0))</f>
        <v/>
      </c>
    </row>
    <row r="767" spans="2:7" x14ac:dyDescent="0.25">
      <c r="B767" t="str" cm="1">
        <f t="array" aca="1" ref="B767" ca="1">IFERROR(DATE(RIGHT(INDIRECT("RC[-1]",0),4),LEFT(INDIRECT("RC[-1]",0),2),1), "")</f>
        <v/>
      </c>
      <c r="C767" s="214"/>
      <c r="E767" t="str" cm="1">
        <f t="array" aca="1" ref="E767" ca="1">IF(_xlfn.XLOOKUP(INDIRECT("RC[-1]", 0), CategoryNames, CategoryIdentifiers, "")&lt;&gt;"",INDIRECT("RC[-1]", 0),"")</f>
        <v/>
      </c>
      <c r="G767" t="str" cm="1">
        <f t="array" aca="1" ref="G767" ca="1">IF(COUNTIF($F$2:$F$1000,INDIRECT("RC[-2]",0))&gt;0,"",INDIRECT("RC[-2]",0))</f>
        <v/>
      </c>
    </row>
    <row r="768" spans="2:7" x14ac:dyDescent="0.25">
      <c r="B768" t="str" cm="1">
        <f t="array" aca="1" ref="B768" ca="1">IFERROR(DATE(RIGHT(INDIRECT("RC[-1]",0),4),LEFT(INDIRECT("RC[-1]",0),2),1), "")</f>
        <v/>
      </c>
      <c r="C768" s="214"/>
      <c r="E768" t="str" cm="1">
        <f t="array" aca="1" ref="E768" ca="1">IF(_xlfn.XLOOKUP(INDIRECT("RC[-1]", 0), CategoryNames, CategoryIdentifiers, "")&lt;&gt;"",INDIRECT("RC[-1]", 0),"")</f>
        <v/>
      </c>
      <c r="G768" t="str" cm="1">
        <f t="array" aca="1" ref="G768" ca="1">IF(COUNTIF($F$2:$F$1000,INDIRECT("RC[-2]",0))&gt;0,"",INDIRECT("RC[-2]",0))</f>
        <v/>
      </c>
    </row>
    <row r="769" spans="2:7" x14ac:dyDescent="0.25">
      <c r="B769" t="str" cm="1">
        <f t="array" aca="1" ref="B769" ca="1">IFERROR(DATE(RIGHT(INDIRECT("RC[-1]",0),4),LEFT(INDIRECT("RC[-1]",0),2),1), "")</f>
        <v/>
      </c>
      <c r="C769" s="214"/>
      <c r="E769" t="str" cm="1">
        <f t="array" aca="1" ref="E769" ca="1">IF(_xlfn.XLOOKUP(INDIRECT("RC[-1]", 0), CategoryNames, CategoryIdentifiers, "")&lt;&gt;"",INDIRECT("RC[-1]", 0),"")</f>
        <v/>
      </c>
      <c r="G769" t="str" cm="1">
        <f t="array" aca="1" ref="G769" ca="1">IF(COUNTIF($F$2:$F$1000,INDIRECT("RC[-2]",0))&gt;0,"",INDIRECT("RC[-2]",0))</f>
        <v/>
      </c>
    </row>
    <row r="770" spans="2:7" x14ac:dyDescent="0.25">
      <c r="B770" t="str" cm="1">
        <f t="array" aca="1" ref="B770" ca="1">IFERROR(DATE(RIGHT(INDIRECT("RC[-1]",0),4),LEFT(INDIRECT("RC[-1]",0),2),1), "")</f>
        <v/>
      </c>
      <c r="C770" s="214"/>
      <c r="E770" t="str" cm="1">
        <f t="array" aca="1" ref="E770" ca="1">IF(_xlfn.XLOOKUP(INDIRECT("RC[-1]", 0), CategoryNames, CategoryIdentifiers, "")&lt;&gt;"",INDIRECT("RC[-1]", 0),"")</f>
        <v/>
      </c>
      <c r="G770" t="str" cm="1">
        <f t="array" aca="1" ref="G770" ca="1">IF(COUNTIF($F$2:$F$1000,INDIRECT("RC[-2]",0))&gt;0,"",INDIRECT("RC[-2]",0))</f>
        <v/>
      </c>
    </row>
    <row r="771" spans="2:7" x14ac:dyDescent="0.25">
      <c r="B771" t="str" cm="1">
        <f t="array" aca="1" ref="B771" ca="1">IFERROR(DATE(RIGHT(INDIRECT("RC[-1]",0),4),LEFT(INDIRECT("RC[-1]",0),2),1), "")</f>
        <v/>
      </c>
      <c r="C771" s="214"/>
      <c r="E771" t="str" cm="1">
        <f t="array" aca="1" ref="E771" ca="1">IF(_xlfn.XLOOKUP(INDIRECT("RC[-1]", 0), CategoryNames, CategoryIdentifiers, "")&lt;&gt;"",INDIRECT("RC[-1]", 0),"")</f>
        <v/>
      </c>
      <c r="G771" t="str" cm="1">
        <f t="array" aca="1" ref="G771" ca="1">IF(COUNTIF($F$2:$F$1000,INDIRECT("RC[-2]",0))&gt;0,"",INDIRECT("RC[-2]",0))</f>
        <v/>
      </c>
    </row>
    <row r="772" spans="2:7" x14ac:dyDescent="0.25">
      <c r="B772" t="str" cm="1">
        <f t="array" aca="1" ref="B772" ca="1">IFERROR(DATE(RIGHT(INDIRECT("RC[-1]",0),4),LEFT(INDIRECT("RC[-1]",0),2),1), "")</f>
        <v/>
      </c>
      <c r="C772" s="214"/>
      <c r="E772" t="str" cm="1">
        <f t="array" aca="1" ref="E772" ca="1">IF(_xlfn.XLOOKUP(INDIRECT("RC[-1]", 0), CategoryNames, CategoryIdentifiers, "")&lt;&gt;"",INDIRECT("RC[-1]", 0),"")</f>
        <v/>
      </c>
      <c r="G772" t="str" cm="1">
        <f t="array" aca="1" ref="G772" ca="1">IF(COUNTIF($F$2:$F$1000,INDIRECT("RC[-2]",0))&gt;0,"",INDIRECT("RC[-2]",0))</f>
        <v/>
      </c>
    </row>
    <row r="773" spans="2:7" x14ac:dyDescent="0.25">
      <c r="B773" t="str" cm="1">
        <f t="array" aca="1" ref="B773" ca="1">IFERROR(DATE(RIGHT(INDIRECT("RC[-1]",0),4),LEFT(INDIRECT("RC[-1]",0),2),1), "")</f>
        <v/>
      </c>
      <c r="C773" s="214"/>
      <c r="E773" t="str" cm="1">
        <f t="array" aca="1" ref="E773" ca="1">IF(_xlfn.XLOOKUP(INDIRECT("RC[-1]", 0), CategoryNames, CategoryIdentifiers, "")&lt;&gt;"",INDIRECT("RC[-1]", 0),"")</f>
        <v/>
      </c>
      <c r="G773" t="str" cm="1">
        <f t="array" aca="1" ref="G773" ca="1">IF(COUNTIF($F$2:$F$1000,INDIRECT("RC[-2]",0))&gt;0,"",INDIRECT("RC[-2]",0))</f>
        <v/>
      </c>
    </row>
    <row r="774" spans="2:7" x14ac:dyDescent="0.25">
      <c r="B774" t="str" cm="1">
        <f t="array" aca="1" ref="B774" ca="1">IFERROR(DATE(RIGHT(INDIRECT("RC[-1]",0),4),LEFT(INDIRECT("RC[-1]",0),2),1), "")</f>
        <v/>
      </c>
      <c r="C774" s="214"/>
      <c r="E774" t="str" cm="1">
        <f t="array" aca="1" ref="E774" ca="1">IF(_xlfn.XLOOKUP(INDIRECT("RC[-1]", 0), CategoryNames, CategoryIdentifiers, "")&lt;&gt;"",INDIRECT("RC[-1]", 0),"")</f>
        <v/>
      </c>
      <c r="G774" t="str" cm="1">
        <f t="array" aca="1" ref="G774" ca="1">IF(COUNTIF($F$2:$F$1000,INDIRECT("RC[-2]",0))&gt;0,"",INDIRECT("RC[-2]",0))</f>
        <v/>
      </c>
    </row>
    <row r="775" spans="2:7" x14ac:dyDescent="0.25">
      <c r="B775" t="str" cm="1">
        <f t="array" aca="1" ref="B775" ca="1">IFERROR(DATE(RIGHT(INDIRECT("RC[-1]",0),4),LEFT(INDIRECT("RC[-1]",0),2),1), "")</f>
        <v/>
      </c>
      <c r="C775" s="214"/>
      <c r="E775" t="str" cm="1">
        <f t="array" aca="1" ref="E775" ca="1">IF(_xlfn.XLOOKUP(INDIRECT("RC[-1]", 0), CategoryNames, CategoryIdentifiers, "")&lt;&gt;"",INDIRECT("RC[-1]", 0),"")</f>
        <v/>
      </c>
      <c r="G775" t="str" cm="1">
        <f t="array" aca="1" ref="G775" ca="1">IF(COUNTIF($F$2:$F$1000,INDIRECT("RC[-2]",0))&gt;0,"",INDIRECT("RC[-2]",0))</f>
        <v/>
      </c>
    </row>
    <row r="776" spans="2:7" x14ac:dyDescent="0.25">
      <c r="B776" t="str" cm="1">
        <f t="array" aca="1" ref="B776" ca="1">IFERROR(DATE(RIGHT(INDIRECT("RC[-1]",0),4),LEFT(INDIRECT("RC[-1]",0),2),1), "")</f>
        <v/>
      </c>
      <c r="C776" s="214"/>
      <c r="E776" t="str" cm="1">
        <f t="array" aca="1" ref="E776" ca="1">IF(_xlfn.XLOOKUP(INDIRECT("RC[-1]", 0), CategoryNames, CategoryIdentifiers, "")&lt;&gt;"",INDIRECT("RC[-1]", 0),"")</f>
        <v/>
      </c>
      <c r="G776" t="str" cm="1">
        <f t="array" aca="1" ref="G776" ca="1">IF(COUNTIF($F$2:$F$1000,INDIRECT("RC[-2]",0))&gt;0,"",INDIRECT("RC[-2]",0))</f>
        <v/>
      </c>
    </row>
    <row r="777" spans="2:7" x14ac:dyDescent="0.25">
      <c r="B777" t="str" cm="1">
        <f t="array" aca="1" ref="B777" ca="1">IFERROR(DATE(RIGHT(INDIRECT("RC[-1]",0),4),LEFT(INDIRECT("RC[-1]",0),2),1), "")</f>
        <v/>
      </c>
      <c r="C777" s="214"/>
      <c r="E777" t="str" cm="1">
        <f t="array" aca="1" ref="E777" ca="1">IF(_xlfn.XLOOKUP(INDIRECT("RC[-1]", 0), CategoryNames, CategoryIdentifiers, "")&lt;&gt;"",INDIRECT("RC[-1]", 0),"")</f>
        <v/>
      </c>
      <c r="G777" t="str" cm="1">
        <f t="array" aca="1" ref="G777" ca="1">IF(COUNTIF($F$2:$F$1000,INDIRECT("RC[-2]",0))&gt;0,"",INDIRECT("RC[-2]",0))</f>
        <v/>
      </c>
    </row>
    <row r="778" spans="2:7" x14ac:dyDescent="0.25">
      <c r="B778" t="str" cm="1">
        <f t="array" aca="1" ref="B778" ca="1">IFERROR(DATE(RIGHT(INDIRECT("RC[-1]",0),4),LEFT(INDIRECT("RC[-1]",0),2),1), "")</f>
        <v/>
      </c>
      <c r="C778" s="214"/>
      <c r="E778" t="str" cm="1">
        <f t="array" aca="1" ref="E778" ca="1">IF(_xlfn.XLOOKUP(INDIRECT("RC[-1]", 0), CategoryNames, CategoryIdentifiers, "")&lt;&gt;"",INDIRECT("RC[-1]", 0),"")</f>
        <v/>
      </c>
      <c r="G778" t="str" cm="1">
        <f t="array" aca="1" ref="G778" ca="1">IF(COUNTIF($F$2:$F$1000,INDIRECT("RC[-2]",0))&gt;0,"",INDIRECT("RC[-2]",0))</f>
        <v/>
      </c>
    </row>
    <row r="779" spans="2:7" x14ac:dyDescent="0.25">
      <c r="B779" t="str" cm="1">
        <f t="array" aca="1" ref="B779" ca="1">IFERROR(DATE(RIGHT(INDIRECT("RC[-1]",0),4),LEFT(INDIRECT("RC[-1]",0),2),1), "")</f>
        <v/>
      </c>
      <c r="C779" s="214"/>
      <c r="E779" t="str" cm="1">
        <f t="array" aca="1" ref="E779" ca="1">IF(_xlfn.XLOOKUP(INDIRECT("RC[-1]", 0), CategoryNames, CategoryIdentifiers, "")&lt;&gt;"",INDIRECT("RC[-1]", 0),"")</f>
        <v/>
      </c>
      <c r="G779" t="str" cm="1">
        <f t="array" aca="1" ref="G779" ca="1">IF(COUNTIF($F$2:$F$1000,INDIRECT("RC[-2]",0))&gt;0,"",INDIRECT("RC[-2]",0))</f>
        <v/>
      </c>
    </row>
    <row r="780" spans="2:7" x14ac:dyDescent="0.25">
      <c r="B780" t="str" cm="1">
        <f t="array" aca="1" ref="B780" ca="1">IFERROR(DATE(RIGHT(INDIRECT("RC[-1]",0),4),LEFT(INDIRECT("RC[-1]",0),2),1), "")</f>
        <v/>
      </c>
      <c r="C780" s="214"/>
      <c r="E780" t="str" cm="1">
        <f t="array" aca="1" ref="E780" ca="1">IF(_xlfn.XLOOKUP(INDIRECT("RC[-1]", 0), CategoryNames, CategoryIdentifiers, "")&lt;&gt;"",INDIRECT("RC[-1]", 0),"")</f>
        <v/>
      </c>
      <c r="G780" t="str" cm="1">
        <f t="array" aca="1" ref="G780" ca="1">IF(COUNTIF($F$2:$F$1000,INDIRECT("RC[-2]",0))&gt;0,"",INDIRECT("RC[-2]",0))</f>
        <v/>
      </c>
    </row>
    <row r="781" spans="2:7" x14ac:dyDescent="0.25">
      <c r="B781" t="str" cm="1">
        <f t="array" aca="1" ref="B781" ca="1">IFERROR(DATE(RIGHT(INDIRECT("RC[-1]",0),4),LEFT(INDIRECT("RC[-1]",0),2),1), "")</f>
        <v/>
      </c>
      <c r="C781" s="214"/>
      <c r="E781" t="str" cm="1">
        <f t="array" aca="1" ref="E781" ca="1">IF(_xlfn.XLOOKUP(INDIRECT("RC[-1]", 0), CategoryNames, CategoryIdentifiers, "")&lt;&gt;"",INDIRECT("RC[-1]", 0),"")</f>
        <v/>
      </c>
      <c r="G781" t="str" cm="1">
        <f t="array" aca="1" ref="G781" ca="1">IF(COUNTIF($F$2:$F$1000,INDIRECT("RC[-2]",0))&gt;0,"",INDIRECT("RC[-2]",0))</f>
        <v/>
      </c>
    </row>
    <row r="782" spans="2:7" x14ac:dyDescent="0.25">
      <c r="B782" t="str" cm="1">
        <f t="array" aca="1" ref="B782" ca="1">IFERROR(DATE(RIGHT(INDIRECT("RC[-1]",0),4),LEFT(INDIRECT("RC[-1]",0),2),1), "")</f>
        <v/>
      </c>
      <c r="C782" s="214"/>
      <c r="E782" t="str" cm="1">
        <f t="array" aca="1" ref="E782" ca="1">IF(_xlfn.XLOOKUP(INDIRECT("RC[-1]", 0), CategoryNames, CategoryIdentifiers, "")&lt;&gt;"",INDIRECT("RC[-1]", 0),"")</f>
        <v/>
      </c>
      <c r="G782" t="str" cm="1">
        <f t="array" aca="1" ref="G782" ca="1">IF(COUNTIF($F$2:$F$1000,INDIRECT("RC[-2]",0))&gt;0,"",INDIRECT("RC[-2]",0))</f>
        <v/>
      </c>
    </row>
    <row r="783" spans="2:7" x14ac:dyDescent="0.25">
      <c r="B783" t="str" cm="1">
        <f t="array" aca="1" ref="B783" ca="1">IFERROR(DATE(RIGHT(INDIRECT("RC[-1]",0),4),LEFT(INDIRECT("RC[-1]",0),2),1), "")</f>
        <v/>
      </c>
      <c r="C783" s="214"/>
      <c r="E783" t="str" cm="1">
        <f t="array" aca="1" ref="E783" ca="1">IF(_xlfn.XLOOKUP(INDIRECT("RC[-1]", 0), CategoryNames, CategoryIdentifiers, "")&lt;&gt;"",INDIRECT("RC[-1]", 0),"")</f>
        <v/>
      </c>
      <c r="G783" t="str" cm="1">
        <f t="array" aca="1" ref="G783" ca="1">IF(COUNTIF($F$2:$F$1000,INDIRECT("RC[-2]",0))&gt;0,"",INDIRECT("RC[-2]",0))</f>
        <v/>
      </c>
    </row>
    <row r="784" spans="2:7" x14ac:dyDescent="0.25">
      <c r="B784" t="str" cm="1">
        <f t="array" aca="1" ref="B784" ca="1">IFERROR(DATE(RIGHT(INDIRECT("RC[-1]",0),4),LEFT(INDIRECT("RC[-1]",0),2),1), "")</f>
        <v/>
      </c>
      <c r="C784" s="214"/>
      <c r="E784" t="str" cm="1">
        <f t="array" aca="1" ref="E784" ca="1">IF(_xlfn.XLOOKUP(INDIRECT("RC[-1]", 0), CategoryNames, CategoryIdentifiers, "")&lt;&gt;"",INDIRECT("RC[-1]", 0),"")</f>
        <v/>
      </c>
      <c r="G784" t="str" cm="1">
        <f t="array" aca="1" ref="G784" ca="1">IF(COUNTIF($F$2:$F$1000,INDIRECT("RC[-2]",0))&gt;0,"",INDIRECT("RC[-2]",0))</f>
        <v/>
      </c>
    </row>
    <row r="785" spans="2:7" x14ac:dyDescent="0.25">
      <c r="B785" t="str" cm="1">
        <f t="array" aca="1" ref="B785" ca="1">IFERROR(DATE(RIGHT(INDIRECT("RC[-1]",0),4),LEFT(INDIRECT("RC[-1]",0),2),1), "")</f>
        <v/>
      </c>
      <c r="C785" s="214"/>
      <c r="E785" t="str" cm="1">
        <f t="array" aca="1" ref="E785" ca="1">IF(_xlfn.XLOOKUP(INDIRECT("RC[-1]", 0), CategoryNames, CategoryIdentifiers, "")&lt;&gt;"",INDIRECT("RC[-1]", 0),"")</f>
        <v/>
      </c>
      <c r="G785" t="str" cm="1">
        <f t="array" aca="1" ref="G785" ca="1">IF(COUNTIF($F$2:$F$1000,INDIRECT("RC[-2]",0))&gt;0,"",INDIRECT("RC[-2]",0))</f>
        <v/>
      </c>
    </row>
    <row r="786" spans="2:7" x14ac:dyDescent="0.25">
      <c r="B786" t="str" cm="1">
        <f t="array" aca="1" ref="B786" ca="1">IFERROR(DATE(RIGHT(INDIRECT("RC[-1]",0),4),LEFT(INDIRECT("RC[-1]",0),2),1), "")</f>
        <v/>
      </c>
      <c r="C786" s="214"/>
      <c r="E786" t="str" cm="1">
        <f t="array" aca="1" ref="E786" ca="1">IF(_xlfn.XLOOKUP(INDIRECT("RC[-1]", 0), CategoryNames, CategoryIdentifiers, "")&lt;&gt;"",INDIRECT("RC[-1]", 0),"")</f>
        <v/>
      </c>
      <c r="G786" t="str" cm="1">
        <f t="array" aca="1" ref="G786" ca="1">IF(COUNTIF($F$2:$F$1000,INDIRECT("RC[-2]",0))&gt;0,"",INDIRECT("RC[-2]",0))</f>
        <v/>
      </c>
    </row>
    <row r="787" spans="2:7" x14ac:dyDescent="0.25">
      <c r="B787" t="str" cm="1">
        <f t="array" aca="1" ref="B787" ca="1">IFERROR(DATE(RIGHT(INDIRECT("RC[-1]",0),4),LEFT(INDIRECT("RC[-1]",0),2),1), "")</f>
        <v/>
      </c>
      <c r="C787" s="214"/>
      <c r="E787" t="str" cm="1">
        <f t="array" aca="1" ref="E787" ca="1">IF(_xlfn.XLOOKUP(INDIRECT("RC[-1]", 0), CategoryNames, CategoryIdentifiers, "")&lt;&gt;"",INDIRECT("RC[-1]", 0),"")</f>
        <v/>
      </c>
      <c r="G787" t="str" cm="1">
        <f t="array" aca="1" ref="G787" ca="1">IF(COUNTIF($F$2:$F$1000,INDIRECT("RC[-2]",0))&gt;0,"",INDIRECT("RC[-2]",0))</f>
        <v/>
      </c>
    </row>
    <row r="788" spans="2:7" x14ac:dyDescent="0.25">
      <c r="B788" t="str" cm="1">
        <f t="array" aca="1" ref="B788" ca="1">IFERROR(DATE(RIGHT(INDIRECT("RC[-1]",0),4),LEFT(INDIRECT("RC[-1]",0),2),1), "")</f>
        <v/>
      </c>
      <c r="C788" s="214"/>
      <c r="E788" t="str" cm="1">
        <f t="array" aca="1" ref="E788" ca="1">IF(_xlfn.XLOOKUP(INDIRECT("RC[-1]", 0), CategoryNames, CategoryIdentifiers, "")&lt;&gt;"",INDIRECT("RC[-1]", 0),"")</f>
        <v/>
      </c>
      <c r="G788" t="str" cm="1">
        <f t="array" aca="1" ref="G788" ca="1">IF(COUNTIF($F$2:$F$1000,INDIRECT("RC[-2]",0))&gt;0,"",INDIRECT("RC[-2]",0))</f>
        <v/>
      </c>
    </row>
    <row r="789" spans="2:7" x14ac:dyDescent="0.25">
      <c r="B789" t="str" cm="1">
        <f t="array" aca="1" ref="B789" ca="1">IFERROR(DATE(RIGHT(INDIRECT("RC[-1]",0),4),LEFT(INDIRECT("RC[-1]",0),2),1), "")</f>
        <v/>
      </c>
      <c r="C789" s="214"/>
      <c r="E789" t="str" cm="1">
        <f t="array" aca="1" ref="E789" ca="1">IF(_xlfn.XLOOKUP(INDIRECT("RC[-1]", 0), CategoryNames, CategoryIdentifiers, "")&lt;&gt;"",INDIRECT("RC[-1]", 0),"")</f>
        <v/>
      </c>
      <c r="G789" t="str" cm="1">
        <f t="array" aca="1" ref="G789" ca="1">IF(COUNTIF($F$2:$F$1000,INDIRECT("RC[-2]",0))&gt;0,"",INDIRECT("RC[-2]",0))</f>
        <v/>
      </c>
    </row>
    <row r="790" spans="2:7" x14ac:dyDescent="0.25">
      <c r="B790" t="str" cm="1">
        <f t="array" aca="1" ref="B790" ca="1">IFERROR(DATE(RIGHT(INDIRECT("RC[-1]",0),4),LEFT(INDIRECT("RC[-1]",0),2),1), "")</f>
        <v/>
      </c>
      <c r="C790" s="214"/>
      <c r="E790" t="str" cm="1">
        <f t="array" aca="1" ref="E790" ca="1">IF(_xlfn.XLOOKUP(INDIRECT("RC[-1]", 0), CategoryNames, CategoryIdentifiers, "")&lt;&gt;"",INDIRECT("RC[-1]", 0),"")</f>
        <v/>
      </c>
      <c r="G790" t="str" cm="1">
        <f t="array" aca="1" ref="G790" ca="1">IF(COUNTIF($F$2:$F$1000,INDIRECT("RC[-2]",0))&gt;0,"",INDIRECT("RC[-2]",0))</f>
        <v/>
      </c>
    </row>
    <row r="791" spans="2:7" x14ac:dyDescent="0.25">
      <c r="B791" t="str" cm="1">
        <f t="array" aca="1" ref="B791" ca="1">IFERROR(DATE(RIGHT(INDIRECT("RC[-1]",0),4),LEFT(INDIRECT("RC[-1]",0),2),1), "")</f>
        <v/>
      </c>
      <c r="C791" s="214"/>
      <c r="E791" t="str" cm="1">
        <f t="array" aca="1" ref="E791" ca="1">IF(_xlfn.XLOOKUP(INDIRECT("RC[-1]", 0), CategoryNames, CategoryIdentifiers, "")&lt;&gt;"",INDIRECT("RC[-1]", 0),"")</f>
        <v/>
      </c>
      <c r="G791" t="str" cm="1">
        <f t="array" aca="1" ref="G791" ca="1">IF(COUNTIF($F$2:$F$1000,INDIRECT("RC[-2]",0))&gt;0,"",INDIRECT("RC[-2]",0))</f>
        <v/>
      </c>
    </row>
    <row r="792" spans="2:7" x14ac:dyDescent="0.25">
      <c r="B792" t="str" cm="1">
        <f t="array" aca="1" ref="B792" ca="1">IFERROR(DATE(RIGHT(INDIRECT("RC[-1]",0),4),LEFT(INDIRECT("RC[-1]",0),2),1), "")</f>
        <v/>
      </c>
      <c r="C792" s="214"/>
      <c r="E792" t="str" cm="1">
        <f t="array" aca="1" ref="E792" ca="1">IF(_xlfn.XLOOKUP(INDIRECT("RC[-1]", 0), CategoryNames, CategoryIdentifiers, "")&lt;&gt;"",INDIRECT("RC[-1]", 0),"")</f>
        <v/>
      </c>
      <c r="G792" t="str" cm="1">
        <f t="array" aca="1" ref="G792" ca="1">IF(COUNTIF($F$2:$F$1000,INDIRECT("RC[-2]",0))&gt;0,"",INDIRECT("RC[-2]",0))</f>
        <v/>
      </c>
    </row>
    <row r="793" spans="2:7" x14ac:dyDescent="0.25">
      <c r="B793" t="str" cm="1">
        <f t="array" aca="1" ref="B793" ca="1">IFERROR(DATE(RIGHT(INDIRECT("RC[-1]",0),4),LEFT(INDIRECT("RC[-1]",0),2),1), "")</f>
        <v/>
      </c>
      <c r="C793" s="214"/>
      <c r="E793" t="str" cm="1">
        <f t="array" aca="1" ref="E793" ca="1">IF(_xlfn.XLOOKUP(INDIRECT("RC[-1]", 0), CategoryNames, CategoryIdentifiers, "")&lt;&gt;"",INDIRECT("RC[-1]", 0),"")</f>
        <v/>
      </c>
      <c r="G793" t="str" cm="1">
        <f t="array" aca="1" ref="G793" ca="1">IF(COUNTIF($F$2:$F$1000,INDIRECT("RC[-2]",0))&gt;0,"",INDIRECT("RC[-2]",0))</f>
        <v/>
      </c>
    </row>
    <row r="794" spans="2:7" x14ac:dyDescent="0.25">
      <c r="B794" t="str" cm="1">
        <f t="array" aca="1" ref="B794" ca="1">IFERROR(DATE(RIGHT(INDIRECT("RC[-1]",0),4),LEFT(INDIRECT("RC[-1]",0),2),1), "")</f>
        <v/>
      </c>
      <c r="C794" s="214"/>
      <c r="E794" t="str" cm="1">
        <f t="array" aca="1" ref="E794" ca="1">IF(_xlfn.XLOOKUP(INDIRECT("RC[-1]", 0), CategoryNames, CategoryIdentifiers, "")&lt;&gt;"",INDIRECT("RC[-1]", 0),"")</f>
        <v/>
      </c>
      <c r="G794" t="str" cm="1">
        <f t="array" aca="1" ref="G794" ca="1">IF(COUNTIF($F$2:$F$1000,INDIRECT("RC[-2]",0))&gt;0,"",INDIRECT("RC[-2]",0))</f>
        <v/>
      </c>
    </row>
    <row r="795" spans="2:7" x14ac:dyDescent="0.25">
      <c r="B795" t="str" cm="1">
        <f t="array" aca="1" ref="B795" ca="1">IFERROR(DATE(RIGHT(INDIRECT("RC[-1]",0),4),LEFT(INDIRECT("RC[-1]",0),2),1), "")</f>
        <v/>
      </c>
      <c r="C795" s="214"/>
      <c r="E795" t="str" cm="1">
        <f t="array" aca="1" ref="E795" ca="1">IF(_xlfn.XLOOKUP(INDIRECT("RC[-1]", 0), CategoryNames, CategoryIdentifiers, "")&lt;&gt;"",INDIRECT("RC[-1]", 0),"")</f>
        <v/>
      </c>
      <c r="G795" t="str" cm="1">
        <f t="array" aca="1" ref="G795" ca="1">IF(COUNTIF($F$2:$F$1000,INDIRECT("RC[-2]",0))&gt;0,"",INDIRECT("RC[-2]",0))</f>
        <v/>
      </c>
    </row>
    <row r="796" spans="2:7" x14ac:dyDescent="0.25">
      <c r="B796" t="str" cm="1">
        <f t="array" aca="1" ref="B796" ca="1">IFERROR(DATE(RIGHT(INDIRECT("RC[-1]",0),4),LEFT(INDIRECT("RC[-1]",0),2),1), "")</f>
        <v/>
      </c>
      <c r="C796" s="214"/>
      <c r="E796" t="str" cm="1">
        <f t="array" aca="1" ref="E796" ca="1">IF(_xlfn.XLOOKUP(INDIRECT("RC[-1]", 0), CategoryNames, CategoryIdentifiers, "")&lt;&gt;"",INDIRECT("RC[-1]", 0),"")</f>
        <v/>
      </c>
      <c r="G796" t="str" cm="1">
        <f t="array" aca="1" ref="G796" ca="1">IF(COUNTIF($F$2:$F$1000,INDIRECT("RC[-2]",0))&gt;0,"",INDIRECT("RC[-2]",0))</f>
        <v/>
      </c>
    </row>
    <row r="797" spans="2:7" x14ac:dyDescent="0.25">
      <c r="B797" t="str" cm="1">
        <f t="array" aca="1" ref="B797" ca="1">IFERROR(DATE(RIGHT(INDIRECT("RC[-1]",0),4),LEFT(INDIRECT("RC[-1]",0),2),1), "")</f>
        <v/>
      </c>
      <c r="C797" s="214"/>
      <c r="E797" t="str" cm="1">
        <f t="array" aca="1" ref="E797" ca="1">IF(_xlfn.XLOOKUP(INDIRECT("RC[-1]", 0), CategoryNames, CategoryIdentifiers, "")&lt;&gt;"",INDIRECT("RC[-1]", 0),"")</f>
        <v/>
      </c>
      <c r="G797" t="str" cm="1">
        <f t="array" aca="1" ref="G797" ca="1">IF(COUNTIF($F$2:$F$1000,INDIRECT("RC[-2]",0))&gt;0,"",INDIRECT("RC[-2]",0))</f>
        <v/>
      </c>
    </row>
    <row r="798" spans="2:7" x14ac:dyDescent="0.25">
      <c r="B798" t="str" cm="1">
        <f t="array" aca="1" ref="B798" ca="1">IFERROR(DATE(RIGHT(INDIRECT("RC[-1]",0),4),LEFT(INDIRECT("RC[-1]",0),2),1), "")</f>
        <v/>
      </c>
      <c r="C798" s="214"/>
      <c r="E798" t="str" cm="1">
        <f t="array" aca="1" ref="E798" ca="1">IF(_xlfn.XLOOKUP(INDIRECT("RC[-1]", 0), CategoryNames, CategoryIdentifiers, "")&lt;&gt;"",INDIRECT("RC[-1]", 0),"")</f>
        <v/>
      </c>
      <c r="G798" t="str" cm="1">
        <f t="array" aca="1" ref="G798" ca="1">IF(COUNTIF($F$2:$F$1000,INDIRECT("RC[-2]",0))&gt;0,"",INDIRECT("RC[-2]",0))</f>
        <v/>
      </c>
    </row>
    <row r="799" spans="2:7" x14ac:dyDescent="0.25">
      <c r="B799" t="str" cm="1">
        <f t="array" aca="1" ref="B799" ca="1">IFERROR(DATE(RIGHT(INDIRECT("RC[-1]",0),4),LEFT(INDIRECT("RC[-1]",0),2),1), "")</f>
        <v/>
      </c>
      <c r="C799" s="214"/>
      <c r="E799" t="str" cm="1">
        <f t="array" aca="1" ref="E799" ca="1">IF(_xlfn.XLOOKUP(INDIRECT("RC[-1]", 0), CategoryNames, CategoryIdentifiers, "")&lt;&gt;"",INDIRECT("RC[-1]", 0),"")</f>
        <v/>
      </c>
      <c r="G799" t="str" cm="1">
        <f t="array" aca="1" ref="G799" ca="1">IF(COUNTIF($F$2:$F$1000,INDIRECT("RC[-2]",0))&gt;0,"",INDIRECT("RC[-2]",0))</f>
        <v/>
      </c>
    </row>
    <row r="800" spans="2:7" x14ac:dyDescent="0.25">
      <c r="B800" t="str" cm="1">
        <f t="array" aca="1" ref="B800" ca="1">IFERROR(DATE(RIGHT(INDIRECT("RC[-1]",0),4),LEFT(INDIRECT("RC[-1]",0),2),1), "")</f>
        <v/>
      </c>
      <c r="C800" s="214"/>
      <c r="E800" t="str" cm="1">
        <f t="array" aca="1" ref="E800" ca="1">IF(_xlfn.XLOOKUP(INDIRECT("RC[-1]", 0), CategoryNames, CategoryIdentifiers, "")&lt;&gt;"",INDIRECT("RC[-1]", 0),"")</f>
        <v/>
      </c>
      <c r="G800" t="str" cm="1">
        <f t="array" aca="1" ref="G800" ca="1">IF(COUNTIF($F$2:$F$1000,INDIRECT("RC[-2]",0))&gt;0,"",INDIRECT("RC[-2]",0))</f>
        <v/>
      </c>
    </row>
    <row r="801" spans="2:7" x14ac:dyDescent="0.25">
      <c r="B801" t="str" cm="1">
        <f t="array" aca="1" ref="B801" ca="1">IFERROR(DATE(RIGHT(INDIRECT("RC[-1]",0),4),LEFT(INDIRECT("RC[-1]",0),2),1), "")</f>
        <v/>
      </c>
      <c r="C801" s="214"/>
      <c r="E801" t="str" cm="1">
        <f t="array" aca="1" ref="E801" ca="1">IF(_xlfn.XLOOKUP(INDIRECT("RC[-1]", 0), CategoryNames, CategoryIdentifiers, "")&lt;&gt;"",INDIRECT("RC[-1]", 0),"")</f>
        <v/>
      </c>
      <c r="G801" t="str" cm="1">
        <f t="array" aca="1" ref="G801" ca="1">IF(COUNTIF($F$2:$F$1000,INDIRECT("RC[-2]",0))&gt;0,"",INDIRECT("RC[-2]",0))</f>
        <v/>
      </c>
    </row>
    <row r="802" spans="2:7" x14ac:dyDescent="0.25">
      <c r="B802" t="str" cm="1">
        <f t="array" aca="1" ref="B802" ca="1">IFERROR(DATE(RIGHT(INDIRECT("RC[-1]",0),4),LEFT(INDIRECT("RC[-1]",0),2),1), "")</f>
        <v/>
      </c>
      <c r="C802" s="214"/>
      <c r="E802" t="str" cm="1">
        <f t="array" aca="1" ref="E802" ca="1">IF(_xlfn.XLOOKUP(INDIRECT("RC[-1]", 0), CategoryNames, CategoryIdentifiers, "")&lt;&gt;"",INDIRECT("RC[-1]", 0),"")</f>
        <v/>
      </c>
      <c r="G802" t="str" cm="1">
        <f t="array" aca="1" ref="G802" ca="1">IF(COUNTIF($F$2:$F$1000,INDIRECT("RC[-2]",0))&gt;0,"",INDIRECT("RC[-2]",0))</f>
        <v/>
      </c>
    </row>
    <row r="803" spans="2:7" x14ac:dyDescent="0.25">
      <c r="B803" t="str" cm="1">
        <f t="array" aca="1" ref="B803" ca="1">IFERROR(DATE(RIGHT(INDIRECT("RC[-1]",0),4),LEFT(INDIRECT("RC[-1]",0),2),1), "")</f>
        <v/>
      </c>
      <c r="C803" s="214"/>
      <c r="E803" t="str" cm="1">
        <f t="array" aca="1" ref="E803" ca="1">IF(_xlfn.XLOOKUP(INDIRECT("RC[-1]", 0), CategoryNames, CategoryIdentifiers, "")&lt;&gt;"",INDIRECT("RC[-1]", 0),"")</f>
        <v/>
      </c>
      <c r="G803" t="str" cm="1">
        <f t="array" aca="1" ref="G803" ca="1">IF(COUNTIF($F$2:$F$1000,INDIRECT("RC[-2]",0))&gt;0,"",INDIRECT("RC[-2]",0))</f>
        <v/>
      </c>
    </row>
    <row r="804" spans="2:7" x14ac:dyDescent="0.25">
      <c r="B804" t="str" cm="1">
        <f t="array" aca="1" ref="B804" ca="1">IFERROR(DATE(RIGHT(INDIRECT("RC[-1]",0),4),LEFT(INDIRECT("RC[-1]",0),2),1), "")</f>
        <v/>
      </c>
      <c r="C804" s="214"/>
      <c r="E804" t="str" cm="1">
        <f t="array" aca="1" ref="E804" ca="1">IF(_xlfn.XLOOKUP(INDIRECT("RC[-1]", 0), CategoryNames, CategoryIdentifiers, "")&lt;&gt;"",INDIRECT("RC[-1]", 0),"")</f>
        <v/>
      </c>
      <c r="G804" t="str" cm="1">
        <f t="array" aca="1" ref="G804" ca="1">IF(COUNTIF($F$2:$F$1000,INDIRECT("RC[-2]",0))&gt;0,"",INDIRECT("RC[-2]",0))</f>
        <v/>
      </c>
    </row>
    <row r="805" spans="2:7" x14ac:dyDescent="0.25">
      <c r="B805" t="str" cm="1">
        <f t="array" aca="1" ref="B805" ca="1">IFERROR(DATE(RIGHT(INDIRECT("RC[-1]",0),4),LEFT(INDIRECT("RC[-1]",0),2),1), "")</f>
        <v/>
      </c>
      <c r="C805" s="214"/>
      <c r="E805" t="str" cm="1">
        <f t="array" aca="1" ref="E805" ca="1">IF(_xlfn.XLOOKUP(INDIRECT("RC[-1]", 0), CategoryNames, CategoryIdentifiers, "")&lt;&gt;"",INDIRECT("RC[-1]", 0),"")</f>
        <v/>
      </c>
      <c r="G805" t="str" cm="1">
        <f t="array" aca="1" ref="G805" ca="1">IF(COUNTIF($F$2:$F$1000,INDIRECT("RC[-2]",0))&gt;0,"",INDIRECT("RC[-2]",0))</f>
        <v/>
      </c>
    </row>
    <row r="806" spans="2:7" x14ac:dyDescent="0.25">
      <c r="B806" t="str" cm="1">
        <f t="array" aca="1" ref="B806" ca="1">IFERROR(DATE(RIGHT(INDIRECT("RC[-1]",0),4),LEFT(INDIRECT("RC[-1]",0),2),1), "")</f>
        <v/>
      </c>
      <c r="C806" s="214"/>
      <c r="E806" t="str" cm="1">
        <f t="array" aca="1" ref="E806" ca="1">IF(_xlfn.XLOOKUP(INDIRECT("RC[-1]", 0), CategoryNames, CategoryIdentifiers, "")&lt;&gt;"",INDIRECT("RC[-1]", 0),"")</f>
        <v/>
      </c>
      <c r="G806" t="str" cm="1">
        <f t="array" aca="1" ref="G806" ca="1">IF(COUNTIF($F$2:$F$1000,INDIRECT("RC[-2]",0))&gt;0,"",INDIRECT("RC[-2]",0))</f>
        <v/>
      </c>
    </row>
    <row r="807" spans="2:7" x14ac:dyDescent="0.25">
      <c r="B807" t="str" cm="1">
        <f t="array" aca="1" ref="B807" ca="1">IFERROR(DATE(RIGHT(INDIRECT("RC[-1]",0),4),LEFT(INDIRECT("RC[-1]",0),2),1), "")</f>
        <v/>
      </c>
      <c r="C807" s="214"/>
      <c r="E807" t="str" cm="1">
        <f t="array" aca="1" ref="E807" ca="1">IF(_xlfn.XLOOKUP(INDIRECT("RC[-1]", 0), CategoryNames, CategoryIdentifiers, "")&lt;&gt;"",INDIRECT("RC[-1]", 0),"")</f>
        <v/>
      </c>
      <c r="G807" t="str" cm="1">
        <f t="array" aca="1" ref="G807" ca="1">IF(COUNTIF($F$2:$F$1000,INDIRECT("RC[-2]",0))&gt;0,"",INDIRECT("RC[-2]",0))</f>
        <v/>
      </c>
    </row>
    <row r="808" spans="2:7" x14ac:dyDescent="0.25">
      <c r="B808" t="str" cm="1">
        <f t="array" aca="1" ref="B808" ca="1">IFERROR(DATE(RIGHT(INDIRECT("RC[-1]",0),4),LEFT(INDIRECT("RC[-1]",0),2),1), "")</f>
        <v/>
      </c>
      <c r="C808" s="214"/>
      <c r="E808" t="str" cm="1">
        <f t="array" aca="1" ref="E808" ca="1">IF(_xlfn.XLOOKUP(INDIRECT("RC[-1]", 0), CategoryNames, CategoryIdentifiers, "")&lt;&gt;"",INDIRECT("RC[-1]", 0),"")</f>
        <v/>
      </c>
      <c r="G808" t="str" cm="1">
        <f t="array" aca="1" ref="G808" ca="1">IF(COUNTIF($F$2:$F$1000,INDIRECT("RC[-2]",0))&gt;0,"",INDIRECT("RC[-2]",0))</f>
        <v/>
      </c>
    </row>
    <row r="809" spans="2:7" x14ac:dyDescent="0.25">
      <c r="B809" t="str" cm="1">
        <f t="array" aca="1" ref="B809" ca="1">IFERROR(DATE(RIGHT(INDIRECT("RC[-1]",0),4),LEFT(INDIRECT("RC[-1]",0),2),1), "")</f>
        <v/>
      </c>
      <c r="C809" s="214"/>
      <c r="E809" t="str" cm="1">
        <f t="array" aca="1" ref="E809" ca="1">IF(_xlfn.XLOOKUP(INDIRECT("RC[-1]", 0), CategoryNames, CategoryIdentifiers, "")&lt;&gt;"",INDIRECT("RC[-1]", 0),"")</f>
        <v/>
      </c>
      <c r="G809" t="str" cm="1">
        <f t="array" aca="1" ref="G809" ca="1">IF(COUNTIF($F$2:$F$1000,INDIRECT("RC[-2]",0))&gt;0,"",INDIRECT("RC[-2]",0))</f>
        <v/>
      </c>
    </row>
    <row r="810" spans="2:7" x14ac:dyDescent="0.25">
      <c r="B810" t="str" cm="1">
        <f t="array" aca="1" ref="B810" ca="1">IFERROR(DATE(RIGHT(INDIRECT("RC[-1]",0),4),LEFT(INDIRECT("RC[-1]",0),2),1), "")</f>
        <v/>
      </c>
      <c r="C810" s="214"/>
      <c r="E810" t="str" cm="1">
        <f t="array" aca="1" ref="E810" ca="1">IF(_xlfn.XLOOKUP(INDIRECT("RC[-1]", 0), CategoryNames, CategoryIdentifiers, "")&lt;&gt;"",INDIRECT("RC[-1]", 0),"")</f>
        <v/>
      </c>
      <c r="G810" t="str" cm="1">
        <f t="array" aca="1" ref="G810" ca="1">IF(COUNTIF($F$2:$F$1000,INDIRECT("RC[-2]",0))&gt;0,"",INDIRECT("RC[-2]",0))</f>
        <v/>
      </c>
    </row>
    <row r="811" spans="2:7" x14ac:dyDescent="0.25">
      <c r="B811" t="str" cm="1">
        <f t="array" aca="1" ref="B811" ca="1">IFERROR(DATE(RIGHT(INDIRECT("RC[-1]",0),4),LEFT(INDIRECT("RC[-1]",0),2),1), "")</f>
        <v/>
      </c>
      <c r="C811" s="214"/>
      <c r="E811" t="str" cm="1">
        <f t="array" aca="1" ref="E811" ca="1">IF(_xlfn.XLOOKUP(INDIRECT("RC[-1]", 0), CategoryNames, CategoryIdentifiers, "")&lt;&gt;"",INDIRECT("RC[-1]", 0),"")</f>
        <v/>
      </c>
      <c r="G811" t="str" cm="1">
        <f t="array" aca="1" ref="G811" ca="1">IF(COUNTIF($F$2:$F$1000,INDIRECT("RC[-2]",0))&gt;0,"",INDIRECT("RC[-2]",0))</f>
        <v/>
      </c>
    </row>
    <row r="812" spans="2:7" x14ac:dyDescent="0.25">
      <c r="B812" t="str" cm="1">
        <f t="array" aca="1" ref="B812" ca="1">IFERROR(DATE(RIGHT(INDIRECT("RC[-1]",0),4),LEFT(INDIRECT("RC[-1]",0),2),1), "")</f>
        <v/>
      </c>
      <c r="C812" s="214"/>
      <c r="E812" t="str" cm="1">
        <f t="array" aca="1" ref="E812" ca="1">IF(_xlfn.XLOOKUP(INDIRECT("RC[-1]", 0), CategoryNames, CategoryIdentifiers, "")&lt;&gt;"",INDIRECT("RC[-1]", 0),"")</f>
        <v/>
      </c>
      <c r="G812" t="str" cm="1">
        <f t="array" aca="1" ref="G812" ca="1">IF(COUNTIF($F$2:$F$1000,INDIRECT("RC[-2]",0))&gt;0,"",INDIRECT("RC[-2]",0))</f>
        <v/>
      </c>
    </row>
    <row r="813" spans="2:7" x14ac:dyDescent="0.25">
      <c r="B813" t="str" cm="1">
        <f t="array" aca="1" ref="B813" ca="1">IFERROR(DATE(RIGHT(INDIRECT("RC[-1]",0),4),LEFT(INDIRECT("RC[-1]",0),2),1), "")</f>
        <v/>
      </c>
      <c r="C813" s="214"/>
      <c r="E813" t="str" cm="1">
        <f t="array" aca="1" ref="E813" ca="1">IF(_xlfn.XLOOKUP(INDIRECT("RC[-1]", 0), CategoryNames, CategoryIdentifiers, "")&lt;&gt;"",INDIRECT("RC[-1]", 0),"")</f>
        <v/>
      </c>
      <c r="G813" t="str" cm="1">
        <f t="array" aca="1" ref="G813" ca="1">IF(COUNTIF($F$2:$F$1000,INDIRECT("RC[-2]",0))&gt;0,"",INDIRECT("RC[-2]",0))</f>
        <v/>
      </c>
    </row>
    <row r="814" spans="2:7" x14ac:dyDescent="0.25">
      <c r="B814" t="str" cm="1">
        <f t="array" aca="1" ref="B814" ca="1">IFERROR(DATE(RIGHT(INDIRECT("RC[-1]",0),4),LEFT(INDIRECT("RC[-1]",0),2),1), "")</f>
        <v/>
      </c>
      <c r="C814" s="214"/>
      <c r="E814" t="str" cm="1">
        <f t="array" aca="1" ref="E814" ca="1">IF(_xlfn.XLOOKUP(INDIRECT("RC[-1]", 0), CategoryNames, CategoryIdentifiers, "")&lt;&gt;"",INDIRECT("RC[-1]", 0),"")</f>
        <v/>
      </c>
      <c r="G814" t="str" cm="1">
        <f t="array" aca="1" ref="G814" ca="1">IF(COUNTIF($F$2:$F$1000,INDIRECT("RC[-2]",0))&gt;0,"",INDIRECT("RC[-2]",0))</f>
        <v/>
      </c>
    </row>
    <row r="815" spans="2:7" x14ac:dyDescent="0.25">
      <c r="B815" t="str" cm="1">
        <f t="array" aca="1" ref="B815" ca="1">IFERROR(DATE(RIGHT(INDIRECT("RC[-1]",0),4),LEFT(INDIRECT("RC[-1]",0),2),1), "")</f>
        <v/>
      </c>
      <c r="C815" s="214"/>
      <c r="E815" t="str" cm="1">
        <f t="array" aca="1" ref="E815" ca="1">IF(_xlfn.XLOOKUP(INDIRECT("RC[-1]", 0), CategoryNames, CategoryIdentifiers, "")&lt;&gt;"",INDIRECT("RC[-1]", 0),"")</f>
        <v/>
      </c>
      <c r="G815" t="str" cm="1">
        <f t="array" aca="1" ref="G815" ca="1">IF(COUNTIF($F$2:$F$1000,INDIRECT("RC[-2]",0))&gt;0,"",INDIRECT("RC[-2]",0))</f>
        <v/>
      </c>
    </row>
    <row r="816" spans="2:7" x14ac:dyDescent="0.25">
      <c r="B816" t="str" cm="1">
        <f t="array" aca="1" ref="B816" ca="1">IFERROR(DATE(RIGHT(INDIRECT("RC[-1]",0),4),LEFT(INDIRECT("RC[-1]",0),2),1), "")</f>
        <v/>
      </c>
      <c r="C816" s="214"/>
      <c r="E816" t="str" cm="1">
        <f t="array" aca="1" ref="E816" ca="1">IF(_xlfn.XLOOKUP(INDIRECT("RC[-1]", 0), CategoryNames, CategoryIdentifiers, "")&lt;&gt;"",INDIRECT("RC[-1]", 0),"")</f>
        <v/>
      </c>
      <c r="G816" t="str" cm="1">
        <f t="array" aca="1" ref="G816" ca="1">IF(COUNTIF($F$2:$F$1000,INDIRECT("RC[-2]",0))&gt;0,"",INDIRECT("RC[-2]",0))</f>
        <v/>
      </c>
    </row>
    <row r="817" spans="2:7" x14ac:dyDescent="0.25">
      <c r="B817" t="str" cm="1">
        <f t="array" aca="1" ref="B817" ca="1">IFERROR(DATE(RIGHT(INDIRECT("RC[-1]",0),4),LEFT(INDIRECT("RC[-1]",0),2),1), "")</f>
        <v/>
      </c>
      <c r="C817" s="214"/>
      <c r="E817" t="str" cm="1">
        <f t="array" aca="1" ref="E817" ca="1">IF(_xlfn.XLOOKUP(INDIRECT("RC[-1]", 0), CategoryNames, CategoryIdentifiers, "")&lt;&gt;"",INDIRECT("RC[-1]", 0),"")</f>
        <v/>
      </c>
      <c r="G817" t="str" cm="1">
        <f t="array" aca="1" ref="G817" ca="1">IF(COUNTIF($F$2:$F$1000,INDIRECT("RC[-2]",0))&gt;0,"",INDIRECT("RC[-2]",0))</f>
        <v/>
      </c>
    </row>
    <row r="818" spans="2:7" x14ac:dyDescent="0.25">
      <c r="B818" t="str" cm="1">
        <f t="array" aca="1" ref="B818" ca="1">IFERROR(DATE(RIGHT(INDIRECT("RC[-1]",0),4),LEFT(INDIRECT("RC[-1]",0),2),1), "")</f>
        <v/>
      </c>
      <c r="C818" s="214"/>
      <c r="E818" t="str" cm="1">
        <f t="array" aca="1" ref="E818" ca="1">IF(_xlfn.XLOOKUP(INDIRECT("RC[-1]", 0), CategoryNames, CategoryIdentifiers, "")&lt;&gt;"",INDIRECT("RC[-1]", 0),"")</f>
        <v/>
      </c>
      <c r="G818" t="str" cm="1">
        <f t="array" aca="1" ref="G818" ca="1">IF(COUNTIF($F$2:$F$1000,INDIRECT("RC[-2]",0))&gt;0,"",INDIRECT("RC[-2]",0))</f>
        <v/>
      </c>
    </row>
    <row r="819" spans="2:7" x14ac:dyDescent="0.25">
      <c r="B819" t="str" cm="1">
        <f t="array" aca="1" ref="B819" ca="1">IFERROR(DATE(RIGHT(INDIRECT("RC[-1]",0),4),LEFT(INDIRECT("RC[-1]",0),2),1), "")</f>
        <v/>
      </c>
      <c r="C819" s="214"/>
      <c r="E819" t="str" cm="1">
        <f t="array" aca="1" ref="E819" ca="1">IF(_xlfn.XLOOKUP(INDIRECT("RC[-1]", 0), CategoryNames, CategoryIdentifiers, "")&lt;&gt;"",INDIRECT("RC[-1]", 0),"")</f>
        <v/>
      </c>
      <c r="G819" t="str" cm="1">
        <f t="array" aca="1" ref="G819" ca="1">IF(COUNTIF($F$2:$F$1000,INDIRECT("RC[-2]",0))&gt;0,"",INDIRECT("RC[-2]",0))</f>
        <v/>
      </c>
    </row>
    <row r="820" spans="2:7" x14ac:dyDescent="0.25">
      <c r="B820" t="str" cm="1">
        <f t="array" aca="1" ref="B820" ca="1">IFERROR(DATE(RIGHT(INDIRECT("RC[-1]",0),4),LEFT(INDIRECT("RC[-1]",0),2),1), "")</f>
        <v/>
      </c>
      <c r="C820" s="214"/>
      <c r="E820" t="str" cm="1">
        <f t="array" aca="1" ref="E820" ca="1">IF(_xlfn.XLOOKUP(INDIRECT("RC[-1]", 0), CategoryNames, CategoryIdentifiers, "")&lt;&gt;"",INDIRECT("RC[-1]", 0),"")</f>
        <v/>
      </c>
      <c r="G820" t="str" cm="1">
        <f t="array" aca="1" ref="G820" ca="1">IF(COUNTIF($F$2:$F$1000,INDIRECT("RC[-2]",0))&gt;0,"",INDIRECT("RC[-2]",0))</f>
        <v/>
      </c>
    </row>
    <row r="821" spans="2:7" x14ac:dyDescent="0.25">
      <c r="B821" t="str" cm="1">
        <f t="array" aca="1" ref="B821" ca="1">IFERROR(DATE(RIGHT(INDIRECT("RC[-1]",0),4),LEFT(INDIRECT("RC[-1]",0),2),1), "")</f>
        <v/>
      </c>
      <c r="C821" s="214"/>
      <c r="E821" t="str" cm="1">
        <f t="array" aca="1" ref="E821" ca="1">IF(_xlfn.XLOOKUP(INDIRECT("RC[-1]", 0), CategoryNames, CategoryIdentifiers, "")&lt;&gt;"",INDIRECT("RC[-1]", 0),"")</f>
        <v/>
      </c>
      <c r="G821" t="str" cm="1">
        <f t="array" aca="1" ref="G821" ca="1">IF(COUNTIF($F$2:$F$1000,INDIRECT("RC[-2]",0))&gt;0,"",INDIRECT("RC[-2]",0))</f>
        <v/>
      </c>
    </row>
    <row r="822" spans="2:7" x14ac:dyDescent="0.25">
      <c r="B822" t="str" cm="1">
        <f t="array" aca="1" ref="B822" ca="1">IFERROR(DATE(RIGHT(INDIRECT("RC[-1]",0),4),LEFT(INDIRECT("RC[-1]",0),2),1), "")</f>
        <v/>
      </c>
      <c r="C822" s="214"/>
      <c r="E822" t="str" cm="1">
        <f t="array" aca="1" ref="E822" ca="1">IF(_xlfn.XLOOKUP(INDIRECT("RC[-1]", 0), CategoryNames, CategoryIdentifiers, "")&lt;&gt;"",INDIRECT("RC[-1]", 0),"")</f>
        <v/>
      </c>
      <c r="G822" t="str" cm="1">
        <f t="array" aca="1" ref="G822" ca="1">IF(COUNTIF($F$2:$F$1000,INDIRECT("RC[-2]",0))&gt;0,"",INDIRECT("RC[-2]",0))</f>
        <v/>
      </c>
    </row>
    <row r="823" spans="2:7" x14ac:dyDescent="0.25">
      <c r="B823" t="str" cm="1">
        <f t="array" aca="1" ref="B823" ca="1">IFERROR(DATE(RIGHT(INDIRECT("RC[-1]",0),4),LEFT(INDIRECT("RC[-1]",0),2),1), "")</f>
        <v/>
      </c>
      <c r="C823" s="214"/>
      <c r="E823" t="str" cm="1">
        <f t="array" aca="1" ref="E823" ca="1">IF(_xlfn.XLOOKUP(INDIRECT("RC[-1]", 0), CategoryNames, CategoryIdentifiers, "")&lt;&gt;"",INDIRECT("RC[-1]", 0),"")</f>
        <v/>
      </c>
      <c r="G823" t="str" cm="1">
        <f t="array" aca="1" ref="G823" ca="1">IF(COUNTIF($F$2:$F$1000,INDIRECT("RC[-2]",0))&gt;0,"",INDIRECT("RC[-2]",0))</f>
        <v/>
      </c>
    </row>
    <row r="824" spans="2:7" x14ac:dyDescent="0.25">
      <c r="B824" t="str" cm="1">
        <f t="array" aca="1" ref="B824" ca="1">IFERROR(DATE(RIGHT(INDIRECT("RC[-1]",0),4),LEFT(INDIRECT("RC[-1]",0),2),1), "")</f>
        <v/>
      </c>
      <c r="C824" s="214"/>
      <c r="E824" t="str" cm="1">
        <f t="array" aca="1" ref="E824" ca="1">IF(_xlfn.XLOOKUP(INDIRECT("RC[-1]", 0), CategoryNames, CategoryIdentifiers, "")&lt;&gt;"",INDIRECT("RC[-1]", 0),"")</f>
        <v/>
      </c>
      <c r="G824" t="str" cm="1">
        <f t="array" aca="1" ref="G824" ca="1">IF(COUNTIF($F$2:$F$1000,INDIRECT("RC[-2]",0))&gt;0,"",INDIRECT("RC[-2]",0))</f>
        <v/>
      </c>
    </row>
    <row r="825" spans="2:7" x14ac:dyDescent="0.25">
      <c r="B825" t="str" cm="1">
        <f t="array" aca="1" ref="B825" ca="1">IFERROR(DATE(RIGHT(INDIRECT("RC[-1]",0),4),LEFT(INDIRECT("RC[-1]",0),2),1), "")</f>
        <v/>
      </c>
      <c r="C825" s="214"/>
      <c r="E825" t="str" cm="1">
        <f t="array" aca="1" ref="E825" ca="1">IF(_xlfn.XLOOKUP(INDIRECT("RC[-1]", 0), CategoryNames, CategoryIdentifiers, "")&lt;&gt;"",INDIRECT("RC[-1]", 0),"")</f>
        <v/>
      </c>
      <c r="G825" t="str" cm="1">
        <f t="array" aca="1" ref="G825" ca="1">IF(COUNTIF($F$2:$F$1000,INDIRECT("RC[-2]",0))&gt;0,"",INDIRECT("RC[-2]",0))</f>
        <v/>
      </c>
    </row>
    <row r="826" spans="2:7" x14ac:dyDescent="0.25">
      <c r="B826" t="str" cm="1">
        <f t="array" aca="1" ref="B826" ca="1">IFERROR(DATE(RIGHT(INDIRECT("RC[-1]",0),4),LEFT(INDIRECT("RC[-1]",0),2),1), "")</f>
        <v/>
      </c>
      <c r="C826" s="214"/>
      <c r="E826" t="str" cm="1">
        <f t="array" aca="1" ref="E826" ca="1">IF(_xlfn.XLOOKUP(INDIRECT("RC[-1]", 0), CategoryNames, CategoryIdentifiers, "")&lt;&gt;"",INDIRECT("RC[-1]", 0),"")</f>
        <v/>
      </c>
      <c r="G826" t="str" cm="1">
        <f t="array" aca="1" ref="G826" ca="1">IF(COUNTIF($F$2:$F$1000,INDIRECT("RC[-2]",0))&gt;0,"",INDIRECT("RC[-2]",0))</f>
        <v/>
      </c>
    </row>
    <row r="827" spans="2:7" x14ac:dyDescent="0.25">
      <c r="B827" t="str" cm="1">
        <f t="array" aca="1" ref="B827" ca="1">IFERROR(DATE(RIGHT(INDIRECT("RC[-1]",0),4),LEFT(INDIRECT("RC[-1]",0),2),1), "")</f>
        <v/>
      </c>
      <c r="C827" s="214"/>
      <c r="E827" t="str" cm="1">
        <f t="array" aca="1" ref="E827" ca="1">IF(_xlfn.XLOOKUP(INDIRECT("RC[-1]", 0), CategoryNames, CategoryIdentifiers, "")&lt;&gt;"",INDIRECT("RC[-1]", 0),"")</f>
        <v/>
      </c>
      <c r="G827" t="str" cm="1">
        <f t="array" aca="1" ref="G827" ca="1">IF(COUNTIF($F$2:$F$1000,INDIRECT("RC[-2]",0))&gt;0,"",INDIRECT("RC[-2]",0))</f>
        <v/>
      </c>
    </row>
    <row r="828" spans="2:7" x14ac:dyDescent="0.25">
      <c r="B828" t="str" cm="1">
        <f t="array" aca="1" ref="B828" ca="1">IFERROR(DATE(RIGHT(INDIRECT("RC[-1]",0),4),LEFT(INDIRECT("RC[-1]",0),2),1), "")</f>
        <v/>
      </c>
      <c r="C828" s="214"/>
      <c r="E828" t="str" cm="1">
        <f t="array" aca="1" ref="E828" ca="1">IF(_xlfn.XLOOKUP(INDIRECT("RC[-1]", 0), CategoryNames, CategoryIdentifiers, "")&lt;&gt;"",INDIRECT("RC[-1]", 0),"")</f>
        <v/>
      </c>
      <c r="G828" t="str" cm="1">
        <f t="array" aca="1" ref="G828" ca="1">IF(COUNTIF($F$2:$F$1000,INDIRECT("RC[-2]",0))&gt;0,"",INDIRECT("RC[-2]",0))</f>
        <v/>
      </c>
    </row>
    <row r="829" spans="2:7" x14ac:dyDescent="0.25">
      <c r="B829" t="str" cm="1">
        <f t="array" aca="1" ref="B829" ca="1">IFERROR(DATE(RIGHT(INDIRECT("RC[-1]",0),4),LEFT(INDIRECT("RC[-1]",0),2),1), "")</f>
        <v/>
      </c>
      <c r="C829" s="214"/>
      <c r="E829" t="str" cm="1">
        <f t="array" aca="1" ref="E829" ca="1">IF(_xlfn.XLOOKUP(INDIRECT("RC[-1]", 0), CategoryNames, CategoryIdentifiers, "")&lt;&gt;"",INDIRECT("RC[-1]", 0),"")</f>
        <v/>
      </c>
      <c r="G829" t="str" cm="1">
        <f t="array" aca="1" ref="G829" ca="1">IF(COUNTIF($F$2:$F$1000,INDIRECT("RC[-2]",0))&gt;0,"",INDIRECT("RC[-2]",0))</f>
        <v/>
      </c>
    </row>
    <row r="830" spans="2:7" x14ac:dyDescent="0.25">
      <c r="B830" t="str" cm="1">
        <f t="array" aca="1" ref="B830" ca="1">IFERROR(DATE(RIGHT(INDIRECT("RC[-1]",0),4),LEFT(INDIRECT("RC[-1]",0),2),1), "")</f>
        <v/>
      </c>
      <c r="C830" s="214"/>
      <c r="E830" t="str" cm="1">
        <f t="array" aca="1" ref="E830" ca="1">IF(_xlfn.XLOOKUP(INDIRECT("RC[-1]", 0), CategoryNames, CategoryIdentifiers, "")&lt;&gt;"",INDIRECT("RC[-1]", 0),"")</f>
        <v/>
      </c>
      <c r="G830" t="str" cm="1">
        <f t="array" aca="1" ref="G830" ca="1">IF(COUNTIF($F$2:$F$1000,INDIRECT("RC[-2]",0))&gt;0,"",INDIRECT("RC[-2]",0))</f>
        <v/>
      </c>
    </row>
    <row r="831" spans="2:7" x14ac:dyDescent="0.25">
      <c r="B831" t="str" cm="1">
        <f t="array" aca="1" ref="B831" ca="1">IFERROR(DATE(RIGHT(INDIRECT("RC[-1]",0),4),LEFT(INDIRECT("RC[-1]",0),2),1), "")</f>
        <v/>
      </c>
      <c r="C831" s="214"/>
      <c r="E831" t="str" cm="1">
        <f t="array" aca="1" ref="E831" ca="1">IF(_xlfn.XLOOKUP(INDIRECT("RC[-1]", 0), CategoryNames, CategoryIdentifiers, "")&lt;&gt;"",INDIRECT("RC[-1]", 0),"")</f>
        <v/>
      </c>
      <c r="G831" t="str" cm="1">
        <f t="array" aca="1" ref="G831" ca="1">IF(COUNTIF($F$2:$F$1000,INDIRECT("RC[-2]",0))&gt;0,"",INDIRECT("RC[-2]",0))</f>
        <v/>
      </c>
    </row>
    <row r="832" spans="2:7" x14ac:dyDescent="0.25">
      <c r="B832" t="str" cm="1">
        <f t="array" aca="1" ref="B832" ca="1">IFERROR(DATE(RIGHT(INDIRECT("RC[-1]",0),4),LEFT(INDIRECT("RC[-1]",0),2),1), "")</f>
        <v/>
      </c>
      <c r="C832" s="214"/>
      <c r="E832" t="str" cm="1">
        <f t="array" aca="1" ref="E832" ca="1">IF(_xlfn.XLOOKUP(INDIRECT("RC[-1]", 0), CategoryNames, CategoryIdentifiers, "")&lt;&gt;"",INDIRECT("RC[-1]", 0),"")</f>
        <v/>
      </c>
      <c r="G832" t="str" cm="1">
        <f t="array" aca="1" ref="G832" ca="1">IF(COUNTIF($F$2:$F$1000,INDIRECT("RC[-2]",0))&gt;0,"",INDIRECT("RC[-2]",0))</f>
        <v/>
      </c>
    </row>
    <row r="833" spans="2:7" x14ac:dyDescent="0.25">
      <c r="B833" t="str" cm="1">
        <f t="array" aca="1" ref="B833" ca="1">IFERROR(DATE(RIGHT(INDIRECT("RC[-1]",0),4),LEFT(INDIRECT("RC[-1]",0),2),1), "")</f>
        <v/>
      </c>
      <c r="C833" s="214"/>
      <c r="E833" t="str" cm="1">
        <f t="array" aca="1" ref="E833" ca="1">IF(_xlfn.XLOOKUP(INDIRECT("RC[-1]", 0), CategoryNames, CategoryIdentifiers, "")&lt;&gt;"",INDIRECT("RC[-1]", 0),"")</f>
        <v/>
      </c>
      <c r="G833" t="str" cm="1">
        <f t="array" aca="1" ref="G833" ca="1">IF(COUNTIF($F$2:$F$1000,INDIRECT("RC[-2]",0))&gt;0,"",INDIRECT("RC[-2]",0))</f>
        <v/>
      </c>
    </row>
    <row r="834" spans="2:7" x14ac:dyDescent="0.25">
      <c r="B834" t="str" cm="1">
        <f t="array" aca="1" ref="B834" ca="1">IFERROR(DATE(RIGHT(INDIRECT("RC[-1]",0),4),LEFT(INDIRECT("RC[-1]",0),2),1), "")</f>
        <v/>
      </c>
      <c r="C834" s="214"/>
      <c r="E834" t="str" cm="1">
        <f t="array" aca="1" ref="E834" ca="1">IF(_xlfn.XLOOKUP(INDIRECT("RC[-1]", 0), CategoryNames, CategoryIdentifiers, "")&lt;&gt;"",INDIRECT("RC[-1]", 0),"")</f>
        <v/>
      </c>
      <c r="G834" t="str" cm="1">
        <f t="array" aca="1" ref="G834" ca="1">IF(COUNTIF($F$2:$F$1000,INDIRECT("RC[-2]",0))&gt;0,"",INDIRECT("RC[-2]",0))</f>
        <v/>
      </c>
    </row>
    <row r="835" spans="2:7" x14ac:dyDescent="0.25">
      <c r="B835" t="str" cm="1">
        <f t="array" aca="1" ref="B835" ca="1">IFERROR(DATE(RIGHT(INDIRECT("RC[-1]",0),4),LEFT(INDIRECT("RC[-1]",0),2),1), "")</f>
        <v/>
      </c>
      <c r="C835" s="214"/>
      <c r="E835" t="str" cm="1">
        <f t="array" aca="1" ref="E835" ca="1">IF(_xlfn.XLOOKUP(INDIRECT("RC[-1]", 0), CategoryNames, CategoryIdentifiers, "")&lt;&gt;"",INDIRECT("RC[-1]", 0),"")</f>
        <v/>
      </c>
      <c r="G835" t="str" cm="1">
        <f t="array" aca="1" ref="G835" ca="1">IF(COUNTIF($F$2:$F$1000,INDIRECT("RC[-2]",0))&gt;0,"",INDIRECT("RC[-2]",0))</f>
        <v/>
      </c>
    </row>
    <row r="836" spans="2:7" x14ac:dyDescent="0.25">
      <c r="B836" t="str" cm="1">
        <f t="array" aca="1" ref="B836" ca="1">IFERROR(DATE(RIGHT(INDIRECT("RC[-1]",0),4),LEFT(INDIRECT("RC[-1]",0),2),1), "")</f>
        <v/>
      </c>
      <c r="C836" s="214"/>
      <c r="E836" t="str" cm="1">
        <f t="array" aca="1" ref="E836" ca="1">IF(_xlfn.XLOOKUP(INDIRECT("RC[-1]", 0), CategoryNames, CategoryIdentifiers, "")&lt;&gt;"",INDIRECT("RC[-1]", 0),"")</f>
        <v/>
      </c>
      <c r="G836" t="str" cm="1">
        <f t="array" aca="1" ref="G836" ca="1">IF(COUNTIF($F$2:$F$1000,INDIRECT("RC[-2]",0))&gt;0,"",INDIRECT("RC[-2]",0))</f>
        <v/>
      </c>
    </row>
    <row r="837" spans="2:7" x14ac:dyDescent="0.25">
      <c r="B837" t="str" cm="1">
        <f t="array" aca="1" ref="B837" ca="1">IFERROR(DATE(RIGHT(INDIRECT("RC[-1]",0),4),LEFT(INDIRECT("RC[-1]",0),2),1), "")</f>
        <v/>
      </c>
      <c r="C837" s="214"/>
      <c r="E837" t="str" cm="1">
        <f t="array" aca="1" ref="E837" ca="1">IF(_xlfn.XLOOKUP(INDIRECT("RC[-1]", 0), CategoryNames, CategoryIdentifiers, "")&lt;&gt;"",INDIRECT("RC[-1]", 0),"")</f>
        <v/>
      </c>
      <c r="G837" t="str" cm="1">
        <f t="array" aca="1" ref="G837" ca="1">IF(COUNTIF($F$2:$F$1000,INDIRECT("RC[-2]",0))&gt;0,"",INDIRECT("RC[-2]",0))</f>
        <v/>
      </c>
    </row>
    <row r="838" spans="2:7" x14ac:dyDescent="0.25">
      <c r="B838" t="str" cm="1">
        <f t="array" aca="1" ref="B838" ca="1">IFERROR(DATE(RIGHT(INDIRECT("RC[-1]",0),4),LEFT(INDIRECT("RC[-1]",0),2),1), "")</f>
        <v/>
      </c>
      <c r="C838" s="214"/>
      <c r="E838" t="str" cm="1">
        <f t="array" aca="1" ref="E838" ca="1">IF(_xlfn.XLOOKUP(INDIRECT("RC[-1]", 0), CategoryNames, CategoryIdentifiers, "")&lt;&gt;"",INDIRECT("RC[-1]", 0),"")</f>
        <v/>
      </c>
      <c r="G838" t="str" cm="1">
        <f t="array" aca="1" ref="G838" ca="1">IF(COUNTIF($F$2:$F$1000,INDIRECT("RC[-2]",0))&gt;0,"",INDIRECT("RC[-2]",0))</f>
        <v/>
      </c>
    </row>
    <row r="839" spans="2:7" x14ac:dyDescent="0.25">
      <c r="B839" t="str" cm="1">
        <f t="array" aca="1" ref="B839" ca="1">IFERROR(DATE(RIGHT(INDIRECT("RC[-1]",0),4),LEFT(INDIRECT("RC[-1]",0),2),1), "")</f>
        <v/>
      </c>
      <c r="C839" s="214"/>
      <c r="E839" t="str" cm="1">
        <f t="array" aca="1" ref="E839" ca="1">IF(_xlfn.XLOOKUP(INDIRECT("RC[-1]", 0), CategoryNames, CategoryIdentifiers, "")&lt;&gt;"",INDIRECT("RC[-1]", 0),"")</f>
        <v/>
      </c>
      <c r="G839" t="str" cm="1">
        <f t="array" aca="1" ref="G839" ca="1">IF(COUNTIF($F$2:$F$1000,INDIRECT("RC[-2]",0))&gt;0,"",INDIRECT("RC[-2]",0))</f>
        <v/>
      </c>
    </row>
    <row r="840" spans="2:7" x14ac:dyDescent="0.25">
      <c r="B840" t="str" cm="1">
        <f t="array" aca="1" ref="B840" ca="1">IFERROR(DATE(RIGHT(INDIRECT("RC[-1]",0),4),LEFT(INDIRECT("RC[-1]",0),2),1), "")</f>
        <v/>
      </c>
      <c r="C840" s="214"/>
      <c r="E840" t="str" cm="1">
        <f t="array" aca="1" ref="E840" ca="1">IF(_xlfn.XLOOKUP(INDIRECT("RC[-1]", 0), CategoryNames, CategoryIdentifiers, "")&lt;&gt;"",INDIRECT("RC[-1]", 0),"")</f>
        <v/>
      </c>
      <c r="G840" t="str" cm="1">
        <f t="array" aca="1" ref="G840" ca="1">IF(COUNTIF($F$2:$F$1000,INDIRECT("RC[-2]",0))&gt;0,"",INDIRECT("RC[-2]",0))</f>
        <v/>
      </c>
    </row>
    <row r="841" spans="2:7" x14ac:dyDescent="0.25">
      <c r="B841" t="str" cm="1">
        <f t="array" aca="1" ref="B841" ca="1">IFERROR(DATE(RIGHT(INDIRECT("RC[-1]",0),4),LEFT(INDIRECT("RC[-1]",0),2),1), "")</f>
        <v/>
      </c>
      <c r="C841" s="214"/>
      <c r="E841" t="str" cm="1">
        <f t="array" aca="1" ref="E841" ca="1">IF(_xlfn.XLOOKUP(INDIRECT("RC[-1]", 0), CategoryNames, CategoryIdentifiers, "")&lt;&gt;"",INDIRECT("RC[-1]", 0),"")</f>
        <v/>
      </c>
      <c r="G841" t="str" cm="1">
        <f t="array" aca="1" ref="G841" ca="1">IF(COUNTIF($F$2:$F$1000,INDIRECT("RC[-2]",0))&gt;0,"",INDIRECT("RC[-2]",0))</f>
        <v/>
      </c>
    </row>
    <row r="842" spans="2:7" x14ac:dyDescent="0.25">
      <c r="B842" t="str" cm="1">
        <f t="array" aca="1" ref="B842" ca="1">IFERROR(DATE(RIGHT(INDIRECT("RC[-1]",0),4),LEFT(INDIRECT("RC[-1]",0),2),1), "")</f>
        <v/>
      </c>
      <c r="C842" s="214"/>
      <c r="E842" t="str" cm="1">
        <f t="array" aca="1" ref="E842" ca="1">IF(_xlfn.XLOOKUP(INDIRECT("RC[-1]", 0), CategoryNames, CategoryIdentifiers, "")&lt;&gt;"",INDIRECT("RC[-1]", 0),"")</f>
        <v/>
      </c>
      <c r="G842" t="str" cm="1">
        <f t="array" aca="1" ref="G842" ca="1">IF(COUNTIF($F$2:$F$1000,INDIRECT("RC[-2]",0))&gt;0,"",INDIRECT("RC[-2]",0))</f>
        <v/>
      </c>
    </row>
    <row r="843" spans="2:7" x14ac:dyDescent="0.25">
      <c r="B843" t="str" cm="1">
        <f t="array" aca="1" ref="B843" ca="1">IFERROR(DATE(RIGHT(INDIRECT("RC[-1]",0),4),LEFT(INDIRECT("RC[-1]",0),2),1), "")</f>
        <v/>
      </c>
      <c r="C843" s="214"/>
      <c r="E843" t="str" cm="1">
        <f t="array" aca="1" ref="E843" ca="1">IF(_xlfn.XLOOKUP(INDIRECT("RC[-1]", 0), CategoryNames, CategoryIdentifiers, "")&lt;&gt;"",INDIRECT("RC[-1]", 0),"")</f>
        <v/>
      </c>
      <c r="G843" t="str" cm="1">
        <f t="array" aca="1" ref="G843" ca="1">IF(COUNTIF($F$2:$F$1000,INDIRECT("RC[-2]",0))&gt;0,"",INDIRECT("RC[-2]",0))</f>
        <v/>
      </c>
    </row>
    <row r="844" spans="2:7" x14ac:dyDescent="0.25">
      <c r="B844" t="str" cm="1">
        <f t="array" aca="1" ref="B844" ca="1">IFERROR(DATE(RIGHT(INDIRECT("RC[-1]",0),4),LEFT(INDIRECT("RC[-1]",0),2),1), "")</f>
        <v/>
      </c>
      <c r="C844" s="214"/>
      <c r="E844" t="str" cm="1">
        <f t="array" aca="1" ref="E844" ca="1">IF(_xlfn.XLOOKUP(INDIRECT("RC[-1]", 0), CategoryNames, CategoryIdentifiers, "")&lt;&gt;"",INDIRECT("RC[-1]", 0),"")</f>
        <v/>
      </c>
      <c r="G844" t="str" cm="1">
        <f t="array" aca="1" ref="G844" ca="1">IF(COUNTIF($F$2:$F$1000,INDIRECT("RC[-2]",0))&gt;0,"",INDIRECT("RC[-2]",0))</f>
        <v/>
      </c>
    </row>
    <row r="845" spans="2:7" x14ac:dyDescent="0.25">
      <c r="B845" t="str" cm="1">
        <f t="array" aca="1" ref="B845" ca="1">IFERROR(DATE(RIGHT(INDIRECT("RC[-1]",0),4),LEFT(INDIRECT("RC[-1]",0),2),1), "")</f>
        <v/>
      </c>
      <c r="C845" s="214"/>
      <c r="E845" t="str" cm="1">
        <f t="array" aca="1" ref="E845" ca="1">IF(_xlfn.XLOOKUP(INDIRECT("RC[-1]", 0), CategoryNames, CategoryIdentifiers, "")&lt;&gt;"",INDIRECT("RC[-1]", 0),"")</f>
        <v/>
      </c>
      <c r="G845" t="str" cm="1">
        <f t="array" aca="1" ref="G845" ca="1">IF(COUNTIF($F$2:$F$1000,INDIRECT("RC[-2]",0))&gt;0,"",INDIRECT("RC[-2]",0))</f>
        <v/>
      </c>
    </row>
    <row r="846" spans="2:7" x14ac:dyDescent="0.25">
      <c r="B846" t="str" cm="1">
        <f t="array" aca="1" ref="B846" ca="1">IFERROR(DATE(RIGHT(INDIRECT("RC[-1]",0),4),LEFT(INDIRECT("RC[-1]",0),2),1), "")</f>
        <v/>
      </c>
      <c r="C846" s="214"/>
      <c r="E846" t="str" cm="1">
        <f t="array" aca="1" ref="E846" ca="1">IF(_xlfn.XLOOKUP(INDIRECT("RC[-1]", 0), CategoryNames, CategoryIdentifiers, "")&lt;&gt;"",INDIRECT("RC[-1]", 0),"")</f>
        <v/>
      </c>
      <c r="G846" t="str" cm="1">
        <f t="array" aca="1" ref="G846" ca="1">IF(COUNTIF($F$2:$F$1000,INDIRECT("RC[-2]",0))&gt;0,"",INDIRECT("RC[-2]",0))</f>
        <v/>
      </c>
    </row>
    <row r="847" spans="2:7" x14ac:dyDescent="0.25">
      <c r="B847" t="str" cm="1">
        <f t="array" aca="1" ref="B847" ca="1">IFERROR(DATE(RIGHT(INDIRECT("RC[-1]",0),4),LEFT(INDIRECT("RC[-1]",0),2),1), "")</f>
        <v/>
      </c>
      <c r="C847" s="214"/>
      <c r="E847" t="str" cm="1">
        <f t="array" aca="1" ref="E847" ca="1">IF(_xlfn.XLOOKUP(INDIRECT("RC[-1]", 0), CategoryNames, CategoryIdentifiers, "")&lt;&gt;"",INDIRECT("RC[-1]", 0),"")</f>
        <v/>
      </c>
      <c r="G847" t="str" cm="1">
        <f t="array" aca="1" ref="G847" ca="1">IF(COUNTIF($F$2:$F$1000,INDIRECT("RC[-2]",0))&gt;0,"",INDIRECT("RC[-2]",0))</f>
        <v/>
      </c>
    </row>
    <row r="848" spans="2:7" x14ac:dyDescent="0.25">
      <c r="B848" t="str" cm="1">
        <f t="array" aca="1" ref="B848" ca="1">IFERROR(DATE(RIGHT(INDIRECT("RC[-1]",0),4),LEFT(INDIRECT("RC[-1]",0),2),1), "")</f>
        <v/>
      </c>
      <c r="C848" s="214"/>
      <c r="E848" t="str" cm="1">
        <f t="array" aca="1" ref="E848" ca="1">IF(_xlfn.XLOOKUP(INDIRECT("RC[-1]", 0), CategoryNames, CategoryIdentifiers, "")&lt;&gt;"",INDIRECT("RC[-1]", 0),"")</f>
        <v/>
      </c>
      <c r="G848" t="str" cm="1">
        <f t="array" aca="1" ref="G848" ca="1">IF(COUNTIF($F$2:$F$1000,INDIRECT("RC[-2]",0))&gt;0,"",INDIRECT("RC[-2]",0))</f>
        <v/>
      </c>
    </row>
    <row r="849" spans="2:7" x14ac:dyDescent="0.25">
      <c r="B849" t="str" cm="1">
        <f t="array" aca="1" ref="B849" ca="1">IFERROR(DATE(RIGHT(INDIRECT("RC[-1]",0),4),LEFT(INDIRECT("RC[-1]",0),2),1), "")</f>
        <v/>
      </c>
      <c r="C849" s="214"/>
      <c r="E849" t="str" cm="1">
        <f t="array" aca="1" ref="E849" ca="1">IF(_xlfn.XLOOKUP(INDIRECT("RC[-1]", 0), CategoryNames, CategoryIdentifiers, "")&lt;&gt;"",INDIRECT("RC[-1]", 0),"")</f>
        <v/>
      </c>
      <c r="G849" t="str" cm="1">
        <f t="array" aca="1" ref="G849" ca="1">IF(COUNTIF($F$2:$F$1000,INDIRECT("RC[-2]",0))&gt;0,"",INDIRECT("RC[-2]",0))</f>
        <v/>
      </c>
    </row>
    <row r="850" spans="2:7" x14ac:dyDescent="0.25">
      <c r="B850" t="str" cm="1">
        <f t="array" aca="1" ref="B850" ca="1">IFERROR(DATE(RIGHT(INDIRECT("RC[-1]",0),4),LEFT(INDIRECT("RC[-1]",0),2),1), "")</f>
        <v/>
      </c>
      <c r="C850" s="214"/>
      <c r="E850" t="str" cm="1">
        <f t="array" aca="1" ref="E850" ca="1">IF(_xlfn.XLOOKUP(INDIRECT("RC[-1]", 0), CategoryNames, CategoryIdentifiers, "")&lt;&gt;"",INDIRECT("RC[-1]", 0),"")</f>
        <v/>
      </c>
      <c r="G850" t="str" cm="1">
        <f t="array" aca="1" ref="G850" ca="1">IF(COUNTIF($F$2:$F$1000,INDIRECT("RC[-2]",0))&gt;0,"",INDIRECT("RC[-2]",0))</f>
        <v/>
      </c>
    </row>
    <row r="851" spans="2:7" x14ac:dyDescent="0.25">
      <c r="B851" t="str" cm="1">
        <f t="array" aca="1" ref="B851" ca="1">IFERROR(DATE(RIGHT(INDIRECT("RC[-1]",0),4),LEFT(INDIRECT("RC[-1]",0),2),1), "")</f>
        <v/>
      </c>
      <c r="C851" s="214"/>
      <c r="E851" t="str" cm="1">
        <f t="array" aca="1" ref="E851" ca="1">IF(_xlfn.XLOOKUP(INDIRECT("RC[-1]", 0), CategoryNames, CategoryIdentifiers, "")&lt;&gt;"",INDIRECT("RC[-1]", 0),"")</f>
        <v/>
      </c>
      <c r="G851" t="str" cm="1">
        <f t="array" aca="1" ref="G851" ca="1">IF(COUNTIF($F$2:$F$1000,INDIRECT("RC[-2]",0))&gt;0,"",INDIRECT("RC[-2]",0))</f>
        <v/>
      </c>
    </row>
    <row r="852" spans="2:7" x14ac:dyDescent="0.25">
      <c r="B852" t="str" cm="1">
        <f t="array" aca="1" ref="B852" ca="1">IFERROR(DATE(RIGHT(INDIRECT("RC[-1]",0),4),LEFT(INDIRECT("RC[-1]",0),2),1), "")</f>
        <v/>
      </c>
      <c r="C852" s="214"/>
      <c r="E852" t="str" cm="1">
        <f t="array" aca="1" ref="E852" ca="1">IF(_xlfn.XLOOKUP(INDIRECT("RC[-1]", 0), CategoryNames, CategoryIdentifiers, "")&lt;&gt;"",INDIRECT("RC[-1]", 0),"")</f>
        <v/>
      </c>
      <c r="G852" t="str" cm="1">
        <f t="array" aca="1" ref="G852" ca="1">IF(COUNTIF($F$2:$F$1000,INDIRECT("RC[-2]",0))&gt;0,"",INDIRECT("RC[-2]",0))</f>
        <v/>
      </c>
    </row>
    <row r="853" spans="2:7" x14ac:dyDescent="0.25">
      <c r="B853" t="str" cm="1">
        <f t="array" aca="1" ref="B853" ca="1">IFERROR(DATE(RIGHT(INDIRECT("RC[-1]",0),4),LEFT(INDIRECT("RC[-1]",0),2),1), "")</f>
        <v/>
      </c>
      <c r="C853" s="214"/>
      <c r="E853" t="str" cm="1">
        <f t="array" aca="1" ref="E853" ca="1">IF(_xlfn.XLOOKUP(INDIRECT("RC[-1]", 0), CategoryNames, CategoryIdentifiers, "")&lt;&gt;"",INDIRECT("RC[-1]", 0),"")</f>
        <v/>
      </c>
      <c r="G853" t="str" cm="1">
        <f t="array" aca="1" ref="G853" ca="1">IF(COUNTIF($F$2:$F$1000,INDIRECT("RC[-2]",0))&gt;0,"",INDIRECT("RC[-2]",0))</f>
        <v/>
      </c>
    </row>
    <row r="854" spans="2:7" x14ac:dyDescent="0.25">
      <c r="B854" t="str" cm="1">
        <f t="array" aca="1" ref="B854" ca="1">IFERROR(DATE(RIGHT(INDIRECT("RC[-1]",0),4),LEFT(INDIRECT("RC[-1]",0),2),1), "")</f>
        <v/>
      </c>
      <c r="C854" s="214"/>
      <c r="E854" t="str" cm="1">
        <f t="array" aca="1" ref="E854" ca="1">IF(_xlfn.XLOOKUP(INDIRECT("RC[-1]", 0), CategoryNames, CategoryIdentifiers, "")&lt;&gt;"",INDIRECT("RC[-1]", 0),"")</f>
        <v/>
      </c>
      <c r="G854" t="str" cm="1">
        <f t="array" aca="1" ref="G854" ca="1">IF(COUNTIF($F$2:$F$1000,INDIRECT("RC[-2]",0))&gt;0,"",INDIRECT("RC[-2]",0))</f>
        <v/>
      </c>
    </row>
    <row r="855" spans="2:7" x14ac:dyDescent="0.25">
      <c r="B855" t="str" cm="1">
        <f t="array" aca="1" ref="B855" ca="1">IFERROR(DATE(RIGHT(INDIRECT("RC[-1]",0),4),LEFT(INDIRECT("RC[-1]",0),2),1), "")</f>
        <v/>
      </c>
      <c r="C855" s="214"/>
      <c r="E855" t="str" cm="1">
        <f t="array" aca="1" ref="E855" ca="1">IF(_xlfn.XLOOKUP(INDIRECT("RC[-1]", 0), CategoryNames, CategoryIdentifiers, "")&lt;&gt;"",INDIRECT("RC[-1]", 0),"")</f>
        <v/>
      </c>
      <c r="G855" t="str" cm="1">
        <f t="array" aca="1" ref="G855" ca="1">IF(COUNTIF($F$2:$F$1000,INDIRECT("RC[-2]",0))&gt;0,"",INDIRECT("RC[-2]",0))</f>
        <v/>
      </c>
    </row>
    <row r="856" spans="2:7" x14ac:dyDescent="0.25">
      <c r="B856" t="str" cm="1">
        <f t="array" aca="1" ref="B856" ca="1">IFERROR(DATE(RIGHT(INDIRECT("RC[-1]",0),4),LEFT(INDIRECT("RC[-1]",0),2),1), "")</f>
        <v/>
      </c>
      <c r="C856" s="214"/>
      <c r="E856" t="str" cm="1">
        <f t="array" aca="1" ref="E856" ca="1">IF(_xlfn.XLOOKUP(INDIRECT("RC[-1]", 0), CategoryNames, CategoryIdentifiers, "")&lt;&gt;"",INDIRECT("RC[-1]", 0),"")</f>
        <v/>
      </c>
      <c r="G856" t="str" cm="1">
        <f t="array" aca="1" ref="G856" ca="1">IF(COUNTIF($F$2:$F$1000,INDIRECT("RC[-2]",0))&gt;0,"",INDIRECT("RC[-2]",0))</f>
        <v/>
      </c>
    </row>
    <row r="857" spans="2:7" x14ac:dyDescent="0.25">
      <c r="B857" t="str" cm="1">
        <f t="array" aca="1" ref="B857" ca="1">IFERROR(DATE(RIGHT(INDIRECT("RC[-1]",0),4),LEFT(INDIRECT("RC[-1]",0),2),1), "")</f>
        <v/>
      </c>
      <c r="C857" s="214"/>
      <c r="E857" t="str" cm="1">
        <f t="array" aca="1" ref="E857" ca="1">IF(_xlfn.XLOOKUP(INDIRECT("RC[-1]", 0), CategoryNames, CategoryIdentifiers, "")&lt;&gt;"",INDIRECT("RC[-1]", 0),"")</f>
        <v/>
      </c>
      <c r="G857" t="str" cm="1">
        <f t="array" aca="1" ref="G857" ca="1">IF(COUNTIF($F$2:$F$1000,INDIRECT("RC[-2]",0))&gt;0,"",INDIRECT("RC[-2]",0))</f>
        <v/>
      </c>
    </row>
    <row r="858" spans="2:7" x14ac:dyDescent="0.25">
      <c r="B858" t="str" cm="1">
        <f t="array" aca="1" ref="B858" ca="1">IFERROR(DATE(RIGHT(INDIRECT("RC[-1]",0),4),LEFT(INDIRECT("RC[-1]",0),2),1), "")</f>
        <v/>
      </c>
      <c r="C858" s="214"/>
      <c r="E858" t="str" cm="1">
        <f t="array" aca="1" ref="E858" ca="1">IF(_xlfn.XLOOKUP(INDIRECT("RC[-1]", 0), CategoryNames, CategoryIdentifiers, "")&lt;&gt;"",INDIRECT("RC[-1]", 0),"")</f>
        <v/>
      </c>
      <c r="G858" t="str" cm="1">
        <f t="array" aca="1" ref="G858" ca="1">IF(COUNTIF($F$2:$F$1000,INDIRECT("RC[-2]",0))&gt;0,"",INDIRECT("RC[-2]",0))</f>
        <v/>
      </c>
    </row>
    <row r="859" spans="2:7" x14ac:dyDescent="0.25">
      <c r="B859" t="str" cm="1">
        <f t="array" aca="1" ref="B859" ca="1">IFERROR(DATE(RIGHT(INDIRECT("RC[-1]",0),4),LEFT(INDIRECT("RC[-1]",0),2),1), "")</f>
        <v/>
      </c>
      <c r="C859" s="214"/>
      <c r="E859" t="str" cm="1">
        <f t="array" aca="1" ref="E859" ca="1">IF(_xlfn.XLOOKUP(INDIRECT("RC[-1]", 0), CategoryNames, CategoryIdentifiers, "")&lt;&gt;"",INDIRECT("RC[-1]", 0),"")</f>
        <v/>
      </c>
      <c r="G859" t="str" cm="1">
        <f t="array" aca="1" ref="G859" ca="1">IF(COUNTIF($F$2:$F$1000,INDIRECT("RC[-2]",0))&gt;0,"",INDIRECT("RC[-2]",0))</f>
        <v/>
      </c>
    </row>
    <row r="860" spans="2:7" x14ac:dyDescent="0.25">
      <c r="B860" t="str" cm="1">
        <f t="array" aca="1" ref="B860" ca="1">IFERROR(DATE(RIGHT(INDIRECT("RC[-1]",0),4),LEFT(INDIRECT("RC[-1]",0),2),1), "")</f>
        <v/>
      </c>
      <c r="C860" s="214"/>
      <c r="E860" t="str" cm="1">
        <f t="array" aca="1" ref="E860" ca="1">IF(_xlfn.XLOOKUP(INDIRECT("RC[-1]", 0), CategoryNames, CategoryIdentifiers, "")&lt;&gt;"",INDIRECT("RC[-1]", 0),"")</f>
        <v/>
      </c>
      <c r="G860" t="str" cm="1">
        <f t="array" aca="1" ref="G860" ca="1">IF(COUNTIF($F$2:$F$1000,INDIRECT("RC[-2]",0))&gt;0,"",INDIRECT("RC[-2]",0))</f>
        <v/>
      </c>
    </row>
    <row r="861" spans="2:7" x14ac:dyDescent="0.25">
      <c r="B861" t="str" cm="1">
        <f t="array" aca="1" ref="B861" ca="1">IFERROR(DATE(RIGHT(INDIRECT("RC[-1]",0),4),LEFT(INDIRECT("RC[-1]",0),2),1), "")</f>
        <v/>
      </c>
      <c r="C861" s="214"/>
      <c r="E861" t="str" cm="1">
        <f t="array" aca="1" ref="E861" ca="1">IF(_xlfn.XLOOKUP(INDIRECT("RC[-1]", 0), CategoryNames, CategoryIdentifiers, "")&lt;&gt;"",INDIRECT("RC[-1]", 0),"")</f>
        <v/>
      </c>
      <c r="G861" t="str" cm="1">
        <f t="array" aca="1" ref="G861" ca="1">IF(COUNTIF($F$2:$F$1000,INDIRECT("RC[-2]",0))&gt;0,"",INDIRECT("RC[-2]",0))</f>
        <v/>
      </c>
    </row>
    <row r="862" spans="2:7" x14ac:dyDescent="0.25">
      <c r="B862" t="str" cm="1">
        <f t="array" aca="1" ref="B862" ca="1">IFERROR(DATE(RIGHT(INDIRECT("RC[-1]",0),4),LEFT(INDIRECT("RC[-1]",0),2),1), "")</f>
        <v/>
      </c>
      <c r="C862" s="214"/>
      <c r="E862" t="str" cm="1">
        <f t="array" aca="1" ref="E862" ca="1">IF(_xlfn.XLOOKUP(INDIRECT("RC[-1]", 0), CategoryNames, CategoryIdentifiers, "")&lt;&gt;"",INDIRECT("RC[-1]", 0),"")</f>
        <v/>
      </c>
      <c r="G862" t="str" cm="1">
        <f t="array" aca="1" ref="G862" ca="1">IF(COUNTIF($F$2:$F$1000,INDIRECT("RC[-2]",0))&gt;0,"",INDIRECT("RC[-2]",0))</f>
        <v/>
      </c>
    </row>
    <row r="863" spans="2:7" x14ac:dyDescent="0.25">
      <c r="B863" t="str" cm="1">
        <f t="array" aca="1" ref="B863" ca="1">IFERROR(DATE(RIGHT(INDIRECT("RC[-1]",0),4),LEFT(INDIRECT("RC[-1]",0),2),1), "")</f>
        <v/>
      </c>
      <c r="C863" s="214"/>
      <c r="E863" t="str" cm="1">
        <f t="array" aca="1" ref="E863" ca="1">IF(_xlfn.XLOOKUP(INDIRECT("RC[-1]", 0), CategoryNames, CategoryIdentifiers, "")&lt;&gt;"",INDIRECT("RC[-1]", 0),"")</f>
        <v/>
      </c>
      <c r="G863" t="str" cm="1">
        <f t="array" aca="1" ref="G863" ca="1">IF(COUNTIF($F$2:$F$1000,INDIRECT("RC[-2]",0))&gt;0,"",INDIRECT("RC[-2]",0))</f>
        <v/>
      </c>
    </row>
    <row r="864" spans="2:7" x14ac:dyDescent="0.25">
      <c r="B864" t="str" cm="1">
        <f t="array" aca="1" ref="B864" ca="1">IFERROR(DATE(RIGHT(INDIRECT("RC[-1]",0),4),LEFT(INDIRECT("RC[-1]",0),2),1), "")</f>
        <v/>
      </c>
      <c r="C864" s="214"/>
      <c r="E864" t="str" cm="1">
        <f t="array" aca="1" ref="E864" ca="1">IF(_xlfn.XLOOKUP(INDIRECT("RC[-1]", 0), CategoryNames, CategoryIdentifiers, "")&lt;&gt;"",INDIRECT("RC[-1]", 0),"")</f>
        <v/>
      </c>
      <c r="G864" t="str" cm="1">
        <f t="array" aca="1" ref="G864" ca="1">IF(COUNTIF($F$2:$F$1000,INDIRECT("RC[-2]",0))&gt;0,"",INDIRECT("RC[-2]",0))</f>
        <v/>
      </c>
    </row>
    <row r="865" spans="2:7" x14ac:dyDescent="0.25">
      <c r="B865" t="str" cm="1">
        <f t="array" aca="1" ref="B865" ca="1">IFERROR(DATE(RIGHT(INDIRECT("RC[-1]",0),4),LEFT(INDIRECT("RC[-1]",0),2),1), "")</f>
        <v/>
      </c>
      <c r="C865" s="214"/>
      <c r="E865" t="str" cm="1">
        <f t="array" aca="1" ref="E865" ca="1">IF(_xlfn.XLOOKUP(INDIRECT("RC[-1]", 0), CategoryNames, CategoryIdentifiers, "")&lt;&gt;"",INDIRECT("RC[-1]", 0),"")</f>
        <v/>
      </c>
      <c r="G865" t="str" cm="1">
        <f t="array" aca="1" ref="G865" ca="1">IF(COUNTIF($F$2:$F$1000,INDIRECT("RC[-2]",0))&gt;0,"",INDIRECT("RC[-2]",0))</f>
        <v/>
      </c>
    </row>
    <row r="866" spans="2:7" x14ac:dyDescent="0.25">
      <c r="B866" t="str" cm="1">
        <f t="array" aca="1" ref="B866" ca="1">IFERROR(DATE(RIGHT(INDIRECT("RC[-1]",0),4),LEFT(INDIRECT("RC[-1]",0),2),1), "")</f>
        <v/>
      </c>
      <c r="C866" s="214"/>
      <c r="E866" t="str" cm="1">
        <f t="array" aca="1" ref="E866" ca="1">IF(_xlfn.XLOOKUP(INDIRECT("RC[-1]", 0), CategoryNames, CategoryIdentifiers, "")&lt;&gt;"",INDIRECT("RC[-1]", 0),"")</f>
        <v/>
      </c>
      <c r="G866" t="str" cm="1">
        <f t="array" aca="1" ref="G866" ca="1">IF(COUNTIF($F$2:$F$1000,INDIRECT("RC[-2]",0))&gt;0,"",INDIRECT("RC[-2]",0))</f>
        <v/>
      </c>
    </row>
    <row r="867" spans="2:7" x14ac:dyDescent="0.25">
      <c r="B867" t="str" cm="1">
        <f t="array" aca="1" ref="B867" ca="1">IFERROR(DATE(RIGHT(INDIRECT("RC[-1]",0),4),LEFT(INDIRECT("RC[-1]",0),2),1), "")</f>
        <v/>
      </c>
      <c r="C867" s="214"/>
      <c r="E867" t="str" cm="1">
        <f t="array" aca="1" ref="E867" ca="1">IF(_xlfn.XLOOKUP(INDIRECT("RC[-1]", 0), CategoryNames, CategoryIdentifiers, "")&lt;&gt;"",INDIRECT("RC[-1]", 0),"")</f>
        <v/>
      </c>
      <c r="G867" t="str" cm="1">
        <f t="array" aca="1" ref="G867" ca="1">IF(COUNTIF($F$2:$F$1000,INDIRECT("RC[-2]",0))&gt;0,"",INDIRECT("RC[-2]",0))</f>
        <v/>
      </c>
    </row>
    <row r="868" spans="2:7" x14ac:dyDescent="0.25">
      <c r="B868" t="str" cm="1">
        <f t="array" aca="1" ref="B868" ca="1">IFERROR(DATE(RIGHT(INDIRECT("RC[-1]",0),4),LEFT(INDIRECT("RC[-1]",0),2),1), "")</f>
        <v/>
      </c>
      <c r="C868" s="214"/>
      <c r="E868" t="str" cm="1">
        <f t="array" aca="1" ref="E868" ca="1">IF(_xlfn.XLOOKUP(INDIRECT("RC[-1]", 0), CategoryNames, CategoryIdentifiers, "")&lt;&gt;"",INDIRECT("RC[-1]", 0),"")</f>
        <v/>
      </c>
      <c r="G868" t="str" cm="1">
        <f t="array" aca="1" ref="G868" ca="1">IF(COUNTIF($F$2:$F$1000,INDIRECT("RC[-2]",0))&gt;0,"",INDIRECT("RC[-2]",0))</f>
        <v/>
      </c>
    </row>
    <row r="869" spans="2:7" x14ac:dyDescent="0.25">
      <c r="B869" t="str" cm="1">
        <f t="array" aca="1" ref="B869" ca="1">IFERROR(DATE(RIGHT(INDIRECT("RC[-1]",0),4),LEFT(INDIRECT("RC[-1]",0),2),1), "")</f>
        <v/>
      </c>
      <c r="C869" s="214"/>
      <c r="E869" t="str" cm="1">
        <f t="array" aca="1" ref="E869" ca="1">IF(_xlfn.XLOOKUP(INDIRECT("RC[-1]", 0), CategoryNames, CategoryIdentifiers, "")&lt;&gt;"",INDIRECT("RC[-1]", 0),"")</f>
        <v/>
      </c>
      <c r="G869" t="str" cm="1">
        <f t="array" aca="1" ref="G869" ca="1">IF(COUNTIF($F$2:$F$1000,INDIRECT("RC[-2]",0))&gt;0,"",INDIRECT("RC[-2]",0))</f>
        <v/>
      </c>
    </row>
    <row r="870" spans="2:7" x14ac:dyDescent="0.25">
      <c r="B870" t="str" cm="1">
        <f t="array" aca="1" ref="B870" ca="1">IFERROR(DATE(RIGHT(INDIRECT("RC[-1]",0),4),LEFT(INDIRECT("RC[-1]",0),2),1), "")</f>
        <v/>
      </c>
      <c r="C870" s="214"/>
      <c r="E870" t="str" cm="1">
        <f t="array" aca="1" ref="E870" ca="1">IF(_xlfn.XLOOKUP(INDIRECT("RC[-1]", 0), CategoryNames, CategoryIdentifiers, "")&lt;&gt;"",INDIRECT("RC[-1]", 0),"")</f>
        <v/>
      </c>
      <c r="G870" t="str" cm="1">
        <f t="array" aca="1" ref="G870" ca="1">IF(COUNTIF($F$2:$F$1000,INDIRECT("RC[-2]",0))&gt;0,"",INDIRECT("RC[-2]",0))</f>
        <v/>
      </c>
    </row>
    <row r="871" spans="2:7" x14ac:dyDescent="0.25">
      <c r="B871" t="str" cm="1">
        <f t="array" aca="1" ref="B871" ca="1">IFERROR(DATE(RIGHT(INDIRECT("RC[-1]",0),4),LEFT(INDIRECT("RC[-1]",0),2),1), "")</f>
        <v/>
      </c>
      <c r="C871" s="214"/>
      <c r="E871" t="str" cm="1">
        <f t="array" aca="1" ref="E871" ca="1">IF(_xlfn.XLOOKUP(INDIRECT("RC[-1]", 0), CategoryNames, CategoryIdentifiers, "")&lt;&gt;"",INDIRECT("RC[-1]", 0),"")</f>
        <v/>
      </c>
      <c r="G871" t="str" cm="1">
        <f t="array" aca="1" ref="G871" ca="1">IF(COUNTIF($F$2:$F$1000,INDIRECT("RC[-2]",0))&gt;0,"",INDIRECT("RC[-2]",0))</f>
        <v/>
      </c>
    </row>
    <row r="872" spans="2:7" x14ac:dyDescent="0.25">
      <c r="B872" t="str" cm="1">
        <f t="array" aca="1" ref="B872" ca="1">IFERROR(DATE(RIGHT(INDIRECT("RC[-1]",0),4),LEFT(INDIRECT("RC[-1]",0),2),1), "")</f>
        <v/>
      </c>
      <c r="C872" s="214"/>
      <c r="E872" t="str" cm="1">
        <f t="array" aca="1" ref="E872" ca="1">IF(_xlfn.XLOOKUP(INDIRECT("RC[-1]", 0), CategoryNames, CategoryIdentifiers, "")&lt;&gt;"",INDIRECT("RC[-1]", 0),"")</f>
        <v/>
      </c>
      <c r="G872" t="str" cm="1">
        <f t="array" aca="1" ref="G872" ca="1">IF(COUNTIF($F$2:$F$1000,INDIRECT("RC[-2]",0))&gt;0,"",INDIRECT("RC[-2]",0))</f>
        <v/>
      </c>
    </row>
    <row r="873" spans="2:7" x14ac:dyDescent="0.25">
      <c r="B873" t="str" cm="1">
        <f t="array" aca="1" ref="B873" ca="1">IFERROR(DATE(RIGHT(INDIRECT("RC[-1]",0),4),LEFT(INDIRECT("RC[-1]",0),2),1), "")</f>
        <v/>
      </c>
      <c r="C873" s="214"/>
      <c r="E873" t="str" cm="1">
        <f t="array" aca="1" ref="E873" ca="1">IF(_xlfn.XLOOKUP(INDIRECT("RC[-1]", 0), CategoryNames, CategoryIdentifiers, "")&lt;&gt;"",INDIRECT("RC[-1]", 0),"")</f>
        <v/>
      </c>
      <c r="G873" t="str" cm="1">
        <f t="array" aca="1" ref="G873" ca="1">IF(COUNTIF($F$2:$F$1000,INDIRECT("RC[-2]",0))&gt;0,"",INDIRECT("RC[-2]",0))</f>
        <v/>
      </c>
    </row>
    <row r="874" spans="2:7" x14ac:dyDescent="0.25">
      <c r="B874" t="str" cm="1">
        <f t="array" aca="1" ref="B874" ca="1">IFERROR(DATE(RIGHT(INDIRECT("RC[-1]",0),4),LEFT(INDIRECT("RC[-1]",0),2),1), "")</f>
        <v/>
      </c>
      <c r="C874" s="214"/>
      <c r="E874" t="str" cm="1">
        <f t="array" aca="1" ref="E874" ca="1">IF(_xlfn.XLOOKUP(INDIRECT("RC[-1]", 0), CategoryNames, CategoryIdentifiers, "")&lt;&gt;"",INDIRECT("RC[-1]", 0),"")</f>
        <v/>
      </c>
      <c r="G874" t="str" cm="1">
        <f t="array" aca="1" ref="G874" ca="1">IF(COUNTIF($F$2:$F$1000,INDIRECT("RC[-2]",0))&gt;0,"",INDIRECT("RC[-2]",0))</f>
        <v/>
      </c>
    </row>
    <row r="875" spans="2:7" x14ac:dyDescent="0.25">
      <c r="B875" t="str" cm="1">
        <f t="array" aca="1" ref="B875" ca="1">IFERROR(DATE(RIGHT(INDIRECT("RC[-1]",0),4),LEFT(INDIRECT("RC[-1]",0),2),1), "")</f>
        <v/>
      </c>
      <c r="C875" s="214"/>
      <c r="E875" t="str" cm="1">
        <f t="array" aca="1" ref="E875" ca="1">IF(_xlfn.XLOOKUP(INDIRECT("RC[-1]", 0), CategoryNames, CategoryIdentifiers, "")&lt;&gt;"",INDIRECT("RC[-1]", 0),"")</f>
        <v/>
      </c>
      <c r="G875" t="str" cm="1">
        <f t="array" aca="1" ref="G875" ca="1">IF(COUNTIF($F$2:$F$1000,INDIRECT("RC[-2]",0))&gt;0,"",INDIRECT("RC[-2]",0))</f>
        <v/>
      </c>
    </row>
    <row r="876" spans="2:7" x14ac:dyDescent="0.25">
      <c r="B876" t="str" cm="1">
        <f t="array" aca="1" ref="B876" ca="1">IFERROR(DATE(RIGHT(INDIRECT("RC[-1]",0),4),LEFT(INDIRECT("RC[-1]",0),2),1), "")</f>
        <v/>
      </c>
      <c r="C876" s="214"/>
      <c r="E876" t="str" cm="1">
        <f t="array" aca="1" ref="E876" ca="1">IF(_xlfn.XLOOKUP(INDIRECT("RC[-1]", 0), CategoryNames, CategoryIdentifiers, "")&lt;&gt;"",INDIRECT("RC[-1]", 0),"")</f>
        <v/>
      </c>
      <c r="G876" t="str" cm="1">
        <f t="array" aca="1" ref="G876" ca="1">IF(COUNTIF($F$2:$F$1000,INDIRECT("RC[-2]",0))&gt;0,"",INDIRECT("RC[-2]",0))</f>
        <v/>
      </c>
    </row>
    <row r="877" spans="2:7" x14ac:dyDescent="0.25">
      <c r="B877" t="str" cm="1">
        <f t="array" aca="1" ref="B877" ca="1">IFERROR(DATE(RIGHT(INDIRECT("RC[-1]",0),4),LEFT(INDIRECT("RC[-1]",0),2),1), "")</f>
        <v/>
      </c>
      <c r="C877" s="214"/>
      <c r="E877" t="str" cm="1">
        <f t="array" aca="1" ref="E877" ca="1">IF(_xlfn.XLOOKUP(INDIRECT("RC[-1]", 0), CategoryNames, CategoryIdentifiers, "")&lt;&gt;"",INDIRECT("RC[-1]", 0),"")</f>
        <v/>
      </c>
      <c r="G877" t="str" cm="1">
        <f t="array" aca="1" ref="G877" ca="1">IF(COUNTIF($F$2:$F$1000,INDIRECT("RC[-2]",0))&gt;0,"",INDIRECT("RC[-2]",0))</f>
        <v/>
      </c>
    </row>
    <row r="878" spans="2:7" x14ac:dyDescent="0.25">
      <c r="B878" t="str" cm="1">
        <f t="array" aca="1" ref="B878" ca="1">IFERROR(DATE(RIGHT(INDIRECT("RC[-1]",0),4),LEFT(INDIRECT("RC[-1]",0),2),1), "")</f>
        <v/>
      </c>
      <c r="C878" s="214"/>
      <c r="E878" t="str" cm="1">
        <f t="array" aca="1" ref="E878" ca="1">IF(_xlfn.XLOOKUP(INDIRECT("RC[-1]", 0), CategoryNames, CategoryIdentifiers, "")&lt;&gt;"",INDIRECT("RC[-1]", 0),"")</f>
        <v/>
      </c>
      <c r="G878" t="str" cm="1">
        <f t="array" aca="1" ref="G878" ca="1">IF(COUNTIF($F$2:$F$1000,INDIRECT("RC[-2]",0))&gt;0,"",INDIRECT("RC[-2]",0))</f>
        <v/>
      </c>
    </row>
    <row r="879" spans="2:7" x14ac:dyDescent="0.25">
      <c r="B879" t="str" cm="1">
        <f t="array" aca="1" ref="B879" ca="1">IFERROR(DATE(RIGHT(INDIRECT("RC[-1]",0),4),LEFT(INDIRECT("RC[-1]",0),2),1), "")</f>
        <v/>
      </c>
      <c r="C879" s="214"/>
      <c r="E879" t="str" cm="1">
        <f t="array" aca="1" ref="E879" ca="1">IF(_xlfn.XLOOKUP(INDIRECT("RC[-1]", 0), CategoryNames, CategoryIdentifiers, "")&lt;&gt;"",INDIRECT("RC[-1]", 0),"")</f>
        <v/>
      </c>
      <c r="G879" t="str" cm="1">
        <f t="array" aca="1" ref="G879" ca="1">IF(COUNTIF($F$2:$F$1000,INDIRECT("RC[-2]",0))&gt;0,"",INDIRECT("RC[-2]",0))</f>
        <v/>
      </c>
    </row>
    <row r="880" spans="2:7" x14ac:dyDescent="0.25">
      <c r="B880" t="str" cm="1">
        <f t="array" aca="1" ref="B880" ca="1">IFERROR(DATE(RIGHT(INDIRECT("RC[-1]",0),4),LEFT(INDIRECT("RC[-1]",0),2),1), "")</f>
        <v/>
      </c>
      <c r="C880" s="214"/>
      <c r="E880" t="str" cm="1">
        <f t="array" aca="1" ref="E880" ca="1">IF(_xlfn.XLOOKUP(INDIRECT("RC[-1]", 0), CategoryNames, CategoryIdentifiers, "")&lt;&gt;"",INDIRECT("RC[-1]", 0),"")</f>
        <v/>
      </c>
      <c r="G880" t="str" cm="1">
        <f t="array" aca="1" ref="G880" ca="1">IF(COUNTIF($F$2:$F$1000,INDIRECT("RC[-2]",0))&gt;0,"",INDIRECT("RC[-2]",0))</f>
        <v/>
      </c>
    </row>
    <row r="881" spans="2:7" x14ac:dyDescent="0.25">
      <c r="B881" t="str" cm="1">
        <f t="array" aca="1" ref="B881" ca="1">IFERROR(DATE(RIGHT(INDIRECT("RC[-1]",0),4),LEFT(INDIRECT("RC[-1]",0),2),1), "")</f>
        <v/>
      </c>
      <c r="C881" s="214"/>
      <c r="E881" t="str" cm="1">
        <f t="array" aca="1" ref="E881" ca="1">IF(_xlfn.XLOOKUP(INDIRECT("RC[-1]", 0), CategoryNames, CategoryIdentifiers, "")&lt;&gt;"",INDIRECT("RC[-1]", 0),"")</f>
        <v/>
      </c>
      <c r="G881" t="str" cm="1">
        <f t="array" aca="1" ref="G881" ca="1">IF(COUNTIF($F$2:$F$1000,INDIRECT("RC[-2]",0))&gt;0,"",INDIRECT("RC[-2]",0))</f>
        <v/>
      </c>
    </row>
    <row r="882" spans="2:7" x14ac:dyDescent="0.25">
      <c r="B882" t="str" cm="1">
        <f t="array" aca="1" ref="B882" ca="1">IFERROR(DATE(RIGHT(INDIRECT("RC[-1]",0),4),LEFT(INDIRECT("RC[-1]",0),2),1), "")</f>
        <v/>
      </c>
      <c r="C882" s="214"/>
      <c r="E882" t="str" cm="1">
        <f t="array" aca="1" ref="E882" ca="1">IF(_xlfn.XLOOKUP(INDIRECT("RC[-1]", 0), CategoryNames, CategoryIdentifiers, "")&lt;&gt;"",INDIRECT("RC[-1]", 0),"")</f>
        <v/>
      </c>
      <c r="G882" t="str" cm="1">
        <f t="array" aca="1" ref="G882" ca="1">IF(COUNTIF($F$2:$F$1000,INDIRECT("RC[-2]",0))&gt;0,"",INDIRECT("RC[-2]",0))</f>
        <v/>
      </c>
    </row>
    <row r="883" spans="2:7" x14ac:dyDescent="0.25">
      <c r="B883" t="str" cm="1">
        <f t="array" aca="1" ref="B883" ca="1">IFERROR(DATE(RIGHT(INDIRECT("RC[-1]",0),4),LEFT(INDIRECT("RC[-1]",0),2),1), "")</f>
        <v/>
      </c>
      <c r="C883" s="214"/>
      <c r="E883" t="str" cm="1">
        <f t="array" aca="1" ref="E883" ca="1">IF(_xlfn.XLOOKUP(INDIRECT("RC[-1]", 0), CategoryNames, CategoryIdentifiers, "")&lt;&gt;"",INDIRECT("RC[-1]", 0),"")</f>
        <v/>
      </c>
      <c r="G883" t="str" cm="1">
        <f t="array" aca="1" ref="G883" ca="1">IF(COUNTIF($F$2:$F$1000,INDIRECT("RC[-2]",0))&gt;0,"",INDIRECT("RC[-2]",0))</f>
        <v/>
      </c>
    </row>
    <row r="884" spans="2:7" x14ac:dyDescent="0.25">
      <c r="B884" t="str" cm="1">
        <f t="array" aca="1" ref="B884" ca="1">IFERROR(DATE(RIGHT(INDIRECT("RC[-1]",0),4),LEFT(INDIRECT("RC[-1]",0),2),1), "")</f>
        <v/>
      </c>
      <c r="C884" s="214"/>
      <c r="E884" t="str" cm="1">
        <f t="array" aca="1" ref="E884" ca="1">IF(_xlfn.XLOOKUP(INDIRECT("RC[-1]", 0), CategoryNames, CategoryIdentifiers, "")&lt;&gt;"",INDIRECT("RC[-1]", 0),"")</f>
        <v/>
      </c>
      <c r="G884" t="str" cm="1">
        <f t="array" aca="1" ref="G884" ca="1">IF(COUNTIF($F$2:$F$1000,INDIRECT("RC[-2]",0))&gt;0,"",INDIRECT("RC[-2]",0))</f>
        <v/>
      </c>
    </row>
    <row r="885" spans="2:7" x14ac:dyDescent="0.25">
      <c r="B885" t="str" cm="1">
        <f t="array" aca="1" ref="B885" ca="1">IFERROR(DATE(RIGHT(INDIRECT("RC[-1]",0),4),LEFT(INDIRECT("RC[-1]",0),2),1), "")</f>
        <v/>
      </c>
      <c r="C885" s="214"/>
      <c r="E885" t="str" cm="1">
        <f t="array" aca="1" ref="E885" ca="1">IF(_xlfn.XLOOKUP(INDIRECT("RC[-1]", 0), CategoryNames, CategoryIdentifiers, "")&lt;&gt;"",INDIRECT("RC[-1]", 0),"")</f>
        <v/>
      </c>
      <c r="G885" t="str" cm="1">
        <f t="array" aca="1" ref="G885" ca="1">IF(COUNTIF($F$2:$F$1000,INDIRECT("RC[-2]",0))&gt;0,"",INDIRECT("RC[-2]",0))</f>
        <v/>
      </c>
    </row>
    <row r="886" spans="2:7" x14ac:dyDescent="0.25">
      <c r="B886" t="str" cm="1">
        <f t="array" aca="1" ref="B886" ca="1">IFERROR(DATE(RIGHT(INDIRECT("RC[-1]",0),4),LEFT(INDIRECT("RC[-1]",0),2),1), "")</f>
        <v/>
      </c>
      <c r="C886" s="214"/>
      <c r="E886" t="str" cm="1">
        <f t="array" aca="1" ref="E886" ca="1">IF(_xlfn.XLOOKUP(INDIRECT("RC[-1]", 0), CategoryNames, CategoryIdentifiers, "")&lt;&gt;"",INDIRECT("RC[-1]", 0),"")</f>
        <v/>
      </c>
      <c r="G886" t="str" cm="1">
        <f t="array" aca="1" ref="G886" ca="1">IF(COUNTIF($F$2:$F$1000,INDIRECT("RC[-2]",0))&gt;0,"",INDIRECT("RC[-2]",0))</f>
        <v/>
      </c>
    </row>
    <row r="887" spans="2:7" x14ac:dyDescent="0.25">
      <c r="B887" t="str" cm="1">
        <f t="array" aca="1" ref="B887" ca="1">IFERROR(DATE(RIGHT(INDIRECT("RC[-1]",0),4),LEFT(INDIRECT("RC[-1]",0),2),1), "")</f>
        <v/>
      </c>
      <c r="C887" s="214"/>
      <c r="E887" t="str" cm="1">
        <f t="array" aca="1" ref="E887" ca="1">IF(_xlfn.XLOOKUP(INDIRECT("RC[-1]", 0), CategoryNames, CategoryIdentifiers, "")&lt;&gt;"",INDIRECT("RC[-1]", 0),"")</f>
        <v/>
      </c>
      <c r="G887" t="str" cm="1">
        <f t="array" aca="1" ref="G887" ca="1">IF(COUNTIF($F$2:$F$1000,INDIRECT("RC[-2]",0))&gt;0,"",INDIRECT("RC[-2]",0))</f>
        <v/>
      </c>
    </row>
    <row r="888" spans="2:7" x14ac:dyDescent="0.25">
      <c r="B888" t="str" cm="1">
        <f t="array" aca="1" ref="B888" ca="1">IFERROR(DATE(RIGHT(INDIRECT("RC[-1]",0),4),LEFT(INDIRECT("RC[-1]",0),2),1), "")</f>
        <v/>
      </c>
      <c r="C888" s="214"/>
      <c r="E888" t="str" cm="1">
        <f t="array" aca="1" ref="E888" ca="1">IF(_xlfn.XLOOKUP(INDIRECT("RC[-1]", 0), CategoryNames, CategoryIdentifiers, "")&lt;&gt;"",INDIRECT("RC[-1]", 0),"")</f>
        <v/>
      </c>
      <c r="G888" t="str" cm="1">
        <f t="array" aca="1" ref="G888" ca="1">IF(COUNTIF($F$2:$F$1000,INDIRECT("RC[-2]",0))&gt;0,"",INDIRECT("RC[-2]",0))</f>
        <v/>
      </c>
    </row>
    <row r="889" spans="2:7" x14ac:dyDescent="0.25">
      <c r="B889" t="str" cm="1">
        <f t="array" aca="1" ref="B889" ca="1">IFERROR(DATE(RIGHT(INDIRECT("RC[-1]",0),4),LEFT(INDIRECT("RC[-1]",0),2),1), "")</f>
        <v/>
      </c>
      <c r="C889" s="214"/>
      <c r="E889" t="str" cm="1">
        <f t="array" aca="1" ref="E889" ca="1">IF(_xlfn.XLOOKUP(INDIRECT("RC[-1]", 0), CategoryNames, CategoryIdentifiers, "")&lt;&gt;"",INDIRECT("RC[-1]", 0),"")</f>
        <v/>
      </c>
      <c r="G889" t="str" cm="1">
        <f t="array" aca="1" ref="G889" ca="1">IF(COUNTIF($F$2:$F$1000,INDIRECT("RC[-2]",0))&gt;0,"",INDIRECT("RC[-2]",0))</f>
        <v/>
      </c>
    </row>
    <row r="890" spans="2:7" x14ac:dyDescent="0.25">
      <c r="B890" t="str" cm="1">
        <f t="array" aca="1" ref="B890" ca="1">IFERROR(DATE(RIGHT(INDIRECT("RC[-1]",0),4),LEFT(INDIRECT("RC[-1]",0),2),1), "")</f>
        <v/>
      </c>
      <c r="C890" s="214"/>
      <c r="E890" t="str" cm="1">
        <f t="array" aca="1" ref="E890" ca="1">IF(_xlfn.XLOOKUP(INDIRECT("RC[-1]", 0), CategoryNames, CategoryIdentifiers, "")&lt;&gt;"",INDIRECT("RC[-1]", 0),"")</f>
        <v/>
      </c>
      <c r="G890" t="str" cm="1">
        <f t="array" aca="1" ref="G890" ca="1">IF(COUNTIF($F$2:$F$1000,INDIRECT("RC[-2]",0))&gt;0,"",INDIRECT("RC[-2]",0))</f>
        <v/>
      </c>
    </row>
    <row r="891" spans="2:7" x14ac:dyDescent="0.25">
      <c r="B891" t="str" cm="1">
        <f t="array" aca="1" ref="B891" ca="1">IFERROR(DATE(RIGHT(INDIRECT("RC[-1]",0),4),LEFT(INDIRECT("RC[-1]",0),2),1), "")</f>
        <v/>
      </c>
      <c r="C891" s="214"/>
      <c r="E891" t="str" cm="1">
        <f t="array" aca="1" ref="E891" ca="1">IF(_xlfn.XLOOKUP(INDIRECT("RC[-1]", 0), CategoryNames, CategoryIdentifiers, "")&lt;&gt;"",INDIRECT("RC[-1]", 0),"")</f>
        <v/>
      </c>
      <c r="G891" t="str" cm="1">
        <f t="array" aca="1" ref="G891" ca="1">IF(COUNTIF($F$2:$F$1000,INDIRECT("RC[-2]",0))&gt;0,"",INDIRECT("RC[-2]",0))</f>
        <v/>
      </c>
    </row>
    <row r="892" spans="2:7" x14ac:dyDescent="0.25">
      <c r="B892" t="str" cm="1">
        <f t="array" aca="1" ref="B892" ca="1">IFERROR(DATE(RIGHT(INDIRECT("RC[-1]",0),4),LEFT(INDIRECT("RC[-1]",0),2),1), "")</f>
        <v/>
      </c>
      <c r="C892" s="214"/>
      <c r="E892" t="str" cm="1">
        <f t="array" aca="1" ref="E892" ca="1">IF(_xlfn.XLOOKUP(INDIRECT("RC[-1]", 0), CategoryNames, CategoryIdentifiers, "")&lt;&gt;"",INDIRECT("RC[-1]", 0),"")</f>
        <v/>
      </c>
      <c r="G892" t="str" cm="1">
        <f t="array" aca="1" ref="G892" ca="1">IF(COUNTIF($F$2:$F$1000,INDIRECT("RC[-2]",0))&gt;0,"",INDIRECT("RC[-2]",0))</f>
        <v/>
      </c>
    </row>
    <row r="893" spans="2:7" x14ac:dyDescent="0.25">
      <c r="B893" t="str" cm="1">
        <f t="array" aca="1" ref="B893" ca="1">IFERROR(DATE(RIGHT(INDIRECT("RC[-1]",0),4),LEFT(INDIRECT("RC[-1]",0),2),1), "")</f>
        <v/>
      </c>
      <c r="C893" s="214"/>
      <c r="E893" t="str" cm="1">
        <f t="array" aca="1" ref="E893" ca="1">IF(_xlfn.XLOOKUP(INDIRECT("RC[-1]", 0), CategoryNames, CategoryIdentifiers, "")&lt;&gt;"",INDIRECT("RC[-1]", 0),"")</f>
        <v/>
      </c>
      <c r="G893" t="str" cm="1">
        <f t="array" aca="1" ref="G893" ca="1">IF(COUNTIF($F$2:$F$1000,INDIRECT("RC[-2]",0))&gt;0,"",INDIRECT("RC[-2]",0))</f>
        <v/>
      </c>
    </row>
    <row r="894" spans="2:7" x14ac:dyDescent="0.25">
      <c r="B894" t="str" cm="1">
        <f t="array" aca="1" ref="B894" ca="1">IFERROR(DATE(RIGHT(INDIRECT("RC[-1]",0),4),LEFT(INDIRECT("RC[-1]",0),2),1), "")</f>
        <v/>
      </c>
      <c r="C894" s="214"/>
      <c r="E894" t="str" cm="1">
        <f t="array" aca="1" ref="E894" ca="1">IF(_xlfn.XLOOKUP(INDIRECT("RC[-1]", 0), CategoryNames, CategoryIdentifiers, "")&lt;&gt;"",INDIRECT("RC[-1]", 0),"")</f>
        <v/>
      </c>
      <c r="G894" t="str" cm="1">
        <f t="array" aca="1" ref="G894" ca="1">IF(COUNTIF($F$2:$F$1000,INDIRECT("RC[-2]",0))&gt;0,"",INDIRECT("RC[-2]",0))</f>
        <v/>
      </c>
    </row>
    <row r="895" spans="2:7" x14ac:dyDescent="0.25">
      <c r="B895" t="str" cm="1">
        <f t="array" aca="1" ref="B895" ca="1">IFERROR(DATE(RIGHT(INDIRECT("RC[-1]",0),4),LEFT(INDIRECT("RC[-1]",0),2),1), "")</f>
        <v/>
      </c>
      <c r="C895" s="214"/>
      <c r="E895" t="str" cm="1">
        <f t="array" aca="1" ref="E895" ca="1">IF(_xlfn.XLOOKUP(INDIRECT("RC[-1]", 0), CategoryNames, CategoryIdentifiers, "")&lt;&gt;"",INDIRECT("RC[-1]", 0),"")</f>
        <v/>
      </c>
      <c r="G895" t="str" cm="1">
        <f t="array" aca="1" ref="G895" ca="1">IF(COUNTIF($F$2:$F$1000,INDIRECT("RC[-2]",0))&gt;0,"",INDIRECT("RC[-2]",0))</f>
        <v/>
      </c>
    </row>
    <row r="896" spans="2:7" x14ac:dyDescent="0.25">
      <c r="B896" t="str" cm="1">
        <f t="array" aca="1" ref="B896" ca="1">IFERROR(DATE(RIGHT(INDIRECT("RC[-1]",0),4),LEFT(INDIRECT("RC[-1]",0),2),1), "")</f>
        <v/>
      </c>
      <c r="C896" s="214"/>
      <c r="E896" t="str" cm="1">
        <f t="array" aca="1" ref="E896" ca="1">IF(_xlfn.XLOOKUP(INDIRECT("RC[-1]", 0), CategoryNames, CategoryIdentifiers, "")&lt;&gt;"",INDIRECT("RC[-1]", 0),"")</f>
        <v/>
      </c>
      <c r="G896" t="str" cm="1">
        <f t="array" aca="1" ref="G896" ca="1">IF(COUNTIF($F$2:$F$1000,INDIRECT("RC[-2]",0))&gt;0,"",INDIRECT("RC[-2]",0))</f>
        <v/>
      </c>
    </row>
    <row r="897" spans="2:7" x14ac:dyDescent="0.25">
      <c r="B897" t="str" cm="1">
        <f t="array" aca="1" ref="B897" ca="1">IFERROR(DATE(RIGHT(INDIRECT("RC[-1]",0),4),LEFT(INDIRECT("RC[-1]",0),2),1), "")</f>
        <v/>
      </c>
      <c r="C897" s="214"/>
      <c r="E897" t="str" cm="1">
        <f t="array" aca="1" ref="E897" ca="1">IF(_xlfn.XLOOKUP(INDIRECT("RC[-1]", 0), CategoryNames, CategoryIdentifiers, "")&lt;&gt;"",INDIRECT("RC[-1]", 0),"")</f>
        <v/>
      </c>
      <c r="G897" t="str" cm="1">
        <f t="array" aca="1" ref="G897" ca="1">IF(COUNTIF($F$2:$F$1000,INDIRECT("RC[-2]",0))&gt;0,"",INDIRECT("RC[-2]",0))</f>
        <v/>
      </c>
    </row>
    <row r="898" spans="2:7" x14ac:dyDescent="0.25">
      <c r="B898" t="str" cm="1">
        <f t="array" aca="1" ref="B898" ca="1">IFERROR(DATE(RIGHT(INDIRECT("RC[-1]",0),4),LEFT(INDIRECT("RC[-1]",0),2),1), "")</f>
        <v/>
      </c>
      <c r="C898" s="214"/>
      <c r="E898" t="str" cm="1">
        <f t="array" aca="1" ref="E898" ca="1">IF(_xlfn.XLOOKUP(INDIRECT("RC[-1]", 0), CategoryNames, CategoryIdentifiers, "")&lt;&gt;"",INDIRECT("RC[-1]", 0),"")</f>
        <v/>
      </c>
      <c r="G898" t="str" cm="1">
        <f t="array" aca="1" ref="G898" ca="1">IF(COUNTIF($F$2:$F$1000,INDIRECT("RC[-2]",0))&gt;0,"",INDIRECT("RC[-2]",0))</f>
        <v/>
      </c>
    </row>
    <row r="899" spans="2:7" x14ac:dyDescent="0.25">
      <c r="B899" t="str" cm="1">
        <f t="array" aca="1" ref="B899" ca="1">IFERROR(DATE(RIGHT(INDIRECT("RC[-1]",0),4),LEFT(INDIRECT("RC[-1]",0),2),1), "")</f>
        <v/>
      </c>
      <c r="C899" s="214"/>
      <c r="E899" t="str" cm="1">
        <f t="array" aca="1" ref="E899" ca="1">IF(_xlfn.XLOOKUP(INDIRECT("RC[-1]", 0), CategoryNames, CategoryIdentifiers, "")&lt;&gt;"",INDIRECT("RC[-1]", 0),"")</f>
        <v/>
      </c>
      <c r="G899" t="str" cm="1">
        <f t="array" aca="1" ref="G899" ca="1">IF(COUNTIF($F$2:$F$1000,INDIRECT("RC[-2]",0))&gt;0,"",INDIRECT("RC[-2]",0))</f>
        <v/>
      </c>
    </row>
    <row r="900" spans="2:7" x14ac:dyDescent="0.25">
      <c r="B900" t="str" cm="1">
        <f t="array" aca="1" ref="B900" ca="1">IFERROR(DATE(RIGHT(INDIRECT("RC[-1]",0),4),LEFT(INDIRECT("RC[-1]",0),2),1), "")</f>
        <v/>
      </c>
      <c r="C900" s="214"/>
      <c r="E900" t="str" cm="1">
        <f t="array" aca="1" ref="E900" ca="1">IF(_xlfn.XLOOKUP(INDIRECT("RC[-1]", 0), CategoryNames, CategoryIdentifiers, "")&lt;&gt;"",INDIRECT("RC[-1]", 0),"")</f>
        <v/>
      </c>
      <c r="G900" t="str" cm="1">
        <f t="array" aca="1" ref="G900" ca="1">IF(COUNTIF($F$2:$F$1000,INDIRECT("RC[-2]",0))&gt;0,"",INDIRECT("RC[-2]",0))</f>
        <v/>
      </c>
    </row>
    <row r="901" spans="2:7" x14ac:dyDescent="0.25">
      <c r="B901" t="str" cm="1">
        <f t="array" aca="1" ref="B901" ca="1">IFERROR(DATE(RIGHT(INDIRECT("RC[-1]",0),4),LEFT(INDIRECT("RC[-1]",0),2),1), "")</f>
        <v/>
      </c>
      <c r="C901" s="214"/>
      <c r="E901" t="str" cm="1">
        <f t="array" aca="1" ref="E901" ca="1">IF(_xlfn.XLOOKUP(INDIRECT("RC[-1]", 0), CategoryNames, CategoryIdentifiers, "")&lt;&gt;"",INDIRECT("RC[-1]", 0),"")</f>
        <v/>
      </c>
      <c r="G901" t="str" cm="1">
        <f t="array" aca="1" ref="G901" ca="1">IF(COUNTIF($F$2:$F$1000,INDIRECT("RC[-2]",0))&gt;0,"",INDIRECT("RC[-2]",0))</f>
        <v/>
      </c>
    </row>
    <row r="902" spans="2:7" x14ac:dyDescent="0.25">
      <c r="B902" t="str" cm="1">
        <f t="array" aca="1" ref="B902" ca="1">IFERROR(DATE(RIGHT(INDIRECT("RC[-1]",0),4),LEFT(INDIRECT("RC[-1]",0),2),1), "")</f>
        <v/>
      </c>
      <c r="C902" s="214"/>
      <c r="E902" t="str" cm="1">
        <f t="array" aca="1" ref="E902" ca="1">IF(_xlfn.XLOOKUP(INDIRECT("RC[-1]", 0), CategoryNames, CategoryIdentifiers, "")&lt;&gt;"",INDIRECT("RC[-1]", 0),"")</f>
        <v/>
      </c>
      <c r="G902" t="str" cm="1">
        <f t="array" aca="1" ref="G902" ca="1">IF(COUNTIF($F$2:$F$1000,INDIRECT("RC[-2]",0))&gt;0,"",INDIRECT("RC[-2]",0))</f>
        <v/>
      </c>
    </row>
    <row r="903" spans="2:7" x14ac:dyDescent="0.25">
      <c r="B903" t="str" cm="1">
        <f t="array" aca="1" ref="B903" ca="1">IFERROR(DATE(RIGHT(INDIRECT("RC[-1]",0),4),LEFT(INDIRECT("RC[-1]",0),2),1), "")</f>
        <v/>
      </c>
      <c r="C903" s="214"/>
      <c r="E903" t="str" cm="1">
        <f t="array" aca="1" ref="E903" ca="1">IF(_xlfn.XLOOKUP(INDIRECT("RC[-1]", 0), CategoryNames, CategoryIdentifiers, "")&lt;&gt;"",INDIRECT("RC[-1]", 0),"")</f>
        <v/>
      </c>
      <c r="G903" t="str" cm="1">
        <f t="array" aca="1" ref="G903" ca="1">IF(COUNTIF($F$2:$F$1000,INDIRECT("RC[-2]",0))&gt;0,"",INDIRECT("RC[-2]",0))</f>
        <v/>
      </c>
    </row>
    <row r="904" spans="2:7" x14ac:dyDescent="0.25">
      <c r="B904" t="str" cm="1">
        <f t="array" aca="1" ref="B904" ca="1">IFERROR(DATE(RIGHT(INDIRECT("RC[-1]",0),4),LEFT(INDIRECT("RC[-1]",0),2),1), "")</f>
        <v/>
      </c>
      <c r="C904" s="214"/>
      <c r="E904" t="str" cm="1">
        <f t="array" aca="1" ref="E904" ca="1">IF(_xlfn.XLOOKUP(INDIRECT("RC[-1]", 0), CategoryNames, CategoryIdentifiers, "")&lt;&gt;"",INDIRECT("RC[-1]", 0),"")</f>
        <v/>
      </c>
      <c r="G904" t="str" cm="1">
        <f t="array" aca="1" ref="G904" ca="1">IF(COUNTIF($F$2:$F$1000,INDIRECT("RC[-2]",0))&gt;0,"",INDIRECT("RC[-2]",0))</f>
        <v/>
      </c>
    </row>
    <row r="905" spans="2:7" x14ac:dyDescent="0.25">
      <c r="B905" t="str" cm="1">
        <f t="array" aca="1" ref="B905" ca="1">IFERROR(DATE(RIGHT(INDIRECT("RC[-1]",0),4),LEFT(INDIRECT("RC[-1]",0),2),1), "")</f>
        <v/>
      </c>
      <c r="C905" s="214"/>
      <c r="E905" t="str" cm="1">
        <f t="array" aca="1" ref="E905" ca="1">IF(_xlfn.XLOOKUP(INDIRECT("RC[-1]", 0), CategoryNames, CategoryIdentifiers, "")&lt;&gt;"",INDIRECT("RC[-1]", 0),"")</f>
        <v/>
      </c>
      <c r="G905" t="str" cm="1">
        <f t="array" aca="1" ref="G905" ca="1">IF(COUNTIF($F$2:$F$1000,INDIRECT("RC[-2]",0))&gt;0,"",INDIRECT("RC[-2]",0))</f>
        <v/>
      </c>
    </row>
    <row r="906" spans="2:7" x14ac:dyDescent="0.25">
      <c r="B906" t="str" cm="1">
        <f t="array" aca="1" ref="B906" ca="1">IFERROR(DATE(RIGHT(INDIRECT("RC[-1]",0),4),LEFT(INDIRECT("RC[-1]",0),2),1), "")</f>
        <v/>
      </c>
      <c r="C906" s="214"/>
      <c r="E906" t="str" cm="1">
        <f t="array" aca="1" ref="E906" ca="1">IF(_xlfn.XLOOKUP(INDIRECT("RC[-1]", 0), CategoryNames, CategoryIdentifiers, "")&lt;&gt;"",INDIRECT("RC[-1]", 0),"")</f>
        <v/>
      </c>
      <c r="G906" t="str" cm="1">
        <f t="array" aca="1" ref="G906" ca="1">IF(COUNTIF($F$2:$F$1000,INDIRECT("RC[-2]",0))&gt;0,"",INDIRECT("RC[-2]",0))</f>
        <v/>
      </c>
    </row>
    <row r="907" spans="2:7" x14ac:dyDescent="0.25">
      <c r="B907" t="str" cm="1">
        <f t="array" aca="1" ref="B907" ca="1">IFERROR(DATE(RIGHT(INDIRECT("RC[-1]",0),4),LEFT(INDIRECT("RC[-1]",0),2),1), "")</f>
        <v/>
      </c>
      <c r="C907" s="214"/>
      <c r="E907" t="str" cm="1">
        <f t="array" aca="1" ref="E907" ca="1">IF(_xlfn.XLOOKUP(INDIRECT("RC[-1]", 0), CategoryNames, CategoryIdentifiers, "")&lt;&gt;"",INDIRECT("RC[-1]", 0),"")</f>
        <v/>
      </c>
      <c r="G907" t="str" cm="1">
        <f t="array" aca="1" ref="G907" ca="1">IF(COUNTIF($F$2:$F$1000,INDIRECT("RC[-2]",0))&gt;0,"",INDIRECT("RC[-2]",0))</f>
        <v/>
      </c>
    </row>
    <row r="908" spans="2:7" x14ac:dyDescent="0.25">
      <c r="B908" t="str" cm="1">
        <f t="array" aca="1" ref="B908" ca="1">IFERROR(DATE(RIGHT(INDIRECT("RC[-1]",0),4),LEFT(INDIRECT("RC[-1]",0),2),1), "")</f>
        <v/>
      </c>
      <c r="C908" s="214"/>
      <c r="E908" t="str" cm="1">
        <f t="array" aca="1" ref="E908" ca="1">IF(_xlfn.XLOOKUP(INDIRECT("RC[-1]", 0), CategoryNames, CategoryIdentifiers, "")&lt;&gt;"",INDIRECT("RC[-1]", 0),"")</f>
        <v/>
      </c>
      <c r="G908" t="str" cm="1">
        <f t="array" aca="1" ref="G908" ca="1">IF(COUNTIF($F$2:$F$1000,INDIRECT("RC[-2]",0))&gt;0,"",INDIRECT("RC[-2]",0))</f>
        <v/>
      </c>
    </row>
    <row r="909" spans="2:7" x14ac:dyDescent="0.25">
      <c r="B909" t="str" cm="1">
        <f t="array" aca="1" ref="B909" ca="1">IFERROR(DATE(RIGHT(INDIRECT("RC[-1]",0),4),LEFT(INDIRECT("RC[-1]",0),2),1), "")</f>
        <v/>
      </c>
      <c r="C909" s="214"/>
      <c r="E909" t="str" cm="1">
        <f t="array" aca="1" ref="E909" ca="1">IF(_xlfn.XLOOKUP(INDIRECT("RC[-1]", 0), CategoryNames, CategoryIdentifiers, "")&lt;&gt;"",INDIRECT("RC[-1]", 0),"")</f>
        <v/>
      </c>
      <c r="G909" t="str" cm="1">
        <f t="array" aca="1" ref="G909" ca="1">IF(COUNTIF($F$2:$F$1000,INDIRECT("RC[-2]",0))&gt;0,"",INDIRECT("RC[-2]",0))</f>
        <v/>
      </c>
    </row>
    <row r="910" spans="2:7" x14ac:dyDescent="0.25">
      <c r="B910" t="str" cm="1">
        <f t="array" aca="1" ref="B910" ca="1">IFERROR(DATE(RIGHT(INDIRECT("RC[-1]",0),4),LEFT(INDIRECT("RC[-1]",0),2),1), "")</f>
        <v/>
      </c>
      <c r="C910" s="214"/>
      <c r="E910" t="str" cm="1">
        <f t="array" aca="1" ref="E910" ca="1">IF(_xlfn.XLOOKUP(INDIRECT("RC[-1]", 0), CategoryNames, CategoryIdentifiers, "")&lt;&gt;"",INDIRECT("RC[-1]", 0),"")</f>
        <v/>
      </c>
      <c r="G910" t="str" cm="1">
        <f t="array" aca="1" ref="G910" ca="1">IF(COUNTIF($F$2:$F$1000,INDIRECT("RC[-2]",0))&gt;0,"",INDIRECT("RC[-2]",0))</f>
        <v/>
      </c>
    </row>
    <row r="911" spans="2:7" x14ac:dyDescent="0.25">
      <c r="B911" t="str" cm="1">
        <f t="array" aca="1" ref="B911" ca="1">IFERROR(DATE(RIGHT(INDIRECT("RC[-1]",0),4),LEFT(INDIRECT("RC[-1]",0),2),1), "")</f>
        <v/>
      </c>
      <c r="C911" s="214"/>
      <c r="E911" t="str" cm="1">
        <f t="array" aca="1" ref="E911" ca="1">IF(_xlfn.XLOOKUP(INDIRECT("RC[-1]", 0), CategoryNames, CategoryIdentifiers, "")&lt;&gt;"",INDIRECT("RC[-1]", 0),"")</f>
        <v/>
      </c>
      <c r="G911" t="str" cm="1">
        <f t="array" aca="1" ref="G911" ca="1">IF(COUNTIF($F$2:$F$1000,INDIRECT("RC[-2]",0))&gt;0,"",INDIRECT("RC[-2]",0))</f>
        <v/>
      </c>
    </row>
    <row r="912" spans="2:7" x14ac:dyDescent="0.25">
      <c r="B912" t="str" cm="1">
        <f t="array" aca="1" ref="B912" ca="1">IFERROR(DATE(RIGHT(INDIRECT("RC[-1]",0),4),LEFT(INDIRECT("RC[-1]",0),2),1), "")</f>
        <v/>
      </c>
      <c r="C912" s="214"/>
      <c r="E912" t="str" cm="1">
        <f t="array" aca="1" ref="E912" ca="1">IF(_xlfn.XLOOKUP(INDIRECT("RC[-1]", 0), CategoryNames, CategoryIdentifiers, "")&lt;&gt;"",INDIRECT("RC[-1]", 0),"")</f>
        <v/>
      </c>
      <c r="G912" t="str" cm="1">
        <f t="array" aca="1" ref="G912" ca="1">IF(COUNTIF($F$2:$F$1000,INDIRECT("RC[-2]",0))&gt;0,"",INDIRECT("RC[-2]",0))</f>
        <v/>
      </c>
    </row>
    <row r="913" spans="2:7" x14ac:dyDescent="0.25">
      <c r="B913" t="str" cm="1">
        <f t="array" aca="1" ref="B913" ca="1">IFERROR(DATE(RIGHT(INDIRECT("RC[-1]",0),4),LEFT(INDIRECT("RC[-1]",0),2),1), "")</f>
        <v/>
      </c>
      <c r="C913" s="214"/>
      <c r="E913" t="str" cm="1">
        <f t="array" aca="1" ref="E913" ca="1">IF(_xlfn.XLOOKUP(INDIRECT("RC[-1]", 0), CategoryNames, CategoryIdentifiers, "")&lt;&gt;"",INDIRECT("RC[-1]", 0),"")</f>
        <v/>
      </c>
      <c r="G913" t="str" cm="1">
        <f t="array" aca="1" ref="G913" ca="1">IF(COUNTIF($F$2:$F$1000,INDIRECT("RC[-2]",0))&gt;0,"",INDIRECT("RC[-2]",0))</f>
        <v/>
      </c>
    </row>
    <row r="914" spans="2:7" x14ac:dyDescent="0.25">
      <c r="B914" t="str" cm="1">
        <f t="array" aca="1" ref="B914" ca="1">IFERROR(DATE(RIGHT(INDIRECT("RC[-1]",0),4),LEFT(INDIRECT("RC[-1]",0),2),1), "")</f>
        <v/>
      </c>
      <c r="C914" s="214"/>
      <c r="E914" t="str" cm="1">
        <f t="array" aca="1" ref="E914" ca="1">IF(_xlfn.XLOOKUP(INDIRECT("RC[-1]", 0), CategoryNames, CategoryIdentifiers, "")&lt;&gt;"",INDIRECT("RC[-1]", 0),"")</f>
        <v/>
      </c>
      <c r="G914" t="str" cm="1">
        <f t="array" aca="1" ref="G914" ca="1">IF(COUNTIF($F$2:$F$1000,INDIRECT("RC[-2]",0))&gt;0,"",INDIRECT("RC[-2]",0))</f>
        <v/>
      </c>
    </row>
    <row r="915" spans="2:7" x14ac:dyDescent="0.25">
      <c r="B915" t="str" cm="1">
        <f t="array" aca="1" ref="B915" ca="1">IFERROR(DATE(RIGHT(INDIRECT("RC[-1]",0),4),LEFT(INDIRECT("RC[-1]",0),2),1), "")</f>
        <v/>
      </c>
      <c r="C915" s="214"/>
      <c r="E915" t="str" cm="1">
        <f t="array" aca="1" ref="E915" ca="1">IF(_xlfn.XLOOKUP(INDIRECT("RC[-1]", 0), CategoryNames, CategoryIdentifiers, "")&lt;&gt;"",INDIRECT("RC[-1]", 0),"")</f>
        <v/>
      </c>
      <c r="G915" t="str" cm="1">
        <f t="array" aca="1" ref="G915" ca="1">IF(COUNTIF($F$2:$F$1000,INDIRECT("RC[-2]",0))&gt;0,"",INDIRECT("RC[-2]",0))</f>
        <v/>
      </c>
    </row>
    <row r="916" spans="2:7" x14ac:dyDescent="0.25">
      <c r="B916" t="str" cm="1">
        <f t="array" aca="1" ref="B916" ca="1">IFERROR(DATE(RIGHT(INDIRECT("RC[-1]",0),4),LEFT(INDIRECT("RC[-1]",0),2),1), "")</f>
        <v/>
      </c>
      <c r="C916" s="214"/>
      <c r="E916" t="str" cm="1">
        <f t="array" aca="1" ref="E916" ca="1">IF(_xlfn.XLOOKUP(INDIRECT("RC[-1]", 0), CategoryNames, CategoryIdentifiers, "")&lt;&gt;"",INDIRECT("RC[-1]", 0),"")</f>
        <v/>
      </c>
      <c r="G916" t="str" cm="1">
        <f t="array" aca="1" ref="G916" ca="1">IF(COUNTIF($F$2:$F$1000,INDIRECT("RC[-2]",0))&gt;0,"",INDIRECT("RC[-2]",0))</f>
        <v/>
      </c>
    </row>
    <row r="917" spans="2:7" x14ac:dyDescent="0.25">
      <c r="B917" t="str" cm="1">
        <f t="array" aca="1" ref="B917" ca="1">IFERROR(DATE(RIGHT(INDIRECT("RC[-1]",0),4),LEFT(INDIRECT("RC[-1]",0),2),1), "")</f>
        <v/>
      </c>
      <c r="C917" s="214"/>
      <c r="E917" t="str" cm="1">
        <f t="array" aca="1" ref="E917" ca="1">IF(_xlfn.XLOOKUP(INDIRECT("RC[-1]", 0), CategoryNames, CategoryIdentifiers, "")&lt;&gt;"",INDIRECT("RC[-1]", 0),"")</f>
        <v/>
      </c>
      <c r="G917" t="str" cm="1">
        <f t="array" aca="1" ref="G917" ca="1">IF(COUNTIF($F$2:$F$1000,INDIRECT("RC[-2]",0))&gt;0,"",INDIRECT("RC[-2]",0))</f>
        <v/>
      </c>
    </row>
    <row r="918" spans="2:7" x14ac:dyDescent="0.25">
      <c r="B918" t="str" cm="1">
        <f t="array" aca="1" ref="B918" ca="1">IFERROR(DATE(RIGHT(INDIRECT("RC[-1]",0),4),LEFT(INDIRECT("RC[-1]",0),2),1), "")</f>
        <v/>
      </c>
      <c r="C918" s="214"/>
      <c r="E918" t="str" cm="1">
        <f t="array" aca="1" ref="E918" ca="1">IF(_xlfn.XLOOKUP(INDIRECT("RC[-1]", 0), CategoryNames, CategoryIdentifiers, "")&lt;&gt;"",INDIRECT("RC[-1]", 0),"")</f>
        <v/>
      </c>
      <c r="G918" t="str" cm="1">
        <f t="array" aca="1" ref="G918" ca="1">IF(COUNTIF($F$2:$F$1000,INDIRECT("RC[-2]",0))&gt;0,"",INDIRECT("RC[-2]",0))</f>
        <v/>
      </c>
    </row>
    <row r="919" spans="2:7" x14ac:dyDescent="0.25">
      <c r="B919" t="str" cm="1">
        <f t="array" aca="1" ref="B919" ca="1">IFERROR(DATE(RIGHT(INDIRECT("RC[-1]",0),4),LEFT(INDIRECT("RC[-1]",0),2),1), "")</f>
        <v/>
      </c>
      <c r="C919" s="214"/>
      <c r="E919" t="str" cm="1">
        <f t="array" aca="1" ref="E919" ca="1">IF(_xlfn.XLOOKUP(INDIRECT("RC[-1]", 0), CategoryNames, CategoryIdentifiers, "")&lt;&gt;"",INDIRECT("RC[-1]", 0),"")</f>
        <v/>
      </c>
      <c r="G919" t="str" cm="1">
        <f t="array" aca="1" ref="G919" ca="1">IF(COUNTIF($F$2:$F$1000,INDIRECT("RC[-2]",0))&gt;0,"",INDIRECT("RC[-2]",0))</f>
        <v/>
      </c>
    </row>
    <row r="920" spans="2:7" x14ac:dyDescent="0.25">
      <c r="B920" t="str" cm="1">
        <f t="array" aca="1" ref="B920" ca="1">IFERROR(DATE(RIGHT(INDIRECT("RC[-1]",0),4),LEFT(INDIRECT("RC[-1]",0),2),1), "")</f>
        <v/>
      </c>
      <c r="C920" s="214"/>
      <c r="E920" t="str" cm="1">
        <f t="array" aca="1" ref="E920" ca="1">IF(_xlfn.XLOOKUP(INDIRECT("RC[-1]", 0), CategoryNames, CategoryIdentifiers, "")&lt;&gt;"",INDIRECT("RC[-1]", 0),"")</f>
        <v/>
      </c>
      <c r="G920" t="str" cm="1">
        <f t="array" aca="1" ref="G920" ca="1">IF(COUNTIF($F$2:$F$1000,INDIRECT("RC[-2]",0))&gt;0,"",INDIRECT("RC[-2]",0))</f>
        <v/>
      </c>
    </row>
    <row r="921" spans="2:7" x14ac:dyDescent="0.25">
      <c r="B921" t="str" cm="1">
        <f t="array" aca="1" ref="B921" ca="1">IFERROR(DATE(RIGHT(INDIRECT("RC[-1]",0),4),LEFT(INDIRECT("RC[-1]",0),2),1), "")</f>
        <v/>
      </c>
      <c r="C921" s="214"/>
      <c r="E921" t="str" cm="1">
        <f t="array" aca="1" ref="E921" ca="1">IF(_xlfn.XLOOKUP(INDIRECT("RC[-1]", 0), CategoryNames, CategoryIdentifiers, "")&lt;&gt;"",INDIRECT("RC[-1]", 0),"")</f>
        <v/>
      </c>
      <c r="G921" t="str" cm="1">
        <f t="array" aca="1" ref="G921" ca="1">IF(COUNTIF($F$2:$F$1000,INDIRECT("RC[-2]",0))&gt;0,"",INDIRECT("RC[-2]",0))</f>
        <v/>
      </c>
    </row>
    <row r="922" spans="2:7" x14ac:dyDescent="0.25">
      <c r="B922" t="str" cm="1">
        <f t="array" aca="1" ref="B922" ca="1">IFERROR(DATE(RIGHT(INDIRECT("RC[-1]",0),4),LEFT(INDIRECT("RC[-1]",0),2),1), "")</f>
        <v/>
      </c>
      <c r="C922" s="214"/>
      <c r="E922" t="str" cm="1">
        <f t="array" aca="1" ref="E922" ca="1">IF(_xlfn.XLOOKUP(INDIRECT("RC[-1]", 0), CategoryNames, CategoryIdentifiers, "")&lt;&gt;"",INDIRECT("RC[-1]", 0),"")</f>
        <v/>
      </c>
      <c r="G922" t="str" cm="1">
        <f t="array" aca="1" ref="G922" ca="1">IF(COUNTIF($F$2:$F$1000,INDIRECT("RC[-2]",0))&gt;0,"",INDIRECT("RC[-2]",0))</f>
        <v/>
      </c>
    </row>
    <row r="923" spans="2:7" x14ac:dyDescent="0.25">
      <c r="B923" t="str" cm="1">
        <f t="array" aca="1" ref="B923" ca="1">IFERROR(DATE(RIGHT(INDIRECT("RC[-1]",0),4),LEFT(INDIRECT("RC[-1]",0),2),1), "")</f>
        <v/>
      </c>
      <c r="C923" s="214"/>
      <c r="E923" t="str" cm="1">
        <f t="array" aca="1" ref="E923" ca="1">IF(_xlfn.XLOOKUP(INDIRECT("RC[-1]", 0), CategoryNames, CategoryIdentifiers, "")&lt;&gt;"",INDIRECT("RC[-1]", 0),"")</f>
        <v/>
      </c>
      <c r="G923" t="str" cm="1">
        <f t="array" aca="1" ref="G923" ca="1">IF(COUNTIF($F$2:$F$1000,INDIRECT("RC[-2]",0))&gt;0,"",INDIRECT("RC[-2]",0))</f>
        <v/>
      </c>
    </row>
    <row r="924" spans="2:7" x14ac:dyDescent="0.25">
      <c r="B924" t="str" cm="1">
        <f t="array" aca="1" ref="B924" ca="1">IFERROR(DATE(RIGHT(INDIRECT("RC[-1]",0),4),LEFT(INDIRECT("RC[-1]",0),2),1), "")</f>
        <v/>
      </c>
      <c r="C924" s="214"/>
      <c r="E924" t="str" cm="1">
        <f t="array" aca="1" ref="E924" ca="1">IF(_xlfn.XLOOKUP(INDIRECT("RC[-1]", 0), CategoryNames, CategoryIdentifiers, "")&lt;&gt;"",INDIRECT("RC[-1]", 0),"")</f>
        <v/>
      </c>
      <c r="G924" t="str" cm="1">
        <f t="array" aca="1" ref="G924" ca="1">IF(COUNTIF($F$2:$F$1000,INDIRECT("RC[-2]",0))&gt;0,"",INDIRECT("RC[-2]",0))</f>
        <v/>
      </c>
    </row>
    <row r="925" spans="2:7" x14ac:dyDescent="0.25">
      <c r="B925" t="str" cm="1">
        <f t="array" aca="1" ref="B925" ca="1">IFERROR(DATE(RIGHT(INDIRECT("RC[-1]",0),4),LEFT(INDIRECT("RC[-1]",0),2),1), "")</f>
        <v/>
      </c>
      <c r="C925" s="214"/>
      <c r="E925" t="str" cm="1">
        <f t="array" aca="1" ref="E925" ca="1">IF(_xlfn.XLOOKUP(INDIRECT("RC[-1]", 0), CategoryNames, CategoryIdentifiers, "")&lt;&gt;"",INDIRECT("RC[-1]", 0),"")</f>
        <v/>
      </c>
      <c r="G925" t="str" cm="1">
        <f t="array" aca="1" ref="G925" ca="1">IF(COUNTIF($F$2:$F$1000,INDIRECT("RC[-2]",0))&gt;0,"",INDIRECT("RC[-2]",0))</f>
        <v/>
      </c>
    </row>
    <row r="926" spans="2:7" x14ac:dyDescent="0.25">
      <c r="B926" t="str" cm="1">
        <f t="array" aca="1" ref="B926" ca="1">IFERROR(DATE(RIGHT(INDIRECT("RC[-1]",0),4),LEFT(INDIRECT("RC[-1]",0),2),1), "")</f>
        <v/>
      </c>
      <c r="C926" s="214"/>
      <c r="E926" t="str" cm="1">
        <f t="array" aca="1" ref="E926" ca="1">IF(_xlfn.XLOOKUP(INDIRECT("RC[-1]", 0), CategoryNames, CategoryIdentifiers, "")&lt;&gt;"",INDIRECT("RC[-1]", 0),"")</f>
        <v/>
      </c>
      <c r="G926" t="str" cm="1">
        <f t="array" aca="1" ref="G926" ca="1">IF(COUNTIF($F$2:$F$1000,INDIRECT("RC[-2]",0))&gt;0,"",INDIRECT("RC[-2]",0))</f>
        <v/>
      </c>
    </row>
    <row r="927" spans="2:7" x14ac:dyDescent="0.25">
      <c r="B927" t="str" cm="1">
        <f t="array" aca="1" ref="B927" ca="1">IFERROR(DATE(RIGHT(INDIRECT("RC[-1]",0),4),LEFT(INDIRECT("RC[-1]",0),2),1), "")</f>
        <v/>
      </c>
      <c r="C927" s="214"/>
      <c r="E927" t="str" cm="1">
        <f t="array" aca="1" ref="E927" ca="1">IF(_xlfn.XLOOKUP(INDIRECT("RC[-1]", 0), CategoryNames, CategoryIdentifiers, "")&lt;&gt;"",INDIRECT("RC[-1]", 0),"")</f>
        <v/>
      </c>
      <c r="G927" t="str" cm="1">
        <f t="array" aca="1" ref="G927" ca="1">IF(COUNTIF($F$2:$F$1000,INDIRECT("RC[-2]",0))&gt;0,"",INDIRECT("RC[-2]",0))</f>
        <v/>
      </c>
    </row>
    <row r="928" spans="2:7" x14ac:dyDescent="0.25">
      <c r="B928" t="str" cm="1">
        <f t="array" aca="1" ref="B928" ca="1">IFERROR(DATE(RIGHT(INDIRECT("RC[-1]",0),4),LEFT(INDIRECT("RC[-1]",0),2),1), "")</f>
        <v/>
      </c>
      <c r="C928" s="214"/>
      <c r="E928" t="str" cm="1">
        <f t="array" aca="1" ref="E928" ca="1">IF(_xlfn.XLOOKUP(INDIRECT("RC[-1]", 0), CategoryNames, CategoryIdentifiers, "")&lt;&gt;"",INDIRECT("RC[-1]", 0),"")</f>
        <v/>
      </c>
      <c r="G928" t="str" cm="1">
        <f t="array" aca="1" ref="G928" ca="1">IF(COUNTIF($F$2:$F$1000,INDIRECT("RC[-2]",0))&gt;0,"",INDIRECT("RC[-2]",0))</f>
        <v/>
      </c>
    </row>
    <row r="929" spans="2:7" x14ac:dyDescent="0.25">
      <c r="B929" t="str" cm="1">
        <f t="array" aca="1" ref="B929" ca="1">IFERROR(DATE(RIGHT(INDIRECT("RC[-1]",0),4),LEFT(INDIRECT("RC[-1]",0),2),1), "")</f>
        <v/>
      </c>
      <c r="C929" s="214"/>
      <c r="E929" t="str" cm="1">
        <f t="array" aca="1" ref="E929" ca="1">IF(_xlfn.XLOOKUP(INDIRECT("RC[-1]", 0), CategoryNames, CategoryIdentifiers, "")&lt;&gt;"",INDIRECT("RC[-1]", 0),"")</f>
        <v/>
      </c>
      <c r="G929" t="str" cm="1">
        <f t="array" aca="1" ref="G929" ca="1">IF(COUNTIF($F$2:$F$1000,INDIRECT("RC[-2]",0))&gt;0,"",INDIRECT("RC[-2]",0))</f>
        <v/>
      </c>
    </row>
    <row r="930" spans="2:7" x14ac:dyDescent="0.25">
      <c r="B930" t="str" cm="1">
        <f t="array" aca="1" ref="B930" ca="1">IFERROR(DATE(RIGHT(INDIRECT("RC[-1]",0),4),LEFT(INDIRECT("RC[-1]",0),2),1), "")</f>
        <v/>
      </c>
      <c r="C930" s="214"/>
      <c r="E930" t="str" cm="1">
        <f t="array" aca="1" ref="E930" ca="1">IF(_xlfn.XLOOKUP(INDIRECT("RC[-1]", 0), CategoryNames, CategoryIdentifiers, "")&lt;&gt;"",INDIRECT("RC[-1]", 0),"")</f>
        <v/>
      </c>
      <c r="G930" t="str" cm="1">
        <f t="array" aca="1" ref="G930" ca="1">IF(COUNTIF($F$2:$F$1000,INDIRECT("RC[-2]",0))&gt;0,"",INDIRECT("RC[-2]",0))</f>
        <v/>
      </c>
    </row>
    <row r="931" spans="2:7" x14ac:dyDescent="0.25">
      <c r="B931" t="str" cm="1">
        <f t="array" aca="1" ref="B931" ca="1">IFERROR(DATE(RIGHT(INDIRECT("RC[-1]",0),4),LEFT(INDIRECT("RC[-1]",0),2),1), "")</f>
        <v/>
      </c>
      <c r="C931" s="214"/>
      <c r="E931" t="str" cm="1">
        <f t="array" aca="1" ref="E931" ca="1">IF(_xlfn.XLOOKUP(INDIRECT("RC[-1]", 0), CategoryNames, CategoryIdentifiers, "")&lt;&gt;"",INDIRECT("RC[-1]", 0),"")</f>
        <v/>
      </c>
      <c r="G931" t="str" cm="1">
        <f t="array" aca="1" ref="G931" ca="1">IF(COUNTIF($F$2:$F$1000,INDIRECT("RC[-2]",0))&gt;0,"",INDIRECT("RC[-2]",0))</f>
        <v/>
      </c>
    </row>
    <row r="932" spans="2:7" x14ac:dyDescent="0.25">
      <c r="B932" t="str" cm="1">
        <f t="array" aca="1" ref="B932" ca="1">IFERROR(DATE(RIGHT(INDIRECT("RC[-1]",0),4),LEFT(INDIRECT("RC[-1]",0),2),1), "")</f>
        <v/>
      </c>
      <c r="C932" s="214"/>
      <c r="E932" t="str" cm="1">
        <f t="array" aca="1" ref="E932" ca="1">IF(_xlfn.XLOOKUP(INDIRECT("RC[-1]", 0), CategoryNames, CategoryIdentifiers, "")&lt;&gt;"",INDIRECT("RC[-1]", 0),"")</f>
        <v/>
      </c>
      <c r="G932" t="str" cm="1">
        <f t="array" aca="1" ref="G932" ca="1">IF(COUNTIF($F$2:$F$1000,INDIRECT("RC[-2]",0))&gt;0,"",INDIRECT("RC[-2]",0))</f>
        <v/>
      </c>
    </row>
    <row r="933" spans="2:7" x14ac:dyDescent="0.25">
      <c r="B933" t="str" cm="1">
        <f t="array" aca="1" ref="B933" ca="1">IFERROR(DATE(RIGHT(INDIRECT("RC[-1]",0),4),LEFT(INDIRECT("RC[-1]",0),2),1), "")</f>
        <v/>
      </c>
      <c r="C933" s="214"/>
      <c r="E933" t="str" cm="1">
        <f t="array" aca="1" ref="E933" ca="1">IF(_xlfn.XLOOKUP(INDIRECT("RC[-1]", 0), CategoryNames, CategoryIdentifiers, "")&lt;&gt;"",INDIRECT("RC[-1]", 0),"")</f>
        <v/>
      </c>
      <c r="G933" t="str" cm="1">
        <f t="array" aca="1" ref="G933" ca="1">IF(COUNTIF($F$2:$F$1000,INDIRECT("RC[-2]",0))&gt;0,"",INDIRECT("RC[-2]",0))</f>
        <v/>
      </c>
    </row>
    <row r="934" spans="2:7" x14ac:dyDescent="0.25">
      <c r="B934" t="str" cm="1">
        <f t="array" aca="1" ref="B934" ca="1">IFERROR(DATE(RIGHT(INDIRECT("RC[-1]",0),4),LEFT(INDIRECT("RC[-1]",0),2),1), "")</f>
        <v/>
      </c>
      <c r="C934" s="214"/>
      <c r="E934" t="str" cm="1">
        <f t="array" aca="1" ref="E934" ca="1">IF(_xlfn.XLOOKUP(INDIRECT("RC[-1]", 0), CategoryNames, CategoryIdentifiers, "")&lt;&gt;"",INDIRECT("RC[-1]", 0),"")</f>
        <v/>
      </c>
      <c r="G934" t="str" cm="1">
        <f t="array" aca="1" ref="G934" ca="1">IF(COUNTIF($F$2:$F$1000,INDIRECT("RC[-2]",0))&gt;0,"",INDIRECT("RC[-2]",0))</f>
        <v/>
      </c>
    </row>
    <row r="935" spans="2:7" x14ac:dyDescent="0.25">
      <c r="B935" t="str" cm="1">
        <f t="array" aca="1" ref="B935" ca="1">IFERROR(DATE(RIGHT(INDIRECT("RC[-1]",0),4),LEFT(INDIRECT("RC[-1]",0),2),1), "")</f>
        <v/>
      </c>
      <c r="C935" s="214"/>
      <c r="E935" t="str" cm="1">
        <f t="array" aca="1" ref="E935" ca="1">IF(_xlfn.XLOOKUP(INDIRECT("RC[-1]", 0), CategoryNames, CategoryIdentifiers, "")&lt;&gt;"",INDIRECT("RC[-1]", 0),"")</f>
        <v/>
      </c>
      <c r="G935" t="str" cm="1">
        <f t="array" aca="1" ref="G935" ca="1">IF(COUNTIF($F$2:$F$1000,INDIRECT("RC[-2]",0))&gt;0,"",INDIRECT("RC[-2]",0))</f>
        <v/>
      </c>
    </row>
    <row r="936" spans="2:7" x14ac:dyDescent="0.25">
      <c r="B936" t="str" cm="1">
        <f t="array" aca="1" ref="B936" ca="1">IFERROR(DATE(RIGHT(INDIRECT("RC[-1]",0),4),LEFT(INDIRECT("RC[-1]",0),2),1), "")</f>
        <v/>
      </c>
      <c r="C936" s="214"/>
      <c r="E936" t="str" cm="1">
        <f t="array" aca="1" ref="E936" ca="1">IF(_xlfn.XLOOKUP(INDIRECT("RC[-1]", 0), CategoryNames, CategoryIdentifiers, "")&lt;&gt;"",INDIRECT("RC[-1]", 0),"")</f>
        <v/>
      </c>
      <c r="G936" t="str" cm="1">
        <f t="array" aca="1" ref="G936" ca="1">IF(COUNTIF($F$2:$F$1000,INDIRECT("RC[-2]",0))&gt;0,"",INDIRECT("RC[-2]",0))</f>
        <v/>
      </c>
    </row>
    <row r="937" spans="2:7" x14ac:dyDescent="0.25">
      <c r="B937" t="str" cm="1">
        <f t="array" aca="1" ref="B937" ca="1">IFERROR(DATE(RIGHT(INDIRECT("RC[-1]",0),4),LEFT(INDIRECT("RC[-1]",0),2),1), "")</f>
        <v/>
      </c>
      <c r="C937" s="214"/>
      <c r="E937" t="str" cm="1">
        <f t="array" aca="1" ref="E937" ca="1">IF(_xlfn.XLOOKUP(INDIRECT("RC[-1]", 0), CategoryNames, CategoryIdentifiers, "")&lt;&gt;"",INDIRECT("RC[-1]", 0),"")</f>
        <v/>
      </c>
      <c r="G937" t="str" cm="1">
        <f t="array" aca="1" ref="G937" ca="1">IF(COUNTIF($F$2:$F$1000,INDIRECT("RC[-2]",0))&gt;0,"",INDIRECT("RC[-2]",0))</f>
        <v/>
      </c>
    </row>
    <row r="938" spans="2:7" x14ac:dyDescent="0.25">
      <c r="B938" t="str" cm="1">
        <f t="array" aca="1" ref="B938" ca="1">IFERROR(DATE(RIGHT(INDIRECT("RC[-1]",0),4),LEFT(INDIRECT("RC[-1]",0),2),1), "")</f>
        <v/>
      </c>
      <c r="C938" s="214"/>
      <c r="E938" t="str" cm="1">
        <f t="array" aca="1" ref="E938" ca="1">IF(_xlfn.XLOOKUP(INDIRECT("RC[-1]", 0), CategoryNames, CategoryIdentifiers, "")&lt;&gt;"",INDIRECT("RC[-1]", 0),"")</f>
        <v/>
      </c>
      <c r="G938" t="str" cm="1">
        <f t="array" aca="1" ref="G938" ca="1">IF(COUNTIF($F$2:$F$1000,INDIRECT("RC[-2]",0))&gt;0,"",INDIRECT("RC[-2]",0))</f>
        <v/>
      </c>
    </row>
    <row r="939" spans="2:7" x14ac:dyDescent="0.25">
      <c r="B939" t="str" cm="1">
        <f t="array" aca="1" ref="B939" ca="1">IFERROR(DATE(RIGHT(INDIRECT("RC[-1]",0),4),LEFT(INDIRECT("RC[-1]",0),2),1), "")</f>
        <v/>
      </c>
      <c r="C939" s="214"/>
      <c r="E939" t="str" cm="1">
        <f t="array" aca="1" ref="E939" ca="1">IF(_xlfn.XLOOKUP(INDIRECT("RC[-1]", 0), CategoryNames, CategoryIdentifiers, "")&lt;&gt;"",INDIRECT("RC[-1]", 0),"")</f>
        <v/>
      </c>
      <c r="G939" t="str" cm="1">
        <f t="array" aca="1" ref="G939" ca="1">IF(COUNTIF($F$2:$F$1000,INDIRECT("RC[-2]",0))&gt;0,"",INDIRECT("RC[-2]",0))</f>
        <v/>
      </c>
    </row>
    <row r="940" spans="2:7" x14ac:dyDescent="0.25">
      <c r="B940" t="str" cm="1">
        <f t="array" aca="1" ref="B940" ca="1">IFERROR(DATE(RIGHT(INDIRECT("RC[-1]",0),4),LEFT(INDIRECT("RC[-1]",0),2),1), "")</f>
        <v/>
      </c>
      <c r="C940" s="214"/>
      <c r="E940" t="str" cm="1">
        <f t="array" aca="1" ref="E940" ca="1">IF(_xlfn.XLOOKUP(INDIRECT("RC[-1]", 0), CategoryNames, CategoryIdentifiers, "")&lt;&gt;"",INDIRECT("RC[-1]", 0),"")</f>
        <v/>
      </c>
      <c r="G940" t="str" cm="1">
        <f t="array" aca="1" ref="G940" ca="1">IF(COUNTIF($F$2:$F$1000,INDIRECT("RC[-2]",0))&gt;0,"",INDIRECT("RC[-2]",0))</f>
        <v/>
      </c>
    </row>
    <row r="941" spans="2:7" x14ac:dyDescent="0.25">
      <c r="B941" t="str" cm="1">
        <f t="array" aca="1" ref="B941" ca="1">IFERROR(DATE(RIGHT(INDIRECT("RC[-1]",0),4),LEFT(INDIRECT("RC[-1]",0),2),1), "")</f>
        <v/>
      </c>
      <c r="C941" s="214"/>
      <c r="E941" t="str" cm="1">
        <f t="array" aca="1" ref="E941" ca="1">IF(_xlfn.XLOOKUP(INDIRECT("RC[-1]", 0), CategoryNames, CategoryIdentifiers, "")&lt;&gt;"",INDIRECT("RC[-1]", 0),"")</f>
        <v/>
      </c>
      <c r="G941" t="str" cm="1">
        <f t="array" aca="1" ref="G941" ca="1">IF(COUNTIF($F$2:$F$1000,INDIRECT("RC[-2]",0))&gt;0,"",INDIRECT("RC[-2]",0))</f>
        <v/>
      </c>
    </row>
    <row r="942" spans="2:7" x14ac:dyDescent="0.25">
      <c r="B942" t="str" cm="1">
        <f t="array" aca="1" ref="B942" ca="1">IFERROR(DATE(RIGHT(INDIRECT("RC[-1]",0),4),LEFT(INDIRECT("RC[-1]",0),2),1), "")</f>
        <v/>
      </c>
      <c r="C942" s="214"/>
      <c r="E942" t="str" cm="1">
        <f t="array" aca="1" ref="E942" ca="1">IF(_xlfn.XLOOKUP(INDIRECT("RC[-1]", 0), CategoryNames, CategoryIdentifiers, "")&lt;&gt;"",INDIRECT("RC[-1]", 0),"")</f>
        <v/>
      </c>
      <c r="G942" t="str" cm="1">
        <f t="array" aca="1" ref="G942" ca="1">IF(COUNTIF($F$2:$F$1000,INDIRECT("RC[-2]",0))&gt;0,"",INDIRECT("RC[-2]",0))</f>
        <v/>
      </c>
    </row>
    <row r="943" spans="2:7" x14ac:dyDescent="0.25">
      <c r="B943" t="str" cm="1">
        <f t="array" aca="1" ref="B943" ca="1">IFERROR(DATE(RIGHT(INDIRECT("RC[-1]",0),4),LEFT(INDIRECT("RC[-1]",0),2),1), "")</f>
        <v/>
      </c>
      <c r="C943" s="214"/>
      <c r="E943" t="str" cm="1">
        <f t="array" aca="1" ref="E943" ca="1">IF(_xlfn.XLOOKUP(INDIRECT("RC[-1]", 0), CategoryNames, CategoryIdentifiers, "")&lt;&gt;"",INDIRECT("RC[-1]", 0),"")</f>
        <v/>
      </c>
      <c r="G943" t="str" cm="1">
        <f t="array" aca="1" ref="G943" ca="1">IF(COUNTIF($F$2:$F$1000,INDIRECT("RC[-2]",0))&gt;0,"",INDIRECT("RC[-2]",0))</f>
        <v/>
      </c>
    </row>
    <row r="944" spans="2:7" x14ac:dyDescent="0.25">
      <c r="B944" t="str" cm="1">
        <f t="array" aca="1" ref="B944" ca="1">IFERROR(DATE(RIGHT(INDIRECT("RC[-1]",0),4),LEFT(INDIRECT("RC[-1]",0),2),1), "")</f>
        <v/>
      </c>
      <c r="C944" s="214"/>
      <c r="E944" t="str" cm="1">
        <f t="array" aca="1" ref="E944" ca="1">IF(_xlfn.XLOOKUP(INDIRECT("RC[-1]", 0), CategoryNames, CategoryIdentifiers, "")&lt;&gt;"",INDIRECT("RC[-1]", 0),"")</f>
        <v/>
      </c>
      <c r="G944" t="str" cm="1">
        <f t="array" aca="1" ref="G944" ca="1">IF(COUNTIF($F$2:$F$1000,INDIRECT("RC[-2]",0))&gt;0,"",INDIRECT("RC[-2]",0))</f>
        <v/>
      </c>
    </row>
    <row r="945" spans="2:7" x14ac:dyDescent="0.25">
      <c r="B945" t="str" cm="1">
        <f t="array" aca="1" ref="B945" ca="1">IFERROR(DATE(RIGHT(INDIRECT("RC[-1]",0),4),LEFT(INDIRECT("RC[-1]",0),2),1), "")</f>
        <v/>
      </c>
      <c r="C945" s="214"/>
      <c r="E945" t="str" cm="1">
        <f t="array" aca="1" ref="E945" ca="1">IF(_xlfn.XLOOKUP(INDIRECT("RC[-1]", 0), CategoryNames, CategoryIdentifiers, "")&lt;&gt;"",INDIRECT("RC[-1]", 0),"")</f>
        <v/>
      </c>
      <c r="G945" t="str" cm="1">
        <f t="array" aca="1" ref="G945" ca="1">IF(COUNTIF($F$2:$F$1000,INDIRECT("RC[-2]",0))&gt;0,"",INDIRECT("RC[-2]",0))</f>
        <v/>
      </c>
    </row>
    <row r="946" spans="2:7" x14ac:dyDescent="0.25">
      <c r="B946" t="str" cm="1">
        <f t="array" aca="1" ref="B946" ca="1">IFERROR(DATE(RIGHT(INDIRECT("RC[-1]",0),4),LEFT(INDIRECT("RC[-1]",0),2),1), "")</f>
        <v/>
      </c>
      <c r="C946" s="214"/>
      <c r="E946" t="str" cm="1">
        <f t="array" aca="1" ref="E946" ca="1">IF(_xlfn.XLOOKUP(INDIRECT("RC[-1]", 0), CategoryNames, CategoryIdentifiers, "")&lt;&gt;"",INDIRECT("RC[-1]", 0),"")</f>
        <v/>
      </c>
      <c r="G946" t="str" cm="1">
        <f t="array" aca="1" ref="G946" ca="1">IF(COUNTIF($F$2:$F$1000,INDIRECT("RC[-2]",0))&gt;0,"",INDIRECT("RC[-2]",0))</f>
        <v/>
      </c>
    </row>
    <row r="947" spans="2:7" x14ac:dyDescent="0.25">
      <c r="B947" t="str" cm="1">
        <f t="array" aca="1" ref="B947" ca="1">IFERROR(DATE(RIGHT(INDIRECT("RC[-1]",0),4),LEFT(INDIRECT("RC[-1]",0),2),1), "")</f>
        <v/>
      </c>
      <c r="C947" s="214"/>
      <c r="E947" t="str" cm="1">
        <f t="array" aca="1" ref="E947" ca="1">IF(_xlfn.XLOOKUP(INDIRECT("RC[-1]", 0), CategoryNames, CategoryIdentifiers, "")&lt;&gt;"",INDIRECT("RC[-1]", 0),"")</f>
        <v/>
      </c>
      <c r="G947" t="str" cm="1">
        <f t="array" aca="1" ref="G947" ca="1">IF(COUNTIF($F$2:$F$1000,INDIRECT("RC[-2]",0))&gt;0,"",INDIRECT("RC[-2]",0))</f>
        <v/>
      </c>
    </row>
    <row r="948" spans="2:7" x14ac:dyDescent="0.25">
      <c r="B948" t="str" cm="1">
        <f t="array" aca="1" ref="B948" ca="1">IFERROR(DATE(RIGHT(INDIRECT("RC[-1]",0),4),LEFT(INDIRECT("RC[-1]",0),2),1), "")</f>
        <v/>
      </c>
      <c r="C948" s="214"/>
      <c r="E948" t="str" cm="1">
        <f t="array" aca="1" ref="E948" ca="1">IF(_xlfn.XLOOKUP(INDIRECT("RC[-1]", 0), CategoryNames, CategoryIdentifiers, "")&lt;&gt;"",INDIRECT("RC[-1]", 0),"")</f>
        <v/>
      </c>
      <c r="G948" t="str" cm="1">
        <f t="array" aca="1" ref="G948" ca="1">IF(COUNTIF($F$2:$F$1000,INDIRECT("RC[-2]",0))&gt;0,"",INDIRECT("RC[-2]",0))</f>
        <v/>
      </c>
    </row>
    <row r="949" spans="2:7" x14ac:dyDescent="0.25">
      <c r="B949" t="str" cm="1">
        <f t="array" aca="1" ref="B949" ca="1">IFERROR(DATE(RIGHT(INDIRECT("RC[-1]",0),4),LEFT(INDIRECT("RC[-1]",0),2),1), "")</f>
        <v/>
      </c>
      <c r="C949" s="214"/>
      <c r="E949" t="str" cm="1">
        <f t="array" aca="1" ref="E949" ca="1">IF(_xlfn.XLOOKUP(INDIRECT("RC[-1]", 0), CategoryNames, CategoryIdentifiers, "")&lt;&gt;"",INDIRECT("RC[-1]", 0),"")</f>
        <v/>
      </c>
      <c r="G949" t="str" cm="1">
        <f t="array" aca="1" ref="G949" ca="1">IF(COUNTIF($F$2:$F$1000,INDIRECT("RC[-2]",0))&gt;0,"",INDIRECT("RC[-2]",0))</f>
        <v/>
      </c>
    </row>
    <row r="950" spans="2:7" x14ac:dyDescent="0.25">
      <c r="B950" t="str" cm="1">
        <f t="array" aca="1" ref="B950" ca="1">IFERROR(DATE(RIGHT(INDIRECT("RC[-1]",0),4),LEFT(INDIRECT("RC[-1]",0),2),1), "")</f>
        <v/>
      </c>
      <c r="C950" s="214"/>
      <c r="E950" t="str" cm="1">
        <f t="array" aca="1" ref="E950" ca="1">IF(_xlfn.XLOOKUP(INDIRECT("RC[-1]", 0), CategoryNames, CategoryIdentifiers, "")&lt;&gt;"",INDIRECT("RC[-1]", 0),"")</f>
        <v/>
      </c>
      <c r="G950" t="str" cm="1">
        <f t="array" aca="1" ref="G950" ca="1">IF(COUNTIF($F$2:$F$1000,INDIRECT("RC[-2]",0))&gt;0,"",INDIRECT("RC[-2]",0))</f>
        <v/>
      </c>
    </row>
    <row r="951" spans="2:7" x14ac:dyDescent="0.25">
      <c r="B951" t="str" cm="1">
        <f t="array" aca="1" ref="B951" ca="1">IFERROR(DATE(RIGHT(INDIRECT("RC[-1]",0),4),LEFT(INDIRECT("RC[-1]",0),2),1), "")</f>
        <v/>
      </c>
      <c r="C951" s="214"/>
      <c r="E951" t="str" cm="1">
        <f t="array" aca="1" ref="E951" ca="1">IF(_xlfn.XLOOKUP(INDIRECT("RC[-1]", 0), CategoryNames, CategoryIdentifiers, "")&lt;&gt;"",INDIRECT("RC[-1]", 0),"")</f>
        <v/>
      </c>
      <c r="G951" t="str" cm="1">
        <f t="array" aca="1" ref="G951" ca="1">IF(COUNTIF($F$2:$F$1000,INDIRECT("RC[-2]",0))&gt;0,"",INDIRECT("RC[-2]",0))</f>
        <v/>
      </c>
    </row>
    <row r="952" spans="2:7" x14ac:dyDescent="0.25">
      <c r="B952" t="str" cm="1">
        <f t="array" aca="1" ref="B952" ca="1">IFERROR(DATE(RIGHT(INDIRECT("RC[-1]",0),4),LEFT(INDIRECT("RC[-1]",0),2),1), "")</f>
        <v/>
      </c>
      <c r="C952" s="214"/>
      <c r="E952" t="str" cm="1">
        <f t="array" aca="1" ref="E952" ca="1">IF(_xlfn.XLOOKUP(INDIRECT("RC[-1]", 0), CategoryNames, CategoryIdentifiers, "")&lt;&gt;"",INDIRECT("RC[-1]", 0),"")</f>
        <v/>
      </c>
      <c r="G952" t="str" cm="1">
        <f t="array" aca="1" ref="G952" ca="1">IF(COUNTIF($F$2:$F$1000,INDIRECT("RC[-2]",0))&gt;0,"",INDIRECT("RC[-2]",0))</f>
        <v/>
      </c>
    </row>
    <row r="953" spans="2:7" x14ac:dyDescent="0.25">
      <c r="B953" t="str" cm="1">
        <f t="array" aca="1" ref="B953" ca="1">IFERROR(DATE(RIGHT(INDIRECT("RC[-1]",0),4),LEFT(INDIRECT("RC[-1]",0),2),1), "")</f>
        <v/>
      </c>
      <c r="C953" s="214"/>
      <c r="E953" t="str" cm="1">
        <f t="array" aca="1" ref="E953" ca="1">IF(_xlfn.XLOOKUP(INDIRECT("RC[-1]", 0), CategoryNames, CategoryIdentifiers, "")&lt;&gt;"",INDIRECT("RC[-1]", 0),"")</f>
        <v/>
      </c>
      <c r="G953" t="str" cm="1">
        <f t="array" aca="1" ref="G953" ca="1">IF(COUNTIF($F$2:$F$1000,INDIRECT("RC[-2]",0))&gt;0,"",INDIRECT("RC[-2]",0))</f>
        <v/>
      </c>
    </row>
    <row r="954" spans="2:7" x14ac:dyDescent="0.25">
      <c r="B954" t="str" cm="1">
        <f t="array" aca="1" ref="B954" ca="1">IFERROR(DATE(RIGHT(INDIRECT("RC[-1]",0),4),LEFT(INDIRECT("RC[-1]",0),2),1), "")</f>
        <v/>
      </c>
      <c r="C954" s="214"/>
      <c r="E954" t="str" cm="1">
        <f t="array" aca="1" ref="E954" ca="1">IF(_xlfn.XLOOKUP(INDIRECT("RC[-1]", 0), CategoryNames, CategoryIdentifiers, "")&lt;&gt;"",INDIRECT("RC[-1]", 0),"")</f>
        <v/>
      </c>
      <c r="G954" t="str" cm="1">
        <f t="array" aca="1" ref="G954" ca="1">IF(COUNTIF($F$2:$F$1000,INDIRECT("RC[-2]",0))&gt;0,"",INDIRECT("RC[-2]",0))</f>
        <v/>
      </c>
    </row>
    <row r="955" spans="2:7" x14ac:dyDescent="0.25">
      <c r="B955" t="str" cm="1">
        <f t="array" aca="1" ref="B955" ca="1">IFERROR(DATE(RIGHT(INDIRECT("RC[-1]",0),4),LEFT(INDIRECT("RC[-1]",0),2),1), "")</f>
        <v/>
      </c>
      <c r="C955" s="214"/>
      <c r="E955" t="str" cm="1">
        <f t="array" aca="1" ref="E955" ca="1">IF(_xlfn.XLOOKUP(INDIRECT("RC[-1]", 0), CategoryNames, CategoryIdentifiers, "")&lt;&gt;"",INDIRECT("RC[-1]", 0),"")</f>
        <v/>
      </c>
      <c r="G955" t="str" cm="1">
        <f t="array" aca="1" ref="G955" ca="1">IF(COUNTIF($F$2:$F$1000,INDIRECT("RC[-2]",0))&gt;0,"",INDIRECT("RC[-2]",0))</f>
        <v/>
      </c>
    </row>
    <row r="956" spans="2:7" x14ac:dyDescent="0.25">
      <c r="B956" t="str" cm="1">
        <f t="array" aca="1" ref="B956" ca="1">IFERROR(DATE(RIGHT(INDIRECT("RC[-1]",0),4),LEFT(INDIRECT("RC[-1]",0),2),1), "")</f>
        <v/>
      </c>
      <c r="C956" s="214"/>
      <c r="E956" t="str" cm="1">
        <f t="array" aca="1" ref="E956" ca="1">IF(_xlfn.XLOOKUP(INDIRECT("RC[-1]", 0), CategoryNames, CategoryIdentifiers, "")&lt;&gt;"",INDIRECT("RC[-1]", 0),"")</f>
        <v/>
      </c>
      <c r="G956" t="str" cm="1">
        <f t="array" aca="1" ref="G956" ca="1">IF(COUNTIF($F$2:$F$1000,INDIRECT("RC[-2]",0))&gt;0,"",INDIRECT("RC[-2]",0))</f>
        <v/>
      </c>
    </row>
    <row r="957" spans="2:7" x14ac:dyDescent="0.25">
      <c r="B957" t="str" cm="1">
        <f t="array" aca="1" ref="B957" ca="1">IFERROR(DATE(RIGHT(INDIRECT("RC[-1]",0),4),LEFT(INDIRECT("RC[-1]",0),2),1), "")</f>
        <v/>
      </c>
      <c r="C957" s="214"/>
      <c r="E957" t="str" cm="1">
        <f t="array" aca="1" ref="E957" ca="1">IF(_xlfn.XLOOKUP(INDIRECT("RC[-1]", 0), CategoryNames, CategoryIdentifiers, "")&lt;&gt;"",INDIRECT("RC[-1]", 0),"")</f>
        <v/>
      </c>
      <c r="G957" t="str" cm="1">
        <f t="array" aca="1" ref="G957" ca="1">IF(COUNTIF($F$2:$F$1000,INDIRECT("RC[-2]",0))&gt;0,"",INDIRECT("RC[-2]",0))</f>
        <v/>
      </c>
    </row>
    <row r="958" spans="2:7" x14ac:dyDescent="0.25">
      <c r="B958" t="str" cm="1">
        <f t="array" aca="1" ref="B958" ca="1">IFERROR(DATE(RIGHT(INDIRECT("RC[-1]",0),4),LEFT(INDIRECT("RC[-1]",0),2),1), "")</f>
        <v/>
      </c>
      <c r="C958" s="214"/>
      <c r="E958" t="str" cm="1">
        <f t="array" aca="1" ref="E958" ca="1">IF(_xlfn.XLOOKUP(INDIRECT("RC[-1]", 0), CategoryNames, CategoryIdentifiers, "")&lt;&gt;"",INDIRECT("RC[-1]", 0),"")</f>
        <v/>
      </c>
      <c r="G958" t="str" cm="1">
        <f t="array" aca="1" ref="G958" ca="1">IF(COUNTIF($F$2:$F$1000,INDIRECT("RC[-2]",0))&gt;0,"",INDIRECT("RC[-2]",0))</f>
        <v/>
      </c>
    </row>
    <row r="959" spans="2:7" x14ac:dyDescent="0.25">
      <c r="B959" t="str" cm="1">
        <f t="array" aca="1" ref="B959" ca="1">IFERROR(DATE(RIGHT(INDIRECT("RC[-1]",0),4),LEFT(INDIRECT("RC[-1]",0),2),1), "")</f>
        <v/>
      </c>
      <c r="C959" s="214"/>
      <c r="E959" t="str" cm="1">
        <f t="array" aca="1" ref="E959" ca="1">IF(_xlfn.XLOOKUP(INDIRECT("RC[-1]", 0), CategoryNames, CategoryIdentifiers, "")&lt;&gt;"",INDIRECT("RC[-1]", 0),"")</f>
        <v/>
      </c>
      <c r="G959" t="str" cm="1">
        <f t="array" aca="1" ref="G959" ca="1">IF(COUNTIF($F$2:$F$1000,INDIRECT("RC[-2]",0))&gt;0,"",INDIRECT("RC[-2]",0))</f>
        <v/>
      </c>
    </row>
    <row r="960" spans="2:7" x14ac:dyDescent="0.25">
      <c r="B960" t="str" cm="1">
        <f t="array" aca="1" ref="B960" ca="1">IFERROR(DATE(RIGHT(INDIRECT("RC[-1]",0),4),LEFT(INDIRECT("RC[-1]",0),2),1), "")</f>
        <v/>
      </c>
      <c r="C960" s="214"/>
      <c r="E960" t="str" cm="1">
        <f t="array" aca="1" ref="E960" ca="1">IF(_xlfn.XLOOKUP(INDIRECT("RC[-1]", 0), CategoryNames, CategoryIdentifiers, "")&lt;&gt;"",INDIRECT("RC[-1]", 0),"")</f>
        <v/>
      </c>
      <c r="G960" t="str" cm="1">
        <f t="array" aca="1" ref="G960" ca="1">IF(COUNTIF($F$2:$F$1000,INDIRECT("RC[-2]",0))&gt;0,"",INDIRECT("RC[-2]",0))</f>
        <v/>
      </c>
    </row>
    <row r="961" spans="2:7" x14ac:dyDescent="0.25">
      <c r="B961" t="str" cm="1">
        <f t="array" aca="1" ref="B961" ca="1">IFERROR(DATE(RIGHT(INDIRECT("RC[-1]",0),4),LEFT(INDIRECT("RC[-1]",0),2),1), "")</f>
        <v/>
      </c>
      <c r="C961" s="214"/>
      <c r="E961" t="str" cm="1">
        <f t="array" aca="1" ref="E961" ca="1">IF(_xlfn.XLOOKUP(INDIRECT("RC[-1]", 0), CategoryNames, CategoryIdentifiers, "")&lt;&gt;"",INDIRECT("RC[-1]", 0),"")</f>
        <v/>
      </c>
      <c r="G961" t="str" cm="1">
        <f t="array" aca="1" ref="G961" ca="1">IF(COUNTIF($F$2:$F$1000,INDIRECT("RC[-2]",0))&gt;0,"",INDIRECT("RC[-2]",0))</f>
        <v/>
      </c>
    </row>
    <row r="962" spans="2:7" x14ac:dyDescent="0.25">
      <c r="B962" t="str" cm="1">
        <f t="array" aca="1" ref="B962" ca="1">IFERROR(DATE(RIGHT(INDIRECT("RC[-1]",0),4),LEFT(INDIRECT("RC[-1]",0),2),1), "")</f>
        <v/>
      </c>
      <c r="C962" s="214"/>
      <c r="E962" t="str" cm="1">
        <f t="array" aca="1" ref="E962" ca="1">IF(_xlfn.XLOOKUP(INDIRECT("RC[-1]", 0), CategoryNames, CategoryIdentifiers, "")&lt;&gt;"",INDIRECT("RC[-1]", 0),"")</f>
        <v/>
      </c>
      <c r="G962" t="str" cm="1">
        <f t="array" aca="1" ref="G962" ca="1">IF(COUNTIF($F$2:$F$1000,INDIRECT("RC[-2]",0))&gt;0,"",INDIRECT("RC[-2]",0))</f>
        <v/>
      </c>
    </row>
    <row r="963" spans="2:7" x14ac:dyDescent="0.25">
      <c r="B963" t="str" cm="1">
        <f t="array" aca="1" ref="B963" ca="1">IFERROR(DATE(RIGHT(INDIRECT("RC[-1]",0),4),LEFT(INDIRECT("RC[-1]",0),2),1), "")</f>
        <v/>
      </c>
      <c r="C963" s="214"/>
      <c r="E963" t="str" cm="1">
        <f t="array" aca="1" ref="E963" ca="1">IF(_xlfn.XLOOKUP(INDIRECT("RC[-1]", 0), CategoryNames, CategoryIdentifiers, "")&lt;&gt;"",INDIRECT("RC[-1]", 0),"")</f>
        <v/>
      </c>
      <c r="G963" t="str" cm="1">
        <f t="array" aca="1" ref="G963" ca="1">IF(COUNTIF($F$2:$F$1000,INDIRECT("RC[-2]",0))&gt;0,"",INDIRECT("RC[-2]",0))</f>
        <v/>
      </c>
    </row>
    <row r="964" spans="2:7" x14ac:dyDescent="0.25">
      <c r="B964" t="str" cm="1">
        <f t="array" aca="1" ref="B964" ca="1">IFERROR(DATE(RIGHT(INDIRECT("RC[-1]",0),4),LEFT(INDIRECT("RC[-1]",0),2),1), "")</f>
        <v/>
      </c>
      <c r="C964" s="214"/>
      <c r="E964" t="str" cm="1">
        <f t="array" aca="1" ref="E964" ca="1">IF(_xlfn.XLOOKUP(INDIRECT("RC[-1]", 0), CategoryNames, CategoryIdentifiers, "")&lt;&gt;"",INDIRECT("RC[-1]", 0),"")</f>
        <v/>
      </c>
      <c r="G964" t="str" cm="1">
        <f t="array" aca="1" ref="G964" ca="1">IF(COUNTIF($F$2:$F$1000,INDIRECT("RC[-2]",0))&gt;0,"",INDIRECT("RC[-2]",0))</f>
        <v/>
      </c>
    </row>
    <row r="965" spans="2:7" x14ac:dyDescent="0.25">
      <c r="B965" t="str" cm="1">
        <f t="array" aca="1" ref="B965" ca="1">IFERROR(DATE(RIGHT(INDIRECT("RC[-1]",0),4),LEFT(INDIRECT("RC[-1]",0),2),1), "")</f>
        <v/>
      </c>
      <c r="C965" s="214"/>
      <c r="E965" t="str" cm="1">
        <f t="array" aca="1" ref="E965" ca="1">IF(_xlfn.XLOOKUP(INDIRECT("RC[-1]", 0), CategoryNames, CategoryIdentifiers, "")&lt;&gt;"",INDIRECT("RC[-1]", 0),"")</f>
        <v/>
      </c>
      <c r="G965" t="str" cm="1">
        <f t="array" aca="1" ref="G965" ca="1">IF(COUNTIF($F$2:$F$1000,INDIRECT("RC[-2]",0))&gt;0,"",INDIRECT("RC[-2]",0))</f>
        <v/>
      </c>
    </row>
    <row r="966" spans="2:7" x14ac:dyDescent="0.25">
      <c r="B966" t="str" cm="1">
        <f t="array" aca="1" ref="B966" ca="1">IFERROR(DATE(RIGHT(INDIRECT("RC[-1]",0),4),LEFT(INDIRECT("RC[-1]",0),2),1), "")</f>
        <v/>
      </c>
      <c r="C966" s="214"/>
      <c r="E966" t="str" cm="1">
        <f t="array" aca="1" ref="E966" ca="1">IF(_xlfn.XLOOKUP(INDIRECT("RC[-1]", 0), CategoryNames, CategoryIdentifiers, "")&lt;&gt;"",INDIRECT("RC[-1]", 0),"")</f>
        <v/>
      </c>
      <c r="G966" t="str" cm="1">
        <f t="array" aca="1" ref="G966" ca="1">IF(COUNTIF($F$2:$F$1000,INDIRECT("RC[-2]",0))&gt;0,"",INDIRECT("RC[-2]",0))</f>
        <v/>
      </c>
    </row>
    <row r="967" spans="2:7" x14ac:dyDescent="0.25">
      <c r="B967" t="str" cm="1">
        <f t="array" aca="1" ref="B967" ca="1">IFERROR(DATE(RIGHT(INDIRECT("RC[-1]",0),4),LEFT(INDIRECT("RC[-1]",0),2),1), "")</f>
        <v/>
      </c>
      <c r="C967" s="214"/>
      <c r="E967" t="str" cm="1">
        <f t="array" aca="1" ref="E967" ca="1">IF(_xlfn.XLOOKUP(INDIRECT("RC[-1]", 0), CategoryNames, CategoryIdentifiers, "")&lt;&gt;"",INDIRECT("RC[-1]", 0),"")</f>
        <v/>
      </c>
      <c r="G967" t="str" cm="1">
        <f t="array" aca="1" ref="G967" ca="1">IF(COUNTIF($F$2:$F$1000,INDIRECT("RC[-2]",0))&gt;0,"",INDIRECT("RC[-2]",0))</f>
        <v/>
      </c>
    </row>
    <row r="968" spans="2:7" x14ac:dyDescent="0.25">
      <c r="B968" t="str" cm="1">
        <f t="array" aca="1" ref="B968" ca="1">IFERROR(DATE(RIGHT(INDIRECT("RC[-1]",0),4),LEFT(INDIRECT("RC[-1]",0),2),1), "")</f>
        <v/>
      </c>
      <c r="C968" s="214"/>
      <c r="E968" t="str" cm="1">
        <f t="array" aca="1" ref="E968" ca="1">IF(_xlfn.XLOOKUP(INDIRECT("RC[-1]", 0), CategoryNames, CategoryIdentifiers, "")&lt;&gt;"",INDIRECT("RC[-1]", 0),"")</f>
        <v/>
      </c>
      <c r="G968" t="str" cm="1">
        <f t="array" aca="1" ref="G968" ca="1">IF(COUNTIF($F$2:$F$1000,INDIRECT("RC[-2]",0))&gt;0,"",INDIRECT("RC[-2]",0))</f>
        <v/>
      </c>
    </row>
    <row r="969" spans="2:7" x14ac:dyDescent="0.25">
      <c r="B969" t="str" cm="1">
        <f t="array" aca="1" ref="B969" ca="1">IFERROR(DATE(RIGHT(INDIRECT("RC[-1]",0),4),LEFT(INDIRECT("RC[-1]",0),2),1), "")</f>
        <v/>
      </c>
      <c r="C969" s="214"/>
      <c r="E969" t="str" cm="1">
        <f t="array" aca="1" ref="E969" ca="1">IF(_xlfn.XLOOKUP(INDIRECT("RC[-1]", 0), CategoryNames, CategoryIdentifiers, "")&lt;&gt;"",INDIRECT("RC[-1]", 0),"")</f>
        <v/>
      </c>
      <c r="G969" t="str" cm="1">
        <f t="array" aca="1" ref="G969" ca="1">IF(COUNTIF($F$2:$F$1000,INDIRECT("RC[-2]",0))&gt;0,"",INDIRECT("RC[-2]",0))</f>
        <v/>
      </c>
    </row>
    <row r="970" spans="2:7" x14ac:dyDescent="0.25">
      <c r="B970" t="str" cm="1">
        <f t="array" aca="1" ref="B970" ca="1">IFERROR(DATE(RIGHT(INDIRECT("RC[-1]",0),4),LEFT(INDIRECT("RC[-1]",0),2),1), "")</f>
        <v/>
      </c>
      <c r="C970" s="214"/>
      <c r="E970" t="str" cm="1">
        <f t="array" aca="1" ref="E970" ca="1">IF(_xlfn.XLOOKUP(INDIRECT("RC[-1]", 0), CategoryNames, CategoryIdentifiers, "")&lt;&gt;"",INDIRECT("RC[-1]", 0),"")</f>
        <v/>
      </c>
      <c r="G970" t="str" cm="1">
        <f t="array" aca="1" ref="G970" ca="1">IF(COUNTIF($F$2:$F$1000,INDIRECT("RC[-2]",0))&gt;0,"",INDIRECT("RC[-2]",0))</f>
        <v/>
      </c>
    </row>
    <row r="971" spans="2:7" x14ac:dyDescent="0.25">
      <c r="B971" t="str" cm="1">
        <f t="array" aca="1" ref="B971" ca="1">IFERROR(DATE(RIGHT(INDIRECT("RC[-1]",0),4),LEFT(INDIRECT("RC[-1]",0),2),1), "")</f>
        <v/>
      </c>
      <c r="C971" s="214"/>
      <c r="E971" t="str" cm="1">
        <f t="array" aca="1" ref="E971" ca="1">IF(_xlfn.XLOOKUP(INDIRECT("RC[-1]", 0), CategoryNames, CategoryIdentifiers, "")&lt;&gt;"",INDIRECT("RC[-1]", 0),"")</f>
        <v/>
      </c>
      <c r="G971" t="str" cm="1">
        <f t="array" aca="1" ref="G971" ca="1">IF(COUNTIF($F$2:$F$1000,INDIRECT("RC[-2]",0))&gt;0,"",INDIRECT("RC[-2]",0))</f>
        <v/>
      </c>
    </row>
    <row r="972" spans="2:7" x14ac:dyDescent="0.25">
      <c r="B972" t="str" cm="1">
        <f t="array" aca="1" ref="B972" ca="1">IFERROR(DATE(RIGHT(INDIRECT("RC[-1]",0),4),LEFT(INDIRECT("RC[-1]",0),2),1), "")</f>
        <v/>
      </c>
      <c r="C972" s="214"/>
      <c r="E972" t="str" cm="1">
        <f t="array" aca="1" ref="E972" ca="1">IF(_xlfn.XLOOKUP(INDIRECT("RC[-1]", 0), CategoryNames, CategoryIdentifiers, "")&lt;&gt;"",INDIRECT("RC[-1]", 0),"")</f>
        <v/>
      </c>
      <c r="G972" t="str" cm="1">
        <f t="array" aca="1" ref="G972" ca="1">IF(COUNTIF($F$2:$F$1000,INDIRECT("RC[-2]",0))&gt;0,"",INDIRECT("RC[-2]",0))</f>
        <v/>
      </c>
    </row>
    <row r="973" spans="2:7" x14ac:dyDescent="0.25">
      <c r="B973" t="str" cm="1">
        <f t="array" aca="1" ref="B973" ca="1">IFERROR(DATE(RIGHT(INDIRECT("RC[-1]",0),4),LEFT(INDIRECT("RC[-1]",0),2),1), "")</f>
        <v/>
      </c>
      <c r="C973" s="214"/>
      <c r="E973" t="str" cm="1">
        <f t="array" aca="1" ref="E973" ca="1">IF(_xlfn.XLOOKUP(INDIRECT("RC[-1]", 0), CategoryNames, CategoryIdentifiers, "")&lt;&gt;"",INDIRECT("RC[-1]", 0),"")</f>
        <v/>
      </c>
      <c r="G973" t="str" cm="1">
        <f t="array" aca="1" ref="G973" ca="1">IF(COUNTIF($F$2:$F$1000,INDIRECT("RC[-2]",0))&gt;0,"",INDIRECT("RC[-2]",0))</f>
        <v/>
      </c>
    </row>
    <row r="974" spans="2:7" x14ac:dyDescent="0.25">
      <c r="B974" t="str" cm="1">
        <f t="array" aca="1" ref="B974" ca="1">IFERROR(DATE(RIGHT(INDIRECT("RC[-1]",0),4),LEFT(INDIRECT("RC[-1]",0),2),1), "")</f>
        <v/>
      </c>
      <c r="C974" s="214"/>
      <c r="E974" t="str" cm="1">
        <f t="array" aca="1" ref="E974" ca="1">IF(_xlfn.XLOOKUP(INDIRECT("RC[-1]", 0), CategoryNames, CategoryIdentifiers, "")&lt;&gt;"",INDIRECT("RC[-1]", 0),"")</f>
        <v/>
      </c>
      <c r="G974" t="str" cm="1">
        <f t="array" aca="1" ref="G974" ca="1">IF(COUNTIF($F$2:$F$1000,INDIRECT("RC[-2]",0))&gt;0,"",INDIRECT("RC[-2]",0))</f>
        <v/>
      </c>
    </row>
    <row r="975" spans="2:7" x14ac:dyDescent="0.25">
      <c r="B975" t="str" cm="1">
        <f t="array" aca="1" ref="B975" ca="1">IFERROR(DATE(RIGHT(INDIRECT("RC[-1]",0),4),LEFT(INDIRECT("RC[-1]",0),2),1), "")</f>
        <v/>
      </c>
      <c r="C975" s="214"/>
      <c r="E975" t="str" cm="1">
        <f t="array" aca="1" ref="E975" ca="1">IF(_xlfn.XLOOKUP(INDIRECT("RC[-1]", 0), CategoryNames, CategoryIdentifiers, "")&lt;&gt;"",INDIRECT("RC[-1]", 0),"")</f>
        <v/>
      </c>
      <c r="G975" t="str" cm="1">
        <f t="array" aca="1" ref="G975" ca="1">IF(COUNTIF($F$2:$F$1000,INDIRECT("RC[-2]",0))&gt;0,"",INDIRECT("RC[-2]",0))</f>
        <v/>
      </c>
    </row>
    <row r="976" spans="2:7" x14ac:dyDescent="0.25">
      <c r="B976" t="str" cm="1">
        <f t="array" aca="1" ref="B976" ca="1">IFERROR(DATE(RIGHT(INDIRECT("RC[-1]",0),4),LEFT(INDIRECT("RC[-1]",0),2),1), "")</f>
        <v/>
      </c>
      <c r="C976" s="214"/>
      <c r="E976" t="str" cm="1">
        <f t="array" aca="1" ref="E976" ca="1">IF(_xlfn.XLOOKUP(INDIRECT("RC[-1]", 0), CategoryNames, CategoryIdentifiers, "")&lt;&gt;"",INDIRECT("RC[-1]", 0),"")</f>
        <v/>
      </c>
      <c r="G976" t="str" cm="1">
        <f t="array" aca="1" ref="G976" ca="1">IF(COUNTIF($F$2:$F$1000,INDIRECT("RC[-2]",0))&gt;0,"",INDIRECT("RC[-2]",0))</f>
        <v/>
      </c>
    </row>
    <row r="977" spans="2:7" x14ac:dyDescent="0.25">
      <c r="B977" t="str" cm="1">
        <f t="array" aca="1" ref="B977" ca="1">IFERROR(DATE(RIGHT(INDIRECT("RC[-1]",0),4),LEFT(INDIRECT("RC[-1]",0),2),1), "")</f>
        <v/>
      </c>
      <c r="C977" s="214"/>
      <c r="E977" t="str" cm="1">
        <f t="array" aca="1" ref="E977" ca="1">IF(_xlfn.XLOOKUP(INDIRECT("RC[-1]", 0), CategoryNames, CategoryIdentifiers, "")&lt;&gt;"",INDIRECT("RC[-1]", 0),"")</f>
        <v/>
      </c>
      <c r="G977" t="str" cm="1">
        <f t="array" aca="1" ref="G977" ca="1">IF(COUNTIF($F$2:$F$1000,INDIRECT("RC[-2]",0))&gt;0,"",INDIRECT("RC[-2]",0))</f>
        <v/>
      </c>
    </row>
    <row r="978" spans="2:7" x14ac:dyDescent="0.25">
      <c r="B978" t="str" cm="1">
        <f t="array" aca="1" ref="B978" ca="1">IFERROR(DATE(RIGHT(INDIRECT("RC[-1]",0),4),LEFT(INDIRECT("RC[-1]",0),2),1), "")</f>
        <v/>
      </c>
      <c r="C978" s="214"/>
      <c r="E978" t="str" cm="1">
        <f t="array" aca="1" ref="E978" ca="1">IF(_xlfn.XLOOKUP(INDIRECT("RC[-1]", 0), CategoryNames, CategoryIdentifiers, "")&lt;&gt;"",INDIRECT("RC[-1]", 0),"")</f>
        <v/>
      </c>
      <c r="G978" t="str" cm="1">
        <f t="array" aca="1" ref="G978" ca="1">IF(COUNTIF($F$2:$F$1000,INDIRECT("RC[-2]",0))&gt;0,"",INDIRECT("RC[-2]",0))</f>
        <v/>
      </c>
    </row>
    <row r="979" spans="2:7" x14ac:dyDescent="0.25">
      <c r="B979" t="str" cm="1">
        <f t="array" aca="1" ref="B979" ca="1">IFERROR(DATE(RIGHT(INDIRECT("RC[-1]",0),4),LEFT(INDIRECT("RC[-1]",0),2),1), "")</f>
        <v/>
      </c>
      <c r="C979" s="214"/>
      <c r="E979" t="str" cm="1">
        <f t="array" aca="1" ref="E979" ca="1">IF(_xlfn.XLOOKUP(INDIRECT("RC[-1]", 0), CategoryNames, CategoryIdentifiers, "")&lt;&gt;"",INDIRECT("RC[-1]", 0),"")</f>
        <v/>
      </c>
      <c r="G979" t="str" cm="1">
        <f t="array" aca="1" ref="G979" ca="1">IF(COUNTIF($F$2:$F$1000,INDIRECT("RC[-2]",0))&gt;0,"",INDIRECT("RC[-2]",0))</f>
        <v/>
      </c>
    </row>
    <row r="980" spans="2:7" x14ac:dyDescent="0.25">
      <c r="B980" t="str" cm="1">
        <f t="array" aca="1" ref="B980" ca="1">IFERROR(DATE(RIGHT(INDIRECT("RC[-1]",0),4),LEFT(INDIRECT("RC[-1]",0),2),1), "")</f>
        <v/>
      </c>
      <c r="C980" s="214"/>
      <c r="E980" t="str" cm="1">
        <f t="array" aca="1" ref="E980" ca="1">IF(_xlfn.XLOOKUP(INDIRECT("RC[-1]", 0), CategoryNames, CategoryIdentifiers, "")&lt;&gt;"",INDIRECT("RC[-1]", 0),"")</f>
        <v/>
      </c>
      <c r="G980" t="str" cm="1">
        <f t="array" aca="1" ref="G980" ca="1">IF(COUNTIF($F$2:$F$1000,INDIRECT("RC[-2]",0))&gt;0,"",INDIRECT("RC[-2]",0))</f>
        <v/>
      </c>
    </row>
    <row r="981" spans="2:7" x14ac:dyDescent="0.25">
      <c r="B981" t="str" cm="1">
        <f t="array" aca="1" ref="B981" ca="1">IFERROR(DATE(RIGHT(INDIRECT("RC[-1]",0),4),LEFT(INDIRECT("RC[-1]",0),2),1), "")</f>
        <v/>
      </c>
      <c r="C981" s="214"/>
      <c r="E981" t="str" cm="1">
        <f t="array" aca="1" ref="E981" ca="1">IF(_xlfn.XLOOKUP(INDIRECT("RC[-1]", 0), CategoryNames, CategoryIdentifiers, "")&lt;&gt;"",INDIRECT("RC[-1]", 0),"")</f>
        <v/>
      </c>
      <c r="G981" t="str" cm="1">
        <f t="array" aca="1" ref="G981" ca="1">IF(COUNTIF($F$2:$F$1000,INDIRECT("RC[-2]",0))&gt;0,"",INDIRECT("RC[-2]",0))</f>
        <v/>
      </c>
    </row>
    <row r="982" spans="2:7" x14ac:dyDescent="0.25">
      <c r="B982" t="str" cm="1">
        <f t="array" aca="1" ref="B982" ca="1">IFERROR(DATE(RIGHT(INDIRECT("RC[-1]",0),4),LEFT(INDIRECT("RC[-1]",0),2),1), "")</f>
        <v/>
      </c>
      <c r="C982" s="214"/>
      <c r="E982" t="str" cm="1">
        <f t="array" aca="1" ref="E982" ca="1">IF(_xlfn.XLOOKUP(INDIRECT("RC[-1]", 0), CategoryNames, CategoryIdentifiers, "")&lt;&gt;"",INDIRECT("RC[-1]", 0),"")</f>
        <v/>
      </c>
      <c r="G982" t="str" cm="1">
        <f t="array" aca="1" ref="G982" ca="1">IF(COUNTIF($F$2:$F$1000,INDIRECT("RC[-2]",0))&gt;0,"",INDIRECT("RC[-2]",0))</f>
        <v/>
      </c>
    </row>
    <row r="983" spans="2:7" x14ac:dyDescent="0.25">
      <c r="B983" t="str" cm="1">
        <f t="array" aca="1" ref="B983" ca="1">IFERROR(DATE(RIGHT(INDIRECT("RC[-1]",0),4),LEFT(INDIRECT("RC[-1]",0),2),1), "")</f>
        <v/>
      </c>
      <c r="C983" s="214"/>
      <c r="E983" t="str" cm="1">
        <f t="array" aca="1" ref="E983" ca="1">IF(_xlfn.XLOOKUP(INDIRECT("RC[-1]", 0), CategoryNames, CategoryIdentifiers, "")&lt;&gt;"",INDIRECT("RC[-1]", 0),"")</f>
        <v/>
      </c>
      <c r="G983" t="str" cm="1">
        <f t="array" aca="1" ref="G983" ca="1">IF(COUNTIF($F$2:$F$1000,INDIRECT("RC[-2]",0))&gt;0,"",INDIRECT("RC[-2]",0))</f>
        <v/>
      </c>
    </row>
    <row r="984" spans="2:7" x14ac:dyDescent="0.25">
      <c r="B984" t="str" cm="1">
        <f t="array" aca="1" ref="B984" ca="1">IFERROR(DATE(RIGHT(INDIRECT("RC[-1]",0),4),LEFT(INDIRECT("RC[-1]",0),2),1), "")</f>
        <v/>
      </c>
      <c r="C984" s="214"/>
      <c r="E984" t="str" cm="1">
        <f t="array" aca="1" ref="E984" ca="1">IF(_xlfn.XLOOKUP(INDIRECT("RC[-1]", 0), CategoryNames, CategoryIdentifiers, "")&lt;&gt;"",INDIRECT("RC[-1]", 0),"")</f>
        <v/>
      </c>
      <c r="G984" t="str" cm="1">
        <f t="array" aca="1" ref="G984" ca="1">IF(COUNTIF($F$2:$F$1000,INDIRECT("RC[-2]",0))&gt;0,"",INDIRECT("RC[-2]",0))</f>
        <v/>
      </c>
    </row>
    <row r="985" spans="2:7" x14ac:dyDescent="0.25">
      <c r="B985" t="str" cm="1">
        <f t="array" aca="1" ref="B985" ca="1">IFERROR(DATE(RIGHT(INDIRECT("RC[-1]",0),4),LEFT(INDIRECT("RC[-1]",0),2),1), "")</f>
        <v/>
      </c>
      <c r="C985" s="214"/>
      <c r="E985" t="str" cm="1">
        <f t="array" aca="1" ref="E985" ca="1">IF(_xlfn.XLOOKUP(INDIRECT("RC[-1]", 0), CategoryNames, CategoryIdentifiers, "")&lt;&gt;"",INDIRECT("RC[-1]", 0),"")</f>
        <v/>
      </c>
      <c r="G985" t="str" cm="1">
        <f t="array" aca="1" ref="G985" ca="1">IF(COUNTIF($F$2:$F$1000,INDIRECT("RC[-2]",0))&gt;0,"",INDIRECT("RC[-2]",0))</f>
        <v/>
      </c>
    </row>
    <row r="986" spans="2:7" x14ac:dyDescent="0.25">
      <c r="B986" t="str" cm="1">
        <f t="array" aca="1" ref="B986" ca="1">IFERROR(DATE(RIGHT(INDIRECT("RC[-1]",0),4),LEFT(INDIRECT("RC[-1]",0),2),1), "")</f>
        <v/>
      </c>
      <c r="C986" s="214"/>
      <c r="E986" t="str" cm="1">
        <f t="array" aca="1" ref="E986" ca="1">IF(_xlfn.XLOOKUP(INDIRECT("RC[-1]", 0), CategoryNames, CategoryIdentifiers, "")&lt;&gt;"",INDIRECT("RC[-1]", 0),"")</f>
        <v/>
      </c>
      <c r="G986" t="str" cm="1">
        <f t="array" aca="1" ref="G986" ca="1">IF(COUNTIF($F$2:$F$1000,INDIRECT("RC[-2]",0))&gt;0,"",INDIRECT("RC[-2]",0))</f>
        <v/>
      </c>
    </row>
    <row r="987" spans="2:7" x14ac:dyDescent="0.25">
      <c r="B987" t="str" cm="1">
        <f t="array" aca="1" ref="B987" ca="1">IFERROR(DATE(RIGHT(INDIRECT("RC[-1]",0),4),LEFT(INDIRECT("RC[-1]",0),2),1), "")</f>
        <v/>
      </c>
      <c r="C987" s="214"/>
      <c r="E987" t="str" cm="1">
        <f t="array" aca="1" ref="E987" ca="1">IF(_xlfn.XLOOKUP(INDIRECT("RC[-1]", 0), CategoryNames, CategoryIdentifiers, "")&lt;&gt;"",INDIRECT("RC[-1]", 0),"")</f>
        <v/>
      </c>
      <c r="G987" t="str" cm="1">
        <f t="array" aca="1" ref="G987" ca="1">IF(COUNTIF($F$2:$F$1000,INDIRECT("RC[-2]",0))&gt;0,"",INDIRECT("RC[-2]",0))</f>
        <v/>
      </c>
    </row>
    <row r="988" spans="2:7" x14ac:dyDescent="0.25">
      <c r="B988" t="str" cm="1">
        <f t="array" aca="1" ref="B988" ca="1">IFERROR(DATE(RIGHT(INDIRECT("RC[-1]",0),4),LEFT(INDIRECT("RC[-1]",0),2),1), "")</f>
        <v/>
      </c>
      <c r="C988" s="214"/>
      <c r="E988" t="str" cm="1">
        <f t="array" aca="1" ref="E988" ca="1">IF(_xlfn.XLOOKUP(INDIRECT("RC[-1]", 0), CategoryNames, CategoryIdentifiers, "")&lt;&gt;"",INDIRECT("RC[-1]", 0),"")</f>
        <v/>
      </c>
      <c r="G988" t="str" cm="1">
        <f t="array" aca="1" ref="G988" ca="1">IF(COUNTIF($F$2:$F$1000,INDIRECT("RC[-2]",0))&gt;0,"",INDIRECT("RC[-2]",0))</f>
        <v/>
      </c>
    </row>
    <row r="989" spans="2:7" x14ac:dyDescent="0.25">
      <c r="B989" t="str" cm="1">
        <f t="array" aca="1" ref="B989" ca="1">IFERROR(DATE(RIGHT(INDIRECT("RC[-1]",0),4),LEFT(INDIRECT("RC[-1]",0),2),1), "")</f>
        <v/>
      </c>
      <c r="C989" s="214"/>
      <c r="E989" t="str" cm="1">
        <f t="array" aca="1" ref="E989" ca="1">IF(_xlfn.XLOOKUP(INDIRECT("RC[-1]", 0), CategoryNames, CategoryIdentifiers, "")&lt;&gt;"",INDIRECT("RC[-1]", 0),"")</f>
        <v/>
      </c>
      <c r="G989" t="str" cm="1">
        <f t="array" aca="1" ref="G989" ca="1">IF(COUNTIF($F$2:$F$1000,INDIRECT("RC[-2]",0))&gt;0,"",INDIRECT("RC[-2]",0))</f>
        <v/>
      </c>
    </row>
    <row r="990" spans="2:7" x14ac:dyDescent="0.25">
      <c r="B990" t="str" cm="1">
        <f t="array" aca="1" ref="B990" ca="1">IFERROR(DATE(RIGHT(INDIRECT("RC[-1]",0),4),LEFT(INDIRECT("RC[-1]",0),2),1), "")</f>
        <v/>
      </c>
      <c r="C990" s="214"/>
      <c r="E990" t="str" cm="1">
        <f t="array" aca="1" ref="E990" ca="1">IF(_xlfn.XLOOKUP(INDIRECT("RC[-1]", 0), CategoryNames, CategoryIdentifiers, "")&lt;&gt;"",INDIRECT("RC[-1]", 0),"")</f>
        <v/>
      </c>
      <c r="G990" t="str" cm="1">
        <f t="array" aca="1" ref="G990" ca="1">IF(COUNTIF($F$2:$F$1000,INDIRECT("RC[-2]",0))&gt;0,"",INDIRECT("RC[-2]",0))</f>
        <v/>
      </c>
    </row>
    <row r="991" spans="2:7" x14ac:dyDescent="0.25">
      <c r="B991" t="str" cm="1">
        <f t="array" aca="1" ref="B991" ca="1">IFERROR(DATE(RIGHT(INDIRECT("RC[-1]",0),4),LEFT(INDIRECT("RC[-1]",0),2),1), "")</f>
        <v/>
      </c>
      <c r="C991" s="214"/>
      <c r="E991" t="str" cm="1">
        <f t="array" aca="1" ref="E991" ca="1">IF(_xlfn.XLOOKUP(INDIRECT("RC[-1]", 0), CategoryNames, CategoryIdentifiers, "")&lt;&gt;"",INDIRECT("RC[-1]", 0),"")</f>
        <v/>
      </c>
      <c r="G991" t="str" cm="1">
        <f t="array" aca="1" ref="G991" ca="1">IF(COUNTIF($F$2:$F$1000,INDIRECT("RC[-2]",0))&gt;0,"",INDIRECT("RC[-2]",0))</f>
        <v/>
      </c>
    </row>
    <row r="992" spans="2:7" x14ac:dyDescent="0.25">
      <c r="B992" t="str" cm="1">
        <f t="array" aca="1" ref="B992" ca="1">IFERROR(DATE(RIGHT(INDIRECT("RC[-1]",0),4),LEFT(INDIRECT("RC[-1]",0),2),1), "")</f>
        <v/>
      </c>
      <c r="C992" s="214"/>
      <c r="E992" t="str" cm="1">
        <f t="array" aca="1" ref="E992" ca="1">IF(_xlfn.XLOOKUP(INDIRECT("RC[-1]", 0), CategoryNames, CategoryIdentifiers, "")&lt;&gt;"",INDIRECT("RC[-1]", 0),"")</f>
        <v/>
      </c>
      <c r="G992" t="str" cm="1">
        <f t="array" aca="1" ref="G992" ca="1">IF(COUNTIF($F$2:$F$1000,INDIRECT("RC[-2]",0))&gt;0,"",INDIRECT("RC[-2]",0))</f>
        <v/>
      </c>
    </row>
    <row r="993" spans="2:7" x14ac:dyDescent="0.25">
      <c r="B993" t="str" cm="1">
        <f t="array" aca="1" ref="B993" ca="1">IFERROR(DATE(RIGHT(INDIRECT("RC[-1]",0),4),LEFT(INDIRECT("RC[-1]",0),2),1), "")</f>
        <v/>
      </c>
      <c r="C993" s="214"/>
      <c r="E993" t="str" cm="1">
        <f t="array" aca="1" ref="E993" ca="1">IF(_xlfn.XLOOKUP(INDIRECT("RC[-1]", 0), CategoryNames, CategoryIdentifiers, "")&lt;&gt;"",INDIRECT("RC[-1]", 0),"")</f>
        <v/>
      </c>
      <c r="G993" t="str" cm="1">
        <f t="array" aca="1" ref="G993" ca="1">IF(COUNTIF($F$2:$F$1000,INDIRECT("RC[-2]",0))&gt;0,"",INDIRECT("RC[-2]",0))</f>
        <v/>
      </c>
    </row>
    <row r="994" spans="2:7" x14ac:dyDescent="0.25">
      <c r="B994" t="str" cm="1">
        <f t="array" aca="1" ref="B994" ca="1">IFERROR(DATE(RIGHT(INDIRECT("RC[-1]",0),4),LEFT(INDIRECT("RC[-1]",0),2),1), "")</f>
        <v/>
      </c>
      <c r="C994" s="214"/>
      <c r="E994" t="str" cm="1">
        <f t="array" aca="1" ref="E994" ca="1">IF(_xlfn.XLOOKUP(INDIRECT("RC[-1]", 0), CategoryNames, CategoryIdentifiers, "")&lt;&gt;"",INDIRECT("RC[-1]", 0),"")</f>
        <v/>
      </c>
      <c r="G994" t="str" cm="1">
        <f t="array" aca="1" ref="G994" ca="1">IF(COUNTIF($F$2:$F$1000,INDIRECT("RC[-2]",0))&gt;0,"",INDIRECT("RC[-2]",0))</f>
        <v/>
      </c>
    </row>
    <row r="995" spans="2:7" x14ac:dyDescent="0.25">
      <c r="B995" t="str" cm="1">
        <f t="array" aca="1" ref="B995" ca="1">IFERROR(DATE(RIGHT(INDIRECT("RC[-1]",0),4),LEFT(INDIRECT("RC[-1]",0),2),1), "")</f>
        <v/>
      </c>
      <c r="C995" s="214"/>
      <c r="E995" t="str" cm="1">
        <f t="array" aca="1" ref="E995" ca="1">IF(_xlfn.XLOOKUP(INDIRECT("RC[-1]", 0), CategoryNames, CategoryIdentifiers, "")&lt;&gt;"",INDIRECT("RC[-1]", 0),"")</f>
        <v/>
      </c>
      <c r="G995" t="str" cm="1">
        <f t="array" aca="1" ref="G995" ca="1">IF(COUNTIF($F$2:$F$1000,INDIRECT("RC[-2]",0))&gt;0,"",INDIRECT("RC[-2]",0))</f>
        <v/>
      </c>
    </row>
    <row r="996" spans="2:7" x14ac:dyDescent="0.25">
      <c r="B996" t="str" cm="1">
        <f t="array" aca="1" ref="B996" ca="1">IFERROR(DATE(RIGHT(INDIRECT("RC[-1]",0),4),LEFT(INDIRECT("RC[-1]",0),2),1), "")</f>
        <v/>
      </c>
      <c r="C996" s="214"/>
      <c r="E996" t="str" cm="1">
        <f t="array" aca="1" ref="E996" ca="1">IF(_xlfn.XLOOKUP(INDIRECT("RC[-1]", 0), CategoryNames, CategoryIdentifiers, "")&lt;&gt;"",INDIRECT("RC[-1]", 0),"")</f>
        <v/>
      </c>
      <c r="G996" t="str" cm="1">
        <f t="array" aca="1" ref="G996" ca="1">IF(COUNTIF($F$2:$F$1000,INDIRECT("RC[-2]",0))&gt;0,"",INDIRECT("RC[-2]",0))</f>
        <v/>
      </c>
    </row>
    <row r="997" spans="2:7" x14ac:dyDescent="0.25">
      <c r="B997" t="str" cm="1">
        <f t="array" aca="1" ref="B997" ca="1">IFERROR(DATE(RIGHT(INDIRECT("RC[-1]",0),4),LEFT(INDIRECT("RC[-1]",0),2),1), "")</f>
        <v/>
      </c>
      <c r="C997" s="214"/>
      <c r="E997" t="str" cm="1">
        <f t="array" aca="1" ref="E997" ca="1">IF(_xlfn.XLOOKUP(INDIRECT("RC[-1]", 0), CategoryNames, CategoryIdentifiers, "")&lt;&gt;"",INDIRECT("RC[-1]", 0),"")</f>
        <v/>
      </c>
      <c r="G997" t="str" cm="1">
        <f t="array" aca="1" ref="G997" ca="1">IF(COUNTIF($F$2:$F$1000,INDIRECT("RC[-2]",0))&gt;0,"",INDIRECT("RC[-2]",0))</f>
        <v/>
      </c>
    </row>
    <row r="998" spans="2:7" x14ac:dyDescent="0.25">
      <c r="B998" t="str" cm="1">
        <f t="array" aca="1" ref="B998" ca="1">IFERROR(DATE(RIGHT(INDIRECT("RC[-1]",0),4),LEFT(INDIRECT("RC[-1]",0),2),1), "")</f>
        <v/>
      </c>
      <c r="C998" s="214"/>
      <c r="E998" t="str" cm="1">
        <f t="array" aca="1" ref="E998" ca="1">IF(_xlfn.XLOOKUP(INDIRECT("RC[-1]", 0), CategoryNames, CategoryIdentifiers, "")&lt;&gt;"",INDIRECT("RC[-1]", 0),"")</f>
        <v/>
      </c>
      <c r="G998" t="str" cm="1">
        <f t="array" aca="1" ref="G998" ca="1">IF(COUNTIF($F$2:$F$1000,INDIRECT("RC[-2]",0))&gt;0,"",INDIRECT("RC[-2]",0))</f>
        <v/>
      </c>
    </row>
    <row r="999" spans="2:7" x14ac:dyDescent="0.25">
      <c r="B999" t="str" cm="1">
        <f t="array" aca="1" ref="B999" ca="1">IFERROR(DATE(RIGHT(INDIRECT("RC[-1]",0),4),LEFT(INDIRECT("RC[-1]",0),2),1), "")</f>
        <v/>
      </c>
      <c r="C999" s="214"/>
      <c r="E999" t="str" cm="1">
        <f t="array" aca="1" ref="E999" ca="1">IF(_xlfn.XLOOKUP(INDIRECT("RC[-1]", 0), CategoryNames, CategoryIdentifiers, "")&lt;&gt;"",INDIRECT("RC[-1]", 0),"")</f>
        <v/>
      </c>
      <c r="G999" t="str" cm="1">
        <f t="array" aca="1" ref="G999" ca="1">IF(COUNTIF($F$2:$F$1000,INDIRECT("RC[-2]",0))&gt;0,"",INDIRECT("RC[-2]",0))</f>
        <v/>
      </c>
    </row>
    <row r="1000" spans="2:7" x14ac:dyDescent="0.25">
      <c r="B1000" t="str" cm="1">
        <f t="array" aca="1" ref="B1000" ca="1">IFERROR(DATE(RIGHT(INDIRECT("RC[-1]",0),4),LEFT(INDIRECT("RC[-1]",0),2),1), "")</f>
        <v/>
      </c>
      <c r="C1000" s="214"/>
      <c r="E1000" t="str" cm="1">
        <f t="array" aca="1" ref="E1000" ca="1">IF(_xlfn.XLOOKUP(INDIRECT("RC[-1]", 0), CategoryNames, CategoryIdentifiers, "")&lt;&gt;"",INDIRECT("RC[-1]", 0),"")</f>
        <v/>
      </c>
      <c r="G1000" t="str" cm="1">
        <f t="array" aca="1" ref="G1000" ca="1">IF(COUNTIF($F$2:$F$1000,INDIRECT("RC[-2]",0))&gt;0,"",INDIRECT("RC[-2]",0))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B6104-C8F5-482D-AFB5-7BD8AFBD7E79}">
  <dimension ref="B1:L31"/>
  <sheetViews>
    <sheetView showGridLines="0" workbookViewId="0">
      <selection activeCell="J17" sqref="J17"/>
    </sheetView>
  </sheetViews>
  <sheetFormatPr defaultRowHeight="15" x14ac:dyDescent="0.25"/>
  <cols>
    <col min="1" max="1" width="1.85546875" customWidth="1"/>
    <col min="2" max="2" width="1" customWidth="1"/>
    <col min="3" max="3" width="19" customWidth="1"/>
    <col min="5" max="5" width="15.28515625" customWidth="1"/>
    <col min="6" max="6" width="1" customWidth="1"/>
    <col min="7" max="7" width="3.85546875" customWidth="1"/>
    <col min="8" max="8" width="11" hidden="1" customWidth="1"/>
    <col min="9" max="9" width="38.140625" customWidth="1"/>
    <col min="10" max="11" width="19" customWidth="1"/>
    <col min="12" max="12" width="12.42578125" customWidth="1"/>
  </cols>
  <sheetData>
    <row r="1" spans="2:12" s="174" customFormat="1" ht="5.0999999999999996" customHeight="1" x14ac:dyDescent="0.25"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2:12" ht="40.5" customHeight="1" x14ac:dyDescent="0.25">
      <c r="B2" s="270" t="s">
        <v>1288</v>
      </c>
      <c r="C2" s="270"/>
      <c r="D2" s="270"/>
      <c r="E2" s="270"/>
      <c r="F2" s="270"/>
      <c r="G2" s="270"/>
      <c r="H2" s="270"/>
      <c r="I2" s="270"/>
      <c r="J2" s="270"/>
      <c r="K2" s="270"/>
      <c r="L2" s="161"/>
    </row>
    <row r="3" spans="2:12" ht="40.5" customHeight="1" x14ac:dyDescent="0.25">
      <c r="B3" s="287" t="s">
        <v>1289</v>
      </c>
      <c r="C3" s="287"/>
      <c r="D3" s="287"/>
      <c r="E3" s="287"/>
      <c r="F3" s="287"/>
      <c r="G3" s="287"/>
      <c r="H3" s="287"/>
      <c r="I3" s="287"/>
      <c r="J3" s="287"/>
      <c r="K3" s="287"/>
      <c r="L3" s="287"/>
    </row>
    <row r="4" spans="2:12" ht="0.95" customHeight="1" x14ac:dyDescent="0.25">
      <c r="B4" s="278"/>
      <c r="C4" s="278"/>
      <c r="D4" s="278"/>
      <c r="E4" s="278"/>
      <c r="F4" s="278"/>
      <c r="G4" s="278"/>
      <c r="H4" s="278"/>
      <c r="I4" s="278"/>
      <c r="J4" s="278"/>
      <c r="K4" s="278"/>
      <c r="L4" s="278"/>
    </row>
    <row r="5" spans="2:12" ht="15.75" thickBot="1" x14ac:dyDescent="0.3"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61"/>
    </row>
    <row r="6" spans="2:12" ht="5.0999999999999996" customHeight="1" x14ac:dyDescent="0.25">
      <c r="B6" s="200"/>
      <c r="C6" s="176"/>
      <c r="D6" s="176"/>
      <c r="E6" s="176"/>
      <c r="F6" s="177"/>
      <c r="G6" s="161"/>
      <c r="H6" s="161"/>
      <c r="I6" s="161"/>
      <c r="J6" s="161"/>
      <c r="K6" s="161"/>
      <c r="L6" s="161"/>
    </row>
    <row r="7" spans="2:12" ht="31.5" x14ac:dyDescent="0.25">
      <c r="B7" s="201"/>
      <c r="C7" s="202" t="s">
        <v>1297</v>
      </c>
      <c r="D7" s="288">
        <f>E19+E23</f>
        <v>7619.86</v>
      </c>
      <c r="E7" s="288"/>
      <c r="F7" s="181"/>
      <c r="G7" s="161"/>
      <c r="H7" s="161"/>
      <c r="I7" s="250" t="s">
        <v>1290</v>
      </c>
      <c r="J7" s="161"/>
      <c r="K7" s="161"/>
      <c r="L7" s="161"/>
    </row>
    <row r="8" spans="2:12" ht="20.100000000000001" customHeight="1" x14ac:dyDescent="0.25">
      <c r="B8" s="201"/>
      <c r="C8" s="203"/>
      <c r="D8" s="203"/>
      <c r="E8" s="203"/>
      <c r="F8" s="181"/>
      <c r="G8" s="161"/>
      <c r="H8" s="161" t="s">
        <v>71</v>
      </c>
      <c r="I8" s="161" t="s">
        <v>33</v>
      </c>
      <c r="J8" s="161" t="s">
        <v>1286</v>
      </c>
      <c r="K8" s="161" t="s">
        <v>1287</v>
      </c>
      <c r="L8" s="183" t="s">
        <v>32</v>
      </c>
    </row>
    <row r="9" spans="2:12" x14ac:dyDescent="0.25">
      <c r="B9" s="201"/>
      <c r="C9" s="203"/>
      <c r="D9" s="203"/>
      <c r="E9" s="203"/>
      <c r="F9" s="181"/>
      <c r="G9" s="161"/>
      <c r="H9" s="161" t="s">
        <v>110</v>
      </c>
      <c r="I9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Discover it chrome Card (7328)</v>
      </c>
      <c r="J9" s="248" t="str">
        <f>IF(ISBLANK(AccountsTable[[#This Row],[Account Category]]),"",IF(OR(AccountsTable[[#This Row],[Account Category]]="investments",AccountsTable[[#This Row],[Account Category]]="cash"),"Asset","Liability"))</f>
        <v>Liability</v>
      </c>
      <c r="K9" s="161" t="s">
        <v>1301</v>
      </c>
      <c r="L9" s="183">
        <v>20</v>
      </c>
    </row>
    <row r="10" spans="2:12" x14ac:dyDescent="0.25">
      <c r="B10" s="201"/>
      <c r="C10" s="203"/>
      <c r="D10" s="203"/>
      <c r="E10" s="203"/>
      <c r="F10" s="181"/>
      <c r="G10" s="161"/>
      <c r="H10" s="161" t="s">
        <v>2400</v>
      </c>
      <c r="I10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Sean Lewis (5568)</v>
      </c>
      <c r="J10" s="248" t="str">
        <f>IF(ISBLANK(AccountsTable[[#This Row],[Account Category]]),"",IF(OR(AccountsTable[[#This Row],[Account Category]]="investments",AccountsTable[[#This Row],[Account Category]]="cash"),"Asset","Liability"))</f>
        <v>Asset</v>
      </c>
      <c r="K10" s="161" t="s">
        <v>1300</v>
      </c>
      <c r="L10" s="183">
        <v>3859.65</v>
      </c>
    </row>
    <row r="11" spans="2:12" x14ac:dyDescent="0.25">
      <c r="B11" s="201"/>
      <c r="C11" s="204" t="s">
        <v>1291</v>
      </c>
      <c r="D11" s="204">
        <f>E19</f>
        <v>7639.86</v>
      </c>
      <c r="E11" s="204"/>
      <c r="F11" s="181"/>
      <c r="G11" s="161"/>
      <c r="H11" s="161" t="s">
        <v>1211</v>
      </c>
      <c r="I11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Brokerage Account - 4480 (4480)</v>
      </c>
      <c r="J11" s="248" t="str">
        <f>IF(ISBLANK(AccountsTable[[#This Row],[Account Category]]),"",IF(OR(AccountsTable[[#This Row],[Account Category]]="investments",AccountsTable[[#This Row],[Account Category]]="cash"),"Asset","Liability"))</f>
        <v>Asset</v>
      </c>
      <c r="K11" s="161" t="s">
        <v>1300</v>
      </c>
      <c r="L11" s="183">
        <v>1791.5</v>
      </c>
    </row>
    <row r="12" spans="2:12" x14ac:dyDescent="0.25">
      <c r="B12" s="201"/>
      <c r="C12" s="204" t="s">
        <v>1294</v>
      </c>
      <c r="D12" s="204"/>
      <c r="E12" s="204">
        <f>E23</f>
        <v>-20</v>
      </c>
      <c r="F12" s="181"/>
      <c r="G12" s="161"/>
      <c r="H12" s="161" t="s">
        <v>2365</v>
      </c>
      <c r="I12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Brokerage Account - 4951 (4951)</v>
      </c>
      <c r="J12" s="248" t="str">
        <f>IF(ISBLANK(AccountsTable[[#This Row],[Account Category]]),"",IF(OR(AccountsTable[[#This Row],[Account Category]]="investments",AccountsTable[[#This Row],[Account Category]]="cash"),"Asset","Liability"))</f>
        <v>Asset</v>
      </c>
      <c r="K12" s="161" t="s">
        <v>1300</v>
      </c>
      <c r="L12" s="183">
        <v>100</v>
      </c>
    </row>
    <row r="13" spans="2:12" x14ac:dyDescent="0.25">
      <c r="B13" s="201"/>
      <c r="C13" s="204" t="s">
        <v>1298</v>
      </c>
      <c r="D13" s="204">
        <f>IF(SUM(D11,E12)&gt;=0,SUM(D11,E12),NA())</f>
        <v>7619.86</v>
      </c>
      <c r="E13" s="204" t="e">
        <f>IF(SUM(D11,E12)&lt;0,SUM(D11,E12),NA())</f>
        <v>#N/A</v>
      </c>
      <c r="F13" s="181"/>
      <c r="G13" s="161"/>
      <c r="H13" s="161" t="s">
        <v>1208</v>
      </c>
      <c r="I13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Checking - 4480 (4480)</v>
      </c>
      <c r="J13" s="248" t="str">
        <f>IF(ISBLANK(AccountsTable[[#This Row],[Account Category]]),"",IF(OR(AccountsTable[[#This Row],[Account Category]]="investments",AccountsTable[[#This Row],[Account Category]]="cash"),"Asset","Liability"))</f>
        <v>Asset</v>
      </c>
      <c r="K13" s="161" t="s">
        <v>1299</v>
      </c>
      <c r="L13" s="183">
        <v>1351.28</v>
      </c>
    </row>
    <row r="14" spans="2:12" x14ac:dyDescent="0.25">
      <c r="B14" s="201"/>
      <c r="C14" s="203"/>
      <c r="D14" s="203"/>
      <c r="E14" s="203"/>
      <c r="F14" s="181"/>
      <c r="G14" s="161"/>
      <c r="H14" s="161" t="s">
        <v>1229</v>
      </c>
      <c r="I14" s="248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>EVERYDAY CHECKING (4636)</v>
      </c>
      <c r="J14" s="248" t="str">
        <f>IF(ISBLANK(AccountsTable[[#This Row],[Account Category]]),"",IF(OR(AccountsTable[[#This Row],[Account Category]]="investments",AccountsTable[[#This Row],[Account Category]]="cash"),"Asset","Liability"))</f>
        <v>Asset</v>
      </c>
      <c r="K14" s="161" t="s">
        <v>1299</v>
      </c>
      <c r="L14" s="183">
        <v>537.42999999999995</v>
      </c>
    </row>
    <row r="15" spans="2:12" x14ac:dyDescent="0.25">
      <c r="B15" s="201"/>
      <c r="C15" s="203"/>
      <c r="D15" s="203"/>
      <c r="E15" s="203"/>
      <c r="F15" s="181"/>
      <c r="G15" s="161"/>
      <c r="H15" s="161"/>
      <c r="I15" s="161" t="str">
        <f>IF(NOT(ISBLANK(AccountsTable[[#This Row],[Id]])),CONCATENATE(_xlfn.XLOOKUP(AccountsTable[[#This Row],[Id]], Accounts[ID], Accounts[Account nickname], "Unknown"), " (", _xlfn.XLOOKUP(AccountsTable[[#This Row],[Id]], Accounts[ID], Accounts[Account'#], "000"), ")"), "")</f>
        <v/>
      </c>
      <c r="J15" s="161" t="str">
        <f>IF(ISBLANK(AccountsTable[[#This Row],[Account Category]]),"",IF(OR(AccountsTable[[#This Row],[Account Category]]="investments",AccountsTable[[#This Row],[Account Category]]="cash"),"Asset","Liability"))</f>
        <v/>
      </c>
      <c r="K15" s="161"/>
      <c r="L15" s="183"/>
    </row>
    <row r="16" spans="2:12" x14ac:dyDescent="0.25">
      <c r="B16" s="201"/>
      <c r="C16" s="203"/>
      <c r="D16" s="203"/>
      <c r="E16" s="203"/>
      <c r="F16" s="181"/>
      <c r="G16" s="161"/>
      <c r="H16" s="161"/>
      <c r="I16" s="161"/>
      <c r="J16" s="161"/>
      <c r="K16" s="161"/>
      <c r="L16" s="161"/>
    </row>
    <row r="17" spans="2:12" x14ac:dyDescent="0.25">
      <c r="B17" s="201"/>
      <c r="C17" s="203"/>
      <c r="D17" s="203"/>
      <c r="E17" s="203"/>
      <c r="F17" s="181"/>
      <c r="G17" s="161"/>
      <c r="H17" s="161"/>
      <c r="I17" s="161"/>
      <c r="J17" s="161"/>
      <c r="K17" s="161"/>
      <c r="L17" s="161"/>
    </row>
    <row r="18" spans="2:12" x14ac:dyDescent="0.25">
      <c r="B18" s="201"/>
      <c r="C18" s="203"/>
      <c r="D18" s="203"/>
      <c r="E18" s="203"/>
      <c r="F18" s="181"/>
      <c r="G18" s="161"/>
      <c r="H18" s="161"/>
      <c r="I18" s="161"/>
      <c r="J18" s="161"/>
      <c r="K18" s="161"/>
      <c r="L18" s="161"/>
    </row>
    <row r="19" spans="2:12" x14ac:dyDescent="0.25">
      <c r="B19" s="201"/>
      <c r="C19" s="205" t="s">
        <v>1291</v>
      </c>
      <c r="D19" s="205"/>
      <c r="E19" s="206">
        <f>SUM(E20:E21)</f>
        <v>7639.86</v>
      </c>
      <c r="F19" s="181"/>
      <c r="G19" s="161"/>
      <c r="H19" s="161"/>
      <c r="I19" s="161"/>
      <c r="J19" s="161"/>
      <c r="K19" s="161"/>
      <c r="L19" s="161"/>
    </row>
    <row r="20" spans="2:12" x14ac:dyDescent="0.25">
      <c r="B20" s="201"/>
      <c r="C20" s="207" t="s">
        <v>1292</v>
      </c>
      <c r="D20" s="207"/>
      <c r="E20" s="208">
        <f>SUMIF(AccountsTable[Account Category],"cash",AccountsTable[Amount $])</f>
        <v>1888.71</v>
      </c>
      <c r="F20" s="181"/>
      <c r="G20" s="161"/>
      <c r="H20" s="161"/>
      <c r="I20" s="161"/>
      <c r="J20" s="161"/>
      <c r="K20" s="161"/>
      <c r="L20" s="161"/>
    </row>
    <row r="21" spans="2:12" x14ac:dyDescent="0.25">
      <c r="B21" s="201"/>
      <c r="C21" s="207" t="s">
        <v>1293</v>
      </c>
      <c r="D21" s="207"/>
      <c r="E21" s="208">
        <f>SUMIF(AccountsTable[Account Category],"Investments",AccountsTable[Amount $])</f>
        <v>5751.15</v>
      </c>
      <c r="F21" s="181"/>
      <c r="G21" s="161"/>
      <c r="H21" s="161"/>
      <c r="I21" s="161"/>
      <c r="J21" s="161"/>
      <c r="K21" s="161"/>
      <c r="L21" s="161"/>
    </row>
    <row r="22" spans="2:12" x14ac:dyDescent="0.25">
      <c r="B22" s="201"/>
      <c r="C22" s="203"/>
      <c r="D22" s="203"/>
      <c r="E22" s="203"/>
      <c r="F22" s="181"/>
      <c r="G22" s="161"/>
      <c r="H22" s="161"/>
      <c r="I22" s="161"/>
      <c r="J22" s="161"/>
      <c r="K22" s="161"/>
      <c r="L22" s="161"/>
    </row>
    <row r="23" spans="2:12" x14ac:dyDescent="0.25">
      <c r="B23" s="201"/>
      <c r="C23" s="209" t="s">
        <v>1294</v>
      </c>
      <c r="D23" s="209"/>
      <c r="E23" s="210">
        <f>SUM(E24:E25)</f>
        <v>-20</v>
      </c>
      <c r="F23" s="181"/>
      <c r="G23" s="161"/>
      <c r="H23" s="161"/>
      <c r="I23" s="161"/>
      <c r="J23" s="161"/>
      <c r="K23" s="161"/>
      <c r="L23" s="161"/>
    </row>
    <row r="24" spans="2:12" x14ac:dyDescent="0.25">
      <c r="B24" s="201"/>
      <c r="C24" s="207" t="s">
        <v>1295</v>
      </c>
      <c r="D24" s="207"/>
      <c r="E24" s="208">
        <f>SUMIF(AccountsTable[Account Category],"Credit Card",AccountsTable[Amount $])*-1</f>
        <v>-20</v>
      </c>
      <c r="F24" s="181"/>
      <c r="G24" s="161"/>
      <c r="H24" s="161"/>
      <c r="I24" s="161"/>
      <c r="J24" s="161"/>
      <c r="K24" s="161"/>
      <c r="L24" s="161"/>
    </row>
    <row r="25" spans="2:12" ht="15.75" thickBot="1" x14ac:dyDescent="0.3">
      <c r="B25" s="187"/>
      <c r="C25" s="211" t="s">
        <v>1296</v>
      </c>
      <c r="D25" s="211"/>
      <c r="E25" s="212">
        <f>SUMIF(AccountsTable[Account Category],"Other Debt",AccountsTable[Amount $])*-1</f>
        <v>0</v>
      </c>
      <c r="F25" s="189"/>
      <c r="G25" s="161"/>
      <c r="H25" s="161"/>
      <c r="I25" s="161"/>
      <c r="J25" s="161"/>
      <c r="K25" s="161"/>
      <c r="L25" s="161"/>
    </row>
    <row r="26" spans="2:12" x14ac:dyDescent="0.25">
      <c r="H26" s="161"/>
      <c r="I26" s="161"/>
      <c r="J26" s="161"/>
      <c r="K26" s="161"/>
      <c r="L26" s="161"/>
    </row>
    <row r="27" spans="2:12" x14ac:dyDescent="0.25">
      <c r="H27" s="161"/>
      <c r="I27" s="161"/>
      <c r="J27" s="161"/>
      <c r="K27" s="161"/>
      <c r="L27" s="161"/>
    </row>
    <row r="28" spans="2:12" x14ac:dyDescent="0.25">
      <c r="H28" s="161"/>
      <c r="I28" s="161"/>
      <c r="J28" s="161"/>
      <c r="K28" s="161"/>
      <c r="L28" s="161"/>
    </row>
    <row r="29" spans="2:12" x14ac:dyDescent="0.25">
      <c r="H29" s="161"/>
      <c r="I29" s="161"/>
      <c r="J29" s="161"/>
      <c r="K29" s="161"/>
      <c r="L29" s="161"/>
    </row>
    <row r="30" spans="2:12" x14ac:dyDescent="0.25">
      <c r="H30" s="161"/>
      <c r="I30" s="161"/>
      <c r="J30" s="161"/>
      <c r="K30" s="161"/>
      <c r="L30" s="161"/>
    </row>
    <row r="31" spans="2:12" x14ac:dyDescent="0.25">
      <c r="H31" s="161"/>
      <c r="I31" s="161"/>
      <c r="J31" s="161"/>
      <c r="K31" s="161"/>
      <c r="L31" s="161"/>
    </row>
  </sheetData>
  <mergeCells count="4">
    <mergeCell ref="B2:K2"/>
    <mergeCell ref="B3:L3"/>
    <mergeCell ref="B4:L4"/>
    <mergeCell ref="D7:E7"/>
  </mergeCells>
  <conditionalFormatting sqref="I9:I15">
    <cfRule type="expression" dxfId="6" priority="1">
      <formula>ISBLANK(INDIRECT("RC[-1]", FALSE))</formula>
    </cfRule>
  </conditionalFormatting>
  <conditionalFormatting sqref="J9:J15">
    <cfRule type="expression" dxfId="5" priority="2">
      <formula>INDIRECT("RC",0)="Asset"</formula>
    </cfRule>
  </conditionalFormatting>
  <conditionalFormatting sqref="J9:J15">
    <cfRule type="expression" dxfId="4" priority="3">
      <formula>INDIRECT("RC",0)="Liability"</formula>
    </cfRule>
  </conditionalFormatting>
  <conditionalFormatting sqref="K9:K15">
    <cfRule type="expression" dxfId="3" priority="4">
      <formula>ISBLANK(INDIRECT("RC[-3]", FALSE))</formula>
    </cfRule>
  </conditionalFormatting>
  <conditionalFormatting sqref="L9:L15">
    <cfRule type="expression" dxfId="2" priority="5">
      <formula>ISBLANK(INDIRECT("RC[-4]", FALSE))</formula>
    </cfRule>
  </conditionalFormatting>
  <conditionalFormatting sqref="D7:E7">
    <cfRule type="expression" dxfId="1" priority="6">
      <formula>INDIRECT("RC",0)&gt;0</formula>
    </cfRule>
  </conditionalFormatting>
  <conditionalFormatting sqref="D7:E7">
    <cfRule type="expression" dxfId="0" priority="7">
      <formula>INDIRECT("RC",0)&lt;0</formula>
    </cfRule>
  </conditionalFormatting>
  <dataValidations count="2">
    <dataValidation type="list" allowBlank="1" showInputMessage="1" showErrorMessage="1" promptTitle="Type of the account" prompt="Cash, Investments, Other Debt, Credit Card" sqref="K9:K15" xr:uid="{169B1DA0-E288-4732-A726-D93C707BBC48}">
      <formula1>"Cash, Investments, Other Debt, Credit Card"</formula1>
    </dataValidation>
    <dataValidation allowBlank="1" showInputMessage="1" showErrorMessage="1" prompt="Get the latest on your net worth, assets, liabilities, and every account balance. Track accounts manually by entering them into the table below." sqref="A1" xr:uid="{18F0D09A-EE47-49BE-A848-5E5D7F7E4A2B}"/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TM77948210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46</vt:i4>
      </vt:variant>
    </vt:vector>
  </HeadingPairs>
  <TitlesOfParts>
    <vt:vector size="57" baseType="lpstr">
      <vt:lpstr>Snapshot</vt:lpstr>
      <vt:lpstr>Merchants</vt:lpstr>
      <vt:lpstr>Archived Categories Sheet</vt:lpstr>
      <vt:lpstr>Categories</vt:lpstr>
      <vt:lpstr>HiddenCategories</vt:lpstr>
      <vt:lpstr>Institutions</vt:lpstr>
      <vt:lpstr>Transactions</vt:lpstr>
      <vt:lpstr>RecurringExpenses</vt:lpstr>
      <vt:lpstr>Budget</vt:lpstr>
      <vt:lpstr>BudgetsHidden</vt:lpstr>
      <vt:lpstr>NetWorth</vt:lpstr>
      <vt:lpstr>BudgetsAvailableDateValues</vt:lpstr>
      <vt:lpstr>BudgetsHidden!BudgetsCurrentDate</vt:lpstr>
      <vt:lpstr>Budget!BudgetsDate</vt:lpstr>
      <vt:lpstr>BudgetsHidden!BudgetsDates</vt:lpstr>
      <vt:lpstr>Budget!BudgetsFavoriteCategory1</vt:lpstr>
      <vt:lpstr>Budget!BudgetsFavoriteCategory1BudgetPercentage</vt:lpstr>
      <vt:lpstr>Budget!BudgetsFavoriteCategory1Percentages</vt:lpstr>
      <vt:lpstr>Budget!BudgetsFavoriteCategory1RemainingPercentage</vt:lpstr>
      <vt:lpstr>Budget!BudgetsFavoriteCategory1SpentPercentage</vt:lpstr>
      <vt:lpstr>Budget!BudgetsFavoriteCategory2</vt:lpstr>
      <vt:lpstr>Budget!BudgetsFavoriteCategory2BudgetPercentage</vt:lpstr>
      <vt:lpstr>Budget!BudgetsFavoriteCategory2Percentages</vt:lpstr>
      <vt:lpstr>Budget!BudgetsFavoriteCategory2RemainingPercentage</vt:lpstr>
      <vt:lpstr>Budget!BudgetsFavoriteCategory2SpentPercentage</vt:lpstr>
      <vt:lpstr>Budget!BudgetsSpendingOverTime</vt:lpstr>
      <vt:lpstr>BudgetsHidden!BudgetsTextDates</vt:lpstr>
      <vt:lpstr>Budget!BudgetsTitle</vt:lpstr>
      <vt:lpstr>Budget!BudgetsTotalBudget</vt:lpstr>
      <vt:lpstr>Budget!BudgetsTotalBudgetPercentage</vt:lpstr>
      <vt:lpstr>Budget!BudgetsTotalExpenses</vt:lpstr>
      <vt:lpstr>Budget!BudgetsTotalIncome</vt:lpstr>
      <vt:lpstr>Budget!BudgetsTotalPercentages</vt:lpstr>
      <vt:lpstr>Budget!BudgetsTotalRemaining</vt:lpstr>
      <vt:lpstr>Budget!BudgetsTotalRemainingPercentage</vt:lpstr>
      <vt:lpstr>Budget!BudgetsTotalSpent</vt:lpstr>
      <vt:lpstr>Budget!BudgetsTotalSpentPercentage</vt:lpstr>
      <vt:lpstr>BudgetsHidden!BudgetsTransactionDates</vt:lpstr>
      <vt:lpstr>BudgetsHidden!BudgetsUnusedCategories</vt:lpstr>
      <vt:lpstr>BudgetsHidden!BudgetsUnusedFilteredCategories</vt:lpstr>
      <vt:lpstr>BudgetsHidden!BudgetsUsedCategories</vt:lpstr>
      <vt:lpstr>BudgetsHidden!BudgetsValidCategories</vt:lpstr>
      <vt:lpstr>BudgetsHidden!BudgetsValidPersistedCategories</vt:lpstr>
      <vt:lpstr>Budget!BudgetTableBudgetColumn</vt:lpstr>
      <vt:lpstr>Budget!BudgetTableCategoryColumn</vt:lpstr>
      <vt:lpstr>Budget!BudgetTableCategoryIdColumn</vt:lpstr>
      <vt:lpstr>Budget!BudgetTableRemainingColumn</vt:lpstr>
      <vt:lpstr>Budget!BudgetTableSpentColumn</vt:lpstr>
      <vt:lpstr>CategoryIdentifiers</vt:lpstr>
      <vt:lpstr>CategoryNames</vt:lpstr>
      <vt:lpstr>RecurringExpenses!FrequencyKey</vt:lpstr>
      <vt:lpstr>RecurringExpenses!FrequencyValue</vt:lpstr>
      <vt:lpstr>HiddenCategoriesSubcategoryNames</vt:lpstr>
      <vt:lpstr>HiddenCategoriesSubcategoryNamesRows</vt:lpstr>
      <vt:lpstr>snapshot_month</vt:lpstr>
      <vt:lpstr>SubcategoryNames</vt:lpstr>
      <vt:lpstr>user_custom_categories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2020-06-12T20:59:23Z</dcterms:created>
  <dcterms:modified xsi:type="dcterms:W3CDTF">2021-03-19T03:10:49Z</dcterms:modified>
  <cp:category/>
  <cp:contentStatus/>
</cp:coreProperties>
</file>